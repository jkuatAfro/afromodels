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Projections\"/>
    </mc:Choice>
  </mc:AlternateContent>
  <xr:revisionPtr revIDLastSave="0" documentId="13_ncr:1_{17CFC96C-3F2B-4831-90FD-025C78A58029}" xr6:coauthVersionLast="47" xr6:coauthVersionMax="47" xr10:uidLastSave="{00000000-0000-0000-0000-000000000000}"/>
  <bookViews>
    <workbookView xWindow="-110" yWindow="-110" windowWidth="19420" windowHeight="10300" firstSheet="7" activeTab="10" xr2:uid="{A281EC1E-BD6A-4D7D-A24E-5033FC3827E8}"/>
  </bookViews>
  <sheets>
    <sheet name="Sheet2" sheetId="2" r:id="rId1"/>
    <sheet name="Sheet4" sheetId="4" r:id="rId2"/>
    <sheet name="Sheet3" sheetId="3" r:id="rId3"/>
    <sheet name="available" sheetId="1" r:id="rId4"/>
    <sheet name="Medical doctors" sheetId="5" r:id="rId5"/>
    <sheet name="Doctors distribution" sheetId="6" r:id="rId6"/>
    <sheet name="Sheet10" sheetId="10" r:id="rId7"/>
    <sheet name="Med 1" sheetId="8" r:id="rId8"/>
    <sheet name="Sheet1" sheetId="12" r:id="rId9"/>
    <sheet name="Sheet5" sheetId="14" r:id="rId10"/>
    <sheet name="Total medical doctors" sheetId="9" r:id="rId11"/>
    <sheet name="Sheet6" sheetId="16" r:id="rId12"/>
    <sheet name="Education graduates" sheetId="11" r:id="rId13"/>
    <sheet name="Edu updated" sheetId="13" r:id="rId14"/>
    <sheet name="Income" sheetId="7" r:id="rId15"/>
    <sheet name="Migration" sheetId="15" r:id="rId16"/>
  </sheets>
  <definedNames>
    <definedName name="_xlnm._FilterDatabase" localSheetId="3" hidden="1">available!$A$1:$B$49</definedName>
    <definedName name="_xlnm._FilterDatabase" localSheetId="10" hidden="1">'Total medical doctors'!$A$1:$AI$50</definedName>
  </definedNames>
  <calcPr calcId="191029"/>
  <pivotCaches>
    <pivotCache cacheId="0" r:id="rId17"/>
    <pivotCache cacheId="1" r:id="rId18"/>
    <pivotCache cacheId="2" r:id="rId19"/>
    <pivotCache cacheId="3" r:id="rId20"/>
    <pivotCache cacheId="4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" i="9" l="1"/>
  <c r="AJ4" i="9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2" i="9"/>
  <c r="AI2" i="9"/>
  <c r="V49" i="9"/>
  <c r="W49" i="9"/>
  <c r="X49" i="9"/>
  <c r="Y49" i="9"/>
  <c r="Z49" i="9"/>
  <c r="AA49" i="9"/>
  <c r="AB49" i="9"/>
  <c r="AG3" i="9" l="1"/>
  <c r="AG4" i="9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2" i="9"/>
  <c r="V57" i="9"/>
  <c r="W57" i="9"/>
  <c r="X57" i="9"/>
  <c r="Y57" i="9"/>
  <c r="Z57" i="9"/>
  <c r="AA57" i="9"/>
  <c r="AB57" i="9"/>
  <c r="U57" i="9"/>
  <c r="E49" i="9"/>
  <c r="F49" i="9"/>
  <c r="D49" i="9"/>
  <c r="AF3" i="9" l="1"/>
  <c r="AI3" i="9" s="1"/>
  <c r="AF4" i="9"/>
  <c r="AI4" i="9" s="1"/>
  <c r="AF5" i="9"/>
  <c r="AI5" i="9" s="1"/>
  <c r="AF6" i="9"/>
  <c r="AI6" i="9" s="1"/>
  <c r="AF7" i="9"/>
  <c r="AI7" i="9" s="1"/>
  <c r="AF8" i="9"/>
  <c r="AI8" i="9" s="1"/>
  <c r="AF9" i="9"/>
  <c r="AI9" i="9" s="1"/>
  <c r="AF10" i="9"/>
  <c r="AI10" i="9" s="1"/>
  <c r="AF11" i="9"/>
  <c r="AI11" i="9" s="1"/>
  <c r="AF12" i="9"/>
  <c r="AI12" i="9" s="1"/>
  <c r="AF13" i="9"/>
  <c r="AI13" i="9" s="1"/>
  <c r="AF14" i="9"/>
  <c r="AI14" i="9" s="1"/>
  <c r="AF15" i="9"/>
  <c r="AI15" i="9" s="1"/>
  <c r="AF16" i="9"/>
  <c r="AI16" i="9" s="1"/>
  <c r="AF17" i="9"/>
  <c r="AI17" i="9" s="1"/>
  <c r="AF18" i="9"/>
  <c r="AI18" i="9" s="1"/>
  <c r="AF19" i="9"/>
  <c r="AI19" i="9" s="1"/>
  <c r="AF20" i="9"/>
  <c r="AI20" i="9" s="1"/>
  <c r="AF21" i="9"/>
  <c r="AI21" i="9" s="1"/>
  <c r="AF22" i="9"/>
  <c r="AI22" i="9" s="1"/>
  <c r="AF23" i="9"/>
  <c r="AI23" i="9" s="1"/>
  <c r="AF24" i="9"/>
  <c r="AI24" i="9" s="1"/>
  <c r="AF25" i="9"/>
  <c r="AI25" i="9" s="1"/>
  <c r="AF26" i="9"/>
  <c r="AI26" i="9" s="1"/>
  <c r="AF27" i="9"/>
  <c r="AI27" i="9" s="1"/>
  <c r="AF28" i="9"/>
  <c r="AI28" i="9" s="1"/>
  <c r="AF29" i="9"/>
  <c r="AI29" i="9" s="1"/>
  <c r="AF30" i="9"/>
  <c r="AI30" i="9" s="1"/>
  <c r="AF31" i="9"/>
  <c r="AI31" i="9" s="1"/>
  <c r="AF32" i="9"/>
  <c r="AI32" i="9" s="1"/>
  <c r="AF33" i="9"/>
  <c r="AI33" i="9" s="1"/>
  <c r="AF34" i="9"/>
  <c r="AI34" i="9" s="1"/>
  <c r="AF35" i="9"/>
  <c r="AI35" i="9" s="1"/>
  <c r="AF36" i="9"/>
  <c r="AI36" i="9" s="1"/>
  <c r="AF37" i="9"/>
  <c r="AI37" i="9" s="1"/>
  <c r="AF38" i="9"/>
  <c r="AI38" i="9" s="1"/>
  <c r="AF39" i="9"/>
  <c r="AI39" i="9" s="1"/>
  <c r="AF40" i="9"/>
  <c r="AI40" i="9" s="1"/>
  <c r="AF41" i="9"/>
  <c r="AI41" i="9" s="1"/>
  <c r="AF42" i="9"/>
  <c r="AI42" i="9" s="1"/>
  <c r="AF43" i="9"/>
  <c r="AI43" i="9" s="1"/>
  <c r="AF44" i="9"/>
  <c r="AI44" i="9" s="1"/>
  <c r="AF45" i="9"/>
  <c r="AI45" i="9" s="1"/>
  <c r="AF46" i="9"/>
  <c r="AI46" i="9" s="1"/>
  <c r="AF47" i="9"/>
  <c r="AI47" i="9" s="1"/>
  <c r="AF48" i="9"/>
  <c r="AI48" i="9" s="1"/>
  <c r="AF2" i="9"/>
  <c r="AF49" i="9" l="1"/>
  <c r="AF50" i="9" s="1"/>
  <c r="AE2" i="9" l="1"/>
  <c r="U2" i="9" s="1"/>
  <c r="D5" i="14"/>
  <c r="D6" i="14"/>
  <c r="D7" i="14"/>
  <c r="D4" i="14"/>
  <c r="T3" i="9"/>
  <c r="AD3" i="9" s="1"/>
  <c r="AE3" i="9" s="1"/>
  <c r="U3" i="9" s="1"/>
  <c r="T4" i="9"/>
  <c r="AD4" i="9" s="1"/>
  <c r="T5" i="9"/>
  <c r="AD5" i="9" s="1"/>
  <c r="T6" i="9"/>
  <c r="AD6" i="9" s="1"/>
  <c r="T7" i="9"/>
  <c r="AD7" i="9" s="1"/>
  <c r="T8" i="9"/>
  <c r="AD8" i="9" s="1"/>
  <c r="AE8" i="9" s="1"/>
  <c r="U8" i="9" s="1"/>
  <c r="V8" i="9" s="1"/>
  <c r="W8" i="9" s="1"/>
  <c r="X8" i="9" s="1"/>
  <c r="Y8" i="9" s="1"/>
  <c r="Z8" i="9" s="1"/>
  <c r="AA8" i="9" s="1"/>
  <c r="AB8" i="9" s="1"/>
  <c r="AH8" i="9" s="1"/>
  <c r="T9" i="9"/>
  <c r="AE9" i="9" s="1"/>
  <c r="U9" i="9" s="1"/>
  <c r="V9" i="9" s="1"/>
  <c r="W9" i="9" s="1"/>
  <c r="X9" i="9" s="1"/>
  <c r="Y9" i="9" s="1"/>
  <c r="Z9" i="9" s="1"/>
  <c r="AA9" i="9" s="1"/>
  <c r="AB9" i="9" s="1"/>
  <c r="AH9" i="9" s="1"/>
  <c r="T10" i="9"/>
  <c r="AD10" i="9" s="1"/>
  <c r="AE10" i="9" s="1"/>
  <c r="U10" i="9" s="1"/>
  <c r="V10" i="9" s="1"/>
  <c r="W10" i="9" s="1"/>
  <c r="X10" i="9" s="1"/>
  <c r="Y10" i="9" s="1"/>
  <c r="Z10" i="9" s="1"/>
  <c r="AA10" i="9" s="1"/>
  <c r="AB10" i="9" s="1"/>
  <c r="AH10" i="9" s="1"/>
  <c r="T11" i="9"/>
  <c r="AD11" i="9" s="1"/>
  <c r="T12" i="9"/>
  <c r="AE12" i="9" s="1"/>
  <c r="U12" i="9" s="1"/>
  <c r="V12" i="9" s="1"/>
  <c r="W12" i="9" s="1"/>
  <c r="X12" i="9" s="1"/>
  <c r="Y12" i="9" s="1"/>
  <c r="Z12" i="9" s="1"/>
  <c r="AA12" i="9" s="1"/>
  <c r="AB12" i="9" s="1"/>
  <c r="AH12" i="9" s="1"/>
  <c r="T13" i="9"/>
  <c r="AD13" i="9" s="1"/>
  <c r="T14" i="9"/>
  <c r="AD14" i="9" s="1"/>
  <c r="T15" i="9"/>
  <c r="AD15" i="9" s="1"/>
  <c r="T16" i="9"/>
  <c r="AD16" i="9" s="1"/>
  <c r="AE16" i="9" s="1"/>
  <c r="U16" i="9" s="1"/>
  <c r="V16" i="9" s="1"/>
  <c r="W16" i="9" s="1"/>
  <c r="X16" i="9" s="1"/>
  <c r="Y16" i="9" s="1"/>
  <c r="Z16" i="9" s="1"/>
  <c r="AA16" i="9" s="1"/>
  <c r="AB16" i="9" s="1"/>
  <c r="AH16" i="9" s="1"/>
  <c r="T17" i="9"/>
  <c r="T18" i="9"/>
  <c r="AE18" i="9" s="1"/>
  <c r="U18" i="9" s="1"/>
  <c r="V18" i="9" s="1"/>
  <c r="W18" i="9" s="1"/>
  <c r="X18" i="9" s="1"/>
  <c r="Y18" i="9" s="1"/>
  <c r="Z18" i="9" s="1"/>
  <c r="AA18" i="9" s="1"/>
  <c r="AB18" i="9" s="1"/>
  <c r="AH18" i="9" s="1"/>
  <c r="T19" i="9"/>
  <c r="AD19" i="9" s="1"/>
  <c r="T20" i="9"/>
  <c r="AD20" i="9" s="1"/>
  <c r="T21" i="9"/>
  <c r="AD21" i="9" s="1"/>
  <c r="AE21" i="9" s="1"/>
  <c r="U21" i="9" s="1"/>
  <c r="V21" i="9" s="1"/>
  <c r="W21" i="9" s="1"/>
  <c r="X21" i="9" s="1"/>
  <c r="Y21" i="9" s="1"/>
  <c r="Z21" i="9" s="1"/>
  <c r="AA21" i="9" s="1"/>
  <c r="AB21" i="9" s="1"/>
  <c r="AH21" i="9" s="1"/>
  <c r="T22" i="9"/>
  <c r="AD22" i="9" s="1"/>
  <c r="AE22" i="9" s="1"/>
  <c r="U22" i="9" s="1"/>
  <c r="V22" i="9" s="1"/>
  <c r="W22" i="9" s="1"/>
  <c r="X22" i="9" s="1"/>
  <c r="Y22" i="9" s="1"/>
  <c r="Z22" i="9" s="1"/>
  <c r="AA22" i="9" s="1"/>
  <c r="AB22" i="9" s="1"/>
  <c r="AH22" i="9" s="1"/>
  <c r="T23" i="9"/>
  <c r="AD23" i="9" s="1"/>
  <c r="AE23" i="9" s="1"/>
  <c r="T24" i="9"/>
  <c r="T25" i="9"/>
  <c r="AD25" i="9" s="1"/>
  <c r="AE25" i="9" s="1"/>
  <c r="U25" i="9" s="1"/>
  <c r="V25" i="9" s="1"/>
  <c r="W25" i="9" s="1"/>
  <c r="X25" i="9" s="1"/>
  <c r="Y25" i="9" s="1"/>
  <c r="Z25" i="9" s="1"/>
  <c r="AA25" i="9" s="1"/>
  <c r="AB25" i="9" s="1"/>
  <c r="AH25" i="9" s="1"/>
  <c r="T26" i="9"/>
  <c r="AD26" i="9" s="1"/>
  <c r="AE26" i="9" s="1"/>
  <c r="U26" i="9" s="1"/>
  <c r="V26" i="9" s="1"/>
  <c r="W26" i="9" s="1"/>
  <c r="X26" i="9" s="1"/>
  <c r="Y26" i="9" s="1"/>
  <c r="Z26" i="9" s="1"/>
  <c r="AA26" i="9" s="1"/>
  <c r="AB26" i="9" s="1"/>
  <c r="AH26" i="9" s="1"/>
  <c r="T27" i="9"/>
  <c r="AD27" i="9" s="1"/>
  <c r="T28" i="9"/>
  <c r="AD28" i="9" s="1"/>
  <c r="T29" i="9"/>
  <c r="AD29" i="9" s="1"/>
  <c r="T30" i="9"/>
  <c r="AE30" i="9" s="1"/>
  <c r="U30" i="9" s="1"/>
  <c r="V30" i="9" s="1"/>
  <c r="W30" i="9" s="1"/>
  <c r="X30" i="9" s="1"/>
  <c r="Y30" i="9" s="1"/>
  <c r="Z30" i="9" s="1"/>
  <c r="AA30" i="9" s="1"/>
  <c r="AB30" i="9" s="1"/>
  <c r="AH30" i="9" s="1"/>
  <c r="T31" i="9"/>
  <c r="T32" i="9"/>
  <c r="AD32" i="9" s="1"/>
  <c r="AE32" i="9" s="1"/>
  <c r="U32" i="9" s="1"/>
  <c r="V32" i="9" s="1"/>
  <c r="W32" i="9" s="1"/>
  <c r="X32" i="9" s="1"/>
  <c r="Y32" i="9" s="1"/>
  <c r="Z32" i="9" s="1"/>
  <c r="AA32" i="9" s="1"/>
  <c r="AB32" i="9" s="1"/>
  <c r="AH32" i="9" s="1"/>
  <c r="T33" i="9"/>
  <c r="AD33" i="9" s="1"/>
  <c r="T34" i="9"/>
  <c r="AD34" i="9" s="1"/>
  <c r="T35" i="9"/>
  <c r="AD35" i="9" s="1"/>
  <c r="T36" i="9"/>
  <c r="AD36" i="9" s="1"/>
  <c r="T37" i="9"/>
  <c r="AD37" i="9" s="1"/>
  <c r="T38" i="9"/>
  <c r="AE38" i="9" s="1"/>
  <c r="U38" i="9" s="1"/>
  <c r="V38" i="9" s="1"/>
  <c r="W38" i="9" s="1"/>
  <c r="X38" i="9" s="1"/>
  <c r="Y38" i="9" s="1"/>
  <c r="Z38" i="9" s="1"/>
  <c r="AA38" i="9" s="1"/>
  <c r="AB38" i="9" s="1"/>
  <c r="AH38" i="9" s="1"/>
  <c r="T39" i="9"/>
  <c r="AD39" i="9" s="1"/>
  <c r="AE39" i="9" s="1"/>
  <c r="U39" i="9" s="1"/>
  <c r="V39" i="9" s="1"/>
  <c r="W39" i="9" s="1"/>
  <c r="X39" i="9" s="1"/>
  <c r="Y39" i="9" s="1"/>
  <c r="Z39" i="9" s="1"/>
  <c r="AA39" i="9" s="1"/>
  <c r="AB39" i="9" s="1"/>
  <c r="AH39" i="9" s="1"/>
  <c r="T40" i="9"/>
  <c r="AD40" i="9" s="1"/>
  <c r="AE40" i="9" s="1"/>
  <c r="U40" i="9" s="1"/>
  <c r="V40" i="9" s="1"/>
  <c r="W40" i="9" s="1"/>
  <c r="X40" i="9" s="1"/>
  <c r="Y40" i="9" s="1"/>
  <c r="Z40" i="9" s="1"/>
  <c r="AA40" i="9" s="1"/>
  <c r="AB40" i="9" s="1"/>
  <c r="AH40" i="9" s="1"/>
  <c r="T41" i="9"/>
  <c r="AD41" i="9" s="1"/>
  <c r="T42" i="9"/>
  <c r="AD42" i="9" s="1"/>
  <c r="AE42" i="9" s="1"/>
  <c r="U42" i="9" s="1"/>
  <c r="V42" i="9" s="1"/>
  <c r="W42" i="9" s="1"/>
  <c r="X42" i="9" s="1"/>
  <c r="Y42" i="9" s="1"/>
  <c r="Z42" i="9" s="1"/>
  <c r="AA42" i="9" s="1"/>
  <c r="AB42" i="9" s="1"/>
  <c r="AH42" i="9" s="1"/>
  <c r="T43" i="9"/>
  <c r="AE43" i="9" s="1"/>
  <c r="U43" i="9" s="1"/>
  <c r="V43" i="9" s="1"/>
  <c r="W43" i="9" s="1"/>
  <c r="X43" i="9" s="1"/>
  <c r="Y43" i="9" s="1"/>
  <c r="Z43" i="9" s="1"/>
  <c r="AA43" i="9" s="1"/>
  <c r="AB43" i="9" s="1"/>
  <c r="AH43" i="9" s="1"/>
  <c r="T44" i="9"/>
  <c r="AD44" i="9" s="1"/>
  <c r="T45" i="9"/>
  <c r="AD45" i="9" s="1"/>
  <c r="T46" i="9"/>
  <c r="AD46" i="9" s="1"/>
  <c r="T47" i="9"/>
  <c r="AD47" i="9" s="1"/>
  <c r="AE47" i="9" s="1"/>
  <c r="U47" i="9" s="1"/>
  <c r="V47" i="9" s="1"/>
  <c r="W47" i="9" s="1"/>
  <c r="X47" i="9" s="1"/>
  <c r="Y47" i="9" s="1"/>
  <c r="Z47" i="9" s="1"/>
  <c r="AA47" i="9" s="1"/>
  <c r="AB47" i="9" s="1"/>
  <c r="AH47" i="9" s="1"/>
  <c r="T48" i="9"/>
  <c r="AD48" i="9" s="1"/>
  <c r="T2" i="9"/>
  <c r="D49" i="11"/>
  <c r="C49" i="11"/>
  <c r="U23" i="9" l="1"/>
  <c r="V23" i="9" s="1"/>
  <c r="W23" i="9" s="1"/>
  <c r="X23" i="9" s="1"/>
  <c r="Y23" i="9" s="1"/>
  <c r="Z23" i="9" s="1"/>
  <c r="AA23" i="9" s="1"/>
  <c r="AB23" i="9" s="1"/>
  <c r="AH23" i="9" s="1"/>
  <c r="V2" i="9"/>
  <c r="W2" i="9" s="1"/>
  <c r="X2" i="9" s="1"/>
  <c r="Y2" i="9" s="1"/>
  <c r="Z2" i="9" s="1"/>
  <c r="AA2" i="9" s="1"/>
  <c r="AB2" i="9" s="1"/>
  <c r="AH2" i="9" s="1"/>
  <c r="V3" i="9"/>
  <c r="W3" i="9" s="1"/>
  <c r="X3" i="9" s="1"/>
  <c r="Y3" i="9" s="1"/>
  <c r="Z3" i="9" s="1"/>
  <c r="AA3" i="9" s="1"/>
  <c r="AB3" i="9" s="1"/>
  <c r="AH3" i="9" s="1"/>
  <c r="E41" i="11"/>
  <c r="E42" i="11"/>
  <c r="E43" i="11"/>
  <c r="E44" i="11"/>
  <c r="E45" i="11"/>
  <c r="E46" i="11"/>
  <c r="E47" i="11"/>
  <c r="E48" i="11"/>
  <c r="E49" i="11"/>
  <c r="E40" i="11"/>
  <c r="E39" i="11"/>
  <c r="E38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16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2" i="11"/>
  <c r="S2" i="9" s="1"/>
  <c r="S12" i="9" l="1"/>
  <c r="S16" i="9"/>
  <c r="S25" i="9"/>
  <c r="S38" i="9"/>
  <c r="S40" i="9"/>
  <c r="S4" i="9"/>
  <c r="S5" i="9"/>
  <c r="S6" i="9"/>
  <c r="S7" i="9"/>
  <c r="S8" i="9"/>
  <c r="S9" i="9"/>
  <c r="S10" i="9"/>
  <c r="S11" i="9"/>
  <c r="S13" i="9"/>
  <c r="S14" i="9"/>
  <c r="S15" i="9"/>
  <c r="S17" i="9"/>
  <c r="S18" i="9"/>
  <c r="S19" i="9"/>
  <c r="S20" i="9"/>
  <c r="S21" i="9"/>
  <c r="S22" i="9"/>
  <c r="S23" i="9"/>
  <c r="S24" i="9"/>
  <c r="S26" i="9"/>
  <c r="S27" i="9"/>
  <c r="S28" i="9"/>
  <c r="S29" i="9"/>
  <c r="S30" i="9"/>
  <c r="S31" i="9"/>
  <c r="S32" i="9"/>
  <c r="S33" i="9"/>
  <c r="S34" i="9"/>
  <c r="S35" i="9"/>
  <c r="S36" i="9"/>
  <c r="S37" i="9"/>
  <c r="S39" i="9"/>
  <c r="S41" i="9"/>
  <c r="S42" i="9"/>
  <c r="S43" i="9"/>
  <c r="S44" i="9"/>
  <c r="S45" i="9"/>
  <c r="S46" i="9"/>
  <c r="S47" i="9"/>
  <c r="S48" i="9"/>
  <c r="S49" i="9"/>
  <c r="S3" i="9"/>
  <c r="M3" i="9"/>
  <c r="N3" i="9"/>
  <c r="O3" i="9"/>
  <c r="P3" i="9"/>
  <c r="Q3" i="9"/>
  <c r="R3" i="9"/>
  <c r="M4" i="9"/>
  <c r="N4" i="9"/>
  <c r="O4" i="9"/>
  <c r="P4" i="9"/>
  <c r="Q4" i="9"/>
  <c r="R4" i="9"/>
  <c r="M5" i="9"/>
  <c r="N5" i="9"/>
  <c r="O5" i="9"/>
  <c r="P5" i="9"/>
  <c r="Q5" i="9"/>
  <c r="R5" i="9"/>
  <c r="M6" i="9"/>
  <c r="N6" i="9"/>
  <c r="O6" i="9"/>
  <c r="P6" i="9"/>
  <c r="Q6" i="9"/>
  <c r="R6" i="9"/>
  <c r="M7" i="9"/>
  <c r="N7" i="9"/>
  <c r="O7" i="9"/>
  <c r="P7" i="9"/>
  <c r="Q7" i="9"/>
  <c r="R7" i="9"/>
  <c r="M8" i="9"/>
  <c r="N8" i="9"/>
  <c r="O8" i="9"/>
  <c r="P8" i="9"/>
  <c r="Q8" i="9"/>
  <c r="R8" i="9"/>
  <c r="M9" i="9"/>
  <c r="N9" i="9"/>
  <c r="O9" i="9"/>
  <c r="P9" i="9"/>
  <c r="Q9" i="9"/>
  <c r="R9" i="9"/>
  <c r="M10" i="9"/>
  <c r="N10" i="9"/>
  <c r="O10" i="9"/>
  <c r="P10" i="9"/>
  <c r="Q10" i="9"/>
  <c r="R10" i="9"/>
  <c r="M11" i="9"/>
  <c r="N11" i="9"/>
  <c r="O11" i="9"/>
  <c r="P11" i="9"/>
  <c r="Q11" i="9"/>
  <c r="R11" i="9"/>
  <c r="M12" i="9"/>
  <c r="N12" i="9"/>
  <c r="O12" i="9"/>
  <c r="P12" i="9"/>
  <c r="Q12" i="9"/>
  <c r="R12" i="9"/>
  <c r="M13" i="9"/>
  <c r="N13" i="9"/>
  <c r="O13" i="9"/>
  <c r="P13" i="9"/>
  <c r="Q13" i="9"/>
  <c r="R13" i="9"/>
  <c r="M14" i="9"/>
  <c r="N14" i="9"/>
  <c r="O14" i="9"/>
  <c r="P14" i="9"/>
  <c r="Q14" i="9"/>
  <c r="R14" i="9"/>
  <c r="M15" i="9"/>
  <c r="N15" i="9"/>
  <c r="O15" i="9"/>
  <c r="P15" i="9"/>
  <c r="Q15" i="9"/>
  <c r="R15" i="9"/>
  <c r="M16" i="9"/>
  <c r="N16" i="9"/>
  <c r="O16" i="9"/>
  <c r="P16" i="9"/>
  <c r="Q16" i="9"/>
  <c r="R16" i="9"/>
  <c r="M17" i="9"/>
  <c r="N17" i="9"/>
  <c r="O17" i="9"/>
  <c r="P17" i="9"/>
  <c r="Q17" i="9"/>
  <c r="R17" i="9"/>
  <c r="M18" i="9"/>
  <c r="N18" i="9"/>
  <c r="O18" i="9"/>
  <c r="P18" i="9"/>
  <c r="Q18" i="9"/>
  <c r="R18" i="9"/>
  <c r="M19" i="9"/>
  <c r="N19" i="9"/>
  <c r="O19" i="9"/>
  <c r="P19" i="9"/>
  <c r="Q19" i="9"/>
  <c r="R19" i="9"/>
  <c r="M20" i="9"/>
  <c r="N20" i="9"/>
  <c r="O20" i="9"/>
  <c r="P20" i="9"/>
  <c r="Q20" i="9"/>
  <c r="R20" i="9"/>
  <c r="M21" i="9"/>
  <c r="N21" i="9"/>
  <c r="O21" i="9"/>
  <c r="P21" i="9"/>
  <c r="Q21" i="9"/>
  <c r="R21" i="9"/>
  <c r="M22" i="9"/>
  <c r="N22" i="9"/>
  <c r="O22" i="9"/>
  <c r="P22" i="9"/>
  <c r="Q22" i="9"/>
  <c r="R22" i="9"/>
  <c r="M23" i="9"/>
  <c r="N23" i="9"/>
  <c r="O23" i="9"/>
  <c r="P23" i="9"/>
  <c r="Q23" i="9"/>
  <c r="R23" i="9"/>
  <c r="M24" i="9"/>
  <c r="N24" i="9"/>
  <c r="O24" i="9"/>
  <c r="P24" i="9"/>
  <c r="Q24" i="9"/>
  <c r="R24" i="9"/>
  <c r="M25" i="9"/>
  <c r="N25" i="9"/>
  <c r="O25" i="9"/>
  <c r="P25" i="9"/>
  <c r="Q25" i="9"/>
  <c r="R25" i="9"/>
  <c r="M26" i="9"/>
  <c r="N26" i="9"/>
  <c r="O26" i="9"/>
  <c r="P26" i="9"/>
  <c r="Q26" i="9"/>
  <c r="R26" i="9"/>
  <c r="M27" i="9"/>
  <c r="N27" i="9"/>
  <c r="O27" i="9"/>
  <c r="P27" i="9"/>
  <c r="Q27" i="9"/>
  <c r="R27" i="9"/>
  <c r="M28" i="9"/>
  <c r="N28" i="9"/>
  <c r="O28" i="9"/>
  <c r="P28" i="9"/>
  <c r="Q28" i="9"/>
  <c r="R28" i="9"/>
  <c r="M29" i="9"/>
  <c r="N29" i="9"/>
  <c r="O29" i="9"/>
  <c r="P29" i="9"/>
  <c r="Q29" i="9"/>
  <c r="R29" i="9"/>
  <c r="M30" i="9"/>
  <c r="N30" i="9"/>
  <c r="O30" i="9"/>
  <c r="P30" i="9"/>
  <c r="Q30" i="9"/>
  <c r="R30" i="9"/>
  <c r="M31" i="9"/>
  <c r="N31" i="9"/>
  <c r="O31" i="9"/>
  <c r="P31" i="9"/>
  <c r="Q31" i="9"/>
  <c r="R31" i="9"/>
  <c r="M32" i="9"/>
  <c r="N32" i="9"/>
  <c r="O32" i="9"/>
  <c r="P32" i="9"/>
  <c r="Q32" i="9"/>
  <c r="R32" i="9"/>
  <c r="M33" i="9"/>
  <c r="N33" i="9"/>
  <c r="O33" i="9"/>
  <c r="P33" i="9"/>
  <c r="Q33" i="9"/>
  <c r="R33" i="9"/>
  <c r="M34" i="9"/>
  <c r="N34" i="9"/>
  <c r="O34" i="9"/>
  <c r="P34" i="9"/>
  <c r="Q34" i="9"/>
  <c r="R34" i="9"/>
  <c r="M35" i="9"/>
  <c r="N35" i="9"/>
  <c r="O35" i="9"/>
  <c r="P35" i="9"/>
  <c r="Q35" i="9"/>
  <c r="R35" i="9"/>
  <c r="M36" i="9"/>
  <c r="N36" i="9"/>
  <c r="O36" i="9"/>
  <c r="P36" i="9"/>
  <c r="Q36" i="9"/>
  <c r="R36" i="9"/>
  <c r="M37" i="9"/>
  <c r="N37" i="9"/>
  <c r="O37" i="9"/>
  <c r="P37" i="9"/>
  <c r="Q37" i="9"/>
  <c r="R37" i="9"/>
  <c r="M38" i="9"/>
  <c r="N38" i="9"/>
  <c r="O38" i="9"/>
  <c r="P38" i="9"/>
  <c r="Q38" i="9"/>
  <c r="R38" i="9"/>
  <c r="M39" i="9"/>
  <c r="N39" i="9"/>
  <c r="O39" i="9"/>
  <c r="P39" i="9"/>
  <c r="Q39" i="9"/>
  <c r="R39" i="9"/>
  <c r="M40" i="9"/>
  <c r="N40" i="9"/>
  <c r="O40" i="9"/>
  <c r="P40" i="9"/>
  <c r="Q40" i="9"/>
  <c r="R40" i="9"/>
  <c r="M41" i="9"/>
  <c r="N41" i="9"/>
  <c r="O41" i="9"/>
  <c r="P41" i="9"/>
  <c r="Q41" i="9"/>
  <c r="R41" i="9"/>
  <c r="M42" i="9"/>
  <c r="N42" i="9"/>
  <c r="O42" i="9"/>
  <c r="P42" i="9"/>
  <c r="Q42" i="9"/>
  <c r="R42" i="9"/>
  <c r="M43" i="9"/>
  <c r="N43" i="9"/>
  <c r="O43" i="9"/>
  <c r="P43" i="9"/>
  <c r="Q43" i="9"/>
  <c r="R43" i="9"/>
  <c r="M44" i="9"/>
  <c r="N44" i="9"/>
  <c r="O44" i="9"/>
  <c r="P44" i="9"/>
  <c r="Q44" i="9"/>
  <c r="R44" i="9"/>
  <c r="M45" i="9"/>
  <c r="N45" i="9"/>
  <c r="O45" i="9"/>
  <c r="P45" i="9"/>
  <c r="Q45" i="9"/>
  <c r="R45" i="9"/>
  <c r="M46" i="9"/>
  <c r="N46" i="9"/>
  <c r="O46" i="9"/>
  <c r="P46" i="9"/>
  <c r="Q46" i="9"/>
  <c r="R46" i="9"/>
  <c r="M47" i="9"/>
  <c r="N47" i="9"/>
  <c r="O47" i="9"/>
  <c r="P47" i="9"/>
  <c r="Q47" i="9"/>
  <c r="R47" i="9"/>
  <c r="M48" i="9"/>
  <c r="N48" i="9"/>
  <c r="O48" i="9"/>
  <c r="P48" i="9"/>
  <c r="Q48" i="9"/>
  <c r="R48" i="9"/>
  <c r="M49" i="9"/>
  <c r="N49" i="9"/>
  <c r="O49" i="9"/>
  <c r="P49" i="9"/>
  <c r="Q49" i="9"/>
  <c r="R49" i="9"/>
  <c r="R2" i="9"/>
  <c r="Q2" i="9"/>
  <c r="P2" i="9"/>
  <c r="O2" i="9"/>
  <c r="N2" i="9"/>
  <c r="M2" i="9"/>
  <c r="AE15" i="9" l="1"/>
  <c r="U15" i="9" s="1"/>
  <c r="V15" i="9" s="1"/>
  <c r="W15" i="9" s="1"/>
  <c r="X15" i="9" s="1"/>
  <c r="Y15" i="9" s="1"/>
  <c r="Z15" i="9" s="1"/>
  <c r="AA15" i="9" s="1"/>
  <c r="AB15" i="9" s="1"/>
  <c r="AH15" i="9" s="1"/>
  <c r="AE14" i="9"/>
  <c r="U14" i="9" s="1"/>
  <c r="V14" i="9" s="1"/>
  <c r="W14" i="9" s="1"/>
  <c r="X14" i="9" s="1"/>
  <c r="Y14" i="9" s="1"/>
  <c r="Z14" i="9" s="1"/>
  <c r="AA14" i="9" s="1"/>
  <c r="AB14" i="9" s="1"/>
  <c r="AH14" i="9" s="1"/>
  <c r="AE41" i="9"/>
  <c r="U41" i="9" s="1"/>
  <c r="V41" i="9" s="1"/>
  <c r="W41" i="9" s="1"/>
  <c r="X41" i="9" s="1"/>
  <c r="Y41" i="9" s="1"/>
  <c r="Z41" i="9" s="1"/>
  <c r="AA41" i="9" s="1"/>
  <c r="AB41" i="9" s="1"/>
  <c r="AH41" i="9" s="1"/>
  <c r="AE31" i="9"/>
  <c r="U31" i="9" s="1"/>
  <c r="V31" i="9" s="1"/>
  <c r="W31" i="9" s="1"/>
  <c r="X31" i="9" s="1"/>
  <c r="Y31" i="9" s="1"/>
  <c r="Z31" i="9" s="1"/>
  <c r="AA31" i="9" s="1"/>
  <c r="AB31" i="9" s="1"/>
  <c r="AH31" i="9" s="1"/>
  <c r="AE13" i="9"/>
  <c r="U13" i="9" s="1"/>
  <c r="V13" i="9" s="1"/>
  <c r="W13" i="9" s="1"/>
  <c r="X13" i="9" s="1"/>
  <c r="Y13" i="9" s="1"/>
  <c r="Z13" i="9" s="1"/>
  <c r="AA13" i="9" s="1"/>
  <c r="AB13" i="9" s="1"/>
  <c r="AH13" i="9" s="1"/>
  <c r="AE4" i="9"/>
  <c r="U4" i="9" s="1"/>
  <c r="AE33" i="9"/>
  <c r="U33" i="9" s="1"/>
  <c r="V33" i="9" s="1"/>
  <c r="W33" i="9" s="1"/>
  <c r="X33" i="9" s="1"/>
  <c r="Y33" i="9" s="1"/>
  <c r="Z33" i="9" s="1"/>
  <c r="AA33" i="9" s="1"/>
  <c r="AB33" i="9" s="1"/>
  <c r="AH33" i="9" s="1"/>
  <c r="AE24" i="9"/>
  <c r="U24" i="9" s="1"/>
  <c r="V24" i="9" s="1"/>
  <c r="W24" i="9" s="1"/>
  <c r="X24" i="9" s="1"/>
  <c r="Y24" i="9" s="1"/>
  <c r="Z24" i="9" s="1"/>
  <c r="AA24" i="9" s="1"/>
  <c r="AB24" i="9" s="1"/>
  <c r="AH24" i="9" s="1"/>
  <c r="AE6" i="9"/>
  <c r="U6" i="9" s="1"/>
  <c r="V6" i="9" s="1"/>
  <c r="W6" i="9" s="1"/>
  <c r="X6" i="9" s="1"/>
  <c r="Y6" i="9" s="1"/>
  <c r="Z6" i="9" s="1"/>
  <c r="AA6" i="9" s="1"/>
  <c r="AB6" i="9" s="1"/>
  <c r="AH6" i="9" s="1"/>
  <c r="AE5" i="9"/>
  <c r="U5" i="9" s="1"/>
  <c r="V5" i="9" s="1"/>
  <c r="W5" i="9" s="1"/>
  <c r="X5" i="9" s="1"/>
  <c r="Y5" i="9" s="1"/>
  <c r="Z5" i="9" s="1"/>
  <c r="AA5" i="9" s="1"/>
  <c r="AB5" i="9" s="1"/>
  <c r="AH5" i="9" s="1"/>
  <c r="AE48" i="9"/>
  <c r="U48" i="9" s="1"/>
  <c r="V48" i="9" s="1"/>
  <c r="W48" i="9" s="1"/>
  <c r="X48" i="9" s="1"/>
  <c r="Y48" i="9" s="1"/>
  <c r="Z48" i="9" s="1"/>
  <c r="AA48" i="9" s="1"/>
  <c r="AB48" i="9" s="1"/>
  <c r="AH48" i="9" s="1"/>
  <c r="AE11" i="9"/>
  <c r="U11" i="9" s="1"/>
  <c r="V11" i="9" s="1"/>
  <c r="W11" i="9" s="1"/>
  <c r="X11" i="9" s="1"/>
  <c r="Y11" i="9" s="1"/>
  <c r="Z11" i="9" s="1"/>
  <c r="AA11" i="9" s="1"/>
  <c r="AB11" i="9" s="1"/>
  <c r="AH11" i="9" s="1"/>
  <c r="AE46" i="9"/>
  <c r="U46" i="9" s="1"/>
  <c r="V46" i="9" s="1"/>
  <c r="W46" i="9" s="1"/>
  <c r="X46" i="9" s="1"/>
  <c r="Y46" i="9" s="1"/>
  <c r="Z46" i="9" s="1"/>
  <c r="AA46" i="9" s="1"/>
  <c r="AB46" i="9" s="1"/>
  <c r="AH46" i="9" s="1"/>
  <c r="AE36" i="9"/>
  <c r="U36" i="9" s="1"/>
  <c r="V36" i="9" s="1"/>
  <c r="W36" i="9" s="1"/>
  <c r="X36" i="9" s="1"/>
  <c r="Y36" i="9" s="1"/>
  <c r="Z36" i="9" s="1"/>
  <c r="AA36" i="9" s="1"/>
  <c r="AB36" i="9" s="1"/>
  <c r="AH36" i="9" s="1"/>
  <c r="AE28" i="9"/>
  <c r="U28" i="9" s="1"/>
  <c r="V28" i="9" s="1"/>
  <c r="W28" i="9" s="1"/>
  <c r="X28" i="9" s="1"/>
  <c r="Y28" i="9" s="1"/>
  <c r="Z28" i="9" s="1"/>
  <c r="AA28" i="9" s="1"/>
  <c r="AB28" i="9" s="1"/>
  <c r="AH28" i="9" s="1"/>
  <c r="AE19" i="9"/>
  <c r="U19" i="9" s="1"/>
  <c r="V19" i="9" s="1"/>
  <c r="W19" i="9" s="1"/>
  <c r="X19" i="9" s="1"/>
  <c r="Y19" i="9" s="1"/>
  <c r="Z19" i="9" s="1"/>
  <c r="AA19" i="9" s="1"/>
  <c r="AB19" i="9" s="1"/>
  <c r="AH19" i="9" s="1"/>
  <c r="AE37" i="9"/>
  <c r="U37" i="9" s="1"/>
  <c r="V37" i="9" s="1"/>
  <c r="W37" i="9" s="1"/>
  <c r="X37" i="9" s="1"/>
  <c r="Y37" i="9" s="1"/>
  <c r="Z37" i="9" s="1"/>
  <c r="AA37" i="9" s="1"/>
  <c r="AB37" i="9" s="1"/>
  <c r="AH37" i="9" s="1"/>
  <c r="AE20" i="9"/>
  <c r="U20" i="9" s="1"/>
  <c r="V20" i="9" s="1"/>
  <c r="W20" i="9" s="1"/>
  <c r="X20" i="9" s="1"/>
  <c r="Y20" i="9" s="1"/>
  <c r="Z20" i="9" s="1"/>
  <c r="AA20" i="9" s="1"/>
  <c r="AB20" i="9" s="1"/>
  <c r="AH20" i="9" s="1"/>
  <c r="AE45" i="9"/>
  <c r="U45" i="9" s="1"/>
  <c r="V45" i="9" s="1"/>
  <c r="W45" i="9" s="1"/>
  <c r="X45" i="9" s="1"/>
  <c r="Y45" i="9" s="1"/>
  <c r="Z45" i="9" s="1"/>
  <c r="AA45" i="9" s="1"/>
  <c r="AB45" i="9" s="1"/>
  <c r="AH45" i="9" s="1"/>
  <c r="AE35" i="9"/>
  <c r="U35" i="9" s="1"/>
  <c r="V35" i="9" s="1"/>
  <c r="W35" i="9" s="1"/>
  <c r="X35" i="9" s="1"/>
  <c r="Y35" i="9" s="1"/>
  <c r="Z35" i="9" s="1"/>
  <c r="AA35" i="9" s="1"/>
  <c r="AB35" i="9" s="1"/>
  <c r="AH35" i="9" s="1"/>
  <c r="AE27" i="9"/>
  <c r="U27" i="9" s="1"/>
  <c r="V27" i="9" s="1"/>
  <c r="W27" i="9" s="1"/>
  <c r="X27" i="9" s="1"/>
  <c r="Y27" i="9" s="1"/>
  <c r="Z27" i="9" s="1"/>
  <c r="AA27" i="9" s="1"/>
  <c r="AB27" i="9" s="1"/>
  <c r="AH27" i="9" s="1"/>
  <c r="AE29" i="9"/>
  <c r="U29" i="9" s="1"/>
  <c r="V29" i="9" s="1"/>
  <c r="W29" i="9" s="1"/>
  <c r="X29" i="9" s="1"/>
  <c r="Y29" i="9" s="1"/>
  <c r="Z29" i="9" s="1"/>
  <c r="AA29" i="9" s="1"/>
  <c r="AB29" i="9" s="1"/>
  <c r="AH29" i="9" s="1"/>
  <c r="AE44" i="9"/>
  <c r="U44" i="9" s="1"/>
  <c r="V44" i="9" s="1"/>
  <c r="W44" i="9" s="1"/>
  <c r="X44" i="9" s="1"/>
  <c r="Y44" i="9" s="1"/>
  <c r="Z44" i="9" s="1"/>
  <c r="AA44" i="9" s="1"/>
  <c r="AB44" i="9" s="1"/>
  <c r="AH44" i="9" s="1"/>
  <c r="AE34" i="9"/>
  <c r="U34" i="9" s="1"/>
  <c r="V34" i="9" s="1"/>
  <c r="W34" i="9" s="1"/>
  <c r="X34" i="9" s="1"/>
  <c r="Y34" i="9" s="1"/>
  <c r="Z34" i="9" s="1"/>
  <c r="AA34" i="9" s="1"/>
  <c r="AB34" i="9" s="1"/>
  <c r="AH34" i="9" s="1"/>
  <c r="AE17" i="9"/>
  <c r="U17" i="9" s="1"/>
  <c r="V17" i="9" s="1"/>
  <c r="W17" i="9" s="1"/>
  <c r="X17" i="9" s="1"/>
  <c r="Y17" i="9" s="1"/>
  <c r="Z17" i="9" s="1"/>
  <c r="AA17" i="9" s="1"/>
  <c r="AB17" i="9" s="1"/>
  <c r="AH17" i="9" s="1"/>
  <c r="AE7" i="9"/>
  <c r="U7" i="9" s="1"/>
  <c r="V7" i="9" s="1"/>
  <c r="W7" i="9" s="1"/>
  <c r="X7" i="9" s="1"/>
  <c r="Y7" i="9" s="1"/>
  <c r="Z7" i="9" s="1"/>
  <c r="AA7" i="9" s="1"/>
  <c r="AB7" i="9" s="1"/>
  <c r="AH7" i="9" s="1"/>
  <c r="I4" i="5"/>
  <c r="J4" i="5"/>
  <c r="K4" i="5"/>
  <c r="L4" i="5"/>
  <c r="M4" i="5"/>
  <c r="N4" i="5"/>
  <c r="I5" i="5"/>
  <c r="J5" i="5"/>
  <c r="K5" i="5"/>
  <c r="L5" i="5"/>
  <c r="M5" i="5"/>
  <c r="N5" i="5"/>
  <c r="I6" i="5"/>
  <c r="J6" i="5"/>
  <c r="K6" i="5"/>
  <c r="L6" i="5"/>
  <c r="M6" i="5"/>
  <c r="N6" i="5"/>
  <c r="I7" i="5"/>
  <c r="J7" i="5"/>
  <c r="K7" i="5"/>
  <c r="L7" i="5"/>
  <c r="M7" i="5"/>
  <c r="N7" i="5"/>
  <c r="I8" i="5"/>
  <c r="J8" i="5"/>
  <c r="K8" i="5"/>
  <c r="L8" i="5"/>
  <c r="M8" i="5"/>
  <c r="N8" i="5"/>
  <c r="I9" i="5"/>
  <c r="J9" i="5"/>
  <c r="K9" i="5"/>
  <c r="L9" i="5"/>
  <c r="M9" i="5"/>
  <c r="N9" i="5"/>
  <c r="I10" i="5"/>
  <c r="J10" i="5"/>
  <c r="K10" i="5"/>
  <c r="L10" i="5"/>
  <c r="M10" i="5"/>
  <c r="N10" i="5"/>
  <c r="I11" i="5"/>
  <c r="J11" i="5"/>
  <c r="K11" i="5"/>
  <c r="L11" i="5"/>
  <c r="M11" i="5"/>
  <c r="N11" i="5"/>
  <c r="I12" i="5"/>
  <c r="J12" i="5"/>
  <c r="K12" i="5"/>
  <c r="L12" i="5"/>
  <c r="M12" i="5"/>
  <c r="N12" i="5"/>
  <c r="I13" i="5"/>
  <c r="J13" i="5"/>
  <c r="K13" i="5"/>
  <c r="L13" i="5"/>
  <c r="M13" i="5"/>
  <c r="N13" i="5"/>
  <c r="I14" i="5"/>
  <c r="J14" i="5"/>
  <c r="K14" i="5"/>
  <c r="L14" i="5"/>
  <c r="M14" i="5"/>
  <c r="N14" i="5"/>
  <c r="I15" i="5"/>
  <c r="J15" i="5"/>
  <c r="K15" i="5"/>
  <c r="L15" i="5"/>
  <c r="M15" i="5"/>
  <c r="N15" i="5"/>
  <c r="I16" i="5"/>
  <c r="J16" i="5"/>
  <c r="K16" i="5"/>
  <c r="L16" i="5"/>
  <c r="M16" i="5"/>
  <c r="N16" i="5"/>
  <c r="I17" i="5"/>
  <c r="J17" i="5"/>
  <c r="K17" i="5"/>
  <c r="L17" i="5"/>
  <c r="M17" i="5"/>
  <c r="N17" i="5"/>
  <c r="I18" i="5"/>
  <c r="J18" i="5"/>
  <c r="K18" i="5"/>
  <c r="L18" i="5"/>
  <c r="M18" i="5"/>
  <c r="N18" i="5"/>
  <c r="I19" i="5"/>
  <c r="J19" i="5"/>
  <c r="K19" i="5"/>
  <c r="L19" i="5"/>
  <c r="M19" i="5"/>
  <c r="N19" i="5"/>
  <c r="I20" i="5"/>
  <c r="J20" i="5"/>
  <c r="K20" i="5"/>
  <c r="L20" i="5"/>
  <c r="M20" i="5"/>
  <c r="N20" i="5"/>
  <c r="I21" i="5"/>
  <c r="J21" i="5"/>
  <c r="K21" i="5"/>
  <c r="L21" i="5"/>
  <c r="M21" i="5"/>
  <c r="N21" i="5"/>
  <c r="I22" i="5"/>
  <c r="J22" i="5"/>
  <c r="K22" i="5"/>
  <c r="L22" i="5"/>
  <c r="M22" i="5"/>
  <c r="N22" i="5"/>
  <c r="I23" i="5"/>
  <c r="J23" i="5"/>
  <c r="K23" i="5"/>
  <c r="L23" i="5"/>
  <c r="M23" i="5"/>
  <c r="N23" i="5"/>
  <c r="I24" i="5"/>
  <c r="J24" i="5"/>
  <c r="K24" i="5"/>
  <c r="L24" i="5"/>
  <c r="M24" i="5"/>
  <c r="N24" i="5"/>
  <c r="I25" i="5"/>
  <c r="J25" i="5"/>
  <c r="K25" i="5"/>
  <c r="L25" i="5"/>
  <c r="M25" i="5"/>
  <c r="N25" i="5"/>
  <c r="I26" i="5"/>
  <c r="J26" i="5"/>
  <c r="K26" i="5"/>
  <c r="L26" i="5"/>
  <c r="M26" i="5"/>
  <c r="N26" i="5"/>
  <c r="I27" i="5"/>
  <c r="J27" i="5"/>
  <c r="K27" i="5"/>
  <c r="L27" i="5"/>
  <c r="M27" i="5"/>
  <c r="N27" i="5"/>
  <c r="I28" i="5"/>
  <c r="J28" i="5"/>
  <c r="K28" i="5"/>
  <c r="L28" i="5"/>
  <c r="M28" i="5"/>
  <c r="N28" i="5"/>
  <c r="N3" i="5"/>
  <c r="M3" i="5"/>
  <c r="L3" i="5"/>
  <c r="K3" i="5"/>
  <c r="J3" i="5"/>
  <c r="I3" i="5"/>
  <c r="V4" i="9" l="1"/>
  <c r="W4" i="9" s="1"/>
  <c r="X4" i="9" s="1"/>
  <c r="Y4" i="9" s="1"/>
  <c r="Z4" i="9" s="1"/>
  <c r="AA4" i="9" s="1"/>
  <c r="AB4" i="9" s="1"/>
  <c r="AH4" i="9" s="1"/>
  <c r="U49" i="9"/>
  <c r="AE49" i="9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3" i="5"/>
</calcChain>
</file>

<file path=xl/sharedStrings.xml><?xml version="1.0" encoding="utf-8"?>
<sst xmlns="http://schemas.openxmlformats.org/spreadsheetml/2006/main" count="1119" uniqueCount="344">
  <si>
    <t>BEN</t>
  </si>
  <si>
    <t>BWA</t>
  </si>
  <si>
    <t>CIV</t>
  </si>
  <si>
    <t>CPV</t>
  </si>
  <si>
    <t>DZA</t>
  </si>
  <si>
    <t>ERI</t>
  </si>
  <si>
    <t>GHA</t>
  </si>
  <si>
    <t>KEN</t>
  </si>
  <si>
    <t>MDG</t>
  </si>
  <si>
    <t>MOZ</t>
  </si>
  <si>
    <t>MWI</t>
  </si>
  <si>
    <t>SLE</t>
  </si>
  <si>
    <t>SWZ</t>
  </si>
  <si>
    <t>SYC</t>
  </si>
  <si>
    <t>TGO</t>
  </si>
  <si>
    <t>UGA</t>
  </si>
  <si>
    <t>ZAF</t>
  </si>
  <si>
    <t>ZMB</t>
  </si>
  <si>
    <t>ZWE</t>
  </si>
  <si>
    <t>BDI</t>
  </si>
  <si>
    <t>BFA</t>
  </si>
  <si>
    <t>GAB</t>
  </si>
  <si>
    <t>SEN</t>
  </si>
  <si>
    <t>TCD</t>
  </si>
  <si>
    <t>CMR</t>
  </si>
  <si>
    <t>GNB</t>
  </si>
  <si>
    <t>COG</t>
  </si>
  <si>
    <t>NGA</t>
  </si>
  <si>
    <t>AGO</t>
  </si>
  <si>
    <t>CAF</t>
  </si>
  <si>
    <t>COD</t>
  </si>
  <si>
    <t>COM</t>
  </si>
  <si>
    <t>ETH</t>
  </si>
  <si>
    <t>GIN</t>
  </si>
  <si>
    <t>GMB</t>
  </si>
  <si>
    <t>GNQ</t>
  </si>
  <si>
    <t>LBR</t>
  </si>
  <si>
    <t>LSO</t>
  </si>
  <si>
    <t>MLI</t>
  </si>
  <si>
    <t>MRT</t>
  </si>
  <si>
    <t>MUS</t>
  </si>
  <si>
    <t>NAM</t>
  </si>
  <si>
    <t>NER</t>
  </si>
  <si>
    <t>RWA</t>
  </si>
  <si>
    <t>SSD</t>
  </si>
  <si>
    <t>STP</t>
  </si>
  <si>
    <t>TZA</t>
  </si>
  <si>
    <t>Country</t>
  </si>
  <si>
    <t>Data year</t>
  </si>
  <si>
    <t>Row Labels</t>
  </si>
  <si>
    <t>(blank)</t>
  </si>
  <si>
    <t>Grand Total</t>
  </si>
  <si>
    <t>Count of 2018</t>
  </si>
  <si>
    <t>Count of 2019</t>
  </si>
  <si>
    <t>Count of 2020</t>
  </si>
  <si>
    <t>Count of 2021</t>
  </si>
  <si>
    <t>Count of 2022</t>
  </si>
  <si>
    <t>Column Labels</t>
  </si>
  <si>
    <t>Data on age group availability</t>
  </si>
  <si>
    <t>Sum of NHWA_Medical Doctors Stock By Age Group &lt; 25 yrs</t>
  </si>
  <si>
    <t>Sum of NHWA_Medical Doctors Stock By Age Group 25-34 yrs</t>
  </si>
  <si>
    <t>Sum of NHWA_Medical Doctors Stock By Age Group 35-44 yrs</t>
  </si>
  <si>
    <t>Sum of NHWA_Medical Doctors Stock By Age Group 45-54 yrs</t>
  </si>
  <si>
    <t>Sum of NHWA_Medical Doctors Stock By Age Group 55-64 yrs</t>
  </si>
  <si>
    <t>Sum of NHWA_Medical Doctors Stock By Age Group ≥ 65 yrs</t>
  </si>
  <si>
    <t>AFR</t>
  </si>
  <si>
    <t>Medical Doctors Stock By Age Group &lt; 25 yrs</t>
  </si>
  <si>
    <t>Medical Doctors Stock By Age Group 25-34 yrs</t>
  </si>
  <si>
    <t>Medical Doctors Stock By Age Group 35-44 yrs</t>
  </si>
  <si>
    <t>Medical Doctors Stock By Age Group 45-54 yrs</t>
  </si>
  <si>
    <t>Medical Doctors Stock By Age Group 55-64 yrs</t>
  </si>
  <si>
    <t>Medical Doctors Stock By Age Group ≥ 65 yrs</t>
  </si>
  <si>
    <t>Total</t>
  </si>
  <si>
    <t>Numbers</t>
  </si>
  <si>
    <t>Proportions</t>
  </si>
  <si>
    <t>AFRO</t>
  </si>
  <si>
    <t>country code</t>
  </si>
  <si>
    <t>Income</t>
  </si>
  <si>
    <t>Algeria</t>
  </si>
  <si>
    <t>Lower-Middle-Income Economies</t>
  </si>
  <si>
    <t>Angola</t>
  </si>
  <si>
    <t>Benin</t>
  </si>
  <si>
    <t>Botswana</t>
  </si>
  <si>
    <t>High/Upper-Middle-Income Economies </t>
  </si>
  <si>
    <t>Burkina Faso</t>
  </si>
  <si>
    <t>Low-Income Economies</t>
  </si>
  <si>
    <t>Burundi</t>
  </si>
  <si>
    <t>Cameroon</t>
  </si>
  <si>
    <t>Cape-Verde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</si>
  <si>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</si>
  <si>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</si>
  <si>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</si>
  <si>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</si>
  <si>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</si>
  <si>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</si>
  <si>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</si>
  <si>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</si>
  <si>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</si>
  <si>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</si>
  <si>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</si>
  <si>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</si>
  <si>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</si>
  <si>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</si>
  <si>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</si>
  <si>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</si>
  <si>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</si>
  <si>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</si>
  <si>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</si>
  <si>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</si>
  <si>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</si>
  <si>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</si>
  <si>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</si>
  <si>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</si>
  <si>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</si>
  <si>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</si>
  <si>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</si>
  <si>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</si>
  <si>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</si>
  <si>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</si>
  <si>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</si>
  <si>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</si>
  <si>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</si>
  <si>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</si>
  <si>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</si>
  <si>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</si>
  <si>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</si>
  <si>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</si>
  <si>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</si>
  <si>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Average of Medical Doctors Stock By Age Group &lt; 25 yrs</t>
  </si>
  <si>
    <t>Average of Medical Doctors Stock By Age Group 25-34 yrs</t>
  </si>
  <si>
    <t>Average of Medical Doctors Stock By Age Group 45-54 yrs</t>
  </si>
  <si>
    <t>Average of Medical Doctors Stock By Age Group 55-64 yrs</t>
  </si>
  <si>
    <t>Average of Medical Doctors Stock By Age Group ≥ 65 yrs</t>
  </si>
  <si>
    <t>Average of Medical Doctors Stock By Age Group 35-44 yrs</t>
  </si>
  <si>
    <t>Income level</t>
  </si>
  <si>
    <t>Adjusted 2022</t>
  </si>
  <si>
    <t>Country code</t>
  </si>
  <si>
    <t>income level</t>
  </si>
  <si>
    <t>Medical Doctors Stock By Age Group &lt; 25 yrs (prop)</t>
  </si>
  <si>
    <t>Medical Doctors Stock By Age Group 25-34 yrs (prop)</t>
  </si>
  <si>
    <t>Medical Doctors Stock By Age Group 35-44 yrs (prop)</t>
  </si>
  <si>
    <t>Medical Doctors Stock By Age Group 45-54 yrs (prop)</t>
  </si>
  <si>
    <t>Medical Doctors Stock By Age Group 55-64 yrs (prop)</t>
  </si>
  <si>
    <t>Medical Doctors Stock By Age Group ≥ 65 yrs (prop)</t>
  </si>
  <si>
    <t>Generalist Medical Practitioners</t>
  </si>
  <si>
    <t>Specialist Medical Practitioners</t>
  </si>
  <si>
    <t>Counry</t>
  </si>
  <si>
    <t>Medical doctors</t>
  </si>
  <si>
    <t>Annual graduates (2017 survey)</t>
  </si>
  <si>
    <t>Projected 2023</t>
  </si>
  <si>
    <t>Projected 2024</t>
  </si>
  <si>
    <t>Projected 2025</t>
  </si>
  <si>
    <t>Projected 2026</t>
  </si>
  <si>
    <t>Projected 2027</t>
  </si>
  <si>
    <t>Projected 2028</t>
  </si>
  <si>
    <t>Projected 2029</t>
  </si>
  <si>
    <t>Projected 2030</t>
  </si>
  <si>
    <t>Force of movement from 55-64 into Age 65+</t>
  </si>
  <si>
    <t>stock to graduates</t>
  </si>
  <si>
    <t>Average of stock to graduates</t>
  </si>
  <si>
    <t>Estimated graduates</t>
  </si>
  <si>
    <t>Dentists</t>
  </si>
  <si>
    <t>Other Dental practitioners</t>
  </si>
  <si>
    <t>Pharmacists</t>
  </si>
  <si>
    <t>Other Pharmacy practitioners</t>
  </si>
  <si>
    <t>Midwifery personnel</t>
  </si>
  <si>
    <t>Nursing Personnel</t>
  </si>
  <si>
    <t>Medical and Pathology Laboratory scientists</t>
  </si>
  <si>
    <t>Paramedical Practitioners</t>
  </si>
  <si>
    <t>Other Health Workers</t>
  </si>
  <si>
    <t>Data Sorce(s)</t>
  </si>
  <si>
    <t>NHWA dataset, 2023</t>
  </si>
  <si>
    <t>Dent-2018;</t>
  </si>
  <si>
    <t>Med-2021; Pharm-2021;Mid-2021; Nur-2021;Biom-2021; others-2021</t>
  </si>
  <si>
    <t>2022 for all</t>
  </si>
  <si>
    <t>2018 dataset</t>
  </si>
  <si>
    <t>Cabo Verde</t>
  </si>
  <si>
    <t>2021 for all</t>
  </si>
  <si>
    <t>Democratic Republic of the Congo</t>
  </si>
  <si>
    <t>Nurs-2022</t>
  </si>
  <si>
    <t>pharmacist from 2018</t>
  </si>
  <si>
    <t xml:space="preserve">HLMA 2023; Ismaila (2023) </t>
  </si>
  <si>
    <t>HLMA data, Dentist-2018; CMHW-2022; Biom -2018;</t>
  </si>
  <si>
    <t>SADC dataset, 2022</t>
  </si>
  <si>
    <t>capacity-HLMA data extracted</t>
  </si>
  <si>
    <t>NHWA dataset, 2023; HLMA dataset, 2019; 2018 survey dataset</t>
  </si>
  <si>
    <t>Med-2021,2022; Nurs-2022; Midw-2022; Other-2021,2022, CHW-2021</t>
  </si>
  <si>
    <t>2030 starategic plan</t>
  </si>
  <si>
    <t>NHWA dataset, 2023; Other and Medical specialist from 2018 Survey dataset</t>
  </si>
  <si>
    <t>other occupations, Medical specialis taken from 2018 survey dataset</t>
  </si>
  <si>
    <t>NHWA dataset, 2023; Zambia HLMA</t>
  </si>
  <si>
    <t>2022 data set for -all</t>
  </si>
  <si>
    <t>iso codes</t>
  </si>
  <si>
    <t>Updated annual graduate</t>
  </si>
  <si>
    <t>Sum of Updated annual graduate</t>
  </si>
  <si>
    <t>Sum of Adjusted 2022</t>
  </si>
  <si>
    <t>(Multiple Items)</t>
  </si>
  <si>
    <t>Sum of Latest count ever reported</t>
  </si>
  <si>
    <t>MAR</t>
  </si>
  <si>
    <t>AFG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</si>
  <si>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</si>
  <si>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</si>
  <si>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</si>
  <si>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</si>
  <si>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</si>
  <si>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</si>
  <si>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</si>
  <si>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</si>
  <si>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</si>
  <si>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BEL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</si>
  <si>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</si>
  <si>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</si>
  <si>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</si>
  <si>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</si>
  <si>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</si>
  <si>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</si>
  <si>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</si>
  <si>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</si>
  <si>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</si>
  <si>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</si>
  <si>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</si>
  <si>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</si>
  <si>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CAN</t>
  </si>
  <si>
    <t>CHE</t>
  </si>
  <si>
    <t>CHL</t>
  </si>
  <si>
    <t>CHN</t>
  </si>
  <si>
    <t>COK</t>
  </si>
  <si>
    <t>COL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</si>
  <si>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</si>
  <si>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</si>
  <si>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</si>
  <si>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</si>
  <si>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</si>
  <si>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</si>
  <si>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</si>
  <si>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</si>
  <si>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</si>
  <si>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ECU</t>
  </si>
  <si>
    <t>EGY</t>
  </si>
  <si>
    <t>ESP</t>
  </si>
  <si>
    <t>EST</t>
  </si>
  <si>
    <t>FIN</t>
  </si>
  <si>
    <t>FJI</t>
  </si>
  <si>
    <t>FRA</t>
  </si>
  <si>
    <t>FSM</t>
  </si>
  <si>
    <t>GBR</t>
  </si>
  <si>
    <t>GEO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</si>
  <si>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</si>
  <si>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</si>
  <si>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</si>
  <si>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</si>
  <si>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</si>
  <si>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</si>
  <si>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</si>
  <si>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</si>
  <si>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</si>
  <si>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</si>
  <si>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</si>
  <si>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</si>
  <si>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</si>
  <si>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</si>
  <si>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</si>
  <si>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</si>
  <si>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</si>
  <si>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</si>
  <si>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</si>
  <si>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</si>
  <si>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KGZ</t>
  </si>
  <si>
    <t>KHM</t>
  </si>
  <si>
    <t>KIR</t>
  </si>
  <si>
    <t>KNA</t>
  </si>
  <si>
    <t>KOR</t>
  </si>
  <si>
    <t>KWT</t>
  </si>
  <si>
    <t>LAO</t>
  </si>
  <si>
    <t>LBN</t>
  </si>
  <si>
    <t>LBY</t>
  </si>
  <si>
    <t>LCA</t>
  </si>
  <si>
    <t>LKA</t>
  </si>
  <si>
    <t>LTU</t>
  </si>
  <si>
    <t>LUX</t>
  </si>
  <si>
    <t>LVA</t>
  </si>
  <si>
    <t>MCO</t>
  </si>
  <si>
    <t>MDA</t>
  </si>
  <si>
    <t>MDV</t>
  </si>
  <si>
    <t>MEX</t>
  </si>
  <si>
    <t>MHL</t>
  </si>
  <si>
    <t>MKD</t>
  </si>
  <si>
    <t>MLT</t>
  </si>
  <si>
    <t>MMR</t>
  </si>
  <si>
    <t>MNE</t>
  </si>
  <si>
    <t>MNG</t>
  </si>
  <si>
    <t>MYS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</si>
  <si>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</si>
  <si>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</si>
  <si>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</si>
  <si>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</si>
  <si>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</si>
  <si>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</si>
  <si>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</si>
  <si>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</si>
  <si>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</si>
  <si>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</si>
  <si>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</si>
  <si>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</si>
  <si>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</si>
  <si>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</si>
  <si>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</si>
  <si>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</si>
  <si>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</si>
  <si>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QAT</t>
  </si>
  <si>
    <t>ROU</t>
  </si>
  <si>
    <t>RUS</t>
  </si>
  <si>
    <t>SAU</t>
  </si>
  <si>
    <t>SDN</t>
  </si>
  <si>
    <t>SGP</t>
  </si>
  <si>
    <t>SLB</t>
  </si>
  <si>
    <t>SLV</t>
  </si>
  <si>
    <t>SOM</t>
  </si>
  <si>
    <t>SRB</t>
  </si>
  <si>
    <t>SUR</t>
  </si>
  <si>
    <t>SVK</t>
  </si>
  <si>
    <t>SVN</t>
  </si>
  <si>
    <t>SWE</t>
  </si>
  <si>
    <t>SYR</t>
  </si>
  <si>
    <t>THA</t>
  </si>
  <si>
    <t>TJK</t>
  </si>
  <si>
    <t>TKM</t>
  </si>
  <si>
    <t>TTO</t>
  </si>
  <si>
    <t>TUN</t>
  </si>
  <si>
    <t>TUR</t>
  </si>
  <si>
    <t>UKR</t>
  </si>
  <si>
    <t>URY</t>
  </si>
  <si>
    <t>USA</t>
  </si>
  <si>
    <t>UZB</t>
  </si>
  <si>
    <t>VCT</t>
  </si>
  <si>
    <t>VEN</t>
  </si>
  <si>
    <t>VNM</t>
  </si>
  <si>
    <t>WSM</t>
  </si>
  <si>
    <t>YEM</t>
  </si>
  <si>
    <t>Migration</t>
  </si>
  <si>
    <t>Migration Factor</t>
  </si>
  <si>
    <t>Trajectory</t>
  </si>
  <si>
    <t>Doctors Migration to Stock</t>
  </si>
  <si>
    <t>Doctors Above 55 year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</si>
</sst>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_-* #,##0.0000_-;\-* #,##0.0000_-;_-* &quot;-&quot;??_-;_-@_-"/>
    <numFmt numFmtId="167" formatCode="_-* #,##0.00000_-;\-* #,##0.00000_-;_-* &quot;-&quot;??_-;_-@_-"/>
    <numFmt numFmtId="168" formatCode="0.000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1"/>
      <color theme="1"/>
      <name val="Arial Nov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sz val="8"/>
      <name val="Calibri"/>
      <family val="2"/>
      <scheme val="minor"/>
    </font>
    <font>
      <b/>
      <sz val="11"/>
      <color rgb="FFFF000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0" xfId="0" applyAlignment="1">
      <alignment wrapText="1"/>
    </xf>
    <xf numFmtId="10" fontId="0" fillId="0" borderId="0" xfId="2" applyNumberFormat="1" applyFont="1"/>
    <xf numFmtId="0" fontId="4" fillId="0" borderId="0" xfId="0" applyFont="1"/>
    <xf numFmtId="0" fontId="5" fillId="0" borderId="1" xfId="0" applyFont="1" applyBorder="1"/>
    <xf numFmtId="0" fontId="6" fillId="2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5" fillId="0" borderId="1" xfId="0" applyFont="1" applyBorder="1" applyAlignment="1">
      <alignment horizontal="left"/>
    </xf>
    <xf numFmtId="164" fontId="5" fillId="3" borderId="1" xfId="0" applyNumberFormat="1" applyFont="1" applyFill="1" applyBorder="1"/>
    <xf numFmtId="164" fontId="7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164" fontId="6" fillId="4" borderId="1" xfId="0" applyNumberFormat="1" applyFont="1" applyFill="1" applyBorder="1"/>
    <xf numFmtId="0" fontId="7" fillId="0" borderId="1" xfId="0" applyFont="1" applyBorder="1" applyAlignment="1">
      <alignment horizontal="left"/>
    </xf>
    <xf numFmtId="0" fontId="5" fillId="0" borderId="0" xfId="0" applyFont="1"/>
    <xf numFmtId="165" fontId="5" fillId="0" borderId="1" xfId="0" applyNumberFormat="1" applyFont="1" applyBorder="1"/>
    <xf numFmtId="164" fontId="5" fillId="0" borderId="1" xfId="1" applyNumberFormat="1" applyFont="1" applyBorder="1"/>
    <xf numFmtId="165" fontId="5" fillId="0" borderId="1" xfId="2" applyNumberFormat="1" applyFont="1" applyBorder="1"/>
    <xf numFmtId="0" fontId="10" fillId="5" borderId="1" xfId="0" applyFont="1" applyFill="1" applyBorder="1" applyAlignment="1">
      <alignment wrapText="1"/>
    </xf>
    <xf numFmtId="0" fontId="5" fillId="0" borderId="13" xfId="0" applyFont="1" applyBorder="1" applyAlignment="1">
      <alignment horizontal="left"/>
    </xf>
    <xf numFmtId="0" fontId="9" fillId="2" borderId="1" xfId="0" applyFont="1" applyFill="1" applyBorder="1" applyAlignment="1">
      <alignment wrapText="1"/>
    </xf>
    <xf numFmtId="43" fontId="5" fillId="0" borderId="1" xfId="0" applyNumberFormat="1" applyFont="1" applyBorder="1"/>
    <xf numFmtId="0" fontId="7" fillId="0" borderId="1" xfId="0" applyFont="1" applyBorder="1"/>
    <xf numFmtId="0" fontId="10" fillId="5" borderId="14" xfId="0" applyFont="1" applyFill="1" applyBorder="1" applyAlignment="1">
      <alignment wrapText="1"/>
    </xf>
    <xf numFmtId="0" fontId="9" fillId="5" borderId="15" xfId="0" applyFont="1" applyFill="1" applyBorder="1" applyAlignment="1">
      <alignment wrapText="1"/>
    </xf>
    <xf numFmtId="164" fontId="5" fillId="0" borderId="1" xfId="0" applyNumberFormat="1" applyFont="1" applyBorder="1"/>
    <xf numFmtId="0" fontId="6" fillId="0" borderId="1" xfId="0" applyFont="1" applyBorder="1" applyAlignment="1">
      <alignment horizontal="left"/>
    </xf>
    <xf numFmtId="165" fontId="6" fillId="0" borderId="1" xfId="0" applyNumberFormat="1" applyFont="1" applyBorder="1"/>
    <xf numFmtId="164" fontId="6" fillId="0" borderId="1" xfId="1" applyNumberFormat="1" applyFont="1" applyBorder="1"/>
    <xf numFmtId="0" fontId="6" fillId="0" borderId="1" xfId="0" applyFont="1" applyBorder="1"/>
    <xf numFmtId="43" fontId="6" fillId="0" borderId="1" xfId="0" applyNumberFormat="1" applyFont="1" applyBorder="1"/>
    <xf numFmtId="164" fontId="6" fillId="0" borderId="1" xfId="0" applyNumberFormat="1" applyFont="1" applyBorder="1"/>
    <xf numFmtId="0" fontId="6" fillId="0" borderId="0" xfId="0" applyFont="1"/>
    <xf numFmtId="164" fontId="5" fillId="5" borderId="1" xfId="1" applyNumberFormat="1" applyFont="1" applyFill="1" applyBorder="1"/>
    <xf numFmtId="164" fontId="5" fillId="5" borderId="1" xfId="1" applyNumberFormat="1" applyFont="1" applyFill="1" applyBorder="1" applyAlignment="1">
      <alignment vertical="center"/>
    </xf>
    <xf numFmtId="164" fontId="6" fillId="5" borderId="1" xfId="1" applyNumberFormat="1" applyFont="1" applyFill="1" applyBorder="1"/>
    <xf numFmtId="0" fontId="11" fillId="5" borderId="1" xfId="0" applyFont="1" applyFill="1" applyBorder="1" applyAlignment="1">
      <alignment wrapText="1"/>
    </xf>
    <xf numFmtId="164" fontId="7" fillId="5" borderId="1" xfId="1" applyNumberFormat="1" applyFont="1" applyFill="1" applyBorder="1"/>
    <xf numFmtId="167" fontId="5" fillId="0" borderId="0" xfId="0" applyNumberFormat="1" applyFont="1"/>
    <xf numFmtId="164" fontId="5" fillId="0" borderId="0" xfId="1" applyNumberFormat="1" applyFont="1"/>
    <xf numFmtId="0" fontId="5" fillId="0" borderId="0" xfId="0" applyFont="1" applyAlignment="1">
      <alignment wrapText="1"/>
    </xf>
    <xf numFmtId="164" fontId="6" fillId="0" borderId="0" xfId="1" applyNumberFormat="1" applyFont="1"/>
    <xf numFmtId="9" fontId="5" fillId="0" borderId="0" xfId="2" applyFont="1"/>
    <xf numFmtId="164" fontId="7" fillId="0" borderId="1" xfId="0" applyNumberFormat="1" applyFont="1" applyBorder="1"/>
    <xf numFmtId="168" fontId="5" fillId="0" borderId="0" xfId="2" applyNumberFormat="1" applyFont="1"/>
    <xf numFmtId="165" fontId="5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distribution'!$A$2</c:f>
              <c:strCache>
                <c:ptCount val="1"/>
                <c:pt idx="0">
                  <c:v>AFRO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distribution'!$B$2:$G$2</c:f>
              <c:numCache>
                <c:formatCode>0.00%</c:formatCode>
                <c:ptCount val="6"/>
                <c:pt idx="0">
                  <c:v>1.0147857047578982E-2</c:v>
                </c:pt>
                <c:pt idx="1">
                  <c:v>0.36773412409320844</c:v>
                </c:pt>
                <c:pt idx="2">
                  <c:v>0.36325018725823166</c:v>
                </c:pt>
                <c:pt idx="3">
                  <c:v>0.1737756389866508</c:v>
                </c:pt>
                <c:pt idx="4">
                  <c:v>6.744374557506233E-2</c:v>
                </c:pt>
                <c:pt idx="5">
                  <c:v>1.7648447039267795E-2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C-4C02-84E6-2434320661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distribution'!$A$3</c:f>
              <c:strCache>
                <c:ptCount val="1"/>
                <c:pt idx="0">
                  <c:v>BFA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distribution'!$B$3:$G$3</c:f>
              <c:numCache>
                <c:formatCode>0.00%</c:formatCode>
                <c:ptCount val="6"/>
                <c:pt idx="0">
                  <c:v>0</c:v>
                </c:pt>
                <c:pt idx="1">
                  <c:v>0.4797639123102867</c:v>
                </c:pt>
                <c:pt idx="2">
                  <c:v>0.45868465430016864</c:v>
                </c:pt>
                <c:pt idx="3">
                  <c:v>4.7217537942664416E-2</c:v>
                </c:pt>
                <c:pt idx="4">
                  <c:v>1.3912310286677909E-2</c:v>
                </c:pt>
                <c:pt idx="5">
                  <c:v>4.2158516020236085E-4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4-4FA0-9A7F-B6D43BB8C5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distribution'!$A$4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distribution'!$B$4:$G$4</c:f>
              <c:numCache>
                <c:formatCode>0.00%</c:formatCode>
                <c:ptCount val="6"/>
                <c:pt idx="0">
                  <c:v>0</c:v>
                </c:pt>
                <c:pt idx="1">
                  <c:v>0.48640483383685801</c:v>
                </c:pt>
                <c:pt idx="2">
                  <c:v>0.3252769385699899</c:v>
                </c:pt>
                <c:pt idx="3">
                  <c:v>0.12185297079556898</c:v>
                </c:pt>
                <c:pt idx="4">
                  <c:v>5.2366565961732128E-2</c:v>
                </c:pt>
                <c:pt idx="5">
                  <c:v>1.4098690835850957E-2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2-420B-BF5A-75A54A2B0D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distribution'!$A$5</c:f>
              <c:strCache>
                <c:ptCount val="1"/>
                <c:pt idx="0">
                  <c:v>CIV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distribution'!$B$5:$G$5</c:f>
              <c:numCache>
                <c:formatCode>0.00%</c:formatCode>
                <c:ptCount val="6"/>
                <c:pt idx="0">
                  <c:v>0</c:v>
                </c:pt>
                <c:pt idx="1">
                  <c:v>0.18665043619395416</c:v>
                </c:pt>
                <c:pt idx="2">
                  <c:v>0.3564617569486711</c:v>
                </c:pt>
                <c:pt idx="3">
                  <c:v>0.32116047879894499</c:v>
                </c:pt>
                <c:pt idx="4">
                  <c:v>0.12984378170014202</c:v>
                </c:pt>
                <c:pt idx="5">
                  <c:v>5.883546358287685E-3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0-4157-9417-DB94164CA1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distribution'!$A$6</c:f>
              <c:strCache>
                <c:ptCount val="1"/>
                <c:pt idx="0">
                  <c:v>CMR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distribution'!$B$6:$G$6</c:f>
              <c:numCache>
                <c:formatCode>0.00%</c:formatCode>
                <c:ptCount val="6"/>
                <c:pt idx="0">
                  <c:v>3.9872408293460922E-3</c:v>
                </c:pt>
                <c:pt idx="1">
                  <c:v>0.50212652844231787</c:v>
                </c:pt>
                <c:pt idx="2">
                  <c:v>0.32961190855927697</c:v>
                </c:pt>
                <c:pt idx="3">
                  <c:v>0.12068048910154174</c:v>
                </c:pt>
                <c:pt idx="4">
                  <c:v>4.1467304625199361E-2</c:v>
                </c:pt>
                <c:pt idx="5">
                  <c:v>2.1265284423179162E-3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C-49DF-B594-2B032C722C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distribution'!$A$7</c:f>
              <c:strCache>
                <c:ptCount val="1"/>
                <c:pt idx="0">
                  <c:v>COG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distribution'!$B$7:$G$7</c:f>
              <c:numCache>
                <c:formatCode>0.00%</c:formatCode>
                <c:ptCount val="6"/>
                <c:pt idx="0">
                  <c:v>0</c:v>
                </c:pt>
                <c:pt idx="1">
                  <c:v>0.44529750479846447</c:v>
                </c:pt>
                <c:pt idx="2">
                  <c:v>0.29942418426103645</c:v>
                </c:pt>
                <c:pt idx="3">
                  <c:v>0.11612284069097889</c:v>
                </c:pt>
                <c:pt idx="4">
                  <c:v>0.13147792706333974</c:v>
                </c:pt>
                <c:pt idx="5">
                  <c:v>7.677543186180422E-3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6-4F90-A1BE-6F7084B612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distribution'!$A$8</c:f>
              <c:strCache>
                <c:ptCount val="1"/>
                <c:pt idx="0">
                  <c:v>CPV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distribution'!$B$8:$G$8</c:f>
              <c:numCache>
                <c:formatCode>0.00%</c:formatCode>
                <c:ptCount val="6"/>
                <c:pt idx="0">
                  <c:v>4.1603630862329802E-3</c:v>
                </c:pt>
                <c:pt idx="1">
                  <c:v>0.20385779122541603</c:v>
                </c:pt>
                <c:pt idx="2">
                  <c:v>0.30295007564296522</c:v>
                </c:pt>
                <c:pt idx="3">
                  <c:v>0.26966717095310139</c:v>
                </c:pt>
                <c:pt idx="4">
                  <c:v>0.17095310136157338</c:v>
                </c:pt>
                <c:pt idx="5">
                  <c:v>4.8411497730711045E-2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C-4E98-84EC-66A6664C7E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distribution'!$A$10</c:f>
              <c:strCache>
                <c:ptCount val="1"/>
                <c:pt idx="0">
                  <c:v>GAB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distribution'!$B$10:$G$10</c:f>
              <c:numCache>
                <c:formatCode>0.00%</c:formatCode>
                <c:ptCount val="6"/>
                <c:pt idx="0">
                  <c:v>0</c:v>
                </c:pt>
                <c:pt idx="1">
                  <c:v>0.21811785400175901</c:v>
                </c:pt>
                <c:pt idx="2">
                  <c:v>0.22691292875989447</c:v>
                </c:pt>
                <c:pt idx="3">
                  <c:v>0.33333333333333331</c:v>
                </c:pt>
                <c:pt idx="4">
                  <c:v>0.19700967458223395</c:v>
                </c:pt>
                <c:pt idx="5">
                  <c:v>2.4626209322779244E-2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1-4B29-A33A-E4FEED9B70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distribution'!$A$11</c:f>
              <c:strCache>
                <c:ptCount val="1"/>
                <c:pt idx="0">
                  <c:v>GHA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distribution'!$B$11:$G$11</c:f>
              <c:numCache>
                <c:formatCode>0.00%</c:formatCode>
                <c:ptCount val="6"/>
                <c:pt idx="0">
                  <c:v>4.5892611289582378E-4</c:v>
                </c:pt>
                <c:pt idx="1">
                  <c:v>0.39352914180816889</c:v>
                </c:pt>
                <c:pt idx="2">
                  <c:v>0.4456172556218449</c:v>
                </c:pt>
                <c:pt idx="3">
                  <c:v>0.11748508490133089</c:v>
                </c:pt>
                <c:pt idx="4">
                  <c:v>4.2221202386415788E-2</c:v>
                </c:pt>
                <c:pt idx="5">
                  <c:v>6.8838916934373562E-4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B-4D1A-8C0A-A35C2D63EE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distribution'!$A$12</c:f>
              <c:strCache>
                <c:ptCount val="1"/>
                <c:pt idx="0">
                  <c:v>GNB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distribution'!$B$12:$G$12</c:f>
              <c:numCache>
                <c:formatCode>0.00%</c:formatCode>
                <c:ptCount val="6"/>
                <c:pt idx="0">
                  <c:v>0</c:v>
                </c:pt>
                <c:pt idx="1">
                  <c:v>0.52402745995423339</c:v>
                </c:pt>
                <c:pt idx="2">
                  <c:v>0.32723112128146453</c:v>
                </c:pt>
                <c:pt idx="3">
                  <c:v>9.3821510297482841E-2</c:v>
                </c:pt>
                <c:pt idx="4">
                  <c:v>4.3478260869565216E-2</c:v>
                </c:pt>
                <c:pt idx="5">
                  <c:v>1.1441647597254004E-2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C-494E-A161-AC3B77B43C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distribution'!$A$13</c:f>
              <c:strCache>
                <c:ptCount val="1"/>
                <c:pt idx="0">
                  <c:v>KEN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distribution'!$B$13:$G$13</c:f>
              <c:numCache>
                <c:formatCode>0.00%</c:formatCode>
                <c:ptCount val="6"/>
                <c:pt idx="0">
                  <c:v>9.1008372770294869E-4</c:v>
                </c:pt>
                <c:pt idx="1">
                  <c:v>0.29122679286494357</c:v>
                </c:pt>
                <c:pt idx="2">
                  <c:v>0.49126319621405168</c:v>
                </c:pt>
                <c:pt idx="3">
                  <c:v>0.17127775755369495</c:v>
                </c:pt>
                <c:pt idx="4">
                  <c:v>4.4230069166363309E-2</c:v>
                </c:pt>
                <c:pt idx="5">
                  <c:v>1.0921004732435385E-3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0-47D1-AC15-6E04148472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distribution'!$A$216</c:f>
              <c:strCache>
                <c:ptCount val="1"/>
                <c:pt idx="0">
                  <c:v>High/Upper-Middle-Income Economies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distribution'!$B$215:$G$215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distribution'!$B$216:$G$216</c:f>
              <c:numCache>
                <c:formatCode>0.00%</c:formatCode>
                <c:ptCount val="6"/>
                <c:pt idx="0">
                  <c:v>0</c:v>
                </c:pt>
                <c:pt idx="1">
                  <c:v>0.28747247489357414</c:v>
                </c:pt>
                <c:pt idx="2">
                  <c:v>0.27178258735557548</c:v>
                </c:pt>
                <c:pt idx="3">
                  <c:v>0.25114397272132999</c:v>
                </c:pt>
                <c:pt idx="4">
                  <c:v>0.13575699246202377</c:v>
                </c:pt>
                <c:pt idx="5">
                  <c:v>5.3843972567496616E-2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C-4EFA-8A97-F7D5F5B79211}"/>
            </c:ext>
          </c:extLst>
        </c:ser>
        <c:ser>
          <c:idx val="1"/>
          <c:order val="1"/>
          <c:tx>
            <c:strRef>
              <c:f>'Doctors distribution'!$A$217</c:f>
              <c:strCache>
                <c:ptCount val="1"/>
                <c:pt idx="0">
                  <c:v>Lower-Middle-Income Economies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distribution'!$B$215:$G$215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distribution'!$B$217:$G$217</c:f>
              <c:numCache>
                <c:formatCode>0.00%</c:formatCode>
                <c:ptCount val="6"/>
                <c:pt idx="0">
                  <c:v>9.6273049759095664E-3</c:v>
                </c:pt>
                <c:pt idx="1">
                  <c:v>0.3275992964925577</c:v>
                </c:pt>
                <c:pt idx="2">
                  <c:v>0.38621639847768657</c:v>
                </c:pt>
                <c:pt idx="3">
                  <c:v>0.17590959830524627</c:v>
                </c:pt>
                <c:pt idx="4">
                  <c:v>8.0800436018606592E-2</c:v>
                </c:pt>
                <c:pt idx="5">
                  <c:v>1.9846965729993234E-2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C-4EFA-8A97-F7D5F5B79211}"/>
            </c:ext>
          </c:extLst>
        </c:ser>
        <c:ser>
          <c:idx val="2"/>
          <c:order val="2"/>
          <c:tx>
            <c:strRef>
              <c:f>'Doctors distribution'!$A$218</c:f>
              <c:strCache>
                <c:ptCount val="1"/>
                <c:pt idx="0">
                  <c:v>Low-Income Economies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distribution'!$B$215:$G$215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distribution'!$B$218:$G$218</c:f>
              <c:numCache>
                <c:formatCode>0.00%</c:formatCode>
                <c:ptCount val="6"/>
                <c:pt idx="0">
                  <c:v>8.4136314403189787E-3</c:v>
                </c:pt>
                <c:pt idx="1">
                  <c:v>0.4783415903533122</c:v>
                </c:pt>
                <c:pt idx="2">
                  <c:v>0.34535536267218658</c:v>
                </c:pt>
                <c:pt idx="3">
                  <c:v>0.1147456275792092</c:v>
                </c:pt>
                <c:pt idx="4">
                  <c:v>4.184484163081776E-2</c:v>
                </c:pt>
                <c:pt idx="5">
                  <c:v>1.1298946324155327E-2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C-4EFA-8A97-F7D5F5B79211}"/>
            </c:ext>
          </c:extLst>
        </c:ser>
        <c:ser>
          <c:idx val="3"/>
          <c:order val="3"/>
          <c:tx>
            <c:strRef>
              <c:f>'Doctors distribution'!$A$219</c:f>
              <c:strCache>
                <c:ptCount val="1"/>
                <c:pt idx="0">
                  <c:v>AFRO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distribution'!$B$215:$G$215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distribution'!$B$219:$G$219</c:f>
              <c:numCache>
                <c:formatCode>0.00%</c:formatCode>
                <c:ptCount val="6"/>
                <c:pt idx="0">
                  <c:v>1.0147857047578982E-2</c:v>
                </c:pt>
                <c:pt idx="1">
                  <c:v>0.36773412409320844</c:v>
                </c:pt>
                <c:pt idx="2">
                  <c:v>0.36325018725823166</c:v>
                </c:pt>
                <c:pt idx="3">
                  <c:v>0.1737756389866508</c:v>
                </c:pt>
                <c:pt idx="4">
                  <c:v>6.744374557506233E-2</c:v>
                </c:pt>
                <c:pt idx="5">
                  <c:v>1.7648447039267795E-2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6C-4EFA-8A97-F7D5F5B792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5256752"/>
        <c:axId val="316965056"/>
      </c:barChart>
      <c:catAx>
        <c:axId val="31525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65056"/>
        <c:crosses val="autoZero"/>
        <c:auto val="1"/>
        <c:lblAlgn val="ctr"/>
        <c:lblOffset val="100"/>
        <c:noMultiLvlLbl val="0"/>
      </c:catAx>
      <c:valAx>
        <c:axId val="31696505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525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/>
              <a:t>AFRO- Medical doctors n years from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'Total medical doctors'!$U$49:$AB$49</c:f>
              <c:numCache>
                <c:formatCode>_-* #,##0_-;\-* #,##0_-;_-* "-"??_-;_-@_-</c:formatCode>
                <c:ptCount val="8"/>
                <c:pt idx="0">
                  <c:v>378156.99576879339</c:v>
                </c:pt>
                <c:pt idx="1">
                  <c:v>398210.221495668</c:v>
                </c:pt>
                <c:pt idx="2">
                  <c:v>418135.77581786987</c:v>
                </c:pt>
                <c:pt idx="3">
                  <c:v>437934.86450536526</c:v>
                </c:pt>
                <c:pt idx="4">
                  <c:v>457608.67795580009</c:v>
                </c:pt>
                <c:pt idx="5">
                  <c:v>477158.39142479171</c:v>
                </c:pt>
                <c:pt idx="6">
                  <c:v>496585.16525251494</c:v>
                </c:pt>
                <c:pt idx="7">
                  <c:v>515890.14508664981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E9-4824-A826-D02972C3F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96272"/>
        <c:axId val="470074960"/>
      </c:scatterChart>
      <c:valAx>
        <c:axId val="20349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470074960"/>
        <c:crosses val="autoZero"/>
        <c:crossBetween val="midCat"/>
      </c:valAx>
      <c:valAx>
        <c:axId val="47007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0349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307974</xdr:colOff>
      <xdr:row>2</xdr:row>
      <xdr:rowOff>0</xdr:rowOff>
    </xdr:from>
    <xdr:to>
      <xdr:col>20</xdr:col>
      <xdr:colOff>114300</xdr:colOff>
      <xdr:row>18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CB8373-3A71-6F25-5B65-9BCDD5690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19</xdr:col>
      <xdr:colOff>415926</xdr:colOff>
      <xdr:row>36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543EA8-2E6A-4AA0-BE1B-07FF9060C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20</xdr:col>
      <xdr:colOff>158750</xdr:colOff>
      <xdr:row>56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B43DB3-02FB-4ACD-826C-1166D0132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59</xdr:row>
      <xdr:rowOff>0</xdr:rowOff>
    </xdr:from>
    <xdr:to>
      <xdr:col>20</xdr:col>
      <xdr:colOff>158750</xdr:colOff>
      <xdr:row>76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24A35C-9707-4695-B0DD-13CCA5013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78</xdr:row>
      <xdr:rowOff>0</xdr:rowOff>
    </xdr:from>
    <xdr:to>
      <xdr:col>20</xdr:col>
      <xdr:colOff>158750</xdr:colOff>
      <xdr:row>95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796217-B6F8-4C46-BBC0-8CB3E3D42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98</xdr:row>
      <xdr:rowOff>0</xdr:rowOff>
    </xdr:from>
    <xdr:to>
      <xdr:col>20</xdr:col>
      <xdr:colOff>158750</xdr:colOff>
      <xdr:row>115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6F5F04-BABB-4B58-9840-5C2B4EB9D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119</xdr:row>
      <xdr:rowOff>0</xdr:rowOff>
    </xdr:from>
    <xdr:to>
      <xdr:col>20</xdr:col>
      <xdr:colOff>158750</xdr:colOff>
      <xdr:row>136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8633A52-1982-466A-B618-F4C8DAC08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139</xdr:row>
      <xdr:rowOff>0</xdr:rowOff>
    </xdr:from>
    <xdr:to>
      <xdr:col>20</xdr:col>
      <xdr:colOff>158750</xdr:colOff>
      <xdr:row>156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94EC16-BEB5-4EE7-BBE2-DA8AB1CE6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159</xdr:row>
      <xdr:rowOff>0</xdr:rowOff>
    </xdr:from>
    <xdr:to>
      <xdr:col>20</xdr:col>
      <xdr:colOff>158750</xdr:colOff>
      <xdr:row>176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A753DC-1FF3-4D6C-8B1F-361F8986B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178</xdr:row>
      <xdr:rowOff>0</xdr:rowOff>
    </xdr:from>
    <xdr:to>
      <xdr:col>20</xdr:col>
      <xdr:colOff>158750</xdr:colOff>
      <xdr:row>195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37A6A24-0130-45A3-8CFA-642EA16BA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198</xdr:row>
      <xdr:rowOff>0</xdr:rowOff>
    </xdr:from>
    <xdr:to>
      <xdr:col>20</xdr:col>
      <xdr:colOff>158750</xdr:colOff>
      <xdr:row>215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062971-9EE9-4658-B5A0-261E09B88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314324</xdr:colOff>
      <xdr:row>222</xdr:row>
      <xdr:rowOff>95250</xdr:rowOff>
    </xdr:from>
    <xdr:to>
      <xdr:col>18</xdr:col>
      <xdr:colOff>228600</xdr:colOff>
      <xdr:row>249</xdr:row>
      <xdr:rowOff>25400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80A6DDC-C01C-93E5-52FF-4591EE116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121227</xdr:colOff>
      <xdr:row>58</xdr:row>
      <xdr:rowOff>101600</xdr:rowOff>
    </xdr:from>
    <xdr:to>
      <xdr:col>28</xdr:col>
      <xdr:colOff>0</xdr:colOff>
      <xdr:row>75</xdr:row>
      <xdr:rowOff>23091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5AE81-10ED-605F-B7ED-451409064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3.004811805557" createdVersion="8" refreshedVersion="8" minRefreshableVersion="3" recordCount="60" xr:uid="{294CCA42-39C1-4709-96CF-0685169FC82F}">
  <cacheSource type="worksheet">
    <worksheetSource ref="A1:A1048576" sheet="available"/>
  </cacheSource>
  <cacheFields count="6">
    <cacheField name="2018" numFmtId="0">
      <sharedItems containsBlank="1"/>
    </cacheField>
    <cacheField name="2019" numFmtId="0">
      <sharedItems containsBlank="1" count="9">
        <m/>
        <s v="BDI"/>
        <s v="BFA"/>
        <s v="BWA"/>
        <s v="GAB"/>
        <s v="GHA"/>
        <s v="MOZ"/>
        <s v="SEN"/>
        <s v="TCD"/>
      </sharedItems>
    </cacheField>
    <cacheField name="2020" numFmtId="0">
      <sharedItems containsBlank="1" count="12">
        <m/>
        <s v="BFA"/>
        <s v="BWA"/>
        <s v="CMR"/>
        <s v="GAB"/>
        <s v="GNB"/>
        <s v="KEN"/>
        <s v="MOZ"/>
        <s v="MWI"/>
        <s v="SEN"/>
        <s v="SLE"/>
        <s v="TCD"/>
      </sharedItems>
    </cacheField>
    <cacheField name="2021" numFmtId="0">
      <sharedItems containsBlank="1" count="11">
        <m/>
        <s v="BEN"/>
        <s v="BFA"/>
        <s v="BWA"/>
        <s v="CMR"/>
        <s v="GHA"/>
        <s v="GNB"/>
        <s v="KEN"/>
        <s v="MOZ"/>
        <s v="SEN"/>
        <s v="TCD"/>
      </sharedItems>
    </cacheField>
    <cacheField name="2022" numFmtId="0">
      <sharedItems containsBlank="1"/>
    </cacheField>
    <cacheField name="Country" numFmtId="0">
      <sharedItems containsBlank="1" count="48">
        <s v="AGO"/>
        <s v="BDI"/>
        <s v="BEN"/>
        <s v="BFA"/>
        <s v="BWA"/>
        <s v="CAF"/>
        <s v="CIV"/>
        <s v="CMR"/>
        <s v="COD"/>
        <s v="COG"/>
        <s v="COM"/>
        <s v="CPV"/>
        <s v="DZA"/>
        <s v="ERI"/>
        <s v="ETH"/>
        <s v="GAB"/>
        <s v="GHA"/>
        <s v="GIN"/>
        <s v="GMB"/>
        <s v="GNB"/>
        <s v="GNQ"/>
        <s v="KEN"/>
        <s v="LBR"/>
        <s v="LSO"/>
        <s v="MDG"/>
        <s v="MLI"/>
        <s v="MOZ"/>
        <s v="MRT"/>
        <s v="MUS"/>
        <s v="MWI"/>
        <s v="NAM"/>
        <s v="NER"/>
        <s v="NGA"/>
        <s v="RWA"/>
        <s v="SEN"/>
        <s v="SLE"/>
        <s v="SSD"/>
        <s v="STP"/>
        <s v="SWZ"/>
        <s v="SYC"/>
        <s v="TCD"/>
        <s v="TGO"/>
        <s v="TZA"/>
        <s v="UGA"/>
        <s v="ZAF"/>
        <s v="ZMB"/>
        <s v="ZW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3.007770138887" createdVersion="8" refreshedVersion="8" minRefreshableVersion="3" recordCount="21" xr:uid="{E3152813-E1A6-48E8-B5C0-6997D86DAF43}">
  <cacheSource type="worksheet">
    <worksheetSource ref="A2:E23" sheet="available"/>
  </cacheSource>
  <cacheFields count="5">
    <cacheField name="2018" numFmtId="0">
      <sharedItems containsBlank="1" count="20">
        <s v="BEN"/>
        <s v="BWA"/>
        <s v="CIV"/>
        <s v="CPV"/>
        <s v="DZA"/>
        <s v="ERI"/>
        <s v="GHA"/>
        <s v="KEN"/>
        <s v="MDG"/>
        <s v="MOZ"/>
        <s v="MWI"/>
        <s v="SLE"/>
        <s v="SWZ"/>
        <s v="SYC"/>
        <s v="TGO"/>
        <s v="UGA"/>
        <s v="ZAF"/>
        <s v="ZMB"/>
        <s v="ZWE"/>
        <m/>
      </sharedItems>
    </cacheField>
    <cacheField name="2019" numFmtId="0">
      <sharedItems containsBlank="1" count="9">
        <s v="BDI"/>
        <s v="BFA"/>
        <s v="BWA"/>
        <s v="GAB"/>
        <s v="GHA"/>
        <s v="MOZ"/>
        <s v="SEN"/>
        <s v="TCD"/>
        <m/>
      </sharedItems>
    </cacheField>
    <cacheField name="2020" numFmtId="0">
      <sharedItems containsBlank="1"/>
    </cacheField>
    <cacheField name="2021" numFmtId="0">
      <sharedItems containsBlank="1"/>
    </cacheField>
    <cacheField name="202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4.423390046293" createdVersion="8" refreshedVersion="8" minRefreshableVersion="3" recordCount="25" xr:uid="{B8E47832-5EF6-4998-8FA8-3633F5463292}">
  <cacheSource type="worksheet">
    <worksheetSource ref="A1:H26" sheet="Med 1"/>
  </cacheSource>
  <cacheFields count="8">
    <cacheField name="Country" numFmtId="0">
      <sharedItems/>
    </cacheField>
    <cacheField name="Medical Doctors Stock By Age Group &lt; 25 yrs" numFmtId="10">
      <sharedItems containsSemiMixedTypes="0" containsString="0" containsNumber="1" minValue="0" maxValue="8.2034047710869931E-2"/>
    </cacheField>
    <cacheField name="Medical Doctors Stock By Age Group 25-34 yrs" numFmtId="10">
      <sharedItems containsSemiMixedTypes="0" containsString="0" containsNumber="1" minValue="0.14374225526641884" maxValue="1"/>
    </cacheField>
    <cacheField name="Medical Doctors Stock By Age Group 35-44 yrs" numFmtId="10">
      <sharedItems containsSemiMixedTypes="0" containsString="0" containsNumber="1" minValue="0" maxValue="0.85625774473358118"/>
    </cacheField>
    <cacheField name="Medical Doctors Stock By Age Group 45-54 yrs" numFmtId="10">
      <sharedItems containsSemiMixedTypes="0" containsString="0" containsNumber="1" minValue="0" maxValue="0.43020679468242246"/>
    </cacheField>
    <cacheField name="Medical Doctors Stock By Age Group 55-64 yrs" numFmtId="10">
      <sharedItems containsSemiMixedTypes="0" containsString="0" containsNumber="1" minValue="0" maxValue="0.19700967458223395"/>
    </cacheField>
    <cacheField name="Medical Doctors Stock By Age Group ≥ 65 yrs" numFmtId="10">
      <sharedItems containsSemiMixedTypes="0" containsString="0" containsNumber="1" minValue="0" maxValue="0.12280701754385964"/>
    </cacheField>
    <cacheField name="Income" numFmtId="0">
      <sharedItems containsBlank="1" count="4">
        <m/>
        <s v="Low-Income Economies"/>
        <s v="High/Upper-Middle-Income Economies "/>
        <s v="Lower-Middle-Income Econom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4.63918784722" createdVersion="8" refreshedVersion="8" minRefreshableVersion="3" recordCount="48" xr:uid="{0E5FCBE1-F819-41C3-9515-C198CE2426D2}">
  <cacheSource type="worksheet">
    <worksheetSource ref="A1:AD49" sheet="Total medical doctors"/>
  </cacheSource>
  <cacheFields count="29">
    <cacheField name="Country" numFmtId="0">
      <sharedItems/>
    </cacheField>
    <cacheField name="Country code" numFmtId="0">
      <sharedItems/>
    </cacheField>
    <cacheField name="income level" numFmtId="0">
      <sharedItems containsBlank="1" count="4">
        <s v="Lower-Middle-Income Economies"/>
        <s v="High/Upper-Middle-Income Economies "/>
        <s v="Low-Income Economies"/>
        <m/>
      </sharedItems>
    </cacheField>
    <cacheField name="2013" numFmtId="164">
      <sharedItems containsSemiMixedTypes="0" containsString="0" containsNumber="1" containsInteger="1" minValue="0" maxValue="115272"/>
    </cacheField>
    <cacheField name="2018" numFmtId="164">
      <sharedItems containsSemiMixedTypes="0" containsString="0" containsNumber="1" containsInteger="1" minValue="60" maxValue="339167"/>
    </cacheField>
    <cacheField name="Adjusted 2022" numFmtId="164">
      <sharedItems containsSemiMixedTypes="0" containsString="0" containsNumber="1" minValue="105" maxValue="339063.33331175643"/>
    </cacheField>
    <cacheField name="Medical Doctors Stock By Age Group &lt; 25 yrs (prop)" numFmtId="165">
      <sharedItems containsSemiMixedTypes="0" containsString="0" containsNumber="1" minValue="0" maxValue="8.2034047710869931E-2"/>
    </cacheField>
    <cacheField name="Medical Doctors Stock By Age Group 25-34 yrs (prop)" numFmtId="165">
      <sharedItems containsSemiMixedTypes="0" containsString="0" containsNumber="1" minValue="0.14374225526641884" maxValue="1"/>
    </cacheField>
    <cacheField name="Medical Doctors Stock By Age Group 35-44 yrs (prop)" numFmtId="165">
      <sharedItems containsSemiMixedTypes="0" containsString="0" containsNumber="1" minValue="0" maxValue="0.85625774473358118"/>
    </cacheField>
    <cacheField name="Medical Doctors Stock By Age Group 45-54 yrs (prop)" numFmtId="165">
      <sharedItems containsSemiMixedTypes="0" containsString="0" containsNumber="1" minValue="0" maxValue="0.43020679468242246"/>
    </cacheField>
    <cacheField name="Medical Doctors Stock By Age Group 55-64 yrs (prop)" numFmtId="165">
      <sharedItems containsSemiMixedTypes="0" containsString="0" containsNumber="1" minValue="0" maxValue="0.19700967458223395"/>
    </cacheField>
    <cacheField name="Medical Doctors Stock By Age Group ≥ 65 yrs (prop)" numFmtId="165">
      <sharedItems containsSemiMixedTypes="0" containsString="0" containsNumber="1" minValue="0" maxValue="0.12280701754385964"/>
    </cacheField>
    <cacheField name="Medical Doctors Stock By Age Group &lt; 25 yrs (prop)2" numFmtId="164">
      <sharedItems containsSemiMixedTypes="0" containsString="0" containsNumber="1" minValue="0" maxValue="3940.4090383691109"/>
    </cacheField>
    <cacheField name="Medical Doctors Stock By Age Group 25-34 yrs" numFmtId="164">
      <sharedItems containsSemiMixedTypes="0" containsString="0" containsNumber="1" minValue="34.397926131718556" maxValue="124685.15788752233"/>
    </cacheField>
    <cacheField name="Medical Doctors Stock By Age Group 35-44 yrs" numFmtId="164">
      <sharedItems containsSemiMixedTypes="0" containsString="0" containsNumber="1" minValue="0" maxValue="123164.81931789574"/>
    </cacheField>
    <cacheField name="Medical Doctors Stock By Age Group 45-54 yrs" numFmtId="164">
      <sharedItems containsSemiMixedTypes="0" containsString="0" containsNumber="1" minValue="0" maxValue="58920.947403194237"/>
    </cacheField>
    <cacheField name="Medical Doctors Stock By Age Group 55-64 yrs" numFmtId="164">
      <sharedItems containsSemiMixedTypes="0" containsString="0" containsNumber="1" minValue="0" maxValue="22867.701185710655"/>
    </cacheField>
    <cacheField name="Medical Doctors Stock By Age Group ≥ 65 yrs" numFmtId="164">
      <sharedItems containsSemiMixedTypes="0" containsString="0" containsNumber="1" minValue="0" maxValue="5983.9412809101377"/>
    </cacheField>
    <cacheField name="Annual graduates (2017 survey)" numFmtId="0">
      <sharedItems containsSemiMixedTypes="0" containsString="0" containsNumber="1" containsInteger="1" minValue="0" maxValue="13224"/>
    </cacheField>
    <cacheField name="Projected 2023" numFmtId="164">
      <sharedItems containsSemiMixedTypes="0" containsString="0" containsNumber="1" minValue="102.91606859835071" maxValue="333079.39203084627"/>
    </cacheField>
    <cacheField name="Projected 2024" numFmtId="164">
      <sharedItems containsSemiMixedTypes="0" containsString="0" containsNumber="1" minValue="102.08450227674395" maxValue="349346.57985360379"/>
    </cacheField>
    <cacheField name="Projected 2025" numFmtId="164">
      <sharedItems containsSemiMixedTypes="0" containsString="0" containsNumber="1" minValue="101.25965504727361" maxValue="374760.85566868738"/>
    </cacheField>
    <cacheField name="Projected 2026" numFmtId="164">
      <sharedItems containsSemiMixedTypes="0" containsString="0" containsNumber="1" minValue="100.44147261938227" maxValue="409260.52808856627"/>
    </cacheField>
    <cacheField name="Projected 2027" numFmtId="164">
      <sharedItems containsSemiMixedTypes="0" containsString="0" containsNumber="1" minValue="99.629901141182572" maxValue="452784.32179553417"/>
    </cacheField>
    <cacheField name="Projected 2028" numFmtId="164">
      <sharedItems containsSemiMixedTypes="0" containsString="0" containsNumber="1" minValue="98.824887195912751" maxValue="505271.37473557866"/>
    </cacheField>
    <cacheField name="Projected 2029" numFmtId="164">
      <sharedItems containsSemiMixedTypes="0" containsString="0" containsNumber="1" minValue="98.02637779842081" maxValue="566661.23533117585"/>
    </cacheField>
    <cacheField name="Projected 2030" numFmtId="164">
      <sharedItems containsSemiMixedTypes="0" containsString="0" containsNumber="1" minValue="97.234320391677102" maxValue="636893.85971288325"/>
    </cacheField>
    <cacheField name="Force of movement from 55-64 into Age 65+" numFmtId="43">
      <sharedItems containsSemiMixedTypes="0" containsString="0" containsNumber="1" minValue="0.1" maxValue="0.1"/>
    </cacheField>
    <cacheField name="stock to graduates" numFmtId="0">
      <sharedItems containsString="0" containsBlank="1" containsNumber="1" minValue="0" maxValue="0.314328748077773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57.480035995373" createdVersion="8" refreshedVersion="8" minRefreshableVersion="3" recordCount="48" xr:uid="{0AE9C7FD-09EC-4A7F-84D7-D63CFE5D171E}">
  <cacheSource type="worksheet">
    <worksheetSource ref="A1:AE49" sheet="Total medical doctors"/>
  </cacheSource>
  <cacheFields count="31">
    <cacheField name="Country" numFmtId="0">
      <sharedItems/>
    </cacheField>
    <cacheField name="Country code" numFmtId="0">
      <sharedItems/>
    </cacheField>
    <cacheField name="income level" numFmtId="0">
      <sharedItems containsBlank="1" count="4">
        <s v="Lower-Middle-Income Economies"/>
        <s v="High/Upper-Middle-Income Economies "/>
        <s v="Low-Income Economies"/>
        <m/>
      </sharedItems>
    </cacheField>
    <cacheField name="2013" numFmtId="164">
      <sharedItems containsSemiMixedTypes="0" containsString="0" containsNumber="1" containsInteger="1" minValue="0" maxValue="115272"/>
    </cacheField>
    <cacheField name="2018" numFmtId="164">
      <sharedItems containsSemiMixedTypes="0" containsString="0" containsNumber="1" containsInteger="1" minValue="60" maxValue="339167"/>
    </cacheField>
    <cacheField name="Adjusted 2022" numFmtId="164">
      <sharedItems containsSemiMixedTypes="0" containsString="0" containsNumber="1" minValue="105" maxValue="339063.33331175643"/>
    </cacheField>
    <cacheField name="Medical Doctors Stock By Age Group &lt; 25 yrs (prop)" numFmtId="165">
      <sharedItems containsSemiMixedTypes="0" containsString="0" containsNumber="1" minValue="0" maxValue="8.2034047710869931E-2"/>
    </cacheField>
    <cacheField name="Medical Doctors Stock By Age Group 25-34 yrs (prop)" numFmtId="165">
      <sharedItems containsSemiMixedTypes="0" containsString="0" containsNumber="1" minValue="0.14374225526641884" maxValue="1"/>
    </cacheField>
    <cacheField name="Medical Doctors Stock By Age Group 35-44 yrs (prop)" numFmtId="165">
      <sharedItems containsSemiMixedTypes="0" containsString="0" containsNumber="1" minValue="0" maxValue="0.85625774473358118"/>
    </cacheField>
    <cacheField name="Medical Doctors Stock By Age Group 45-54 yrs (prop)" numFmtId="165">
      <sharedItems containsSemiMixedTypes="0" containsString="0" containsNumber="1" minValue="0" maxValue="0.43020679468242246"/>
    </cacheField>
    <cacheField name="Medical Doctors Stock By Age Group 55-64 yrs (prop)" numFmtId="165">
      <sharedItems containsSemiMixedTypes="0" containsString="0" containsNumber="1" minValue="0" maxValue="0.19700967458223395"/>
    </cacheField>
    <cacheField name="Medical Doctors Stock By Age Group ≥ 65 yrs (prop)" numFmtId="165">
      <sharedItems containsSemiMixedTypes="0" containsString="0" containsNumber="1" minValue="0" maxValue="0.12280701754385964"/>
    </cacheField>
    <cacheField name="Medical Doctors Stock By Age Group &lt; 25 yrs (prop)2" numFmtId="164">
      <sharedItems containsSemiMixedTypes="0" containsString="0" containsNumber="1" minValue="0" maxValue="3940.4090383691109"/>
    </cacheField>
    <cacheField name="Medical Doctors Stock By Age Group 25-34 yrs" numFmtId="164">
      <sharedItems containsSemiMixedTypes="0" containsString="0" containsNumber="1" minValue="34.397926131718556" maxValue="124685.15788752233"/>
    </cacheField>
    <cacheField name="Medical Doctors Stock By Age Group 35-44 yrs" numFmtId="164">
      <sharedItems containsSemiMixedTypes="0" containsString="0" containsNumber="1" minValue="0" maxValue="123164.81931789574"/>
    </cacheField>
    <cacheField name="Medical Doctors Stock By Age Group 45-54 yrs" numFmtId="164">
      <sharedItems containsSemiMixedTypes="0" containsString="0" containsNumber="1" minValue="0" maxValue="58920.947403194237"/>
    </cacheField>
    <cacheField name="Medical Doctors Stock By Age Group 55-64 yrs" numFmtId="164">
      <sharedItems containsSemiMixedTypes="0" containsString="0" containsNumber="1" minValue="0" maxValue="22867.701185710655"/>
    </cacheField>
    <cacheField name="Medical Doctors Stock By Age Group ≥ 65 yrs" numFmtId="164">
      <sharedItems containsSemiMixedTypes="0" containsString="0" containsNumber="1" minValue="0" maxValue="5983.9412809101377"/>
    </cacheField>
    <cacheField name="Annual graduates (2017 survey)" numFmtId="0">
      <sharedItems containsSemiMixedTypes="0" containsString="0" containsNumber="1" containsInteger="1" minValue="0" maxValue="13224"/>
    </cacheField>
    <cacheField name="Updated annual graduate" numFmtId="0">
      <sharedItems containsString="0" containsBlank="1" containsNumber="1" containsInteger="1" minValue="0" maxValue="6020" count="36">
        <n v="0"/>
        <n v="611"/>
        <n v="780"/>
        <n v="60"/>
        <n v="1492"/>
        <n v="325"/>
        <n v="800"/>
        <n v="18"/>
        <n v="330"/>
        <n v="254"/>
        <n v="6020"/>
        <n v="767"/>
        <n v="3114"/>
        <n v="46"/>
        <n v="23"/>
        <n v="1566"/>
        <n v="558"/>
        <n v="8"/>
        <n v="29"/>
        <n v="316"/>
        <n v="115"/>
        <n v="432"/>
        <n v="819"/>
        <n v="475"/>
        <n v="370"/>
        <n v="4340"/>
        <n v="11"/>
        <n v="434"/>
        <n v="10"/>
        <n v="217"/>
        <n v="998"/>
        <n v="77"/>
        <n v="1997"/>
        <n v="100"/>
        <n v="265"/>
        <m/>
      </sharedItems>
    </cacheField>
    <cacheField name="Projected 2023" numFmtId="164">
      <sharedItems containsSemiMixedTypes="0" containsString="0" containsNumber="1" minValue="104.96390607532297" maxValue="361333.18546353327"/>
    </cacheField>
    <cacheField name="Projected 2024" numFmtId="164">
      <sharedItems containsSemiMixedTypes="0" containsString="0" containsNumber="1" minValue="106.16363061458502" maxValue="370231.60134920175"/>
    </cacheField>
    <cacheField name="Projected 2025" numFmtId="164">
      <sharedItems containsSemiMixedTypes="0" containsString="0" containsNumber="1" minValue="107.3536613272596" maxValue="379070.00298516883"/>
    </cacheField>
    <cacheField name="Projected 2026" numFmtId="164">
      <sharedItems containsSemiMixedTypes="0" containsString="0" containsNumber="1" minValue="108.53407653988822" maxValue="387848.79513001326"/>
    </cacheField>
    <cacheField name="Projected 2027" numFmtId="164">
      <sharedItems containsSemiMixedTypes="0" containsString="0" containsNumber="1" minValue="109.7049539461305" maxValue="396568.3798124704"/>
    </cacheField>
    <cacheField name="Projected 2028" numFmtId="164">
      <sharedItems containsSemiMixedTypes="0" containsString="0" containsNumber="1" minValue="110.86637061187791" maxValue="405229.15634984314"/>
    </cacheField>
    <cacheField name="Projected 2029" numFmtId="164">
      <sharedItems containsSemiMixedTypes="0" containsString="0" containsNumber="1" minValue="112.01840298032616" maxValue="413831.52136628894"/>
    </cacheField>
    <cacheField name="Projected 2030" numFmtId="164">
      <sharedItems containsSemiMixedTypes="0" containsString="0" containsNumber="1" minValue="113.16112687700658" maxValue="422375.86881098349"/>
    </cacheField>
    <cacheField name="Force of movement from 55-64 into Age 65+" numFmtId="43">
      <sharedItems containsSemiMixedTypes="0" containsString="0" containsNumber="1" minValue="0.1" maxValue="0.1"/>
    </cacheField>
    <cacheField name="stock to graduates" numFmtId="165">
      <sharedItems containsSemiMixedTypes="0" containsString="0" containsNumber="1" minValue="1.2682034923700322E-3" maxValue="0.31432874807777383"/>
    </cacheField>
    <cacheField name="Estimated graduates" numFmtId="164">
      <sharedItems containsSemiMixedTypes="0" containsString="0" containsNumber="1" minValue="2.9254821099603685" maxValue="16193.4031835591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m/>
    <x v="0"/>
    <x v="0"/>
    <x v="0"/>
    <m/>
    <x v="0"/>
  </r>
  <r>
    <m/>
    <x v="1"/>
    <x v="0"/>
    <x v="0"/>
    <m/>
    <x v="1"/>
  </r>
  <r>
    <s v="BEN"/>
    <x v="0"/>
    <x v="1"/>
    <x v="1"/>
    <m/>
    <x v="2"/>
  </r>
  <r>
    <s v="BWA"/>
    <x v="2"/>
    <x v="2"/>
    <x v="2"/>
    <s v="BFA"/>
    <x v="3"/>
  </r>
  <r>
    <s v="CIV"/>
    <x v="3"/>
    <x v="3"/>
    <x v="3"/>
    <s v="BWA"/>
    <x v="4"/>
  </r>
  <r>
    <s v="CPV"/>
    <x v="4"/>
    <x v="4"/>
    <x v="4"/>
    <m/>
    <x v="5"/>
  </r>
  <r>
    <s v="DZA"/>
    <x v="5"/>
    <x v="5"/>
    <x v="5"/>
    <s v="CIV"/>
    <x v="6"/>
  </r>
  <r>
    <s v="ERI"/>
    <x v="6"/>
    <x v="6"/>
    <x v="6"/>
    <s v="CMR"/>
    <x v="7"/>
  </r>
  <r>
    <s v="GHA"/>
    <x v="7"/>
    <x v="7"/>
    <x v="7"/>
    <m/>
    <x v="8"/>
  </r>
  <r>
    <s v="KEN"/>
    <x v="8"/>
    <x v="8"/>
    <x v="8"/>
    <s v="COG"/>
    <x v="9"/>
  </r>
  <r>
    <s v="MDG"/>
    <x v="0"/>
    <x v="9"/>
    <x v="9"/>
    <m/>
    <x v="10"/>
  </r>
  <r>
    <s v="MOZ"/>
    <x v="0"/>
    <x v="10"/>
    <x v="10"/>
    <s v="CPV"/>
    <x v="11"/>
  </r>
  <r>
    <s v="MWI"/>
    <x v="0"/>
    <x v="11"/>
    <x v="0"/>
    <m/>
    <x v="12"/>
  </r>
  <r>
    <s v="SLE"/>
    <x v="0"/>
    <x v="0"/>
    <x v="0"/>
    <s v="ERI"/>
    <x v="13"/>
  </r>
  <r>
    <s v="SWZ"/>
    <x v="0"/>
    <x v="0"/>
    <x v="0"/>
    <m/>
    <x v="14"/>
  </r>
  <r>
    <s v="SYC"/>
    <x v="0"/>
    <x v="0"/>
    <x v="0"/>
    <s v="GAB"/>
    <x v="15"/>
  </r>
  <r>
    <s v="TGO"/>
    <x v="0"/>
    <x v="0"/>
    <x v="0"/>
    <s v="GHA"/>
    <x v="16"/>
  </r>
  <r>
    <s v="UGA"/>
    <x v="0"/>
    <x v="0"/>
    <x v="0"/>
    <m/>
    <x v="17"/>
  </r>
  <r>
    <s v="ZAF"/>
    <x v="0"/>
    <x v="0"/>
    <x v="0"/>
    <m/>
    <x v="18"/>
  </r>
  <r>
    <s v="ZMB"/>
    <x v="0"/>
    <x v="0"/>
    <x v="0"/>
    <s v="GNB"/>
    <x v="19"/>
  </r>
  <r>
    <s v="ZWE"/>
    <x v="0"/>
    <x v="0"/>
    <x v="0"/>
    <m/>
    <x v="20"/>
  </r>
  <r>
    <m/>
    <x v="0"/>
    <x v="0"/>
    <x v="0"/>
    <s v="KEN"/>
    <x v="21"/>
  </r>
  <r>
    <m/>
    <x v="0"/>
    <x v="0"/>
    <x v="0"/>
    <s v="MOZ"/>
    <x v="22"/>
  </r>
  <r>
    <m/>
    <x v="0"/>
    <x v="0"/>
    <x v="0"/>
    <s v="MWI"/>
    <x v="23"/>
  </r>
  <r>
    <m/>
    <x v="0"/>
    <x v="0"/>
    <x v="0"/>
    <s v="NGA"/>
    <x v="24"/>
  </r>
  <r>
    <m/>
    <x v="0"/>
    <x v="0"/>
    <x v="0"/>
    <s v="SEN"/>
    <x v="25"/>
  </r>
  <r>
    <m/>
    <x v="0"/>
    <x v="0"/>
    <x v="0"/>
    <s v="SWZ"/>
    <x v="26"/>
  </r>
  <r>
    <m/>
    <x v="0"/>
    <x v="0"/>
    <x v="0"/>
    <s v="SYC"/>
    <x v="27"/>
  </r>
  <r>
    <m/>
    <x v="0"/>
    <x v="0"/>
    <x v="0"/>
    <s v="TCD"/>
    <x v="28"/>
  </r>
  <r>
    <m/>
    <x v="0"/>
    <x v="0"/>
    <x v="0"/>
    <s v="TGO"/>
    <x v="29"/>
  </r>
  <r>
    <m/>
    <x v="0"/>
    <x v="0"/>
    <x v="0"/>
    <s v="ZMB"/>
    <x v="30"/>
  </r>
  <r>
    <m/>
    <x v="0"/>
    <x v="0"/>
    <x v="0"/>
    <s v="ZWE"/>
    <x v="31"/>
  </r>
  <r>
    <m/>
    <x v="0"/>
    <x v="0"/>
    <x v="0"/>
    <m/>
    <x v="32"/>
  </r>
  <r>
    <m/>
    <x v="0"/>
    <x v="0"/>
    <x v="0"/>
    <m/>
    <x v="33"/>
  </r>
  <r>
    <m/>
    <x v="0"/>
    <x v="0"/>
    <x v="0"/>
    <m/>
    <x v="34"/>
  </r>
  <r>
    <m/>
    <x v="0"/>
    <x v="0"/>
    <x v="0"/>
    <m/>
    <x v="35"/>
  </r>
  <r>
    <m/>
    <x v="0"/>
    <x v="0"/>
    <x v="0"/>
    <m/>
    <x v="36"/>
  </r>
  <r>
    <m/>
    <x v="0"/>
    <x v="0"/>
    <x v="0"/>
    <m/>
    <x v="37"/>
  </r>
  <r>
    <m/>
    <x v="0"/>
    <x v="0"/>
    <x v="0"/>
    <m/>
    <x v="38"/>
  </r>
  <r>
    <m/>
    <x v="0"/>
    <x v="0"/>
    <x v="0"/>
    <m/>
    <x v="39"/>
  </r>
  <r>
    <m/>
    <x v="0"/>
    <x v="0"/>
    <x v="0"/>
    <m/>
    <x v="40"/>
  </r>
  <r>
    <m/>
    <x v="0"/>
    <x v="0"/>
    <x v="0"/>
    <m/>
    <x v="41"/>
  </r>
  <r>
    <m/>
    <x v="0"/>
    <x v="0"/>
    <x v="0"/>
    <m/>
    <x v="42"/>
  </r>
  <r>
    <m/>
    <x v="0"/>
    <x v="0"/>
    <x v="0"/>
    <m/>
    <x v="43"/>
  </r>
  <r>
    <m/>
    <x v="0"/>
    <x v="0"/>
    <x v="0"/>
    <m/>
    <x v="44"/>
  </r>
  <r>
    <m/>
    <x v="0"/>
    <x v="0"/>
    <x v="0"/>
    <m/>
    <x v="45"/>
  </r>
  <r>
    <m/>
    <x v="0"/>
    <x v="0"/>
    <x v="0"/>
    <m/>
    <x v="46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s v="BFA"/>
    <s v="BEN"/>
    <s v="BFA"/>
  </r>
  <r>
    <x v="1"/>
    <x v="1"/>
    <s v="BWA"/>
    <s v="BFA"/>
    <s v="BWA"/>
  </r>
  <r>
    <x v="2"/>
    <x v="2"/>
    <s v="CMR"/>
    <s v="BWA"/>
    <s v="CIV"/>
  </r>
  <r>
    <x v="3"/>
    <x v="3"/>
    <s v="GAB"/>
    <s v="CMR"/>
    <s v="CMR"/>
  </r>
  <r>
    <x v="4"/>
    <x v="4"/>
    <s v="GNB"/>
    <s v="GHA"/>
    <s v="COG"/>
  </r>
  <r>
    <x v="5"/>
    <x v="5"/>
    <s v="KEN"/>
    <s v="GNB"/>
    <s v="CPV"/>
  </r>
  <r>
    <x v="6"/>
    <x v="6"/>
    <s v="MOZ"/>
    <s v="KEN"/>
    <s v="ERI"/>
  </r>
  <r>
    <x v="7"/>
    <x v="7"/>
    <s v="MWI"/>
    <s v="MOZ"/>
    <s v="GAB"/>
  </r>
  <r>
    <x v="8"/>
    <x v="8"/>
    <s v="SEN"/>
    <s v="SEN"/>
    <s v="GHA"/>
  </r>
  <r>
    <x v="9"/>
    <x v="8"/>
    <s v="SLE"/>
    <s v="TCD"/>
    <s v="GNB"/>
  </r>
  <r>
    <x v="10"/>
    <x v="8"/>
    <s v="TCD"/>
    <m/>
    <s v="KEN"/>
  </r>
  <r>
    <x v="11"/>
    <x v="8"/>
    <m/>
    <m/>
    <s v="MOZ"/>
  </r>
  <r>
    <x v="12"/>
    <x v="8"/>
    <m/>
    <m/>
    <s v="MWI"/>
  </r>
  <r>
    <x v="13"/>
    <x v="8"/>
    <m/>
    <m/>
    <s v="NGA"/>
  </r>
  <r>
    <x v="14"/>
    <x v="8"/>
    <m/>
    <m/>
    <s v="SEN"/>
  </r>
  <r>
    <x v="15"/>
    <x v="8"/>
    <m/>
    <m/>
    <s v="SWZ"/>
  </r>
  <r>
    <x v="16"/>
    <x v="8"/>
    <m/>
    <m/>
    <s v="SYC"/>
  </r>
  <r>
    <x v="17"/>
    <x v="8"/>
    <m/>
    <m/>
    <s v="TCD"/>
  </r>
  <r>
    <x v="18"/>
    <x v="8"/>
    <m/>
    <m/>
    <s v="TGO"/>
  </r>
  <r>
    <x v="19"/>
    <x v="8"/>
    <m/>
    <m/>
    <s v="ZMB"/>
  </r>
  <r>
    <x v="19"/>
    <x v="8"/>
    <m/>
    <m/>
    <s v="ZW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AFRO"/>
    <n v="1.0147857047578982E-2"/>
    <n v="0.36773412409320844"/>
    <n v="0.36325018725823166"/>
    <n v="0.1737756389866508"/>
    <n v="6.744374557506233E-2"/>
    <n v="1.7648447039267795E-2"/>
    <x v="0"/>
  </r>
  <r>
    <s v="BFA"/>
    <n v="0"/>
    <n v="0.4797639123102867"/>
    <n v="0.45868465430016864"/>
    <n v="4.7217537942664416E-2"/>
    <n v="1.3912310286677909E-2"/>
    <n v="4.2158516020236085E-4"/>
    <x v="1"/>
  </r>
  <r>
    <s v="BWA"/>
    <n v="0"/>
    <n v="0.48640483383685801"/>
    <n v="0.3252769385699899"/>
    <n v="0.12185297079556898"/>
    <n v="5.2366565961732128E-2"/>
    <n v="1.4098690835850957E-2"/>
    <x v="2"/>
  </r>
  <r>
    <s v="CIV"/>
    <n v="0"/>
    <n v="0.18665043619395416"/>
    <n v="0.3564617569486711"/>
    <n v="0.32116047879894499"/>
    <n v="0.12984378170014202"/>
    <n v="5.883546358287685E-3"/>
    <x v="3"/>
  </r>
  <r>
    <s v="CMR"/>
    <n v="3.9872408293460922E-3"/>
    <n v="0.50212652844231787"/>
    <n v="0.32961190855927697"/>
    <n v="0.12068048910154174"/>
    <n v="4.1467304625199361E-2"/>
    <n v="2.1265284423179162E-3"/>
    <x v="3"/>
  </r>
  <r>
    <s v="COG"/>
    <n v="0"/>
    <n v="0.44529750479846447"/>
    <n v="0.29942418426103645"/>
    <n v="0.11612284069097889"/>
    <n v="0.13147792706333974"/>
    <n v="7.677543186180422E-3"/>
    <x v="3"/>
  </r>
  <r>
    <s v="CPV"/>
    <n v="4.1603630862329802E-3"/>
    <n v="0.20385779122541603"/>
    <n v="0.30295007564296522"/>
    <n v="0.26966717095310139"/>
    <n v="0.17095310136157338"/>
    <n v="4.8411497730711045E-2"/>
    <x v="3"/>
  </r>
  <r>
    <s v="GAB"/>
    <n v="0"/>
    <n v="0.21811785400175901"/>
    <n v="0.22691292875989447"/>
    <n v="0.33333333333333331"/>
    <n v="0.19700967458223395"/>
    <n v="2.4626209322779244E-2"/>
    <x v="2"/>
  </r>
  <r>
    <s v="GHA"/>
    <n v="4.5892611289582378E-4"/>
    <n v="0.39352914180816889"/>
    <n v="0.4456172556218449"/>
    <n v="0.11748508490133089"/>
    <n v="4.2221202386415788E-2"/>
    <n v="6.8838916934373562E-4"/>
    <x v="3"/>
  </r>
  <r>
    <s v="GNB"/>
    <n v="0"/>
    <n v="0.52402745995423339"/>
    <n v="0.32723112128146453"/>
    <n v="9.3821510297482841E-2"/>
    <n v="4.3478260869565216E-2"/>
    <n v="1.1441647597254004E-2"/>
    <x v="1"/>
  </r>
  <r>
    <s v="KEN"/>
    <n v="9.1008372770294869E-4"/>
    <n v="0.29122679286494357"/>
    <n v="0.49126319621405168"/>
    <n v="0.17127775755369495"/>
    <n v="4.4230069166363309E-2"/>
    <n v="1.0921004732435385E-3"/>
    <x v="3"/>
  </r>
  <r>
    <s v="MOZ"/>
    <n v="2.5575447570332483E-3"/>
    <n v="0.33418584825234443"/>
    <n v="0.38235294117647056"/>
    <n v="0.17732310315430519"/>
    <n v="8.2267689684569476E-2"/>
    <n v="2.1312872975277068E-2"/>
    <x v="1"/>
  </r>
  <r>
    <s v="MWI"/>
    <n v="5.8653846153846154E-2"/>
    <n v="0.37692307692307692"/>
    <n v="0.31826923076923075"/>
    <n v="0.2048076923076923"/>
    <n v="2.8846153846153848E-2"/>
    <n v="1.2500000000000001E-2"/>
    <x v="1"/>
  </r>
  <r>
    <s v="NGA"/>
    <n v="1.5643758867828428E-2"/>
    <n v="0.38865645577909558"/>
    <n v="0.35225743078546223"/>
    <n v="0.16069414632371667"/>
    <n v="6.2957034234365342E-2"/>
    <n v="1.979117400953178E-2"/>
    <x v="3"/>
  </r>
  <r>
    <s v="SEN"/>
    <n v="1.4224751066856331E-3"/>
    <n v="0.48079658605974396"/>
    <n v="0.35135135135135137"/>
    <n v="9.1038406827880516E-2"/>
    <n v="6.8278805120910391E-2"/>
    <n v="7.1123755334281651E-3"/>
    <x v="3"/>
  </r>
  <r>
    <s v="SWZ"/>
    <n v="0"/>
    <n v="0.14374225526641884"/>
    <n v="0.85625774473358118"/>
    <n v="0"/>
    <n v="0"/>
    <n v="0"/>
    <x v="3"/>
  </r>
  <r>
    <s v="SYC"/>
    <n v="0"/>
    <n v="0.15789473684210525"/>
    <n v="0.26315789473684209"/>
    <n v="0.2982456140350877"/>
    <n v="0.15789473684210525"/>
    <n v="0.12280701754385964"/>
    <x v="2"/>
  </r>
  <r>
    <s v="TCD"/>
    <n v="1.9880715705765406E-3"/>
    <n v="0.58316766070245196"/>
    <n v="0.28098078197481774"/>
    <n v="8.5487077534791248E-2"/>
    <n v="4.8376408217362492E-2"/>
    <n v="0"/>
    <x v="1"/>
  </r>
  <r>
    <s v="TGO"/>
    <n v="4.10958904109589E-3"/>
    <n v="0.29178082191780824"/>
    <n v="0.36575342465753424"/>
    <n v="0.21232876712328766"/>
    <n v="8.7671232876712329E-2"/>
    <n v="3.8356164383561646E-2"/>
    <x v="1"/>
  </r>
  <r>
    <s v="ZMB"/>
    <n v="4.1968714231209459E-3"/>
    <n v="0.36398321251430754"/>
    <n v="0.28462418924074778"/>
    <n v="0.18428080885158338"/>
    <n v="0.10587561999236933"/>
    <n v="5.7039297977871044E-2"/>
    <x v="3"/>
  </r>
  <r>
    <s v="ZWE"/>
    <n v="0"/>
    <n v="0.15989660265878877"/>
    <n v="0.4098966026587888"/>
    <n v="0.43020679468242246"/>
    <n v="0"/>
    <n v="0"/>
    <x v="3"/>
  </r>
  <r>
    <s v="BEN"/>
    <n v="1.2341197822141561E-2"/>
    <n v="0.40471869328493648"/>
    <n v="0.33248638838475497"/>
    <n v="0.16624319419237749"/>
    <n v="8.0217785843920142E-2"/>
    <n v="3.9927404718693282E-3"/>
    <x v="3"/>
  </r>
  <r>
    <s v="SLE"/>
    <n v="0"/>
    <n v="1"/>
    <n v="0"/>
    <n v="0"/>
    <n v="0"/>
    <n v="0"/>
    <x v="1"/>
  </r>
  <r>
    <s v="BDI"/>
    <n v="0"/>
    <n v="0.23688394276629571"/>
    <n v="0.62957074721780604"/>
    <n v="9.6979332273449917E-2"/>
    <n v="3.0206677265500796E-2"/>
    <n v="6.3593004769475362E-3"/>
    <x v="1"/>
  </r>
  <r>
    <s v="DZA"/>
    <n v="8.2034047710869931E-2"/>
    <n v="0.29430885350669383"/>
    <n v="0.20861109580739354"/>
    <n v="0.13796760509062861"/>
    <n v="0.17288303674728664"/>
    <n v="0.10419536113712743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Algeria"/>
    <s v="DZA"/>
    <x v="0"/>
    <n v="0"/>
    <n v="73168"/>
    <n v="48033.824348850052"/>
    <n v="8.2034047710869931E-2"/>
    <n v="0.29430885350669383"/>
    <n v="0.20861109580739354"/>
    <n v="0.13796760509062861"/>
    <n v="0.17288303674728664"/>
    <n v="0.10419536113712743"/>
    <n v="3940.4090383691109"/>
    <n v="14136.779773651973"/>
    <n v="10020.388733233471"/>
    <n v="6627.1117087547645"/>
    <n v="8304.2334200149544"/>
    <n v="5004.9016748257764"/>
    <n v="0"/>
    <n v="43028.922674024274"/>
    <n v="42285.025592039325"/>
    <n v="41553.989228710474"/>
    <n v="40835.591244028124"/>
    <n v="40129.613141864276"/>
    <n v="39435.840203518346"/>
    <n v="38754.061422411847"/>
    <n v="38084.069439912106"/>
    <n v="0.1"/>
    <n v="2.7861734380574939E-2"/>
  </r>
  <r>
    <s v="Angola"/>
    <s v="AGO"/>
    <x v="0"/>
    <n v="0"/>
    <n v="6593"/>
    <n v="8693"/>
    <n v="9.6273049759095664E-3"/>
    <n v="0.3275992964925577"/>
    <n v="0.38621639847768657"/>
    <n v="0.17590959830524627"/>
    <n v="8.0800436018606592E-2"/>
    <n v="1.9846965729993234E-2"/>
    <n v="83.690162155581859"/>
    <n v="2847.820684409804"/>
    <n v="3357.3791519665292"/>
    <n v="1529.1821380675058"/>
    <n v="702.39819030974706"/>
    <n v="172.52967309083118"/>
    <n v="0"/>
    <n v="8520.4703269091697"/>
    <n v="8451.6245551593838"/>
    <n v="8383.3350602471401"/>
    <n v="8315.5973474313359"/>
    <n v="8248.4069582885732"/>
    <n v="8181.7594704197109"/>
    <n v="8115.6504971587829"/>
    <n v="8050.0756872842776"/>
    <n v="0.1"/>
    <n v="2.7861734380574939E-2"/>
  </r>
  <r>
    <s v="Benin"/>
    <s v="BEN"/>
    <x v="0"/>
    <n v="0"/>
    <n v="908"/>
    <n v="2608"/>
    <n v="1.2341197822141561E-2"/>
    <n v="0.40471869328493648"/>
    <n v="0.33248638838475497"/>
    <n v="0.16624319419237749"/>
    <n v="8.0217785843920142E-2"/>
    <n v="3.9927404718693282E-3"/>
    <n v="32.185843920145189"/>
    <n v="1055.5063520871142"/>
    <n v="867.12450090744096"/>
    <n v="433.56225045372048"/>
    <n v="209.20798548094373"/>
    <n v="10.413067150635207"/>
    <n v="291"/>
    <n v="2597.5869328493645"/>
    <n v="2984.1496656203371"/>
    <n v="3571.3114777400433"/>
    <n v="4357.4632078097147"/>
    <n v="5341.0086027670304"/>
    <n v="6520.3642143383004"/>
    <n v="7893.9592963212854"/>
    <n v="9460.2357026919926"/>
    <n v="0.1"/>
    <n v="0.11157975460122699"/>
  </r>
  <r>
    <s v="Botswana"/>
    <s v="BWA"/>
    <x v="1"/>
    <n v="819"/>
    <n v="925"/>
    <n v="992"/>
    <n v="0"/>
    <n v="0.48640483383685801"/>
    <n v="0.3252769385699899"/>
    <n v="0.12185297079556898"/>
    <n v="5.2366565961732128E-2"/>
    <n v="1.4098690835850957E-2"/>
    <n v="0"/>
    <n v="482.51359516616316"/>
    <n v="322.67472306142997"/>
    <n v="120.87814702920443"/>
    <n v="51.947633434038273"/>
    <n v="13.985901309164149"/>
    <n v="8"/>
    <n v="978.01409869083591"/>
    <n v="984.09257470977616"/>
    <n v="995.73921983717707"/>
    <n v="1012.9248754835484"/>
    <n v="1035.6205357529195"/>
    <n v="1063.7973466432366"/>
    <n v="1097.4266052509456"/>
    <n v="1136.4797589797422"/>
    <n v="0.1"/>
    <n v="8.0645161290322578E-3"/>
  </r>
  <r>
    <s v="Burkina Faso"/>
    <s v="BFA"/>
    <x v="2"/>
    <n v="803"/>
    <n v="1684"/>
    <n v="3323"/>
    <n v="0"/>
    <n v="0.4797639123102867"/>
    <n v="0.45868465430016864"/>
    <n v="4.7217537942664416E-2"/>
    <n v="1.3912310286677909E-2"/>
    <n v="4.2158516020236085E-4"/>
    <n v="0"/>
    <n v="1594.2554806070827"/>
    <n v="1524.2091062394604"/>
    <n v="156.90387858347384"/>
    <n v="46.230607082630691"/>
    <n v="1.4009274873524451"/>
    <n v="578"/>
    <n v="3321.5990725126476"/>
    <n v="4126.1779608181741"/>
    <n v="5334.2374940092777"/>
    <n v="6945.2163372933283"/>
    <n v="8958.5539368240752"/>
    <n v="11373.690518615171"/>
    <n v="14190.067087455209"/>
    <n v="17407.125425824262"/>
    <n v="0.1"/>
    <n v="0.17393921155582306"/>
  </r>
  <r>
    <s v="Burundi"/>
    <s v="BDI"/>
    <x v="2"/>
    <n v="554"/>
    <n v="1084"/>
    <n v="1014.8610394397346"/>
    <n v="0"/>
    <n v="0.23688394276629571"/>
    <n v="0.62957074721780604"/>
    <n v="9.6979332273449917E-2"/>
    <n v="3.0206677265500796E-2"/>
    <n v="6.3593004769475362E-3"/>
    <n v="0"/>
    <n v="240.40428438238544"/>
    <n v="638.92682292231302"/>
    <n v="98.420545955204773"/>
    <n v="30.655579887686738"/>
    <n v="6.4538062921445762"/>
    <n v="319"/>
    <n v="1008.40723314759"/>
    <n v="1451.9611699632014"/>
    <n v="2117.4752777168897"/>
    <n v="3004.2790884837223"/>
    <n v="4111.7041595995906"/>
    <n v="5439.0840675435666"/>
    <n v="6985.7544018387453"/>
    <n v="8751.0527589715057"/>
    <n v="0.1"/>
    <n v="0.31432874807777383"/>
  </r>
  <r>
    <s v="Cameroon"/>
    <s v="CMR"/>
    <x v="0"/>
    <n v="1842"/>
    <n v="3259"/>
    <n v="3759"/>
    <n v="3.9872408293460922E-3"/>
    <n v="0.50212652844231787"/>
    <n v="0.32961190855927697"/>
    <n v="0.12068048910154174"/>
    <n v="4.1467304625199361E-2"/>
    <n v="2.1265284423179162E-3"/>
    <n v="14.988038277511961"/>
    <n v="1887.4936204146729"/>
    <n v="1239.011164274322"/>
    <n v="453.63795853269539"/>
    <n v="155.8755980861244"/>
    <n v="7.993620414673047"/>
    <n v="0"/>
    <n v="3751.0063795853271"/>
    <n v="3735.4519671659941"/>
    <n v="3719.962054702467"/>
    <n v="3704.5363747308143"/>
    <n v="3689.1746608962048"/>
    <n v="3673.8766479483102"/>
    <n v="3658.6420717367223"/>
    <n v="3643.4706692063946"/>
    <n v="0.1"/>
    <n v="2.7861734380574939E-2"/>
  </r>
  <r>
    <s v="Cape-Verde"/>
    <s v="CPV"/>
    <x v="0"/>
    <n v="308"/>
    <n v="452"/>
    <n v="2644"/>
    <n v="4.1603630862329802E-3"/>
    <n v="0.20385779122541603"/>
    <n v="0.30295007564296522"/>
    <n v="0.26966717095310139"/>
    <n v="0.17095310136157338"/>
    <n v="4.8411497730711045E-2"/>
    <n v="11"/>
    <n v="539"/>
    <n v="801"/>
    <n v="713.00000000000011"/>
    <n v="452"/>
    <n v="128"/>
    <n v="0"/>
    <n v="2516"/>
    <n v="2472.9881996974282"/>
    <n v="2430.7116994605435"/>
    <n v="2389.1579291066796"/>
    <n v="2348.3145333443417"/>
    <n v="2308.169368099575"/>
    <n v="2268.7104969051347"/>
    <n v="2229.926187351386"/>
    <n v="0.1"/>
    <n v="2.7861734380574939E-2"/>
  </r>
  <r>
    <s v="Central African Republic"/>
    <s v="CAF"/>
    <x v="2"/>
    <n v="324"/>
    <n v="335"/>
    <n v="146.38957816377172"/>
    <n v="8.4136314403189787E-3"/>
    <n v="0.4783415903533122"/>
    <n v="0.34535536267218658"/>
    <n v="0.1147456275792092"/>
    <n v="4.184484163081776E-2"/>
    <n v="1.1298946324155327E-2"/>
    <n v="1.2316679573737424"/>
    <n v="70.024223630009061"/>
    <n v="50.556425858177789"/>
    <n v="16.797564017457685"/>
    <n v="6.1256487146652452"/>
    <n v="1.6540479860881974"/>
    <n v="0"/>
    <n v="144.73553017768353"/>
    <n v="144.12988664381976"/>
    <n v="143.52677741573191"/>
    <n v="142.92619188865763"/>
    <n v="142.32811950220994"/>
    <n v="141.73254974019173"/>
    <n v="141.1394721304107"/>
    <n v="140.54887624449526"/>
    <n v="0.1"/>
    <n v="0"/>
  </r>
  <r>
    <s v="Chad"/>
    <s v="TCD"/>
    <x v="2"/>
    <n v="573"/>
    <n v="803"/>
    <n v="1507"/>
    <n v="1.9880715705765406E-3"/>
    <n v="0.58316766070245196"/>
    <n v="0.28098078197481774"/>
    <n v="8.5487077534791248E-2"/>
    <n v="4.8376408217362492E-2"/>
    <n v="0"/>
    <n v="2.9960238568588466"/>
    <n v="878.83366467859514"/>
    <n v="423.43803843605031"/>
    <n v="128.82902584493041"/>
    <n v="72.90324718356527"/>
    <n v="0"/>
    <n v="113"/>
    <n v="1507"/>
    <n v="1657.9096752816436"/>
    <n v="1887.1893037577497"/>
    <n v="2194.4597597435472"/>
    <n v="2579.3437516281542"/>
    <n v="3041.4658130019875"/>
    <n v="3580.4522938270939"/>
    <n v="4195.931351650197"/>
    <n v="0.1"/>
    <n v="7.4983410749834112E-2"/>
  </r>
  <r>
    <s v="Comoros"/>
    <s v="COM"/>
    <x v="0"/>
    <n v="123"/>
    <n v="220"/>
    <n v="354"/>
    <n v="9.6273049759095664E-3"/>
    <n v="0.3275992964925577"/>
    <n v="0.38621639847768657"/>
    <n v="0.17590959830524627"/>
    <n v="8.0800436018606592E-2"/>
    <n v="1.9846965729993234E-2"/>
    <n v="3.4080659614719866"/>
    <n v="115.97015095836542"/>
    <n v="136.72060506110105"/>
    <n v="62.271997800057179"/>
    <n v="28.603354350586734"/>
    <n v="7.0258258684176047"/>
    <n v="0"/>
    <n v="346.9741741315824"/>
    <n v="344.17060767587964"/>
    <n v="341.38969415937964"/>
    <n v="338.63125054534601"/>
    <n v="335.89509527598699"/>
    <n v="333.18104826050586"/>
    <n v="330.48893086324733"/>
    <n v="327.81856589194001"/>
    <n v="0.1"/>
    <n v="2.7861734380574939E-2"/>
  </r>
  <r>
    <s v="Congo"/>
    <s v="COG"/>
    <x v="0"/>
    <n v="0"/>
    <n v="544"/>
    <n v="1042"/>
    <n v="0"/>
    <n v="0.44529750479846447"/>
    <n v="0.29942418426103645"/>
    <n v="0.11612284069097889"/>
    <n v="0.13147792706333974"/>
    <n v="7.677543186180422E-3"/>
    <n v="0"/>
    <n v="464"/>
    <n v="312"/>
    <n v="121"/>
    <n v="137"/>
    <n v="8"/>
    <n v="39"/>
    <n v="1034"/>
    <n v="1075.0051823416507"/>
    <n v="1142.7712370459881"/>
    <n v="1236.9463177105467"/>
    <n v="1357.1832039364253"/>
    <n v="1503.139240506551"/>
    <n v="1674.4762773636146"/>
    <n v="1870.860610377164"/>
    <n v="0.1"/>
    <n v="3.7428023032629557E-2"/>
  </r>
  <r>
    <s v="Cote d'Ivoire"/>
    <s v="CIV"/>
    <x v="0"/>
    <n v="5240"/>
    <n v="5602"/>
    <n v="6327.5519796794806"/>
    <n v="0"/>
    <n v="0.18665043619395416"/>
    <n v="0.3564617569486711"/>
    <n v="0.32116047879894499"/>
    <n v="0.12984378170014202"/>
    <n v="5.883546358287685E-3"/>
    <n v="0"/>
    <n v="1181.0403370470933"/>
    <n v="2255.5302958605898"/>
    <n v="2032.1596234190743"/>
    <n v="821.59327794580395"/>
    <n v="37.228445406919242"/>
    <n v="265"/>
    <n v="6290.3235342725611"/>
    <n v="6579.6475946918263"/>
    <n v="7050.714962096923"/>
    <n v="7701.1658126600796"/>
    <n v="8528.6709633985156"/>
    <n v="9530.9314743221294"/>
    <n v="10705.67825574704"/>
    <n v="12050.671680707923"/>
    <n v="0.1"/>
    <n v="4.1880335531186495E-2"/>
  </r>
  <r>
    <s v="DRC"/>
    <s v="COD"/>
    <x v="2"/>
    <n v="6418"/>
    <n v="31546"/>
    <n v="21289.958719118578"/>
    <n v="8.4136314403189787E-3"/>
    <n v="0.4783415903533122"/>
    <n v="0.34535536267218658"/>
    <n v="0.1147456275792092"/>
    <n v="4.184484163081776E-2"/>
    <n v="1.1298946324155327E-2"/>
    <n v="179.12586604226925"/>
    <n v="10183.872712259546"/>
    <n v="7352.6014147170772"/>
    <n v="2442.9296743607179"/>
    <n v="890.87495092816459"/>
    <n v="240.5541008108035"/>
    <n v="27"/>
    <n v="21049.404618307777"/>
    <n v="20999.123718040166"/>
    <n v="20967.953217403432"/>
    <n v="20955.813149232967"/>
    <n v="20962.623880985499"/>
    <n v="20988.306113338876"/>
    <n v="21032.780878797697"/>
    <n v="21095.969540304799"/>
    <n v="0.1"/>
    <n v="1.2682034923700322E-3"/>
  </r>
  <r>
    <s v="Equatorial Guinea"/>
    <s v="GNQ"/>
    <x v="1"/>
    <n v="0"/>
    <n v="246"/>
    <n v="274.68237599257924"/>
    <n v="0"/>
    <n v="0.28747247489357414"/>
    <n v="0.27178258735557548"/>
    <n v="0.25114397272132999"/>
    <n v="0.13575699246202377"/>
    <n v="5.3843972567496616E-2"/>
    <n v="0"/>
    <n v="78.963622436234033"/>
    <n v="74.653886848240191"/>
    <n v="68.984823143310422"/>
    <n v="37.290053247075356"/>
    <n v="14.789990317719228"/>
    <n v="0"/>
    <n v="259.89238567486001"/>
    <n v="256.36416481056006"/>
    <n v="252.88384201158803"/>
    <n v="249.45076702821456"/>
    <n v="246.06429843830503"/>
    <n v="242.72380352747882"/>
    <n v="239.42865817089546"/>
    <n v="236.17824671664559"/>
    <n v="0.1"/>
    <n v="1.4681711808450191E-2"/>
  </r>
  <r>
    <s v="Eritrea"/>
    <s v="ERI"/>
    <x v="2"/>
    <n v="172"/>
    <n v="280"/>
    <n v="298.81764752330793"/>
    <n v="8.4136314403189787E-3"/>
    <n v="0.4783415903533122"/>
    <n v="0.34535536267218658"/>
    <n v="0.1147456275792092"/>
    <n v="4.184484163081776E-2"/>
    <n v="0"/>
    <n v="2.514141554124258"/>
    <n v="142.93690874193459"/>
    <n v="103.19827703326163"/>
    <n v="34.288018496804895"/>
    <n v="12.503977137106343"/>
    <n v="0"/>
    <n v="45"/>
    <n v="298.81764752330793"/>
    <n v="360.56724980959729"/>
    <n v="453.55846186304308"/>
    <n v="577.66055366234536"/>
    <n v="732.74334222390826"/>
    <n v="918.67718931276863"/>
    <n v="1135.3329991631049"/>
    <n v="1382.5822162082827"/>
    <n v="0.1"/>
    <n v="0.15059351538630253"/>
  </r>
  <r>
    <s v="Eswatini"/>
    <s v="SWZ"/>
    <x v="0"/>
    <n v="0"/>
    <n v="278"/>
    <n v="687"/>
    <n v="0"/>
    <n v="0.14374225526641884"/>
    <n v="0.85625774473358118"/>
    <n v="0"/>
    <n v="0"/>
    <n v="0"/>
    <n v="0"/>
    <n v="98.750929368029745"/>
    <n v="588.24907063197031"/>
    <n v="0"/>
    <n v="0"/>
    <n v="0"/>
    <n v="0"/>
    <n v="687"/>
    <n v="687"/>
    <n v="687"/>
    <n v="687"/>
    <n v="687"/>
    <n v="687"/>
    <n v="687"/>
    <n v="687"/>
    <n v="0.1"/>
    <n v="2.7861734380574939E-2"/>
  </r>
  <r>
    <s v="Ethiopia"/>
    <s v="ETH"/>
    <x v="2"/>
    <n v="0"/>
    <n v="11263"/>
    <n v="23741"/>
    <n v="8.4136314403189787E-3"/>
    <n v="0.4783415903533122"/>
    <n v="0.34535536267218658"/>
    <n v="0.1147456275792092"/>
    <n v="4.184484163081776E-2"/>
    <n v="1.1298946324155327E-2"/>
    <n v="199.74802402461287"/>
    <n v="11356.307696577986"/>
    <n v="8199.0816652003814"/>
    <n v="2724.1759443580054"/>
    <n v="993.4383851572444"/>
    <n v="268.24828468177162"/>
    <n v="2936"/>
    <n v="23472.751715318231"/>
    <n v="27484.930357501529"/>
    <n v="33535.520101697155"/>
    <n v="41615.991248930892"/>
    <n v="51717.849792618792"/>
    <n v="63832.63726921293"/>
    <n v="77951.930609472154"/>
    <n v="94067.341990355169"/>
    <n v="0.1"/>
    <n v="0.12366791626300493"/>
  </r>
  <r>
    <s v="Gabon"/>
    <s v="GAB"/>
    <x v="1"/>
    <n v="0"/>
    <n v="1368"/>
    <n v="1265.3898201501661"/>
    <n v="0"/>
    <n v="0.21811785400175901"/>
    <n v="0.22691292875989447"/>
    <n v="0.33333333333333331"/>
    <n v="0.19700967458223395"/>
    <n v="2.4626209322779244E-2"/>
    <n v="0"/>
    <n v="276.00411204682604"/>
    <n v="287.13331011323032"/>
    <n v="421.79660671672201"/>
    <n v="249.29403668745576"/>
    <n v="31.16175458593197"/>
    <n v="62"/>
    <n v="1234.2280655642342"/>
    <n v="1296.7125786085271"/>
    <n v="1401.3660862946917"/>
    <n v="1547.3578186315422"/>
    <n v="1733.8733726004546"/>
    <n v="1960.1143897101729"/>
    <n v="2225.2982399040975"/>
    <n v="2528.6577116949052"/>
    <n v="0.1"/>
    <n v="4.8996758953412753E-2"/>
  </r>
  <r>
    <s v="Gambia"/>
    <s v="GMB"/>
    <x v="2"/>
    <n v="213"/>
    <n v="298"/>
    <n v="273.86722731906218"/>
    <n v="8.4136314403189787E-3"/>
    <n v="0.4783415903533122"/>
    <n v="0.34535536267218658"/>
    <n v="0.1147456275792092"/>
    <n v="4.184484163081776E-2"/>
    <n v="1.1298946324155327E-2"/>
    <n v="2.3042179142446462"/>
    <n v="131.00208506145228"/>
    <n v="94.581515614800878"/>
    <n v="31.425066872103734"/>
    <n v="11.459930755037323"/>
    <n v="3.0944111014233289"/>
    <n v="0"/>
    <n v="270.77281621763888"/>
    <n v="269.63977165638312"/>
    <n v="268.51146830214998"/>
    <n v="267.38788631543378"/>
    <n v="266.26900593974693"/>
    <n v="265.1548075012725"/>
    <n v="264.04527140851843"/>
    <n v="262.94037815197282"/>
    <n v="0.1"/>
    <n v="0"/>
  </r>
  <r>
    <s v="Ghana"/>
    <s v="GHA"/>
    <x v="0"/>
    <n v="2730"/>
    <n v="4406"/>
    <n v="4726"/>
    <n v="4.5892611289582378E-4"/>
    <n v="0.39352914180816889"/>
    <n v="0.4456172556218449"/>
    <n v="0.11748508490133089"/>
    <n v="4.2221202386415788E-2"/>
    <n v="6.8838916934373562E-4"/>
    <n v="2.1688848095456632"/>
    <n v="1859.8187241854062"/>
    <n v="2105.9871500688391"/>
    <n v="555.23451124368978"/>
    <n v="199.53740247820102"/>
    <n v="3.2533272143184946"/>
    <n v="0"/>
    <n v="4722.7466727856818"/>
    <n v="4702.8066684765363"/>
    <n v="4682.9508532631435"/>
    <n v="4663.1788716890178"/>
    <n v="4643.4903697984537"/>
    <n v="4623.8849951301909"/>
    <n v="4604.3623967111007"/>
    <n v="4584.922225049907"/>
    <n v="0.1"/>
    <n v="2.7861734380574939E-2"/>
  </r>
  <r>
    <s v="Guinea"/>
    <s v="GIN"/>
    <x v="2"/>
    <n v="1844"/>
    <n v="2787"/>
    <n v="341.34169736316329"/>
    <n v="8.4136314403189787E-3"/>
    <n v="0.4783415903533122"/>
    <n v="0.34535536267218658"/>
    <n v="0.1147456275792092"/>
    <n v="4.184484163081776E-2"/>
    <n v="1.1298946324155327E-2"/>
    <n v="2.8719232368265564"/>
    <n v="163.27793037059453"/>
    <n v="117.88418568799501"/>
    <n v="39.167467282888666"/>
    <n v="14.283389268156093"/>
    <n v="3.8568015167024536"/>
    <n v="841"/>
    <n v="337.48489584646086"/>
    <n v="1513.472695644512"/>
    <n v="3273.2395931183305"/>
    <n v="5614.3427738789542"/>
    <n v="8534.3496454555461"/>
    <n v="12030.837794521933"/>
    <n v="16101.394944302148"/>
    <n v="20743.61891215419"/>
    <n v="0.1"/>
    <m/>
  </r>
  <r>
    <s v="Guinea-Bissau"/>
    <s v="GNB"/>
    <x v="2"/>
    <n v="354"/>
    <n v="578"/>
    <n v="530.87376425855507"/>
    <n v="0"/>
    <n v="0.52402745995423339"/>
    <n v="0.32723112128146453"/>
    <n v="9.3821510297482841E-2"/>
    <n v="4.3478260869565216E-2"/>
    <n v="1.1441647597254004E-2"/>
    <n v="0"/>
    <n v="278.19243024075308"/>
    <n v="173.71841713723884"/>
    <n v="49.807378340047499"/>
    <n v="23.081468011241522"/>
    <n v="6.0740705292740849"/>
    <n v="69"/>
    <n v="524.79969372928099"/>
    <n v="619.11795593045804"/>
    <n v="761.32613873076036"/>
    <n v="951.21602508410479"/>
    <n v="1188.5803032359131"/>
    <n v="1473.2125627870612"/>
    <n v="1804.9072907749435"/>
    <n v="2183.459867771574"/>
    <n v="0.1"/>
    <n v="0.12997440191147674"/>
  </r>
  <r>
    <s v="Kenya"/>
    <s v="KEN"/>
    <x v="0"/>
    <n v="8682"/>
    <n v="8042"/>
    <n v="12792"/>
    <n v="9.1008372770294869E-4"/>
    <n v="0.29122679286494357"/>
    <n v="0.49126319621405168"/>
    <n v="0.17127775755369495"/>
    <n v="4.4230069166363309E-2"/>
    <n v="1.0921004732435385E-3"/>
    <n v="11.64179104477612"/>
    <n v="3725.373134328358"/>
    <n v="6284.2388059701489"/>
    <n v="2190.9850746268658"/>
    <n v="565.79104477611941"/>
    <n v="13.970149253731345"/>
    <n v="0"/>
    <n v="12778.029850746268"/>
    <n v="12721.512536335433"/>
    <n v="12665.245198397146"/>
    <n v="12609.226731283741"/>
    <n v="12553.456034237837"/>
    <n v="12497.932011370713"/>
    <n v="12442.653571640769"/>
    <n v="12387.619628832092"/>
    <n v="0.1"/>
    <n v="2.7861734380574939E-2"/>
  </r>
  <r>
    <s v="Lesotho"/>
    <s v="LSO"/>
    <x v="0"/>
    <n v="0"/>
    <n v="998"/>
    <n v="536.60977859778598"/>
    <n v="9.6273049759095664E-3"/>
    <n v="0.3275992964925577"/>
    <n v="0.38621639847768657"/>
    <n v="0.17590959830524627"/>
    <n v="8.0800436018606592E-2"/>
    <n v="1.9846965729993234E-2"/>
    <n v="5.1661059916161953"/>
    <n v="175.79298595966182"/>
    <n v="207.24749607794567"/>
    <n v="94.394810599803677"/>
    <n v="43.358304082549054"/>
    <n v="10.650075886209514"/>
    <n v="0"/>
    <n v="525.95970271157648"/>
    <n v="521.70992538084533"/>
    <n v="517.49448643624464"/>
    <n v="513.31310842211735"/>
    <n v="509.16551612466003"/>
    <n v="505.05143655380891"/>
    <n v="500.97059892527176"/>
    <n v="496.92273464270534"/>
    <n v="0.1"/>
    <n v="2.7861734380574939E-2"/>
  </r>
  <r>
    <s v="Liberia"/>
    <s v="LBR"/>
    <x v="2"/>
    <n v="168"/>
    <n v="693"/>
    <n v="954"/>
    <n v="8.4136314403189787E-3"/>
    <n v="0.4783415903533122"/>
    <n v="0.34535536267218658"/>
    <n v="0.1147456275792092"/>
    <n v="4.184484163081776E-2"/>
    <n v="1.1298946324155327E-2"/>
    <n v="8.0266043940643055"/>
    <n v="456.33787719705981"/>
    <n v="329.46901598926598"/>
    <n v="109.46732871056557"/>
    <n v="39.919978915800144"/>
    <n v="10.779194793244182"/>
    <n v="62"/>
    <n v="943.22080520675581"/>
    <n v="1026.0739126850788"/>
    <n v="1151.9803226472966"/>
    <n v="1320.7598792309971"/>
    <n v="1532.2331804331211"/>
    <n v="1786.2215749554503"/>
    <n v="2082.5471590632942"/>
    <n v="2421.0327734573225"/>
    <n v="0.1"/>
    <n v="6.4989517819706494E-2"/>
  </r>
  <r>
    <s v="Madagascar"/>
    <s v="MDG"/>
    <x v="2"/>
    <n v="3523"/>
    <n v="5230"/>
    <n v="5230"/>
    <n v="8.4136314403189787E-3"/>
    <n v="0.4783415903533122"/>
    <n v="0.34535536267218658"/>
    <n v="0.1147456275792092"/>
    <n v="4.184484163081776E-2"/>
    <n v="1.1298946324155327E-2"/>
    <n v="44.003292432868257"/>
    <n v="2501.7265175478228"/>
    <n v="1806.2085467755358"/>
    <n v="600.11963223926409"/>
    <n v="218.84852172917689"/>
    <n v="59.09348927533236"/>
    <n v="404"/>
    <n v="5170.9065107246679"/>
    <n v="5714.8689343217629"/>
    <n v="6539.3551557720048"/>
    <n v="7643.1913276859095"/>
    <n v="9025.2085146198042"/>
    <n v="10684.242672521867"/>
    <n v="12619.134628264177"/>
    <n v="14828.730059260408"/>
    <n v="0.1"/>
    <n v="7.7246653919694069E-2"/>
  </r>
  <r>
    <s v="Malawi"/>
    <s v="MWI"/>
    <x v="2"/>
    <n v="200"/>
    <n v="2760"/>
    <n v="1103.5637751855782"/>
    <n v="5.8653846153846154E-2"/>
    <n v="0.37692307692307692"/>
    <n v="0.31826923076923075"/>
    <n v="0.2048076923076923"/>
    <n v="2.8846153846153848E-2"/>
    <n v="1.2500000000000001E-2"/>
    <n v="64.72825989069257"/>
    <n v="415.95865372379484"/>
    <n v="351.23039383310226"/>
    <n v="226.01835011012321"/>
    <n v="31.833570438045527"/>
    <n v="13.794547189819728"/>
    <n v="101"/>
    <n v="1089.7692279957585"/>
    <n v="1228.0256629150012"/>
    <n v="1436.583281195054"/>
    <n v="1715.2392909608375"/>
    <n v="2063.791485313835"/>
    <n v="2482.0382406446602"/>
    <n v="2969.778514950493"/>
    <n v="3526.8118461573663"/>
    <n v="0.1"/>
    <n v="9.1521670311274561E-2"/>
  </r>
  <r>
    <s v="Mali"/>
    <s v="MLI"/>
    <x v="2"/>
    <n v="1971"/>
    <n v="2866"/>
    <n v="4402"/>
    <n v="8.4136314403189787E-3"/>
    <n v="0.4783415903533122"/>
    <n v="0.34535536267218658"/>
    <n v="0.1147456275792092"/>
    <n v="4.184484163081776E-2"/>
    <n v="1.1298946324155327E-2"/>
    <n v="37.036805600284147"/>
    <n v="2105.6596807352803"/>
    <n v="1520.2543064829654"/>
    <n v="505.11025260367887"/>
    <n v="184.20099285885979"/>
    <n v="49.73796171893175"/>
    <n v="0"/>
    <n v="4352.2620382810683"/>
    <n v="4334.0500667082988"/>
    <n v="4315.914302842154"/>
    <n v="4297.8544277926931"/>
    <n v="4279.8701240043638"/>
    <n v="4261.9610752504204"/>
    <n v="4244.1269666273638"/>
    <n v="4226.3674845494033"/>
    <n v="0.1"/>
    <n v="0"/>
  </r>
  <r>
    <s v="Mauritania"/>
    <s v="MRT"/>
    <x v="0"/>
    <n v="622"/>
    <n v="1626"/>
    <n v="1273.0346943092873"/>
    <n v="9.6273049759095664E-3"/>
    <n v="0.3275992964925577"/>
    <n v="0.38621639847768657"/>
    <n v="0.17590959830524627"/>
    <n v="8.0800436018606592E-2"/>
    <n v="1.9846965729993234E-2"/>
    <n v="12.255893247029315"/>
    <n v="417.04527026634076"/>
    <n v="491.66687477327559"/>
    <n v="223.9390217045887"/>
    <n v="102.86175836700397"/>
    <n v="25.265875951048837"/>
    <n v="87"/>
    <n v="1247.7688183582384"/>
    <n v="1359.4867919008616"/>
    <n v="1531.202079346149"/>
    <n v="1762.4298997817723"/>
    <n v="2052.689389346313"/>
    <n v="2401.5035695793181"/>
    <n v="2808.3993160270929"/>
    <n v="3272.9073271021584"/>
    <n v="0.1"/>
    <n v="6.8340635482211851E-2"/>
  </r>
  <r>
    <s v="Mauritius"/>
    <s v="MUS"/>
    <x v="1"/>
    <n v="2046"/>
    <n v="2395"/>
    <n v="1833.6554988586008"/>
    <n v="0"/>
    <n v="0.28747247489357414"/>
    <n v="0.27178258735557548"/>
    <n v="0.25114397272132999"/>
    <n v="0.13575699246202377"/>
    <n v="5.3843972567496616E-2"/>
    <n v="0"/>
    <n v="527.12548435909332"/>
    <n v="498.35563579856898"/>
    <n v="460.51152658566116"/>
    <n v="248.93155573649551"/>
    <n v="98.731296378781821"/>
    <n v="0"/>
    <n v="1734.9242024798191"/>
    <n v="1711.3713932919954"/>
    <n v="1688.1383299581089"/>
    <n v="1665.2206717046113"/>
    <n v="1642.6141366869904"/>
    <n v="1620.3145011897675"/>
    <n v="1598.3175988373548"/>
    <n v="1576.6193198156266"/>
    <n v="0.1"/>
    <n v="1.4681711808450191E-2"/>
  </r>
  <r>
    <s v="Mozambique"/>
    <s v="MOZ"/>
    <x v="2"/>
    <n v="1452"/>
    <n v="2473"/>
    <n v="5719"/>
    <n v="2.5575447570332483E-3"/>
    <n v="0.33418584825234443"/>
    <n v="0.38235294117647056"/>
    <n v="0.17732310315430519"/>
    <n v="8.2267689684569476E-2"/>
    <n v="2.1312872975277068E-2"/>
    <n v="14.626598465473148"/>
    <n v="1911.2088661551577"/>
    <n v="2186.6764705882351"/>
    <n v="1014.1108269394714"/>
    <n v="470.48891730605283"/>
    <n v="121.88832054560955"/>
    <n v="819"/>
    <n v="5597.1116794543905"/>
    <n v="6697.6655347768665"/>
    <n v="8362.4653877942601"/>
    <n v="10586.869317042157"/>
    <n v="13366.273589071605"/>
    <n v="16696.112344285124"/>
    <n v="20571.857285357288"/>
    <n v="24989.017368218585"/>
    <n v="0.1"/>
    <n v="0.14320685434516525"/>
  </r>
  <r>
    <s v="Namibia"/>
    <s v="NAM"/>
    <x v="1"/>
    <n v="0"/>
    <n v="1445"/>
    <n v="1597"/>
    <n v="0"/>
    <n v="0.28747247489357414"/>
    <n v="0.27178258735557548"/>
    <n v="0.25114397272132999"/>
    <n v="0.13575699246202377"/>
    <n v="5.3843972567496616E-2"/>
    <n v="0"/>
    <n v="459.09354240503791"/>
    <n v="434.03679200685406"/>
    <n v="401.07692443596397"/>
    <n v="216.80391696185197"/>
    <n v="85.988824190292092"/>
    <n v="73"/>
    <n v="1511.011175809708"/>
    <n v="1592.6981425292647"/>
    <n v="1724.3761515563021"/>
    <n v="1905.3665395354496"/>
    <n v="2134.9998564409389"/>
    <n v="2412.6157404992114"/>
    <n v="2737.5627948095398"/>
    <n v="3109.1984656396126"/>
    <n v="0.1"/>
    <n v="4.5710707576706325E-2"/>
  </r>
  <r>
    <s v="Niger"/>
    <s v="NER"/>
    <x v="2"/>
    <n v="946"/>
    <n v="1065"/>
    <n v="705.66936761273496"/>
    <n v="8.4136314403189787E-3"/>
    <n v="0.4783415903533122"/>
    <n v="0.34535536267218658"/>
    <n v="0.1147456275792092"/>
    <n v="4.184484163081776E-2"/>
    <n v="1.1298946324155327E-2"/>
    <n v="5.9372419778165177"/>
    <n v="337.55100756749175"/>
    <n v="243.70670037854865"/>
    <n v="80.972474450146947"/>
    <n v="29.528622931474214"/>
    <n v="7.9733203072569259"/>
    <n v="196"/>
    <n v="697.69604730547803"/>
    <n v="969.1765492448834"/>
    <n v="1376.7210453233379"/>
    <n v="1919.7601779122008"/>
    <n v="2597.7269718508123"/>
    <n v="3410.0568244770921"/>
    <n v="4356.1874956998581"/>
    <n v="5435.5590981126861"/>
    <n v="0.1"/>
    <n v="0.27775047209866"/>
  </r>
  <r>
    <s v="Nigeria"/>
    <s v="NGA"/>
    <x v="0"/>
    <n v="65759"/>
    <n v="83907"/>
    <n v="86181"/>
    <n v="1.5643758867828428E-2"/>
    <n v="0.38865645577909558"/>
    <n v="0.35225743078546223"/>
    <n v="0.16069414632371667"/>
    <n v="6.2957034234365342E-2"/>
    <n v="1.979117400953178E-2"/>
    <n v="1348.1947829883218"/>
    <n v="33494.802015498237"/>
    <n v="30357.897642521923"/>
    <n v="13848.782224324226"/>
    <n v="5425.7001673518398"/>
    <n v="1705.6231673154582"/>
    <n v="3766"/>
    <n v="84475.376832684546"/>
    <n v="89215.944913562911"/>
    <n v="96562.86778374546"/>
    <n v="106499.73660646248"/>
    <n v="119010.24585011408"/>
    <n v="134078.19263789151"/>
    <n v="151687.47610149294"/>
    <n v="171822.09673890832"/>
    <n v="0.1"/>
    <n v="4.3698727097620127E-2"/>
  </r>
  <r>
    <s v="Rwanda"/>
    <s v="RWA"/>
    <x v="2"/>
    <n v="1104"/>
    <n v="1648"/>
    <n v="1648"/>
    <n v="8.4136314403189787E-3"/>
    <n v="0.4783415903533122"/>
    <n v="0.34535536267218658"/>
    <n v="0.1147456275792092"/>
    <n v="4.184484163081776E-2"/>
    <n v="1.1298946324155327E-2"/>
    <n v="13.865664613645677"/>
    <n v="788.30694090225848"/>
    <n v="569.14563768376354"/>
    <n v="189.10079425053675"/>
    <n v="68.960299007587665"/>
    <n v="18.620663542207978"/>
    <n v="11"/>
    <n v="1629.3793364577921"/>
    <n v="1637.9612244287318"/>
    <n v="1654.2072016253676"/>
    <n v="1678.0851977877103"/>
    <n v="1709.5632768532655"/>
    <n v="1748.6096363954869"/>
    <n v="1795.1926070645777"/>
    <n v="1849.2806520306344"/>
    <n v="0.1"/>
    <n v="6.6747572815533977E-3"/>
  </r>
  <r>
    <s v="Sao Tome and Principe"/>
    <s v="STP"/>
    <x v="0"/>
    <n v="63"/>
    <n v="60"/>
    <n v="105"/>
    <n v="9.6273049759095664E-3"/>
    <n v="0.3275992964925577"/>
    <n v="0.38621639847768657"/>
    <n v="0.17590959830524627"/>
    <n v="8.0800436018606592E-2"/>
    <n v="1.9846965729993234E-2"/>
    <n v="1.0108670224705045"/>
    <n v="34.397926131718556"/>
    <n v="40.552721840157091"/>
    <n v="18.470507822050859"/>
    <n v="8.484045781953693"/>
    <n v="2.0839314016492896"/>
    <n v="0"/>
    <n v="102.91606859835071"/>
    <n v="102.08450227674395"/>
    <n v="101.25965504727361"/>
    <n v="100.44147261938227"/>
    <n v="99.629901141182572"/>
    <n v="98.824887195912751"/>
    <n v="98.02637779842081"/>
    <n v="97.234320391677102"/>
    <n v="0.1"/>
    <n v="2.7861734380574939E-2"/>
  </r>
  <r>
    <s v="Senegal"/>
    <s v="SEN"/>
    <x v="0"/>
    <n v="0"/>
    <n v="2883"/>
    <n v="2560.8623058327948"/>
    <n v="1.4224751066856331E-3"/>
    <n v="0.48079658605974396"/>
    <n v="0.35135135135135137"/>
    <n v="9.1038406827880516E-2"/>
    <n v="6.8278805120910391E-2"/>
    <n v="7.1123755334281651E-3"/>
    <n v="3.6427628816967212"/>
    <n v="1231.2538540134917"/>
    <n v="899.76243177909009"/>
    <n v="233.13682442859016"/>
    <n v="174.85261832144263"/>
    <n v="18.213814408483604"/>
    <n v="0"/>
    <n v="2542.6484914243115"/>
    <n v="2525.2875913406178"/>
    <n v="2508.0452294082779"/>
    <n v="2490.920596262958"/>
    <n v="2473.912888066568"/>
    <n v="2457.0213064695276"/>
    <n v="2440.2450585732918"/>
    <n v="2423.5833568931325"/>
    <n v="0.1"/>
    <n v="2.7861734380574939E-2"/>
  </r>
  <r>
    <s v="Seychelles"/>
    <s v="SYC"/>
    <x v="1"/>
    <n v="93"/>
    <n v="240"/>
    <n v="828"/>
    <n v="0"/>
    <n v="0.15789473684210525"/>
    <n v="0.26315789473684209"/>
    <n v="0.2982456140350877"/>
    <n v="0.15789473684210525"/>
    <n v="0.12280701754385964"/>
    <n v="0"/>
    <n v="130.73684210526315"/>
    <n v="217.89473684210526"/>
    <n v="246.94736842105263"/>
    <n v="130.73684210526315"/>
    <n v="101.68421052631578"/>
    <n v="0"/>
    <n v="726.31578947368428"/>
    <n v="714.84764542936296"/>
    <n v="703.56057734363617"/>
    <n v="692.45172612242084"/>
    <n v="681.51827781522468"/>
    <n v="670.7574629023527"/>
    <n v="660.16655559336812"/>
    <n v="649.74287313663069"/>
    <n v="0.1"/>
    <n v="1.4681711808450191E-2"/>
  </r>
  <r>
    <s v="Sierra Leone"/>
    <s v="SLE"/>
    <x v="2"/>
    <n v="0"/>
    <n v="566"/>
    <n v="1106"/>
    <n v="0"/>
    <n v="1"/>
    <n v="0"/>
    <n v="0"/>
    <n v="0"/>
    <n v="0"/>
    <n v="0"/>
    <n v="1106"/>
    <n v="0"/>
    <n v="0"/>
    <n v="0"/>
    <n v="0"/>
    <n v="39"/>
    <n v="1106"/>
    <n v="1160.5999999999999"/>
    <n v="1242.5"/>
    <n v="1351.7"/>
    <n v="1488.2"/>
    <n v="1652"/>
    <n v="1843.1"/>
    <n v="2061.5"/>
    <n v="0.1"/>
    <n v="3.5262206148282099E-2"/>
  </r>
  <r>
    <s v="South Africa"/>
    <s v="ZAF"/>
    <x v="1"/>
    <n v="0"/>
    <n v="43503"/>
    <n v="48021"/>
    <n v="0"/>
    <n v="0.28747247489357414"/>
    <n v="0.27178258735557548"/>
    <n v="0.25114397272132999"/>
    <n v="0.13575699246202377"/>
    <n v="5.3843972567496616E-2"/>
    <n v="0"/>
    <n v="13804.715716864324"/>
    <n v="13051.27162740209"/>
    <n v="12060.184714050987"/>
    <n v="6519.1865350188436"/>
    <n v="2585.6414066637549"/>
    <n v="0"/>
    <n v="45435.358593336248"/>
    <n v="44818.54182992976"/>
    <n v="44210.098785393289"/>
    <n v="43609.915780637893"/>
    <n v="43017.880679847738"/>
    <n v="42433.882869529101"/>
    <n v="41857.813237843795"/>
    <n v="41289.564154223117"/>
    <n v="0.1"/>
    <n v="1.4681711808450191E-2"/>
  </r>
  <r>
    <s v="South Sudan"/>
    <s v="SSD"/>
    <x v="2"/>
    <n v="0"/>
    <n v="411"/>
    <n v="456"/>
    <n v="8.4136314403189787E-3"/>
    <n v="0.4783415903533122"/>
    <n v="0.34535536267218658"/>
    <n v="0.1147456275792092"/>
    <n v="4.184484163081776E-2"/>
    <n v="1.1298946324155327E-2"/>
    <n v="3.8366159367854542"/>
    <n v="218.12376520111036"/>
    <n v="157.48204537851709"/>
    <n v="52.324006176119397"/>
    <n v="19.081247783652898"/>
    <n v="5.1523195238148292"/>
    <n v="0"/>
    <n v="450.84768047618519"/>
    <n v="448.96111549727044"/>
    <n v="447.08244481963254"/>
    <n v="445.21163540969292"/>
    <n v="443.34865437210129"/>
    <n v="441.4934689491576"/>
    <n v="439.64604652023581"/>
    <n v="437.80635460121033"/>
    <n v="0.1"/>
    <n v="0"/>
  </r>
  <r>
    <s v="Tanzania"/>
    <s v="TZA"/>
    <x v="0"/>
    <n v="1481"/>
    <n v="2885"/>
    <n v="8693"/>
    <n v="9.6273049759095664E-3"/>
    <n v="0.3275992964925577"/>
    <n v="0.38621639847768657"/>
    <n v="0.17590959830524627"/>
    <n v="8.0800436018606592E-2"/>
    <n v="1.9846965729993234E-2"/>
    <n v="83.690162155581859"/>
    <n v="2847.820684409804"/>
    <n v="3357.3791519665292"/>
    <n v="1529.1821380675058"/>
    <n v="702.39819030974706"/>
    <n v="172.52967309083118"/>
    <n v="1380"/>
    <n v="8520.4703269091697"/>
    <n v="10383.624555159384"/>
    <n v="13197.724416008345"/>
    <n v="16955.086227281656"/>
    <n v="21648.088391291913"/>
    <n v="27269.170893193339"/>
    <n v="33810.834803389749"/>
    <n v="41265.641783963052"/>
    <n v="0.1"/>
    <n v="0.15874841826757161"/>
  </r>
  <r>
    <s v="Togo"/>
    <s v="TGO"/>
    <x v="2"/>
    <n v="361"/>
    <n v="611"/>
    <n v="730"/>
    <n v="4.10958904109589E-3"/>
    <n v="0.29178082191780824"/>
    <n v="0.36575342465753424"/>
    <n v="0.21232876712328766"/>
    <n v="8.7671232876712329E-2"/>
    <n v="3.8356164383561646E-2"/>
    <n v="2.9999999999999996"/>
    <n v="213.00000000000003"/>
    <n v="267"/>
    <n v="155"/>
    <n v="64"/>
    <n v="28"/>
    <n v="91"/>
    <n v="702"/>
    <n v="823.24547945205472"/>
    <n v="1007.1279848376805"/>
    <n v="1253.0983696281446"/>
    <n v="1560.6123017300349"/>
    <n v="1929.1302212765113"/>
    <n v="2358.1172987886075"/>
    <n v="2847.0433937033372"/>
    <n v="0.1"/>
    <n v="0.12465753424657534"/>
  </r>
  <r>
    <s v="Uganda"/>
    <s v="UGA"/>
    <x v="2"/>
    <n v="3370"/>
    <n v="17186"/>
    <n v="9051.7813279678066"/>
    <n v="8.4136314403189787E-3"/>
    <n v="0.4783415903533122"/>
    <n v="0.34535536267218658"/>
    <n v="0.1147456275792092"/>
    <n v="4.184484163081776E-2"/>
    <n v="1.1298946324155327E-2"/>
    <n v="76.158351971882212"/>
    <n v="4329.8434759505371"/>
    <n v="3126.0812233496486"/>
    <n v="1038.6523291874337"/>
    <n v="378.77035614560612"/>
    <n v="102.27559136269967"/>
    <n v="390"/>
    <n v="8949.5057366051078"/>
    <n v="9458.0566715828736"/>
    <n v="10237.479583227105"/>
    <n v="11286.641012041218"/>
    <n v="12604.412241471942"/>
    <n v="14189.669278062549"/>
    <n v="16041.292831689128"/>
    <n v="18158.168295879568"/>
    <n v="0.1"/>
    <n v="4.3085442065971556E-2"/>
  </r>
  <r>
    <s v="Zambia"/>
    <s v="ZMB"/>
    <x v="0"/>
    <n v="0"/>
    <n v="4021"/>
    <n v="6531"/>
    <n v="4.1968714231209459E-3"/>
    <n v="0.36398321251430754"/>
    <n v="0.28462418924074778"/>
    <n v="0.18428080885158338"/>
    <n v="0.10587561999236933"/>
    <n v="5.7039297977871044E-2"/>
    <n v="27.409767264402898"/>
    <n v="2377.1743609309424"/>
    <n v="1858.8805799313238"/>
    <n v="1203.537962609691"/>
    <n v="691.47367417016414"/>
    <n v="372.52365509347578"/>
    <n v="0"/>
    <n v="6158.4763449065249"/>
    <n v="6093.2730947839927"/>
    <n v="6028.7601881146848"/>
    <n v="5964.9303158444891"/>
    <n v="5901.7762463043573"/>
    <n v="5839.290824390986"/>
    <n v="5777.4669707561707"/>
    <n v="5716.2976810047458"/>
    <n v="0.1"/>
    <n v="2.7861734380574939E-2"/>
  </r>
  <r>
    <s v="Zimbabwe"/>
    <s v="ZWE"/>
    <x v="0"/>
    <n v="1114"/>
    <n v="3026"/>
    <n v="3131.5983655333839"/>
    <n v="0"/>
    <n v="0.15989660265878877"/>
    <n v="0.4098966026587888"/>
    <n v="0.43020679468242246"/>
    <n v="0"/>
    <n v="0"/>
    <n v="0"/>
    <n v="500.73193954060383"/>
    <n v="1283.6315309239499"/>
    <n v="1347.2348950688302"/>
    <n v="0"/>
    <n v="0"/>
    <n v="212"/>
    <n v="3131.5983655333839"/>
    <n v="3428.3983655333841"/>
    <n v="3873.5983655333839"/>
    <n v="4467.1983655333843"/>
    <n v="5209.1983655333843"/>
    <n v="6099.5983655333839"/>
    <n v="7138.3983655333841"/>
    <n v="8325.5983655333839"/>
    <n v="0.1"/>
    <n v="6.7697059218477226E-2"/>
  </r>
  <r>
    <s v="AFRO"/>
    <s v="AFRO"/>
    <x v="3"/>
    <n v="115272"/>
    <n v="339167"/>
    <n v="339063.33331175643"/>
    <n v="1.0147857047578982E-2"/>
    <n v="0.36773412409320844"/>
    <n v="0.36325018725823166"/>
    <n v="0.1737756389866508"/>
    <n v="6.744374557506233E-2"/>
    <n v="1.7648447039267795E-2"/>
    <n v="3440.7662365233291"/>
    <n v="124685.15788752233"/>
    <n v="123164.81931789574"/>
    <n v="58920.947403194237"/>
    <n v="22867.701185710655"/>
    <n v="5983.9412809101377"/>
    <n v="13224"/>
    <n v="333079.39203084627"/>
    <n v="349346.57985360379"/>
    <n v="374760.85566868738"/>
    <n v="409260.52808856627"/>
    <n v="452784.32179553417"/>
    <n v="505271.37473557866"/>
    <n v="566661.23533117585"/>
    <n v="636893.85971288325"/>
    <n v="0.1"/>
    <n v="3.9001563132280696E-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Algeria"/>
    <s v="DZA"/>
    <x v="0"/>
    <n v="0"/>
    <n v="73168"/>
    <n v="48033.824348850052"/>
    <n v="8.2034047710869931E-2"/>
    <n v="0.29430885350669383"/>
    <n v="0.20861109580739354"/>
    <n v="0.13796760509062861"/>
    <n v="0.17288303674728664"/>
    <n v="0.10419536113712743"/>
    <n v="3940.4090383691109"/>
    <n v="14136.779773651973"/>
    <n v="10020.388733233471"/>
    <n v="6627.1117087547645"/>
    <n v="8304.2334200149544"/>
    <n v="5004.9016748257764"/>
    <n v="0"/>
    <x v="0"/>
    <n v="66481.047775022264"/>
    <n v="66268.517191177132"/>
    <n v="66059.660900605682"/>
    <n v="65854.415381010011"/>
    <n v="65652.718208284976"/>
    <n v="65454.508037532352"/>
    <n v="65259.72458440312"/>
    <n v="65068.308606762403"/>
    <n v="0.1"/>
    <n v="2.7861734380574939E-2"/>
    <n v="1338.3056552908531"/>
  </r>
  <r>
    <s v="Angola"/>
    <s v="AGO"/>
    <x v="0"/>
    <n v="0"/>
    <n v="6593"/>
    <n v="8693"/>
    <n v="9.6273049759095664E-3"/>
    <n v="0.3275992964925577"/>
    <n v="0.38621639847768657"/>
    <n v="0.17590959830524627"/>
    <n v="8.0800436018606592E-2"/>
    <n v="1.9846965729993234E-2"/>
    <n v="83.690162155581859"/>
    <n v="2847.820684409804"/>
    <n v="3357.3791519665292"/>
    <n v="1529.1821380675058"/>
    <n v="702.39819030974706"/>
    <n v="172.52967309083118"/>
    <n v="0"/>
    <x v="1"/>
    <n v="8690.011766788406"/>
    <n v="8789.3375326913101"/>
    <n v="8887.8607420749304"/>
    <n v="8985.5878796309353"/>
    <n v="9082.5253776544032"/>
    <n v="9178.6796164671869"/>
    <n v="9274.0569248378579"/>
    <n v="9368.6635803982663"/>
    <n v="0.1"/>
    <n v="2.7861734380574939E-2"/>
    <n v="242.20205697033794"/>
  </r>
  <r>
    <s v="Benin"/>
    <s v="BEN"/>
    <x v="0"/>
    <n v="0"/>
    <n v="908"/>
    <n v="2608"/>
    <n v="1.2341197822141561E-2"/>
    <n v="0.40471869328493648"/>
    <n v="0.33248638838475497"/>
    <n v="0.16624319419237749"/>
    <n v="8.0217785843920142E-2"/>
    <n v="3.9927404718693282E-3"/>
    <n v="32.185843920145189"/>
    <n v="1055.5063520871142"/>
    <n v="867.12450090744096"/>
    <n v="433.56225045372048"/>
    <n v="209.20798548094373"/>
    <n v="10.413067150635207"/>
    <n v="291"/>
    <x v="2"/>
    <n v="2801.2869328493643"/>
    <n v="2982.515629322696"/>
    <n v="3162.2905493197804"/>
    <n v="3340.6233547136217"/>
    <n v="3517.5256138282598"/>
    <n v="3693.0088021892016"/>
    <n v="3867.084303267829"/>
    <n v="4039.7634092198364"/>
    <n v="0.1"/>
    <n v="0.11157975460122699"/>
    <n v="291"/>
  </r>
  <r>
    <s v="Botswana"/>
    <s v="BWA"/>
    <x v="1"/>
    <n v="819"/>
    <n v="925"/>
    <n v="992"/>
    <n v="0"/>
    <n v="0.48640483383685801"/>
    <n v="0.3252769385699899"/>
    <n v="0.12185297079556898"/>
    <n v="5.2366565961732128E-2"/>
    <n v="1.4098690835850957E-2"/>
    <n v="0"/>
    <n v="482.51359516616316"/>
    <n v="322.67472306142997"/>
    <n v="120.87814702920443"/>
    <n v="51.947633434038273"/>
    <n v="13.985901309164149"/>
    <n v="8"/>
    <x v="3"/>
    <n v="983.61409869083593"/>
    <n v="984.06324943283755"/>
    <n v="984.51004812664348"/>
    <n v="984.95450708912233"/>
    <n v="985.3966385726435"/>
    <n v="985.83645476541517"/>
    <n v="986.27396779181981"/>
    <n v="986.70918971274887"/>
    <n v="0.1"/>
    <n v="8.0645161290322578E-3"/>
    <n v="8"/>
  </r>
  <r>
    <s v="Burkina Faso"/>
    <s v="BFA"/>
    <x v="2"/>
    <n v="803"/>
    <n v="1684"/>
    <n v="3323"/>
    <n v="0"/>
    <n v="0.4797639123102867"/>
    <n v="0.45868465430016864"/>
    <n v="4.7217537942664416E-2"/>
    <n v="1.3912310286677909E-2"/>
    <n v="4.2158516020236085E-4"/>
    <n v="0"/>
    <n v="1594.2554806070827"/>
    <n v="1524.2091062394604"/>
    <n v="156.90387858347384"/>
    <n v="46.230607082630691"/>
    <n v="1.4009274873524451"/>
    <n v="578"/>
    <x v="4"/>
    <n v="3726.1990725126475"/>
    <n v="4125.6150687439749"/>
    <n v="4524.4753850479992"/>
    <n v="4922.7807945038776"/>
    <n v="5320.5320691152347"/>
    <n v="5717.7299798116601"/>
    <n v="6114.3752964502028"/>
    <n v="6510.4687878168615"/>
    <n v="0.1"/>
    <n v="0.17393921155582306"/>
    <n v="578"/>
  </r>
  <r>
    <s v="Burundi"/>
    <s v="BDI"/>
    <x v="2"/>
    <n v="554"/>
    <n v="1084"/>
    <n v="1014.8610394397346"/>
    <n v="0"/>
    <n v="0.23688394276629571"/>
    <n v="0.62957074721780604"/>
    <n v="9.6979332273449917E-2"/>
    <n v="3.0206677265500796E-2"/>
    <n v="6.3593004769475362E-3"/>
    <n v="0"/>
    <n v="240.40428438238544"/>
    <n v="638.92682292231302"/>
    <n v="98.420545955204773"/>
    <n v="30.655579887686738"/>
    <n v="6.4538062921445762"/>
    <n v="319"/>
    <x v="5"/>
    <n v="1231.7072331475899"/>
    <n v="1451.2866548598627"/>
    <n v="1670.2028000995547"/>
    <n v="1888.4576724045003"/>
    <n v="2106.053269260512"/>
    <n v="2322.9915821196619"/>
    <n v="2539.2745964185056"/>
    <n v="2754.9042915962559"/>
    <n v="0.1"/>
    <n v="0.31432874807777383"/>
    <n v="319"/>
  </r>
  <r>
    <s v="Cameroon"/>
    <s v="CMR"/>
    <x v="0"/>
    <n v="1842"/>
    <n v="3259"/>
    <n v="3759"/>
    <n v="3.9872408293460922E-3"/>
    <n v="0.50212652844231787"/>
    <n v="0.32961190855927697"/>
    <n v="0.12068048910154174"/>
    <n v="4.1467304625199361E-2"/>
    <n v="2.1265284423179162E-3"/>
    <n v="14.988038277511961"/>
    <n v="1887.4936204146729"/>
    <n v="1239.011164274322"/>
    <n v="453.63795853269539"/>
    <n v="155.8755980861244"/>
    <n v="7.993620414673047"/>
    <n v="0"/>
    <x v="6"/>
    <n v="3824.318961260934"/>
    <n v="3881.7731230014879"/>
    <n v="3938.9890378193536"/>
    <n v="3995.9676936603032"/>
    <n v="4052.7100743733636"/>
    <n v="4109.2171597278048"/>
    <n v="4165.489925430059"/>
    <n v="4221.5293431405653"/>
    <n v="0.1"/>
    <n v="2.7861734380574939E-2"/>
    <n v="104.7322595365812"/>
  </r>
  <r>
    <s v="Cape-Verde"/>
    <s v="CPV"/>
    <x v="0"/>
    <n v="308"/>
    <n v="452"/>
    <n v="2644"/>
    <n v="4.1603630862329802E-3"/>
    <n v="0.20385779122541603"/>
    <n v="0.30295007564296522"/>
    <n v="0.26966717095310139"/>
    <n v="0.17095310136157338"/>
    <n v="4.8411497730711045E-2"/>
    <n v="11"/>
    <n v="539"/>
    <n v="801"/>
    <n v="713.00000000000011"/>
    <n v="452"/>
    <n v="128"/>
    <n v="0"/>
    <x v="0"/>
    <n v="2567.5664979915682"/>
    <n v="2575.2396504047633"/>
    <n v="2582.781627897733"/>
    <n v="2590.1946729464203"/>
    <n v="2597.4809896909469"/>
    <n v="2604.6427445909758"/>
    <n v="2611.6820670698694"/>
    <n v="2618.6010501478377"/>
    <n v="0.1"/>
    <n v="2.7861734380574939E-2"/>
    <n v="73.666425702240133"/>
  </r>
  <r>
    <s v="Central African Republic"/>
    <s v="CAF"/>
    <x v="2"/>
    <n v="324"/>
    <n v="335"/>
    <n v="146.38957816377172"/>
    <n v="8.4136314403189787E-3"/>
    <n v="0.4783415903533122"/>
    <n v="0.34535536267218658"/>
    <n v="0.1147456275792092"/>
    <n v="4.184484163081776E-2"/>
    <n v="1.1298946324155327E-2"/>
    <n v="1.2316679573737424"/>
    <n v="70.024223630009061"/>
    <n v="50.556425858177789"/>
    <n v="16.797564017457685"/>
    <n v="6.1256487146652452"/>
    <n v="1.6540479860881974"/>
    <n v="0"/>
    <x v="7"/>
    <n v="154.12792475218842"/>
    <n v="162.87537346647912"/>
    <n v="171.5862186201575"/>
    <n v="180.26061338024326"/>
    <n v="188.8987102728311"/>
    <n v="197.50066118577274"/>
    <n v="206.06661737134758"/>
    <n v="214.59672944892222"/>
    <n v="0.1"/>
    <n v="9.1657525783673408E-2"/>
    <n v="13.41770653500698"/>
  </r>
  <r>
    <s v="Chad"/>
    <s v="TCD"/>
    <x v="2"/>
    <n v="573"/>
    <n v="803"/>
    <n v="1507"/>
    <n v="1.9880715705765406E-3"/>
    <n v="0.58316766070245196"/>
    <n v="0.28098078197481774"/>
    <n v="8.5487077534791248E-2"/>
    <n v="4.8376408217362492E-2"/>
    <n v="0"/>
    <n v="2.9960238568588466"/>
    <n v="878.83366467859514"/>
    <n v="423.43803843605031"/>
    <n v="128.82902584493041"/>
    <n v="72.90324718356527"/>
    <n v="0"/>
    <n v="113"/>
    <x v="8"/>
    <n v="1586.1"/>
    <n v="1657.5270178926439"/>
    <n v="1728.6084975277556"/>
    <n v="1799.3461104953151"/>
    <n v="1869.7415202987506"/>
    <n v="1939.7963823940581"/>
    <n v="2009.5123442287322"/>
    <n v="2078.8910452805085"/>
    <n v="0.1"/>
    <n v="7.4983410749834112E-2"/>
    <n v="113"/>
  </r>
  <r>
    <s v="Comoros"/>
    <s v="COM"/>
    <x v="0"/>
    <n v="123"/>
    <n v="220"/>
    <n v="354"/>
    <n v="9.6273049759095664E-3"/>
    <n v="0.3275992964925577"/>
    <n v="0.38621639847768657"/>
    <n v="0.17590959830524627"/>
    <n v="8.0800436018606592E-2"/>
    <n v="1.9846965729993234E-2"/>
    <n v="3.4080659614719866"/>
    <n v="115.97015095836542"/>
    <n v="136.72060506110105"/>
    <n v="62.271997800057179"/>
    <n v="28.603354350586734"/>
    <n v="7.0258258684176047"/>
    <n v="0"/>
    <x v="0"/>
    <n v="353.87831191108887"/>
    <n v="357.92309750060087"/>
    <n v="361.93520104618949"/>
    <n v="365.91488662019452"/>
    <n v="369.86241616123993"/>
    <n v="373.77804949147406"/>
    <n v="377.66204433367102"/>
    <n v="381.51465632819361"/>
    <n v="0.1"/>
    <n v="2.7861734380574939E-2"/>
    <n v="9.863053970723529"/>
  </r>
  <r>
    <s v="Congo"/>
    <s v="COG"/>
    <x v="0"/>
    <n v="0"/>
    <n v="544"/>
    <n v="1042"/>
    <n v="0"/>
    <n v="0.44529750479846447"/>
    <n v="0.29942418426103645"/>
    <n v="0.11612284069097889"/>
    <n v="0.13147792706333974"/>
    <n v="7.677543186180422E-3"/>
    <n v="0"/>
    <n v="464"/>
    <n v="312"/>
    <n v="121"/>
    <n v="137"/>
    <n v="8"/>
    <n v="39"/>
    <x v="3"/>
    <n v="1061.3"/>
    <n v="1074.6462476007678"/>
    <n v="1087.8170215046732"/>
    <n v="1100.8146288035082"/>
    <n v="1113.6413462558996"/>
    <n v="1126.2994206861244"/>
    <n v="1138.7910693776792"/>
    <n v="1151.1184804616771"/>
    <n v="0.1"/>
    <n v="3.7428023032629557E-2"/>
    <n v="39"/>
  </r>
  <r>
    <s v="Cote d'Ivoire"/>
    <s v="CIV"/>
    <x v="0"/>
    <n v="5240"/>
    <n v="5602"/>
    <n v="6327.5519796794806"/>
    <n v="0"/>
    <n v="0.18665043619395416"/>
    <n v="0.3564617569486711"/>
    <n v="0.32116047879894499"/>
    <n v="0.12984378170014202"/>
    <n v="5.883546358287685E-3"/>
    <n v="0"/>
    <n v="1181.0403370470933"/>
    <n v="2255.5302958605898"/>
    <n v="2032.1596234190743"/>
    <n v="821.59327794580395"/>
    <n v="37.228445406919242"/>
    <n v="265"/>
    <x v="9"/>
    <n v="6475.8235342725611"/>
    <n v="6577.2389925412881"/>
    <n v="6677.3376341475687"/>
    <n v="6776.1365571369288"/>
    <n v="6873.652637547405"/>
    <n v="6969.9025322921743"/>
    <n v="7064.9026820047529"/>
    <n v="7158.6693138472556"/>
    <n v="0.1"/>
    <n v="4.1880335531186495E-2"/>
    <n v="265"/>
  </r>
  <r>
    <s v="DRC"/>
    <s v="COD"/>
    <x v="2"/>
    <n v="6418"/>
    <n v="31546"/>
    <n v="21289.958719118578"/>
    <n v="8.4136314403189787E-3"/>
    <n v="0.4783415903533122"/>
    <n v="0.34535536267218658"/>
    <n v="0.1147456275792092"/>
    <n v="4.184484163081776E-2"/>
    <n v="1.1298946324155327E-2"/>
    <n v="179.12586604226925"/>
    <n v="10183.872712259546"/>
    <n v="7352.6014147170772"/>
    <n v="2442.9296743607179"/>
    <n v="890.87495092816459"/>
    <n v="240.5541008108035"/>
    <n v="27"/>
    <x v="10"/>
    <n v="21068.304618307779"/>
    <n v="20999.044631289489"/>
    <n v="20930.074461590011"/>
    <n v="20861.392896473368"/>
    <n v="20792.998728278249"/>
    <n v="20724.890754396791"/>
    <n v="20657.067777253418"/>
    <n v="20589.528604283794"/>
    <n v="0.1"/>
    <n v="1.2682034923700322E-3"/>
    <n v="27"/>
  </r>
  <r>
    <s v="Equatorial Guinea"/>
    <s v="GNQ"/>
    <x v="1"/>
    <n v="0"/>
    <n v="246"/>
    <n v="274.68237599257924"/>
    <n v="0"/>
    <n v="0.28747247489357414"/>
    <n v="0.27178258735557548"/>
    <n v="0.25114397272132999"/>
    <n v="0.13575699246202377"/>
    <n v="5.3843972567496616E-2"/>
    <n v="0"/>
    <n v="78.963622436234033"/>
    <n v="74.653886848240191"/>
    <n v="68.984823143310422"/>
    <n v="37.290053247075356"/>
    <n v="14.789990317719228"/>
    <n v="0"/>
    <x v="11"/>
    <n v="262.7153509130884"/>
    <n v="261.97177155996019"/>
    <n v="261.2382868164957"/>
    <n v="260.51475964131021"/>
    <n v="259.80105485345149"/>
    <n v="259.0970391071433"/>
    <n v="258.40258086687157"/>
    <n v="257.71755038280884"/>
    <n v="0.1"/>
    <n v="1.4681711808450191E-2"/>
    <n v="4.0328074831834053"/>
  </r>
  <r>
    <s v="Eritrea"/>
    <s v="ERI"/>
    <x v="2"/>
    <n v="172"/>
    <n v="280"/>
    <n v="298.81764752330793"/>
    <n v="8.4136314403189787E-3"/>
    <n v="0.4783415903533122"/>
    <n v="0.34535536267218658"/>
    <n v="0.1147456275792092"/>
    <n v="4.184484163081776E-2"/>
    <n v="0"/>
    <n v="2.514141554124258"/>
    <n v="142.93690874193459"/>
    <n v="103.19827703326163"/>
    <n v="34.288018496804895"/>
    <n v="12.503977137106343"/>
    <n v="0"/>
    <n v="45"/>
    <x v="0"/>
    <n v="330.31764752330793"/>
    <n v="360.43543855846019"/>
    <n v="390.42720217399886"/>
    <n v="420.2934657296654"/>
    <n v="450.03475437847283"/>
    <n v="479.65159107593968"/>
    <n v="509.14449658928544"/>
    <n v="538.51398950658734"/>
    <n v="0.1"/>
    <n v="0.15059351538630253"/>
    <n v="45"/>
  </r>
  <r>
    <s v="Eswatini"/>
    <s v="SWZ"/>
    <x v="0"/>
    <n v="0"/>
    <n v="278"/>
    <n v="687"/>
    <n v="0"/>
    <n v="0.14374225526641884"/>
    <n v="0.85625774473358118"/>
    <n v="0"/>
    <n v="0"/>
    <n v="0"/>
    <n v="0"/>
    <n v="98.750929368029745"/>
    <n v="588.24907063197031"/>
    <n v="0"/>
    <n v="0"/>
    <n v="0"/>
    <n v="0"/>
    <x v="0"/>
    <n v="700.39870806361853"/>
    <n v="713.79741612723706"/>
    <n v="727.19612419085558"/>
    <n v="740.59483225447411"/>
    <n v="753.99354031809264"/>
    <n v="767.39224838171117"/>
    <n v="780.7909564453297"/>
    <n v="794.18966450894823"/>
    <n v="0.1"/>
    <n v="2.7861734380574939E-2"/>
    <n v="19.141011519454985"/>
  </r>
  <r>
    <s v="Ethiopia"/>
    <s v="ETH"/>
    <x v="2"/>
    <n v="0"/>
    <n v="11263"/>
    <n v="23741"/>
    <n v="8.4136314403189787E-3"/>
    <n v="0.4783415903533122"/>
    <n v="0.34535536267218658"/>
    <n v="0.1147456275792092"/>
    <n v="4.184484163081776E-2"/>
    <n v="1.1298946324155327E-2"/>
    <n v="199.74802402461287"/>
    <n v="11356.307696577986"/>
    <n v="8199.0816652003814"/>
    <n v="2724.1759443580054"/>
    <n v="993.4383851572444"/>
    <n v="268.24828468177162"/>
    <n v="2936"/>
    <x v="12"/>
    <n v="25527.951715318231"/>
    <n v="27476.330405649565"/>
    <n v="29416.55613620752"/>
    <n v="31348.663022923152"/>
    <n v="33272.685038969939"/>
    <n v="35188.656015361157"/>
    <n v="37096.609641544739"/>
    <n v="38996.579465995666"/>
    <n v="0.1"/>
    <n v="0.12366791626300493"/>
    <n v="2936"/>
  </r>
  <r>
    <s v="Gabon"/>
    <s v="GAB"/>
    <x v="1"/>
    <n v="0"/>
    <n v="1368"/>
    <n v="1265.3898201501661"/>
    <n v="0"/>
    <n v="0.21811785400175901"/>
    <n v="0.22691292875989447"/>
    <n v="0.33333333333333331"/>
    <n v="0.19700967458223395"/>
    <n v="2.4626209322779244E-2"/>
    <n v="0"/>
    <n v="276.00411204682604"/>
    <n v="287.13331011323032"/>
    <n v="421.79660671672201"/>
    <n v="249.29403668745576"/>
    <n v="31.16175458593197"/>
    <n v="62"/>
    <x v="13"/>
    <n v="1277.6280655642342"/>
    <n v="1295.8575566208406"/>
    <n v="1313.7279090673605"/>
    <n v="1331.2461982818647"/>
    <n v="1348.4193602506302"/>
    <n v="1365.2541943142942"/>
    <n v="1381.7573658599053"/>
    <n v="1397.935408959939"/>
    <n v="0.1"/>
    <n v="4.8996758953412753E-2"/>
    <n v="62"/>
  </r>
  <r>
    <s v="Gambia"/>
    <s v="GMB"/>
    <x v="2"/>
    <n v="213"/>
    <n v="298"/>
    <n v="273.86722731906218"/>
    <n v="8.4136314403189787E-3"/>
    <n v="0.4783415903533122"/>
    <n v="0.34535536267218658"/>
    <n v="0.1147456275792092"/>
    <n v="4.184484163081776E-2"/>
    <n v="1.1298946324155327E-2"/>
    <n v="2.3042179142446462"/>
    <n v="131.00208506145228"/>
    <n v="94.581515614800878"/>
    <n v="31.425066872103734"/>
    <n v="11.459930755037323"/>
    <n v="3.0944111014233289"/>
    <n v="0"/>
    <x v="14"/>
    <n v="288.34421093214894"/>
    <n v="304.70903386249711"/>
    <n v="321.00537845046159"/>
    <n v="337.23353124258159"/>
    <n v="353.39377758634691"/>
    <n v="369.48640163521526"/>
    <n v="385.5116863536087"/>
    <n v="401.46991352188911"/>
    <n v="0.1"/>
    <n v="9.1657525783673408E-2"/>
    <n v="25.101992449300088"/>
  </r>
  <r>
    <s v="Ghana"/>
    <s v="GHA"/>
    <x v="0"/>
    <n v="2730"/>
    <n v="4406"/>
    <n v="4726"/>
    <n v="4.5892611289582378E-4"/>
    <n v="0.39352914180816889"/>
    <n v="0.4456172556218449"/>
    <n v="0.11748508490133089"/>
    <n v="4.2221202386415788E-2"/>
    <n v="6.8838916934373562E-4"/>
    <n v="2.1688848095456632"/>
    <n v="1859.8187241854062"/>
    <n v="2105.9871500688391"/>
    <n v="555.23451124368978"/>
    <n v="199.53740247820102"/>
    <n v="3.2533272143184946"/>
    <n v="0"/>
    <x v="15"/>
    <n v="4814.9188624634999"/>
    <n v="4886.7618857646939"/>
    <n v="4958.3015791832031"/>
    <n v="5029.5392234142637"/>
    <n v="5100.4760937458632"/>
    <n v="5171.1134600815694"/>
    <n v="5241.4525869632653"/>
    <n v="5311.4947335937859"/>
    <n v="0.1"/>
    <n v="2.7861734380574939E-2"/>
    <n v="131.67455668259717"/>
  </r>
  <r>
    <s v="Guinea"/>
    <s v="GIN"/>
    <x v="2"/>
    <n v="1844"/>
    <n v="2787"/>
    <n v="341.34169736316329"/>
    <n v="8.4136314403189787E-3"/>
    <n v="0.4783415903533122"/>
    <n v="0.34535536267218658"/>
    <n v="0.1147456275792092"/>
    <n v="4.184484163081776E-2"/>
    <n v="1.1298946324155327E-2"/>
    <n v="2.8719232368265564"/>
    <n v="163.27793037059453"/>
    <n v="117.88418568799501"/>
    <n v="39.167467282888666"/>
    <n v="14.283389268156093"/>
    <n v="3.8568015167024536"/>
    <n v="841"/>
    <x v="11"/>
    <n v="359.38547064543576"/>
    <n v="379.78220263405314"/>
    <n v="400.09358482068552"/>
    <n v="420.31997435022765"/>
    <n v="440.46172687310707"/>
    <n v="460.51919655153779"/>
    <n v="480.49273606574764"/>
    <n v="500.38269662017956"/>
    <n v="0.1"/>
    <n v="9.1657525783673408E-2"/>
    <n v="31.286535427106983"/>
  </r>
  <r>
    <s v="Guinea-Bissau"/>
    <s v="GNB"/>
    <x v="2"/>
    <n v="354"/>
    <n v="578"/>
    <n v="530.87376425855507"/>
    <n v="0"/>
    <n v="0.52402745995423339"/>
    <n v="0.32723112128146453"/>
    <n v="9.3821510297482841E-2"/>
    <n v="4.3478260869565216E-2"/>
    <n v="1.1441647597254004E-2"/>
    <n v="0"/>
    <n v="278.19243024075308"/>
    <n v="173.71841713723884"/>
    <n v="49.807378340047499"/>
    <n v="23.081468011241522"/>
    <n v="6.0740705292740849"/>
    <n v="69"/>
    <x v="0"/>
    <n v="573.09969372928094"/>
    <n v="618.907955930458"/>
    <n v="664.51705177423855"/>
    <n v="709.92784720130703"/>
    <n v="755.14120438738826"/>
    <n v="800.15798175961697"/>
    <n v="844.979034012836"/>
    <n v="889.60521212582364"/>
    <n v="0.1"/>
    <n v="0.12997440191147674"/>
    <n v="69"/>
  </r>
  <r>
    <s v="Kenya"/>
    <s v="KEN"/>
    <x v="0"/>
    <n v="8682"/>
    <n v="8042"/>
    <n v="12792"/>
    <n v="9.1008372770294869E-4"/>
    <n v="0.29122679286494357"/>
    <n v="0.49126319621405168"/>
    <n v="0.17127775755369495"/>
    <n v="4.4230069166363309E-2"/>
    <n v="1.0921004732435385E-3"/>
    <n v="11.64179104477612"/>
    <n v="3725.373134328358"/>
    <n v="6284.2388059701489"/>
    <n v="2190.9850746268658"/>
    <n v="565.79104477611941"/>
    <n v="13.970149253731345"/>
    <n v="0"/>
    <x v="16"/>
    <n v="13027.514965083688"/>
    <n v="13219.37929062396"/>
    <n v="13410.394998925311"/>
    <n v="13600.565843427659"/>
    <n v="13789.895560969431"/>
    <n v="13978.38787186099"/>
    <n v="14166.046479957744"/>
    <n v="14352.875072732919"/>
    <n v="0.1"/>
    <n v="2.7861734380574939E-2"/>
    <n v="356.40730619631461"/>
  </r>
  <r>
    <s v="Lesotho"/>
    <s v="LSO"/>
    <x v="0"/>
    <n v="0"/>
    <n v="998"/>
    <n v="536.60977859778598"/>
    <n v="9.6273049759095664E-3"/>
    <n v="0.3275992964925577"/>
    <n v="0.38621639847768657"/>
    <n v="0.17590959830524627"/>
    <n v="8.0800436018606592E-2"/>
    <n v="1.9846965729993234E-2"/>
    <n v="5.1661059916161953"/>
    <n v="175.79298595966182"/>
    <n v="207.24749607794567"/>
    <n v="94.394810599803677"/>
    <n v="43.358304082549054"/>
    <n v="10.650075886209514"/>
    <n v="0"/>
    <x v="17"/>
    <n v="536.42531809369393"/>
    <n v="542.55659351647239"/>
    <n v="548.63832796649979"/>
    <n v="554.67092173699598"/>
    <n v="560.65477188679426"/>
    <n v="566.59027226647515"/>
    <n v="572.47781354428935"/>
    <n v="578.31778323187109"/>
    <n v="0.1"/>
    <n v="2.7861734380574939E-2"/>
    <n v="14.95087911731064"/>
  </r>
  <r>
    <s v="Liberia"/>
    <s v="LBR"/>
    <x v="2"/>
    <n v="168"/>
    <n v="693"/>
    <n v="954"/>
    <n v="8.4136314403189787E-3"/>
    <n v="0.4783415903533122"/>
    <n v="0.34535536267218658"/>
    <n v="0.1147456275792092"/>
    <n v="4.184484163081776E-2"/>
    <n v="1.1298946324155327E-2"/>
    <n v="8.0266043940643055"/>
    <n v="456.33787719705981"/>
    <n v="329.46901598926598"/>
    <n v="109.46732871056557"/>
    <n v="39.919978915800144"/>
    <n v="10.779194793244182"/>
    <n v="62"/>
    <x v="18"/>
    <n v="986.62080520675579"/>
    <n v="1025.8923060724012"/>
    <n v="1064.9994759646138"/>
    <n v="1103.9430025237496"/>
    <n v="1142.7235705127441"/>
    <n v="1181.3418618291532"/>
    <n v="1219.7985555171435"/>
    <n v="1258.094327779432"/>
    <n v="0.1"/>
    <n v="6.4989517819706494E-2"/>
    <n v="61.999999999999993"/>
  </r>
  <r>
    <s v="Madagascar"/>
    <s v="MDG"/>
    <x v="2"/>
    <n v="3523"/>
    <n v="5230"/>
    <n v="5230"/>
    <n v="8.4136314403189787E-3"/>
    <n v="0.4783415903533122"/>
    <n v="0.34535536267218658"/>
    <n v="0.1147456275792092"/>
    <n v="4.184484163081776E-2"/>
    <n v="1.1298946324155327E-2"/>
    <n v="44.003292432868257"/>
    <n v="2501.7265175478228"/>
    <n v="1806.2085467755358"/>
    <n v="600.11963223926409"/>
    <n v="218.84852172917689"/>
    <n v="59.09348927533236"/>
    <n v="404"/>
    <x v="19"/>
    <n v="5453.7065107246681"/>
    <n v="5713.685562200445"/>
    <n v="5972.5767354525879"/>
    <n v="6230.3845826902962"/>
    <n v="6487.1136370741197"/>
    <n v="6742.7684127956709"/>
    <n v="6997.3534051569995"/>
    <n v="7250.8730906496339"/>
    <n v="0.1"/>
    <n v="7.7246653919694069E-2"/>
    <n v="404"/>
  </r>
  <r>
    <s v="Malawi"/>
    <s v="MWI"/>
    <x v="2"/>
    <n v="200"/>
    <n v="2760"/>
    <n v="1103.5637751855782"/>
    <n v="5.8653846153846154E-2"/>
    <n v="0.37692307692307692"/>
    <n v="0.31826923076923075"/>
    <n v="0.2048076923076923"/>
    <n v="2.8846153846153848E-2"/>
    <n v="1.2500000000000001E-2"/>
    <n v="64.72825989069257"/>
    <n v="415.95865372379484"/>
    <n v="351.23039383310226"/>
    <n v="226.01835011012321"/>
    <n v="31.833570438045527"/>
    <n v="13.794547189819728"/>
    <n v="101"/>
    <x v="20"/>
    <n v="1160.4692279957585"/>
    <n v="1227.8217206073093"/>
    <n v="1294.9799271824807"/>
    <n v="1361.9444081617621"/>
    <n v="1428.7157223689878"/>
    <n v="1495.2944270160003"/>
    <n v="1561.6810777073003"/>
    <n v="1627.8762284446832"/>
    <n v="0.1"/>
    <n v="9.1521670311274561E-2"/>
    <n v="101"/>
  </r>
  <r>
    <s v="Mali"/>
    <s v="MLI"/>
    <x v="2"/>
    <n v="1971"/>
    <n v="2866"/>
    <n v="4402"/>
    <n v="8.4136314403189787E-3"/>
    <n v="0.4783415903533122"/>
    <n v="0.34535536267218658"/>
    <n v="0.1147456275792092"/>
    <n v="4.184484163081776E-2"/>
    <n v="1.1298946324155327E-2"/>
    <n v="37.036805600284147"/>
    <n v="2105.6596807352803"/>
    <n v="1520.2543064829654"/>
    <n v="505.11025260367887"/>
    <n v="184.20099285885979"/>
    <n v="49.73796171893175"/>
    <n v="0"/>
    <x v="0"/>
    <n v="4634.6955382308797"/>
    <n v="4897.7352281002577"/>
    <n v="5159.6742325531159"/>
    <n v="5420.5171573901471"/>
    <n v="5680.2685891391466"/>
    <n v="5938.9330951356542"/>
    <n v="6196.5152236032682"/>
    <n v="6453.0195037336161"/>
    <n v="0.1"/>
    <n v="9.1657525783673408E-2"/>
    <n v="403.47642849973033"/>
  </r>
  <r>
    <s v="Mauritania"/>
    <s v="MRT"/>
    <x v="0"/>
    <n v="622"/>
    <n v="1626"/>
    <n v="1273.0346943092873"/>
    <n v="9.6273049759095664E-3"/>
    <n v="0.3275992964925577"/>
    <n v="0.38621639847768657"/>
    <n v="0.17590959830524627"/>
    <n v="8.0800436018606592E-2"/>
    <n v="1.9846965729993234E-2"/>
    <n v="12.255893247029315"/>
    <n v="417.04527026634076"/>
    <n v="491.66687477327559"/>
    <n v="223.9390217045887"/>
    <n v="102.86175836700397"/>
    <n v="25.265875951048837"/>
    <n v="87"/>
    <x v="0"/>
    <n v="1308.6688183582385"/>
    <n v="1358.9947172455086"/>
    <n v="1408.9139806754667"/>
    <n v="1458.429894280338"/>
    <n v="1507.5457171442958"/>
    <n v="1556.2646820179718"/>
    <n v="1604.5899955312309"/>
    <n v="1652.5248384042293"/>
    <n v="0.1"/>
    <n v="6.8340635482211851E-2"/>
    <n v="87"/>
  </r>
  <r>
    <s v="Mauritius"/>
    <s v="MUS"/>
    <x v="1"/>
    <n v="2046"/>
    <n v="2395"/>
    <n v="1833.6554988586008"/>
    <n v="0"/>
    <n v="0.28747247489357414"/>
    <n v="0.27178258735557548"/>
    <n v="0.25114397272132999"/>
    <n v="0.13575699246202377"/>
    <n v="5.3843972567496616E-2"/>
    <n v="0"/>
    <n v="527.12548435909332"/>
    <n v="498.35563579856898"/>
    <n v="460.51152658566116"/>
    <n v="248.93155573649551"/>
    <n v="98.731296378781821"/>
    <n v="0"/>
    <x v="21"/>
    <n v="1753.7690435929744"/>
    <n v="1748.8052436230116"/>
    <n v="1743.9088307085592"/>
    <n v="1739.0788900232187"/>
    <n v="1734.3145191599992"/>
    <n v="1729.6148279627164"/>
    <n v="1724.9789383596778"/>
    <n v="1720.4059841996286"/>
    <n v="0.1"/>
    <n v="1.4681711808450191E-2"/>
    <n v="26.921201590221944"/>
  </r>
  <r>
    <s v="Mozambique"/>
    <s v="MOZ"/>
    <x v="2"/>
    <n v="1452"/>
    <n v="2473"/>
    <n v="5719"/>
    <n v="2.5575447570332483E-3"/>
    <n v="0.33418584825234443"/>
    <n v="0.38235294117647056"/>
    <n v="0.17732310315430519"/>
    <n v="8.2267689684569476E-2"/>
    <n v="2.1312872975277068E-2"/>
    <n v="14.626598465473148"/>
    <n v="1911.2088661551577"/>
    <n v="2186.6764705882351"/>
    <n v="1014.1108269394714"/>
    <n v="470.48891730605283"/>
    <n v="121.88832054560955"/>
    <n v="819"/>
    <x v="22"/>
    <n v="6170.4116794543907"/>
    <n v="6692.9491281272512"/>
    <n v="7211.1877819325127"/>
    <n v="7725.1630060623947"/>
    <n v="8234.909874767849"/>
    <n v="8740.4631737520685"/>
    <n v="9241.8574025443031"/>
    <n v="9739.1267768541456"/>
    <n v="0.1"/>
    <n v="0.14320685434516525"/>
    <n v="819.00000000000011"/>
  </r>
  <r>
    <s v="Namibia"/>
    <s v="NAM"/>
    <x v="1"/>
    <n v="0"/>
    <n v="1445"/>
    <n v="1597"/>
    <n v="0"/>
    <n v="0.28747247489357414"/>
    <n v="0.27178258735557548"/>
    <n v="0.25114397272132999"/>
    <n v="0.13575699246202377"/>
    <n v="5.3843972567496616E-2"/>
    <n v="0"/>
    <n v="459.09354240503791"/>
    <n v="434.03679200685406"/>
    <n v="401.07692443596397"/>
    <n v="216.80391696185197"/>
    <n v="85.988824190292092"/>
    <n v="73"/>
    <x v="23"/>
    <n v="1562.1111758097079"/>
    <n v="1592.0044242977835"/>
    <n v="1621.4918510348932"/>
    <n v="1650.5789653350755"/>
    <n v="1679.2712017195786"/>
    <n v="1707.5739209322246"/>
    <n v="1735.4924109409901"/>
    <n v="1763.0318879259885"/>
    <n v="0.1"/>
    <n v="4.5710707576706325E-2"/>
    <n v="73"/>
  </r>
  <r>
    <s v="Niger"/>
    <s v="NER"/>
    <x v="2"/>
    <n v="946"/>
    <n v="1065"/>
    <n v="705.66936761273496"/>
    <n v="8.4136314403189787E-3"/>
    <n v="0.4783415903533122"/>
    <n v="0.34535536267218658"/>
    <n v="0.1147456275792092"/>
    <n v="4.184484163081776E-2"/>
    <n v="1.1298946324155327E-2"/>
    <n v="5.9372419778165177"/>
    <n v="337.55100756749175"/>
    <n v="243.70670037854865"/>
    <n v="80.972474450146947"/>
    <n v="29.528622931474214"/>
    <n v="7.9733203072569259"/>
    <n v="196"/>
    <x v="24"/>
    <n v="834.89604730547796"/>
    <n v="968.60243801770855"/>
    <n v="1101.749336455501"/>
    <n v="1234.339083805417"/>
    <n v="1366.3740114573604"/>
    <n v="1497.8564410455706"/>
    <n v="1628.7886844894454"/>
    <n v="1759.1730440341926"/>
    <n v="0.1"/>
    <n v="0.27775047209866"/>
    <n v="195.99999999999997"/>
  </r>
  <r>
    <s v="Nigeria"/>
    <s v="NGA"/>
    <x v="0"/>
    <n v="65759"/>
    <n v="83907"/>
    <n v="86181"/>
    <n v="1.5643758867828428E-2"/>
    <n v="0.38865645577909558"/>
    <n v="0.35225743078546223"/>
    <n v="0.16069414632371667"/>
    <n v="6.2957034234365342E-2"/>
    <n v="1.979117400953178E-2"/>
    <n v="1348.1947829883218"/>
    <n v="33494.802015498237"/>
    <n v="30357.897642521923"/>
    <n v="13848.782224324226"/>
    <n v="5425.7001673518398"/>
    <n v="1705.6231673154582"/>
    <n v="3766"/>
    <x v="25"/>
    <n v="87111.576832684543"/>
    <n v="89199.348180198052"/>
    <n v="91273.975538491664"/>
    <n v="93335.541658223316"/>
    <n v="95384.128769077332"/>
    <n v="97419.81858304434"/>
    <n v="99442.692297680493"/>
    <n v="101452.83059934624"/>
    <n v="0.1"/>
    <n v="4.3698727097620127E-2"/>
    <n v="3766"/>
  </r>
  <r>
    <s v="Rwanda"/>
    <s v="RWA"/>
    <x v="2"/>
    <n v="1104"/>
    <n v="1648"/>
    <n v="1648"/>
    <n v="8.4136314403189787E-3"/>
    <n v="0.4783415903533122"/>
    <n v="0.34535536267218658"/>
    <n v="0.1147456275792092"/>
    <n v="4.184484163081776E-2"/>
    <n v="1.1298946324155327E-2"/>
    <n v="13.865664613645677"/>
    <n v="788.30694090225848"/>
    <n v="569.14563768376354"/>
    <n v="189.10079425053675"/>
    <n v="68.960299007587665"/>
    <n v="18.620663542207978"/>
    <n v="11"/>
    <x v="26"/>
    <n v="1637.0793364577921"/>
    <n v="1637.929003900676"/>
    <n v="1638.7751159236013"/>
    <n v="1639.6176874041664"/>
    <n v="1640.456733157715"/>
    <n v="1641.2922679375956"/>
    <n v="1642.1243064354221"/>
    <n v="1642.9528632813315"/>
    <n v="0.1"/>
    <n v="6.6747572815533977E-3"/>
    <n v="11"/>
  </r>
  <r>
    <s v="Sao Tome and Principe"/>
    <s v="STP"/>
    <x v="0"/>
    <n v="63"/>
    <n v="60"/>
    <n v="105"/>
    <n v="9.6273049759095664E-3"/>
    <n v="0.3275992964925577"/>
    <n v="0.38621639847768657"/>
    <n v="0.17590959830524627"/>
    <n v="8.0800436018606592E-2"/>
    <n v="1.9846965729993234E-2"/>
    <n v="1.0108670224705045"/>
    <n v="34.397926131718556"/>
    <n v="40.552721840157091"/>
    <n v="18.470507822050859"/>
    <n v="8.484045781953693"/>
    <n v="2.0839314016492896"/>
    <n v="0"/>
    <x v="0"/>
    <n v="104.96390607532297"/>
    <n v="106.16363061458502"/>
    <n v="107.3536613272596"/>
    <n v="108.53407653988822"/>
    <n v="109.7049539461305"/>
    <n v="110.86637061187791"/>
    <n v="112.01840298032616"/>
    <n v="113.16112687700658"/>
    <n v="0.1"/>
    <n v="2.7861734380574939E-2"/>
    <n v="2.9254821099603685"/>
  </r>
  <r>
    <s v="Senegal"/>
    <s v="SEN"/>
    <x v="0"/>
    <n v="0"/>
    <n v="2883"/>
    <n v="2560.8623058327948"/>
    <n v="1.4224751066856331E-3"/>
    <n v="0.48079658605974396"/>
    <n v="0.35135135135135137"/>
    <n v="9.1038406827880516E-2"/>
    <n v="6.8278805120910391E-2"/>
    <n v="7.1123755334281651E-3"/>
    <n v="3.6427628816967212"/>
    <n v="1231.2538540134917"/>
    <n v="899.76243177909009"/>
    <n v="233.13682442859016"/>
    <n v="174.85261832144263"/>
    <n v="18.213814408483604"/>
    <n v="0"/>
    <x v="27"/>
    <n v="2592.5935371695496"/>
    <n v="2624.8366640265745"/>
    <n v="2656.8596386660834"/>
    <n v="2688.6639642611121"/>
    <n v="2720.2511337212104"/>
    <n v="2751.6226297625199"/>
    <n v="2782.7799249773739"/>
    <n v="2813.7244819034208"/>
    <n v="0.1"/>
    <n v="2.7861734380574939E-2"/>
    <n v="71.350065350339989"/>
  </r>
  <r>
    <s v="Seychelles"/>
    <s v="SYC"/>
    <x v="1"/>
    <n v="93"/>
    <n v="240"/>
    <n v="828"/>
    <n v="0"/>
    <n v="0.15789473684210525"/>
    <n v="0.26315789473684209"/>
    <n v="0.2982456140350877"/>
    <n v="0.15789473684210525"/>
    <n v="0.12280701754385964"/>
    <n v="0"/>
    <n v="130.73684210526315"/>
    <n v="217.89473684210526"/>
    <n v="246.94736842105263"/>
    <n v="130.73684210526315"/>
    <n v="101.68421052631578"/>
    <n v="0"/>
    <x v="28"/>
    <n v="734.82530963786201"/>
    <n v="731.73232491302088"/>
    <n v="728.68817678909829"/>
    <n v="725.69209416186914"/>
    <n v="722.74331810243837"/>
    <n v="719.84110166499863"/>
    <n v="716.98470969762377"/>
    <n v="714.17341865604953"/>
    <n v="0.1"/>
    <n v="1.4681711808450191E-2"/>
    <n v="12.156457377396757"/>
  </r>
  <r>
    <s v="Sierra Leone"/>
    <s v="SLE"/>
    <x v="2"/>
    <n v="0"/>
    <n v="566"/>
    <n v="1106"/>
    <n v="0"/>
    <n v="1"/>
    <n v="0"/>
    <n v="0"/>
    <n v="0"/>
    <n v="0"/>
    <n v="0"/>
    <n v="1106"/>
    <n v="0"/>
    <n v="0"/>
    <n v="0"/>
    <n v="0"/>
    <n v="39"/>
    <x v="29"/>
    <n v="1133.3"/>
    <n v="1160.5999999999999"/>
    <n v="1187.8999999999999"/>
    <n v="1215.1999999999998"/>
    <n v="1242.4999999999998"/>
    <n v="1269.7999999999997"/>
    <n v="1297.0999999999997"/>
    <n v="1324.3999999999996"/>
    <n v="0.1"/>
    <n v="3.5262206148282099E-2"/>
    <n v="39"/>
  </r>
  <r>
    <s v="South Africa"/>
    <s v="ZAF"/>
    <x v="1"/>
    <n v="0"/>
    <n v="43503"/>
    <n v="48021"/>
    <n v="0"/>
    <n v="0.28747247489357414"/>
    <n v="0.27178258735557548"/>
    <n v="0.25114397272132999"/>
    <n v="0.13575699246202377"/>
    <n v="5.3843972567496616E-2"/>
    <n v="0"/>
    <n v="13804.715716864324"/>
    <n v="13051.27162740209"/>
    <n v="12060.184714050987"/>
    <n v="6519.1865350188436"/>
    <n v="2585.6414066637549"/>
    <n v="0"/>
    <x v="30"/>
    <n v="45928.879931263757"/>
    <n v="45798.884608529486"/>
    <n v="45670.654063200069"/>
    <n v="45544.164337188224"/>
    <n v="45419.391797654447"/>
    <n v="45296.313132591567"/>
    <n v="45174.905346469204"/>
    <n v="45055.145755937388"/>
    <n v="0.1"/>
    <n v="1.4681711808450191E-2"/>
    <n v="705.03048275358663"/>
  </r>
  <r>
    <s v="South Sudan"/>
    <s v="SSD"/>
    <x v="2"/>
    <n v="0"/>
    <n v="411"/>
    <n v="456"/>
    <n v="8.4136314403189787E-3"/>
    <n v="0.4783415903533122"/>
    <n v="0.34535536267218658"/>
    <n v="0.1147456275792092"/>
    <n v="4.184484163081776E-2"/>
    <n v="1.1298946324155327E-2"/>
    <n v="3.8366159367854542"/>
    <n v="218.12376520111036"/>
    <n v="157.48204537851709"/>
    <n v="52.324006176119397"/>
    <n v="19.081247783652898"/>
    <n v="5.1523195238148292"/>
    <n v="0"/>
    <x v="0"/>
    <n v="480.10476270633376"/>
    <n v="507.35285416031752"/>
    <n v="534.48692640713784"/>
    <n v="561.50745655836147"/>
    <n v="588.41491972908921"/>
    <n v="615.20978904631033"/>
    <n v="641.89253565722163"/>
    <n v="668.46362873751207"/>
    <n v="0.1"/>
    <n v="9.1657525783673408E-2"/>
    <n v="41.795831757355074"/>
  </r>
  <r>
    <s v="Tanzania"/>
    <s v="TZA"/>
    <x v="0"/>
    <n v="1481"/>
    <n v="2885"/>
    <n v="8693"/>
    <n v="9.6273049759095664E-3"/>
    <n v="0.3275992964925577"/>
    <n v="0.38621639847768657"/>
    <n v="0.17590959830524627"/>
    <n v="8.0800436018606592E-2"/>
    <n v="1.9846965729993234E-2"/>
    <n v="83.690162155581859"/>
    <n v="2847.820684409804"/>
    <n v="3357.3791519665292"/>
    <n v="1529.1821380675058"/>
    <n v="702.39819030974706"/>
    <n v="172.52967309083118"/>
    <n v="1380"/>
    <x v="8"/>
    <n v="9486.4703269091697"/>
    <n v="10375.819233039987"/>
    <n v="11257.982161231999"/>
    <n v="12133.017174500275"/>
    <n v="13000.981866708189"/>
    <n v="13861.933366358187"/>
    <n v="14715.928340351926"/>
    <n v="15563.022997720025"/>
    <n v="0.1"/>
    <n v="0.15874841826757161"/>
    <n v="1380"/>
  </r>
  <r>
    <s v="Togo"/>
    <s v="TGO"/>
    <x v="2"/>
    <n v="361"/>
    <n v="611"/>
    <n v="730"/>
    <n v="4.10958904109589E-3"/>
    <n v="0.29178082191780824"/>
    <n v="0.36575342465753424"/>
    <n v="0.21232876712328766"/>
    <n v="8.7671232876712329E-2"/>
    <n v="3.8356164383561646E-2"/>
    <n v="2.9999999999999996"/>
    <n v="213.00000000000003"/>
    <n v="267"/>
    <n v="155"/>
    <n v="64"/>
    <n v="28"/>
    <n v="91"/>
    <x v="31"/>
    <n v="765.7"/>
    <n v="822.68701369863015"/>
    <n v="879.17441522236822"/>
    <n v="935.16658473274754"/>
    <n v="990.66786398988506"/>
    <n v="1045.6825566891519"/>
    <n v="1100.2149287948907"/>
    <n v="1154.2692088712095"/>
    <n v="0.1"/>
    <n v="0.12465753424657534"/>
    <n v="91"/>
  </r>
  <r>
    <s v="Uganda"/>
    <s v="UGA"/>
    <x v="2"/>
    <n v="3370"/>
    <n v="17186"/>
    <n v="9051.7813279678066"/>
    <n v="8.4136314403189787E-3"/>
    <n v="0.4783415903533122"/>
    <n v="0.34535536267218658"/>
    <n v="0.1147456275792092"/>
    <n v="4.184484163081776E-2"/>
    <n v="1.1298946324155327E-2"/>
    <n v="76.158351971882212"/>
    <n v="4329.8434759505371"/>
    <n v="3126.0812233496486"/>
    <n v="1038.6523291874337"/>
    <n v="378.77035614560612"/>
    <n v="102.27559136269967"/>
    <n v="390"/>
    <x v="32"/>
    <n v="9222.5057366051078"/>
    <n v="9456.9143074063522"/>
    <n v="9690.3419992553881"/>
    <n v="9922.7929166246577"/>
    <n v="10154.271146811501"/>
    <n v="10384.78076001003"/>
    <n v="10614.325809382692"/>
    <n v="10842.910331131539"/>
    <n v="0.1"/>
    <n v="4.3085442065971556E-2"/>
    <n v="390"/>
  </r>
  <r>
    <s v="Zambia"/>
    <s v="ZMB"/>
    <x v="0"/>
    <n v="0"/>
    <n v="4021"/>
    <n v="6531"/>
    <n v="4.1968714231209459E-3"/>
    <n v="0.36398321251430754"/>
    <n v="0.28462418924074778"/>
    <n v="0.18428080885158338"/>
    <n v="0.10587561999236933"/>
    <n v="5.7039297977871044E-2"/>
    <n v="27.409767264402898"/>
    <n v="2377.1743609309424"/>
    <n v="1858.8805799313238"/>
    <n v="1203.537962609691"/>
    <n v="691.47367417016414"/>
    <n v="372.52365509347578"/>
    <n v="0"/>
    <x v="33"/>
    <n v="6285.8518359741993"/>
    <n v="6346.6754810104794"/>
    <n v="6406.855151933918"/>
    <n v="6466.3976668603618"/>
    <n v="6525.309771718431"/>
    <n v="6583.5981410138102"/>
    <n v="6641.2693785854399"/>
    <n v="6698.3300183537067"/>
    <n v="0.1"/>
    <n v="2.7861734380574939E-2"/>
    <n v="181.96498723953493"/>
  </r>
  <r>
    <s v="Zimbabwe"/>
    <s v="ZWE"/>
    <x v="0"/>
    <n v="1114"/>
    <n v="3026"/>
    <n v="3131.5983655333839"/>
    <n v="0"/>
    <n v="0.15989660265878877"/>
    <n v="0.4098966026587888"/>
    <n v="0.43020679468242246"/>
    <n v="0"/>
    <n v="0"/>
    <n v="0"/>
    <n v="500.73193954060383"/>
    <n v="1283.6315309239499"/>
    <n v="1347.2348950688302"/>
    <n v="0"/>
    <n v="0"/>
    <n v="212"/>
    <x v="34"/>
    <n v="3279.998365533384"/>
    <n v="3428.3983655333841"/>
    <n v="3576.7983655333842"/>
    <n v="3725.1983655333843"/>
    <n v="3873.5983655333844"/>
    <n v="4021.9983655333845"/>
    <n v="4170.3983655333841"/>
    <n v="4318.7983655333837"/>
    <n v="0.1"/>
    <n v="6.7697059218477226E-2"/>
    <n v="211.99999999999997"/>
  </r>
  <r>
    <s v="AFRO"/>
    <s v="AFRO"/>
    <x v="3"/>
    <n v="115272"/>
    <n v="339167"/>
    <n v="339063.33331175643"/>
    <n v="1.0147857047578982E-2"/>
    <n v="0.36773412409320844"/>
    <n v="0.36325018725823166"/>
    <n v="0.1737756389866508"/>
    <n v="6.744374557506233E-2"/>
    <n v="1.7648447039267795E-2"/>
    <n v="3440.7662365233291"/>
    <n v="124685.15788752233"/>
    <n v="123164.81931789574"/>
    <n v="58920.947403194237"/>
    <n v="22867.701185710655"/>
    <n v="5983.9412809101377"/>
    <n v="13224"/>
    <x v="35"/>
    <n v="361333.18546353327"/>
    <n v="370231.60134920175"/>
    <n v="379070.00298516883"/>
    <n v="387848.79513001326"/>
    <n v="396568.3798124704"/>
    <n v="405229.15634984314"/>
    <n v="413831.52136628894"/>
    <n v="422375.86881098349"/>
    <n v="0.1"/>
    <n v="3.9001563132280696E-2"/>
    <n v="16193.4031835591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2C4DF-572B-4F57-B1D8-E1AF839738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2" firstHeaderRow="0" firstDataRow="1" firstDataCol="1"/>
  <pivotFields count="6">
    <pivotField dataField="1" showAll="0"/>
    <pivotField dataField="1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dataField="1" showAll="0">
      <items count="12"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showAll="0"/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5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2018" fld="0" subtotal="count" baseField="0" baseItem="0"/>
    <dataField name="Count of 2022" fld="4" subtotal="count" baseField="0" baseItem="0"/>
    <dataField name="Count of 2021" fld="3" subtotal="count" baseField="0" baseItem="0"/>
    <dataField name="Count of 2020" fld="2" subtotal="count" baseField="0" baseItem="0"/>
    <dataField name="Count of 2019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54EAB-232A-482A-8B68-1DE3856CD89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V14" firstHeaderRow="1" firstDataRow="2" firstDataCol="1"/>
  <pivotFields count="5">
    <pivotField axis="axisCol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Count of 2020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11F33-C32C-4906-B679-DFC1AD66167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8">
    <pivotField showAll="0"/>
    <pivotField dataField="1" numFmtId="10" showAll="0"/>
    <pivotField dataField="1" numFmtId="10" showAll="0"/>
    <pivotField dataField="1" numFmtId="10" showAll="0"/>
    <pivotField dataField="1" numFmtId="10" showAll="0"/>
    <pivotField dataField="1" numFmtId="10" showAll="0"/>
    <pivotField dataField="1" numFmtId="10" showAll="0"/>
    <pivotField axis="axisRow" showAll="0">
      <items count="5">
        <item x="2"/>
        <item x="3"/>
        <item x="1"/>
        <item x="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Medical Doctors Stock By Age Group &lt; 25 yrs" fld="1" subtotal="average" baseField="7" baseItem="0"/>
    <dataField name="Average of Medical Doctors Stock By Age Group 25-34 yrs" fld="2" subtotal="average" baseField="7" baseItem="0"/>
    <dataField name="Average of Medical Doctors Stock By Age Group 35-44 yrs" fld="3" subtotal="average" baseField="0" baseItem="0"/>
    <dataField name="Average of Medical Doctors Stock By Age Group 45-54 yrs" fld="4" subtotal="average" baseField="7" baseItem="0"/>
    <dataField name="Average of Medical Doctors Stock By Age Group 55-64 yrs" fld="5" subtotal="average" baseField="0" baseItem="0"/>
    <dataField name="Average of Medical Doctors Stock By Age Group ≥ 65 yrs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F2E2A-1E9B-4068-B594-7CB063923DEF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9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43" showAll="0"/>
    <pivotField dataField="1" numFmtId="166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tock to graduates" fld="2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48A95-A232-4FEA-98B7-BB46C77B263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31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64" showAll="0"/>
    <pivotField numFmtId="164" showAll="0"/>
    <pivotField dataField="1"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Page" dataField="1" multipleItemSelectionAllowed="1" showAll="0">
      <items count="37">
        <item h="1" x="0"/>
        <item x="17"/>
        <item x="28"/>
        <item x="26"/>
        <item x="7"/>
        <item x="14"/>
        <item x="18"/>
        <item x="13"/>
        <item x="3"/>
        <item x="31"/>
        <item x="33"/>
        <item x="20"/>
        <item x="29"/>
        <item x="9"/>
        <item x="34"/>
        <item x="19"/>
        <item x="5"/>
        <item x="8"/>
        <item x="24"/>
        <item x="21"/>
        <item x="27"/>
        <item x="23"/>
        <item x="16"/>
        <item x="1"/>
        <item x="11"/>
        <item x="2"/>
        <item x="6"/>
        <item x="22"/>
        <item x="30"/>
        <item x="4"/>
        <item x="15"/>
        <item x="32"/>
        <item x="12"/>
        <item x="25"/>
        <item x="10"/>
        <item h="1" x="35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43" showAll="0"/>
    <pivotField numFmtId="165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9" hier="-1"/>
  </pageFields>
  <dataFields count="2">
    <dataField name="Sum of Updated annual graduate" fld="19" baseField="0" baseItem="0"/>
    <dataField name="Sum of Adjusted 2022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A5EA-B8A1-48F4-ABDC-82B5CA5EE299}">
  <dimension ref="A3:F52"/>
  <sheetViews>
    <sheetView workbookViewId="0">
      <selection activeCell="L13" sqref="L13"/>
    </sheetView>
  </sheetViews>
  <sheetFormatPr defaultRowHeight="14.5" x14ac:dyDescent="0.35"/>
  <cols>
    <col min="1" max="1" width="12.36328125" bestFit="1" customWidth="1"/>
    <col min="2" max="6" width="12.54296875" bestFit="1" customWidth="1"/>
  </cols>
  <sheetData>
    <row r="3" spans="1:6" x14ac:dyDescent="0.35">
      <c r="A3" s="1" t="s">
        <v>49</v>
      </c>
      <c r="B3" t="s">
        <v>52</v>
      </c>
      <c r="C3" t="s">
        <v>56</v>
      </c>
      <c r="D3" t="s">
        <v>55</v>
      </c>
      <c r="E3" t="s">
        <v>54</v>
      </c>
      <c r="F3" t="s">
        <v>53</v>
      </c>
    </row>
    <row r="4" spans="1:6" x14ac:dyDescent="0.35">
      <c r="A4" s="2" t="s">
        <v>28</v>
      </c>
    </row>
    <row r="5" spans="1:6" x14ac:dyDescent="0.35">
      <c r="A5" s="2" t="s">
        <v>19</v>
      </c>
      <c r="F5">
        <v>1</v>
      </c>
    </row>
    <row r="6" spans="1:6" x14ac:dyDescent="0.35">
      <c r="A6" s="2" t="s">
        <v>0</v>
      </c>
      <c r="B6">
        <v>1</v>
      </c>
      <c r="D6">
        <v>1</v>
      </c>
      <c r="E6">
        <v>1</v>
      </c>
    </row>
    <row r="7" spans="1:6" x14ac:dyDescent="0.35">
      <c r="A7" s="2" t="s">
        <v>20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5">
      <c r="A8" s="2" t="s">
        <v>1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5">
      <c r="A9" s="2" t="s">
        <v>29</v>
      </c>
      <c r="B9">
        <v>1</v>
      </c>
      <c r="D9">
        <v>1</v>
      </c>
      <c r="E9">
        <v>1</v>
      </c>
      <c r="F9">
        <v>1</v>
      </c>
    </row>
    <row r="10" spans="1:6" x14ac:dyDescent="0.35">
      <c r="A10" s="2" t="s">
        <v>2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5">
      <c r="A11" s="2" t="s">
        <v>24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5">
      <c r="A12" s="2" t="s">
        <v>30</v>
      </c>
      <c r="B12">
        <v>1</v>
      </c>
      <c r="D12">
        <v>1</v>
      </c>
      <c r="E12">
        <v>1</v>
      </c>
      <c r="F12">
        <v>1</v>
      </c>
    </row>
    <row r="13" spans="1:6" x14ac:dyDescent="0.35">
      <c r="A13" s="2" t="s">
        <v>26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5">
      <c r="A14" s="2" t="s">
        <v>31</v>
      </c>
      <c r="B14">
        <v>1</v>
      </c>
      <c r="D14">
        <v>1</v>
      </c>
      <c r="E14">
        <v>1</v>
      </c>
    </row>
    <row r="15" spans="1:6" x14ac:dyDescent="0.35">
      <c r="A15" s="2" t="s">
        <v>3</v>
      </c>
      <c r="B15">
        <v>1</v>
      </c>
      <c r="C15">
        <v>1</v>
      </c>
      <c r="D15">
        <v>1</v>
      </c>
      <c r="E15">
        <v>1</v>
      </c>
    </row>
    <row r="16" spans="1:6" x14ac:dyDescent="0.35">
      <c r="A16" s="2" t="s">
        <v>4</v>
      </c>
      <c r="B16">
        <v>1</v>
      </c>
      <c r="E16">
        <v>1</v>
      </c>
    </row>
    <row r="17" spans="1:3" x14ac:dyDescent="0.35">
      <c r="A17" s="2" t="s">
        <v>5</v>
      </c>
      <c r="B17">
        <v>1</v>
      </c>
      <c r="C17">
        <v>1</v>
      </c>
    </row>
    <row r="18" spans="1:3" x14ac:dyDescent="0.35">
      <c r="A18" s="2" t="s">
        <v>32</v>
      </c>
      <c r="B18">
        <v>1</v>
      </c>
    </row>
    <row r="19" spans="1:3" x14ac:dyDescent="0.35">
      <c r="A19" s="2" t="s">
        <v>21</v>
      </c>
      <c r="B19">
        <v>1</v>
      </c>
      <c r="C19">
        <v>1</v>
      </c>
    </row>
    <row r="20" spans="1:3" x14ac:dyDescent="0.35">
      <c r="A20" s="2" t="s">
        <v>6</v>
      </c>
      <c r="B20">
        <v>1</v>
      </c>
      <c r="C20">
        <v>1</v>
      </c>
    </row>
    <row r="21" spans="1:3" x14ac:dyDescent="0.35">
      <c r="A21" s="2" t="s">
        <v>33</v>
      </c>
      <c r="B21">
        <v>1</v>
      </c>
    </row>
    <row r="22" spans="1:3" x14ac:dyDescent="0.35">
      <c r="A22" s="2" t="s">
        <v>34</v>
      </c>
      <c r="B22">
        <v>1</v>
      </c>
    </row>
    <row r="23" spans="1:3" x14ac:dyDescent="0.35">
      <c r="A23" s="2" t="s">
        <v>25</v>
      </c>
      <c r="B23">
        <v>1</v>
      </c>
      <c r="C23">
        <v>1</v>
      </c>
    </row>
    <row r="24" spans="1:3" x14ac:dyDescent="0.35">
      <c r="A24" s="2" t="s">
        <v>35</v>
      </c>
      <c r="B24">
        <v>1</v>
      </c>
    </row>
    <row r="25" spans="1:3" x14ac:dyDescent="0.35">
      <c r="A25" s="2" t="s">
        <v>7</v>
      </c>
      <c r="C25">
        <v>1</v>
      </c>
    </row>
    <row r="26" spans="1:3" x14ac:dyDescent="0.35">
      <c r="A26" s="2" t="s">
        <v>36</v>
      </c>
      <c r="C26">
        <v>1</v>
      </c>
    </row>
    <row r="27" spans="1:3" x14ac:dyDescent="0.35">
      <c r="A27" s="2" t="s">
        <v>37</v>
      </c>
      <c r="C27">
        <v>1</v>
      </c>
    </row>
    <row r="28" spans="1:3" x14ac:dyDescent="0.35">
      <c r="A28" s="2" t="s">
        <v>8</v>
      </c>
      <c r="C28">
        <v>1</v>
      </c>
    </row>
    <row r="29" spans="1:3" x14ac:dyDescent="0.35">
      <c r="A29" s="2" t="s">
        <v>38</v>
      </c>
      <c r="C29">
        <v>1</v>
      </c>
    </row>
    <row r="30" spans="1:3" x14ac:dyDescent="0.35">
      <c r="A30" s="2" t="s">
        <v>9</v>
      </c>
      <c r="C30">
        <v>1</v>
      </c>
    </row>
    <row r="31" spans="1:3" x14ac:dyDescent="0.35">
      <c r="A31" s="2" t="s">
        <v>39</v>
      </c>
      <c r="C31">
        <v>1</v>
      </c>
    </row>
    <row r="32" spans="1:3" x14ac:dyDescent="0.35">
      <c r="A32" s="2" t="s">
        <v>40</v>
      </c>
      <c r="C32">
        <v>1</v>
      </c>
    </row>
    <row r="33" spans="1:3" x14ac:dyDescent="0.35">
      <c r="A33" s="2" t="s">
        <v>10</v>
      </c>
      <c r="C33">
        <v>1</v>
      </c>
    </row>
    <row r="34" spans="1:3" x14ac:dyDescent="0.35">
      <c r="A34" s="2" t="s">
        <v>41</v>
      </c>
      <c r="C34">
        <v>1</v>
      </c>
    </row>
    <row r="35" spans="1:3" x14ac:dyDescent="0.35">
      <c r="A35" s="2" t="s">
        <v>42</v>
      </c>
      <c r="C35">
        <v>1</v>
      </c>
    </row>
    <row r="36" spans="1:3" x14ac:dyDescent="0.35">
      <c r="A36" s="2" t="s">
        <v>27</v>
      </c>
    </row>
    <row r="37" spans="1:3" x14ac:dyDescent="0.35">
      <c r="A37" s="2" t="s">
        <v>43</v>
      </c>
    </row>
    <row r="38" spans="1:3" x14ac:dyDescent="0.35">
      <c r="A38" s="2" t="s">
        <v>22</v>
      </c>
    </row>
    <row r="39" spans="1:3" x14ac:dyDescent="0.35">
      <c r="A39" s="2" t="s">
        <v>11</v>
      </c>
    </row>
    <row r="40" spans="1:3" x14ac:dyDescent="0.35">
      <c r="A40" s="2" t="s">
        <v>44</v>
      </c>
    </row>
    <row r="41" spans="1:3" x14ac:dyDescent="0.35">
      <c r="A41" s="2" t="s">
        <v>45</v>
      </c>
    </row>
    <row r="42" spans="1:3" x14ac:dyDescent="0.35">
      <c r="A42" s="2" t="s">
        <v>12</v>
      </c>
    </row>
    <row r="43" spans="1:3" x14ac:dyDescent="0.35">
      <c r="A43" s="2" t="s">
        <v>13</v>
      </c>
    </row>
    <row r="44" spans="1:3" x14ac:dyDescent="0.35">
      <c r="A44" s="2" t="s">
        <v>23</v>
      </c>
    </row>
    <row r="45" spans="1:3" x14ac:dyDescent="0.35">
      <c r="A45" s="2" t="s">
        <v>14</v>
      </c>
    </row>
    <row r="46" spans="1:3" x14ac:dyDescent="0.35">
      <c r="A46" s="2" t="s">
        <v>46</v>
      </c>
    </row>
    <row r="47" spans="1:3" x14ac:dyDescent="0.35">
      <c r="A47" s="2" t="s">
        <v>15</v>
      </c>
    </row>
    <row r="48" spans="1:3" x14ac:dyDescent="0.35">
      <c r="A48" s="2" t="s">
        <v>16</v>
      </c>
    </row>
    <row r="49" spans="1:6" x14ac:dyDescent="0.35">
      <c r="A49" s="2" t="s">
        <v>17</v>
      </c>
    </row>
    <row r="50" spans="1:6" x14ac:dyDescent="0.35">
      <c r="A50" s="2" t="s">
        <v>18</v>
      </c>
    </row>
    <row r="51" spans="1:6" x14ac:dyDescent="0.35">
      <c r="A51" s="2" t="s">
        <v>50</v>
      </c>
    </row>
    <row r="52" spans="1:6" x14ac:dyDescent="0.35">
      <c r="A52" s="2" t="s">
        <v>51</v>
      </c>
      <c r="B52">
        <v>19</v>
      </c>
      <c r="C52">
        <v>21</v>
      </c>
      <c r="D52">
        <v>10</v>
      </c>
      <c r="E52">
        <v>11</v>
      </c>
      <c r="F5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E5AA-373B-49E1-8201-5C0E8F6FABF0}">
  <dimension ref="A1:G25"/>
  <sheetViews>
    <sheetView topLeftCell="A16" workbookViewId="0">
      <selection activeCell="A24" sqref="A24:XFD24"/>
    </sheetView>
  </sheetViews>
  <sheetFormatPr defaultRowHeight="14.5" x14ac:dyDescent="0.35"/>
  <sheetData>
    <row r="1" spans="1:7" ht="116" x14ac:dyDescent="0.35">
      <c r="A1" s="6" t="s">
        <v>49</v>
      </c>
      <c r="B1" s="6" t="s">
        <v>59</v>
      </c>
      <c r="C1" s="7" t="s">
        <v>60</v>
      </c>
      <c r="D1" s="7" t="s">
        <v>61</v>
      </c>
      <c r="E1" s="7" t="s">
        <v>62</v>
      </c>
      <c r="F1" s="7" t="s">
        <v>63</v>
      </c>
      <c r="G1" s="8" t="s">
        <v>64</v>
      </c>
    </row>
    <row r="2" spans="1:7" x14ac:dyDescent="0.35">
      <c r="A2" s="9" t="s">
        <v>65</v>
      </c>
      <c r="B2" s="6">
        <v>989</v>
      </c>
      <c r="C2" s="7">
        <v>35839</v>
      </c>
      <c r="D2" s="7">
        <v>35402</v>
      </c>
      <c r="E2" s="7">
        <v>16936</v>
      </c>
      <c r="F2" s="7">
        <v>6573</v>
      </c>
      <c r="G2" s="8">
        <v>1720</v>
      </c>
    </row>
    <row r="3" spans="1:7" x14ac:dyDescent="0.35">
      <c r="A3" s="10" t="s">
        <v>20</v>
      </c>
      <c r="B3" s="11">
        <v>0</v>
      </c>
      <c r="C3" s="12">
        <v>1138</v>
      </c>
      <c r="D3" s="12">
        <v>1088</v>
      </c>
      <c r="E3" s="12">
        <v>112</v>
      </c>
      <c r="F3" s="12">
        <v>33</v>
      </c>
      <c r="G3" s="13">
        <v>1</v>
      </c>
    </row>
    <row r="4" spans="1:7" x14ac:dyDescent="0.35">
      <c r="A4" s="10" t="s">
        <v>1</v>
      </c>
      <c r="B4" s="11"/>
      <c r="C4" s="12">
        <v>483</v>
      </c>
      <c r="D4" s="12">
        <v>323</v>
      </c>
      <c r="E4" s="12">
        <v>121</v>
      </c>
      <c r="F4" s="12">
        <v>52</v>
      </c>
      <c r="G4" s="13">
        <v>14</v>
      </c>
    </row>
    <row r="5" spans="1:7" x14ac:dyDescent="0.35">
      <c r="A5" s="10" t="s">
        <v>2</v>
      </c>
      <c r="B5" s="11">
        <v>0</v>
      </c>
      <c r="C5" s="12">
        <v>920</v>
      </c>
      <c r="D5" s="12">
        <v>1757</v>
      </c>
      <c r="E5" s="12">
        <v>1583</v>
      </c>
      <c r="F5" s="12">
        <v>640</v>
      </c>
      <c r="G5" s="13">
        <v>29</v>
      </c>
    </row>
    <row r="6" spans="1:7" x14ac:dyDescent="0.35">
      <c r="A6" s="10" t="s">
        <v>24</v>
      </c>
      <c r="B6" s="11">
        <v>15</v>
      </c>
      <c r="C6" s="12">
        <v>1889</v>
      </c>
      <c r="D6" s="12">
        <v>1240</v>
      </c>
      <c r="E6" s="12">
        <v>454</v>
      </c>
      <c r="F6" s="12">
        <v>156</v>
      </c>
      <c r="G6" s="13">
        <v>8</v>
      </c>
    </row>
    <row r="7" spans="1:7" x14ac:dyDescent="0.35">
      <c r="A7" s="10" t="s">
        <v>26</v>
      </c>
      <c r="B7" s="11"/>
      <c r="C7" s="12">
        <v>464</v>
      </c>
      <c r="D7" s="12">
        <v>312</v>
      </c>
      <c r="E7" s="12">
        <v>121</v>
      </c>
      <c r="F7" s="12">
        <v>137</v>
      </c>
      <c r="G7" s="13">
        <v>8</v>
      </c>
    </row>
    <row r="8" spans="1:7" x14ac:dyDescent="0.35">
      <c r="A8" s="10" t="s">
        <v>3</v>
      </c>
      <c r="B8" s="11">
        <v>11</v>
      </c>
      <c r="C8" s="12">
        <v>539</v>
      </c>
      <c r="D8" s="12">
        <v>801</v>
      </c>
      <c r="E8" s="12">
        <v>713</v>
      </c>
      <c r="F8" s="12">
        <v>452</v>
      </c>
      <c r="G8" s="13">
        <v>128</v>
      </c>
    </row>
    <row r="9" spans="1:7" x14ac:dyDescent="0.35">
      <c r="A9" s="10" t="s">
        <v>5</v>
      </c>
      <c r="B9" s="11"/>
      <c r="C9" s="12">
        <v>175</v>
      </c>
      <c r="D9" s="12"/>
      <c r="E9" s="12"/>
      <c r="F9" s="12"/>
      <c r="G9" s="13"/>
    </row>
    <row r="10" spans="1:7" x14ac:dyDescent="0.35">
      <c r="A10" s="10" t="s">
        <v>21</v>
      </c>
      <c r="B10" s="11">
        <v>0</v>
      </c>
      <c r="C10" s="12">
        <v>248</v>
      </c>
      <c r="D10" s="12">
        <v>258</v>
      </c>
      <c r="E10" s="12">
        <v>379</v>
      </c>
      <c r="F10" s="12">
        <v>224</v>
      </c>
      <c r="G10" s="13">
        <v>28</v>
      </c>
    </row>
    <row r="11" spans="1:7" x14ac:dyDescent="0.35">
      <c r="A11" s="10" t="s">
        <v>6</v>
      </c>
      <c r="B11" s="11">
        <v>2</v>
      </c>
      <c r="C11" s="12">
        <v>1715</v>
      </c>
      <c r="D11" s="12">
        <v>1942</v>
      </c>
      <c r="E11" s="12">
        <v>512</v>
      </c>
      <c r="F11" s="12">
        <v>184</v>
      </c>
      <c r="G11" s="13">
        <v>3</v>
      </c>
    </row>
    <row r="12" spans="1:7" x14ac:dyDescent="0.35">
      <c r="A12" s="10" t="s">
        <v>25</v>
      </c>
      <c r="B12" s="11">
        <v>0</v>
      </c>
      <c r="C12" s="12">
        <v>229</v>
      </c>
      <c r="D12" s="12">
        <v>143</v>
      </c>
      <c r="E12" s="12">
        <v>41</v>
      </c>
      <c r="F12" s="12">
        <v>19</v>
      </c>
      <c r="G12" s="13">
        <v>5</v>
      </c>
    </row>
    <row r="13" spans="1:7" x14ac:dyDescent="0.35">
      <c r="A13" s="10" t="s">
        <v>7</v>
      </c>
      <c r="B13" s="11">
        <v>5</v>
      </c>
      <c r="C13" s="12">
        <v>1600</v>
      </c>
      <c r="D13" s="12">
        <v>2699</v>
      </c>
      <c r="E13" s="12">
        <v>941</v>
      </c>
      <c r="F13" s="12">
        <v>243</v>
      </c>
      <c r="G13" s="13">
        <v>6</v>
      </c>
    </row>
    <row r="14" spans="1:7" x14ac:dyDescent="0.35">
      <c r="A14" s="10" t="s">
        <v>9</v>
      </c>
      <c r="B14" s="11">
        <v>6</v>
      </c>
      <c r="C14" s="12">
        <v>784</v>
      </c>
      <c r="D14" s="12">
        <v>897</v>
      </c>
      <c r="E14" s="12">
        <v>416</v>
      </c>
      <c r="F14" s="12">
        <v>193</v>
      </c>
      <c r="G14" s="13">
        <v>50</v>
      </c>
    </row>
    <row r="15" spans="1:7" x14ac:dyDescent="0.35">
      <c r="A15" s="10" t="s">
        <v>10</v>
      </c>
      <c r="B15" s="11">
        <v>61</v>
      </c>
      <c r="C15" s="12">
        <v>392</v>
      </c>
      <c r="D15" s="12">
        <v>331</v>
      </c>
      <c r="E15" s="12">
        <v>213</v>
      </c>
      <c r="F15" s="12">
        <v>30</v>
      </c>
      <c r="G15" s="13">
        <v>13</v>
      </c>
    </row>
    <row r="16" spans="1:7" x14ac:dyDescent="0.35">
      <c r="A16" s="10" t="s">
        <v>27</v>
      </c>
      <c r="B16" s="11">
        <v>860</v>
      </c>
      <c r="C16" s="12">
        <v>21366</v>
      </c>
      <c r="D16" s="12">
        <v>19365</v>
      </c>
      <c r="E16" s="12">
        <v>8834</v>
      </c>
      <c r="F16" s="12">
        <v>3461</v>
      </c>
      <c r="G16" s="13">
        <v>1088</v>
      </c>
    </row>
    <row r="17" spans="1:7" x14ac:dyDescent="0.35">
      <c r="A17" s="10" t="s">
        <v>22</v>
      </c>
      <c r="B17" s="11">
        <v>1</v>
      </c>
      <c r="C17" s="12">
        <v>338</v>
      </c>
      <c r="D17" s="12">
        <v>247</v>
      </c>
      <c r="E17" s="12">
        <v>64</v>
      </c>
      <c r="F17" s="12">
        <v>48</v>
      </c>
      <c r="G17" s="13">
        <v>5</v>
      </c>
    </row>
    <row r="18" spans="1:7" x14ac:dyDescent="0.35">
      <c r="A18" s="10" t="s">
        <v>12</v>
      </c>
      <c r="B18" s="11"/>
      <c r="C18" s="12">
        <v>116</v>
      </c>
      <c r="D18" s="12">
        <v>691</v>
      </c>
      <c r="E18" s="12"/>
      <c r="F18" s="12"/>
      <c r="G18" s="13"/>
    </row>
    <row r="19" spans="1:7" x14ac:dyDescent="0.35">
      <c r="A19" s="10" t="s">
        <v>13</v>
      </c>
      <c r="B19" s="11"/>
      <c r="C19" s="12">
        <v>9</v>
      </c>
      <c r="D19" s="12">
        <v>15</v>
      </c>
      <c r="E19" s="12">
        <v>17</v>
      </c>
      <c r="F19" s="12">
        <v>9</v>
      </c>
      <c r="G19" s="13">
        <v>7</v>
      </c>
    </row>
    <row r="20" spans="1:7" x14ac:dyDescent="0.35">
      <c r="A20" s="10" t="s">
        <v>23</v>
      </c>
      <c r="B20" s="11">
        <v>3</v>
      </c>
      <c r="C20" s="12">
        <v>880</v>
      </c>
      <c r="D20" s="12">
        <v>424</v>
      </c>
      <c r="E20" s="12">
        <v>129</v>
      </c>
      <c r="F20" s="12">
        <v>73</v>
      </c>
      <c r="G20" s="13">
        <v>0</v>
      </c>
    </row>
    <row r="21" spans="1:7" x14ac:dyDescent="0.35">
      <c r="A21" s="10" t="s">
        <v>14</v>
      </c>
      <c r="B21" s="11">
        <v>3</v>
      </c>
      <c r="C21" s="12">
        <v>213</v>
      </c>
      <c r="D21" s="12">
        <v>267</v>
      </c>
      <c r="E21" s="12">
        <v>155</v>
      </c>
      <c r="F21" s="12">
        <v>64</v>
      </c>
      <c r="G21" s="13">
        <v>28</v>
      </c>
    </row>
    <row r="22" spans="1:7" x14ac:dyDescent="0.35">
      <c r="A22" s="10" t="s">
        <v>17</v>
      </c>
      <c r="B22" s="11">
        <v>22</v>
      </c>
      <c r="C22" s="12">
        <v>1908</v>
      </c>
      <c r="D22" s="12">
        <v>1492</v>
      </c>
      <c r="E22" s="12">
        <v>966</v>
      </c>
      <c r="F22" s="12">
        <v>555</v>
      </c>
      <c r="G22" s="13">
        <v>299</v>
      </c>
    </row>
    <row r="23" spans="1:7" x14ac:dyDescent="0.35">
      <c r="A23" s="10" t="s">
        <v>18</v>
      </c>
      <c r="B23" s="11">
        <v>0</v>
      </c>
      <c r="C23" s="12">
        <v>433</v>
      </c>
      <c r="D23" s="12">
        <v>1110</v>
      </c>
      <c r="E23" s="12">
        <v>1165</v>
      </c>
      <c r="F23" s="12">
        <v>0</v>
      </c>
      <c r="G23" s="13">
        <v>0</v>
      </c>
    </row>
    <row r="24" spans="1:7" x14ac:dyDescent="0.35">
      <c r="A24" s="18"/>
      <c r="B24" s="19"/>
      <c r="C24" s="20"/>
      <c r="D24" s="20"/>
      <c r="E24" s="20"/>
      <c r="F24" s="20"/>
      <c r="G24" s="21"/>
    </row>
    <row r="25" spans="1:7" ht="29" x14ac:dyDescent="0.35">
      <c r="A25" s="14" t="s">
        <v>51</v>
      </c>
      <c r="B25" s="15">
        <v>1978</v>
      </c>
      <c r="C25" s="16">
        <v>71678</v>
      </c>
      <c r="D25" s="16">
        <v>70804</v>
      </c>
      <c r="E25" s="16">
        <v>33872</v>
      </c>
      <c r="F25" s="16">
        <v>13146</v>
      </c>
      <c r="G25" s="17">
        <v>3440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8298-5B44-409D-B7C1-10F8CD09B721}">
  <dimension ref="A3:V14"/>
  <sheetViews>
    <sheetView workbookViewId="0">
      <selection activeCell="A3" sqref="A3"/>
    </sheetView>
  </sheetViews>
  <sheetFormatPr defaultRowHeight="14.5" x14ac:dyDescent="0.35"/>
  <cols>
    <col min="1" max="1" width="12.54296875" bestFit="1" customWidth="1"/>
    <col min="2" max="2" width="15.26953125" bestFit="1" customWidth="1"/>
    <col min="3" max="3" width="4.90625" bestFit="1" customWidth="1"/>
    <col min="4" max="4" width="3.6328125" bestFit="1" customWidth="1"/>
    <col min="5" max="5" width="4.1796875" bestFit="1" customWidth="1"/>
    <col min="6" max="6" width="4.26953125" bestFit="1" customWidth="1"/>
    <col min="7" max="7" width="3.453125" bestFit="1" customWidth="1"/>
    <col min="8" max="8" width="4.54296875" bestFit="1" customWidth="1"/>
    <col min="9" max="9" width="4.1796875" bestFit="1" customWidth="1"/>
    <col min="10" max="10" width="5.08984375" bestFit="1" customWidth="1"/>
    <col min="11" max="12" width="4.90625" bestFit="1" customWidth="1"/>
    <col min="13" max="13" width="3.54296875" bestFit="1" customWidth="1"/>
    <col min="14" max="14" width="4.54296875" bestFit="1" customWidth="1"/>
    <col min="15" max="15" width="3.81640625" bestFit="1" customWidth="1"/>
    <col min="16" max="16" width="4.453125" bestFit="1" customWidth="1"/>
    <col min="17" max="17" width="4.54296875" bestFit="1" customWidth="1"/>
    <col min="18" max="18" width="3.90625" bestFit="1" customWidth="1"/>
    <col min="19" max="20" width="4.6328125" bestFit="1" customWidth="1"/>
    <col min="21" max="21" width="6.7265625" bestFit="1" customWidth="1"/>
    <col min="22" max="22" width="10.7265625" bestFit="1" customWidth="1"/>
  </cols>
  <sheetData>
    <row r="3" spans="1:22" x14ac:dyDescent="0.35">
      <c r="A3" s="1" t="s">
        <v>54</v>
      </c>
      <c r="B3" s="1" t="s">
        <v>57</v>
      </c>
    </row>
    <row r="4" spans="1:22" x14ac:dyDescent="0.35">
      <c r="A4" s="1" t="s">
        <v>49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50</v>
      </c>
      <c r="V4" t="s">
        <v>51</v>
      </c>
    </row>
    <row r="5" spans="1:22" x14ac:dyDescent="0.35">
      <c r="A5" s="2" t="s">
        <v>19</v>
      </c>
      <c r="B5">
        <v>1</v>
      </c>
      <c r="V5">
        <v>1</v>
      </c>
    </row>
    <row r="6" spans="1:22" x14ac:dyDescent="0.35">
      <c r="A6" s="2" t="s">
        <v>20</v>
      </c>
      <c r="C6">
        <v>1</v>
      </c>
      <c r="V6">
        <v>1</v>
      </c>
    </row>
    <row r="7" spans="1:22" x14ac:dyDescent="0.35">
      <c r="A7" s="2" t="s">
        <v>1</v>
      </c>
      <c r="D7">
        <v>1</v>
      </c>
      <c r="V7">
        <v>1</v>
      </c>
    </row>
    <row r="8" spans="1:22" x14ac:dyDescent="0.35">
      <c r="A8" s="2" t="s">
        <v>21</v>
      </c>
      <c r="E8">
        <v>1</v>
      </c>
      <c r="V8">
        <v>1</v>
      </c>
    </row>
    <row r="9" spans="1:22" x14ac:dyDescent="0.35">
      <c r="A9" s="2" t="s">
        <v>6</v>
      </c>
      <c r="F9">
        <v>1</v>
      </c>
      <c r="V9">
        <v>1</v>
      </c>
    </row>
    <row r="10" spans="1:22" x14ac:dyDescent="0.35">
      <c r="A10" s="2" t="s">
        <v>9</v>
      </c>
      <c r="G10">
        <v>1</v>
      </c>
      <c r="V10">
        <v>1</v>
      </c>
    </row>
    <row r="11" spans="1:22" x14ac:dyDescent="0.35">
      <c r="A11" s="2" t="s">
        <v>22</v>
      </c>
      <c r="H11">
        <v>1</v>
      </c>
      <c r="V11">
        <v>1</v>
      </c>
    </row>
    <row r="12" spans="1:22" x14ac:dyDescent="0.35">
      <c r="A12" s="2" t="s">
        <v>23</v>
      </c>
      <c r="I12">
        <v>1</v>
      </c>
      <c r="V12">
        <v>1</v>
      </c>
    </row>
    <row r="13" spans="1:22" x14ac:dyDescent="0.35">
      <c r="A13" s="2" t="s">
        <v>50</v>
      </c>
      <c r="J13">
        <v>1</v>
      </c>
      <c r="K13">
        <v>1</v>
      </c>
      <c r="L13">
        <v>1</v>
      </c>
      <c r="V13">
        <v>3</v>
      </c>
    </row>
    <row r="14" spans="1:22" x14ac:dyDescent="0.35">
      <c r="A14" s="2" t="s">
        <v>51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V14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ACFD-96E8-4126-931C-BE1B9938C377}">
  <sheetPr filterMode="1"/>
  <dimension ref="A1:B49"/>
  <sheetViews>
    <sheetView workbookViewId="0">
      <selection activeCell="A47" sqref="A47:XFD47"/>
    </sheetView>
  </sheetViews>
  <sheetFormatPr defaultRowHeight="14" x14ac:dyDescent="0.3"/>
  <cols>
    <col min="1" max="1" width="8.453125" style="3" bestFit="1" customWidth="1"/>
    <col min="2" max="2" width="27.36328125" style="3" bestFit="1" customWidth="1"/>
    <col min="3" max="16384" width="8.7265625" style="3"/>
  </cols>
  <sheetData>
    <row r="1" spans="1:2" x14ac:dyDescent="0.3">
      <c r="B1" s="3" t="s">
        <v>58</v>
      </c>
    </row>
    <row r="2" spans="1:2" hidden="1" x14ac:dyDescent="0.3">
      <c r="A2" s="4" t="s">
        <v>47</v>
      </c>
      <c r="B2" s="4" t="s">
        <v>48</v>
      </c>
    </row>
    <row r="3" spans="1:2" hidden="1" x14ac:dyDescent="0.3">
      <c r="A3" s="5" t="s">
        <v>28</v>
      </c>
      <c r="B3" s="5"/>
    </row>
    <row r="4" spans="1:2" x14ac:dyDescent="0.3">
      <c r="A4" s="5" t="s">
        <v>19</v>
      </c>
      <c r="B4" s="5">
        <v>2019</v>
      </c>
    </row>
    <row r="5" spans="1:2" hidden="1" x14ac:dyDescent="0.3">
      <c r="A5" s="5" t="s">
        <v>0</v>
      </c>
      <c r="B5" s="5">
        <v>2021</v>
      </c>
    </row>
    <row r="6" spans="1:2" hidden="1" x14ac:dyDescent="0.3">
      <c r="A6" s="5" t="s">
        <v>20</v>
      </c>
      <c r="B6" s="5">
        <v>2022</v>
      </c>
    </row>
    <row r="7" spans="1:2" hidden="1" x14ac:dyDescent="0.3">
      <c r="A7" s="5" t="s">
        <v>1</v>
      </c>
      <c r="B7" s="5">
        <v>2022</v>
      </c>
    </row>
    <row r="8" spans="1:2" hidden="1" x14ac:dyDescent="0.3">
      <c r="A8" s="5" t="s">
        <v>29</v>
      </c>
      <c r="B8" s="5"/>
    </row>
    <row r="9" spans="1:2" hidden="1" x14ac:dyDescent="0.3">
      <c r="A9" s="5" t="s">
        <v>2</v>
      </c>
      <c r="B9" s="5">
        <v>2022</v>
      </c>
    </row>
    <row r="10" spans="1:2" hidden="1" x14ac:dyDescent="0.3">
      <c r="A10" s="5" t="s">
        <v>24</v>
      </c>
      <c r="B10" s="5">
        <v>2022</v>
      </c>
    </row>
    <row r="11" spans="1:2" hidden="1" x14ac:dyDescent="0.3">
      <c r="A11" s="5" t="s">
        <v>30</v>
      </c>
      <c r="B11" s="5"/>
    </row>
    <row r="12" spans="1:2" hidden="1" x14ac:dyDescent="0.3">
      <c r="A12" s="5" t="s">
        <v>26</v>
      </c>
      <c r="B12" s="5">
        <v>2022</v>
      </c>
    </row>
    <row r="13" spans="1:2" hidden="1" x14ac:dyDescent="0.3">
      <c r="A13" s="5" t="s">
        <v>31</v>
      </c>
      <c r="B13" s="5"/>
    </row>
    <row r="14" spans="1:2" hidden="1" x14ac:dyDescent="0.3">
      <c r="A14" s="5" t="s">
        <v>3</v>
      </c>
      <c r="B14" s="5">
        <v>2022</v>
      </c>
    </row>
    <row r="15" spans="1:2" hidden="1" x14ac:dyDescent="0.3">
      <c r="A15" s="5" t="s">
        <v>4</v>
      </c>
      <c r="B15" s="5">
        <v>2018</v>
      </c>
    </row>
    <row r="16" spans="1:2" hidden="1" x14ac:dyDescent="0.3">
      <c r="A16" s="5" t="s">
        <v>5</v>
      </c>
      <c r="B16" s="5">
        <v>2022</v>
      </c>
    </row>
    <row r="17" spans="1:2" hidden="1" x14ac:dyDescent="0.3">
      <c r="A17" s="5" t="s">
        <v>32</v>
      </c>
      <c r="B17" s="5"/>
    </row>
    <row r="18" spans="1:2" hidden="1" x14ac:dyDescent="0.3">
      <c r="A18" s="5" t="s">
        <v>21</v>
      </c>
      <c r="B18" s="5">
        <v>2022</v>
      </c>
    </row>
    <row r="19" spans="1:2" hidden="1" x14ac:dyDescent="0.3">
      <c r="A19" s="5" t="s">
        <v>6</v>
      </c>
      <c r="B19" s="5">
        <v>2022</v>
      </c>
    </row>
    <row r="20" spans="1:2" hidden="1" x14ac:dyDescent="0.3">
      <c r="A20" s="5" t="s">
        <v>33</v>
      </c>
      <c r="B20" s="5"/>
    </row>
    <row r="21" spans="1:2" hidden="1" x14ac:dyDescent="0.3">
      <c r="A21" s="5" t="s">
        <v>34</v>
      </c>
      <c r="B21" s="5"/>
    </row>
    <row r="22" spans="1:2" hidden="1" x14ac:dyDescent="0.3">
      <c r="A22" s="5" t="s">
        <v>25</v>
      </c>
      <c r="B22" s="5">
        <v>2022</v>
      </c>
    </row>
    <row r="23" spans="1:2" hidden="1" x14ac:dyDescent="0.3">
      <c r="A23" s="5" t="s">
        <v>35</v>
      </c>
      <c r="B23" s="5"/>
    </row>
    <row r="24" spans="1:2" hidden="1" x14ac:dyDescent="0.3">
      <c r="A24" s="5" t="s">
        <v>7</v>
      </c>
      <c r="B24" s="5">
        <v>2022</v>
      </c>
    </row>
    <row r="25" spans="1:2" hidden="1" x14ac:dyDescent="0.3">
      <c r="A25" s="5" t="s">
        <v>36</v>
      </c>
      <c r="B25" s="5"/>
    </row>
    <row r="26" spans="1:2" hidden="1" x14ac:dyDescent="0.3">
      <c r="A26" s="5" t="s">
        <v>37</v>
      </c>
      <c r="B26" s="5"/>
    </row>
    <row r="27" spans="1:2" hidden="1" x14ac:dyDescent="0.3">
      <c r="A27" s="5" t="s">
        <v>8</v>
      </c>
      <c r="B27" s="5">
        <v>2018</v>
      </c>
    </row>
    <row r="28" spans="1:2" hidden="1" x14ac:dyDescent="0.3">
      <c r="A28" s="5" t="s">
        <v>38</v>
      </c>
      <c r="B28" s="5"/>
    </row>
    <row r="29" spans="1:2" hidden="1" x14ac:dyDescent="0.3">
      <c r="A29" s="5" t="s">
        <v>9</v>
      </c>
      <c r="B29" s="5">
        <v>2022</v>
      </c>
    </row>
    <row r="30" spans="1:2" hidden="1" x14ac:dyDescent="0.3">
      <c r="A30" s="5" t="s">
        <v>39</v>
      </c>
      <c r="B30" s="5"/>
    </row>
    <row r="31" spans="1:2" hidden="1" x14ac:dyDescent="0.3">
      <c r="A31" s="5" t="s">
        <v>40</v>
      </c>
      <c r="B31" s="5"/>
    </row>
    <row r="32" spans="1:2" hidden="1" x14ac:dyDescent="0.3">
      <c r="A32" s="5" t="s">
        <v>10</v>
      </c>
      <c r="B32" s="5">
        <v>2022</v>
      </c>
    </row>
    <row r="33" spans="1:2" hidden="1" x14ac:dyDescent="0.3">
      <c r="A33" s="5" t="s">
        <v>41</v>
      </c>
      <c r="B33" s="5"/>
    </row>
    <row r="34" spans="1:2" hidden="1" x14ac:dyDescent="0.3">
      <c r="A34" s="5" t="s">
        <v>42</v>
      </c>
      <c r="B34" s="5"/>
    </row>
    <row r="35" spans="1:2" hidden="1" x14ac:dyDescent="0.3">
      <c r="A35" s="5" t="s">
        <v>27</v>
      </c>
      <c r="B35" s="5">
        <v>2022</v>
      </c>
    </row>
    <row r="36" spans="1:2" hidden="1" x14ac:dyDescent="0.3">
      <c r="A36" s="5" t="s">
        <v>43</v>
      </c>
      <c r="B36" s="5"/>
    </row>
    <row r="37" spans="1:2" hidden="1" x14ac:dyDescent="0.3">
      <c r="A37" s="5" t="s">
        <v>22</v>
      </c>
      <c r="B37" s="5">
        <v>2022</v>
      </c>
    </row>
    <row r="38" spans="1:2" hidden="1" x14ac:dyDescent="0.3">
      <c r="A38" s="5" t="s">
        <v>11</v>
      </c>
      <c r="B38" s="5">
        <v>2020</v>
      </c>
    </row>
    <row r="39" spans="1:2" hidden="1" x14ac:dyDescent="0.3">
      <c r="A39" s="5" t="s">
        <v>44</v>
      </c>
      <c r="B39" s="5"/>
    </row>
    <row r="40" spans="1:2" hidden="1" x14ac:dyDescent="0.3">
      <c r="A40" s="5" t="s">
        <v>45</v>
      </c>
      <c r="B40" s="5"/>
    </row>
    <row r="41" spans="1:2" hidden="1" x14ac:dyDescent="0.3">
      <c r="A41" s="5" t="s">
        <v>12</v>
      </c>
      <c r="B41" s="5">
        <v>2022</v>
      </c>
    </row>
    <row r="42" spans="1:2" hidden="1" x14ac:dyDescent="0.3">
      <c r="A42" s="5" t="s">
        <v>13</v>
      </c>
      <c r="B42" s="5">
        <v>2022</v>
      </c>
    </row>
    <row r="43" spans="1:2" hidden="1" x14ac:dyDescent="0.3">
      <c r="A43" s="5" t="s">
        <v>23</v>
      </c>
      <c r="B43" s="5">
        <v>2022</v>
      </c>
    </row>
    <row r="44" spans="1:2" hidden="1" x14ac:dyDescent="0.3">
      <c r="A44" s="5" t="s">
        <v>14</v>
      </c>
      <c r="B44" s="5">
        <v>2022</v>
      </c>
    </row>
    <row r="45" spans="1:2" hidden="1" x14ac:dyDescent="0.3">
      <c r="A45" s="5" t="s">
        <v>46</v>
      </c>
      <c r="B45" s="5"/>
    </row>
    <row r="46" spans="1:2" hidden="1" x14ac:dyDescent="0.3">
      <c r="A46" s="5" t="s">
        <v>15</v>
      </c>
      <c r="B46" s="5">
        <v>2018</v>
      </c>
    </row>
    <row r="47" spans="1:2" hidden="1" x14ac:dyDescent="0.3">
      <c r="A47" s="5" t="s">
        <v>16</v>
      </c>
      <c r="B47" s="5">
        <v>2018</v>
      </c>
    </row>
    <row r="48" spans="1:2" hidden="1" x14ac:dyDescent="0.3">
      <c r="A48" s="5" t="s">
        <v>17</v>
      </c>
      <c r="B48" s="5">
        <v>2022</v>
      </c>
    </row>
    <row r="49" spans="1:2" hidden="1" x14ac:dyDescent="0.3">
      <c r="A49" s="5" t="s">
        <v>18</v>
      </c>
      <c r="B49" s="5">
        <v>2022</v>
      </c>
    </row>
  </sheetData>
  <autoFilter ref="A1:B49" xr:uid="{6BFBACFD-96E8-4126-931C-BE1B9938C377}">
    <filterColumn colId="1">
      <filters>
        <filter val="2019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876E-A0CA-4CFE-847B-E9916916DB8F}">
  <dimension ref="A1:N28"/>
  <sheetViews>
    <sheetView workbookViewId="0">
      <selection activeCell="F8" sqref="F8"/>
    </sheetView>
  </sheetViews>
  <sheetFormatPr defaultRowHeight="14.5" x14ac:dyDescent="0.35"/>
  <cols>
    <col min="2" max="2" width="12.26953125" customWidth="1"/>
    <col min="3" max="3" width="12.1796875" customWidth="1"/>
    <col min="4" max="4" width="13.36328125" customWidth="1"/>
    <col min="5" max="5" width="12.54296875" customWidth="1"/>
    <col min="6" max="7" width="15" customWidth="1"/>
  </cols>
  <sheetData>
    <row r="1" spans="1:14" x14ac:dyDescent="0.35">
      <c r="D1" t="s">
        <v>73</v>
      </c>
      <c r="J1" t="s">
        <v>74</v>
      </c>
    </row>
    <row r="2" spans="1:14" s="22" customFormat="1" ht="87" x14ac:dyDescent="0.35">
      <c r="A2" s="22" t="s">
        <v>47</v>
      </c>
      <c r="B2" s="22" t="s">
        <v>66</v>
      </c>
      <c r="C2" s="22" t="s">
        <v>67</v>
      </c>
      <c r="D2" s="22" t="s">
        <v>68</v>
      </c>
      <c r="E2" s="22" t="s">
        <v>69</v>
      </c>
      <c r="F2" s="22" t="s">
        <v>70</v>
      </c>
      <c r="G2" s="22" t="s">
        <v>71</v>
      </c>
      <c r="H2" s="22" t="s">
        <v>72</v>
      </c>
      <c r="I2" s="22" t="s">
        <v>66</v>
      </c>
      <c r="J2" s="22" t="s">
        <v>67</v>
      </c>
      <c r="K2" s="22" t="s">
        <v>68</v>
      </c>
      <c r="L2" s="22" t="s">
        <v>69</v>
      </c>
      <c r="M2" s="22" t="s">
        <v>70</v>
      </c>
      <c r="N2" s="22" t="s">
        <v>71</v>
      </c>
    </row>
    <row r="3" spans="1:14" x14ac:dyDescent="0.35">
      <c r="A3" t="s">
        <v>65</v>
      </c>
      <c r="B3">
        <v>989</v>
      </c>
      <c r="C3">
        <v>35839</v>
      </c>
      <c r="D3">
        <v>35402</v>
      </c>
      <c r="E3">
        <v>16936</v>
      </c>
      <c r="F3">
        <v>6573</v>
      </c>
      <c r="G3">
        <v>1720</v>
      </c>
      <c r="H3">
        <f>SUM(B3:G3)</f>
        <v>97459</v>
      </c>
      <c r="I3">
        <f>B3/H3</f>
        <v>1.0147857047578982E-2</v>
      </c>
      <c r="J3">
        <f>C3/H3</f>
        <v>0.36773412409320844</v>
      </c>
      <c r="K3">
        <f>D3/H3</f>
        <v>0.36325018725823166</v>
      </c>
      <c r="L3">
        <f>E3/H3</f>
        <v>0.1737756389866508</v>
      </c>
      <c r="M3">
        <f>F3/H3</f>
        <v>6.744374557506233E-2</v>
      </c>
      <c r="N3">
        <f>G3/H3</f>
        <v>1.7648447039267795E-2</v>
      </c>
    </row>
    <row r="4" spans="1:14" x14ac:dyDescent="0.35">
      <c r="A4" t="s">
        <v>20</v>
      </c>
      <c r="B4">
        <v>0</v>
      </c>
      <c r="C4">
        <v>1138</v>
      </c>
      <c r="D4">
        <v>1088</v>
      </c>
      <c r="E4">
        <v>112</v>
      </c>
      <c r="F4">
        <v>33</v>
      </c>
      <c r="G4">
        <v>1</v>
      </c>
      <c r="H4">
        <f t="shared" ref="H4:H28" si="0">SUM(B4:G4)</f>
        <v>2372</v>
      </c>
      <c r="I4">
        <f t="shared" ref="I4:I28" si="1">B4/H4</f>
        <v>0</v>
      </c>
      <c r="J4">
        <f t="shared" ref="J4:J28" si="2">C4/H4</f>
        <v>0.4797639123102867</v>
      </c>
      <c r="K4">
        <f t="shared" ref="K4:K28" si="3">D4/H4</f>
        <v>0.45868465430016864</v>
      </c>
      <c r="L4">
        <f t="shared" ref="L4:L28" si="4">E4/H4</f>
        <v>4.7217537942664416E-2</v>
      </c>
      <c r="M4">
        <f t="shared" ref="M4:M28" si="5">F4/H4</f>
        <v>1.3912310286677909E-2</v>
      </c>
      <c r="N4">
        <f t="shared" ref="N4:N28" si="6">G4/H4</f>
        <v>4.2158516020236085E-4</v>
      </c>
    </row>
    <row r="5" spans="1:14" x14ac:dyDescent="0.35">
      <c r="A5" t="s">
        <v>1</v>
      </c>
      <c r="C5">
        <v>483</v>
      </c>
      <c r="D5">
        <v>323</v>
      </c>
      <c r="E5">
        <v>121</v>
      </c>
      <c r="F5">
        <v>52</v>
      </c>
      <c r="G5">
        <v>14</v>
      </c>
      <c r="H5">
        <f t="shared" si="0"/>
        <v>993</v>
      </c>
      <c r="I5">
        <f t="shared" si="1"/>
        <v>0</v>
      </c>
      <c r="J5">
        <f t="shared" si="2"/>
        <v>0.48640483383685801</v>
      </c>
      <c r="K5">
        <f t="shared" si="3"/>
        <v>0.3252769385699899</v>
      </c>
      <c r="L5">
        <f t="shared" si="4"/>
        <v>0.12185297079556898</v>
      </c>
      <c r="M5">
        <f t="shared" si="5"/>
        <v>5.2366565961732128E-2</v>
      </c>
      <c r="N5">
        <f t="shared" si="6"/>
        <v>1.4098690835850957E-2</v>
      </c>
    </row>
    <row r="6" spans="1:14" x14ac:dyDescent="0.35">
      <c r="A6" t="s">
        <v>2</v>
      </c>
      <c r="B6">
        <v>0</v>
      </c>
      <c r="C6">
        <v>920</v>
      </c>
      <c r="D6">
        <v>1757</v>
      </c>
      <c r="E6">
        <v>1583</v>
      </c>
      <c r="F6">
        <v>640</v>
      </c>
      <c r="G6">
        <v>29</v>
      </c>
      <c r="H6">
        <f t="shared" si="0"/>
        <v>4929</v>
      </c>
      <c r="I6">
        <f t="shared" si="1"/>
        <v>0</v>
      </c>
      <c r="J6">
        <f t="shared" si="2"/>
        <v>0.18665043619395416</v>
      </c>
      <c r="K6">
        <f t="shared" si="3"/>
        <v>0.3564617569486711</v>
      </c>
      <c r="L6">
        <f t="shared" si="4"/>
        <v>0.32116047879894499</v>
      </c>
      <c r="M6">
        <f t="shared" si="5"/>
        <v>0.12984378170014202</v>
      </c>
      <c r="N6">
        <f t="shared" si="6"/>
        <v>5.883546358287685E-3</v>
      </c>
    </row>
    <row r="7" spans="1:14" x14ac:dyDescent="0.35">
      <c r="A7" t="s">
        <v>24</v>
      </c>
      <c r="B7">
        <v>15</v>
      </c>
      <c r="C7">
        <v>1889</v>
      </c>
      <c r="D7">
        <v>1240</v>
      </c>
      <c r="E7">
        <v>454</v>
      </c>
      <c r="F7">
        <v>156</v>
      </c>
      <c r="G7">
        <v>8</v>
      </c>
      <c r="H7">
        <f t="shared" si="0"/>
        <v>3762</v>
      </c>
      <c r="I7">
        <f t="shared" si="1"/>
        <v>3.9872408293460922E-3</v>
      </c>
      <c r="J7">
        <f t="shared" si="2"/>
        <v>0.50212652844231787</v>
      </c>
      <c r="K7">
        <f t="shared" si="3"/>
        <v>0.32961190855927697</v>
      </c>
      <c r="L7">
        <f t="shared" si="4"/>
        <v>0.12068048910154174</v>
      </c>
      <c r="M7">
        <f t="shared" si="5"/>
        <v>4.1467304625199361E-2</v>
      </c>
      <c r="N7">
        <f t="shared" si="6"/>
        <v>2.1265284423179162E-3</v>
      </c>
    </row>
    <row r="8" spans="1:14" x14ac:dyDescent="0.35">
      <c r="A8" t="s">
        <v>26</v>
      </c>
      <c r="C8">
        <v>464</v>
      </c>
      <c r="D8">
        <v>312</v>
      </c>
      <c r="E8">
        <v>121</v>
      </c>
      <c r="F8">
        <v>137</v>
      </c>
      <c r="G8">
        <v>8</v>
      </c>
      <c r="H8">
        <f t="shared" si="0"/>
        <v>1042</v>
      </c>
      <c r="I8">
        <f t="shared" si="1"/>
        <v>0</v>
      </c>
      <c r="J8">
        <f t="shared" si="2"/>
        <v>0.44529750479846447</v>
      </c>
      <c r="K8">
        <f t="shared" si="3"/>
        <v>0.29942418426103645</v>
      </c>
      <c r="L8">
        <f t="shared" si="4"/>
        <v>0.11612284069097889</v>
      </c>
      <c r="M8">
        <f t="shared" si="5"/>
        <v>0.13147792706333974</v>
      </c>
      <c r="N8">
        <f t="shared" si="6"/>
        <v>7.677543186180422E-3</v>
      </c>
    </row>
    <row r="9" spans="1:14" x14ac:dyDescent="0.35">
      <c r="A9" t="s">
        <v>3</v>
      </c>
      <c r="B9">
        <v>11</v>
      </c>
      <c r="C9">
        <v>539</v>
      </c>
      <c r="D9">
        <v>801</v>
      </c>
      <c r="E9">
        <v>713</v>
      </c>
      <c r="F9">
        <v>452</v>
      </c>
      <c r="G9">
        <v>128</v>
      </c>
      <c r="H9">
        <f t="shared" si="0"/>
        <v>2644</v>
      </c>
      <c r="I9">
        <f t="shared" si="1"/>
        <v>4.1603630862329802E-3</v>
      </c>
      <c r="J9">
        <f t="shared" si="2"/>
        <v>0.20385779122541603</v>
      </c>
      <c r="K9">
        <f t="shared" si="3"/>
        <v>0.30295007564296522</v>
      </c>
      <c r="L9">
        <f t="shared" si="4"/>
        <v>0.26966717095310139</v>
      </c>
      <c r="M9">
        <f t="shared" si="5"/>
        <v>0.17095310136157338</v>
      </c>
      <c r="N9">
        <f t="shared" si="6"/>
        <v>4.8411497730711045E-2</v>
      </c>
    </row>
    <row r="10" spans="1:14" x14ac:dyDescent="0.35">
      <c r="A10" t="s">
        <v>5</v>
      </c>
      <c r="C10">
        <v>175</v>
      </c>
      <c r="H10">
        <f t="shared" si="0"/>
        <v>175</v>
      </c>
      <c r="I10">
        <f t="shared" si="1"/>
        <v>0</v>
      </c>
      <c r="J10">
        <f t="shared" si="2"/>
        <v>1</v>
      </c>
      <c r="K10">
        <f t="shared" si="3"/>
        <v>0</v>
      </c>
      <c r="L10">
        <f t="shared" si="4"/>
        <v>0</v>
      </c>
      <c r="M10">
        <f t="shared" si="5"/>
        <v>0</v>
      </c>
      <c r="N10">
        <f t="shared" si="6"/>
        <v>0</v>
      </c>
    </row>
    <row r="11" spans="1:14" x14ac:dyDescent="0.35">
      <c r="A11" t="s">
        <v>21</v>
      </c>
      <c r="B11">
        <v>0</v>
      </c>
      <c r="C11">
        <v>248</v>
      </c>
      <c r="D11">
        <v>258</v>
      </c>
      <c r="E11">
        <v>379</v>
      </c>
      <c r="F11">
        <v>224</v>
      </c>
      <c r="G11">
        <v>28</v>
      </c>
      <c r="H11">
        <f t="shared" si="0"/>
        <v>1137</v>
      </c>
      <c r="I11">
        <f t="shared" si="1"/>
        <v>0</v>
      </c>
      <c r="J11">
        <f t="shared" si="2"/>
        <v>0.21811785400175901</v>
      </c>
      <c r="K11">
        <f t="shared" si="3"/>
        <v>0.22691292875989447</v>
      </c>
      <c r="L11">
        <f t="shared" si="4"/>
        <v>0.33333333333333331</v>
      </c>
      <c r="M11">
        <f t="shared" si="5"/>
        <v>0.19700967458223395</v>
      </c>
      <c r="N11">
        <f t="shared" si="6"/>
        <v>2.4626209322779244E-2</v>
      </c>
    </row>
    <row r="12" spans="1:14" x14ac:dyDescent="0.35">
      <c r="A12" t="s">
        <v>6</v>
      </c>
      <c r="B12">
        <v>2</v>
      </c>
      <c r="C12">
        <v>1715</v>
      </c>
      <c r="D12">
        <v>1942</v>
      </c>
      <c r="E12">
        <v>512</v>
      </c>
      <c r="F12">
        <v>184</v>
      </c>
      <c r="G12">
        <v>3</v>
      </c>
      <c r="H12">
        <f t="shared" si="0"/>
        <v>4358</v>
      </c>
      <c r="I12">
        <f t="shared" si="1"/>
        <v>4.5892611289582378E-4</v>
      </c>
      <c r="J12">
        <f t="shared" si="2"/>
        <v>0.39352914180816889</v>
      </c>
      <c r="K12">
        <f t="shared" si="3"/>
        <v>0.4456172556218449</v>
      </c>
      <c r="L12">
        <f t="shared" si="4"/>
        <v>0.11748508490133089</v>
      </c>
      <c r="M12">
        <f t="shared" si="5"/>
        <v>4.2221202386415788E-2</v>
      </c>
      <c r="N12">
        <f t="shared" si="6"/>
        <v>6.8838916934373562E-4</v>
      </c>
    </row>
    <row r="13" spans="1:14" x14ac:dyDescent="0.35">
      <c r="A13" t="s">
        <v>25</v>
      </c>
      <c r="B13">
        <v>0</v>
      </c>
      <c r="C13">
        <v>229</v>
      </c>
      <c r="D13">
        <v>143</v>
      </c>
      <c r="E13">
        <v>41</v>
      </c>
      <c r="F13">
        <v>19</v>
      </c>
      <c r="G13">
        <v>5</v>
      </c>
      <c r="H13">
        <f t="shared" si="0"/>
        <v>437</v>
      </c>
      <c r="I13">
        <f t="shared" si="1"/>
        <v>0</v>
      </c>
      <c r="J13">
        <f t="shared" si="2"/>
        <v>0.52402745995423339</v>
      </c>
      <c r="K13">
        <f t="shared" si="3"/>
        <v>0.32723112128146453</v>
      </c>
      <c r="L13">
        <f t="shared" si="4"/>
        <v>9.3821510297482841E-2</v>
      </c>
      <c r="M13">
        <f t="shared" si="5"/>
        <v>4.3478260869565216E-2</v>
      </c>
      <c r="N13">
        <f t="shared" si="6"/>
        <v>1.1441647597254004E-2</v>
      </c>
    </row>
    <row r="14" spans="1:14" x14ac:dyDescent="0.35">
      <c r="A14" t="s">
        <v>7</v>
      </c>
      <c r="B14">
        <v>5</v>
      </c>
      <c r="C14">
        <v>1600</v>
      </c>
      <c r="D14">
        <v>2699</v>
      </c>
      <c r="E14">
        <v>941</v>
      </c>
      <c r="F14">
        <v>243</v>
      </c>
      <c r="G14">
        <v>6</v>
      </c>
      <c r="H14">
        <f t="shared" si="0"/>
        <v>5494</v>
      </c>
      <c r="I14">
        <f t="shared" si="1"/>
        <v>9.1008372770294869E-4</v>
      </c>
      <c r="J14">
        <f t="shared" si="2"/>
        <v>0.29122679286494357</v>
      </c>
      <c r="K14">
        <f t="shared" si="3"/>
        <v>0.49126319621405168</v>
      </c>
      <c r="L14">
        <f t="shared" si="4"/>
        <v>0.17127775755369495</v>
      </c>
      <c r="M14">
        <f t="shared" si="5"/>
        <v>4.4230069166363309E-2</v>
      </c>
      <c r="N14">
        <f t="shared" si="6"/>
        <v>1.0921004732435385E-3</v>
      </c>
    </row>
    <row r="15" spans="1:14" x14ac:dyDescent="0.35">
      <c r="A15" t="s">
        <v>9</v>
      </c>
      <c r="B15">
        <v>6</v>
      </c>
      <c r="C15">
        <v>784</v>
      </c>
      <c r="D15">
        <v>897</v>
      </c>
      <c r="E15">
        <v>416</v>
      </c>
      <c r="F15">
        <v>193</v>
      </c>
      <c r="G15">
        <v>50</v>
      </c>
      <c r="H15">
        <f t="shared" si="0"/>
        <v>2346</v>
      </c>
      <c r="I15">
        <f t="shared" si="1"/>
        <v>2.5575447570332483E-3</v>
      </c>
      <c r="J15">
        <f t="shared" si="2"/>
        <v>0.33418584825234443</v>
      </c>
      <c r="K15">
        <f t="shared" si="3"/>
        <v>0.38235294117647056</v>
      </c>
      <c r="L15">
        <f t="shared" si="4"/>
        <v>0.17732310315430519</v>
      </c>
      <c r="M15">
        <f t="shared" si="5"/>
        <v>8.2267689684569476E-2</v>
      </c>
      <c r="N15">
        <f t="shared" si="6"/>
        <v>2.1312872975277068E-2</v>
      </c>
    </row>
    <row r="16" spans="1:14" x14ac:dyDescent="0.35">
      <c r="A16" t="s">
        <v>10</v>
      </c>
      <c r="B16">
        <v>61</v>
      </c>
      <c r="C16">
        <v>392</v>
      </c>
      <c r="D16">
        <v>331</v>
      </c>
      <c r="E16">
        <v>213</v>
      </c>
      <c r="F16">
        <v>30</v>
      </c>
      <c r="G16">
        <v>13</v>
      </c>
      <c r="H16">
        <f t="shared" si="0"/>
        <v>1040</v>
      </c>
      <c r="I16">
        <f t="shared" si="1"/>
        <v>5.8653846153846154E-2</v>
      </c>
      <c r="J16">
        <f t="shared" si="2"/>
        <v>0.37692307692307692</v>
      </c>
      <c r="K16">
        <f t="shared" si="3"/>
        <v>0.31826923076923075</v>
      </c>
      <c r="L16">
        <f t="shared" si="4"/>
        <v>0.2048076923076923</v>
      </c>
      <c r="M16">
        <f t="shared" si="5"/>
        <v>2.8846153846153848E-2</v>
      </c>
      <c r="N16">
        <f t="shared" si="6"/>
        <v>1.2500000000000001E-2</v>
      </c>
    </row>
    <row r="17" spans="1:14" x14ac:dyDescent="0.35">
      <c r="A17" t="s">
        <v>27</v>
      </c>
      <c r="B17">
        <v>860</v>
      </c>
      <c r="C17">
        <v>21366</v>
      </c>
      <c r="D17">
        <v>19365</v>
      </c>
      <c r="E17">
        <v>8834</v>
      </c>
      <c r="F17">
        <v>3461</v>
      </c>
      <c r="G17">
        <v>1088</v>
      </c>
      <c r="H17">
        <f t="shared" si="0"/>
        <v>54974</v>
      </c>
      <c r="I17">
        <f t="shared" si="1"/>
        <v>1.5643758867828428E-2</v>
      </c>
      <c r="J17">
        <f t="shared" si="2"/>
        <v>0.38865645577909558</v>
      </c>
      <c r="K17">
        <f t="shared" si="3"/>
        <v>0.35225743078546223</v>
      </c>
      <c r="L17">
        <f t="shared" si="4"/>
        <v>0.16069414632371667</v>
      </c>
      <c r="M17">
        <f t="shared" si="5"/>
        <v>6.2957034234365342E-2</v>
      </c>
      <c r="N17">
        <f t="shared" si="6"/>
        <v>1.979117400953178E-2</v>
      </c>
    </row>
    <row r="18" spans="1:14" x14ac:dyDescent="0.35">
      <c r="A18" t="s">
        <v>22</v>
      </c>
      <c r="B18">
        <v>1</v>
      </c>
      <c r="C18">
        <v>338</v>
      </c>
      <c r="D18">
        <v>247</v>
      </c>
      <c r="E18">
        <v>64</v>
      </c>
      <c r="F18">
        <v>48</v>
      </c>
      <c r="G18">
        <v>5</v>
      </c>
      <c r="H18">
        <f t="shared" si="0"/>
        <v>703</v>
      </c>
      <c r="I18">
        <f t="shared" si="1"/>
        <v>1.4224751066856331E-3</v>
      </c>
      <c r="J18">
        <f t="shared" si="2"/>
        <v>0.48079658605974396</v>
      </c>
      <c r="K18">
        <f t="shared" si="3"/>
        <v>0.35135135135135137</v>
      </c>
      <c r="L18">
        <f t="shared" si="4"/>
        <v>9.1038406827880516E-2</v>
      </c>
      <c r="M18">
        <f t="shared" si="5"/>
        <v>6.8278805120910391E-2</v>
      </c>
      <c r="N18">
        <f t="shared" si="6"/>
        <v>7.1123755334281651E-3</v>
      </c>
    </row>
    <row r="19" spans="1:14" x14ac:dyDescent="0.35">
      <c r="A19" t="s">
        <v>12</v>
      </c>
      <c r="C19">
        <v>116</v>
      </c>
      <c r="D19">
        <v>691</v>
      </c>
      <c r="H19">
        <f t="shared" si="0"/>
        <v>807</v>
      </c>
      <c r="I19">
        <f t="shared" si="1"/>
        <v>0</v>
      </c>
      <c r="J19">
        <f t="shared" si="2"/>
        <v>0.14374225526641884</v>
      </c>
      <c r="K19">
        <f t="shared" si="3"/>
        <v>0.85625774473358118</v>
      </c>
      <c r="L19">
        <f t="shared" si="4"/>
        <v>0</v>
      </c>
      <c r="M19">
        <f t="shared" si="5"/>
        <v>0</v>
      </c>
      <c r="N19">
        <f t="shared" si="6"/>
        <v>0</v>
      </c>
    </row>
    <row r="20" spans="1:14" x14ac:dyDescent="0.35">
      <c r="A20" t="s">
        <v>13</v>
      </c>
      <c r="C20">
        <v>9</v>
      </c>
      <c r="D20">
        <v>15</v>
      </c>
      <c r="E20">
        <v>17</v>
      </c>
      <c r="F20">
        <v>9</v>
      </c>
      <c r="G20">
        <v>7</v>
      </c>
      <c r="H20">
        <f t="shared" si="0"/>
        <v>57</v>
      </c>
      <c r="I20">
        <f t="shared" si="1"/>
        <v>0</v>
      </c>
      <c r="J20">
        <f t="shared" si="2"/>
        <v>0.15789473684210525</v>
      </c>
      <c r="K20">
        <f t="shared" si="3"/>
        <v>0.26315789473684209</v>
      </c>
      <c r="L20">
        <f t="shared" si="4"/>
        <v>0.2982456140350877</v>
      </c>
      <c r="M20">
        <f t="shared" si="5"/>
        <v>0.15789473684210525</v>
      </c>
      <c r="N20">
        <f t="shared" si="6"/>
        <v>0.12280701754385964</v>
      </c>
    </row>
    <row r="21" spans="1:14" x14ac:dyDescent="0.35">
      <c r="A21" t="s">
        <v>23</v>
      </c>
      <c r="B21">
        <v>3</v>
      </c>
      <c r="C21">
        <v>880</v>
      </c>
      <c r="D21">
        <v>424</v>
      </c>
      <c r="E21">
        <v>129</v>
      </c>
      <c r="F21">
        <v>73</v>
      </c>
      <c r="G21">
        <v>0</v>
      </c>
      <c r="H21">
        <f t="shared" si="0"/>
        <v>1509</v>
      </c>
      <c r="I21">
        <f t="shared" si="1"/>
        <v>1.9880715705765406E-3</v>
      </c>
      <c r="J21">
        <f t="shared" si="2"/>
        <v>0.58316766070245196</v>
      </c>
      <c r="K21">
        <f t="shared" si="3"/>
        <v>0.28098078197481774</v>
      </c>
      <c r="L21">
        <f t="shared" si="4"/>
        <v>8.5487077534791248E-2</v>
      </c>
      <c r="M21">
        <f t="shared" si="5"/>
        <v>4.8376408217362492E-2</v>
      </c>
      <c r="N21">
        <f t="shared" si="6"/>
        <v>0</v>
      </c>
    </row>
    <row r="22" spans="1:14" x14ac:dyDescent="0.35">
      <c r="A22" t="s">
        <v>14</v>
      </c>
      <c r="B22">
        <v>3</v>
      </c>
      <c r="C22">
        <v>213</v>
      </c>
      <c r="D22">
        <v>267</v>
      </c>
      <c r="E22">
        <v>155</v>
      </c>
      <c r="F22">
        <v>64</v>
      </c>
      <c r="G22">
        <v>28</v>
      </c>
      <c r="H22">
        <f t="shared" si="0"/>
        <v>730</v>
      </c>
      <c r="I22">
        <f t="shared" si="1"/>
        <v>4.10958904109589E-3</v>
      </c>
      <c r="J22">
        <f t="shared" si="2"/>
        <v>0.29178082191780824</v>
      </c>
      <c r="K22">
        <f t="shared" si="3"/>
        <v>0.36575342465753424</v>
      </c>
      <c r="L22">
        <f t="shared" si="4"/>
        <v>0.21232876712328766</v>
      </c>
      <c r="M22">
        <f t="shared" si="5"/>
        <v>8.7671232876712329E-2</v>
      </c>
      <c r="N22">
        <f t="shared" si="6"/>
        <v>3.8356164383561646E-2</v>
      </c>
    </row>
    <row r="23" spans="1:14" x14ac:dyDescent="0.35">
      <c r="A23" t="s">
        <v>17</v>
      </c>
      <c r="B23">
        <v>22</v>
      </c>
      <c r="C23">
        <v>1908</v>
      </c>
      <c r="D23">
        <v>1492</v>
      </c>
      <c r="E23">
        <v>966</v>
      </c>
      <c r="F23">
        <v>555</v>
      </c>
      <c r="G23">
        <v>299</v>
      </c>
      <c r="H23">
        <f t="shared" si="0"/>
        <v>5242</v>
      </c>
      <c r="I23">
        <f t="shared" si="1"/>
        <v>4.1968714231209459E-3</v>
      </c>
      <c r="J23">
        <f t="shared" si="2"/>
        <v>0.36398321251430754</v>
      </c>
      <c r="K23">
        <f t="shared" si="3"/>
        <v>0.28462418924074778</v>
      </c>
      <c r="L23">
        <f t="shared" si="4"/>
        <v>0.18428080885158338</v>
      </c>
      <c r="M23">
        <f t="shared" si="5"/>
        <v>0.10587561999236933</v>
      </c>
      <c r="N23">
        <f t="shared" si="6"/>
        <v>5.7039297977871044E-2</v>
      </c>
    </row>
    <row r="24" spans="1:14" x14ac:dyDescent="0.35">
      <c r="A24" t="s">
        <v>18</v>
      </c>
      <c r="B24">
        <v>0</v>
      </c>
      <c r="C24">
        <v>433</v>
      </c>
      <c r="D24">
        <v>1110</v>
      </c>
      <c r="E24">
        <v>1165</v>
      </c>
      <c r="F24">
        <v>0</v>
      </c>
      <c r="G24">
        <v>0</v>
      </c>
      <c r="H24">
        <f t="shared" si="0"/>
        <v>2708</v>
      </c>
      <c r="I24">
        <f t="shared" si="1"/>
        <v>0</v>
      </c>
      <c r="J24">
        <f t="shared" si="2"/>
        <v>0.15989660265878877</v>
      </c>
      <c r="K24">
        <f t="shared" si="3"/>
        <v>0.4098966026587888</v>
      </c>
      <c r="L24">
        <f t="shared" si="4"/>
        <v>0.43020679468242246</v>
      </c>
      <c r="M24">
        <f t="shared" si="5"/>
        <v>0</v>
      </c>
      <c r="N24">
        <f t="shared" si="6"/>
        <v>0</v>
      </c>
    </row>
    <row r="25" spans="1:14" x14ac:dyDescent="0.35">
      <c r="A25" s="10" t="s">
        <v>0</v>
      </c>
      <c r="B25" s="11">
        <v>34</v>
      </c>
      <c r="C25" s="12">
        <v>1115</v>
      </c>
      <c r="D25" s="12">
        <v>916</v>
      </c>
      <c r="E25" s="12">
        <v>458</v>
      </c>
      <c r="F25" s="12">
        <v>221</v>
      </c>
      <c r="G25" s="13">
        <v>11</v>
      </c>
      <c r="H25">
        <f t="shared" si="0"/>
        <v>2755</v>
      </c>
      <c r="I25">
        <f t="shared" si="1"/>
        <v>1.2341197822141561E-2</v>
      </c>
      <c r="J25">
        <f t="shared" si="2"/>
        <v>0.40471869328493648</v>
      </c>
      <c r="K25">
        <f t="shared" si="3"/>
        <v>0.33248638838475497</v>
      </c>
      <c r="L25">
        <f t="shared" si="4"/>
        <v>0.16624319419237749</v>
      </c>
      <c r="M25">
        <f t="shared" si="5"/>
        <v>8.0217785843920142E-2</v>
      </c>
      <c r="N25">
        <f t="shared" si="6"/>
        <v>3.9927404718693282E-3</v>
      </c>
    </row>
    <row r="26" spans="1:14" s="20" customFormat="1" x14ac:dyDescent="0.35">
      <c r="A26" s="10" t="s">
        <v>11</v>
      </c>
      <c r="B26" s="11"/>
      <c r="C26" s="12">
        <v>150</v>
      </c>
      <c r="D26" s="12"/>
      <c r="E26" s="12"/>
      <c r="F26" s="12"/>
      <c r="G26" s="13"/>
      <c r="H26">
        <f t="shared" si="0"/>
        <v>150</v>
      </c>
      <c r="I26">
        <f t="shared" si="1"/>
        <v>0</v>
      </c>
      <c r="J26">
        <f t="shared" si="2"/>
        <v>1</v>
      </c>
      <c r="K26">
        <f t="shared" si="3"/>
        <v>0</v>
      </c>
      <c r="L26">
        <f t="shared" si="4"/>
        <v>0</v>
      </c>
      <c r="M26">
        <f t="shared" si="5"/>
        <v>0</v>
      </c>
      <c r="N26">
        <f t="shared" si="6"/>
        <v>0</v>
      </c>
    </row>
    <row r="27" spans="1:14" s="20" customFormat="1" x14ac:dyDescent="0.35">
      <c r="A27" s="10" t="s">
        <v>19</v>
      </c>
      <c r="B27" s="11">
        <v>0</v>
      </c>
      <c r="C27" s="12">
        <v>149</v>
      </c>
      <c r="D27" s="12">
        <v>396</v>
      </c>
      <c r="E27" s="12">
        <v>61</v>
      </c>
      <c r="F27" s="12">
        <v>19</v>
      </c>
      <c r="G27" s="13">
        <v>4</v>
      </c>
      <c r="H27">
        <f t="shared" si="0"/>
        <v>629</v>
      </c>
      <c r="I27">
        <f t="shared" si="1"/>
        <v>0</v>
      </c>
      <c r="J27">
        <f t="shared" si="2"/>
        <v>0.23688394276629571</v>
      </c>
      <c r="K27">
        <f t="shared" si="3"/>
        <v>0.62957074721780604</v>
      </c>
      <c r="L27">
        <f t="shared" si="4"/>
        <v>9.6979332273449917E-2</v>
      </c>
      <c r="M27">
        <f t="shared" si="5"/>
        <v>3.0206677265500796E-2</v>
      </c>
      <c r="N27">
        <f t="shared" si="6"/>
        <v>6.3593004769475362E-3</v>
      </c>
    </row>
    <row r="28" spans="1:14" x14ac:dyDescent="0.35">
      <c r="A28" s="10" t="s">
        <v>4</v>
      </c>
      <c r="B28" s="11">
        <v>5956</v>
      </c>
      <c r="C28" s="12">
        <v>21368</v>
      </c>
      <c r="D28" s="12">
        <v>15146</v>
      </c>
      <c r="E28" s="12">
        <v>10017</v>
      </c>
      <c r="F28" s="12">
        <v>12552</v>
      </c>
      <c r="G28" s="13">
        <v>7565</v>
      </c>
      <c r="H28">
        <f t="shared" si="0"/>
        <v>72604</v>
      </c>
      <c r="I28">
        <f t="shared" si="1"/>
        <v>8.2034047710869931E-2</v>
      </c>
      <c r="J28">
        <f t="shared" si="2"/>
        <v>0.29430885350669383</v>
      </c>
      <c r="K28">
        <f t="shared" si="3"/>
        <v>0.20861109580739354</v>
      </c>
      <c r="L28">
        <f t="shared" si="4"/>
        <v>0.13796760509062861</v>
      </c>
      <c r="M28">
        <f t="shared" si="5"/>
        <v>0.17288303674728664</v>
      </c>
      <c r="N28">
        <f t="shared" si="6"/>
        <v>0.10419536113712743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F12D-2F55-47E7-B104-1E1F6A25FDCD}">
  <dimension ref="A1:G219"/>
  <sheetViews>
    <sheetView workbookViewId="0">
      <selection activeCell="G2" sqref="G2"/>
    </sheetView>
  </sheetViews>
  <sheetFormatPr defaultRowHeight="14.5" x14ac:dyDescent="0.35"/>
  <cols>
    <col min="1" max="1" width="13" customWidth="1"/>
  </cols>
  <sheetData>
    <row r="1" spans="1:7" s="22" customFormat="1" ht="87" x14ac:dyDescent="0.35">
      <c r="A1" s="22" t="s">
        <v>47</v>
      </c>
      <c r="B1" s="22" t="s">
        <v>66</v>
      </c>
      <c r="C1" s="22" t="s">
        <v>67</v>
      </c>
      <c r="D1" s="22" t="s">
        <v>68</v>
      </c>
      <c r="E1" s="22" t="s">
        <v>69</v>
      </c>
      <c r="F1" s="22" t="s">
        <v>70</v>
      </c>
      <c r="G1" s="22" t="s">
        <v>71</v>
      </c>
    </row>
    <row r="2" spans="1:7" x14ac:dyDescent="0.35">
      <c r="A2" t="s">
        <v>75</v>
      </c>
      <c r="B2" s="23">
        <v>1.0147857047578982E-2</v>
      </c>
      <c r="C2" s="23">
        <v>0.36773412409320844</v>
      </c>
      <c r="D2" s="23">
        <v>0.36325018725823166</v>
      </c>
      <c r="E2" s="23">
        <v>0.1737756389866508</v>
      </c>
      <c r="F2" s="23">
        <v>6.744374557506233E-2</v>
      </c>
      <c r="G2" s="23">
        <v>1.7648447039267795E-2</v>
      </c>
    </row>
    <row r="3" spans="1:7" x14ac:dyDescent="0.35">
      <c r="A3" t="s">
        <v>20</v>
      </c>
      <c r="B3" s="23">
        <v>0</v>
      </c>
      <c r="C3" s="23">
        <v>0.4797639123102867</v>
      </c>
      <c r="D3" s="23">
        <v>0.45868465430016864</v>
      </c>
      <c r="E3" s="23">
        <v>4.7217537942664416E-2</v>
      </c>
      <c r="F3" s="23">
        <v>1.3912310286677909E-2</v>
      </c>
      <c r="G3" s="23">
        <v>4.2158516020236085E-4</v>
      </c>
    </row>
    <row r="4" spans="1:7" x14ac:dyDescent="0.35">
      <c r="A4" t="s">
        <v>1</v>
      </c>
      <c r="B4" s="23">
        <v>0</v>
      </c>
      <c r="C4" s="23">
        <v>0.48640483383685801</v>
      </c>
      <c r="D4" s="23">
        <v>0.3252769385699899</v>
      </c>
      <c r="E4" s="23">
        <v>0.12185297079556898</v>
      </c>
      <c r="F4" s="23">
        <v>5.2366565961732128E-2</v>
      </c>
      <c r="G4" s="23">
        <v>1.4098690835850957E-2</v>
      </c>
    </row>
    <row r="5" spans="1:7" x14ac:dyDescent="0.35">
      <c r="A5" t="s">
        <v>2</v>
      </c>
      <c r="B5" s="23">
        <v>0</v>
      </c>
      <c r="C5" s="23">
        <v>0.18665043619395416</v>
      </c>
      <c r="D5" s="23">
        <v>0.3564617569486711</v>
      </c>
      <c r="E5" s="23">
        <v>0.32116047879894499</v>
      </c>
      <c r="F5" s="23">
        <v>0.12984378170014202</v>
      </c>
      <c r="G5" s="23">
        <v>5.883546358287685E-3</v>
      </c>
    </row>
    <row r="6" spans="1:7" x14ac:dyDescent="0.35">
      <c r="A6" t="s">
        <v>24</v>
      </c>
      <c r="B6" s="23">
        <v>3.9872408293460922E-3</v>
      </c>
      <c r="C6" s="23">
        <v>0.50212652844231787</v>
      </c>
      <c r="D6" s="23">
        <v>0.32961190855927697</v>
      </c>
      <c r="E6" s="23">
        <v>0.12068048910154174</v>
      </c>
      <c r="F6" s="23">
        <v>4.1467304625199361E-2</v>
      </c>
      <c r="G6" s="23">
        <v>2.1265284423179162E-3</v>
      </c>
    </row>
    <row r="7" spans="1:7" x14ac:dyDescent="0.35">
      <c r="A7" t="s">
        <v>26</v>
      </c>
      <c r="B7" s="23">
        <v>0</v>
      </c>
      <c r="C7" s="23">
        <v>0.44529750479846447</v>
      </c>
      <c r="D7" s="23">
        <v>0.29942418426103645</v>
      </c>
      <c r="E7" s="23">
        <v>0.11612284069097889</v>
      </c>
      <c r="F7" s="23">
        <v>0.13147792706333974</v>
      </c>
      <c r="G7" s="23">
        <v>7.677543186180422E-3</v>
      </c>
    </row>
    <row r="8" spans="1:7" x14ac:dyDescent="0.35">
      <c r="A8" t="s">
        <v>3</v>
      </c>
      <c r="B8" s="23">
        <v>4.1603630862329802E-3</v>
      </c>
      <c r="C8" s="23">
        <v>0.20385779122541603</v>
      </c>
      <c r="D8" s="23">
        <v>0.30295007564296522</v>
      </c>
      <c r="E8" s="23">
        <v>0.26966717095310139</v>
      </c>
      <c r="F8" s="23">
        <v>0.17095310136157338</v>
      </c>
      <c r="G8" s="23">
        <v>4.8411497730711045E-2</v>
      </c>
    </row>
    <row r="9" spans="1:7" x14ac:dyDescent="0.35">
      <c r="A9" s="24" t="s">
        <v>5</v>
      </c>
      <c r="B9" s="23">
        <v>0</v>
      </c>
      <c r="C9" s="23">
        <v>1</v>
      </c>
      <c r="D9" s="23">
        <v>0</v>
      </c>
      <c r="E9" s="23">
        <v>0</v>
      </c>
      <c r="F9" s="23">
        <v>0</v>
      </c>
      <c r="G9" s="23">
        <v>0</v>
      </c>
    </row>
    <row r="10" spans="1:7" x14ac:dyDescent="0.35">
      <c r="A10" t="s">
        <v>21</v>
      </c>
      <c r="B10" s="23">
        <v>0</v>
      </c>
      <c r="C10" s="23">
        <v>0.21811785400175901</v>
      </c>
      <c r="D10" s="23">
        <v>0.22691292875989447</v>
      </c>
      <c r="E10" s="23">
        <v>0.33333333333333331</v>
      </c>
      <c r="F10" s="23">
        <v>0.19700967458223395</v>
      </c>
      <c r="G10" s="23">
        <v>2.4626209322779244E-2</v>
      </c>
    </row>
    <row r="11" spans="1:7" x14ac:dyDescent="0.35">
      <c r="A11" t="s">
        <v>6</v>
      </c>
      <c r="B11" s="23">
        <v>4.5892611289582378E-4</v>
      </c>
      <c r="C11" s="23">
        <v>0.39352914180816889</v>
      </c>
      <c r="D11" s="23">
        <v>0.4456172556218449</v>
      </c>
      <c r="E11" s="23">
        <v>0.11748508490133089</v>
      </c>
      <c r="F11" s="23">
        <v>4.2221202386415788E-2</v>
      </c>
      <c r="G11" s="23">
        <v>6.8838916934373562E-4</v>
      </c>
    </row>
    <row r="12" spans="1:7" x14ac:dyDescent="0.35">
      <c r="A12" t="s">
        <v>25</v>
      </c>
      <c r="B12" s="23">
        <v>0</v>
      </c>
      <c r="C12" s="23">
        <v>0.52402745995423339</v>
      </c>
      <c r="D12" s="23">
        <v>0.32723112128146453</v>
      </c>
      <c r="E12" s="23">
        <v>9.3821510297482841E-2</v>
      </c>
      <c r="F12" s="23">
        <v>4.3478260869565216E-2</v>
      </c>
      <c r="G12" s="23">
        <v>1.1441647597254004E-2</v>
      </c>
    </row>
    <row r="13" spans="1:7" x14ac:dyDescent="0.35">
      <c r="A13" t="s">
        <v>7</v>
      </c>
      <c r="B13" s="23">
        <v>9.1008372770294869E-4</v>
      </c>
      <c r="C13" s="23">
        <v>0.29122679286494357</v>
      </c>
      <c r="D13" s="23">
        <v>0.49126319621405168</v>
      </c>
      <c r="E13" s="23">
        <v>0.17127775755369495</v>
      </c>
      <c r="F13" s="23">
        <v>4.4230069166363309E-2</v>
      </c>
      <c r="G13" s="23">
        <v>1.0921004732435385E-3</v>
      </c>
    </row>
    <row r="14" spans="1:7" x14ac:dyDescent="0.35">
      <c r="A14" t="s">
        <v>9</v>
      </c>
      <c r="B14" s="23">
        <v>2.5575447570332483E-3</v>
      </c>
      <c r="C14" s="23">
        <v>0.33418584825234443</v>
      </c>
      <c r="D14" s="23">
        <v>0.38235294117647056</v>
      </c>
      <c r="E14" s="23">
        <v>0.17732310315430519</v>
      </c>
      <c r="F14" s="23">
        <v>8.2267689684569476E-2</v>
      </c>
      <c r="G14" s="23">
        <v>2.1312872975277068E-2</v>
      </c>
    </row>
    <row r="15" spans="1:7" x14ac:dyDescent="0.35">
      <c r="A15" t="s">
        <v>10</v>
      </c>
      <c r="B15" s="23">
        <v>5.8653846153846154E-2</v>
      </c>
      <c r="C15" s="23">
        <v>0.37692307692307692</v>
      </c>
      <c r="D15" s="23">
        <v>0.31826923076923075</v>
      </c>
      <c r="E15" s="23">
        <v>0.2048076923076923</v>
      </c>
      <c r="F15" s="23">
        <v>2.8846153846153848E-2</v>
      </c>
      <c r="G15" s="23">
        <v>1.2500000000000001E-2</v>
      </c>
    </row>
    <row r="16" spans="1:7" x14ac:dyDescent="0.35">
      <c r="A16" t="s">
        <v>27</v>
      </c>
      <c r="B16" s="23">
        <v>1.5643758867828428E-2</v>
      </c>
      <c r="C16" s="23">
        <v>0.38865645577909558</v>
      </c>
      <c r="D16" s="23">
        <v>0.35225743078546223</v>
      </c>
      <c r="E16" s="23">
        <v>0.16069414632371667</v>
      </c>
      <c r="F16" s="23">
        <v>6.2957034234365342E-2</v>
      </c>
      <c r="G16" s="23">
        <v>1.979117400953178E-2</v>
      </c>
    </row>
    <row r="17" spans="1:7" x14ac:dyDescent="0.35">
      <c r="A17" t="s">
        <v>22</v>
      </c>
      <c r="B17" s="23">
        <v>1.4224751066856331E-3</v>
      </c>
      <c r="C17" s="23">
        <v>0.48079658605974396</v>
      </c>
      <c r="D17" s="23">
        <v>0.35135135135135137</v>
      </c>
      <c r="E17" s="23">
        <v>9.1038406827880516E-2</v>
      </c>
      <c r="F17" s="23">
        <v>6.8278805120910391E-2</v>
      </c>
      <c r="G17" s="23">
        <v>7.1123755334281651E-3</v>
      </c>
    </row>
    <row r="18" spans="1:7" x14ac:dyDescent="0.35">
      <c r="A18" t="s">
        <v>12</v>
      </c>
      <c r="B18" s="23">
        <v>0</v>
      </c>
      <c r="C18" s="23">
        <v>0.14374225526641884</v>
      </c>
      <c r="D18" s="23">
        <v>0.85625774473358118</v>
      </c>
      <c r="E18" s="23">
        <v>0</v>
      </c>
      <c r="F18" s="23">
        <v>0</v>
      </c>
      <c r="G18" s="23">
        <v>0</v>
      </c>
    </row>
    <row r="19" spans="1:7" x14ac:dyDescent="0.35">
      <c r="A19" t="s">
        <v>13</v>
      </c>
      <c r="B19" s="23">
        <v>0</v>
      </c>
      <c r="C19" s="23">
        <v>0.15789473684210525</v>
      </c>
      <c r="D19" s="23">
        <v>0.26315789473684209</v>
      </c>
      <c r="E19" s="23">
        <v>0.2982456140350877</v>
      </c>
      <c r="F19" s="23">
        <v>0.15789473684210525</v>
      </c>
      <c r="G19" s="23">
        <v>0.12280701754385964</v>
      </c>
    </row>
    <row r="20" spans="1:7" x14ac:dyDescent="0.35">
      <c r="A20" t="s">
        <v>23</v>
      </c>
      <c r="B20" s="23">
        <v>1.9880715705765406E-3</v>
      </c>
      <c r="C20" s="23">
        <v>0.58316766070245196</v>
      </c>
      <c r="D20" s="23">
        <v>0.28098078197481774</v>
      </c>
      <c r="E20" s="23">
        <v>8.5487077534791248E-2</v>
      </c>
      <c r="F20" s="23">
        <v>4.8376408217362492E-2</v>
      </c>
      <c r="G20" s="23">
        <v>0</v>
      </c>
    </row>
    <row r="21" spans="1:7" x14ac:dyDescent="0.35">
      <c r="A21" t="s">
        <v>14</v>
      </c>
      <c r="B21" s="23">
        <v>4.10958904109589E-3</v>
      </c>
      <c r="C21" s="23">
        <v>0.29178082191780824</v>
      </c>
      <c r="D21" s="23">
        <v>0.36575342465753424</v>
      </c>
      <c r="E21" s="23">
        <v>0.21232876712328766</v>
      </c>
      <c r="F21" s="23">
        <v>8.7671232876712329E-2</v>
      </c>
      <c r="G21" s="23">
        <v>3.8356164383561646E-2</v>
      </c>
    </row>
    <row r="22" spans="1:7" x14ac:dyDescent="0.35">
      <c r="A22" t="s">
        <v>17</v>
      </c>
      <c r="B22" s="23">
        <v>4.1968714231209459E-3</v>
      </c>
      <c r="C22" s="23">
        <v>0.36398321251430754</v>
      </c>
      <c r="D22" s="23">
        <v>0.28462418924074778</v>
      </c>
      <c r="E22" s="23">
        <v>0.18428080885158338</v>
      </c>
      <c r="F22" s="23">
        <v>0.10587561999236933</v>
      </c>
      <c r="G22" s="23">
        <v>5.7039297977871044E-2</v>
      </c>
    </row>
    <row r="23" spans="1:7" x14ac:dyDescent="0.35">
      <c r="A23" t="s">
        <v>18</v>
      </c>
      <c r="B23" s="23">
        <v>0</v>
      </c>
      <c r="C23" s="23">
        <v>0.15989660265878877</v>
      </c>
      <c r="D23" s="23">
        <v>0.4098966026587888</v>
      </c>
      <c r="E23" s="23">
        <v>0.43020679468242246</v>
      </c>
      <c r="F23" s="23">
        <v>0</v>
      </c>
      <c r="G23" s="23">
        <v>0</v>
      </c>
    </row>
    <row r="24" spans="1:7" x14ac:dyDescent="0.35">
      <c r="A24" t="s">
        <v>0</v>
      </c>
      <c r="B24" s="23">
        <v>1.2341197822141561E-2</v>
      </c>
      <c r="C24" s="23">
        <v>0.40471869328493648</v>
      </c>
      <c r="D24" s="23">
        <v>0.33248638838475497</v>
      </c>
      <c r="E24" s="23">
        <v>0.16624319419237749</v>
      </c>
      <c r="F24" s="23">
        <v>8.0217785843920142E-2</v>
      </c>
      <c r="G24" s="23">
        <v>3.9927404718693282E-3</v>
      </c>
    </row>
    <row r="25" spans="1:7" x14ac:dyDescent="0.35">
      <c r="A25" t="s">
        <v>11</v>
      </c>
      <c r="B25" s="23">
        <v>0</v>
      </c>
      <c r="C25" s="23">
        <v>1</v>
      </c>
      <c r="D25" s="23">
        <v>0</v>
      </c>
      <c r="E25" s="23">
        <v>0</v>
      </c>
      <c r="F25" s="23">
        <v>0</v>
      </c>
      <c r="G25" s="23">
        <v>0</v>
      </c>
    </row>
    <row r="26" spans="1:7" x14ac:dyDescent="0.35">
      <c r="A26" t="s">
        <v>19</v>
      </c>
      <c r="B26" s="23">
        <v>0</v>
      </c>
      <c r="C26" s="23">
        <v>0.23688394276629571</v>
      </c>
      <c r="D26" s="23">
        <v>0.62957074721780604</v>
      </c>
      <c r="E26" s="23">
        <v>9.6979332273449917E-2</v>
      </c>
      <c r="F26" s="23">
        <v>3.0206677265500796E-2</v>
      </c>
      <c r="G26" s="23">
        <v>6.3593004769475362E-3</v>
      </c>
    </row>
    <row r="27" spans="1:7" x14ac:dyDescent="0.35">
      <c r="A27" t="s">
        <v>4</v>
      </c>
      <c r="B27" s="23">
        <v>8.2034047710869931E-2</v>
      </c>
      <c r="C27" s="23">
        <v>0.29430885350669383</v>
      </c>
      <c r="D27" s="23">
        <v>0.20861109580739354</v>
      </c>
      <c r="E27" s="23">
        <v>0.13796760509062861</v>
      </c>
      <c r="F27" s="23">
        <v>0.17288303674728664</v>
      </c>
      <c r="G27" s="23">
        <v>0.10419536113712743</v>
      </c>
    </row>
    <row r="215" spans="1:7" s="22" customFormat="1" ht="87" x14ac:dyDescent="0.35">
      <c r="A215" s="22" t="s">
        <v>134</v>
      </c>
      <c r="B215" s="22" t="s">
        <v>66</v>
      </c>
      <c r="C215" s="22" t="s">
        <v>67</v>
      </c>
      <c r="D215" s="22" t="s">
        <v>68</v>
      </c>
      <c r="E215" s="22" t="s">
        <v>69</v>
      </c>
      <c r="F215" s="22" t="s">
        <v>70</v>
      </c>
      <c r="G215" s="22" t="s">
        <v>71</v>
      </c>
    </row>
    <row r="216" spans="1:7" x14ac:dyDescent="0.35">
      <c r="A216" t="s">
        <v>83</v>
      </c>
      <c r="B216" s="23">
        <v>0</v>
      </c>
      <c r="C216" s="23">
        <v>0.28747247489357414</v>
      </c>
      <c r="D216" s="23">
        <v>0.27178258735557548</v>
      </c>
      <c r="E216" s="23">
        <v>0.25114397272132999</v>
      </c>
      <c r="F216" s="23">
        <v>0.13575699246202377</v>
      </c>
      <c r="G216" s="23">
        <v>5.3843972567496616E-2</v>
      </c>
    </row>
    <row r="217" spans="1:7" x14ac:dyDescent="0.35">
      <c r="A217" t="s">
        <v>79</v>
      </c>
      <c r="B217" s="23">
        <v>9.6273049759095664E-3</v>
      </c>
      <c r="C217" s="23">
        <v>0.3275992964925577</v>
      </c>
      <c r="D217" s="23">
        <v>0.38621639847768657</v>
      </c>
      <c r="E217" s="23">
        <v>0.17590959830524627</v>
      </c>
      <c r="F217" s="23">
        <v>8.0800436018606592E-2</v>
      </c>
      <c r="G217" s="23">
        <v>1.9846965729993234E-2</v>
      </c>
    </row>
    <row r="218" spans="1:7" x14ac:dyDescent="0.35">
      <c r="A218" t="s">
        <v>85</v>
      </c>
      <c r="B218" s="23">
        <v>8.4136314403189787E-3</v>
      </c>
      <c r="C218" s="23">
        <v>0.4783415903533122</v>
      </c>
      <c r="D218" s="23">
        <v>0.34535536267218658</v>
      </c>
      <c r="E218" s="23">
        <v>0.1147456275792092</v>
      </c>
      <c r="F218" s="23">
        <v>4.184484163081776E-2</v>
      </c>
      <c r="G218" s="23">
        <v>1.1298946324155327E-2</v>
      </c>
    </row>
    <row r="219" spans="1:7" x14ac:dyDescent="0.35">
      <c r="A219" t="s">
        <v>75</v>
      </c>
      <c r="B219" s="23">
        <v>1.0147857047578982E-2</v>
      </c>
      <c r="C219" s="23">
        <v>0.36773412409320844</v>
      </c>
      <c r="D219" s="23">
        <v>0.36325018725823166</v>
      </c>
      <c r="E219" s="23">
        <v>0.1737756389866508</v>
      </c>
      <c r="F219" s="23">
        <v>6.744374557506233E-2</v>
      </c>
      <c r="G219" s="23">
        <v>1.7648447039267795E-2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EEBE-EBDC-4D8F-B7FA-F2DFD7CC9682}">
  <dimension ref="A3:G8"/>
  <sheetViews>
    <sheetView workbookViewId="0">
      <selection activeCell="G15" sqref="G15"/>
    </sheetView>
  </sheetViews>
  <sheetFormatPr defaultRowHeight="14.5" x14ac:dyDescent="0.35"/>
  <cols>
    <col min="1" max="1" width="34.26953125" bestFit="1" customWidth="1"/>
    <col min="2" max="2" width="48.08984375" bestFit="1" customWidth="1"/>
    <col min="3" max="6" width="49.26953125" bestFit="1" customWidth="1"/>
    <col min="7" max="7" width="48.08984375" bestFit="1" customWidth="1"/>
  </cols>
  <sheetData>
    <row r="3" spans="1:7" x14ac:dyDescent="0.35">
      <c r="A3" s="1" t="s">
        <v>49</v>
      </c>
      <c r="B3" t="s">
        <v>128</v>
      </c>
      <c r="C3" t="s">
        <v>129</v>
      </c>
      <c r="D3" t="s">
        <v>133</v>
      </c>
      <c r="E3" t="s">
        <v>130</v>
      </c>
      <c r="F3" t="s">
        <v>131</v>
      </c>
      <c r="G3" t="s">
        <v>132</v>
      </c>
    </row>
    <row r="4" spans="1:7" x14ac:dyDescent="0.35">
      <c r="A4" s="2" t="s">
        <v>83</v>
      </c>
      <c r="B4">
        <v>0</v>
      </c>
      <c r="C4">
        <v>0.28747247489357414</v>
      </c>
      <c r="D4">
        <v>0.27178258735557548</v>
      </c>
      <c r="E4">
        <v>0.25114397272132999</v>
      </c>
      <c r="F4">
        <v>0.13575699246202377</v>
      </c>
      <c r="G4">
        <v>5.3843972567496616E-2</v>
      </c>
    </row>
    <row r="5" spans="1:7" x14ac:dyDescent="0.35">
      <c r="A5" s="2" t="s">
        <v>79</v>
      </c>
      <c r="B5">
        <v>9.6273049759095664E-3</v>
      </c>
      <c r="C5">
        <v>0.3275992964925577</v>
      </c>
      <c r="D5">
        <v>0.38621639847768657</v>
      </c>
      <c r="E5">
        <v>0.17590959830524627</v>
      </c>
      <c r="F5">
        <v>8.0800436018606592E-2</v>
      </c>
      <c r="G5">
        <v>1.9846965729993234E-2</v>
      </c>
    </row>
    <row r="6" spans="1:7" x14ac:dyDescent="0.35">
      <c r="A6" s="2" t="s">
        <v>85</v>
      </c>
      <c r="B6">
        <v>8.4136314403189787E-3</v>
      </c>
      <c r="C6">
        <v>0.4783415903533122</v>
      </c>
      <c r="D6">
        <v>0.34535536267218658</v>
      </c>
      <c r="E6">
        <v>0.1147456275792092</v>
      </c>
      <c r="F6">
        <v>4.184484163081776E-2</v>
      </c>
      <c r="G6">
        <v>1.1298946324155327E-2</v>
      </c>
    </row>
    <row r="7" spans="1:7" x14ac:dyDescent="0.35">
      <c r="A7" s="2" t="s">
        <v>50</v>
      </c>
      <c r="B7">
        <v>1.0147857047578982E-2</v>
      </c>
      <c r="C7">
        <v>0.36773412409320844</v>
      </c>
      <c r="D7">
        <v>0.36325018725823166</v>
      </c>
      <c r="E7">
        <v>0.1737756389866508</v>
      </c>
      <c r="F7">
        <v>6.744374557506233E-2</v>
      </c>
      <c r="G7">
        <v>1.7648447039267795E-2</v>
      </c>
    </row>
    <row r="8" spans="1:7" x14ac:dyDescent="0.35">
      <c r="A8" s="2" t="s">
        <v>51</v>
      </c>
      <c r="B8">
        <v>8.1044749302782073E-3</v>
      </c>
      <c r="C8">
        <v>0.37262700504014717</v>
      </c>
      <c r="D8">
        <v>0.35849016123649508</v>
      </c>
      <c r="E8">
        <v>0.16527989423010062</v>
      </c>
      <c r="F8">
        <v>7.4395164969982441E-2</v>
      </c>
      <c r="G8">
        <v>2.1103299592996495E-2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1B72-39F6-4E05-BFA2-7C42B6619C5E}">
  <dimension ref="A1:H26"/>
  <sheetViews>
    <sheetView topLeftCell="A4" workbookViewId="0">
      <selection activeCell="H13" sqref="H13"/>
    </sheetView>
  </sheetViews>
  <sheetFormatPr defaultRowHeight="14.5" x14ac:dyDescent="0.35"/>
  <cols>
    <col min="8" max="8" width="34.26953125" bestFit="1" customWidth="1"/>
  </cols>
  <sheetData>
    <row r="1" spans="1:8" s="22" customFormat="1" ht="87" x14ac:dyDescent="0.35">
      <c r="A1" s="22" t="s">
        <v>47</v>
      </c>
      <c r="B1" s="22" t="s">
        <v>66</v>
      </c>
      <c r="C1" s="22" t="s">
        <v>67</v>
      </c>
      <c r="D1" s="22" t="s">
        <v>68</v>
      </c>
      <c r="E1" s="22" t="s">
        <v>69</v>
      </c>
      <c r="F1" s="22" t="s">
        <v>70</v>
      </c>
      <c r="G1" s="22" t="s">
        <v>71</v>
      </c>
      <c r="H1" s="22" t="s">
        <v>77</v>
      </c>
    </row>
    <row r="2" spans="1:8" x14ac:dyDescent="0.35">
      <c r="A2" t="s">
        <v>75</v>
      </c>
      <c r="B2" s="23">
        <v>1.0147857047578982E-2</v>
      </c>
      <c r="C2" s="23">
        <v>0.36773412409320844</v>
      </c>
      <c r="D2" s="23">
        <v>0.36325018725823166</v>
      </c>
      <c r="E2" s="23">
        <v>0.1737756389866508</v>
      </c>
      <c r="F2" s="23">
        <v>6.744374557506233E-2</v>
      </c>
      <c r="G2" s="23">
        <v>1.7648447039267795E-2</v>
      </c>
    </row>
    <row r="3" spans="1:8" x14ac:dyDescent="0.35">
      <c r="A3" t="s">
        <v>20</v>
      </c>
      <c r="B3" s="23">
        <v>0</v>
      </c>
      <c r="C3" s="23">
        <v>0.4797639123102867</v>
      </c>
      <c r="D3" s="23">
        <v>0.45868465430016864</v>
      </c>
      <c r="E3" s="23">
        <v>4.7217537942664416E-2</v>
      </c>
      <c r="F3" s="23">
        <v>1.3912310286677909E-2</v>
      </c>
      <c r="G3" s="23">
        <v>4.2158516020236085E-4</v>
      </c>
      <c r="H3" t="s">
        <v>85</v>
      </c>
    </row>
    <row r="4" spans="1:8" x14ac:dyDescent="0.35">
      <c r="A4" t="s">
        <v>1</v>
      </c>
      <c r="B4" s="23">
        <v>0</v>
      </c>
      <c r="C4" s="23">
        <v>0.48640483383685801</v>
      </c>
      <c r="D4" s="23">
        <v>0.3252769385699899</v>
      </c>
      <c r="E4" s="23">
        <v>0.12185297079556898</v>
      </c>
      <c r="F4" s="23">
        <v>5.2366565961732128E-2</v>
      </c>
      <c r="G4" s="23">
        <v>1.4098690835850957E-2</v>
      </c>
      <c r="H4" t="s">
        <v>83</v>
      </c>
    </row>
    <row r="5" spans="1:8" x14ac:dyDescent="0.35">
      <c r="A5" t="s">
        <v>2</v>
      </c>
      <c r="B5" s="23">
        <v>0</v>
      </c>
      <c r="C5" s="23">
        <v>0.18665043619395416</v>
      </c>
      <c r="D5" s="23">
        <v>0.3564617569486711</v>
      </c>
      <c r="E5" s="23">
        <v>0.32116047879894499</v>
      </c>
      <c r="F5" s="23">
        <v>0.12984378170014202</v>
      </c>
      <c r="G5" s="23">
        <v>5.883546358287685E-3</v>
      </c>
      <c r="H5" t="s">
        <v>79</v>
      </c>
    </row>
    <row r="6" spans="1:8" x14ac:dyDescent="0.35">
      <c r="A6" t="s">
        <v>24</v>
      </c>
      <c r="B6" s="23">
        <v>3.9872408293460922E-3</v>
      </c>
      <c r="C6" s="23">
        <v>0.50212652844231787</v>
      </c>
      <c r="D6" s="23">
        <v>0.32961190855927697</v>
      </c>
      <c r="E6" s="23">
        <v>0.12068048910154174</v>
      </c>
      <c r="F6" s="23">
        <v>4.1467304625199361E-2</v>
      </c>
      <c r="G6" s="23">
        <v>2.1265284423179162E-3</v>
      </c>
      <c r="H6" t="s">
        <v>79</v>
      </c>
    </row>
    <row r="7" spans="1:8" x14ac:dyDescent="0.35">
      <c r="A7" t="s">
        <v>26</v>
      </c>
      <c r="B7" s="23">
        <v>0</v>
      </c>
      <c r="C7" s="23">
        <v>0.44529750479846447</v>
      </c>
      <c r="D7" s="23">
        <v>0.29942418426103645</v>
      </c>
      <c r="E7" s="23">
        <v>0.11612284069097889</v>
      </c>
      <c r="F7" s="23">
        <v>0.13147792706333974</v>
      </c>
      <c r="G7" s="23">
        <v>7.677543186180422E-3</v>
      </c>
      <c r="H7" t="s">
        <v>79</v>
      </c>
    </row>
    <row r="8" spans="1:8" x14ac:dyDescent="0.35">
      <c r="A8" t="s">
        <v>3</v>
      </c>
      <c r="B8" s="23">
        <v>4.1603630862329802E-3</v>
      </c>
      <c r="C8" s="23">
        <v>0.20385779122541603</v>
      </c>
      <c r="D8" s="23">
        <v>0.30295007564296522</v>
      </c>
      <c r="E8" s="23">
        <v>0.26966717095310139</v>
      </c>
      <c r="F8" s="23">
        <v>0.17095310136157338</v>
      </c>
      <c r="G8" s="23">
        <v>4.8411497730711045E-2</v>
      </c>
      <c r="H8" t="s">
        <v>79</v>
      </c>
    </row>
    <row r="9" spans="1:8" x14ac:dyDescent="0.35">
      <c r="A9" t="s">
        <v>21</v>
      </c>
      <c r="B9" s="23">
        <v>0</v>
      </c>
      <c r="C9" s="23">
        <v>0.21811785400175901</v>
      </c>
      <c r="D9" s="23">
        <v>0.22691292875989447</v>
      </c>
      <c r="E9" s="23">
        <v>0.33333333333333331</v>
      </c>
      <c r="F9" s="23">
        <v>0.19700967458223395</v>
      </c>
      <c r="G9" s="23">
        <v>2.4626209322779244E-2</v>
      </c>
      <c r="H9" t="s">
        <v>83</v>
      </c>
    </row>
    <row r="10" spans="1:8" x14ac:dyDescent="0.35">
      <c r="A10" t="s">
        <v>6</v>
      </c>
      <c r="B10" s="23">
        <v>4.5892611289582378E-4</v>
      </c>
      <c r="C10" s="23">
        <v>0.39352914180816889</v>
      </c>
      <c r="D10" s="23">
        <v>0.4456172556218449</v>
      </c>
      <c r="E10" s="23">
        <v>0.11748508490133089</v>
      </c>
      <c r="F10" s="23">
        <v>4.2221202386415788E-2</v>
      </c>
      <c r="G10" s="23">
        <v>6.8838916934373562E-4</v>
      </c>
      <c r="H10" t="s">
        <v>79</v>
      </c>
    </row>
    <row r="11" spans="1:8" x14ac:dyDescent="0.35">
      <c r="A11" t="s">
        <v>25</v>
      </c>
      <c r="B11" s="23">
        <v>0</v>
      </c>
      <c r="C11" s="23">
        <v>0.52402745995423339</v>
      </c>
      <c r="D11" s="23">
        <v>0.32723112128146453</v>
      </c>
      <c r="E11" s="23">
        <v>9.3821510297482841E-2</v>
      </c>
      <c r="F11" s="23">
        <v>4.3478260869565216E-2</v>
      </c>
      <c r="G11" s="23">
        <v>1.1441647597254004E-2</v>
      </c>
      <c r="H11" t="s">
        <v>85</v>
      </c>
    </row>
    <row r="12" spans="1:8" x14ac:dyDescent="0.35">
      <c r="A12" t="s">
        <v>7</v>
      </c>
      <c r="B12" s="23">
        <v>9.1008372770294869E-4</v>
      </c>
      <c r="C12" s="23">
        <v>0.29122679286494357</v>
      </c>
      <c r="D12" s="23">
        <v>0.49126319621405168</v>
      </c>
      <c r="E12" s="23">
        <v>0.17127775755369495</v>
      </c>
      <c r="F12" s="23">
        <v>4.4230069166363309E-2</v>
      </c>
      <c r="G12" s="23">
        <v>1.0921004732435385E-3</v>
      </c>
      <c r="H12" t="s">
        <v>79</v>
      </c>
    </row>
    <row r="13" spans="1:8" x14ac:dyDescent="0.35">
      <c r="A13" t="s">
        <v>9</v>
      </c>
      <c r="B13" s="23">
        <v>2.5575447570332483E-3</v>
      </c>
      <c r="C13" s="23">
        <v>0.33418584825234443</v>
      </c>
      <c r="D13" s="23">
        <v>0.38235294117647056</v>
      </c>
      <c r="E13" s="23">
        <v>0.17732310315430519</v>
      </c>
      <c r="F13" s="23">
        <v>8.2267689684569476E-2</v>
      </c>
      <c r="G13" s="23">
        <v>2.1312872975277068E-2</v>
      </c>
      <c r="H13" t="s">
        <v>85</v>
      </c>
    </row>
    <row r="14" spans="1:8" x14ac:dyDescent="0.35">
      <c r="A14" t="s">
        <v>10</v>
      </c>
      <c r="B14" s="23">
        <v>5.8653846153846154E-2</v>
      </c>
      <c r="C14" s="23">
        <v>0.37692307692307692</v>
      </c>
      <c r="D14" s="23">
        <v>0.31826923076923075</v>
      </c>
      <c r="E14" s="23">
        <v>0.2048076923076923</v>
      </c>
      <c r="F14" s="23">
        <v>2.8846153846153848E-2</v>
      </c>
      <c r="G14" s="23">
        <v>1.2500000000000001E-2</v>
      </c>
      <c r="H14" t="s">
        <v>85</v>
      </c>
    </row>
    <row r="15" spans="1:8" x14ac:dyDescent="0.35">
      <c r="A15" t="s">
        <v>27</v>
      </c>
      <c r="B15" s="23">
        <v>1.5643758867828428E-2</v>
      </c>
      <c r="C15" s="23">
        <v>0.38865645577909558</v>
      </c>
      <c r="D15" s="23">
        <v>0.35225743078546223</v>
      </c>
      <c r="E15" s="23">
        <v>0.16069414632371667</v>
      </c>
      <c r="F15" s="23">
        <v>6.2957034234365342E-2</v>
      </c>
      <c r="G15" s="23">
        <v>1.979117400953178E-2</v>
      </c>
      <c r="H15" t="s">
        <v>79</v>
      </c>
    </row>
    <row r="16" spans="1:8" x14ac:dyDescent="0.35">
      <c r="A16" t="s">
        <v>22</v>
      </c>
      <c r="B16" s="23">
        <v>1.4224751066856331E-3</v>
      </c>
      <c r="C16" s="23">
        <v>0.48079658605974396</v>
      </c>
      <c r="D16" s="23">
        <v>0.35135135135135137</v>
      </c>
      <c r="E16" s="23">
        <v>9.1038406827880516E-2</v>
      </c>
      <c r="F16" s="23">
        <v>6.8278805120910391E-2</v>
      </c>
      <c r="G16" s="23">
        <v>7.1123755334281651E-3</v>
      </c>
      <c r="H16" t="s">
        <v>79</v>
      </c>
    </row>
    <row r="17" spans="1:8" x14ac:dyDescent="0.35">
      <c r="A17" t="s">
        <v>12</v>
      </c>
      <c r="B17" s="23">
        <v>0</v>
      </c>
      <c r="C17" s="23">
        <v>0.14374225526641884</v>
      </c>
      <c r="D17" s="23">
        <v>0.85625774473358118</v>
      </c>
      <c r="E17" s="23">
        <v>0</v>
      </c>
      <c r="F17" s="23">
        <v>0</v>
      </c>
      <c r="G17" s="23">
        <v>0</v>
      </c>
      <c r="H17" t="s">
        <v>79</v>
      </c>
    </row>
    <row r="18" spans="1:8" x14ac:dyDescent="0.35">
      <c r="A18" t="s">
        <v>13</v>
      </c>
      <c r="B18" s="23">
        <v>0</v>
      </c>
      <c r="C18" s="23">
        <v>0.15789473684210525</v>
      </c>
      <c r="D18" s="23">
        <v>0.26315789473684209</v>
      </c>
      <c r="E18" s="23">
        <v>0.2982456140350877</v>
      </c>
      <c r="F18" s="23">
        <v>0.15789473684210525</v>
      </c>
      <c r="G18" s="23">
        <v>0.12280701754385964</v>
      </c>
      <c r="H18" t="s">
        <v>83</v>
      </c>
    </row>
    <row r="19" spans="1:8" x14ac:dyDescent="0.35">
      <c r="A19" t="s">
        <v>23</v>
      </c>
      <c r="B19" s="23">
        <v>1.9880715705765406E-3</v>
      </c>
      <c r="C19" s="23">
        <v>0.58316766070245196</v>
      </c>
      <c r="D19" s="23">
        <v>0.28098078197481774</v>
      </c>
      <c r="E19" s="23">
        <v>8.5487077534791248E-2</v>
      </c>
      <c r="F19" s="23">
        <v>4.8376408217362492E-2</v>
      </c>
      <c r="G19" s="23">
        <v>0</v>
      </c>
      <c r="H19" t="s">
        <v>85</v>
      </c>
    </row>
    <row r="20" spans="1:8" x14ac:dyDescent="0.35">
      <c r="A20" t="s">
        <v>14</v>
      </c>
      <c r="B20" s="23">
        <v>4.10958904109589E-3</v>
      </c>
      <c r="C20" s="23">
        <v>0.29178082191780824</v>
      </c>
      <c r="D20" s="23">
        <v>0.36575342465753424</v>
      </c>
      <c r="E20" s="23">
        <v>0.21232876712328766</v>
      </c>
      <c r="F20" s="23">
        <v>8.7671232876712329E-2</v>
      </c>
      <c r="G20" s="23">
        <v>3.8356164383561646E-2</v>
      </c>
      <c r="H20" t="s">
        <v>85</v>
      </c>
    </row>
    <row r="21" spans="1:8" x14ac:dyDescent="0.35">
      <c r="A21" t="s">
        <v>17</v>
      </c>
      <c r="B21" s="23">
        <v>4.1968714231209459E-3</v>
      </c>
      <c r="C21" s="23">
        <v>0.36398321251430754</v>
      </c>
      <c r="D21" s="23">
        <v>0.28462418924074778</v>
      </c>
      <c r="E21" s="23">
        <v>0.18428080885158338</v>
      </c>
      <c r="F21" s="23">
        <v>0.10587561999236933</v>
      </c>
      <c r="G21" s="23">
        <v>5.7039297977871044E-2</v>
      </c>
      <c r="H21" t="s">
        <v>79</v>
      </c>
    </row>
    <row r="22" spans="1:8" x14ac:dyDescent="0.35">
      <c r="A22" t="s">
        <v>18</v>
      </c>
      <c r="B22" s="23">
        <v>0</v>
      </c>
      <c r="C22" s="23">
        <v>0.15989660265878877</v>
      </c>
      <c r="D22" s="23">
        <v>0.4098966026587888</v>
      </c>
      <c r="E22" s="23">
        <v>0.43020679468242246</v>
      </c>
      <c r="F22" s="23">
        <v>0</v>
      </c>
      <c r="G22" s="23">
        <v>0</v>
      </c>
      <c r="H22" t="s">
        <v>79</v>
      </c>
    </row>
    <row r="23" spans="1:8" x14ac:dyDescent="0.35">
      <c r="A23" t="s">
        <v>0</v>
      </c>
      <c r="B23" s="23">
        <v>1.2341197822141561E-2</v>
      </c>
      <c r="C23" s="23">
        <v>0.40471869328493648</v>
      </c>
      <c r="D23" s="23">
        <v>0.33248638838475497</v>
      </c>
      <c r="E23" s="23">
        <v>0.16624319419237749</v>
      </c>
      <c r="F23" s="23">
        <v>8.0217785843920142E-2</v>
      </c>
      <c r="G23" s="23">
        <v>3.9927404718693282E-3</v>
      </c>
      <c r="H23" t="s">
        <v>79</v>
      </c>
    </row>
    <row r="24" spans="1:8" x14ac:dyDescent="0.35">
      <c r="A24" t="s">
        <v>11</v>
      </c>
      <c r="B24" s="23">
        <v>0</v>
      </c>
      <c r="C24" s="23">
        <v>1</v>
      </c>
      <c r="D24" s="23">
        <v>0</v>
      </c>
      <c r="E24" s="23">
        <v>0</v>
      </c>
      <c r="F24" s="23">
        <v>0</v>
      </c>
      <c r="G24" s="23">
        <v>0</v>
      </c>
      <c r="H24" t="s">
        <v>85</v>
      </c>
    </row>
    <row r="25" spans="1:8" x14ac:dyDescent="0.35">
      <c r="A25" t="s">
        <v>19</v>
      </c>
      <c r="B25" s="23">
        <v>0</v>
      </c>
      <c r="C25" s="23">
        <v>0.23688394276629571</v>
      </c>
      <c r="D25" s="23">
        <v>0.62957074721780604</v>
      </c>
      <c r="E25" s="23">
        <v>9.6979332273449917E-2</v>
      </c>
      <c r="F25" s="23">
        <v>3.0206677265500796E-2</v>
      </c>
      <c r="G25" s="23">
        <v>6.3593004769475362E-3</v>
      </c>
      <c r="H25" t="s">
        <v>85</v>
      </c>
    </row>
    <row r="26" spans="1:8" x14ac:dyDescent="0.35">
      <c r="A26" t="s">
        <v>4</v>
      </c>
      <c r="B26" s="23">
        <v>8.2034047710869931E-2</v>
      </c>
      <c r="C26" s="23">
        <v>0.29430885350669383</v>
      </c>
      <c r="D26" s="23">
        <v>0.20861109580739354</v>
      </c>
      <c r="E26" s="23">
        <v>0.13796760509062861</v>
      </c>
      <c r="F26" s="23">
        <v>0.17288303674728664</v>
      </c>
      <c r="G26" s="23">
        <v>0.10419536113712743</v>
      </c>
      <c r="H26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C1AA-9E57-4B47-8202-E591E63DDE77}">
  <dimension ref="A3:B8"/>
  <sheetViews>
    <sheetView workbookViewId="0">
      <selection activeCell="B6" sqref="B6"/>
    </sheetView>
  </sheetViews>
  <sheetFormatPr defaultRowHeight="14.5" x14ac:dyDescent="0.35"/>
  <cols>
    <col min="1" max="1" width="34.26953125" bestFit="1" customWidth="1"/>
    <col min="2" max="2" width="26.08984375" bestFit="1" customWidth="1"/>
  </cols>
  <sheetData>
    <row r="3" spans="1:2" x14ac:dyDescent="0.35">
      <c r="A3" s="1" t="s">
        <v>49</v>
      </c>
      <c r="B3" t="s">
        <v>159</v>
      </c>
    </row>
    <row r="4" spans="1:2" x14ac:dyDescent="0.35">
      <c r="A4" s="2" t="s">
        <v>83</v>
      </c>
      <c r="B4">
        <v>2.3071261413278869E-2</v>
      </c>
    </row>
    <row r="5" spans="1:2" x14ac:dyDescent="0.35">
      <c r="A5" s="2" t="s">
        <v>79</v>
      </c>
      <c r="B5">
        <v>4.5458619252516999E-2</v>
      </c>
    </row>
    <row r="6" spans="1:2" x14ac:dyDescent="0.35">
      <c r="A6" s="2" t="s">
        <v>85</v>
      </c>
      <c r="B6">
        <v>9.1657525783673408E-2</v>
      </c>
    </row>
    <row r="7" spans="1:2" x14ac:dyDescent="0.35">
      <c r="A7" s="2" t="s">
        <v>50</v>
      </c>
      <c r="B7">
        <v>3.9001563132280696E-2</v>
      </c>
    </row>
    <row r="8" spans="1:2" x14ac:dyDescent="0.35">
      <c r="A8" s="2" t="s">
        <v>51</v>
      </c>
      <c r="B8">
        <v>6.1646056904181359E-2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0D4A-E95B-44A4-8740-2F836BD6ABAE}">
  <dimension ref="A1:D7"/>
  <sheetViews>
    <sheetView workbookViewId="0">
      <selection activeCell="A6" sqref="A6:XFD6"/>
    </sheetView>
  </sheetViews>
  <sheetFormatPr defaultRowHeight="14.5" x14ac:dyDescent="0.35"/>
  <cols>
    <col min="1" max="1" width="34.26953125" bestFit="1" customWidth="1"/>
    <col min="2" max="2" width="28.90625" bestFit="1" customWidth="1"/>
    <col min="3" max="3" width="19.26953125" bestFit="1" customWidth="1"/>
  </cols>
  <sheetData>
    <row r="1" spans="1:4" x14ac:dyDescent="0.35">
      <c r="A1" s="1" t="s">
        <v>193</v>
      </c>
      <c r="B1" t="s">
        <v>196</v>
      </c>
    </row>
    <row r="3" spans="1:4" x14ac:dyDescent="0.35">
      <c r="A3" s="1" t="s">
        <v>49</v>
      </c>
      <c r="B3" t="s">
        <v>194</v>
      </c>
      <c r="C3" t="s">
        <v>195</v>
      </c>
    </row>
    <row r="4" spans="1:4" x14ac:dyDescent="0.35">
      <c r="A4" s="2" t="s">
        <v>83</v>
      </c>
      <c r="B4">
        <v>2788</v>
      </c>
      <c r="C4">
        <v>54811.727695001347</v>
      </c>
      <c r="D4">
        <f>B4/C4</f>
        <v>5.08650268335595E-2</v>
      </c>
    </row>
    <row r="5" spans="1:4" x14ac:dyDescent="0.35">
      <c r="A5" s="2" t="s">
        <v>79</v>
      </c>
      <c r="B5">
        <v>10106</v>
      </c>
      <c r="C5">
        <v>147581.62242964344</v>
      </c>
      <c r="D5">
        <f t="shared" ref="D5:D7" si="0">B5/C5</f>
        <v>6.8477360755522465E-2</v>
      </c>
    </row>
    <row r="6" spans="1:4" x14ac:dyDescent="0.35">
      <c r="A6" s="2" t="s">
        <v>85</v>
      </c>
      <c r="B6">
        <v>16040</v>
      </c>
      <c r="C6">
        <v>77885.432732170433</v>
      </c>
      <c r="D6">
        <f t="shared" si="0"/>
        <v>0.20594351777125977</v>
      </c>
    </row>
    <row r="7" spans="1:4" x14ac:dyDescent="0.35">
      <c r="A7" s="2" t="s">
        <v>51</v>
      </c>
      <c r="B7">
        <v>28934</v>
      </c>
      <c r="C7">
        <v>280278.7828568152</v>
      </c>
      <c r="D7">
        <f t="shared" si="0"/>
        <v>0.10323293010295891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91F3-8612-47FD-81C3-E5555608DC5B}">
  <sheetPr>
    <tabColor rgb="FF00B050"/>
  </sheetPr>
  <dimension ref="A1:AJ57"/>
  <sheetViews>
    <sheetView tabSelected="1" topLeftCell="C43" zoomScale="110" zoomScaleNormal="110" workbookViewId="0">
      <selection activeCell="H52" sqref="H52"/>
    </sheetView>
  </sheetViews>
  <sheetFormatPr defaultRowHeight="14" x14ac:dyDescent="0.3"/>
  <cols>
    <col min="1" max="1" width="18.54296875" style="34" bestFit="1" customWidth="1"/>
    <col min="2" max="2" width="18.54296875" style="34" customWidth="1"/>
    <col min="3" max="3" width="29.7265625" style="34" bestFit="1" customWidth="1"/>
    <col min="4" max="5" width="8.7265625" style="34"/>
    <col min="6" max="6" width="10.08984375" style="34" bestFit="1" customWidth="1"/>
    <col min="7" max="12" width="8.7265625" style="34"/>
    <col min="13" max="13" width="9.1796875" style="34" bestFit="1" customWidth="1"/>
    <col min="14" max="15" width="11.08984375" style="34" bestFit="1" customWidth="1"/>
    <col min="16" max="17" width="10.08984375" style="34" bestFit="1" customWidth="1"/>
    <col min="18" max="18" width="9.1796875" style="34" bestFit="1" customWidth="1"/>
    <col min="19" max="20" width="8.7265625" style="34"/>
    <col min="21" max="21" width="11.1796875" style="34" bestFit="1" customWidth="1"/>
    <col min="22" max="22" width="11.90625" style="34" bestFit="1" customWidth="1"/>
    <col min="23" max="28" width="11.08984375" style="34" bestFit="1" customWidth="1"/>
    <col min="29" max="29" width="9.08984375" style="34" bestFit="1" customWidth="1"/>
    <col min="30" max="30" width="8.7265625" style="34"/>
    <col min="31" max="31" width="9.08984375" style="34" bestFit="1" customWidth="1"/>
    <col min="32" max="35" width="8.7265625" style="34"/>
    <col min="36" max="36" width="13.81640625" style="34" customWidth="1"/>
    <col min="37" max="16384" width="8.7265625" style="34"/>
  </cols>
  <sheetData>
    <row r="1" spans="1:36" ht="98" x14ac:dyDescent="0.3">
      <c r="A1" s="26" t="s">
        <v>47</v>
      </c>
      <c r="B1" s="26" t="s">
        <v>136</v>
      </c>
      <c r="C1" s="26" t="s">
        <v>137</v>
      </c>
      <c r="D1" s="27">
        <v>2013</v>
      </c>
      <c r="E1" s="27">
        <v>2018</v>
      </c>
      <c r="F1" s="27" t="s">
        <v>135</v>
      </c>
      <c r="G1" s="26" t="s">
        <v>138</v>
      </c>
      <c r="H1" s="26" t="s">
        <v>139</v>
      </c>
      <c r="I1" s="26" t="s">
        <v>140</v>
      </c>
      <c r="J1" s="26" t="s">
        <v>141</v>
      </c>
      <c r="K1" s="26" t="s">
        <v>142</v>
      </c>
      <c r="L1" s="26" t="s">
        <v>143</v>
      </c>
      <c r="M1" s="26" t="s">
        <v>138</v>
      </c>
      <c r="N1" s="26" t="s">
        <v>67</v>
      </c>
      <c r="O1" s="26" t="s">
        <v>68</v>
      </c>
      <c r="P1" s="26" t="s">
        <v>69</v>
      </c>
      <c r="Q1" s="26" t="s">
        <v>70</v>
      </c>
      <c r="R1" s="26" t="s">
        <v>71</v>
      </c>
      <c r="S1" s="40" t="s">
        <v>148</v>
      </c>
      <c r="T1" s="40" t="s">
        <v>193</v>
      </c>
      <c r="U1" s="38" t="s">
        <v>149</v>
      </c>
      <c r="V1" s="38" t="s">
        <v>150</v>
      </c>
      <c r="W1" s="38" t="s">
        <v>151</v>
      </c>
      <c r="X1" s="38" t="s">
        <v>152</v>
      </c>
      <c r="Y1" s="38" t="s">
        <v>153</v>
      </c>
      <c r="Z1" s="38" t="s">
        <v>154</v>
      </c>
      <c r="AA1" s="38" t="s">
        <v>155</v>
      </c>
      <c r="AB1" s="38" t="s">
        <v>156</v>
      </c>
      <c r="AC1" s="44" t="s">
        <v>157</v>
      </c>
      <c r="AD1" s="43" t="s">
        <v>158</v>
      </c>
      <c r="AE1" s="43" t="s">
        <v>160</v>
      </c>
      <c r="AF1" s="34" t="s">
        <v>339</v>
      </c>
      <c r="AG1" s="60" t="s">
        <v>340</v>
      </c>
      <c r="AH1" s="34" t="s">
        <v>341</v>
      </c>
      <c r="AI1" s="60" t="s">
        <v>342</v>
      </c>
      <c r="AJ1" s="34" t="s">
        <v>343</v>
      </c>
    </row>
    <row r="2" spans="1:36" x14ac:dyDescent="0.3">
      <c r="A2" s="28" t="s">
        <v>78</v>
      </c>
      <c r="B2" s="28" t="s">
        <v>4</v>
      </c>
      <c r="C2" s="28" t="s">
        <v>79</v>
      </c>
      <c r="D2" s="29">
        <v>0</v>
      </c>
      <c r="E2" s="29">
        <v>73168</v>
      </c>
      <c r="F2" s="30">
        <v>75512</v>
      </c>
      <c r="G2" s="35">
        <v>8.2034047710869931E-2</v>
      </c>
      <c r="H2" s="35">
        <v>0.29430885350669383</v>
      </c>
      <c r="I2" s="35">
        <v>0.20861109580739354</v>
      </c>
      <c r="J2" s="35">
        <v>0.13796760509062861</v>
      </c>
      <c r="K2" s="35">
        <v>0.17288303674728664</v>
      </c>
      <c r="L2" s="35">
        <v>0.10419536113712743</v>
      </c>
      <c r="M2" s="36">
        <f>F2*G2</f>
        <v>6194.55501074321</v>
      </c>
      <c r="N2" s="36">
        <f>F2*H2</f>
        <v>22223.850145997465</v>
      </c>
      <c r="O2" s="36">
        <f>F2*I2</f>
        <v>15752.641066607901</v>
      </c>
      <c r="P2" s="36">
        <f>F2*J2</f>
        <v>10418.209795603547</v>
      </c>
      <c r="Q2" s="36">
        <f>F2*K2</f>
        <v>13054.743870861108</v>
      </c>
      <c r="R2" s="36">
        <f>F2*L2</f>
        <v>7868.0001101867665</v>
      </c>
      <c r="S2" s="25">
        <f>VLOOKUP(A2,'Education graduates'!$A$2:$E$49,5,FALSE)</f>
        <v>0</v>
      </c>
      <c r="T2" s="25">
        <f>VLOOKUP(B2,'Edu updated'!B$2:C$48,2,FALSE)</f>
        <v>0</v>
      </c>
      <c r="U2" s="57">
        <f>F2*(1-L2)+1*0.7*AE2-AG2*AF2</f>
        <v>70913.67108981323</v>
      </c>
      <c r="V2" s="54">
        <f>U2*(1-AC2*K2)+0.7*AE2-AG2*AF2</f>
        <v>72957.365209322714</v>
      </c>
      <c r="W2" s="54">
        <f>V2*(1-AC2*K2)+0.7*AE2-AG2*AF2</f>
        <v>74965.727324275853</v>
      </c>
      <c r="X2" s="54">
        <f>W2*(1-AC2*K2)+0.7*AE2-AG2*AF2</f>
        <v>76939.368265096869</v>
      </c>
      <c r="Y2" s="54">
        <f>X2*(1-AC2*K2)+0.7*AE2-AG2*AF2</f>
        <v>78878.888301988089</v>
      </c>
      <c r="Z2" s="54">
        <f>Y2*(1-AC2*K2)+0.7*AE2-AG2*AF2</f>
        <v>80784.87732749831</v>
      </c>
      <c r="AA2" s="54">
        <f>Z2*(1-AC2*K2)+0.7*AE2-AG2*AF2</f>
        <v>82657.915035934813</v>
      </c>
      <c r="AB2" s="54">
        <f>AA2*(1-AC2*K2)+0.7*AE2-AG2*AF2</f>
        <v>84498.571099673645</v>
      </c>
      <c r="AC2" s="41">
        <v>0.1</v>
      </c>
      <c r="AD2" s="35">
        <v>6.8000000000000005E-2</v>
      </c>
      <c r="AE2" s="45">
        <f>F2*AD2</f>
        <v>5134.8160000000007</v>
      </c>
      <c r="AF2" s="34">
        <f>VLOOKUP(B2,Migration!A$2:B$189,2,FALSE)</f>
        <v>6494</v>
      </c>
      <c r="AG2" s="34">
        <f>1/20</f>
        <v>0.05</v>
      </c>
      <c r="AH2" s="34" t="str">
        <f>IF(AB2&lt;U2,"Decrease","Increase")</f>
        <v>Increase</v>
      </c>
      <c r="AI2" s="62">
        <f>AF2/E2</f>
        <v>8.8754646840148693E-2</v>
      </c>
      <c r="AJ2" s="65">
        <f>K2+L2</f>
        <v>0.27707839788441407</v>
      </c>
    </row>
    <row r="3" spans="1:36" x14ac:dyDescent="0.3">
      <c r="A3" s="28" t="s">
        <v>80</v>
      </c>
      <c r="B3" s="28" t="s">
        <v>28</v>
      </c>
      <c r="C3" s="33" t="s">
        <v>79</v>
      </c>
      <c r="D3" s="29">
        <v>0</v>
      </c>
      <c r="E3" s="29">
        <v>6593</v>
      </c>
      <c r="F3" s="29">
        <v>8693</v>
      </c>
      <c r="G3" s="37">
        <v>9.6273049759095664E-3</v>
      </c>
      <c r="H3" s="37">
        <v>0.3275992964925577</v>
      </c>
      <c r="I3" s="37">
        <v>0.38621639847768657</v>
      </c>
      <c r="J3" s="37">
        <v>0.17590959830524627</v>
      </c>
      <c r="K3" s="37">
        <v>8.0800436018606592E-2</v>
      </c>
      <c r="L3" s="37">
        <v>1.9846965729993234E-2</v>
      </c>
      <c r="M3" s="36">
        <f t="shared" ref="M3:M49" si="0">F3*G3</f>
        <v>83.690162155581859</v>
      </c>
      <c r="N3" s="36">
        <f t="shared" ref="N3:N49" si="1">F3*H3</f>
        <v>2847.820684409804</v>
      </c>
      <c r="O3" s="36">
        <f t="shared" ref="O3:O49" si="2">F3*I3</f>
        <v>3357.3791519665292</v>
      </c>
      <c r="P3" s="36">
        <f t="shared" ref="P3:P49" si="3">F3*J3</f>
        <v>1529.1821380675058</v>
      </c>
      <c r="Q3" s="36">
        <f t="shared" ref="Q3:Q49" si="4">F3*K3</f>
        <v>702.39819030974706</v>
      </c>
      <c r="R3" s="36">
        <f t="shared" ref="R3:R49" si="5">F3*L3</f>
        <v>172.52967309083118</v>
      </c>
      <c r="S3" s="25">
        <f>VLOOKUP(A3,'Education graduates'!$A$3:$E$49,5,FALSE)</f>
        <v>0</v>
      </c>
      <c r="T3" s="25">
        <f>VLOOKUP(B3,'Edu updated'!B$2:C$48,2,FALSE)</f>
        <v>611</v>
      </c>
      <c r="U3" s="53">
        <f>F3*(1-L3)+1*0.7*AE3-AG3*AF3</f>
        <v>8932.07032690917</v>
      </c>
      <c r="V3" s="54">
        <f>U3*(1-AC3*K3)+0.7*AE3-AG3*AF3</f>
        <v>9271.4988092128588</v>
      </c>
      <c r="W3" s="54">
        <f t="shared" ref="W3:W48" si="6">V3*(1-AC3*K3)+0.7*AE3-AG3*AF3</f>
        <v>9608.1846945798206</v>
      </c>
      <c r="X3" s="54">
        <f t="shared" ref="X3:X48" si="7">W3*(1-AC3*K3)+0.7*AE3-AG3*AF3</f>
        <v>9942.1501433128851</v>
      </c>
      <c r="Y3" s="54">
        <f t="shared" ref="Y3:Y48" si="8">X3*(1-AC3*K3)+0.7*AE3-AG3*AF3</f>
        <v>10273.417136658672</v>
      </c>
      <c r="Z3" s="54">
        <f t="shared" ref="Z3:Z48" si="9">Y3*(1-AC3*K3)+0.7*AE3-AG3*AF3</f>
        <v>10602.007478254369</v>
      </c>
      <c r="AA3" s="54">
        <f t="shared" ref="AA3:AA48" si="10">Z3*(1-AC3*K3)+0.7*AE3-AG3*AF3</f>
        <v>10927.942795562822</v>
      </c>
      <c r="AB3" s="54">
        <f t="shared" ref="AB3:AB48" si="11">AA3*(1-AC3*K3)+0.7*AE3-AG3*AF3</f>
        <v>11251.244541296035</v>
      </c>
      <c r="AC3" s="41">
        <v>0.1</v>
      </c>
      <c r="AD3" s="35">
        <f t="shared" ref="AD3:AD48" si="12">T3/F3</f>
        <v>7.0286437363395834E-2</v>
      </c>
      <c r="AE3" s="45">
        <f t="shared" ref="AE3:AE48" si="13">F3*AD3</f>
        <v>611</v>
      </c>
      <c r="AF3" s="34">
        <f>VLOOKUP(B3,Migration!A$2:B$189,2,FALSE)</f>
        <v>322</v>
      </c>
      <c r="AG3" s="34">
        <f t="shared" ref="AG3:AG48" si="14">1/20</f>
        <v>0.05</v>
      </c>
      <c r="AH3" s="34" t="str">
        <f t="shared" ref="AH3:AH48" si="15">IF(AB3&lt;U3,"Decrease","Increase")</f>
        <v>Increase</v>
      </c>
      <c r="AI3" s="62">
        <f t="shared" ref="AI3:AI48" si="16">AF3/F3</f>
        <v>3.7041297595766708E-2</v>
      </c>
      <c r="AJ3" s="65">
        <f t="shared" ref="AJ3:AJ49" si="17">K3+L3</f>
        <v>0.10064740174859982</v>
      </c>
    </row>
    <row r="4" spans="1:36" x14ac:dyDescent="0.3">
      <c r="A4" s="28" t="s">
        <v>81</v>
      </c>
      <c r="B4" s="28" t="s">
        <v>0</v>
      </c>
      <c r="C4" s="28" t="s">
        <v>79</v>
      </c>
      <c r="D4" s="29">
        <v>0</v>
      </c>
      <c r="E4" s="29">
        <v>908</v>
      </c>
      <c r="F4" s="29">
        <v>2608</v>
      </c>
      <c r="G4" s="35">
        <v>1.2341197822141561E-2</v>
      </c>
      <c r="H4" s="35">
        <v>0.40471869328493648</v>
      </c>
      <c r="I4" s="35">
        <v>0.33248638838475497</v>
      </c>
      <c r="J4" s="35">
        <v>0.16624319419237749</v>
      </c>
      <c r="K4" s="35">
        <v>8.0217785843920142E-2</v>
      </c>
      <c r="L4" s="35">
        <v>3.9927404718693282E-3</v>
      </c>
      <c r="M4" s="36">
        <f t="shared" si="0"/>
        <v>32.185843920145189</v>
      </c>
      <c r="N4" s="36">
        <f t="shared" si="1"/>
        <v>1055.5063520871142</v>
      </c>
      <c r="O4" s="36">
        <f t="shared" si="2"/>
        <v>867.12450090744096</v>
      </c>
      <c r="P4" s="36">
        <f t="shared" si="3"/>
        <v>433.56225045372048</v>
      </c>
      <c r="Q4" s="36">
        <f t="shared" si="4"/>
        <v>209.20798548094373</v>
      </c>
      <c r="R4" s="36">
        <f t="shared" si="5"/>
        <v>10.413067150635207</v>
      </c>
      <c r="S4" s="25">
        <f>VLOOKUP(A4,'Education graduates'!$A$3:$E$49,5,FALSE)</f>
        <v>291</v>
      </c>
      <c r="T4" s="25">
        <f>VLOOKUP(B4,'Edu updated'!B$2:C$48,2,FALSE)</f>
        <v>780</v>
      </c>
      <c r="U4" s="53">
        <f t="shared" ref="U4:U48" si="18">F4*(1-L4)+1*0.7*AE4-AG4*AF4</f>
        <v>3134.9369328493644</v>
      </c>
      <c r="V4" s="54">
        <f t="shared" ref="V4:V48" si="19">U4*(1-AC4*K4)+0.7*AE4-AG4*AF4</f>
        <v>3647.1391628980136</v>
      </c>
      <c r="W4" s="54">
        <f t="shared" si="6"/>
        <v>4155.2326200667812</v>
      </c>
      <c r="X4" s="54">
        <f t="shared" si="7"/>
        <v>4659.2502640219627</v>
      </c>
      <c r="Y4" s="54">
        <f t="shared" si="8"/>
        <v>5159.2247900347093</v>
      </c>
      <c r="Z4" s="54">
        <f t="shared" si="9"/>
        <v>5655.1886311019452</v>
      </c>
      <c r="AA4" s="54">
        <f t="shared" si="10"/>
        <v>6147.1739600502751</v>
      </c>
      <c r="AB4" s="54">
        <f t="shared" si="11"/>
        <v>6635.2126916230118</v>
      </c>
      <c r="AC4" s="41">
        <v>0.1</v>
      </c>
      <c r="AD4" s="35">
        <f t="shared" si="12"/>
        <v>0.29907975460122699</v>
      </c>
      <c r="AE4" s="45">
        <f t="shared" si="13"/>
        <v>780</v>
      </c>
      <c r="AF4" s="34">
        <f>VLOOKUP(B4,Migration!A$2:B$189,2,FALSE)</f>
        <v>173</v>
      </c>
      <c r="AG4" s="34">
        <f t="shared" si="14"/>
        <v>0.05</v>
      </c>
      <c r="AH4" s="34" t="str">
        <f t="shared" si="15"/>
        <v>Increase</v>
      </c>
      <c r="AI4" s="62">
        <f t="shared" si="16"/>
        <v>6.6334355828220865E-2</v>
      </c>
      <c r="AJ4" s="65">
        <f t="shared" si="17"/>
        <v>8.4210526315789472E-2</v>
      </c>
    </row>
    <row r="5" spans="1:36" x14ac:dyDescent="0.3">
      <c r="A5" s="28" t="s">
        <v>82</v>
      </c>
      <c r="B5" s="28" t="s">
        <v>1</v>
      </c>
      <c r="C5" s="28" t="s">
        <v>83</v>
      </c>
      <c r="D5" s="29">
        <v>819</v>
      </c>
      <c r="E5" s="29">
        <v>925</v>
      </c>
      <c r="F5" s="29">
        <v>992</v>
      </c>
      <c r="G5" s="35">
        <v>0</v>
      </c>
      <c r="H5" s="35">
        <v>0.48640483383685801</v>
      </c>
      <c r="I5" s="35">
        <v>0.3252769385699899</v>
      </c>
      <c r="J5" s="35">
        <v>0.12185297079556898</v>
      </c>
      <c r="K5" s="35">
        <v>5.2366565961732128E-2</v>
      </c>
      <c r="L5" s="35">
        <v>1.4098690835850957E-2</v>
      </c>
      <c r="M5" s="36">
        <f t="shared" si="0"/>
        <v>0</v>
      </c>
      <c r="N5" s="36">
        <f t="shared" si="1"/>
        <v>482.51359516616316</v>
      </c>
      <c r="O5" s="36">
        <f t="shared" si="2"/>
        <v>322.67472306142997</v>
      </c>
      <c r="P5" s="36">
        <f t="shared" si="3"/>
        <v>120.87814702920443</v>
      </c>
      <c r="Q5" s="36">
        <f t="shared" si="4"/>
        <v>51.947633434038273</v>
      </c>
      <c r="R5" s="36">
        <f t="shared" si="5"/>
        <v>13.985901309164149</v>
      </c>
      <c r="S5" s="25">
        <f>VLOOKUP(A5,'Education graduates'!$A$3:$E$49,5,FALSE)</f>
        <v>8</v>
      </c>
      <c r="T5" s="25">
        <f>VLOOKUP(B5,'Edu updated'!B$2:C$48,2,FALSE)</f>
        <v>60</v>
      </c>
      <c r="U5" s="53">
        <f t="shared" si="18"/>
        <v>1019.0640986908359</v>
      </c>
      <c r="V5" s="54">
        <f t="shared" si="19"/>
        <v>1054.7776099565033</v>
      </c>
      <c r="W5" s="54">
        <f t="shared" si="6"/>
        <v>1090.3041018278286</v>
      </c>
      <c r="X5" s="54">
        <f t="shared" si="7"/>
        <v>1125.644553661157</v>
      </c>
      <c r="Y5" s="54">
        <f t="shared" si="8"/>
        <v>1160.7999396842808</v>
      </c>
      <c r="Z5" s="54">
        <f t="shared" si="9"/>
        <v>1195.7712290232955</v>
      </c>
      <c r="AA5" s="54">
        <f t="shared" si="10"/>
        <v>1230.5593857293165</v>
      </c>
      <c r="AB5" s="54">
        <f t="shared" si="11"/>
        <v>1265.1653688050542</v>
      </c>
      <c r="AC5" s="41">
        <v>0.1</v>
      </c>
      <c r="AD5" s="35">
        <f t="shared" si="12"/>
        <v>6.0483870967741937E-2</v>
      </c>
      <c r="AE5" s="45">
        <f t="shared" si="13"/>
        <v>60</v>
      </c>
      <c r="AF5" s="34">
        <f>VLOOKUP(B5,Migration!A$2:B$189,2,FALSE)</f>
        <v>19</v>
      </c>
      <c r="AG5" s="34">
        <f t="shared" si="14"/>
        <v>0.05</v>
      </c>
      <c r="AH5" s="34" t="str">
        <f t="shared" si="15"/>
        <v>Increase</v>
      </c>
      <c r="AI5" s="62">
        <f t="shared" si="16"/>
        <v>1.9153225806451613E-2</v>
      </c>
      <c r="AJ5" s="65">
        <f t="shared" si="17"/>
        <v>6.6465256797583083E-2</v>
      </c>
    </row>
    <row r="6" spans="1:36" x14ac:dyDescent="0.3">
      <c r="A6" s="28" t="s">
        <v>84</v>
      </c>
      <c r="B6" s="28" t="s">
        <v>20</v>
      </c>
      <c r="C6" s="28" t="s">
        <v>85</v>
      </c>
      <c r="D6" s="29">
        <v>803</v>
      </c>
      <c r="E6" s="29">
        <v>1684</v>
      </c>
      <c r="F6" s="29">
        <v>3323</v>
      </c>
      <c r="G6" s="35">
        <v>0</v>
      </c>
      <c r="H6" s="35">
        <v>0.4797639123102867</v>
      </c>
      <c r="I6" s="35">
        <v>0.45868465430016864</v>
      </c>
      <c r="J6" s="35">
        <v>4.7217537942664416E-2</v>
      </c>
      <c r="K6" s="35">
        <v>1.3912310286677909E-2</v>
      </c>
      <c r="L6" s="35">
        <v>4.2158516020236085E-4</v>
      </c>
      <c r="M6" s="36">
        <f t="shared" si="0"/>
        <v>0</v>
      </c>
      <c r="N6" s="36">
        <f t="shared" si="1"/>
        <v>1594.2554806070827</v>
      </c>
      <c r="O6" s="36">
        <f t="shared" si="2"/>
        <v>1524.2091062394604</v>
      </c>
      <c r="P6" s="36">
        <f t="shared" si="3"/>
        <v>156.90387858347384</v>
      </c>
      <c r="Q6" s="36">
        <f t="shared" si="4"/>
        <v>46.230607082630691</v>
      </c>
      <c r="R6" s="36">
        <f t="shared" si="5"/>
        <v>1.4009274873524451</v>
      </c>
      <c r="S6" s="25">
        <f>VLOOKUP(A6,'Education graduates'!$A$3:$E$49,5,FALSE)</f>
        <v>578</v>
      </c>
      <c r="T6" s="25">
        <f>VLOOKUP(B6,'Edu updated'!B$2:C$48,2,FALSE)</f>
        <v>1492</v>
      </c>
      <c r="U6" s="53">
        <f t="shared" si="18"/>
        <v>4363.2490725126472</v>
      </c>
      <c r="V6" s="54">
        <f t="shared" si="19"/>
        <v>5398.828785017161</v>
      </c>
      <c r="W6" s="54">
        <f t="shared" si="6"/>
        <v>6432.9677668929799</v>
      </c>
      <c r="X6" s="54">
        <f t="shared" si="7"/>
        <v>7465.6680225292585</v>
      </c>
      <c r="Y6" s="54">
        <f t="shared" si="8"/>
        <v>8496.9315535265832</v>
      </c>
      <c r="Z6" s="54">
        <f t="shared" si="9"/>
        <v>9526.7603587008507</v>
      </c>
      <c r="AA6" s="54">
        <f t="shared" si="10"/>
        <v>10555.156434087143</v>
      </c>
      <c r="AB6" s="54">
        <f t="shared" si="11"/>
        <v>11582.121772943598</v>
      </c>
      <c r="AC6" s="41">
        <v>0.1</v>
      </c>
      <c r="AD6" s="35">
        <f t="shared" si="12"/>
        <v>0.44899187481191694</v>
      </c>
      <c r="AE6" s="45">
        <f t="shared" si="13"/>
        <v>1492</v>
      </c>
      <c r="AF6" s="34">
        <f>VLOOKUP(B6,Migration!A$2:B$189,2,FALSE)</f>
        <v>55</v>
      </c>
      <c r="AG6" s="34">
        <f t="shared" si="14"/>
        <v>0.05</v>
      </c>
      <c r="AH6" s="34" t="str">
        <f t="shared" si="15"/>
        <v>Increase</v>
      </c>
      <c r="AI6" s="62">
        <f t="shared" si="16"/>
        <v>1.6551309058080048E-2</v>
      </c>
      <c r="AJ6" s="65">
        <f t="shared" si="17"/>
        <v>1.433389544688027E-2</v>
      </c>
    </row>
    <row r="7" spans="1:36" x14ac:dyDescent="0.3">
      <c r="A7" s="28" t="s">
        <v>86</v>
      </c>
      <c r="B7" s="28" t="s">
        <v>19</v>
      </c>
      <c r="C7" s="28" t="s">
        <v>85</v>
      </c>
      <c r="D7" s="29">
        <v>554</v>
      </c>
      <c r="E7" s="29">
        <v>1084</v>
      </c>
      <c r="F7" s="29">
        <v>1014.8610394397346</v>
      </c>
      <c r="G7" s="35">
        <v>0</v>
      </c>
      <c r="H7" s="35">
        <v>0.23688394276629571</v>
      </c>
      <c r="I7" s="35">
        <v>0.62957074721780604</v>
      </c>
      <c r="J7" s="35">
        <v>9.6979332273449917E-2</v>
      </c>
      <c r="K7" s="35">
        <v>3.0206677265500796E-2</v>
      </c>
      <c r="L7" s="35">
        <v>6.3593004769475362E-3</v>
      </c>
      <c r="M7" s="36">
        <f t="shared" si="0"/>
        <v>0</v>
      </c>
      <c r="N7" s="36">
        <f t="shared" si="1"/>
        <v>240.40428438238544</v>
      </c>
      <c r="O7" s="36">
        <f t="shared" si="2"/>
        <v>638.92682292231302</v>
      </c>
      <c r="P7" s="36">
        <f t="shared" si="3"/>
        <v>98.420545955204773</v>
      </c>
      <c r="Q7" s="36">
        <f t="shared" si="4"/>
        <v>30.655579887686738</v>
      </c>
      <c r="R7" s="36">
        <f t="shared" si="5"/>
        <v>6.4538062921445762</v>
      </c>
      <c r="S7" s="25">
        <f>VLOOKUP(A7,'Education graduates'!$A$3:$E$49,5,FALSE)</f>
        <v>319</v>
      </c>
      <c r="T7" s="25">
        <f>VLOOKUP(B7,'Edu updated'!B$2:C$48,2,FALSE)</f>
        <v>325</v>
      </c>
      <c r="U7" s="53">
        <f t="shared" si="18"/>
        <v>1229.3072331475901</v>
      </c>
      <c r="V7" s="54">
        <f t="shared" si="19"/>
        <v>1446.4939044624066</v>
      </c>
      <c r="W7" s="54">
        <f t="shared" si="6"/>
        <v>1663.0245270085456</v>
      </c>
      <c r="X7" s="54">
        <f t="shared" si="7"/>
        <v>1878.9010824913498</v>
      </c>
      <c r="Y7" s="54">
        <f t="shared" si="8"/>
        <v>2094.1255466300881</v>
      </c>
      <c r="Z7" s="54">
        <f t="shared" si="9"/>
        <v>2308.6998891760386</v>
      </c>
      <c r="AA7" s="54">
        <f t="shared" si="10"/>
        <v>2522.6260739305148</v>
      </c>
      <c r="AB7" s="54">
        <f t="shared" si="11"/>
        <v>2735.9060587628392</v>
      </c>
      <c r="AC7" s="41">
        <v>0.1</v>
      </c>
      <c r="AD7" s="35">
        <f t="shared" si="12"/>
        <v>0.3202408875400517</v>
      </c>
      <c r="AE7" s="45">
        <f t="shared" si="13"/>
        <v>325</v>
      </c>
      <c r="AF7" s="34">
        <f>VLOOKUP(B7,Migration!A$2:B$189,2,FALSE)</f>
        <v>132</v>
      </c>
      <c r="AG7" s="34">
        <f t="shared" si="14"/>
        <v>0.05</v>
      </c>
      <c r="AH7" s="34" t="str">
        <f t="shared" si="15"/>
        <v>Increase</v>
      </c>
      <c r="AI7" s="62">
        <f t="shared" si="16"/>
        <v>0.13006706817011329</v>
      </c>
      <c r="AJ7" s="65">
        <f t="shared" si="17"/>
        <v>3.6565977742448331E-2</v>
      </c>
    </row>
    <row r="8" spans="1:36" x14ac:dyDescent="0.3">
      <c r="A8" s="28" t="s">
        <v>87</v>
      </c>
      <c r="B8" s="28" t="s">
        <v>24</v>
      </c>
      <c r="C8" s="28" t="s">
        <v>79</v>
      </c>
      <c r="D8" s="29">
        <v>1842</v>
      </c>
      <c r="E8" s="29">
        <v>3259</v>
      </c>
      <c r="F8" s="29">
        <v>3759</v>
      </c>
      <c r="G8" s="35">
        <v>3.9872408293460922E-3</v>
      </c>
      <c r="H8" s="35">
        <v>0.50212652844231787</v>
      </c>
      <c r="I8" s="35">
        <v>0.32961190855927697</v>
      </c>
      <c r="J8" s="35">
        <v>0.12068048910154174</v>
      </c>
      <c r="K8" s="35">
        <v>4.1467304625199361E-2</v>
      </c>
      <c r="L8" s="35">
        <v>2.1265284423179162E-3</v>
      </c>
      <c r="M8" s="36">
        <f t="shared" si="0"/>
        <v>14.988038277511961</v>
      </c>
      <c r="N8" s="36">
        <f t="shared" si="1"/>
        <v>1887.4936204146729</v>
      </c>
      <c r="O8" s="36">
        <f t="shared" si="2"/>
        <v>1239.011164274322</v>
      </c>
      <c r="P8" s="36">
        <f t="shared" si="3"/>
        <v>453.63795853269539</v>
      </c>
      <c r="Q8" s="36">
        <f t="shared" si="4"/>
        <v>155.8755980861244</v>
      </c>
      <c r="R8" s="36">
        <f t="shared" si="5"/>
        <v>7.993620414673047</v>
      </c>
      <c r="S8" s="25">
        <f>VLOOKUP(A8,'Education graduates'!$A$3:$E$49,5,FALSE)</f>
        <v>0</v>
      </c>
      <c r="T8" s="25">
        <f>VLOOKUP(B8,'Edu updated'!B$2:C$48,2,FALSE)</f>
        <v>800</v>
      </c>
      <c r="U8" s="53">
        <f t="shared" si="18"/>
        <v>4289.0563795853277</v>
      </c>
      <c r="V8" s="54">
        <f t="shared" si="19"/>
        <v>4809.3208188406361</v>
      </c>
      <c r="W8" s="54">
        <f t="shared" si="6"/>
        <v>5327.4278616971187</v>
      </c>
      <c r="X8" s="54">
        <f t="shared" si="7"/>
        <v>5843.3864542961419</v>
      </c>
      <c r="Y8" s="54">
        <f t="shared" si="8"/>
        <v>6357.2055056818363</v>
      </c>
      <c r="Z8" s="54">
        <f t="shared" si="9"/>
        <v>6868.893887954926</v>
      </c>
      <c r="AA8" s="54">
        <f t="shared" si="10"/>
        <v>7378.4604364259267</v>
      </c>
      <c r="AB8" s="54">
        <f t="shared" si="11"/>
        <v>7885.9139497677015</v>
      </c>
      <c r="AC8" s="41">
        <v>0.1</v>
      </c>
      <c r="AD8" s="35">
        <f t="shared" si="12"/>
        <v>0.21282255919127427</v>
      </c>
      <c r="AE8" s="45">
        <f t="shared" si="13"/>
        <v>800</v>
      </c>
      <c r="AF8" s="34">
        <f>VLOOKUP(B8,Migration!A$2:B$189,2,FALSE)</f>
        <v>439</v>
      </c>
      <c r="AG8" s="34">
        <f t="shared" si="14"/>
        <v>0.05</v>
      </c>
      <c r="AH8" s="34" t="str">
        <f t="shared" si="15"/>
        <v>Increase</v>
      </c>
      <c r="AI8" s="62">
        <f t="shared" si="16"/>
        <v>0.11678637935621176</v>
      </c>
      <c r="AJ8" s="65">
        <f t="shared" si="17"/>
        <v>4.3593833067517275E-2</v>
      </c>
    </row>
    <row r="9" spans="1:36" x14ac:dyDescent="0.3">
      <c r="A9" s="28" t="s">
        <v>88</v>
      </c>
      <c r="B9" s="28" t="s">
        <v>3</v>
      </c>
      <c r="C9" s="28" t="s">
        <v>79</v>
      </c>
      <c r="D9" s="29">
        <v>308</v>
      </c>
      <c r="E9" s="29">
        <v>452</v>
      </c>
      <c r="F9" s="29">
        <v>2644</v>
      </c>
      <c r="G9" s="35">
        <v>4.1603630862329802E-3</v>
      </c>
      <c r="H9" s="35">
        <v>0.20385779122541603</v>
      </c>
      <c r="I9" s="35">
        <v>0.30295007564296522</v>
      </c>
      <c r="J9" s="35">
        <v>0.26966717095310139</v>
      </c>
      <c r="K9" s="35">
        <v>0.17095310136157338</v>
      </c>
      <c r="L9" s="35">
        <v>4.8411497730711045E-2</v>
      </c>
      <c r="M9" s="36">
        <f t="shared" si="0"/>
        <v>11</v>
      </c>
      <c r="N9" s="36">
        <f t="shared" si="1"/>
        <v>539</v>
      </c>
      <c r="O9" s="36">
        <f t="shared" si="2"/>
        <v>801</v>
      </c>
      <c r="P9" s="36">
        <f t="shared" si="3"/>
        <v>713.00000000000011</v>
      </c>
      <c r="Q9" s="36">
        <f t="shared" si="4"/>
        <v>452</v>
      </c>
      <c r="R9" s="36">
        <f t="shared" si="5"/>
        <v>128</v>
      </c>
      <c r="S9" s="25">
        <f>VLOOKUP(A9,'Education graduates'!$A$3:$E$49,5,FALSE)</f>
        <v>0</v>
      </c>
      <c r="T9" s="25">
        <f>VLOOKUP(B9,'Edu updated'!B$2:C$48,2,FALSE)</f>
        <v>0</v>
      </c>
      <c r="U9" s="53">
        <f t="shared" si="18"/>
        <v>2638.8544000000002</v>
      </c>
      <c r="V9" s="54">
        <f t="shared" si="19"/>
        <v>2716.5967656278372</v>
      </c>
      <c r="W9" s="54">
        <f t="shared" si="6"/>
        <v>2793.0101014045476</v>
      </c>
      <c r="X9" s="54">
        <f t="shared" si="7"/>
        <v>2868.1171275076172</v>
      </c>
      <c r="Y9" s="54">
        <f t="shared" si="8"/>
        <v>2941.94017570605</v>
      </c>
      <c r="Z9" s="54">
        <f t="shared" si="9"/>
        <v>3014.5011960003344</v>
      </c>
      <c r="AA9" s="54">
        <f t="shared" si="10"/>
        <v>3085.8217631488919</v>
      </c>
      <c r="AB9" s="54">
        <f t="shared" si="11"/>
        <v>3155.9230830829583</v>
      </c>
      <c r="AC9" s="41">
        <v>0.1</v>
      </c>
      <c r="AD9" s="35">
        <v>6.8000000000000005E-2</v>
      </c>
      <c r="AE9" s="45">
        <f t="shared" si="13"/>
        <v>179.792</v>
      </c>
      <c r="AF9" s="34">
        <f>VLOOKUP(B9,Migration!A$2:B$189,2,FALSE)</f>
        <v>60</v>
      </c>
      <c r="AG9" s="34">
        <f t="shared" si="14"/>
        <v>0.05</v>
      </c>
      <c r="AH9" s="34" t="str">
        <f t="shared" si="15"/>
        <v>Increase</v>
      </c>
      <c r="AI9" s="62">
        <f t="shared" si="16"/>
        <v>2.2692889561270801E-2</v>
      </c>
      <c r="AJ9" s="65">
        <f t="shared" si="17"/>
        <v>0.21936459909228442</v>
      </c>
    </row>
    <row r="10" spans="1:36" x14ac:dyDescent="0.3">
      <c r="A10" s="28" t="s">
        <v>89</v>
      </c>
      <c r="B10" s="28" t="s">
        <v>29</v>
      </c>
      <c r="C10" s="33" t="s">
        <v>85</v>
      </c>
      <c r="D10" s="29">
        <v>324</v>
      </c>
      <c r="E10" s="29">
        <v>335</v>
      </c>
      <c r="F10" s="30">
        <v>146.38957816377172</v>
      </c>
      <c r="G10" s="37">
        <v>8.4136314403189787E-3</v>
      </c>
      <c r="H10" s="37">
        <v>0.4783415903533122</v>
      </c>
      <c r="I10" s="37">
        <v>0.34535536267218658</v>
      </c>
      <c r="J10" s="37">
        <v>0.1147456275792092</v>
      </c>
      <c r="K10" s="37">
        <v>4.184484163081776E-2</v>
      </c>
      <c r="L10" s="37">
        <v>1.1298946324155327E-2</v>
      </c>
      <c r="M10" s="36">
        <f t="shared" si="0"/>
        <v>1.2316679573737424</v>
      </c>
      <c r="N10" s="36">
        <f t="shared" si="1"/>
        <v>70.024223630009061</v>
      </c>
      <c r="O10" s="36">
        <f t="shared" si="2"/>
        <v>50.556425858177789</v>
      </c>
      <c r="P10" s="36">
        <f t="shared" si="3"/>
        <v>16.797564017457685</v>
      </c>
      <c r="Q10" s="36">
        <f t="shared" si="4"/>
        <v>6.1256487146652452</v>
      </c>
      <c r="R10" s="36">
        <f t="shared" si="5"/>
        <v>1.6540479860881974</v>
      </c>
      <c r="S10" s="25">
        <f>VLOOKUP(A10,'Education graduates'!$A$3:$E$49,5,FALSE)</f>
        <v>0</v>
      </c>
      <c r="T10" s="25">
        <f>VLOOKUP(B10,'Edu updated'!B$2:C$48,2,FALSE)</f>
        <v>18</v>
      </c>
      <c r="U10" s="53">
        <f t="shared" si="18"/>
        <v>156.28553017768351</v>
      </c>
      <c r="V10" s="54">
        <f t="shared" si="19"/>
        <v>167.18155585173614</v>
      </c>
      <c r="W10" s="54">
        <f t="shared" si="6"/>
        <v>178.03198727891515</v>
      </c>
      <c r="X10" s="54">
        <f t="shared" si="7"/>
        <v>188.83701524762452</v>
      </c>
      <c r="Y10" s="54">
        <f t="shared" si="8"/>
        <v>199.59682974791718</v>
      </c>
      <c r="Z10" s="54">
        <f t="shared" si="9"/>
        <v>210.31161997483568</v>
      </c>
      <c r="AA10" s="54">
        <f t="shared" si="10"/>
        <v>220.98157433173887</v>
      </c>
      <c r="AB10" s="54">
        <f t="shared" si="11"/>
        <v>231.6068804336148</v>
      </c>
      <c r="AC10" s="41">
        <v>0.1</v>
      </c>
      <c r="AD10" s="35">
        <f t="shared" si="12"/>
        <v>0.12295957284515636</v>
      </c>
      <c r="AE10" s="45">
        <f t="shared" si="13"/>
        <v>18</v>
      </c>
      <c r="AF10" s="34">
        <f>VLOOKUP(B10,Migration!A$2:B$189,2,FALSE)</f>
        <v>21</v>
      </c>
      <c r="AG10" s="34">
        <f t="shared" si="14"/>
        <v>0.05</v>
      </c>
      <c r="AH10" s="34" t="str">
        <f t="shared" si="15"/>
        <v>Increase</v>
      </c>
      <c r="AI10" s="62">
        <f t="shared" si="16"/>
        <v>0.14345283498601577</v>
      </c>
      <c r="AJ10" s="65">
        <f t="shared" si="17"/>
        <v>5.3143787954973085E-2</v>
      </c>
    </row>
    <row r="11" spans="1:36" x14ac:dyDescent="0.3">
      <c r="A11" s="28" t="s">
        <v>90</v>
      </c>
      <c r="B11" s="28" t="s">
        <v>23</v>
      </c>
      <c r="C11" s="28" t="s">
        <v>85</v>
      </c>
      <c r="D11" s="29">
        <v>573</v>
      </c>
      <c r="E11" s="29">
        <v>803</v>
      </c>
      <c r="F11" s="29">
        <v>1507</v>
      </c>
      <c r="G11" s="35">
        <v>1.9880715705765406E-3</v>
      </c>
      <c r="H11" s="35">
        <v>0.58316766070245196</v>
      </c>
      <c r="I11" s="35">
        <v>0.28098078197481774</v>
      </c>
      <c r="J11" s="35">
        <v>8.5487077534791248E-2</v>
      </c>
      <c r="K11" s="35">
        <v>4.8376408217362492E-2</v>
      </c>
      <c r="L11" s="35">
        <v>0</v>
      </c>
      <c r="M11" s="36">
        <f t="shared" si="0"/>
        <v>2.9960238568588466</v>
      </c>
      <c r="N11" s="36">
        <f t="shared" si="1"/>
        <v>878.83366467859514</v>
      </c>
      <c r="O11" s="36">
        <f t="shared" si="2"/>
        <v>423.43803843605031</v>
      </c>
      <c r="P11" s="36">
        <f t="shared" si="3"/>
        <v>128.82902584493041</v>
      </c>
      <c r="Q11" s="36">
        <f t="shared" si="4"/>
        <v>72.90324718356527</v>
      </c>
      <c r="R11" s="36">
        <f t="shared" si="5"/>
        <v>0</v>
      </c>
      <c r="S11" s="25">
        <f>VLOOKUP(A11,'Education graduates'!$A$3:$E$49,5,FALSE)</f>
        <v>113</v>
      </c>
      <c r="T11" s="25">
        <f>VLOOKUP(B11,'Edu updated'!B$2:C$48,2,FALSE)</f>
        <v>330</v>
      </c>
      <c r="U11" s="53">
        <f t="shared" si="18"/>
        <v>1737.3</v>
      </c>
      <c r="V11" s="54">
        <f t="shared" si="19"/>
        <v>1959.1955666003976</v>
      </c>
      <c r="W11" s="54">
        <f t="shared" si="6"/>
        <v>2180.017682149647</v>
      </c>
      <c r="X11" s="54">
        <f t="shared" si="7"/>
        <v>2399.7715396183735</v>
      </c>
      <c r="Y11" s="54">
        <f t="shared" si="8"/>
        <v>2618.4623068554752</v>
      </c>
      <c r="Z11" s="54">
        <f t="shared" si="9"/>
        <v>2836.0951267096539</v>
      </c>
      <c r="AA11" s="54">
        <f t="shared" si="10"/>
        <v>3052.6751171503561</v>
      </c>
      <c r="AB11" s="54">
        <f t="shared" si="11"/>
        <v>3268.2073713881314</v>
      </c>
      <c r="AC11" s="41">
        <v>0.1</v>
      </c>
      <c r="AD11" s="35">
        <f t="shared" si="12"/>
        <v>0.21897810218978103</v>
      </c>
      <c r="AE11" s="45">
        <f t="shared" si="13"/>
        <v>330</v>
      </c>
      <c r="AF11" s="34">
        <f>VLOOKUP(B11,Migration!A$2:B$189,2,FALSE)</f>
        <v>14</v>
      </c>
      <c r="AG11" s="34">
        <f t="shared" si="14"/>
        <v>0.05</v>
      </c>
      <c r="AH11" s="34" t="str">
        <f t="shared" si="15"/>
        <v>Increase</v>
      </c>
      <c r="AI11" s="62">
        <f t="shared" si="16"/>
        <v>9.2899800928998005E-3</v>
      </c>
      <c r="AJ11" s="65">
        <f t="shared" si="17"/>
        <v>4.8376408217362492E-2</v>
      </c>
    </row>
    <row r="12" spans="1:36" x14ac:dyDescent="0.3">
      <c r="A12" s="28" t="s">
        <v>91</v>
      </c>
      <c r="B12" s="28" t="s">
        <v>31</v>
      </c>
      <c r="C12" s="33" t="s">
        <v>79</v>
      </c>
      <c r="D12" s="29">
        <v>123</v>
      </c>
      <c r="E12" s="29">
        <v>220</v>
      </c>
      <c r="F12" s="29">
        <v>354</v>
      </c>
      <c r="G12" s="37">
        <v>9.6273049759095664E-3</v>
      </c>
      <c r="H12" s="37">
        <v>0.3275992964925577</v>
      </c>
      <c r="I12" s="37">
        <v>0.38621639847768657</v>
      </c>
      <c r="J12" s="37">
        <v>0.17590959830524627</v>
      </c>
      <c r="K12" s="37">
        <v>8.0800436018606592E-2</v>
      </c>
      <c r="L12" s="37">
        <v>1.9846965729993234E-2</v>
      </c>
      <c r="M12" s="36">
        <f t="shared" si="0"/>
        <v>3.4080659614719866</v>
      </c>
      <c r="N12" s="36">
        <f t="shared" si="1"/>
        <v>115.97015095836542</v>
      </c>
      <c r="O12" s="36">
        <f t="shared" si="2"/>
        <v>136.72060506110105</v>
      </c>
      <c r="P12" s="36">
        <f t="shared" si="3"/>
        <v>62.271997800057179</v>
      </c>
      <c r="Q12" s="36">
        <f t="shared" si="4"/>
        <v>28.603354350586734</v>
      </c>
      <c r="R12" s="36">
        <f t="shared" si="5"/>
        <v>7.0258258684176047</v>
      </c>
      <c r="S12" s="25">
        <f>VLOOKUP(A12,'Education graduates'!$A$3:$E$49,5,FALSE)</f>
        <v>0</v>
      </c>
      <c r="T12" s="25">
        <f>VLOOKUP(B12,'Edu updated'!B$2:C$48,2,FALSE)</f>
        <v>0</v>
      </c>
      <c r="U12" s="53">
        <f t="shared" si="18"/>
        <v>363.62457413158239</v>
      </c>
      <c r="V12" s="54">
        <f t="shared" si="19"/>
        <v>377.3368717178912</v>
      </c>
      <c r="W12" s="54">
        <f t="shared" si="6"/>
        <v>390.93837334182092</v>
      </c>
      <c r="X12" s="54">
        <f t="shared" si="7"/>
        <v>404.42997423957854</v>
      </c>
      <c r="Y12" s="54">
        <f t="shared" si="8"/>
        <v>417.81256241382334</v>
      </c>
      <c r="Z12" s="54">
        <f t="shared" si="9"/>
        <v>431.0870186921145</v>
      </c>
      <c r="AA12" s="54">
        <f t="shared" si="10"/>
        <v>444.25421678488607</v>
      </c>
      <c r="AB12" s="54">
        <f t="shared" si="11"/>
        <v>457.31502334295374</v>
      </c>
      <c r="AC12" s="41">
        <v>0.1</v>
      </c>
      <c r="AD12" s="35">
        <v>6.8000000000000005E-2</v>
      </c>
      <c r="AE12" s="45">
        <f t="shared" si="13"/>
        <v>24.072000000000003</v>
      </c>
      <c r="AF12" s="34">
        <f>VLOOKUP(B12,Migration!A$2:B$189,2,FALSE)</f>
        <v>4</v>
      </c>
      <c r="AG12" s="34">
        <f t="shared" si="14"/>
        <v>0.05</v>
      </c>
      <c r="AH12" s="34" t="str">
        <f t="shared" si="15"/>
        <v>Increase</v>
      </c>
      <c r="AI12" s="62">
        <f t="shared" si="16"/>
        <v>1.1299435028248588E-2</v>
      </c>
      <c r="AJ12" s="65">
        <f t="shared" si="17"/>
        <v>0.10064740174859982</v>
      </c>
    </row>
    <row r="13" spans="1:36" x14ac:dyDescent="0.3">
      <c r="A13" s="28" t="s">
        <v>92</v>
      </c>
      <c r="B13" s="28" t="s">
        <v>26</v>
      </c>
      <c r="C13" s="28" t="s">
        <v>79</v>
      </c>
      <c r="D13" s="29">
        <v>0</v>
      </c>
      <c r="E13" s="29">
        <v>544</v>
      </c>
      <c r="F13" s="29">
        <v>1042</v>
      </c>
      <c r="G13" s="35">
        <v>0</v>
      </c>
      <c r="H13" s="35">
        <v>0.44529750479846447</v>
      </c>
      <c r="I13" s="35">
        <v>0.29942418426103645</v>
      </c>
      <c r="J13" s="35">
        <v>0.11612284069097889</v>
      </c>
      <c r="K13" s="35">
        <v>0.13147792706333974</v>
      </c>
      <c r="L13" s="35">
        <v>7.677543186180422E-3</v>
      </c>
      <c r="M13" s="36">
        <f t="shared" si="0"/>
        <v>0</v>
      </c>
      <c r="N13" s="36">
        <f t="shared" si="1"/>
        <v>464</v>
      </c>
      <c r="O13" s="36">
        <f t="shared" si="2"/>
        <v>312</v>
      </c>
      <c r="P13" s="36">
        <f t="shared" si="3"/>
        <v>121</v>
      </c>
      <c r="Q13" s="36">
        <f t="shared" si="4"/>
        <v>137</v>
      </c>
      <c r="R13" s="36">
        <f t="shared" si="5"/>
        <v>8</v>
      </c>
      <c r="S13" s="25">
        <f>VLOOKUP(A13,'Education graduates'!$A$3:$E$49,5,FALSE)</f>
        <v>39</v>
      </c>
      <c r="T13" s="25">
        <f>VLOOKUP(B13,'Edu updated'!B$2:C$48,2,FALSE)</f>
        <v>60</v>
      </c>
      <c r="U13" s="53">
        <f t="shared" si="18"/>
        <v>1063.4000000000001</v>
      </c>
      <c r="V13" s="54">
        <f t="shared" si="19"/>
        <v>1078.8186372360847</v>
      </c>
      <c r="W13" s="54">
        <f t="shared" si="6"/>
        <v>1094.034553425975</v>
      </c>
      <c r="X13" s="54">
        <f t="shared" si="7"/>
        <v>1109.0504139039638</v>
      </c>
      <c r="Y13" s="54">
        <f t="shared" si="8"/>
        <v>1123.8688489610806</v>
      </c>
      <c r="Z13" s="54">
        <f t="shared" si="9"/>
        <v>1138.4924543058344</v>
      </c>
      <c r="AA13" s="54">
        <f t="shared" si="10"/>
        <v>1152.923791518896</v>
      </c>
      <c r="AB13" s="54">
        <f t="shared" si="11"/>
        <v>1167.1653885018052</v>
      </c>
      <c r="AC13" s="41">
        <v>0.1</v>
      </c>
      <c r="AD13" s="35">
        <f t="shared" si="12"/>
        <v>5.7581573896353169E-2</v>
      </c>
      <c r="AE13" s="45">
        <f t="shared" si="13"/>
        <v>60</v>
      </c>
      <c r="AF13" s="34">
        <f>VLOOKUP(B13,Migration!A$2:B$189,2,FALSE)</f>
        <v>252</v>
      </c>
      <c r="AG13" s="34">
        <f t="shared" si="14"/>
        <v>0.05</v>
      </c>
      <c r="AH13" s="34" t="str">
        <f t="shared" si="15"/>
        <v>Increase</v>
      </c>
      <c r="AI13" s="62">
        <f t="shared" si="16"/>
        <v>0.2418426103646833</v>
      </c>
      <c r="AJ13" s="65">
        <f t="shared" si="17"/>
        <v>0.13915547024952016</v>
      </c>
    </row>
    <row r="14" spans="1:36" x14ac:dyDescent="0.3">
      <c r="A14" s="28" t="s">
        <v>93</v>
      </c>
      <c r="B14" s="28" t="s">
        <v>2</v>
      </c>
      <c r="C14" s="28" t="s">
        <v>79</v>
      </c>
      <c r="D14" s="29">
        <v>5240</v>
      </c>
      <c r="E14" s="29">
        <v>5602</v>
      </c>
      <c r="F14" s="29">
        <v>6327.5519796794806</v>
      </c>
      <c r="G14" s="35">
        <v>0</v>
      </c>
      <c r="H14" s="35">
        <v>0.18665043619395416</v>
      </c>
      <c r="I14" s="35">
        <v>0.3564617569486711</v>
      </c>
      <c r="J14" s="35">
        <v>0.32116047879894499</v>
      </c>
      <c r="K14" s="35">
        <v>0.12984378170014202</v>
      </c>
      <c r="L14" s="35">
        <v>5.883546358287685E-3</v>
      </c>
      <c r="M14" s="36">
        <f t="shared" si="0"/>
        <v>0</v>
      </c>
      <c r="N14" s="36">
        <f t="shared" si="1"/>
        <v>1181.0403370470933</v>
      </c>
      <c r="O14" s="36">
        <f t="shared" si="2"/>
        <v>2255.5302958605898</v>
      </c>
      <c r="P14" s="36">
        <f t="shared" si="3"/>
        <v>2032.1596234190743</v>
      </c>
      <c r="Q14" s="36">
        <f t="shared" si="4"/>
        <v>821.59327794580395</v>
      </c>
      <c r="R14" s="36">
        <f t="shared" si="5"/>
        <v>37.228445406919242</v>
      </c>
      <c r="S14" s="25">
        <f>VLOOKUP(A14,'Education graduates'!$A$3:$E$49,5,FALSE)</f>
        <v>265</v>
      </c>
      <c r="T14" s="25">
        <f>VLOOKUP(B14,'Edu updated'!B$2:C$48,2,FALSE)</f>
        <v>254</v>
      </c>
      <c r="U14" s="53">
        <f t="shared" si="18"/>
        <v>6457.0235342725609</v>
      </c>
      <c r="V14" s="54">
        <f t="shared" si="19"/>
        <v>6539.8830988508844</v>
      </c>
      <c r="W14" s="54">
        <f t="shared" si="6"/>
        <v>6621.6667835077196</v>
      </c>
      <c r="X14" s="54">
        <f t="shared" si="7"/>
        <v>6702.3885578748341</v>
      </c>
      <c r="Y14" s="54">
        <f t="shared" si="8"/>
        <v>6782.0622101970112</v>
      </c>
      <c r="Z14" s="54">
        <f t="shared" si="9"/>
        <v>6860.7013496872505</v>
      </c>
      <c r="AA14" s="54">
        <f t="shared" si="10"/>
        <v>6938.3194088513847</v>
      </c>
      <c r="AB14" s="54">
        <f t="shared" si="11"/>
        <v>7014.9296457825085</v>
      </c>
      <c r="AC14" s="41">
        <v>0.1</v>
      </c>
      <c r="AD14" s="35">
        <f t="shared" si="12"/>
        <v>4.0141906509137244E-2</v>
      </c>
      <c r="AE14" s="45">
        <f t="shared" si="13"/>
        <v>254</v>
      </c>
      <c r="AF14" s="34">
        <f>VLOOKUP(B14,Migration!A$2:B$189,2,FALSE)</f>
        <v>222</v>
      </c>
      <c r="AG14" s="34">
        <f t="shared" si="14"/>
        <v>0.05</v>
      </c>
      <c r="AH14" s="34" t="str">
        <f t="shared" si="15"/>
        <v>Increase</v>
      </c>
      <c r="AI14" s="62">
        <f t="shared" si="16"/>
        <v>3.508465844499397E-2</v>
      </c>
      <c r="AJ14" s="65">
        <f t="shared" si="17"/>
        <v>0.13572732805842971</v>
      </c>
    </row>
    <row r="15" spans="1:36" x14ac:dyDescent="0.3">
      <c r="A15" s="28" t="s">
        <v>94</v>
      </c>
      <c r="B15" s="28" t="s">
        <v>30</v>
      </c>
      <c r="C15" s="33" t="s">
        <v>85</v>
      </c>
      <c r="D15" s="29">
        <v>6418</v>
      </c>
      <c r="E15" s="29">
        <v>31546</v>
      </c>
      <c r="F15" s="29">
        <v>21289.958719118578</v>
      </c>
      <c r="G15" s="37">
        <v>8.4136314403189787E-3</v>
      </c>
      <c r="H15" s="37">
        <v>0.4783415903533122</v>
      </c>
      <c r="I15" s="37">
        <v>0.34535536267218658</v>
      </c>
      <c r="J15" s="37">
        <v>0.1147456275792092</v>
      </c>
      <c r="K15" s="37">
        <v>4.184484163081776E-2</v>
      </c>
      <c r="L15" s="37">
        <v>1.1298946324155327E-2</v>
      </c>
      <c r="M15" s="36">
        <f t="shared" si="0"/>
        <v>179.12586604226925</v>
      </c>
      <c r="N15" s="36">
        <f t="shared" si="1"/>
        <v>10183.872712259546</v>
      </c>
      <c r="O15" s="36">
        <f t="shared" si="2"/>
        <v>7352.6014147170772</v>
      </c>
      <c r="P15" s="36">
        <f t="shared" si="3"/>
        <v>2442.9296743607179</v>
      </c>
      <c r="Q15" s="36">
        <f t="shared" si="4"/>
        <v>890.87495092816459</v>
      </c>
      <c r="R15" s="36">
        <f t="shared" si="5"/>
        <v>240.5541008108035</v>
      </c>
      <c r="S15" s="25">
        <f>VLOOKUP(A15,'Education graduates'!$A$3:$E$49,5,FALSE)</f>
        <v>27</v>
      </c>
      <c r="T15" s="25">
        <f>VLOOKUP(B15,'Edu updated'!B$2:C$48,2,FALSE)</f>
        <v>6020</v>
      </c>
      <c r="U15" s="53">
        <f t="shared" si="18"/>
        <v>25247.954618307776</v>
      </c>
      <c r="V15" s="54">
        <f t="shared" si="19"/>
        <v>29340.85495205726</v>
      </c>
      <c r="W15" s="54">
        <f t="shared" si="6"/>
        <v>33416.628609179097</v>
      </c>
      <c r="X15" s="54">
        <f t="shared" si="7"/>
        <v>37475.347255980407</v>
      </c>
      <c r="Y15" s="54">
        <f t="shared" si="8"/>
        <v>41517.082258881768</v>
      </c>
      <c r="Z15" s="54">
        <f t="shared" si="9"/>
        <v>45541.904685672118</v>
      </c>
      <c r="AA15" s="54">
        <f t="shared" si="10"/>
        <v>49549.885306758348</v>
      </c>
      <c r="AB15" s="54">
        <f t="shared" si="11"/>
        <v>53541.094596409697</v>
      </c>
      <c r="AC15" s="41">
        <v>0.1</v>
      </c>
      <c r="AD15" s="35">
        <f t="shared" si="12"/>
        <v>0.28276240829879978</v>
      </c>
      <c r="AE15" s="45">
        <f t="shared" si="13"/>
        <v>6020</v>
      </c>
      <c r="AF15" s="34">
        <f>VLOOKUP(B15,Migration!A$2:B$189,2,FALSE)</f>
        <v>309</v>
      </c>
      <c r="AG15" s="34">
        <f t="shared" si="14"/>
        <v>0.05</v>
      </c>
      <c r="AH15" s="34" t="str">
        <f t="shared" si="15"/>
        <v>Increase</v>
      </c>
      <c r="AI15" s="62">
        <f t="shared" si="16"/>
        <v>1.4513884412679258E-2</v>
      </c>
      <c r="AJ15" s="65">
        <f t="shared" si="17"/>
        <v>5.3143787954973085E-2</v>
      </c>
    </row>
    <row r="16" spans="1:36" x14ac:dyDescent="0.3">
      <c r="A16" s="28" t="s">
        <v>95</v>
      </c>
      <c r="B16" s="28" t="s">
        <v>35</v>
      </c>
      <c r="C16" s="33" t="s">
        <v>83</v>
      </c>
      <c r="D16" s="29">
        <v>0</v>
      </c>
      <c r="E16" s="29">
        <v>246</v>
      </c>
      <c r="F16" s="29">
        <v>274.68237599257924</v>
      </c>
      <c r="G16" s="37">
        <v>0</v>
      </c>
      <c r="H16" s="37">
        <v>0.28747247489357414</v>
      </c>
      <c r="I16" s="37">
        <v>0.27178258735557548</v>
      </c>
      <c r="J16" s="37">
        <v>0.25114397272132999</v>
      </c>
      <c r="K16" s="37">
        <v>0.13575699246202377</v>
      </c>
      <c r="L16" s="37">
        <v>5.3843972567496616E-2</v>
      </c>
      <c r="M16" s="36">
        <f t="shared" si="0"/>
        <v>0</v>
      </c>
      <c r="N16" s="36">
        <f t="shared" si="1"/>
        <v>78.963622436234033</v>
      </c>
      <c r="O16" s="36">
        <f t="shared" si="2"/>
        <v>74.653886848240191</v>
      </c>
      <c r="P16" s="36">
        <f t="shared" si="3"/>
        <v>68.984823143310422</v>
      </c>
      <c r="Q16" s="36">
        <f t="shared" si="4"/>
        <v>37.290053247075356</v>
      </c>
      <c r="R16" s="36">
        <f t="shared" si="5"/>
        <v>14.789990317719228</v>
      </c>
      <c r="S16" s="25">
        <f>VLOOKUP(A16,'Education graduates'!$A$3:$E$49,5,FALSE)</f>
        <v>0</v>
      </c>
      <c r="T16" s="25">
        <f>VLOOKUP(B16,'Edu updated'!B$2:C$48,2,FALSE)</f>
        <v>767</v>
      </c>
      <c r="U16" s="53">
        <f t="shared" si="18"/>
        <v>796.74238567486009</v>
      </c>
      <c r="V16" s="54">
        <f t="shared" si="19"/>
        <v>1322.7760506702364</v>
      </c>
      <c r="W16" s="54">
        <f t="shared" si="6"/>
        <v>1841.6684408362578</v>
      </c>
      <c r="X16" s="54">
        <f t="shared" si="7"/>
        <v>2353.5165039722419</v>
      </c>
      <c r="Y16" s="54">
        <f t="shared" si="8"/>
        <v>2858.4158717433411</v>
      </c>
      <c r="Z16" s="54">
        <f t="shared" si="9"/>
        <v>3356.4608775479819</v>
      </c>
      <c r="AA16" s="54">
        <f t="shared" si="10"/>
        <v>3847.7445741427459</v>
      </c>
      <c r="AB16" s="54">
        <f t="shared" si="11"/>
        <v>4332.3587510279767</v>
      </c>
      <c r="AC16" s="41">
        <v>0.1</v>
      </c>
      <c r="AD16" s="35">
        <f t="shared" si="12"/>
        <v>2.7923160240201255</v>
      </c>
      <c r="AE16" s="45">
        <f t="shared" si="13"/>
        <v>767</v>
      </c>
      <c r="AF16" s="34">
        <f>VLOOKUP(B16,Migration!A$2:B$189,2,FALSE)</f>
        <v>1</v>
      </c>
      <c r="AG16" s="34">
        <f t="shared" si="14"/>
        <v>0.05</v>
      </c>
      <c r="AH16" s="34" t="str">
        <f t="shared" si="15"/>
        <v>Increase</v>
      </c>
      <c r="AI16" s="62">
        <f t="shared" si="16"/>
        <v>3.6405684798176343E-3</v>
      </c>
      <c r="AJ16" s="65">
        <f t="shared" si="17"/>
        <v>0.1896009650295204</v>
      </c>
    </row>
    <row r="17" spans="1:36" x14ac:dyDescent="0.3">
      <c r="A17" s="28" t="s">
        <v>96</v>
      </c>
      <c r="B17" s="28" t="s">
        <v>5</v>
      </c>
      <c r="C17" s="28" t="s">
        <v>85</v>
      </c>
      <c r="D17" s="29">
        <v>172</v>
      </c>
      <c r="E17" s="29">
        <v>280</v>
      </c>
      <c r="F17" s="29">
        <v>298.81764752330793</v>
      </c>
      <c r="G17" s="37">
        <v>8.4136314403189787E-3</v>
      </c>
      <c r="H17" s="37">
        <v>0.4783415903533122</v>
      </c>
      <c r="I17" s="37">
        <v>0.34535536267218658</v>
      </c>
      <c r="J17" s="37">
        <v>0.1147456275792092</v>
      </c>
      <c r="K17" s="37">
        <v>4.184484163081776E-2</v>
      </c>
      <c r="L17" s="35">
        <v>0</v>
      </c>
      <c r="M17" s="36">
        <f t="shared" si="0"/>
        <v>2.514141554124258</v>
      </c>
      <c r="N17" s="36">
        <f t="shared" si="1"/>
        <v>142.93690874193459</v>
      </c>
      <c r="O17" s="36">
        <f t="shared" si="2"/>
        <v>103.19827703326163</v>
      </c>
      <c r="P17" s="36">
        <f t="shared" si="3"/>
        <v>34.288018496804895</v>
      </c>
      <c r="Q17" s="36">
        <f t="shared" si="4"/>
        <v>12.503977137106343</v>
      </c>
      <c r="R17" s="36">
        <f t="shared" si="5"/>
        <v>0</v>
      </c>
      <c r="S17" s="25">
        <f>VLOOKUP(A17,'Education graduates'!$A$3:$E$49,5,FALSE)</f>
        <v>45</v>
      </c>
      <c r="T17" s="25">
        <f>VLOOKUP(B17,'Edu updated'!B$2:C$48,2,FALSE)</f>
        <v>0</v>
      </c>
      <c r="U17" s="53">
        <f t="shared" si="18"/>
        <v>341.60715229616892</v>
      </c>
      <c r="V17" s="54">
        <f t="shared" si="19"/>
        <v>382.9672073502511</v>
      </c>
      <c r="W17" s="54">
        <f t="shared" si="6"/>
        <v>424.15419190897529</v>
      </c>
      <c r="X17" s="54">
        <f t="shared" si="7"/>
        <v>465.1688301830884</v>
      </c>
      <c r="Y17" s="54">
        <f t="shared" si="8"/>
        <v>506.01184335288895</v>
      </c>
      <c r="Z17" s="54">
        <f t="shared" si="9"/>
        <v>546.68394958090801</v>
      </c>
      <c r="AA17" s="54">
        <f t="shared" si="10"/>
        <v>587.18586402453673</v>
      </c>
      <c r="AB17" s="54">
        <f t="shared" si="11"/>
        <v>627.5182988486016</v>
      </c>
      <c r="AC17" s="41">
        <v>0.1</v>
      </c>
      <c r="AD17" s="35">
        <v>0.20599999999999999</v>
      </c>
      <c r="AE17" s="45">
        <f t="shared" si="13"/>
        <v>61.556435389801429</v>
      </c>
      <c r="AF17" s="34">
        <f>VLOOKUP(B17,Migration!A$2:B$189,2,FALSE)</f>
        <v>6</v>
      </c>
      <c r="AG17" s="34">
        <f t="shared" si="14"/>
        <v>0.05</v>
      </c>
      <c r="AH17" s="34" t="str">
        <f t="shared" si="15"/>
        <v>Increase</v>
      </c>
      <c r="AI17" s="62">
        <f t="shared" si="16"/>
        <v>2.0079135384840338E-2</v>
      </c>
      <c r="AJ17" s="65">
        <f t="shared" si="17"/>
        <v>4.184484163081776E-2</v>
      </c>
    </row>
    <row r="18" spans="1:36" x14ac:dyDescent="0.3">
      <c r="A18" s="28" t="s">
        <v>97</v>
      </c>
      <c r="B18" s="28" t="s">
        <v>12</v>
      </c>
      <c r="C18" s="28" t="s">
        <v>79</v>
      </c>
      <c r="D18" s="29">
        <v>0</v>
      </c>
      <c r="E18" s="29">
        <v>278</v>
      </c>
      <c r="F18" s="29">
        <v>687</v>
      </c>
      <c r="G18" s="35">
        <v>0</v>
      </c>
      <c r="H18" s="35">
        <v>0.14374225526641884</v>
      </c>
      <c r="I18" s="35">
        <v>0.85625774473358118</v>
      </c>
      <c r="J18" s="35">
        <v>0</v>
      </c>
      <c r="K18" s="35">
        <v>0</v>
      </c>
      <c r="L18" s="35">
        <v>0</v>
      </c>
      <c r="M18" s="36">
        <f t="shared" si="0"/>
        <v>0</v>
      </c>
      <c r="N18" s="36">
        <f t="shared" si="1"/>
        <v>98.750929368029745</v>
      </c>
      <c r="O18" s="36">
        <f t="shared" si="2"/>
        <v>588.24907063197031</v>
      </c>
      <c r="P18" s="36">
        <f t="shared" si="3"/>
        <v>0</v>
      </c>
      <c r="Q18" s="36">
        <f t="shared" si="4"/>
        <v>0</v>
      </c>
      <c r="R18" s="36">
        <f t="shared" si="5"/>
        <v>0</v>
      </c>
      <c r="S18" s="25">
        <f>VLOOKUP(A18,'Education graduates'!$A$3:$E$49,5,FALSE)</f>
        <v>0</v>
      </c>
      <c r="T18" s="25">
        <f>VLOOKUP(B18,'Edu updated'!B$2:C$48,2,FALSE)</f>
        <v>0</v>
      </c>
      <c r="U18" s="53">
        <f t="shared" si="18"/>
        <v>719.10119999999995</v>
      </c>
      <c r="V18" s="54">
        <f t="shared" si="19"/>
        <v>751.2023999999999</v>
      </c>
      <c r="W18" s="54">
        <f t="shared" si="6"/>
        <v>783.30359999999985</v>
      </c>
      <c r="X18" s="54">
        <f t="shared" si="7"/>
        <v>815.4047999999998</v>
      </c>
      <c r="Y18" s="54">
        <f t="shared" si="8"/>
        <v>847.50599999999974</v>
      </c>
      <c r="Z18" s="54">
        <f t="shared" si="9"/>
        <v>879.60719999999969</v>
      </c>
      <c r="AA18" s="54">
        <f t="shared" si="10"/>
        <v>911.70839999999964</v>
      </c>
      <c r="AB18" s="54">
        <f t="shared" si="11"/>
        <v>943.80959999999959</v>
      </c>
      <c r="AC18" s="41">
        <v>0.1</v>
      </c>
      <c r="AD18" s="35">
        <v>6.8000000000000005E-2</v>
      </c>
      <c r="AE18" s="45">
        <f t="shared" si="13"/>
        <v>46.716000000000001</v>
      </c>
      <c r="AF18" s="34">
        <f>VLOOKUP(B18,Migration!A$2:B$189,2,FALSE)</f>
        <v>12</v>
      </c>
      <c r="AG18" s="34">
        <f t="shared" si="14"/>
        <v>0.05</v>
      </c>
      <c r="AH18" s="34" t="str">
        <f t="shared" si="15"/>
        <v>Increase</v>
      </c>
      <c r="AI18" s="62">
        <f t="shared" si="16"/>
        <v>1.7467248908296942E-2</v>
      </c>
      <c r="AJ18" s="65">
        <f t="shared" si="17"/>
        <v>0</v>
      </c>
    </row>
    <row r="19" spans="1:36" x14ac:dyDescent="0.3">
      <c r="A19" s="28" t="s">
        <v>98</v>
      </c>
      <c r="B19" s="28" t="s">
        <v>32</v>
      </c>
      <c r="C19" s="33" t="s">
        <v>85</v>
      </c>
      <c r="D19" s="29">
        <v>0</v>
      </c>
      <c r="E19" s="29">
        <v>11263</v>
      </c>
      <c r="F19" s="29">
        <v>23741</v>
      </c>
      <c r="G19" s="37">
        <v>8.4136314403189787E-3</v>
      </c>
      <c r="H19" s="37">
        <v>0.4783415903533122</v>
      </c>
      <c r="I19" s="37">
        <v>0.34535536267218658</v>
      </c>
      <c r="J19" s="37">
        <v>0.1147456275792092</v>
      </c>
      <c r="K19" s="37">
        <v>4.184484163081776E-2</v>
      </c>
      <c r="L19" s="37">
        <v>1.1298946324155327E-2</v>
      </c>
      <c r="M19" s="36">
        <f t="shared" si="0"/>
        <v>199.74802402461287</v>
      </c>
      <c r="N19" s="36">
        <f t="shared" si="1"/>
        <v>11356.307696577986</v>
      </c>
      <c r="O19" s="36">
        <f t="shared" si="2"/>
        <v>8199.0816652003814</v>
      </c>
      <c r="P19" s="36">
        <f t="shared" si="3"/>
        <v>2724.1759443580054</v>
      </c>
      <c r="Q19" s="36">
        <f t="shared" si="4"/>
        <v>993.4383851572444</v>
      </c>
      <c r="R19" s="36">
        <f t="shared" si="5"/>
        <v>268.24828468177162</v>
      </c>
      <c r="S19" s="25">
        <f>VLOOKUP(A19,'Education graduates'!$A$3:$E$49,5,FALSE)</f>
        <v>2936</v>
      </c>
      <c r="T19" s="25">
        <f>VLOOKUP(B19,'Edu updated'!B$2:C$48,2,FALSE)</f>
        <v>3114</v>
      </c>
      <c r="U19" s="53">
        <f t="shared" si="18"/>
        <v>25611.30171531823</v>
      </c>
      <c r="V19" s="54">
        <f t="shared" si="19"/>
        <v>27642.68162889457</v>
      </c>
      <c r="W19" s="54">
        <f t="shared" si="6"/>
        <v>29665.561265393346</v>
      </c>
      <c r="X19" s="54">
        <f t="shared" si="7"/>
        <v>31679.976194089373</v>
      </c>
      <c r="Y19" s="54">
        <f t="shared" si="8"/>
        <v>33685.961835418399</v>
      </c>
      <c r="Z19" s="54">
        <f t="shared" si="9"/>
        <v>35683.553461599913</v>
      </c>
      <c r="AA19" s="54">
        <f t="shared" si="10"/>
        <v>37672.786197257366</v>
      </c>
      <c r="AB19" s="54">
        <f t="shared" si="11"/>
        <v>39653.695020035782</v>
      </c>
      <c r="AC19" s="41">
        <v>0.1</v>
      </c>
      <c r="AD19" s="35">
        <f t="shared" si="12"/>
        <v>0.13116549429257404</v>
      </c>
      <c r="AE19" s="45">
        <f t="shared" si="13"/>
        <v>3114.0000000000005</v>
      </c>
      <c r="AF19" s="34">
        <f>VLOOKUP(B19,Migration!A$2:B$189,2,FALSE)</f>
        <v>825</v>
      </c>
      <c r="AG19" s="34">
        <f t="shared" si="14"/>
        <v>0.05</v>
      </c>
      <c r="AH19" s="34" t="str">
        <f t="shared" si="15"/>
        <v>Increase</v>
      </c>
      <c r="AI19" s="62">
        <f t="shared" si="16"/>
        <v>3.475001053030622E-2</v>
      </c>
      <c r="AJ19" s="65">
        <f t="shared" si="17"/>
        <v>5.3143787954973085E-2</v>
      </c>
    </row>
    <row r="20" spans="1:36" x14ac:dyDescent="0.3">
      <c r="A20" s="28" t="s">
        <v>99</v>
      </c>
      <c r="B20" s="28" t="s">
        <v>21</v>
      </c>
      <c r="C20" s="28" t="s">
        <v>83</v>
      </c>
      <c r="D20" s="29">
        <v>0</v>
      </c>
      <c r="E20" s="29">
        <v>1368</v>
      </c>
      <c r="F20" s="29">
        <v>1265.3898201501661</v>
      </c>
      <c r="G20" s="35">
        <v>0</v>
      </c>
      <c r="H20" s="35">
        <v>0.21811785400175901</v>
      </c>
      <c r="I20" s="35">
        <v>0.22691292875989447</v>
      </c>
      <c r="J20" s="35">
        <v>0.33333333333333331</v>
      </c>
      <c r="K20" s="35">
        <v>0.19700967458223395</v>
      </c>
      <c r="L20" s="35">
        <v>2.4626209322779244E-2</v>
      </c>
      <c r="M20" s="36">
        <f t="shared" si="0"/>
        <v>0</v>
      </c>
      <c r="N20" s="36">
        <f t="shared" si="1"/>
        <v>276.00411204682604</v>
      </c>
      <c r="O20" s="36">
        <f t="shared" si="2"/>
        <v>287.13331011323032</v>
      </c>
      <c r="P20" s="36">
        <f t="shared" si="3"/>
        <v>421.79660671672201</v>
      </c>
      <c r="Q20" s="36">
        <f t="shared" si="4"/>
        <v>249.29403668745576</v>
      </c>
      <c r="R20" s="36">
        <f t="shared" si="5"/>
        <v>31.16175458593197</v>
      </c>
      <c r="S20" s="25">
        <f>VLOOKUP(A20,'Education graduates'!$A$3:$E$49,5,FALSE)</f>
        <v>62</v>
      </c>
      <c r="T20" s="25">
        <f>VLOOKUP(B20,'Edu updated'!B$2:C$48,2,FALSE)</f>
        <v>46</v>
      </c>
      <c r="U20" s="53">
        <f t="shared" si="18"/>
        <v>1242.2780655642341</v>
      </c>
      <c r="V20" s="54">
        <f t="shared" si="19"/>
        <v>1225.8539858204883</v>
      </c>
      <c r="W20" s="54">
        <f t="shared" si="6"/>
        <v>1209.7534763373055</v>
      </c>
      <c r="X20" s="54">
        <f t="shared" si="7"/>
        <v>1193.9701624675117</v>
      </c>
      <c r="Y20" s="54">
        <f t="shared" si="8"/>
        <v>1178.4977951506496</v>
      </c>
      <c r="Z20" s="54">
        <f t="shared" si="9"/>
        <v>1163.3302484387987</v>
      </c>
      <c r="AA20" s="54">
        <f t="shared" si="10"/>
        <v>1148.461517071139</v>
      </c>
      <c r="AB20" s="54">
        <f t="shared" si="11"/>
        <v>1133.8857140962987</v>
      </c>
      <c r="AC20" s="41">
        <v>0.1</v>
      </c>
      <c r="AD20" s="35">
        <f t="shared" si="12"/>
        <v>3.6352434062209463E-2</v>
      </c>
      <c r="AE20" s="45">
        <f t="shared" si="13"/>
        <v>46.000000000000007</v>
      </c>
      <c r="AF20" s="34">
        <f>VLOOKUP(B20,Migration!A$2:B$189,2,FALSE)</f>
        <v>483</v>
      </c>
      <c r="AG20" s="34">
        <f t="shared" si="14"/>
        <v>0.05</v>
      </c>
      <c r="AH20" s="34" t="str">
        <f t="shared" si="15"/>
        <v>Decrease</v>
      </c>
      <c r="AI20" s="62">
        <f t="shared" si="16"/>
        <v>0.38170055765319932</v>
      </c>
      <c r="AJ20" s="65">
        <f t="shared" si="17"/>
        <v>0.22163588390501321</v>
      </c>
    </row>
    <row r="21" spans="1:36" x14ac:dyDescent="0.3">
      <c r="A21" s="28" t="s">
        <v>100</v>
      </c>
      <c r="B21" s="28" t="s">
        <v>34</v>
      </c>
      <c r="C21" s="33" t="s">
        <v>85</v>
      </c>
      <c r="D21" s="29">
        <v>213</v>
      </c>
      <c r="E21" s="29">
        <v>298</v>
      </c>
      <c r="F21" s="29">
        <v>273.86722731906218</v>
      </c>
      <c r="G21" s="37">
        <v>8.4136314403189787E-3</v>
      </c>
      <c r="H21" s="37">
        <v>0.4783415903533122</v>
      </c>
      <c r="I21" s="37">
        <v>0.34535536267218658</v>
      </c>
      <c r="J21" s="37">
        <v>0.1147456275792092</v>
      </c>
      <c r="K21" s="37">
        <v>4.184484163081776E-2</v>
      </c>
      <c r="L21" s="37">
        <v>1.1298946324155327E-2</v>
      </c>
      <c r="M21" s="36">
        <f t="shared" si="0"/>
        <v>2.3042179142446462</v>
      </c>
      <c r="N21" s="36">
        <f t="shared" si="1"/>
        <v>131.00208506145228</v>
      </c>
      <c r="O21" s="36">
        <f t="shared" si="2"/>
        <v>94.581515614800878</v>
      </c>
      <c r="P21" s="36">
        <f t="shared" si="3"/>
        <v>31.425066872103734</v>
      </c>
      <c r="Q21" s="36">
        <f t="shared" si="4"/>
        <v>11.459930755037323</v>
      </c>
      <c r="R21" s="36">
        <f t="shared" si="5"/>
        <v>3.0944111014233289</v>
      </c>
      <c r="S21" s="25">
        <f>VLOOKUP(A21,'Education graduates'!$A$3:$E$49,5,FALSE)</f>
        <v>0</v>
      </c>
      <c r="T21" s="25">
        <f>VLOOKUP(B21,'Edu updated'!B$2:C$48,2,FALSE)</f>
        <v>23</v>
      </c>
      <c r="U21" s="53">
        <f t="shared" si="18"/>
        <v>286.22281621763892</v>
      </c>
      <c r="V21" s="54">
        <f t="shared" si="19"/>
        <v>300.47512137606356</v>
      </c>
      <c r="W21" s="54">
        <f t="shared" si="6"/>
        <v>314.66778798926538</v>
      </c>
      <c r="X21" s="54">
        <f t="shared" si="7"/>
        <v>328.80106561379233</v>
      </c>
      <c r="Y21" s="54">
        <f t="shared" si="8"/>
        <v>342.87520276192703</v>
      </c>
      <c r="Z21" s="54">
        <f t="shared" si="9"/>
        <v>356.8904469060563</v>
      </c>
      <c r="AA21" s="54">
        <f t="shared" si="10"/>
        <v>370.84704448302278</v>
      </c>
      <c r="AB21" s="54">
        <f t="shared" si="11"/>
        <v>384.74524089845795</v>
      </c>
      <c r="AC21" s="41">
        <v>0.1</v>
      </c>
      <c r="AD21" s="35">
        <f t="shared" si="12"/>
        <v>8.3982301296695219E-2</v>
      </c>
      <c r="AE21" s="45">
        <f t="shared" si="13"/>
        <v>23</v>
      </c>
      <c r="AF21" s="34">
        <f>VLOOKUP(B21,Migration!A$2:B$189,2,FALSE)</f>
        <v>13</v>
      </c>
      <c r="AG21" s="34">
        <f t="shared" si="14"/>
        <v>0.05</v>
      </c>
      <c r="AH21" s="34" t="str">
        <f t="shared" si="15"/>
        <v>Increase</v>
      </c>
      <c r="AI21" s="62">
        <f t="shared" si="16"/>
        <v>4.7468257254653819E-2</v>
      </c>
      <c r="AJ21" s="65">
        <f t="shared" si="17"/>
        <v>5.3143787954973085E-2</v>
      </c>
    </row>
    <row r="22" spans="1:36" x14ac:dyDescent="0.3">
      <c r="A22" s="28" t="s">
        <v>101</v>
      </c>
      <c r="B22" s="28" t="s">
        <v>6</v>
      </c>
      <c r="C22" s="28" t="s">
        <v>79</v>
      </c>
      <c r="D22" s="29">
        <v>2730</v>
      </c>
      <c r="E22" s="29">
        <v>4406</v>
      </c>
      <c r="F22" s="29">
        <v>4726</v>
      </c>
      <c r="G22" s="35">
        <v>4.5892611289582378E-4</v>
      </c>
      <c r="H22" s="35">
        <v>0.39352914180816889</v>
      </c>
      <c r="I22" s="35">
        <v>0.4456172556218449</v>
      </c>
      <c r="J22" s="35">
        <v>0.11748508490133089</v>
      </c>
      <c r="K22" s="35">
        <v>4.2221202386415788E-2</v>
      </c>
      <c r="L22" s="35">
        <v>6.8838916934373562E-4</v>
      </c>
      <c r="M22" s="36">
        <f t="shared" si="0"/>
        <v>2.1688848095456632</v>
      </c>
      <c r="N22" s="36">
        <f t="shared" si="1"/>
        <v>1859.8187241854062</v>
      </c>
      <c r="O22" s="36">
        <f t="shared" si="2"/>
        <v>2105.9871500688391</v>
      </c>
      <c r="P22" s="36">
        <f t="shared" si="3"/>
        <v>555.23451124368978</v>
      </c>
      <c r="Q22" s="36">
        <f t="shared" si="4"/>
        <v>199.53740247820102</v>
      </c>
      <c r="R22" s="36">
        <f t="shared" si="5"/>
        <v>3.2533272143184946</v>
      </c>
      <c r="S22" s="25">
        <f>VLOOKUP(A22,'Education graduates'!$A$3:$E$49,5,FALSE)</f>
        <v>0</v>
      </c>
      <c r="T22" s="25">
        <f>VLOOKUP(B22,'Edu updated'!B$2:C$48,2,FALSE)</f>
        <v>1566</v>
      </c>
      <c r="U22" s="53">
        <f t="shared" si="18"/>
        <v>5728.2966727856819</v>
      </c>
      <c r="V22" s="54">
        <f t="shared" si="19"/>
        <v>6709.6611154705706</v>
      </c>
      <c r="W22" s="54">
        <f t="shared" si="6"/>
        <v>7686.8821194805159</v>
      </c>
      <c r="X22" s="54">
        <f t="shared" si="7"/>
        <v>8659.9771789118058</v>
      </c>
      <c r="Y22" s="54">
        <f t="shared" si="8"/>
        <v>9628.963713998548</v>
      </c>
      <c r="Z22" s="54">
        <f t="shared" si="9"/>
        <v>10593.859071424531</v>
      </c>
      <c r="AA22" s="54">
        <f t="shared" si="10"/>
        <v>11554.680524633752</v>
      </c>
      <c r="AB22" s="54">
        <f t="shared" si="11"/>
        <v>12511.445274139658</v>
      </c>
      <c r="AC22" s="41">
        <v>0.1</v>
      </c>
      <c r="AD22" s="35">
        <f t="shared" si="12"/>
        <v>0.33135844265763859</v>
      </c>
      <c r="AE22" s="45">
        <f t="shared" si="13"/>
        <v>1566</v>
      </c>
      <c r="AF22" s="34">
        <f>VLOOKUP(B22,Migration!A$2:B$189,2,FALSE)</f>
        <v>1813</v>
      </c>
      <c r="AG22" s="34">
        <f t="shared" si="14"/>
        <v>0.05</v>
      </c>
      <c r="AH22" s="34" t="str">
        <f t="shared" si="15"/>
        <v>Increase</v>
      </c>
      <c r="AI22" s="62">
        <f t="shared" si="16"/>
        <v>0.38362251375370293</v>
      </c>
      <c r="AJ22" s="65">
        <f t="shared" si="17"/>
        <v>4.2909591555759526E-2</v>
      </c>
    </row>
    <row r="23" spans="1:36" x14ac:dyDescent="0.3">
      <c r="A23" s="28" t="s">
        <v>102</v>
      </c>
      <c r="B23" s="28" t="s">
        <v>33</v>
      </c>
      <c r="C23" s="33" t="s">
        <v>85</v>
      </c>
      <c r="D23" s="29">
        <v>1844</v>
      </c>
      <c r="E23" s="29">
        <v>2787</v>
      </c>
      <c r="F23" s="30">
        <v>2945</v>
      </c>
      <c r="G23" s="37">
        <v>8.4136314403189787E-3</v>
      </c>
      <c r="H23" s="37">
        <v>0.4783415903533122</v>
      </c>
      <c r="I23" s="37">
        <v>0.34535536267218658</v>
      </c>
      <c r="J23" s="37">
        <v>0.1147456275792092</v>
      </c>
      <c r="K23" s="37">
        <v>4.184484163081776E-2</v>
      </c>
      <c r="L23" s="37">
        <v>1.1298946324155327E-2</v>
      </c>
      <c r="M23" s="36">
        <f t="shared" si="0"/>
        <v>24.778144591739391</v>
      </c>
      <c r="N23" s="36">
        <f t="shared" si="1"/>
        <v>1408.7159835905045</v>
      </c>
      <c r="O23" s="36">
        <f t="shared" si="2"/>
        <v>1017.0715430695894</v>
      </c>
      <c r="P23" s="36">
        <f t="shared" si="3"/>
        <v>337.92587322077111</v>
      </c>
      <c r="Q23" s="36">
        <f t="shared" si="4"/>
        <v>123.23305860275831</v>
      </c>
      <c r="R23" s="36">
        <f t="shared" si="5"/>
        <v>33.275396924637434</v>
      </c>
      <c r="S23" s="25">
        <f>VLOOKUP(A23,'Education graduates'!$A$3:$E$49,5,FALSE)</f>
        <v>841</v>
      </c>
      <c r="T23" s="25">
        <f>VLOOKUP(B23,'Edu updated'!B$2:C$48,2,FALSE)</f>
        <v>767</v>
      </c>
      <c r="U23" s="53">
        <f>F23*(1-L23)+1*0.7*AE23-AG23*AF23</f>
        <v>3442.0246030753628</v>
      </c>
      <c r="V23" s="54">
        <f t="shared" si="19"/>
        <v>3957.9215056348562</v>
      </c>
      <c r="W23" s="54">
        <f t="shared" si="6"/>
        <v>4471.659645775806</v>
      </c>
      <c r="X23" s="54">
        <f t="shared" si="7"/>
        <v>4983.2480568053643</v>
      </c>
      <c r="Y23" s="54">
        <f t="shared" si="8"/>
        <v>5492.6957342309533</v>
      </c>
      <c r="Z23" s="54">
        <f t="shared" si="9"/>
        <v>6000.0116359184358</v>
      </c>
      <c r="AA23" s="54">
        <f t="shared" si="10"/>
        <v>6505.2046822496277</v>
      </c>
      <c r="AB23" s="54">
        <f t="shared" si="11"/>
        <v>7008.2837562791474</v>
      </c>
      <c r="AC23" s="41">
        <v>0.1</v>
      </c>
      <c r="AD23" s="35">
        <f t="shared" si="12"/>
        <v>0.26044142614601018</v>
      </c>
      <c r="AE23" s="45">
        <f t="shared" si="13"/>
        <v>767</v>
      </c>
      <c r="AF23" s="34">
        <f>VLOOKUP(B23,Migration!A$2:B$189,2,FALSE)</f>
        <v>132</v>
      </c>
      <c r="AG23" s="34">
        <f t="shared" si="14"/>
        <v>0.05</v>
      </c>
      <c r="AH23" s="34" t="str">
        <f t="shared" si="15"/>
        <v>Increase</v>
      </c>
      <c r="AI23" s="62">
        <f t="shared" si="16"/>
        <v>4.4821731748726654E-2</v>
      </c>
      <c r="AJ23" s="65">
        <f t="shared" si="17"/>
        <v>5.3143787954973085E-2</v>
      </c>
    </row>
    <row r="24" spans="1:36" x14ac:dyDescent="0.3">
      <c r="A24" s="28" t="s">
        <v>103</v>
      </c>
      <c r="B24" s="28" t="s">
        <v>25</v>
      </c>
      <c r="C24" s="28" t="s">
        <v>85</v>
      </c>
      <c r="D24" s="29">
        <v>354</v>
      </c>
      <c r="E24" s="29">
        <v>578</v>
      </c>
      <c r="F24" s="29">
        <v>530.87376425855507</v>
      </c>
      <c r="G24" s="35">
        <v>0</v>
      </c>
      <c r="H24" s="35">
        <v>0.52402745995423339</v>
      </c>
      <c r="I24" s="35">
        <v>0.32723112128146453</v>
      </c>
      <c r="J24" s="35">
        <v>9.3821510297482841E-2</v>
      </c>
      <c r="K24" s="35">
        <v>4.3478260869565216E-2</v>
      </c>
      <c r="L24" s="35">
        <v>1.1441647597254004E-2</v>
      </c>
      <c r="M24" s="36">
        <f t="shared" si="0"/>
        <v>0</v>
      </c>
      <c r="N24" s="36">
        <f t="shared" si="1"/>
        <v>278.19243024075308</v>
      </c>
      <c r="O24" s="36">
        <f t="shared" si="2"/>
        <v>173.71841713723884</v>
      </c>
      <c r="P24" s="36">
        <f t="shared" si="3"/>
        <v>49.807378340047499</v>
      </c>
      <c r="Q24" s="36">
        <f t="shared" si="4"/>
        <v>23.081468011241522</v>
      </c>
      <c r="R24" s="36">
        <f t="shared" si="5"/>
        <v>6.0740705292740849</v>
      </c>
      <c r="S24" s="25">
        <f>VLOOKUP(A24,'Education graduates'!$A$3:$E$49,5,FALSE)</f>
        <v>69</v>
      </c>
      <c r="T24" s="25">
        <f>VLOOKUP(B24,'Edu updated'!B$2:C$48,2,FALSE)</f>
        <v>0</v>
      </c>
      <c r="U24" s="53">
        <f t="shared" si="18"/>
        <v>601.20169053536461</v>
      </c>
      <c r="V24" s="54">
        <f t="shared" si="19"/>
        <v>674.98976694781618</v>
      </c>
      <c r="W24" s="54">
        <f t="shared" si="6"/>
        <v>748.45702563673535</v>
      </c>
      <c r="X24" s="54">
        <f t="shared" si="7"/>
        <v>821.60486146178971</v>
      </c>
      <c r="Y24" s="54">
        <f t="shared" si="8"/>
        <v>894.43466321803953</v>
      </c>
      <c r="Z24" s="54">
        <f t="shared" si="9"/>
        <v>966.94781366230563</v>
      </c>
      <c r="AA24" s="54">
        <f t="shared" si="10"/>
        <v>1039.1456895394226</v>
      </c>
      <c r="AB24" s="54">
        <f t="shared" si="11"/>
        <v>1111.0296616083783</v>
      </c>
      <c r="AC24" s="41">
        <v>0.1</v>
      </c>
      <c r="AD24" s="35">
        <v>0.20599999999999999</v>
      </c>
      <c r="AE24" s="45">
        <f t="shared" si="13"/>
        <v>109.35999543726234</v>
      </c>
      <c r="AF24" s="34">
        <f>VLOOKUP(B24,Migration!A$2:B$189,2,FALSE)</f>
        <v>3</v>
      </c>
      <c r="AG24" s="34">
        <f t="shared" si="14"/>
        <v>0.05</v>
      </c>
      <c r="AH24" s="34" t="str">
        <f t="shared" si="15"/>
        <v>Increase</v>
      </c>
      <c r="AI24" s="62">
        <f t="shared" si="16"/>
        <v>5.6510609526729027E-3</v>
      </c>
      <c r="AJ24" s="65">
        <f t="shared" si="17"/>
        <v>5.4919908466819219E-2</v>
      </c>
    </row>
    <row r="25" spans="1:36" x14ac:dyDescent="0.3">
      <c r="A25" s="28" t="s">
        <v>104</v>
      </c>
      <c r="B25" s="28" t="s">
        <v>7</v>
      </c>
      <c r="C25" s="28" t="s">
        <v>79</v>
      </c>
      <c r="D25" s="29">
        <v>8682</v>
      </c>
      <c r="E25" s="29">
        <v>8042</v>
      </c>
      <c r="F25" s="29">
        <v>12792</v>
      </c>
      <c r="G25" s="35">
        <v>9.1008372770294869E-4</v>
      </c>
      <c r="H25" s="35">
        <v>0.29122679286494357</v>
      </c>
      <c r="I25" s="35">
        <v>0.49126319621405168</v>
      </c>
      <c r="J25" s="35">
        <v>0.17127775755369495</v>
      </c>
      <c r="K25" s="35">
        <v>4.4230069166363309E-2</v>
      </c>
      <c r="L25" s="35">
        <v>1.0921004732435385E-3</v>
      </c>
      <c r="M25" s="36">
        <f t="shared" si="0"/>
        <v>11.64179104477612</v>
      </c>
      <c r="N25" s="36">
        <f t="shared" si="1"/>
        <v>3725.373134328358</v>
      </c>
      <c r="O25" s="36">
        <f t="shared" si="2"/>
        <v>6284.2388059701489</v>
      </c>
      <c r="P25" s="36">
        <f t="shared" si="3"/>
        <v>2190.9850746268658</v>
      </c>
      <c r="Q25" s="36">
        <f t="shared" si="4"/>
        <v>565.79104477611941</v>
      </c>
      <c r="R25" s="36">
        <f t="shared" si="5"/>
        <v>13.970149253731345</v>
      </c>
      <c r="S25" s="25">
        <f>VLOOKUP(A25,'Education graduates'!$A$3:$E$49,5,FALSE)</f>
        <v>0</v>
      </c>
      <c r="T25" s="25">
        <f>VLOOKUP(B25,'Edu updated'!B$2:C$48,2,FALSE)</f>
        <v>558</v>
      </c>
      <c r="U25" s="53">
        <f t="shared" si="18"/>
        <v>13148.179850746268</v>
      </c>
      <c r="V25" s="54">
        <f t="shared" si="19"/>
        <v>13460.175360325238</v>
      </c>
      <c r="W25" s="54">
        <f t="shared" si="6"/>
        <v>13770.790911607381</v>
      </c>
      <c r="X25" s="54">
        <f t="shared" si="7"/>
        <v>14080.032608157788</v>
      </c>
      <c r="Y25" s="54">
        <f t="shared" si="8"/>
        <v>14387.906526545441</v>
      </c>
      <c r="Z25" s="54">
        <f t="shared" si="9"/>
        <v>14694.418716462613</v>
      </c>
      <c r="AA25" s="54">
        <f t="shared" si="10"/>
        <v>14999.575200843748</v>
      </c>
      <c r="AB25" s="54">
        <f t="shared" si="11"/>
        <v>15303.38197598381</v>
      </c>
      <c r="AC25" s="41">
        <v>0.1</v>
      </c>
      <c r="AD25" s="35">
        <f t="shared" si="12"/>
        <v>4.3621013133208257E-2</v>
      </c>
      <c r="AE25" s="45">
        <f t="shared" si="13"/>
        <v>558</v>
      </c>
      <c r="AF25" s="34">
        <f>VLOOKUP(B25,Migration!A$2:B$189,2,FALSE)</f>
        <v>409</v>
      </c>
      <c r="AG25" s="34">
        <f t="shared" si="14"/>
        <v>0.05</v>
      </c>
      <c r="AH25" s="34" t="str">
        <f t="shared" si="15"/>
        <v>Increase</v>
      </c>
      <c r="AI25" s="62">
        <f t="shared" si="16"/>
        <v>3.1973108192620385E-2</v>
      </c>
      <c r="AJ25" s="65">
        <f t="shared" si="17"/>
        <v>4.5322169639606849E-2</v>
      </c>
    </row>
    <row r="26" spans="1:36" x14ac:dyDescent="0.3">
      <c r="A26" s="28" t="s">
        <v>105</v>
      </c>
      <c r="B26" s="28" t="s">
        <v>37</v>
      </c>
      <c r="C26" s="33" t="s">
        <v>79</v>
      </c>
      <c r="D26" s="29">
        <v>0</v>
      </c>
      <c r="E26" s="29">
        <v>998</v>
      </c>
      <c r="F26" s="29">
        <v>536.60977859778598</v>
      </c>
      <c r="G26" s="37">
        <v>9.6273049759095664E-3</v>
      </c>
      <c r="H26" s="37">
        <v>0.3275992964925577</v>
      </c>
      <c r="I26" s="37">
        <v>0.38621639847768657</v>
      </c>
      <c r="J26" s="37">
        <v>0.17590959830524627</v>
      </c>
      <c r="K26" s="37">
        <v>8.0800436018606592E-2</v>
      </c>
      <c r="L26" s="37">
        <v>1.9846965729993234E-2</v>
      </c>
      <c r="M26" s="36">
        <f t="shared" si="0"/>
        <v>5.1661059916161953</v>
      </c>
      <c r="N26" s="36">
        <f t="shared" si="1"/>
        <v>175.79298595966182</v>
      </c>
      <c r="O26" s="36">
        <f t="shared" si="2"/>
        <v>207.24749607794567</v>
      </c>
      <c r="P26" s="36">
        <f t="shared" si="3"/>
        <v>94.394810599803677</v>
      </c>
      <c r="Q26" s="36">
        <f t="shared" si="4"/>
        <v>43.358304082549054</v>
      </c>
      <c r="R26" s="36">
        <f t="shared" si="5"/>
        <v>10.650075886209514</v>
      </c>
      <c r="S26" s="25">
        <f>VLOOKUP(A26,'Education graduates'!$A$3:$E$49,5,FALSE)</f>
        <v>0</v>
      </c>
      <c r="T26" s="25">
        <f>VLOOKUP(B26,'Edu updated'!B$2:C$48,2,FALSE)</f>
        <v>8</v>
      </c>
      <c r="U26" s="53">
        <f t="shared" si="18"/>
        <v>531.45970271157648</v>
      </c>
      <c r="V26" s="54">
        <f t="shared" si="19"/>
        <v>532.66548514103499</v>
      </c>
      <c r="W26" s="54">
        <f t="shared" si="6"/>
        <v>533.86152479588918</v>
      </c>
      <c r="X26" s="54">
        <f t="shared" si="7"/>
        <v>535.04790039818261</v>
      </c>
      <c r="Y26" s="54">
        <f t="shared" si="8"/>
        <v>536.2246900338813</v>
      </c>
      <c r="Z26" s="54">
        <f t="shared" si="9"/>
        <v>537.39197115801335</v>
      </c>
      <c r="AA26" s="54">
        <f t="shared" si="10"/>
        <v>538.5498205997668</v>
      </c>
      <c r="AB26" s="54">
        <f t="shared" si="11"/>
        <v>539.6983145675465</v>
      </c>
      <c r="AC26" s="41">
        <v>0.1</v>
      </c>
      <c r="AD26" s="35">
        <f t="shared" si="12"/>
        <v>1.4908412628828319E-2</v>
      </c>
      <c r="AE26" s="45">
        <f t="shared" si="13"/>
        <v>8</v>
      </c>
      <c r="AF26" s="34">
        <f>VLOOKUP(B26,Migration!A$2:B$189,2,FALSE)</f>
        <v>2</v>
      </c>
      <c r="AG26" s="34">
        <f t="shared" si="14"/>
        <v>0.05</v>
      </c>
      <c r="AH26" s="34" t="str">
        <f t="shared" si="15"/>
        <v>Increase</v>
      </c>
      <c r="AI26" s="62">
        <f t="shared" si="16"/>
        <v>3.7271031572070797E-3</v>
      </c>
      <c r="AJ26" s="65">
        <f t="shared" si="17"/>
        <v>0.10064740174859982</v>
      </c>
    </row>
    <row r="27" spans="1:36" x14ac:dyDescent="0.3">
      <c r="A27" s="28" t="s">
        <v>106</v>
      </c>
      <c r="B27" s="28" t="s">
        <v>36</v>
      </c>
      <c r="C27" s="33" t="s">
        <v>85</v>
      </c>
      <c r="D27" s="29">
        <v>168</v>
      </c>
      <c r="E27" s="29">
        <v>693</v>
      </c>
      <c r="F27" s="29">
        <v>954</v>
      </c>
      <c r="G27" s="37">
        <v>8.4136314403189787E-3</v>
      </c>
      <c r="H27" s="37">
        <v>0.4783415903533122</v>
      </c>
      <c r="I27" s="37">
        <v>0.34535536267218658</v>
      </c>
      <c r="J27" s="37">
        <v>0.1147456275792092</v>
      </c>
      <c r="K27" s="37">
        <v>4.184484163081776E-2</v>
      </c>
      <c r="L27" s="37">
        <v>1.1298946324155327E-2</v>
      </c>
      <c r="M27" s="36">
        <f t="shared" si="0"/>
        <v>8.0266043940643055</v>
      </c>
      <c r="N27" s="36">
        <f t="shared" si="1"/>
        <v>456.33787719705981</v>
      </c>
      <c r="O27" s="36">
        <f t="shared" si="2"/>
        <v>329.46901598926598</v>
      </c>
      <c r="P27" s="36">
        <f t="shared" si="3"/>
        <v>109.46732871056557</v>
      </c>
      <c r="Q27" s="36">
        <f t="shared" si="4"/>
        <v>39.919978915800144</v>
      </c>
      <c r="R27" s="36">
        <f t="shared" si="5"/>
        <v>10.779194793244182</v>
      </c>
      <c r="S27" s="25">
        <f>VLOOKUP(A27,'Education graduates'!$A$3:$E$49,5,FALSE)</f>
        <v>62</v>
      </c>
      <c r="T27" s="25">
        <f>VLOOKUP(B27,'Edu updated'!B$2:C$48,2,FALSE)</f>
        <v>29</v>
      </c>
      <c r="U27" s="53">
        <f t="shared" si="18"/>
        <v>960.47080520675581</v>
      </c>
      <c r="V27" s="54">
        <f t="shared" si="19"/>
        <v>973.70173033326569</v>
      </c>
      <c r="W27" s="54">
        <f t="shared" si="6"/>
        <v>986.87729086312083</v>
      </c>
      <c r="X27" s="54">
        <f t="shared" si="7"/>
        <v>999.99771846859903</v>
      </c>
      <c r="Y27" s="54">
        <f t="shared" si="8"/>
        <v>1013.0632438525492</v>
      </c>
      <c r="Z27" s="54">
        <f t="shared" si="9"/>
        <v>1026.074096752448</v>
      </c>
      <c r="AA27" s="54">
        <f t="shared" si="10"/>
        <v>1039.030505944439</v>
      </c>
      <c r="AB27" s="54">
        <f t="shared" si="11"/>
        <v>1051.9326992473557</v>
      </c>
      <c r="AC27" s="41">
        <v>0.1</v>
      </c>
      <c r="AD27" s="35">
        <f t="shared" si="12"/>
        <v>3.0398322851153039E-2</v>
      </c>
      <c r="AE27" s="45">
        <f t="shared" si="13"/>
        <v>29</v>
      </c>
      <c r="AF27" s="34">
        <f>VLOOKUP(B27,Migration!A$2:B$189,2,FALSE)</f>
        <v>61</v>
      </c>
      <c r="AG27" s="34">
        <f t="shared" si="14"/>
        <v>0.05</v>
      </c>
      <c r="AH27" s="34" t="str">
        <f t="shared" si="15"/>
        <v>Increase</v>
      </c>
      <c r="AI27" s="62">
        <f t="shared" si="16"/>
        <v>6.3941299790356398E-2</v>
      </c>
      <c r="AJ27" s="65">
        <f t="shared" si="17"/>
        <v>5.3143787954973085E-2</v>
      </c>
    </row>
    <row r="28" spans="1:36" x14ac:dyDescent="0.3">
      <c r="A28" s="28" t="s">
        <v>107</v>
      </c>
      <c r="B28" s="28" t="s">
        <v>8</v>
      </c>
      <c r="C28" s="33" t="s">
        <v>85</v>
      </c>
      <c r="D28" s="29">
        <v>3523</v>
      </c>
      <c r="E28" s="29">
        <v>5230</v>
      </c>
      <c r="F28" s="29">
        <v>5230</v>
      </c>
      <c r="G28" s="37">
        <v>8.4136314403189787E-3</v>
      </c>
      <c r="H28" s="37">
        <v>0.4783415903533122</v>
      </c>
      <c r="I28" s="37">
        <v>0.34535536267218658</v>
      </c>
      <c r="J28" s="37">
        <v>0.1147456275792092</v>
      </c>
      <c r="K28" s="37">
        <v>4.184484163081776E-2</v>
      </c>
      <c r="L28" s="37">
        <v>1.1298946324155327E-2</v>
      </c>
      <c r="M28" s="36">
        <f t="shared" si="0"/>
        <v>44.003292432868257</v>
      </c>
      <c r="N28" s="36">
        <f t="shared" si="1"/>
        <v>2501.7265175478228</v>
      </c>
      <c r="O28" s="36">
        <f t="shared" si="2"/>
        <v>1806.2085467755358</v>
      </c>
      <c r="P28" s="36">
        <f t="shared" si="3"/>
        <v>600.11963223926409</v>
      </c>
      <c r="Q28" s="36">
        <f t="shared" si="4"/>
        <v>218.84852172917689</v>
      </c>
      <c r="R28" s="36">
        <f t="shared" si="5"/>
        <v>59.09348927533236</v>
      </c>
      <c r="S28" s="25">
        <f>VLOOKUP(A28,'Education graduates'!$A$3:$E$49,5,FALSE)</f>
        <v>404</v>
      </c>
      <c r="T28" s="25">
        <f>VLOOKUP(B28,'Edu updated'!B$2:C$48,2,FALSE)</f>
        <v>316</v>
      </c>
      <c r="U28" s="53">
        <f t="shared" si="18"/>
        <v>5361.9065107246679</v>
      </c>
      <c r="V28" s="54">
        <f t="shared" si="19"/>
        <v>5530.4696978466154</v>
      </c>
      <c r="W28" s="54">
        <f t="shared" si="6"/>
        <v>5698.3275349815722</v>
      </c>
      <c r="X28" s="54">
        <f t="shared" si="7"/>
        <v>5865.4829736553884</v>
      </c>
      <c r="Y28" s="54">
        <f t="shared" si="8"/>
        <v>6031.9389530433018</v>
      </c>
      <c r="Z28" s="54">
        <f t="shared" si="9"/>
        <v>6197.6984000216162</v>
      </c>
      <c r="AA28" s="54">
        <f t="shared" si="10"/>
        <v>6362.7642292191686</v>
      </c>
      <c r="AB28" s="54">
        <f t="shared" si="11"/>
        <v>6527.1393430685775</v>
      </c>
      <c r="AC28" s="41">
        <v>0.1</v>
      </c>
      <c r="AD28" s="35">
        <f t="shared" si="12"/>
        <v>6.0420650095602296E-2</v>
      </c>
      <c r="AE28" s="45">
        <f t="shared" si="13"/>
        <v>316</v>
      </c>
      <c r="AF28" s="34">
        <f>VLOOKUP(B28,Migration!A$2:B$189,2,FALSE)</f>
        <v>604</v>
      </c>
      <c r="AG28" s="34">
        <f t="shared" si="14"/>
        <v>0.05</v>
      </c>
      <c r="AH28" s="34" t="str">
        <f t="shared" si="15"/>
        <v>Increase</v>
      </c>
      <c r="AI28" s="62">
        <f t="shared" si="16"/>
        <v>0.11548757170172085</v>
      </c>
      <c r="AJ28" s="65">
        <f t="shared" si="17"/>
        <v>5.3143787954973085E-2</v>
      </c>
    </row>
    <row r="29" spans="1:36" x14ac:dyDescent="0.3">
      <c r="A29" s="28" t="s">
        <v>108</v>
      </c>
      <c r="B29" s="28" t="s">
        <v>10</v>
      </c>
      <c r="C29" s="28" t="s">
        <v>85</v>
      </c>
      <c r="D29" s="29">
        <v>200</v>
      </c>
      <c r="E29" s="29">
        <v>2760</v>
      </c>
      <c r="F29" s="29">
        <v>1103.5637751855782</v>
      </c>
      <c r="G29" s="35">
        <v>5.8653846153846154E-2</v>
      </c>
      <c r="H29" s="35">
        <v>0.37692307692307692</v>
      </c>
      <c r="I29" s="35">
        <v>0.31826923076923075</v>
      </c>
      <c r="J29" s="35">
        <v>0.2048076923076923</v>
      </c>
      <c r="K29" s="35">
        <v>2.8846153846153848E-2</v>
      </c>
      <c r="L29" s="35">
        <v>1.2500000000000001E-2</v>
      </c>
      <c r="M29" s="36">
        <f t="shared" si="0"/>
        <v>64.72825989069257</v>
      </c>
      <c r="N29" s="36">
        <f t="shared" si="1"/>
        <v>415.95865372379484</v>
      </c>
      <c r="O29" s="36">
        <f t="shared" si="2"/>
        <v>351.23039383310226</v>
      </c>
      <c r="P29" s="36">
        <f t="shared" si="3"/>
        <v>226.01835011012321</v>
      </c>
      <c r="Q29" s="36">
        <f t="shared" si="4"/>
        <v>31.833570438045527</v>
      </c>
      <c r="R29" s="36">
        <f t="shared" si="5"/>
        <v>13.794547189819728</v>
      </c>
      <c r="S29" s="25">
        <f>VLOOKUP(A29,'Education graduates'!$A$3:$E$49,5,FALSE)</f>
        <v>101</v>
      </c>
      <c r="T29" s="25">
        <f>VLOOKUP(B29,'Edu updated'!B$2:C$48,2,FALSE)</f>
        <v>115</v>
      </c>
      <c r="U29" s="53">
        <f t="shared" si="18"/>
        <v>1167.8692279957584</v>
      </c>
      <c r="V29" s="54">
        <f t="shared" si="19"/>
        <v>1242.6003744534628</v>
      </c>
      <c r="W29" s="54">
        <f t="shared" si="6"/>
        <v>1317.1159502963853</v>
      </c>
      <c r="X29" s="54">
        <f t="shared" si="7"/>
        <v>1391.4165773628381</v>
      </c>
      <c r="Y29" s="54">
        <f t="shared" si="8"/>
        <v>1465.5028756973684</v>
      </c>
      <c r="Z29" s="54">
        <f t="shared" si="9"/>
        <v>1539.3754635559335</v>
      </c>
      <c r="AA29" s="54">
        <f t="shared" si="10"/>
        <v>1613.0349574110605</v>
      </c>
      <c r="AB29" s="54">
        <f t="shared" si="11"/>
        <v>1686.48197195699</v>
      </c>
      <c r="AC29" s="41">
        <v>0.1</v>
      </c>
      <c r="AD29" s="35">
        <f t="shared" si="12"/>
        <v>0.10420784243362945</v>
      </c>
      <c r="AE29" s="45">
        <f t="shared" si="13"/>
        <v>115</v>
      </c>
      <c r="AF29" s="34">
        <f>VLOOKUP(B29,Migration!A$2:B$189,2,FALSE)</f>
        <v>48</v>
      </c>
      <c r="AG29" s="34">
        <f t="shared" si="14"/>
        <v>0.05</v>
      </c>
      <c r="AH29" s="34" t="str">
        <f t="shared" si="15"/>
        <v>Increase</v>
      </c>
      <c r="AI29" s="62">
        <f t="shared" si="16"/>
        <v>4.3495447276645338E-2</v>
      </c>
      <c r="AJ29" s="65">
        <f t="shared" si="17"/>
        <v>4.1346153846153852E-2</v>
      </c>
    </row>
    <row r="30" spans="1:36" x14ac:dyDescent="0.3">
      <c r="A30" s="28" t="s">
        <v>109</v>
      </c>
      <c r="B30" s="28" t="s">
        <v>38</v>
      </c>
      <c r="C30" s="33" t="s">
        <v>85</v>
      </c>
      <c r="D30" s="29">
        <v>1971</v>
      </c>
      <c r="E30" s="29">
        <v>2866</v>
      </c>
      <c r="F30" s="29">
        <v>4402</v>
      </c>
      <c r="G30" s="37">
        <v>8.4136314403189787E-3</v>
      </c>
      <c r="H30" s="37">
        <v>0.4783415903533122</v>
      </c>
      <c r="I30" s="37">
        <v>0.34535536267218658</v>
      </c>
      <c r="J30" s="37">
        <v>0.1147456275792092</v>
      </c>
      <c r="K30" s="37">
        <v>4.184484163081776E-2</v>
      </c>
      <c r="L30" s="37">
        <v>1.1298946324155327E-2</v>
      </c>
      <c r="M30" s="36">
        <f t="shared" si="0"/>
        <v>37.036805600284147</v>
      </c>
      <c r="N30" s="36">
        <f t="shared" si="1"/>
        <v>2105.6596807352803</v>
      </c>
      <c r="O30" s="36">
        <f t="shared" si="2"/>
        <v>1520.2543064829654</v>
      </c>
      <c r="P30" s="36">
        <f t="shared" si="3"/>
        <v>505.11025260367887</v>
      </c>
      <c r="Q30" s="36">
        <f t="shared" si="4"/>
        <v>184.20099285885979</v>
      </c>
      <c r="R30" s="36">
        <f t="shared" si="5"/>
        <v>49.73796171893175</v>
      </c>
      <c r="S30" s="25">
        <f>VLOOKUP(A30,'Education graduates'!$A$3:$E$49,5,FALSE)</f>
        <v>0</v>
      </c>
      <c r="T30" s="25">
        <f>VLOOKUP(B30,'Edu updated'!B$2:C$48,2,FALSE)</f>
        <v>0</v>
      </c>
      <c r="U30" s="53">
        <f t="shared" si="18"/>
        <v>4977.3804382810686</v>
      </c>
      <c r="V30" s="54">
        <f t="shared" si="19"/>
        <v>5581.6710686634488</v>
      </c>
      <c r="W30" s="54">
        <f t="shared" si="6"/>
        <v>6183.4330544730947</v>
      </c>
      <c r="X30" s="54">
        <f t="shared" si="7"/>
        <v>6782.6769767831756</v>
      </c>
      <c r="Y30" s="54">
        <f t="shared" si="8"/>
        <v>7379.413372390527</v>
      </c>
      <c r="Z30" s="54">
        <f t="shared" si="9"/>
        <v>7973.6527340009252</v>
      </c>
      <c r="AA30" s="54">
        <f t="shared" si="10"/>
        <v>8565.4055104135859</v>
      </c>
      <c r="AB30" s="54">
        <f t="shared" si="11"/>
        <v>9154.6821067048859</v>
      </c>
      <c r="AC30" s="41">
        <v>0.1</v>
      </c>
      <c r="AD30" s="35">
        <v>0.20599999999999999</v>
      </c>
      <c r="AE30" s="45">
        <f t="shared" si="13"/>
        <v>906.8119999999999</v>
      </c>
      <c r="AF30" s="34">
        <f>VLOOKUP(B30,Migration!A$2:B$189,2,FALSE)</f>
        <v>193</v>
      </c>
      <c r="AG30" s="34">
        <f t="shared" si="14"/>
        <v>0.05</v>
      </c>
      <c r="AH30" s="34" t="str">
        <f t="shared" si="15"/>
        <v>Increase</v>
      </c>
      <c r="AI30" s="62">
        <f t="shared" si="16"/>
        <v>4.3843707405724672E-2</v>
      </c>
      <c r="AJ30" s="65">
        <f t="shared" si="17"/>
        <v>5.3143787954973085E-2</v>
      </c>
    </row>
    <row r="31" spans="1:36" x14ac:dyDescent="0.3">
      <c r="A31" s="28" t="s">
        <v>110</v>
      </c>
      <c r="B31" s="28" t="s">
        <v>39</v>
      </c>
      <c r="C31" s="33" t="s">
        <v>79</v>
      </c>
      <c r="D31" s="29">
        <v>622</v>
      </c>
      <c r="E31" s="29">
        <v>1626</v>
      </c>
      <c r="F31" s="29">
        <v>1273.0346943092873</v>
      </c>
      <c r="G31" s="37">
        <v>9.6273049759095664E-3</v>
      </c>
      <c r="H31" s="37">
        <v>0.3275992964925577</v>
      </c>
      <c r="I31" s="37">
        <v>0.38621639847768657</v>
      </c>
      <c r="J31" s="37">
        <v>0.17590959830524627</v>
      </c>
      <c r="K31" s="37">
        <v>8.0800436018606592E-2</v>
      </c>
      <c r="L31" s="37">
        <v>1.9846965729993234E-2</v>
      </c>
      <c r="M31" s="36">
        <f t="shared" si="0"/>
        <v>12.255893247029315</v>
      </c>
      <c r="N31" s="36">
        <f t="shared" si="1"/>
        <v>417.04527026634076</v>
      </c>
      <c r="O31" s="36">
        <f t="shared" si="2"/>
        <v>491.66687477327559</v>
      </c>
      <c r="P31" s="36">
        <f t="shared" si="3"/>
        <v>223.9390217045887</v>
      </c>
      <c r="Q31" s="36">
        <f t="shared" si="4"/>
        <v>102.86175836700397</v>
      </c>
      <c r="R31" s="36">
        <f t="shared" si="5"/>
        <v>25.265875951048837</v>
      </c>
      <c r="S31" s="25">
        <f>VLOOKUP(A31,'Education graduates'!$A$3:$E$49,5,FALSE)</f>
        <v>87</v>
      </c>
      <c r="T31" s="25">
        <f>VLOOKUP(B31,'Edu updated'!B$2:C$48,2,FALSE)</f>
        <v>0</v>
      </c>
      <c r="U31" s="53">
        <f t="shared" si="18"/>
        <v>1308.2652698073605</v>
      </c>
      <c r="V31" s="54">
        <f t="shared" si="19"/>
        <v>1358.1908808336391</v>
      </c>
      <c r="W31" s="54">
        <f t="shared" si="6"/>
        <v>1407.7130907459759</v>
      </c>
      <c r="X31" s="54">
        <f t="shared" si="7"/>
        <v>1456.8351590429606</v>
      </c>
      <c r="Y31" s="54">
        <f t="shared" si="8"/>
        <v>1505.560318886292</v>
      </c>
      <c r="Z31" s="54">
        <f t="shared" si="9"/>
        <v>1553.8917773135815</v>
      </c>
      <c r="AA31" s="54">
        <f t="shared" si="10"/>
        <v>1601.8327154494373</v>
      </c>
      <c r="AB31" s="54">
        <f t="shared" si="11"/>
        <v>1649.3862887148412</v>
      </c>
      <c r="AC31" s="41">
        <v>0.1</v>
      </c>
      <c r="AD31" s="35">
        <v>6.8000000000000005E-2</v>
      </c>
      <c r="AE31" s="45">
        <f t="shared" si="13"/>
        <v>86.566359213031546</v>
      </c>
      <c r="AF31" s="34">
        <f>VLOOKUP(B31,Migration!A$2:B$189,2,FALSE)</f>
        <v>2</v>
      </c>
      <c r="AG31" s="34">
        <f t="shared" si="14"/>
        <v>0.05</v>
      </c>
      <c r="AH31" s="34" t="str">
        <f t="shared" si="15"/>
        <v>Increase</v>
      </c>
      <c r="AI31" s="62">
        <f t="shared" si="16"/>
        <v>1.5710490915451002E-3</v>
      </c>
      <c r="AJ31" s="65">
        <f t="shared" si="17"/>
        <v>0.10064740174859982</v>
      </c>
    </row>
    <row r="32" spans="1:36" x14ac:dyDescent="0.3">
      <c r="A32" s="28" t="s">
        <v>111</v>
      </c>
      <c r="B32" s="28" t="s">
        <v>40</v>
      </c>
      <c r="C32" s="33" t="s">
        <v>83</v>
      </c>
      <c r="D32" s="29">
        <v>2046</v>
      </c>
      <c r="E32" s="29">
        <v>2395</v>
      </c>
      <c r="F32" s="29">
        <v>1833.6554988586008</v>
      </c>
      <c r="G32" s="37">
        <v>0</v>
      </c>
      <c r="H32" s="37">
        <v>0.28747247489357414</v>
      </c>
      <c r="I32" s="37">
        <v>0.27178258735557548</v>
      </c>
      <c r="J32" s="37">
        <v>0.25114397272132999</v>
      </c>
      <c r="K32" s="37">
        <v>0.13575699246202377</v>
      </c>
      <c r="L32" s="37">
        <v>5.3843972567496616E-2</v>
      </c>
      <c r="M32" s="36">
        <f t="shared" si="0"/>
        <v>0</v>
      </c>
      <c r="N32" s="36">
        <f t="shared" si="1"/>
        <v>527.12548435909332</v>
      </c>
      <c r="O32" s="36">
        <f t="shared" si="2"/>
        <v>498.35563579856898</v>
      </c>
      <c r="P32" s="36">
        <f t="shared" si="3"/>
        <v>460.51152658566116</v>
      </c>
      <c r="Q32" s="36">
        <f t="shared" si="4"/>
        <v>248.93155573649551</v>
      </c>
      <c r="R32" s="36">
        <f t="shared" si="5"/>
        <v>98.731296378781821</v>
      </c>
      <c r="S32" s="25">
        <f>VLOOKUP(A32,'Education graduates'!$A$3:$E$49,5,FALSE)</f>
        <v>0</v>
      </c>
      <c r="T32" s="25">
        <f>VLOOKUP(B32,'Edu updated'!B$2:C$48,2,FALSE)</f>
        <v>432</v>
      </c>
      <c r="U32" s="53">
        <f t="shared" si="18"/>
        <v>2030.9242024798191</v>
      </c>
      <c r="V32" s="54">
        <f t="shared" si="19"/>
        <v>2299.3529863151193</v>
      </c>
      <c r="W32" s="54">
        <f t="shared" si="6"/>
        <v>2564.1376617120482</v>
      </c>
      <c r="X32" s="54">
        <f t="shared" si="7"/>
        <v>2825.3276999907848</v>
      </c>
      <c r="Y32" s="54">
        <f t="shared" si="8"/>
        <v>3082.9719008637453</v>
      </c>
      <c r="Z32" s="54">
        <f t="shared" si="9"/>
        <v>3337.1184015531262</v>
      </c>
      <c r="AA32" s="54">
        <f t="shared" si="10"/>
        <v>3587.8146857846732</v>
      </c>
      <c r="AB32" s="54">
        <f t="shared" si="11"/>
        <v>3835.1075926593526</v>
      </c>
      <c r="AC32" s="41">
        <v>0.1</v>
      </c>
      <c r="AD32" s="35">
        <f t="shared" si="12"/>
        <v>0.23559496332266769</v>
      </c>
      <c r="AE32" s="45">
        <f t="shared" si="13"/>
        <v>432</v>
      </c>
      <c r="AF32" s="34">
        <f>VLOOKUP(B32,Migration!A$2:B$189,2,FALSE)</f>
        <v>128</v>
      </c>
      <c r="AG32" s="34">
        <f t="shared" si="14"/>
        <v>0.05</v>
      </c>
      <c r="AH32" s="34" t="str">
        <f t="shared" si="15"/>
        <v>Increase</v>
      </c>
      <c r="AI32" s="62">
        <f t="shared" si="16"/>
        <v>6.9805915058568202E-2</v>
      </c>
      <c r="AJ32" s="65">
        <f t="shared" si="17"/>
        <v>0.1896009650295204</v>
      </c>
    </row>
    <row r="33" spans="1:36" x14ac:dyDescent="0.3">
      <c r="A33" s="28" t="s">
        <v>112</v>
      </c>
      <c r="B33" s="28" t="s">
        <v>9</v>
      </c>
      <c r="C33" s="28" t="s">
        <v>85</v>
      </c>
      <c r="D33" s="29">
        <v>1452</v>
      </c>
      <c r="E33" s="29">
        <v>2473</v>
      </c>
      <c r="F33" s="29">
        <v>5719</v>
      </c>
      <c r="G33" s="35">
        <v>2.5575447570332483E-3</v>
      </c>
      <c r="H33" s="35">
        <v>0.33418584825234443</v>
      </c>
      <c r="I33" s="35">
        <v>0.38235294117647056</v>
      </c>
      <c r="J33" s="35">
        <v>0.17732310315430519</v>
      </c>
      <c r="K33" s="35">
        <v>8.2267689684569476E-2</v>
      </c>
      <c r="L33" s="35">
        <v>2.1312872975277068E-2</v>
      </c>
      <c r="M33" s="36">
        <f t="shared" si="0"/>
        <v>14.626598465473148</v>
      </c>
      <c r="N33" s="36">
        <f t="shared" si="1"/>
        <v>1911.2088661551577</v>
      </c>
      <c r="O33" s="36">
        <f t="shared" si="2"/>
        <v>2186.6764705882351</v>
      </c>
      <c r="P33" s="36">
        <f t="shared" si="3"/>
        <v>1014.1108269394714</v>
      </c>
      <c r="Q33" s="36">
        <f t="shared" si="4"/>
        <v>470.48891730605283</v>
      </c>
      <c r="R33" s="36">
        <f t="shared" si="5"/>
        <v>121.88832054560955</v>
      </c>
      <c r="S33" s="25">
        <f>VLOOKUP(A33,'Education graduates'!$A$3:$E$49,5,FALSE)</f>
        <v>819</v>
      </c>
      <c r="T33" s="25">
        <f>VLOOKUP(B33,'Edu updated'!B$2:C$48,2,FALSE)</f>
        <v>819</v>
      </c>
      <c r="U33" s="53">
        <f t="shared" si="18"/>
        <v>6166.8116794543903</v>
      </c>
      <c r="V33" s="54">
        <f t="shared" si="19"/>
        <v>6685.7787444955366</v>
      </c>
      <c r="W33" s="54">
        <f t="shared" si="6"/>
        <v>7200.4763873903512</v>
      </c>
      <c r="X33" s="54">
        <f t="shared" si="7"/>
        <v>7710.9397316884606</v>
      </c>
      <c r="Y33" s="54">
        <f t="shared" si="8"/>
        <v>8217.2036119861641</v>
      </c>
      <c r="Z33" s="54">
        <f t="shared" si="9"/>
        <v>8719.3025763035839</v>
      </c>
      <c r="AA33" s="54">
        <f t="shared" si="10"/>
        <v>9217.2708884422609</v>
      </c>
      <c r="AB33" s="54">
        <f t="shared" si="11"/>
        <v>9711.1425303233609</v>
      </c>
      <c r="AC33" s="41">
        <v>0.1</v>
      </c>
      <c r="AD33" s="35">
        <f t="shared" si="12"/>
        <v>0.14320685434516525</v>
      </c>
      <c r="AE33" s="45">
        <f t="shared" si="13"/>
        <v>819.00000000000011</v>
      </c>
      <c r="AF33" s="34">
        <f>VLOOKUP(B33,Migration!A$2:B$189,2,FALSE)</f>
        <v>72</v>
      </c>
      <c r="AG33" s="34">
        <f t="shared" si="14"/>
        <v>0.05</v>
      </c>
      <c r="AH33" s="34" t="str">
        <f t="shared" si="15"/>
        <v>Increase</v>
      </c>
      <c r="AI33" s="62">
        <f t="shared" si="16"/>
        <v>1.2589613568805735E-2</v>
      </c>
      <c r="AJ33" s="65">
        <f t="shared" si="17"/>
        <v>0.10358056265984654</v>
      </c>
    </row>
    <row r="34" spans="1:36" x14ac:dyDescent="0.3">
      <c r="A34" s="28" t="s">
        <v>113</v>
      </c>
      <c r="B34" s="28" t="s">
        <v>41</v>
      </c>
      <c r="C34" s="33" t="s">
        <v>83</v>
      </c>
      <c r="D34" s="29">
        <v>0</v>
      </c>
      <c r="E34" s="29">
        <v>1445</v>
      </c>
      <c r="F34" s="29">
        <v>1597</v>
      </c>
      <c r="G34" s="37">
        <v>0</v>
      </c>
      <c r="H34" s="37">
        <v>0.28747247489357414</v>
      </c>
      <c r="I34" s="37">
        <v>0.27178258735557548</v>
      </c>
      <c r="J34" s="37">
        <v>0.25114397272132999</v>
      </c>
      <c r="K34" s="37">
        <v>0.13575699246202377</v>
      </c>
      <c r="L34" s="37">
        <v>5.3843972567496616E-2</v>
      </c>
      <c r="M34" s="36">
        <f t="shared" si="0"/>
        <v>0</v>
      </c>
      <c r="N34" s="36">
        <f t="shared" si="1"/>
        <v>459.09354240503791</v>
      </c>
      <c r="O34" s="36">
        <f t="shared" si="2"/>
        <v>434.03679200685406</v>
      </c>
      <c r="P34" s="36">
        <f t="shared" si="3"/>
        <v>401.07692443596397</v>
      </c>
      <c r="Q34" s="36">
        <f t="shared" si="4"/>
        <v>216.80391696185197</v>
      </c>
      <c r="R34" s="36">
        <f t="shared" si="5"/>
        <v>85.988824190292092</v>
      </c>
      <c r="S34" s="25">
        <f>VLOOKUP(A34,'Education graduates'!$A$3:$E$49,5,FALSE)</f>
        <v>73</v>
      </c>
      <c r="T34" s="25">
        <f>VLOOKUP(B34,'Edu updated'!B$2:C$48,2,FALSE)</f>
        <v>475</v>
      </c>
      <c r="U34" s="53">
        <f t="shared" si="18"/>
        <v>1843.1611758097081</v>
      </c>
      <c r="V34" s="54">
        <f t="shared" si="19"/>
        <v>2150.2889740246387</v>
      </c>
      <c r="W34" s="54">
        <f t="shared" si="6"/>
        <v>2453.2472976208551</v>
      </c>
      <c r="X34" s="54">
        <f t="shared" si="7"/>
        <v>2752.0927501317956</v>
      </c>
      <c r="Y34" s="54">
        <f t="shared" si="8"/>
        <v>3046.8811666583524</v>
      </c>
      <c r="Z34" s="54">
        <f t="shared" si="9"/>
        <v>3337.6676243008806</v>
      </c>
      <c r="AA34" s="54">
        <f t="shared" si="10"/>
        <v>3624.5064524495851</v>
      </c>
      <c r="AB34" s="54">
        <f t="shared" si="11"/>
        <v>3907.4512429352098</v>
      </c>
      <c r="AC34" s="41">
        <v>0.1</v>
      </c>
      <c r="AD34" s="35">
        <f t="shared" si="12"/>
        <v>0.29743268628678771</v>
      </c>
      <c r="AE34" s="45">
        <f t="shared" si="13"/>
        <v>474.99999999999994</v>
      </c>
      <c r="AF34" s="34">
        <f>VLOOKUP(B34,Migration!A$2:B$189,2,FALSE)</f>
        <v>7</v>
      </c>
      <c r="AG34" s="34">
        <f t="shared" si="14"/>
        <v>0.05</v>
      </c>
      <c r="AH34" s="34" t="str">
        <f t="shared" si="15"/>
        <v>Increase</v>
      </c>
      <c r="AI34" s="62">
        <f t="shared" si="16"/>
        <v>4.3832185347526609E-3</v>
      </c>
      <c r="AJ34" s="65">
        <f t="shared" si="17"/>
        <v>0.1896009650295204</v>
      </c>
    </row>
    <row r="35" spans="1:36" x14ac:dyDescent="0.3">
      <c r="A35" s="28" t="s">
        <v>114</v>
      </c>
      <c r="B35" s="28" t="s">
        <v>42</v>
      </c>
      <c r="C35" s="33" t="s">
        <v>85</v>
      </c>
      <c r="D35" s="29">
        <v>946</v>
      </c>
      <c r="E35" s="29">
        <v>1065</v>
      </c>
      <c r="F35" s="30">
        <v>705.66936761273496</v>
      </c>
      <c r="G35" s="37">
        <v>8.4136314403189787E-3</v>
      </c>
      <c r="H35" s="37">
        <v>0.4783415903533122</v>
      </c>
      <c r="I35" s="37">
        <v>0.34535536267218658</v>
      </c>
      <c r="J35" s="37">
        <v>0.1147456275792092</v>
      </c>
      <c r="K35" s="37">
        <v>4.184484163081776E-2</v>
      </c>
      <c r="L35" s="37">
        <v>1.1298946324155327E-2</v>
      </c>
      <c r="M35" s="36">
        <f t="shared" si="0"/>
        <v>5.9372419778165177</v>
      </c>
      <c r="N35" s="36">
        <f t="shared" si="1"/>
        <v>337.55100756749175</v>
      </c>
      <c r="O35" s="36">
        <f t="shared" si="2"/>
        <v>243.70670037854865</v>
      </c>
      <c r="P35" s="36">
        <f t="shared" si="3"/>
        <v>80.972474450146947</v>
      </c>
      <c r="Q35" s="36">
        <f t="shared" si="4"/>
        <v>29.528622931474214</v>
      </c>
      <c r="R35" s="36">
        <f t="shared" si="5"/>
        <v>7.9733203072569259</v>
      </c>
      <c r="S35" s="25">
        <f>VLOOKUP(A35,'Education graduates'!$A$3:$E$49,5,FALSE)</f>
        <v>196</v>
      </c>
      <c r="T35" s="25">
        <f>VLOOKUP(B35,'Edu updated'!B$2:C$48,2,FALSE)</f>
        <v>370</v>
      </c>
      <c r="U35" s="53">
        <f t="shared" si="18"/>
        <v>953.49604730547799</v>
      </c>
      <c r="V35" s="54">
        <f t="shared" si="19"/>
        <v>1205.3061581959671</v>
      </c>
      <c r="W35" s="54">
        <f t="shared" si="6"/>
        <v>1456.062573665331</v>
      </c>
      <c r="X35" s="54">
        <f t="shared" si="7"/>
        <v>1705.7697028853722</v>
      </c>
      <c r="Y35" s="54">
        <f t="shared" si="8"/>
        <v>1954.4319365777835</v>
      </c>
      <c r="Z35" s="54">
        <f t="shared" si="9"/>
        <v>2202.0536470913526</v>
      </c>
      <c r="AA35" s="54">
        <f t="shared" si="10"/>
        <v>2448.6391884788422</v>
      </c>
      <c r="AB35" s="54">
        <f t="shared" si="11"/>
        <v>2694.192896573551</v>
      </c>
      <c r="AC35" s="41">
        <v>0.1</v>
      </c>
      <c r="AD35" s="35">
        <f t="shared" si="12"/>
        <v>0.52432487079849088</v>
      </c>
      <c r="AE35" s="45">
        <f t="shared" si="13"/>
        <v>370</v>
      </c>
      <c r="AF35" s="34">
        <f>VLOOKUP(B35,Migration!A$2:B$189,2,FALSE)</f>
        <v>64</v>
      </c>
      <c r="AG35" s="34">
        <f t="shared" si="14"/>
        <v>0.05</v>
      </c>
      <c r="AH35" s="34" t="str">
        <f t="shared" si="15"/>
        <v>Increase</v>
      </c>
      <c r="AI35" s="62">
        <f t="shared" si="16"/>
        <v>9.0694031705684908E-2</v>
      </c>
      <c r="AJ35" s="65">
        <f t="shared" si="17"/>
        <v>5.3143787954973085E-2</v>
      </c>
    </row>
    <row r="36" spans="1:36" x14ac:dyDescent="0.3">
      <c r="A36" s="28" t="s">
        <v>115</v>
      </c>
      <c r="B36" s="28" t="s">
        <v>27</v>
      </c>
      <c r="C36" s="28" t="s">
        <v>79</v>
      </c>
      <c r="D36" s="29">
        <v>65759</v>
      </c>
      <c r="E36" s="29">
        <v>83907</v>
      </c>
      <c r="F36" s="29">
        <v>86181</v>
      </c>
      <c r="G36" s="35">
        <v>1.5643758867828428E-2</v>
      </c>
      <c r="H36" s="35">
        <v>0.38865645577909558</v>
      </c>
      <c r="I36" s="35">
        <v>0.35225743078546223</v>
      </c>
      <c r="J36" s="35">
        <v>0.16069414632371667</v>
      </c>
      <c r="K36" s="35">
        <v>6.2957034234365342E-2</v>
      </c>
      <c r="L36" s="35">
        <v>1.979117400953178E-2</v>
      </c>
      <c r="M36" s="36">
        <f t="shared" si="0"/>
        <v>1348.1947829883218</v>
      </c>
      <c r="N36" s="36">
        <f t="shared" si="1"/>
        <v>33494.802015498237</v>
      </c>
      <c r="O36" s="36">
        <f t="shared" si="2"/>
        <v>30357.897642521923</v>
      </c>
      <c r="P36" s="36">
        <f t="shared" si="3"/>
        <v>13848.782224324226</v>
      </c>
      <c r="Q36" s="36">
        <f t="shared" si="4"/>
        <v>5425.7001673518398</v>
      </c>
      <c r="R36" s="36">
        <f t="shared" si="5"/>
        <v>1705.6231673154582</v>
      </c>
      <c r="S36" s="25">
        <f>VLOOKUP(A36,'Education graduates'!$A$3:$E$49,5,FALSE)</f>
        <v>3766</v>
      </c>
      <c r="T36" s="25">
        <f>VLOOKUP(B36,'Edu updated'!B$2:C$48,2,FALSE)</f>
        <v>4340</v>
      </c>
      <c r="U36" s="53">
        <f t="shared" si="18"/>
        <v>87017.326832684543</v>
      </c>
      <c r="V36" s="54">
        <f t="shared" si="19"/>
        <v>89011.441550245712</v>
      </c>
      <c r="W36" s="54">
        <f t="shared" si="6"/>
        <v>90993.001912952808</v>
      </c>
      <c r="X36" s="54">
        <f t="shared" si="7"/>
        <v>92962.086959300665</v>
      </c>
      <c r="Y36" s="54">
        <f t="shared" si="8"/>
        <v>94918.775230181185</v>
      </c>
      <c r="Z36" s="54">
        <f t="shared" si="9"/>
        <v>96863.144772016123</v>
      </c>
      <c r="AA36" s="54">
        <f t="shared" si="10"/>
        <v>98795.273139870114</v>
      </c>
      <c r="AB36" s="54">
        <f t="shared" si="11"/>
        <v>100715.23740054408</v>
      </c>
      <c r="AC36" s="41">
        <v>0.1</v>
      </c>
      <c r="AD36" s="35">
        <f t="shared" si="12"/>
        <v>5.0359127882015756E-2</v>
      </c>
      <c r="AE36" s="45">
        <f t="shared" si="13"/>
        <v>4340</v>
      </c>
      <c r="AF36" s="34">
        <f>VLOOKUP(B36,Migration!A$2:B$189,2,FALSE)</f>
        <v>9921</v>
      </c>
      <c r="AG36" s="34">
        <f t="shared" si="14"/>
        <v>0.05</v>
      </c>
      <c r="AH36" s="34" t="str">
        <f t="shared" si="15"/>
        <v>Increase</v>
      </c>
      <c r="AI36" s="62">
        <f t="shared" si="16"/>
        <v>0.11511818150172312</v>
      </c>
      <c r="AJ36" s="65">
        <f t="shared" si="17"/>
        <v>8.2748208243897114E-2</v>
      </c>
    </row>
    <row r="37" spans="1:36" x14ac:dyDescent="0.3">
      <c r="A37" s="28" t="s">
        <v>116</v>
      </c>
      <c r="B37" s="28" t="s">
        <v>43</v>
      </c>
      <c r="C37" s="33" t="s">
        <v>85</v>
      </c>
      <c r="D37" s="29">
        <v>1104</v>
      </c>
      <c r="E37" s="29">
        <v>1648</v>
      </c>
      <c r="F37" s="29">
        <v>1648</v>
      </c>
      <c r="G37" s="37">
        <v>8.4136314403189787E-3</v>
      </c>
      <c r="H37" s="37">
        <v>0.4783415903533122</v>
      </c>
      <c r="I37" s="37">
        <v>0.34535536267218658</v>
      </c>
      <c r="J37" s="37">
        <v>0.1147456275792092</v>
      </c>
      <c r="K37" s="37">
        <v>4.184484163081776E-2</v>
      </c>
      <c r="L37" s="37">
        <v>1.1298946324155327E-2</v>
      </c>
      <c r="M37" s="36">
        <f t="shared" si="0"/>
        <v>13.865664613645677</v>
      </c>
      <c r="N37" s="36">
        <f t="shared" si="1"/>
        <v>788.30694090225848</v>
      </c>
      <c r="O37" s="36">
        <f t="shared" si="2"/>
        <v>569.14563768376354</v>
      </c>
      <c r="P37" s="36">
        <f t="shared" si="3"/>
        <v>189.10079425053675</v>
      </c>
      <c r="Q37" s="36">
        <f t="shared" si="4"/>
        <v>68.960299007587665</v>
      </c>
      <c r="R37" s="36">
        <f t="shared" si="5"/>
        <v>18.620663542207978</v>
      </c>
      <c r="S37" s="25">
        <f>VLOOKUP(A37,'Education graduates'!$A$3:$E$49,5,FALSE)</f>
        <v>11</v>
      </c>
      <c r="T37" s="25">
        <f>VLOOKUP(B37,'Edu updated'!B$2:C$48,2,FALSE)</f>
        <v>11</v>
      </c>
      <c r="U37" s="53">
        <f t="shared" si="18"/>
        <v>1519.179336457792</v>
      </c>
      <c r="V37" s="54">
        <f t="shared" si="19"/>
        <v>1402.6223545835032</v>
      </c>
      <c r="W37" s="54">
        <f t="shared" si="6"/>
        <v>1286.5531035539641</v>
      </c>
      <c r="X37" s="54">
        <f t="shared" si="7"/>
        <v>1170.9695424671788</v>
      </c>
      <c r="Y37" s="54">
        <f t="shared" si="8"/>
        <v>1055.8696389612737</v>
      </c>
      <c r="Z37" s="54">
        <f t="shared" si="9"/>
        <v>941.25136917876137</v>
      </c>
      <c r="AA37" s="54">
        <f t="shared" si="10"/>
        <v>827.11271773095382</v>
      </c>
      <c r="AB37" s="54">
        <f t="shared" si="11"/>
        <v>713.45167766252519</v>
      </c>
      <c r="AC37" s="41">
        <v>0.1</v>
      </c>
      <c r="AD37" s="35">
        <f t="shared" si="12"/>
        <v>6.6747572815533977E-3</v>
      </c>
      <c r="AE37" s="45">
        <f t="shared" si="13"/>
        <v>11</v>
      </c>
      <c r="AF37" s="34">
        <f>VLOOKUP(B37,Migration!A$2:B$189,2,FALSE)</f>
        <v>2358</v>
      </c>
      <c r="AG37" s="34">
        <f t="shared" si="14"/>
        <v>0.05</v>
      </c>
      <c r="AH37" s="34" t="str">
        <f t="shared" si="15"/>
        <v>Decrease</v>
      </c>
      <c r="AI37" s="62">
        <f t="shared" si="16"/>
        <v>1.4308252427184467</v>
      </c>
      <c r="AJ37" s="65">
        <f t="shared" si="17"/>
        <v>5.3143787954973085E-2</v>
      </c>
    </row>
    <row r="38" spans="1:36" x14ac:dyDescent="0.3">
      <c r="A38" s="28" t="s">
        <v>117</v>
      </c>
      <c r="B38" s="28" t="s">
        <v>45</v>
      </c>
      <c r="C38" s="33" t="s">
        <v>79</v>
      </c>
      <c r="D38" s="29">
        <v>63</v>
      </c>
      <c r="E38" s="29">
        <v>60</v>
      </c>
      <c r="F38" s="29">
        <v>105</v>
      </c>
      <c r="G38" s="37">
        <v>9.6273049759095664E-3</v>
      </c>
      <c r="H38" s="37">
        <v>0.3275992964925577</v>
      </c>
      <c r="I38" s="37">
        <v>0.38621639847768657</v>
      </c>
      <c r="J38" s="37">
        <v>0.17590959830524627</v>
      </c>
      <c r="K38" s="37">
        <v>8.0800436018606592E-2</v>
      </c>
      <c r="L38" s="37">
        <v>1.9846965729993234E-2</v>
      </c>
      <c r="M38" s="36">
        <f t="shared" si="0"/>
        <v>1.0108670224705045</v>
      </c>
      <c r="N38" s="36">
        <f t="shared" si="1"/>
        <v>34.397926131718556</v>
      </c>
      <c r="O38" s="36">
        <f t="shared" si="2"/>
        <v>40.552721840157091</v>
      </c>
      <c r="P38" s="36">
        <f t="shared" si="3"/>
        <v>18.470507822050859</v>
      </c>
      <c r="Q38" s="36">
        <f t="shared" si="4"/>
        <v>8.484045781953693</v>
      </c>
      <c r="R38" s="36">
        <f t="shared" si="5"/>
        <v>2.0839314016492896</v>
      </c>
      <c r="S38" s="25">
        <f>VLOOKUP(A38,'Education graduates'!$A$3:$E$49,5,FALSE)</f>
        <v>0</v>
      </c>
      <c r="T38" s="25">
        <f>VLOOKUP(B38,'Edu updated'!B$2:C$48,2,FALSE)</f>
        <v>0</v>
      </c>
      <c r="U38" s="53">
        <f t="shared" si="18"/>
        <v>107.7640685983507</v>
      </c>
      <c r="V38" s="54">
        <f t="shared" si="19"/>
        <v>111.74133022536213</v>
      </c>
      <c r="W38" s="54">
        <f t="shared" si="6"/>
        <v>115.6864554050113</v>
      </c>
      <c r="X38" s="54">
        <f t="shared" si="7"/>
        <v>119.5997038011941</v>
      </c>
      <c r="Y38" s="54">
        <f t="shared" si="8"/>
        <v>123.48133297971083</v>
      </c>
      <c r="Z38" s="54">
        <f t="shared" si="9"/>
        <v>127.33159842521889</v>
      </c>
      <c r="AA38" s="54">
        <f t="shared" si="10"/>
        <v>131.15075355804851</v>
      </c>
      <c r="AB38" s="54">
        <f t="shared" si="11"/>
        <v>134.93904975088259</v>
      </c>
      <c r="AC38" s="41">
        <v>0.1</v>
      </c>
      <c r="AD38" s="35">
        <v>6.8000000000000005E-2</v>
      </c>
      <c r="AE38" s="45">
        <f t="shared" si="13"/>
        <v>7.1400000000000006</v>
      </c>
      <c r="AF38" s="34">
        <f>VLOOKUP(B38,Migration!A$2:B$189,2,FALSE)</f>
        <v>3</v>
      </c>
      <c r="AG38" s="34">
        <f t="shared" si="14"/>
        <v>0.05</v>
      </c>
      <c r="AH38" s="34" t="str">
        <f t="shared" si="15"/>
        <v>Increase</v>
      </c>
      <c r="AI38" s="62">
        <f t="shared" si="16"/>
        <v>2.8571428571428571E-2</v>
      </c>
      <c r="AJ38" s="65">
        <f t="shared" si="17"/>
        <v>0.10064740174859982</v>
      </c>
    </row>
    <row r="39" spans="1:36" x14ac:dyDescent="0.3">
      <c r="A39" s="28" t="s">
        <v>118</v>
      </c>
      <c r="B39" s="28" t="s">
        <v>22</v>
      </c>
      <c r="C39" s="28" t="s">
        <v>79</v>
      </c>
      <c r="D39" s="29">
        <v>0</v>
      </c>
      <c r="E39" s="29">
        <v>2883</v>
      </c>
      <c r="F39" s="29">
        <v>2560.8623058327948</v>
      </c>
      <c r="G39" s="35">
        <v>1.4224751066856331E-3</v>
      </c>
      <c r="H39" s="35">
        <v>0.48079658605974396</v>
      </c>
      <c r="I39" s="35">
        <v>0.35135135135135137</v>
      </c>
      <c r="J39" s="35">
        <v>9.1038406827880516E-2</v>
      </c>
      <c r="K39" s="35">
        <v>6.8278805120910391E-2</v>
      </c>
      <c r="L39" s="35">
        <v>7.1123755334281651E-3</v>
      </c>
      <c r="M39" s="36">
        <f t="shared" si="0"/>
        <v>3.6427628816967212</v>
      </c>
      <c r="N39" s="36">
        <f t="shared" si="1"/>
        <v>1231.2538540134917</v>
      </c>
      <c r="O39" s="36">
        <f t="shared" si="2"/>
        <v>899.76243177909009</v>
      </c>
      <c r="P39" s="36">
        <f t="shared" si="3"/>
        <v>233.13682442859016</v>
      </c>
      <c r="Q39" s="36">
        <f t="shared" si="4"/>
        <v>174.85261832144263</v>
      </c>
      <c r="R39" s="36">
        <f t="shared" si="5"/>
        <v>18.213814408483604</v>
      </c>
      <c r="S39" s="25">
        <f>VLOOKUP(A39,'Education graduates'!$A$3:$E$49,5,FALSE)</f>
        <v>0</v>
      </c>
      <c r="T39" s="25">
        <f>VLOOKUP(B39,'Edu updated'!B$2:C$48,2,FALSE)</f>
        <v>434</v>
      </c>
      <c r="U39" s="53">
        <f t="shared" si="18"/>
        <v>2828.7984914243116</v>
      </c>
      <c r="V39" s="54">
        <f t="shared" si="19"/>
        <v>3095.6337933320829</v>
      </c>
      <c r="W39" s="54">
        <f t="shared" si="6"/>
        <v>3360.6471756820201</v>
      </c>
      <c r="X39" s="54">
        <f t="shared" si="7"/>
        <v>3623.8510783231673</v>
      </c>
      <c r="Y39" s="54">
        <f t="shared" si="8"/>
        <v>3885.2578561667647</v>
      </c>
      <c r="Z39" s="54">
        <f t="shared" si="9"/>
        <v>4144.8797797661955</v>
      </c>
      <c r="AA39" s="54">
        <f t="shared" si="10"/>
        <v>4402.7290358929704</v>
      </c>
      <c r="AB39" s="54">
        <f t="shared" si="11"/>
        <v>4658.8177281087801</v>
      </c>
      <c r="AC39" s="41">
        <v>0.1</v>
      </c>
      <c r="AD39" s="35">
        <f t="shared" si="12"/>
        <v>0.16947416462474066</v>
      </c>
      <c r="AE39" s="45">
        <f t="shared" si="13"/>
        <v>434.00000000000006</v>
      </c>
      <c r="AF39" s="34">
        <f>VLOOKUP(B39,Migration!A$2:B$189,2,FALSE)</f>
        <v>353</v>
      </c>
      <c r="AG39" s="34">
        <f t="shared" si="14"/>
        <v>0.05</v>
      </c>
      <c r="AH39" s="34" t="str">
        <f t="shared" si="15"/>
        <v>Increase</v>
      </c>
      <c r="AI39" s="62">
        <f t="shared" si="16"/>
        <v>0.13784419380768076</v>
      </c>
      <c r="AJ39" s="65">
        <f t="shared" si="17"/>
        <v>7.5391180654338558E-2</v>
      </c>
    </row>
    <row r="40" spans="1:36" x14ac:dyDescent="0.3">
      <c r="A40" s="33" t="s">
        <v>119</v>
      </c>
      <c r="B40" s="28" t="s">
        <v>13</v>
      </c>
      <c r="C40" s="28" t="s">
        <v>83</v>
      </c>
      <c r="D40" s="29">
        <v>93</v>
      </c>
      <c r="E40" s="29">
        <v>240</v>
      </c>
      <c r="F40" s="29">
        <v>828</v>
      </c>
      <c r="G40" s="35">
        <v>0</v>
      </c>
      <c r="H40" s="35">
        <v>0.15789473684210525</v>
      </c>
      <c r="I40" s="35">
        <v>0.26315789473684209</v>
      </c>
      <c r="J40" s="35">
        <v>0.2982456140350877</v>
      </c>
      <c r="K40" s="35">
        <v>0.15789473684210525</v>
      </c>
      <c r="L40" s="35">
        <v>0.12280701754385964</v>
      </c>
      <c r="M40" s="36">
        <f t="shared" si="0"/>
        <v>0</v>
      </c>
      <c r="N40" s="36">
        <f t="shared" si="1"/>
        <v>130.73684210526315</v>
      </c>
      <c r="O40" s="36">
        <f t="shared" si="2"/>
        <v>217.89473684210526</v>
      </c>
      <c r="P40" s="36">
        <f t="shared" si="3"/>
        <v>246.94736842105263</v>
      </c>
      <c r="Q40" s="36">
        <f t="shared" si="4"/>
        <v>130.73684210526315</v>
      </c>
      <c r="R40" s="36">
        <f t="shared" si="5"/>
        <v>101.68421052631578</v>
      </c>
      <c r="S40" s="25">
        <f>VLOOKUP(A40,'Education graduates'!$A$3:$E$49,5,FALSE)</f>
        <v>0</v>
      </c>
      <c r="T40" s="25">
        <f>VLOOKUP(B40,'Edu updated'!B$2:C$48,2,FALSE)</f>
        <v>10</v>
      </c>
      <c r="U40" s="53">
        <f t="shared" si="18"/>
        <v>732.76578947368432</v>
      </c>
      <c r="V40" s="54">
        <f t="shared" si="19"/>
        <v>727.6458033240998</v>
      </c>
      <c r="W40" s="54">
        <f t="shared" si="6"/>
        <v>722.60665906108773</v>
      </c>
      <c r="X40" s="54">
        <f t="shared" si="7"/>
        <v>717.6470802338074</v>
      </c>
      <c r="Y40" s="54">
        <f t="shared" si="8"/>
        <v>712.7658105459052</v>
      </c>
      <c r="Z40" s="54">
        <f t="shared" si="9"/>
        <v>707.96161353728564</v>
      </c>
      <c r="AA40" s="54">
        <f t="shared" si="10"/>
        <v>703.23327227090749</v>
      </c>
      <c r="AB40" s="54">
        <f t="shared" si="11"/>
        <v>698.57958902452481</v>
      </c>
      <c r="AC40" s="41">
        <v>0.1</v>
      </c>
      <c r="AD40" s="35">
        <f t="shared" si="12"/>
        <v>1.2077294685990338E-2</v>
      </c>
      <c r="AE40" s="45">
        <f t="shared" si="13"/>
        <v>10</v>
      </c>
      <c r="AF40" s="34">
        <f>VLOOKUP(B40,Migration!A$2:B$189,2,FALSE)</f>
        <v>11</v>
      </c>
      <c r="AG40" s="34">
        <f t="shared" si="14"/>
        <v>0.05</v>
      </c>
      <c r="AH40" s="34" t="str">
        <f t="shared" si="15"/>
        <v>Decrease</v>
      </c>
      <c r="AI40" s="62">
        <f t="shared" si="16"/>
        <v>1.3285024154589372E-2</v>
      </c>
      <c r="AJ40" s="65">
        <f t="shared" si="17"/>
        <v>0.2807017543859649</v>
      </c>
    </row>
    <row r="41" spans="1:36" x14ac:dyDescent="0.3">
      <c r="A41" s="28" t="s">
        <v>120</v>
      </c>
      <c r="B41" s="28" t="s">
        <v>11</v>
      </c>
      <c r="C41" s="28" t="s">
        <v>85</v>
      </c>
      <c r="D41" s="29">
        <v>0</v>
      </c>
      <c r="E41" s="29">
        <v>566</v>
      </c>
      <c r="F41" s="29">
        <v>1106</v>
      </c>
      <c r="G41" s="35">
        <v>0</v>
      </c>
      <c r="H41" s="35">
        <v>1</v>
      </c>
      <c r="I41" s="35">
        <v>0</v>
      </c>
      <c r="J41" s="35">
        <v>0</v>
      </c>
      <c r="K41" s="35">
        <v>0</v>
      </c>
      <c r="L41" s="35">
        <v>0</v>
      </c>
      <c r="M41" s="36">
        <f t="shared" si="0"/>
        <v>0</v>
      </c>
      <c r="N41" s="36">
        <f t="shared" si="1"/>
        <v>1106</v>
      </c>
      <c r="O41" s="36">
        <f t="shared" si="2"/>
        <v>0</v>
      </c>
      <c r="P41" s="36">
        <f t="shared" si="3"/>
        <v>0</v>
      </c>
      <c r="Q41" s="36">
        <f t="shared" si="4"/>
        <v>0</v>
      </c>
      <c r="R41" s="36">
        <f t="shared" si="5"/>
        <v>0</v>
      </c>
      <c r="S41" s="25">
        <f>VLOOKUP(A41,'Education graduates'!$A$3:$E$49,5,FALSE)</f>
        <v>39</v>
      </c>
      <c r="T41" s="25">
        <f>VLOOKUP(B41,'Edu updated'!B$2:C$48,2,FALSE)</f>
        <v>217</v>
      </c>
      <c r="U41" s="53">
        <f t="shared" si="18"/>
        <v>1255.5500000000002</v>
      </c>
      <c r="V41" s="54">
        <f t="shared" si="19"/>
        <v>1405.1000000000004</v>
      </c>
      <c r="W41" s="54">
        <f t="shared" si="6"/>
        <v>1554.6500000000005</v>
      </c>
      <c r="X41" s="54">
        <f t="shared" si="7"/>
        <v>1704.2000000000007</v>
      </c>
      <c r="Y41" s="54">
        <f t="shared" si="8"/>
        <v>1853.7500000000009</v>
      </c>
      <c r="Z41" s="54">
        <f t="shared" si="9"/>
        <v>2003.3000000000011</v>
      </c>
      <c r="AA41" s="54">
        <f t="shared" si="10"/>
        <v>2152.8500000000013</v>
      </c>
      <c r="AB41" s="54">
        <f t="shared" si="11"/>
        <v>2302.4000000000015</v>
      </c>
      <c r="AC41" s="41">
        <v>0.1</v>
      </c>
      <c r="AD41" s="35">
        <f t="shared" si="12"/>
        <v>0.19620253164556961</v>
      </c>
      <c r="AE41" s="45">
        <f t="shared" si="13"/>
        <v>217</v>
      </c>
      <c r="AF41" s="34">
        <f>VLOOKUP(B41,Migration!A$2:B$189,2,FALSE)</f>
        <v>47</v>
      </c>
      <c r="AG41" s="34">
        <f t="shared" si="14"/>
        <v>0.05</v>
      </c>
      <c r="AH41" s="34" t="str">
        <f t="shared" si="15"/>
        <v>Increase</v>
      </c>
      <c r="AI41" s="62">
        <f t="shared" si="16"/>
        <v>4.2495479204339964E-2</v>
      </c>
      <c r="AJ41" s="65">
        <f t="shared" si="17"/>
        <v>0</v>
      </c>
    </row>
    <row r="42" spans="1:36" x14ac:dyDescent="0.3">
      <c r="A42" s="28" t="s">
        <v>121</v>
      </c>
      <c r="B42" s="28" t="s">
        <v>16</v>
      </c>
      <c r="C42" s="33" t="s">
        <v>83</v>
      </c>
      <c r="D42" s="29">
        <v>0</v>
      </c>
      <c r="E42" s="29">
        <v>43503</v>
      </c>
      <c r="F42" s="29">
        <v>48021</v>
      </c>
      <c r="G42" s="37">
        <v>0</v>
      </c>
      <c r="H42" s="37">
        <v>0.28747247489357414</v>
      </c>
      <c r="I42" s="37">
        <v>0.27178258735557548</v>
      </c>
      <c r="J42" s="37">
        <v>0.25114397272132999</v>
      </c>
      <c r="K42" s="37">
        <v>0.13575699246202377</v>
      </c>
      <c r="L42" s="37">
        <v>5.3843972567496616E-2</v>
      </c>
      <c r="M42" s="36">
        <f t="shared" si="0"/>
        <v>0</v>
      </c>
      <c r="N42" s="36">
        <f t="shared" si="1"/>
        <v>13804.715716864324</v>
      </c>
      <c r="O42" s="36">
        <f t="shared" si="2"/>
        <v>13051.27162740209</v>
      </c>
      <c r="P42" s="36">
        <f t="shared" si="3"/>
        <v>12060.184714050987</v>
      </c>
      <c r="Q42" s="36">
        <f t="shared" si="4"/>
        <v>6519.1865350188436</v>
      </c>
      <c r="R42" s="36">
        <f t="shared" si="5"/>
        <v>2585.6414066637549</v>
      </c>
      <c r="S42" s="25">
        <f>VLOOKUP(A42,'Education graduates'!$A$3:$E$49,5,FALSE)</f>
        <v>0</v>
      </c>
      <c r="T42" s="25">
        <f>VLOOKUP(B42,'Edu updated'!B$2:C$48,2,FALSE)</f>
        <v>998</v>
      </c>
      <c r="U42" s="53">
        <f t="shared" si="18"/>
        <v>45688.608593336248</v>
      </c>
      <c r="V42" s="54">
        <f t="shared" si="19"/>
        <v>45321.603784095656</v>
      </c>
      <c r="W42" s="54">
        <f t="shared" si="6"/>
        <v>44959.581321767226</v>
      </c>
      <c r="X42" s="54">
        <f t="shared" si="7"/>
        <v>44602.473567507739</v>
      </c>
      <c r="Y42" s="54">
        <f t="shared" si="8"/>
        <v>44250.213800718564</v>
      </c>
      <c r="Z42" s="54">
        <f t="shared" si="9"/>
        <v>43902.736206579852</v>
      </c>
      <c r="AA42" s="54">
        <f t="shared" si="10"/>
        <v>43559.975863753963</v>
      </c>
      <c r="AB42" s="54">
        <f t="shared" si="11"/>
        <v>43221.868732255803</v>
      </c>
      <c r="AC42" s="41">
        <v>0.1</v>
      </c>
      <c r="AD42" s="35">
        <f t="shared" si="12"/>
        <v>2.0782574290414611E-2</v>
      </c>
      <c r="AE42" s="45">
        <f t="shared" si="13"/>
        <v>998</v>
      </c>
      <c r="AF42" s="34">
        <f>VLOOKUP(B42,Migration!A$2:B$189,2,FALSE)</f>
        <v>8907</v>
      </c>
      <c r="AG42" s="34">
        <f t="shared" si="14"/>
        <v>0.05</v>
      </c>
      <c r="AH42" s="34" t="str">
        <f t="shared" si="15"/>
        <v>Decrease</v>
      </c>
      <c r="AI42" s="62">
        <f t="shared" si="16"/>
        <v>0.18548135190854001</v>
      </c>
      <c r="AJ42" s="65">
        <f t="shared" si="17"/>
        <v>0.1896009650295204</v>
      </c>
    </row>
    <row r="43" spans="1:36" x14ac:dyDescent="0.3">
      <c r="A43" s="28" t="s">
        <v>122</v>
      </c>
      <c r="B43" s="28" t="s">
        <v>44</v>
      </c>
      <c r="C43" s="33" t="s">
        <v>85</v>
      </c>
      <c r="D43" s="29">
        <v>0</v>
      </c>
      <c r="E43" s="29">
        <v>411</v>
      </c>
      <c r="F43" s="29">
        <v>456</v>
      </c>
      <c r="G43" s="37">
        <v>8.4136314403189787E-3</v>
      </c>
      <c r="H43" s="37">
        <v>0.4783415903533122</v>
      </c>
      <c r="I43" s="37">
        <v>0.34535536267218658</v>
      </c>
      <c r="J43" s="37">
        <v>0.1147456275792092</v>
      </c>
      <c r="K43" s="37">
        <v>4.184484163081776E-2</v>
      </c>
      <c r="L43" s="37">
        <v>1.1298946324155327E-2</v>
      </c>
      <c r="M43" s="36">
        <f t="shared" si="0"/>
        <v>3.8366159367854542</v>
      </c>
      <c r="N43" s="36">
        <f t="shared" si="1"/>
        <v>218.12376520111036</v>
      </c>
      <c r="O43" s="36">
        <f t="shared" si="2"/>
        <v>157.48204537851709</v>
      </c>
      <c r="P43" s="36">
        <f t="shared" si="3"/>
        <v>52.324006176119397</v>
      </c>
      <c r="Q43" s="36">
        <f t="shared" si="4"/>
        <v>19.081247783652898</v>
      </c>
      <c r="R43" s="36">
        <f t="shared" si="5"/>
        <v>5.1523195238148292</v>
      </c>
      <c r="S43" s="25">
        <f>VLOOKUP(A43,'Education graduates'!$A$3:$E$49,5,FALSE)</f>
        <v>0</v>
      </c>
      <c r="T43" s="25">
        <f>VLOOKUP(B43,'Edu updated'!B$2:C$48,2,FALSE)</f>
        <v>0</v>
      </c>
      <c r="U43" s="53">
        <f t="shared" si="18"/>
        <v>516.30288047618524</v>
      </c>
      <c r="V43" s="54">
        <f t="shared" si="19"/>
        <v>579.59761924947907</v>
      </c>
      <c r="W43" s="54">
        <f t="shared" si="6"/>
        <v>642.62750219076963</v>
      </c>
      <c r="X43" s="54">
        <f t="shared" si="7"/>
        <v>705.39363758509148</v>
      </c>
      <c r="Y43" s="54">
        <f t="shared" si="8"/>
        <v>767.89712907987803</v>
      </c>
      <c r="Z43" s="54">
        <f t="shared" si="9"/>
        <v>830.13907570436731</v>
      </c>
      <c r="AA43" s="54">
        <f t="shared" si="10"/>
        <v>892.12057188892697</v>
      </c>
      <c r="AB43" s="54">
        <f t="shared" si="11"/>
        <v>953.84270748429822</v>
      </c>
      <c r="AC43" s="41">
        <v>0.1</v>
      </c>
      <c r="AD43" s="35">
        <v>0.20599999999999999</v>
      </c>
      <c r="AE43" s="45">
        <f t="shared" si="13"/>
        <v>93.935999999999993</v>
      </c>
      <c r="AF43" s="34">
        <f>VLOOKUP(B43,Migration!A$2:B$189,2,FALSE)</f>
        <v>6</v>
      </c>
      <c r="AG43" s="34">
        <f t="shared" si="14"/>
        <v>0.05</v>
      </c>
      <c r="AH43" s="34" t="str">
        <f t="shared" si="15"/>
        <v>Increase</v>
      </c>
      <c r="AI43" s="62">
        <f t="shared" si="16"/>
        <v>1.3157894736842105E-2</v>
      </c>
      <c r="AJ43" s="65">
        <f t="shared" si="17"/>
        <v>5.3143787954973085E-2</v>
      </c>
    </row>
    <row r="44" spans="1:36" x14ac:dyDescent="0.3">
      <c r="A44" s="28" t="s">
        <v>123</v>
      </c>
      <c r="B44" s="28" t="s">
        <v>46</v>
      </c>
      <c r="C44" s="33" t="s">
        <v>79</v>
      </c>
      <c r="D44" s="29">
        <v>1481</v>
      </c>
      <c r="E44" s="29">
        <v>2885</v>
      </c>
      <c r="F44" s="29">
        <v>8693</v>
      </c>
      <c r="G44" s="37">
        <v>9.6273049759095664E-3</v>
      </c>
      <c r="H44" s="37">
        <v>0.3275992964925577</v>
      </c>
      <c r="I44" s="37">
        <v>0.38621639847768657</v>
      </c>
      <c r="J44" s="37">
        <v>0.17590959830524627</v>
      </c>
      <c r="K44" s="37">
        <v>8.0800436018606592E-2</v>
      </c>
      <c r="L44" s="37">
        <v>1.9846965729993234E-2</v>
      </c>
      <c r="M44" s="36">
        <f t="shared" si="0"/>
        <v>83.690162155581859</v>
      </c>
      <c r="N44" s="36">
        <f t="shared" si="1"/>
        <v>2847.820684409804</v>
      </c>
      <c r="O44" s="36">
        <f t="shared" si="2"/>
        <v>3357.3791519665292</v>
      </c>
      <c r="P44" s="36">
        <f t="shared" si="3"/>
        <v>1529.1821380675058</v>
      </c>
      <c r="Q44" s="36">
        <f t="shared" si="4"/>
        <v>702.39819030974706</v>
      </c>
      <c r="R44" s="36">
        <f t="shared" si="5"/>
        <v>172.52967309083118</v>
      </c>
      <c r="S44" s="25">
        <f>VLOOKUP(A44,'Education graduates'!$A$3:$E$49,5,FALSE)</f>
        <v>1380</v>
      </c>
      <c r="T44" s="25">
        <f>VLOOKUP(B44,'Edu updated'!B$2:C$48,2,FALSE)</f>
        <v>891</v>
      </c>
      <c r="U44" s="53">
        <f t="shared" si="18"/>
        <v>9137.4203269091704</v>
      </c>
      <c r="V44" s="54">
        <f t="shared" si="19"/>
        <v>9680.5395722592166</v>
      </c>
      <c r="W44" s="54">
        <f t="shared" si="6"/>
        <v>10219.270390425825</v>
      </c>
      <c r="X44" s="54">
        <f t="shared" si="7"/>
        <v>10753.648240091981</v>
      </c>
      <c r="Y44" s="54">
        <f t="shared" si="8"/>
        <v>11283.708293432966</v>
      </c>
      <c r="Z44" s="54">
        <f t="shared" si="9"/>
        <v>11809.485438431353</v>
      </c>
      <c r="AA44" s="54">
        <f t="shared" si="10"/>
        <v>12331.014281173289</v>
      </c>
      <c r="AB44" s="54">
        <f t="shared" si="11"/>
        <v>12848.329148126244</v>
      </c>
      <c r="AC44" s="41">
        <v>0.1</v>
      </c>
      <c r="AD44" s="35">
        <f t="shared" si="12"/>
        <v>0.10249626135971471</v>
      </c>
      <c r="AE44" s="63">
        <f t="shared" si="13"/>
        <v>891</v>
      </c>
      <c r="AF44" s="34">
        <f>VLOOKUP(B44,Migration!A$2:B$189,2,FALSE)</f>
        <v>135</v>
      </c>
      <c r="AG44" s="34">
        <f t="shared" si="14"/>
        <v>0.05</v>
      </c>
      <c r="AH44" s="34" t="str">
        <f t="shared" si="15"/>
        <v>Increase</v>
      </c>
      <c r="AI44" s="62">
        <f t="shared" si="16"/>
        <v>1.5529736569653745E-2</v>
      </c>
      <c r="AJ44" s="65">
        <f t="shared" si="17"/>
        <v>0.10064740174859982</v>
      </c>
    </row>
    <row r="45" spans="1:36" x14ac:dyDescent="0.3">
      <c r="A45" s="28" t="s">
        <v>124</v>
      </c>
      <c r="B45" s="28" t="s">
        <v>14</v>
      </c>
      <c r="C45" s="28" t="s">
        <v>85</v>
      </c>
      <c r="D45" s="29">
        <v>361</v>
      </c>
      <c r="E45" s="29">
        <v>611</v>
      </c>
      <c r="F45" s="29">
        <v>730</v>
      </c>
      <c r="G45" s="35">
        <v>4.10958904109589E-3</v>
      </c>
      <c r="H45" s="35">
        <v>0.29178082191780824</v>
      </c>
      <c r="I45" s="35">
        <v>0.36575342465753424</v>
      </c>
      <c r="J45" s="35">
        <v>0.21232876712328766</v>
      </c>
      <c r="K45" s="35">
        <v>8.7671232876712329E-2</v>
      </c>
      <c r="L45" s="35">
        <v>3.8356164383561646E-2</v>
      </c>
      <c r="M45" s="36">
        <f t="shared" si="0"/>
        <v>2.9999999999999996</v>
      </c>
      <c r="N45" s="36">
        <f t="shared" si="1"/>
        <v>213.00000000000003</v>
      </c>
      <c r="O45" s="36">
        <f t="shared" si="2"/>
        <v>267</v>
      </c>
      <c r="P45" s="36">
        <f t="shared" si="3"/>
        <v>155</v>
      </c>
      <c r="Q45" s="36">
        <f t="shared" si="4"/>
        <v>64</v>
      </c>
      <c r="R45" s="36">
        <f t="shared" si="5"/>
        <v>28</v>
      </c>
      <c r="S45" s="25">
        <f>VLOOKUP(A45,'Education graduates'!$A$3:$E$49,5,FALSE)</f>
        <v>91</v>
      </c>
      <c r="T45" s="25">
        <f>VLOOKUP(B45,'Edu updated'!B$2:C$48,2,FALSE)</f>
        <v>77</v>
      </c>
      <c r="U45" s="53">
        <f t="shared" si="18"/>
        <v>743.15</v>
      </c>
      <c r="V45" s="54">
        <f t="shared" si="19"/>
        <v>777.784712328767</v>
      </c>
      <c r="W45" s="54">
        <f t="shared" si="6"/>
        <v>812.11577786451471</v>
      </c>
      <c r="X45" s="54">
        <f t="shared" si="7"/>
        <v>846.14585871611348</v>
      </c>
      <c r="Y45" s="54">
        <f t="shared" si="8"/>
        <v>879.87759365339684</v>
      </c>
      <c r="Z45" s="54">
        <f t="shared" si="9"/>
        <v>913.31359831177792</v>
      </c>
      <c r="AA45" s="54">
        <f t="shared" si="10"/>
        <v>946.45646539507186</v>
      </c>
      <c r="AB45" s="54">
        <f t="shared" si="11"/>
        <v>979.30876487653973</v>
      </c>
      <c r="AC45" s="41">
        <v>0.1</v>
      </c>
      <c r="AD45" s="35">
        <f t="shared" si="12"/>
        <v>0.10547945205479452</v>
      </c>
      <c r="AE45" s="45">
        <f t="shared" si="13"/>
        <v>77</v>
      </c>
      <c r="AF45" s="34">
        <f>VLOOKUP(B45,Migration!A$2:B$189,2,FALSE)</f>
        <v>255</v>
      </c>
      <c r="AG45" s="34">
        <f t="shared" si="14"/>
        <v>0.05</v>
      </c>
      <c r="AH45" s="34" t="str">
        <f t="shared" si="15"/>
        <v>Increase</v>
      </c>
      <c r="AI45" s="62">
        <f t="shared" si="16"/>
        <v>0.34931506849315069</v>
      </c>
      <c r="AJ45" s="65">
        <f t="shared" si="17"/>
        <v>0.12602739726027398</v>
      </c>
    </row>
    <row r="46" spans="1:36" x14ac:dyDescent="0.3">
      <c r="A46" s="28" t="s">
        <v>125</v>
      </c>
      <c r="B46" s="28" t="s">
        <v>15</v>
      </c>
      <c r="C46" s="33" t="s">
        <v>85</v>
      </c>
      <c r="D46" s="29">
        <v>3370</v>
      </c>
      <c r="E46" s="29">
        <v>17186</v>
      </c>
      <c r="F46" s="29">
        <v>9051.7813279678066</v>
      </c>
      <c r="G46" s="37">
        <v>8.4136314403189787E-3</v>
      </c>
      <c r="H46" s="37">
        <v>0.4783415903533122</v>
      </c>
      <c r="I46" s="37">
        <v>0.34535536267218658</v>
      </c>
      <c r="J46" s="37">
        <v>0.1147456275792092</v>
      </c>
      <c r="K46" s="37">
        <v>4.184484163081776E-2</v>
      </c>
      <c r="L46" s="37">
        <v>1.1298946324155327E-2</v>
      </c>
      <c r="M46" s="36">
        <f t="shared" si="0"/>
        <v>76.158351971882212</v>
      </c>
      <c r="N46" s="36">
        <f t="shared" si="1"/>
        <v>4329.8434759505371</v>
      </c>
      <c r="O46" s="36">
        <f t="shared" si="2"/>
        <v>3126.0812233496486</v>
      </c>
      <c r="P46" s="36">
        <f t="shared" si="3"/>
        <v>1038.6523291874337</v>
      </c>
      <c r="Q46" s="36">
        <f t="shared" si="4"/>
        <v>378.77035614560612</v>
      </c>
      <c r="R46" s="36">
        <f t="shared" si="5"/>
        <v>102.27559136269967</v>
      </c>
      <c r="S46" s="25">
        <f>VLOOKUP(A46,'Education graduates'!$A$3:$E$49,5,FALSE)</f>
        <v>390</v>
      </c>
      <c r="T46" s="25">
        <f>VLOOKUP(B46,'Edu updated'!B$2:C$48,2,FALSE)</f>
        <v>1997</v>
      </c>
      <c r="U46" s="53">
        <f t="shared" si="18"/>
        <v>10328.905736605107</v>
      </c>
      <c r="V46" s="54">
        <f t="shared" si="19"/>
        <v>11665.084594128319</v>
      </c>
      <c r="W46" s="54">
        <f t="shared" si="6"/>
        <v>12995.672232383178</v>
      </c>
      <c r="X46" s="54">
        <f t="shared" si="7"/>
        <v>14320.692047738168</v>
      </c>
      <c r="Y46" s="54">
        <f t="shared" si="8"/>
        <v>15640.167338660036</v>
      </c>
      <c r="Z46" s="54">
        <f t="shared" si="9"/>
        <v>16954.121306123463</v>
      </c>
      <c r="AA46" s="54">
        <f t="shared" si="10"/>
        <v>18262.577054019024</v>
      </c>
      <c r="AB46" s="54">
        <f t="shared" si="11"/>
        <v>19565.557589559423</v>
      </c>
      <c r="AC46" s="41">
        <v>0.1</v>
      </c>
      <c r="AD46" s="35">
        <f t="shared" si="12"/>
        <v>0.22061955847626974</v>
      </c>
      <c r="AE46" s="45">
        <f t="shared" si="13"/>
        <v>1997</v>
      </c>
      <c r="AF46" s="34">
        <f>VLOOKUP(B46,Migration!A$2:B$189,2,FALSE)</f>
        <v>370</v>
      </c>
      <c r="AG46" s="34">
        <f t="shared" si="14"/>
        <v>0.05</v>
      </c>
      <c r="AH46" s="34" t="str">
        <f t="shared" si="15"/>
        <v>Increase</v>
      </c>
      <c r="AI46" s="62">
        <f t="shared" si="16"/>
        <v>4.0875932216434555E-2</v>
      </c>
      <c r="AJ46" s="65">
        <f t="shared" si="17"/>
        <v>5.3143787954973085E-2</v>
      </c>
    </row>
    <row r="47" spans="1:36" x14ac:dyDescent="0.3">
      <c r="A47" s="28" t="s">
        <v>126</v>
      </c>
      <c r="B47" s="28" t="s">
        <v>17</v>
      </c>
      <c r="C47" s="28" t="s">
        <v>79</v>
      </c>
      <c r="D47" s="29">
        <v>0</v>
      </c>
      <c r="E47" s="29">
        <v>4021</v>
      </c>
      <c r="F47" s="29">
        <v>6531</v>
      </c>
      <c r="G47" s="35">
        <v>4.1968714231209459E-3</v>
      </c>
      <c r="H47" s="35">
        <v>0.36398321251430754</v>
      </c>
      <c r="I47" s="35">
        <v>0.28462418924074778</v>
      </c>
      <c r="J47" s="35">
        <v>0.18428080885158338</v>
      </c>
      <c r="K47" s="35">
        <v>0.10587561999236933</v>
      </c>
      <c r="L47" s="35">
        <v>5.7039297977871044E-2</v>
      </c>
      <c r="M47" s="36">
        <f t="shared" si="0"/>
        <v>27.409767264402898</v>
      </c>
      <c r="N47" s="36">
        <f t="shared" si="1"/>
        <v>2377.1743609309424</v>
      </c>
      <c r="O47" s="36">
        <f t="shared" si="2"/>
        <v>1858.8805799313238</v>
      </c>
      <c r="P47" s="36">
        <f t="shared" si="3"/>
        <v>1203.537962609691</v>
      </c>
      <c r="Q47" s="36">
        <f t="shared" si="4"/>
        <v>691.47367417016414</v>
      </c>
      <c r="R47" s="36">
        <f t="shared" si="5"/>
        <v>372.52365509347578</v>
      </c>
      <c r="S47" s="25">
        <f>VLOOKUP(A47,'Education graduates'!$A$3:$E$49,5,FALSE)</f>
        <v>0</v>
      </c>
      <c r="T47" s="25">
        <f>VLOOKUP(B47,'Edu updated'!B$2:C$48,2,FALSE)</f>
        <v>115</v>
      </c>
      <c r="U47" s="53">
        <f t="shared" si="18"/>
        <v>6230.9263449065247</v>
      </c>
      <c r="V47" s="54">
        <f t="shared" si="19"/>
        <v>6237.4060259171483</v>
      </c>
      <c r="W47" s="54">
        <f t="shared" si="6"/>
        <v>6243.8171029033365</v>
      </c>
      <c r="X47" s="54">
        <f t="shared" si="7"/>
        <v>6250.1603022144509</v>
      </c>
      <c r="Y47" s="54">
        <f t="shared" si="8"/>
        <v>6256.4363425095853</v>
      </c>
      <c r="Z47" s="54">
        <f t="shared" si="9"/>
        <v>6262.6459348389853</v>
      </c>
      <c r="AA47" s="54">
        <f t="shared" si="10"/>
        <v>6268.7897827246079</v>
      </c>
      <c r="AB47" s="54">
        <f t="shared" si="11"/>
        <v>6274.8685822398274</v>
      </c>
      <c r="AC47" s="41">
        <v>0.1</v>
      </c>
      <c r="AD47" s="35">
        <f t="shared" si="12"/>
        <v>1.7608329505435616E-2</v>
      </c>
      <c r="AE47" s="45">
        <f t="shared" si="13"/>
        <v>115.00000000000001</v>
      </c>
      <c r="AF47" s="34">
        <f>VLOOKUP(B47,Migration!A$2:B$189,2,FALSE)</f>
        <v>161</v>
      </c>
      <c r="AG47" s="34">
        <f t="shared" si="14"/>
        <v>0.05</v>
      </c>
      <c r="AH47" s="34" t="str">
        <f t="shared" si="15"/>
        <v>Increase</v>
      </c>
      <c r="AI47" s="62">
        <f t="shared" si="16"/>
        <v>2.465166130760986E-2</v>
      </c>
      <c r="AJ47" s="65">
        <f t="shared" si="17"/>
        <v>0.16291491797024038</v>
      </c>
    </row>
    <row r="48" spans="1:36" x14ac:dyDescent="0.3">
      <c r="A48" s="28" t="s">
        <v>127</v>
      </c>
      <c r="B48" s="28" t="s">
        <v>18</v>
      </c>
      <c r="C48" s="28" t="s">
        <v>79</v>
      </c>
      <c r="D48" s="29">
        <v>1114</v>
      </c>
      <c r="E48" s="29">
        <v>3026</v>
      </c>
      <c r="F48" s="29">
        <v>3131.5983655333839</v>
      </c>
      <c r="G48" s="35">
        <v>0</v>
      </c>
      <c r="H48" s="35">
        <v>0.15989660265878877</v>
      </c>
      <c r="I48" s="35">
        <v>0.4098966026587888</v>
      </c>
      <c r="J48" s="35">
        <v>0.43020679468242246</v>
      </c>
      <c r="K48" s="35">
        <v>0</v>
      </c>
      <c r="L48" s="35">
        <v>0</v>
      </c>
      <c r="M48" s="36">
        <f t="shared" si="0"/>
        <v>0</v>
      </c>
      <c r="N48" s="36">
        <f t="shared" si="1"/>
        <v>500.73193954060383</v>
      </c>
      <c r="O48" s="36">
        <f t="shared" si="2"/>
        <v>1283.6315309239499</v>
      </c>
      <c r="P48" s="36">
        <f t="shared" si="3"/>
        <v>1347.2348950688302</v>
      </c>
      <c r="Q48" s="36">
        <f t="shared" si="4"/>
        <v>0</v>
      </c>
      <c r="R48" s="36">
        <f t="shared" si="5"/>
        <v>0</v>
      </c>
      <c r="S48" s="25">
        <f>VLOOKUP(A48,'Education graduates'!$A$3:$E$49,5,FALSE)</f>
        <v>212</v>
      </c>
      <c r="T48" s="25">
        <f>VLOOKUP(B48,'Edu updated'!B$2:C$48,2,FALSE)</f>
        <v>265</v>
      </c>
      <c r="U48" s="53">
        <f t="shared" si="18"/>
        <v>3285.7983655333837</v>
      </c>
      <c r="V48" s="54">
        <f t="shared" si="19"/>
        <v>3439.9983655333835</v>
      </c>
      <c r="W48" s="54">
        <f t="shared" si="6"/>
        <v>3594.1983655333834</v>
      </c>
      <c r="X48" s="54">
        <f t="shared" si="7"/>
        <v>3748.3983655333832</v>
      </c>
      <c r="Y48" s="54">
        <f t="shared" si="8"/>
        <v>3902.598365533383</v>
      </c>
      <c r="Z48" s="54">
        <f t="shared" si="9"/>
        <v>4056.7983655333828</v>
      </c>
      <c r="AA48" s="54">
        <f t="shared" si="10"/>
        <v>4210.9983655333826</v>
      </c>
      <c r="AB48" s="54">
        <f t="shared" si="11"/>
        <v>4365.1983655333825</v>
      </c>
      <c r="AC48" s="41">
        <v>0.1</v>
      </c>
      <c r="AD48" s="35">
        <f t="shared" si="12"/>
        <v>8.4621324023096536E-2</v>
      </c>
      <c r="AE48" s="45">
        <f t="shared" si="13"/>
        <v>265</v>
      </c>
      <c r="AF48" s="34">
        <f>VLOOKUP(B48,Migration!A$2:B$189,2,FALSE)</f>
        <v>626</v>
      </c>
      <c r="AG48" s="34">
        <f t="shared" si="14"/>
        <v>0.05</v>
      </c>
      <c r="AH48" s="34" t="str">
        <f t="shared" si="15"/>
        <v>Increase</v>
      </c>
      <c r="AI48" s="62">
        <f t="shared" si="16"/>
        <v>0.19989792014512617</v>
      </c>
      <c r="AJ48" s="65">
        <f t="shared" si="17"/>
        <v>0</v>
      </c>
    </row>
    <row r="49" spans="1:36" s="52" customFormat="1" x14ac:dyDescent="0.3">
      <c r="A49" s="31" t="s">
        <v>75</v>
      </c>
      <c r="B49" s="46" t="s">
        <v>75</v>
      </c>
      <c r="C49" s="46"/>
      <c r="D49" s="32">
        <f>SUM(D2:D48)</f>
        <v>115272</v>
      </c>
      <c r="E49" s="32">
        <f t="shared" ref="E49:F49" si="20">SUM(E2:E48)</f>
        <v>339167</v>
      </c>
      <c r="F49" s="32">
        <f t="shared" si="20"/>
        <v>369145.16726554319</v>
      </c>
      <c r="G49" s="47">
        <v>1.0147857047578982E-2</v>
      </c>
      <c r="H49" s="47">
        <v>0.36773412409320844</v>
      </c>
      <c r="I49" s="47">
        <v>0.36325018725823166</v>
      </c>
      <c r="J49" s="47">
        <v>0.1737756389866508</v>
      </c>
      <c r="K49" s="47">
        <v>6.744374557506233E-2</v>
      </c>
      <c r="L49" s="47">
        <v>1.7648447039267795E-2</v>
      </c>
      <c r="M49" s="48">
        <f t="shared" si="0"/>
        <v>3746.0323872153645</v>
      </c>
      <c r="N49" s="48">
        <f t="shared" si="1"/>
        <v>135747.27474763544</v>
      </c>
      <c r="O49" s="48">
        <f t="shared" si="2"/>
        <v>134092.05113467982</v>
      </c>
      <c r="P49" s="48">
        <f t="shared" si="3"/>
        <v>64148.437320403857</v>
      </c>
      <c r="Q49" s="48">
        <f t="shared" si="4"/>
        <v>24896.532741321123</v>
      </c>
      <c r="R49" s="48">
        <f t="shared" si="5"/>
        <v>6514.8389342875907</v>
      </c>
      <c r="S49" s="49">
        <f>VLOOKUP(A49,'Education graduates'!$A$3:$E$49,5,FALSE)</f>
        <v>13224</v>
      </c>
      <c r="T49" s="49"/>
      <c r="U49" s="55">
        <f>SUM(U2:U48)</f>
        <v>378156.99576879339</v>
      </c>
      <c r="V49" s="55">
        <f t="shared" ref="V49:AB49" si="21">SUM(V2:V48)</f>
        <v>398210.221495668</v>
      </c>
      <c r="W49" s="55">
        <f t="shared" si="21"/>
        <v>418135.77581786987</v>
      </c>
      <c r="X49" s="55">
        <f t="shared" si="21"/>
        <v>437934.86450536526</v>
      </c>
      <c r="Y49" s="55">
        <f t="shared" si="21"/>
        <v>457608.67795580009</v>
      </c>
      <c r="Z49" s="55">
        <f t="shared" si="21"/>
        <v>477158.39142479171</v>
      </c>
      <c r="AA49" s="55">
        <f t="shared" si="21"/>
        <v>496585.16525251494</v>
      </c>
      <c r="AB49" s="55">
        <f t="shared" si="21"/>
        <v>515890.14508664981</v>
      </c>
      <c r="AC49" s="50">
        <v>0.1</v>
      </c>
      <c r="AD49" s="47"/>
      <c r="AE49" s="51">
        <f>SUM(AE2:AE48)</f>
        <v>36160.766790040092</v>
      </c>
      <c r="AF49" s="51">
        <f>SUM(AF2:AF48)</f>
        <v>36547</v>
      </c>
      <c r="AJ49" s="65">
        <f t="shared" si="17"/>
        <v>8.5092192614330125E-2</v>
      </c>
    </row>
    <row r="50" spans="1:36" ht="28" x14ac:dyDescent="0.3">
      <c r="U50" s="56" t="s">
        <v>149</v>
      </c>
      <c r="V50" s="56" t="s">
        <v>150</v>
      </c>
      <c r="W50" s="56" t="s">
        <v>151</v>
      </c>
      <c r="X50" s="56" t="s">
        <v>152</v>
      </c>
      <c r="Y50" s="56" t="s">
        <v>153</v>
      </c>
      <c r="Z50" s="56" t="s">
        <v>154</v>
      </c>
      <c r="AA50" s="56" t="s">
        <v>155</v>
      </c>
      <c r="AB50" s="56" t="s">
        <v>156</v>
      </c>
      <c r="AF50" s="62">
        <f>AF49/F49</f>
        <v>9.9004411382988669E-2</v>
      </c>
      <c r="AJ50" s="65"/>
    </row>
    <row r="51" spans="1:36" x14ac:dyDescent="0.3">
      <c r="F51" s="59">
        <v>369145.16726554302</v>
      </c>
    </row>
    <row r="52" spans="1:36" x14ac:dyDescent="0.3">
      <c r="U52" s="58"/>
      <c r="V52" s="58"/>
      <c r="W52" s="58"/>
      <c r="X52" s="58"/>
      <c r="Y52" s="58"/>
      <c r="Z52" s="58"/>
      <c r="AA52" s="58"/>
      <c r="AB52" s="58"/>
    </row>
    <row r="53" spans="1:36" x14ac:dyDescent="0.3">
      <c r="U53" s="61">
        <v>373599.17882707535</v>
      </c>
      <c r="V53" s="61">
        <v>394680.86162272212</v>
      </c>
      <c r="W53" s="61">
        <v>415620.36165329255</v>
      </c>
      <c r="X53" s="61">
        <v>436418.63785260986</v>
      </c>
      <c r="Y53" s="61">
        <v>457076.64268708852</v>
      </c>
      <c r="Z53" s="61">
        <v>477595.32219935267</v>
      </c>
      <c r="AA53" s="61">
        <v>497975.61605156068</v>
      </c>
      <c r="AB53" s="61">
        <v>518218.45756843738</v>
      </c>
    </row>
    <row r="55" spans="1:36" x14ac:dyDescent="0.3">
      <c r="U55" s="59">
        <v>375582.75606156455</v>
      </c>
      <c r="V55" s="59">
        <v>398362.22203037294</v>
      </c>
      <c r="W55" s="59">
        <v>420988.05474846769</v>
      </c>
      <c r="X55" s="59">
        <v>443461.29037603614</v>
      </c>
      <c r="Y55" s="59">
        <v>465782.9580850132</v>
      </c>
      <c r="Z55" s="59">
        <v>487954.0801062127</v>
      </c>
      <c r="AA55" s="59">
        <v>509975.67177614104</v>
      </c>
      <c r="AB55" s="59">
        <v>531848.74158349494</v>
      </c>
    </row>
    <row r="56" spans="1:36" x14ac:dyDescent="0.3">
      <c r="U56" s="59">
        <v>377410.10606156464</v>
      </c>
      <c r="V56" s="59">
        <v>400177.24769752537</v>
      </c>
      <c r="W56" s="59">
        <v>422790.83920268936</v>
      </c>
      <c r="X56" s="59">
        <v>445251.91617665207</v>
      </c>
      <c r="Y56" s="59">
        <v>467561.50723453745</v>
      </c>
      <c r="Z56" s="59">
        <v>489720.63405410363</v>
      </c>
      <c r="AA56" s="59">
        <v>511730.31142253138</v>
      </c>
      <c r="AB56" s="59">
        <v>533591.54728289659</v>
      </c>
    </row>
    <row r="57" spans="1:36" x14ac:dyDescent="0.3">
      <c r="U57" s="64">
        <f>U55/U56-1</f>
        <v>-4.8418152313652874E-3</v>
      </c>
      <c r="V57" s="64">
        <f t="shared" ref="V57:AB57" si="22">V55/V56-1</f>
        <v>-4.5355543764554751E-3</v>
      </c>
      <c r="W57" s="64">
        <f t="shared" si="22"/>
        <v>-4.2640102080295783E-3</v>
      </c>
      <c r="X57" s="64">
        <f t="shared" si="22"/>
        <v>-4.0216015598358856E-3</v>
      </c>
      <c r="Y57" s="64">
        <f t="shared" si="22"/>
        <v>-3.8038827448473311E-3</v>
      </c>
      <c r="Z57" s="64">
        <f t="shared" si="22"/>
        <v>-3.6072687672289439E-3</v>
      </c>
      <c r="AA57" s="64">
        <f t="shared" si="22"/>
        <v>-3.4288366493528954E-3</v>
      </c>
      <c r="AB57" s="64">
        <f t="shared" si="22"/>
        <v>-3.2661793618662394E-3</v>
      </c>
    </row>
  </sheetData>
  <phoneticPr fontId="8" type="noConversion"/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9572-13FB-47B2-8972-25494BF2D630}">
  <sheetPr>
    <tabColor rgb="FF00B05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FA5D-D78F-4067-82BB-F614310C507D}">
  <sheetPr>
    <tabColor rgb="FF00B050"/>
  </sheetPr>
  <dimension ref="A1:F49"/>
  <sheetViews>
    <sheetView topLeftCell="A30" workbookViewId="0">
      <selection activeCell="G44" sqref="G44"/>
    </sheetView>
  </sheetViews>
  <sheetFormatPr defaultRowHeight="14" x14ac:dyDescent="0.3"/>
  <cols>
    <col min="1" max="1" width="18.54296875" style="34" bestFit="1" customWidth="1"/>
    <col min="2" max="2" width="12.6328125" style="34" customWidth="1"/>
    <col min="3" max="3" width="27.54296875" style="34" bestFit="1" customWidth="1"/>
    <col min="4" max="4" width="26.7265625" style="34" bestFit="1" customWidth="1"/>
    <col min="5" max="16384" width="8.7265625" style="34"/>
  </cols>
  <sheetData>
    <row r="1" spans="1:6" x14ac:dyDescent="0.3">
      <c r="A1" s="25" t="s">
        <v>146</v>
      </c>
      <c r="B1" s="25" t="s">
        <v>136</v>
      </c>
      <c r="C1" s="25" t="s">
        <v>144</v>
      </c>
      <c r="D1" s="25" t="s">
        <v>145</v>
      </c>
      <c r="E1" s="25" t="s">
        <v>147</v>
      </c>
    </row>
    <row r="2" spans="1:6" s="28" customFormat="1" x14ac:dyDescent="0.3">
      <c r="A2" s="28" t="s">
        <v>78</v>
      </c>
      <c r="B2" s="28" t="s">
        <v>4</v>
      </c>
      <c r="E2" s="25">
        <f>C2+D2</f>
        <v>0</v>
      </c>
      <c r="F2" s="39"/>
    </row>
    <row r="3" spans="1:6" x14ac:dyDescent="0.3">
      <c r="A3" s="25" t="s">
        <v>80</v>
      </c>
      <c r="B3" s="25" t="s">
        <v>28</v>
      </c>
      <c r="C3" s="25"/>
      <c r="D3" s="25"/>
      <c r="E3" s="25">
        <f t="shared" ref="E3:E15" si="0">C3+D3</f>
        <v>0</v>
      </c>
    </row>
    <row r="4" spans="1:6" x14ac:dyDescent="0.3">
      <c r="A4" s="25" t="s">
        <v>81</v>
      </c>
      <c r="B4" s="25" t="s">
        <v>0</v>
      </c>
      <c r="C4" s="25">
        <v>173</v>
      </c>
      <c r="D4" s="25">
        <v>118</v>
      </c>
      <c r="E4" s="25">
        <f t="shared" si="0"/>
        <v>291</v>
      </c>
    </row>
    <row r="5" spans="1:6" x14ac:dyDescent="0.3">
      <c r="A5" s="25" t="s">
        <v>82</v>
      </c>
      <c r="B5" s="25" t="s">
        <v>1</v>
      </c>
      <c r="C5" s="25">
        <v>8</v>
      </c>
      <c r="D5" s="25"/>
      <c r="E5" s="25">
        <f t="shared" si="0"/>
        <v>8</v>
      </c>
    </row>
    <row r="6" spans="1:6" x14ac:dyDescent="0.3">
      <c r="A6" s="25" t="s">
        <v>84</v>
      </c>
      <c r="B6" s="25" t="s">
        <v>20</v>
      </c>
      <c r="C6" s="25">
        <v>325</v>
      </c>
      <c r="D6" s="25">
        <v>253</v>
      </c>
      <c r="E6" s="25">
        <f t="shared" si="0"/>
        <v>578</v>
      </c>
    </row>
    <row r="7" spans="1:6" x14ac:dyDescent="0.3">
      <c r="A7" s="25" t="s">
        <v>86</v>
      </c>
      <c r="B7" s="25" t="s">
        <v>19</v>
      </c>
      <c r="C7" s="25">
        <v>319</v>
      </c>
      <c r="D7" s="25"/>
      <c r="E7" s="25">
        <f t="shared" si="0"/>
        <v>319</v>
      </c>
    </row>
    <row r="8" spans="1:6" x14ac:dyDescent="0.3">
      <c r="A8" s="25" t="s">
        <v>87</v>
      </c>
      <c r="B8" s="25" t="s">
        <v>24</v>
      </c>
      <c r="C8" s="25"/>
      <c r="D8" s="25"/>
      <c r="E8" s="25">
        <f t="shared" si="0"/>
        <v>0</v>
      </c>
    </row>
    <row r="9" spans="1:6" x14ac:dyDescent="0.3">
      <c r="A9" s="25" t="s">
        <v>88</v>
      </c>
      <c r="B9" s="25" t="s">
        <v>3</v>
      </c>
      <c r="C9" s="25"/>
      <c r="D9" s="25"/>
      <c r="E9" s="25">
        <f t="shared" si="0"/>
        <v>0</v>
      </c>
    </row>
    <row r="10" spans="1:6" x14ac:dyDescent="0.3">
      <c r="A10" s="28" t="s">
        <v>89</v>
      </c>
      <c r="B10" s="25" t="s">
        <v>29</v>
      </c>
      <c r="C10" s="25"/>
      <c r="D10" s="25"/>
      <c r="E10" s="25">
        <f t="shared" si="0"/>
        <v>0</v>
      </c>
    </row>
    <row r="11" spans="1:6" x14ac:dyDescent="0.3">
      <c r="A11" s="25" t="s">
        <v>90</v>
      </c>
      <c r="B11" s="25" t="s">
        <v>23</v>
      </c>
      <c r="C11" s="25">
        <v>107</v>
      </c>
      <c r="D11" s="25">
        <v>6</v>
      </c>
      <c r="E11" s="25">
        <f t="shared" si="0"/>
        <v>113</v>
      </c>
    </row>
    <row r="12" spans="1:6" s="28" customFormat="1" x14ac:dyDescent="0.3">
      <c r="A12" s="28" t="s">
        <v>91</v>
      </c>
      <c r="B12" s="28" t="s">
        <v>31</v>
      </c>
      <c r="E12" s="25">
        <f t="shared" si="0"/>
        <v>0</v>
      </c>
      <c r="F12" s="39"/>
    </row>
    <row r="13" spans="1:6" x14ac:dyDescent="0.3">
      <c r="A13" s="25" t="s">
        <v>92</v>
      </c>
      <c r="B13" s="25" t="s">
        <v>26</v>
      </c>
      <c r="C13" s="25">
        <v>39</v>
      </c>
      <c r="D13" s="25">
        <v>0</v>
      </c>
      <c r="E13" s="25">
        <f t="shared" si="0"/>
        <v>39</v>
      </c>
    </row>
    <row r="14" spans="1:6" x14ac:dyDescent="0.3">
      <c r="A14" s="25" t="s">
        <v>93</v>
      </c>
      <c r="B14" s="25" t="s">
        <v>2</v>
      </c>
      <c r="C14" s="25">
        <v>254</v>
      </c>
      <c r="D14" s="25">
        <v>11</v>
      </c>
      <c r="E14" s="25">
        <f t="shared" si="0"/>
        <v>265</v>
      </c>
    </row>
    <row r="15" spans="1:6" x14ac:dyDescent="0.3">
      <c r="A15" s="25" t="s">
        <v>94</v>
      </c>
      <c r="B15" s="25" t="s">
        <v>30</v>
      </c>
      <c r="C15" s="25"/>
      <c r="D15" s="25">
        <v>27</v>
      </c>
      <c r="E15" s="25">
        <f t="shared" si="0"/>
        <v>27</v>
      </c>
    </row>
    <row r="16" spans="1:6" x14ac:dyDescent="0.3">
      <c r="A16" s="28" t="s">
        <v>95</v>
      </c>
      <c r="B16" s="28" t="s">
        <v>35</v>
      </c>
      <c r="C16" s="25"/>
      <c r="D16" s="25"/>
      <c r="E16" s="25">
        <f>C16+D16</f>
        <v>0</v>
      </c>
    </row>
    <row r="17" spans="1:5" x14ac:dyDescent="0.3">
      <c r="A17" s="25" t="s">
        <v>96</v>
      </c>
      <c r="B17" s="25" t="s">
        <v>5</v>
      </c>
      <c r="C17" s="25">
        <v>44</v>
      </c>
      <c r="D17" s="25">
        <v>1</v>
      </c>
      <c r="E17" s="25">
        <f t="shared" ref="E17:E49" si="1">C17+D17</f>
        <v>45</v>
      </c>
    </row>
    <row r="18" spans="1:5" x14ac:dyDescent="0.3">
      <c r="A18" s="25" t="s">
        <v>97</v>
      </c>
      <c r="B18" s="25" t="s">
        <v>12</v>
      </c>
      <c r="C18" s="25"/>
      <c r="D18" s="25"/>
      <c r="E18" s="25">
        <f t="shared" si="1"/>
        <v>0</v>
      </c>
    </row>
    <row r="19" spans="1:5" x14ac:dyDescent="0.3">
      <c r="A19" s="25" t="s">
        <v>98</v>
      </c>
      <c r="B19" s="25" t="s">
        <v>32</v>
      </c>
      <c r="C19" s="25">
        <v>2895</v>
      </c>
      <c r="D19" s="25">
        <v>41</v>
      </c>
      <c r="E19" s="25">
        <f t="shared" si="1"/>
        <v>2936</v>
      </c>
    </row>
    <row r="20" spans="1:5" x14ac:dyDescent="0.3">
      <c r="A20" s="25" t="s">
        <v>99</v>
      </c>
      <c r="B20" s="25" t="s">
        <v>21</v>
      </c>
      <c r="C20" s="25">
        <v>46</v>
      </c>
      <c r="D20" s="25">
        <v>16</v>
      </c>
      <c r="E20" s="25">
        <f t="shared" si="1"/>
        <v>62</v>
      </c>
    </row>
    <row r="21" spans="1:5" x14ac:dyDescent="0.3">
      <c r="A21" s="25" t="s">
        <v>100</v>
      </c>
      <c r="B21" s="25" t="s">
        <v>34</v>
      </c>
      <c r="C21" s="25"/>
      <c r="D21" s="25"/>
      <c r="E21" s="25">
        <f t="shared" si="1"/>
        <v>0</v>
      </c>
    </row>
    <row r="22" spans="1:5" x14ac:dyDescent="0.3">
      <c r="A22" s="25" t="s">
        <v>101</v>
      </c>
      <c r="B22" s="25" t="s">
        <v>6</v>
      </c>
      <c r="C22" s="25"/>
      <c r="D22" s="25"/>
      <c r="E22" s="25">
        <f t="shared" si="1"/>
        <v>0</v>
      </c>
    </row>
    <row r="23" spans="1:5" x14ac:dyDescent="0.3">
      <c r="A23" s="25" t="s">
        <v>102</v>
      </c>
      <c r="B23" s="25" t="s">
        <v>33</v>
      </c>
      <c r="C23" s="25">
        <v>767</v>
      </c>
      <c r="D23" s="25">
        <v>74</v>
      </c>
      <c r="E23" s="25">
        <f t="shared" si="1"/>
        <v>841</v>
      </c>
    </row>
    <row r="24" spans="1:5" x14ac:dyDescent="0.3">
      <c r="A24" s="25" t="s">
        <v>103</v>
      </c>
      <c r="B24" s="25" t="s">
        <v>25</v>
      </c>
      <c r="C24" s="25">
        <v>69</v>
      </c>
      <c r="D24" s="25"/>
      <c r="E24" s="25">
        <f t="shared" si="1"/>
        <v>69</v>
      </c>
    </row>
    <row r="25" spans="1:5" x14ac:dyDescent="0.3">
      <c r="A25" s="28" t="s">
        <v>104</v>
      </c>
      <c r="B25" s="28" t="s">
        <v>7</v>
      </c>
      <c r="C25" s="25"/>
      <c r="D25" s="25"/>
      <c r="E25" s="25">
        <f t="shared" si="1"/>
        <v>0</v>
      </c>
    </row>
    <row r="26" spans="1:5" x14ac:dyDescent="0.3">
      <c r="A26" s="25" t="s">
        <v>105</v>
      </c>
      <c r="B26" s="25" t="s">
        <v>37</v>
      </c>
      <c r="C26" s="25"/>
      <c r="D26" s="25"/>
      <c r="E26" s="25">
        <f t="shared" si="1"/>
        <v>0</v>
      </c>
    </row>
    <row r="27" spans="1:5" x14ac:dyDescent="0.3">
      <c r="A27" s="25" t="s">
        <v>106</v>
      </c>
      <c r="B27" s="25" t="s">
        <v>36</v>
      </c>
      <c r="C27" s="25">
        <v>47</v>
      </c>
      <c r="D27" s="25">
        <v>15</v>
      </c>
      <c r="E27" s="25">
        <f t="shared" si="1"/>
        <v>62</v>
      </c>
    </row>
    <row r="28" spans="1:5" x14ac:dyDescent="0.3">
      <c r="A28" s="25" t="s">
        <v>107</v>
      </c>
      <c r="B28" s="25" t="s">
        <v>8</v>
      </c>
      <c r="C28" s="25">
        <v>367</v>
      </c>
      <c r="D28" s="25">
        <v>37</v>
      </c>
      <c r="E28" s="25">
        <f t="shared" si="1"/>
        <v>404</v>
      </c>
    </row>
    <row r="29" spans="1:5" x14ac:dyDescent="0.3">
      <c r="A29" s="25" t="s">
        <v>108</v>
      </c>
      <c r="B29" s="25" t="s">
        <v>10</v>
      </c>
      <c r="C29" s="25">
        <v>101</v>
      </c>
      <c r="D29" s="25"/>
      <c r="E29" s="25">
        <f t="shared" si="1"/>
        <v>101</v>
      </c>
    </row>
    <row r="30" spans="1:5" x14ac:dyDescent="0.3">
      <c r="A30" s="25" t="s">
        <v>109</v>
      </c>
      <c r="B30" s="25" t="s">
        <v>38</v>
      </c>
      <c r="C30" s="25"/>
      <c r="D30" s="25"/>
      <c r="E30" s="25">
        <f t="shared" si="1"/>
        <v>0</v>
      </c>
    </row>
    <row r="31" spans="1:5" x14ac:dyDescent="0.3">
      <c r="A31" s="25" t="s">
        <v>110</v>
      </c>
      <c r="B31" s="25" t="s">
        <v>39</v>
      </c>
      <c r="C31" s="25">
        <v>74</v>
      </c>
      <c r="D31" s="25">
        <v>13</v>
      </c>
      <c r="E31" s="25">
        <f t="shared" si="1"/>
        <v>87</v>
      </c>
    </row>
    <row r="32" spans="1:5" x14ac:dyDescent="0.3">
      <c r="A32" s="25" t="s">
        <v>111</v>
      </c>
      <c r="B32" s="25" t="s">
        <v>40</v>
      </c>
      <c r="C32" s="25"/>
      <c r="D32" s="25"/>
      <c r="E32" s="25">
        <f t="shared" si="1"/>
        <v>0</v>
      </c>
    </row>
    <row r="33" spans="1:5" x14ac:dyDescent="0.3">
      <c r="A33" s="25" t="s">
        <v>112</v>
      </c>
      <c r="B33" s="25" t="s">
        <v>9</v>
      </c>
      <c r="C33" s="42">
        <v>819</v>
      </c>
      <c r="D33" s="25"/>
      <c r="E33" s="25">
        <f t="shared" si="1"/>
        <v>819</v>
      </c>
    </row>
    <row r="34" spans="1:5" x14ac:dyDescent="0.3">
      <c r="A34" s="25" t="s">
        <v>113</v>
      </c>
      <c r="B34" s="25" t="s">
        <v>41</v>
      </c>
      <c r="C34" s="25">
        <v>70</v>
      </c>
      <c r="D34" s="25">
        <v>3</v>
      </c>
      <c r="E34" s="25">
        <f t="shared" si="1"/>
        <v>73</v>
      </c>
    </row>
    <row r="35" spans="1:5" x14ac:dyDescent="0.3">
      <c r="A35" s="25" t="s">
        <v>114</v>
      </c>
      <c r="B35" s="25" t="s">
        <v>42</v>
      </c>
      <c r="C35" s="25">
        <v>196</v>
      </c>
      <c r="D35" s="25"/>
      <c r="E35" s="25">
        <f t="shared" si="1"/>
        <v>196</v>
      </c>
    </row>
    <row r="36" spans="1:5" x14ac:dyDescent="0.3">
      <c r="A36" s="25" t="s">
        <v>115</v>
      </c>
      <c r="B36" s="25" t="s">
        <v>27</v>
      </c>
      <c r="C36" s="25">
        <v>3766</v>
      </c>
      <c r="D36" s="25"/>
      <c r="E36" s="25">
        <f t="shared" si="1"/>
        <v>3766</v>
      </c>
    </row>
    <row r="37" spans="1:5" x14ac:dyDescent="0.3">
      <c r="A37" s="25" t="s">
        <v>116</v>
      </c>
      <c r="B37" s="25" t="s">
        <v>43</v>
      </c>
      <c r="C37" s="25">
        <v>11</v>
      </c>
      <c r="D37" s="25"/>
      <c r="E37" s="25">
        <f t="shared" si="1"/>
        <v>11</v>
      </c>
    </row>
    <row r="38" spans="1:5" x14ac:dyDescent="0.3">
      <c r="A38" s="28" t="s">
        <v>117</v>
      </c>
      <c r="B38" s="28" t="s">
        <v>45</v>
      </c>
      <c r="C38" s="25"/>
      <c r="D38" s="25"/>
      <c r="E38" s="25">
        <f t="shared" si="1"/>
        <v>0</v>
      </c>
    </row>
    <row r="39" spans="1:5" x14ac:dyDescent="0.3">
      <c r="A39" s="25" t="s">
        <v>118</v>
      </c>
      <c r="B39" s="25" t="s">
        <v>22</v>
      </c>
      <c r="C39" s="25"/>
      <c r="D39" s="25"/>
      <c r="E39" s="25">
        <f t="shared" si="1"/>
        <v>0</v>
      </c>
    </row>
    <row r="40" spans="1:5" x14ac:dyDescent="0.3">
      <c r="A40" s="28" t="s">
        <v>119</v>
      </c>
      <c r="B40" s="28" t="s">
        <v>13</v>
      </c>
      <c r="C40" s="25"/>
      <c r="D40" s="25"/>
      <c r="E40" s="25">
        <f t="shared" si="1"/>
        <v>0</v>
      </c>
    </row>
    <row r="41" spans="1:5" x14ac:dyDescent="0.3">
      <c r="A41" s="25" t="s">
        <v>120</v>
      </c>
      <c r="B41" s="25" t="s">
        <v>11</v>
      </c>
      <c r="C41" s="42">
        <v>39</v>
      </c>
      <c r="D41" s="25"/>
      <c r="E41" s="25">
        <f t="shared" si="1"/>
        <v>39</v>
      </c>
    </row>
    <row r="42" spans="1:5" x14ac:dyDescent="0.3">
      <c r="A42" s="25" t="s">
        <v>121</v>
      </c>
      <c r="B42" s="25" t="s">
        <v>16</v>
      </c>
      <c r="C42" s="25"/>
      <c r="D42" s="25"/>
      <c r="E42" s="25">
        <f t="shared" si="1"/>
        <v>0</v>
      </c>
    </row>
    <row r="43" spans="1:5" x14ac:dyDescent="0.3">
      <c r="A43" s="25" t="s">
        <v>122</v>
      </c>
      <c r="B43" s="25" t="s">
        <v>44</v>
      </c>
      <c r="C43" s="25"/>
      <c r="D43" s="25"/>
      <c r="E43" s="25">
        <f t="shared" si="1"/>
        <v>0</v>
      </c>
    </row>
    <row r="44" spans="1:5" x14ac:dyDescent="0.3">
      <c r="A44" s="25" t="s">
        <v>123</v>
      </c>
      <c r="B44" s="25" t="s">
        <v>46</v>
      </c>
      <c r="C44" s="25">
        <v>1076</v>
      </c>
      <c r="D44" s="25">
        <v>304</v>
      </c>
      <c r="E44" s="25">
        <f t="shared" si="1"/>
        <v>1380</v>
      </c>
    </row>
    <row r="45" spans="1:5" x14ac:dyDescent="0.3">
      <c r="A45" s="25" t="s">
        <v>124</v>
      </c>
      <c r="B45" s="25" t="s">
        <v>14</v>
      </c>
      <c r="C45" s="25">
        <v>40</v>
      </c>
      <c r="D45" s="25">
        <v>51</v>
      </c>
      <c r="E45" s="25">
        <f t="shared" si="1"/>
        <v>91</v>
      </c>
    </row>
    <row r="46" spans="1:5" x14ac:dyDescent="0.3">
      <c r="A46" s="25" t="s">
        <v>125</v>
      </c>
      <c r="B46" s="25" t="s">
        <v>15</v>
      </c>
      <c r="C46" s="25">
        <v>62</v>
      </c>
      <c r="D46" s="25">
        <v>328</v>
      </c>
      <c r="E46" s="25">
        <f t="shared" si="1"/>
        <v>390</v>
      </c>
    </row>
    <row r="47" spans="1:5" x14ac:dyDescent="0.3">
      <c r="A47" s="25" t="s">
        <v>126</v>
      </c>
      <c r="B47" s="25" t="s">
        <v>17</v>
      </c>
      <c r="C47" s="25"/>
      <c r="D47" s="25"/>
      <c r="E47" s="25">
        <f t="shared" si="1"/>
        <v>0</v>
      </c>
    </row>
    <row r="48" spans="1:5" x14ac:dyDescent="0.3">
      <c r="A48" s="25" t="s">
        <v>127</v>
      </c>
      <c r="B48" s="25" t="s">
        <v>18</v>
      </c>
      <c r="C48" s="25">
        <v>212</v>
      </c>
      <c r="D48" s="25"/>
      <c r="E48" s="25">
        <f t="shared" si="1"/>
        <v>212</v>
      </c>
    </row>
    <row r="49" spans="1:5" x14ac:dyDescent="0.3">
      <c r="A49" s="25" t="s">
        <v>75</v>
      </c>
      <c r="B49" s="25" t="s">
        <v>75</v>
      </c>
      <c r="C49" s="25">
        <f>SUM(C2:C48)</f>
        <v>11926</v>
      </c>
      <c r="D49" s="25">
        <f>SUM(D2:D48)</f>
        <v>1298</v>
      </c>
      <c r="E49" s="25">
        <f t="shared" si="1"/>
        <v>13224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2A50-496B-4A46-A2A5-45172EDA46F2}">
  <dimension ref="A1:O50"/>
  <sheetViews>
    <sheetView workbookViewId="0">
      <selection activeCell="E51" sqref="E51"/>
    </sheetView>
  </sheetViews>
  <sheetFormatPr defaultRowHeight="14.5" x14ac:dyDescent="0.35"/>
  <cols>
    <col min="1" max="1" width="29.36328125" bestFit="1" customWidth="1"/>
    <col min="2" max="2" width="29.36328125" customWidth="1"/>
    <col min="6" max="6" width="22.81640625" bestFit="1" customWidth="1"/>
    <col min="7" max="7" width="10.81640625" bestFit="1" customWidth="1"/>
    <col min="8" max="8" width="25.6328125" bestFit="1" customWidth="1"/>
    <col min="9" max="9" width="18.26953125" bestFit="1" customWidth="1"/>
    <col min="10" max="10" width="16" bestFit="1" customWidth="1"/>
    <col min="11" max="11" width="37.81640625" bestFit="1" customWidth="1"/>
  </cols>
  <sheetData>
    <row r="1" spans="1:15" x14ac:dyDescent="0.35">
      <c r="A1" t="s">
        <v>47</v>
      </c>
      <c r="B1" t="s">
        <v>192</v>
      </c>
      <c r="C1" t="s">
        <v>144</v>
      </c>
      <c r="D1" t="s">
        <v>145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72</v>
      </c>
      <c r="O1" t="s">
        <v>170</v>
      </c>
    </row>
    <row r="2" spans="1:15" x14ac:dyDescent="0.35">
      <c r="A2" t="s">
        <v>78</v>
      </c>
      <c r="B2" t="s">
        <v>4</v>
      </c>
      <c r="C2">
        <v>0</v>
      </c>
      <c r="N2">
        <v>0</v>
      </c>
      <c r="O2" t="s">
        <v>171</v>
      </c>
    </row>
    <row r="3" spans="1:15" x14ac:dyDescent="0.35">
      <c r="A3" t="s">
        <v>80</v>
      </c>
      <c r="B3" t="s">
        <v>28</v>
      </c>
      <c r="C3">
        <v>611</v>
      </c>
      <c r="E3">
        <v>145</v>
      </c>
      <c r="G3">
        <v>529</v>
      </c>
      <c r="J3">
        <v>2950</v>
      </c>
      <c r="N3">
        <v>4235</v>
      </c>
      <c r="O3" t="s">
        <v>172</v>
      </c>
    </row>
    <row r="4" spans="1:15" x14ac:dyDescent="0.35">
      <c r="A4" t="s">
        <v>81</v>
      </c>
      <c r="B4" t="s">
        <v>0</v>
      </c>
      <c r="C4">
        <v>780</v>
      </c>
      <c r="D4">
        <v>385</v>
      </c>
      <c r="G4">
        <v>143</v>
      </c>
      <c r="I4">
        <v>247</v>
      </c>
      <c r="J4">
        <v>257</v>
      </c>
      <c r="K4">
        <v>1113</v>
      </c>
      <c r="M4">
        <v>1194</v>
      </c>
      <c r="N4">
        <v>4119</v>
      </c>
      <c r="O4" t="s">
        <v>173</v>
      </c>
    </row>
    <row r="5" spans="1:15" x14ac:dyDescent="0.35">
      <c r="A5" t="s">
        <v>82</v>
      </c>
      <c r="B5" t="s">
        <v>1</v>
      </c>
      <c r="C5">
        <v>60</v>
      </c>
      <c r="D5">
        <v>48</v>
      </c>
      <c r="E5">
        <v>7</v>
      </c>
      <c r="F5">
        <v>10</v>
      </c>
      <c r="G5">
        <v>95</v>
      </c>
      <c r="H5">
        <v>60</v>
      </c>
      <c r="I5">
        <v>40</v>
      </c>
      <c r="J5">
        <v>490</v>
      </c>
      <c r="K5">
        <v>189</v>
      </c>
      <c r="L5">
        <v>30</v>
      </c>
      <c r="M5">
        <v>597</v>
      </c>
      <c r="N5">
        <v>1626</v>
      </c>
      <c r="O5" t="s">
        <v>174</v>
      </c>
    </row>
    <row r="6" spans="1:15" x14ac:dyDescent="0.35">
      <c r="A6" t="s">
        <v>84</v>
      </c>
      <c r="B6" t="s">
        <v>20</v>
      </c>
      <c r="C6">
        <v>1492</v>
      </c>
      <c r="D6">
        <v>385</v>
      </c>
      <c r="E6">
        <v>62</v>
      </c>
      <c r="G6">
        <v>594</v>
      </c>
      <c r="I6">
        <v>1170</v>
      </c>
      <c r="J6">
        <v>1170</v>
      </c>
      <c r="N6">
        <v>4873</v>
      </c>
      <c r="O6" t="s">
        <v>171</v>
      </c>
    </row>
    <row r="7" spans="1:15" x14ac:dyDescent="0.35">
      <c r="A7" t="s">
        <v>86</v>
      </c>
      <c r="B7" t="s">
        <v>19</v>
      </c>
      <c r="C7">
        <v>325</v>
      </c>
      <c r="D7">
        <v>240</v>
      </c>
      <c r="G7">
        <v>39</v>
      </c>
      <c r="I7">
        <v>196</v>
      </c>
      <c r="J7">
        <v>1467</v>
      </c>
      <c r="K7">
        <v>322</v>
      </c>
      <c r="M7">
        <v>194</v>
      </c>
      <c r="N7">
        <v>2783</v>
      </c>
      <c r="O7" t="s">
        <v>175</v>
      </c>
    </row>
    <row r="8" spans="1:15" x14ac:dyDescent="0.35">
      <c r="A8" t="s">
        <v>87</v>
      </c>
      <c r="B8" t="s">
        <v>24</v>
      </c>
      <c r="C8">
        <v>800</v>
      </c>
      <c r="J8">
        <v>2660</v>
      </c>
      <c r="K8">
        <v>800</v>
      </c>
      <c r="N8">
        <v>4260</v>
      </c>
      <c r="O8" t="s">
        <v>171</v>
      </c>
    </row>
    <row r="9" spans="1:15" x14ac:dyDescent="0.35">
      <c r="A9" t="s">
        <v>176</v>
      </c>
      <c r="B9" t="s">
        <v>3</v>
      </c>
      <c r="F9">
        <v>7</v>
      </c>
      <c r="M9">
        <v>83</v>
      </c>
      <c r="N9">
        <v>90</v>
      </c>
      <c r="O9" t="s">
        <v>171</v>
      </c>
    </row>
    <row r="10" spans="1:15" x14ac:dyDescent="0.35">
      <c r="A10" t="s">
        <v>89</v>
      </c>
      <c r="B10" t="s">
        <v>29</v>
      </c>
      <c r="C10">
        <v>18</v>
      </c>
      <c r="N10">
        <v>18</v>
      </c>
      <c r="O10" t="s">
        <v>171</v>
      </c>
    </row>
    <row r="11" spans="1:15" x14ac:dyDescent="0.35">
      <c r="A11" t="s">
        <v>90</v>
      </c>
      <c r="B11" t="s">
        <v>23</v>
      </c>
      <c r="C11">
        <v>330</v>
      </c>
      <c r="D11">
        <v>30</v>
      </c>
      <c r="G11">
        <v>80</v>
      </c>
      <c r="H11">
        <v>180</v>
      </c>
      <c r="I11">
        <v>2084</v>
      </c>
      <c r="J11">
        <v>2920</v>
      </c>
      <c r="K11">
        <v>220</v>
      </c>
      <c r="N11">
        <v>5844</v>
      </c>
      <c r="O11" t="s">
        <v>171</v>
      </c>
    </row>
    <row r="12" spans="1:15" x14ac:dyDescent="0.35">
      <c r="A12" t="s">
        <v>91</v>
      </c>
      <c r="B12" t="s">
        <v>31</v>
      </c>
      <c r="I12">
        <v>29</v>
      </c>
      <c r="J12">
        <v>40</v>
      </c>
      <c r="N12">
        <v>69</v>
      </c>
      <c r="O12" t="s">
        <v>177</v>
      </c>
    </row>
    <row r="13" spans="1:15" x14ac:dyDescent="0.35">
      <c r="A13" t="s">
        <v>92</v>
      </c>
      <c r="B13" t="s">
        <v>26</v>
      </c>
      <c r="C13">
        <v>60</v>
      </c>
      <c r="D13">
        <v>315</v>
      </c>
      <c r="F13">
        <v>10</v>
      </c>
      <c r="H13">
        <v>5</v>
      </c>
      <c r="I13">
        <v>120</v>
      </c>
      <c r="J13">
        <v>60</v>
      </c>
      <c r="L13">
        <v>50</v>
      </c>
      <c r="M13">
        <v>408</v>
      </c>
      <c r="N13">
        <v>1028</v>
      </c>
      <c r="O13" t="s">
        <v>174</v>
      </c>
    </row>
    <row r="14" spans="1:15" x14ac:dyDescent="0.35">
      <c r="A14" t="s">
        <v>93</v>
      </c>
      <c r="B14" t="s">
        <v>2</v>
      </c>
      <c r="C14">
        <v>254</v>
      </c>
      <c r="D14">
        <v>48</v>
      </c>
      <c r="H14">
        <v>151</v>
      </c>
      <c r="J14">
        <v>1007</v>
      </c>
      <c r="K14">
        <v>1106</v>
      </c>
      <c r="M14">
        <v>450</v>
      </c>
      <c r="N14">
        <v>3016</v>
      </c>
      <c r="O14" t="s">
        <v>171</v>
      </c>
    </row>
    <row r="15" spans="1:15" x14ac:dyDescent="0.35">
      <c r="A15" t="s">
        <v>178</v>
      </c>
      <c r="B15" t="s">
        <v>30</v>
      </c>
      <c r="C15">
        <v>6020</v>
      </c>
      <c r="E15">
        <v>66</v>
      </c>
      <c r="G15">
        <v>178</v>
      </c>
      <c r="H15">
        <v>328</v>
      </c>
      <c r="I15">
        <v>3453</v>
      </c>
      <c r="J15">
        <v>24061</v>
      </c>
      <c r="K15">
        <v>2571</v>
      </c>
      <c r="M15">
        <v>3151</v>
      </c>
      <c r="N15">
        <v>39828</v>
      </c>
      <c r="O15" t="s">
        <v>171</v>
      </c>
    </row>
    <row r="16" spans="1:15" x14ac:dyDescent="0.35">
      <c r="A16" t="s">
        <v>95</v>
      </c>
      <c r="B16" t="s">
        <v>35</v>
      </c>
      <c r="C16">
        <v>767</v>
      </c>
      <c r="I16">
        <v>492</v>
      </c>
      <c r="J16">
        <v>962</v>
      </c>
      <c r="K16">
        <v>27</v>
      </c>
      <c r="M16">
        <v>1304</v>
      </c>
      <c r="N16">
        <v>3552</v>
      </c>
      <c r="O16" t="s">
        <v>171</v>
      </c>
    </row>
    <row r="17" spans="1:15" x14ac:dyDescent="0.35">
      <c r="A17" t="s">
        <v>96</v>
      </c>
      <c r="B17" t="s">
        <v>5</v>
      </c>
      <c r="J17">
        <v>400</v>
      </c>
      <c r="M17">
        <v>1023</v>
      </c>
      <c r="N17">
        <v>1423</v>
      </c>
      <c r="O17" t="s">
        <v>179</v>
      </c>
    </row>
    <row r="18" spans="1:15" x14ac:dyDescent="0.35">
      <c r="A18" t="s">
        <v>97</v>
      </c>
      <c r="B18" t="s">
        <v>12</v>
      </c>
      <c r="G18">
        <v>44</v>
      </c>
      <c r="H18">
        <v>30</v>
      </c>
      <c r="I18">
        <v>80</v>
      </c>
      <c r="J18">
        <v>160</v>
      </c>
      <c r="K18">
        <v>78</v>
      </c>
      <c r="M18">
        <v>58</v>
      </c>
      <c r="N18">
        <v>450</v>
      </c>
      <c r="O18" t="s">
        <v>171</v>
      </c>
    </row>
    <row r="19" spans="1:15" x14ac:dyDescent="0.35">
      <c r="A19" t="s">
        <v>98</v>
      </c>
      <c r="B19" t="s">
        <v>32</v>
      </c>
      <c r="C19">
        <v>3114</v>
      </c>
      <c r="D19">
        <v>880</v>
      </c>
      <c r="E19">
        <v>189</v>
      </c>
      <c r="F19">
        <v>64</v>
      </c>
      <c r="G19">
        <v>699</v>
      </c>
      <c r="H19">
        <v>2878</v>
      </c>
      <c r="I19">
        <v>2440</v>
      </c>
      <c r="J19">
        <v>6298</v>
      </c>
      <c r="K19">
        <v>1220</v>
      </c>
      <c r="L19">
        <v>1613</v>
      </c>
      <c r="M19">
        <v>3672</v>
      </c>
      <c r="N19">
        <v>23067</v>
      </c>
      <c r="O19" t="s">
        <v>180</v>
      </c>
    </row>
    <row r="20" spans="1:15" x14ac:dyDescent="0.35">
      <c r="A20" t="s">
        <v>99</v>
      </c>
      <c r="B20" t="s">
        <v>21</v>
      </c>
      <c r="C20">
        <v>46</v>
      </c>
      <c r="D20">
        <v>16</v>
      </c>
      <c r="G20">
        <v>2</v>
      </c>
      <c r="I20">
        <v>34</v>
      </c>
      <c r="J20">
        <v>95</v>
      </c>
      <c r="K20">
        <v>6</v>
      </c>
      <c r="N20">
        <v>199</v>
      </c>
      <c r="O20" t="s">
        <v>171</v>
      </c>
    </row>
    <row r="21" spans="1:15" x14ac:dyDescent="0.35">
      <c r="A21" t="s">
        <v>100</v>
      </c>
      <c r="B21" t="s">
        <v>34</v>
      </c>
      <c r="C21">
        <v>23</v>
      </c>
      <c r="J21">
        <v>137</v>
      </c>
      <c r="K21">
        <v>6</v>
      </c>
      <c r="N21">
        <v>166</v>
      </c>
      <c r="O21" t="s">
        <v>171</v>
      </c>
    </row>
    <row r="22" spans="1:15" x14ac:dyDescent="0.35">
      <c r="A22" t="s">
        <v>101</v>
      </c>
      <c r="B22" t="s">
        <v>6</v>
      </c>
      <c r="C22">
        <v>1566</v>
      </c>
      <c r="G22">
        <v>343</v>
      </c>
      <c r="I22">
        <v>4827</v>
      </c>
      <c r="J22">
        <v>21271</v>
      </c>
      <c r="K22">
        <v>396</v>
      </c>
      <c r="N22">
        <v>28403</v>
      </c>
      <c r="O22" t="s">
        <v>181</v>
      </c>
    </row>
    <row r="23" spans="1:15" x14ac:dyDescent="0.35">
      <c r="A23" t="s">
        <v>102</v>
      </c>
      <c r="B23" t="s">
        <v>33</v>
      </c>
      <c r="C23">
        <v>767</v>
      </c>
      <c r="D23">
        <v>74</v>
      </c>
      <c r="G23">
        <v>113</v>
      </c>
      <c r="H23">
        <v>34</v>
      </c>
      <c r="I23">
        <v>492</v>
      </c>
      <c r="J23">
        <v>964</v>
      </c>
      <c r="K23">
        <v>27</v>
      </c>
      <c r="M23">
        <v>1304</v>
      </c>
      <c r="N23">
        <v>3775</v>
      </c>
      <c r="O23" t="s">
        <v>171</v>
      </c>
    </row>
    <row r="24" spans="1:15" x14ac:dyDescent="0.35">
      <c r="A24" t="s">
        <v>103</v>
      </c>
      <c r="B24" t="s">
        <v>25</v>
      </c>
      <c r="K24">
        <v>23</v>
      </c>
      <c r="M24">
        <v>489</v>
      </c>
      <c r="N24">
        <v>512</v>
      </c>
      <c r="O24" t="s">
        <v>171</v>
      </c>
    </row>
    <row r="25" spans="1:15" x14ac:dyDescent="0.35">
      <c r="A25" t="s">
        <v>104</v>
      </c>
      <c r="B25" t="s">
        <v>7</v>
      </c>
      <c r="C25">
        <v>558</v>
      </c>
      <c r="E25">
        <v>36</v>
      </c>
      <c r="G25">
        <v>379</v>
      </c>
      <c r="H25">
        <v>20</v>
      </c>
      <c r="J25">
        <v>1070</v>
      </c>
      <c r="K25">
        <v>519</v>
      </c>
      <c r="M25">
        <v>366</v>
      </c>
      <c r="N25">
        <v>2948</v>
      </c>
      <c r="O25" t="s">
        <v>182</v>
      </c>
    </row>
    <row r="26" spans="1:15" x14ac:dyDescent="0.35">
      <c r="A26" t="s">
        <v>105</v>
      </c>
      <c r="B26" t="s">
        <v>37</v>
      </c>
      <c r="C26">
        <v>8</v>
      </c>
      <c r="D26">
        <v>22</v>
      </c>
      <c r="E26">
        <v>8</v>
      </c>
      <c r="G26">
        <v>33</v>
      </c>
      <c r="H26">
        <v>20</v>
      </c>
      <c r="I26">
        <v>69</v>
      </c>
      <c r="J26">
        <v>376</v>
      </c>
      <c r="K26">
        <v>20</v>
      </c>
      <c r="N26">
        <v>556</v>
      </c>
      <c r="O26" t="s">
        <v>171</v>
      </c>
    </row>
    <row r="27" spans="1:15" x14ac:dyDescent="0.35">
      <c r="A27" t="s">
        <v>106</v>
      </c>
      <c r="B27" t="s">
        <v>36</v>
      </c>
      <c r="C27">
        <v>29</v>
      </c>
      <c r="D27">
        <v>50</v>
      </c>
      <c r="G27">
        <v>22</v>
      </c>
      <c r="J27">
        <v>63</v>
      </c>
      <c r="K27">
        <v>56</v>
      </c>
      <c r="M27">
        <v>50</v>
      </c>
      <c r="N27">
        <v>270</v>
      </c>
      <c r="O27" t="s">
        <v>171</v>
      </c>
    </row>
    <row r="28" spans="1:15" x14ac:dyDescent="0.35">
      <c r="A28" t="s">
        <v>107</v>
      </c>
      <c r="B28" t="s">
        <v>8</v>
      </c>
      <c r="C28">
        <v>316</v>
      </c>
      <c r="D28">
        <v>156</v>
      </c>
      <c r="I28">
        <v>2473</v>
      </c>
      <c r="J28">
        <v>2540</v>
      </c>
      <c r="K28">
        <v>116</v>
      </c>
      <c r="M28">
        <v>297</v>
      </c>
      <c r="N28">
        <v>5898</v>
      </c>
      <c r="O28" t="s">
        <v>171</v>
      </c>
    </row>
    <row r="29" spans="1:15" x14ac:dyDescent="0.35">
      <c r="A29" t="s">
        <v>108</v>
      </c>
      <c r="B29" t="s">
        <v>10</v>
      </c>
      <c r="C29">
        <v>115</v>
      </c>
      <c r="D29">
        <v>167</v>
      </c>
      <c r="G29">
        <v>110</v>
      </c>
      <c r="H29">
        <v>189</v>
      </c>
      <c r="I29">
        <v>1171</v>
      </c>
      <c r="J29">
        <v>386</v>
      </c>
      <c r="K29">
        <v>175</v>
      </c>
      <c r="M29">
        <v>616</v>
      </c>
      <c r="N29">
        <v>2929</v>
      </c>
      <c r="O29" t="s">
        <v>171</v>
      </c>
    </row>
    <row r="30" spans="1:15" x14ac:dyDescent="0.35">
      <c r="A30" t="s">
        <v>109</v>
      </c>
      <c r="B30" t="s">
        <v>38</v>
      </c>
      <c r="N30">
        <v>0</v>
      </c>
      <c r="O30" t="s">
        <v>171</v>
      </c>
    </row>
    <row r="31" spans="1:15" x14ac:dyDescent="0.35">
      <c r="A31" t="s">
        <v>110</v>
      </c>
      <c r="B31" t="s">
        <v>39</v>
      </c>
      <c r="D31">
        <v>76</v>
      </c>
      <c r="J31">
        <v>113</v>
      </c>
      <c r="M31">
        <v>366</v>
      </c>
      <c r="N31">
        <v>555</v>
      </c>
      <c r="O31" t="s">
        <v>171</v>
      </c>
    </row>
    <row r="32" spans="1:15" x14ac:dyDescent="0.35">
      <c r="A32" t="s">
        <v>111</v>
      </c>
      <c r="B32" t="s">
        <v>40</v>
      </c>
      <c r="C32">
        <v>432</v>
      </c>
      <c r="I32">
        <v>40</v>
      </c>
      <c r="J32">
        <v>175</v>
      </c>
      <c r="M32">
        <v>39</v>
      </c>
      <c r="N32">
        <v>686</v>
      </c>
      <c r="O32" t="s">
        <v>183</v>
      </c>
    </row>
    <row r="33" spans="1:15" x14ac:dyDescent="0.35">
      <c r="A33" t="s">
        <v>112</v>
      </c>
      <c r="B33" t="s">
        <v>9</v>
      </c>
      <c r="C33">
        <v>819</v>
      </c>
      <c r="D33">
        <v>146</v>
      </c>
      <c r="E33">
        <v>161</v>
      </c>
      <c r="H33">
        <v>112</v>
      </c>
      <c r="I33">
        <v>140</v>
      </c>
      <c r="J33">
        <v>580</v>
      </c>
      <c r="K33">
        <v>248</v>
      </c>
      <c r="L33">
        <v>20</v>
      </c>
      <c r="N33">
        <v>2226</v>
      </c>
      <c r="O33" t="s">
        <v>184</v>
      </c>
    </row>
    <row r="34" spans="1:15" x14ac:dyDescent="0.35">
      <c r="A34" t="s">
        <v>113</v>
      </c>
      <c r="B34" t="s">
        <v>41</v>
      </c>
      <c r="C34">
        <v>475</v>
      </c>
      <c r="D34">
        <v>3</v>
      </c>
      <c r="G34">
        <v>247</v>
      </c>
      <c r="H34">
        <v>31</v>
      </c>
      <c r="I34">
        <v>1414</v>
      </c>
      <c r="J34">
        <v>200</v>
      </c>
      <c r="K34">
        <v>121</v>
      </c>
      <c r="M34">
        <v>175</v>
      </c>
      <c r="N34">
        <v>2666</v>
      </c>
      <c r="O34" t="s">
        <v>185</v>
      </c>
    </row>
    <row r="35" spans="1:15" x14ac:dyDescent="0.35">
      <c r="A35" t="s">
        <v>114</v>
      </c>
      <c r="B35" t="s">
        <v>42</v>
      </c>
      <c r="C35">
        <v>370</v>
      </c>
      <c r="D35">
        <v>14</v>
      </c>
      <c r="I35">
        <v>124</v>
      </c>
      <c r="J35">
        <v>305</v>
      </c>
      <c r="K35">
        <v>45</v>
      </c>
      <c r="M35">
        <v>1891</v>
      </c>
      <c r="N35">
        <v>2749</v>
      </c>
      <c r="O35" t="s">
        <v>186</v>
      </c>
    </row>
    <row r="36" spans="1:15" x14ac:dyDescent="0.35">
      <c r="A36" t="s">
        <v>115</v>
      </c>
      <c r="B36" t="s">
        <v>27</v>
      </c>
      <c r="C36">
        <v>4340</v>
      </c>
      <c r="E36">
        <v>459</v>
      </c>
      <c r="I36">
        <v>375</v>
      </c>
      <c r="J36">
        <v>12835</v>
      </c>
      <c r="K36">
        <v>1774</v>
      </c>
      <c r="N36">
        <v>19783</v>
      </c>
      <c r="O36" t="s">
        <v>171</v>
      </c>
    </row>
    <row r="37" spans="1:15" x14ac:dyDescent="0.35">
      <c r="A37" t="s">
        <v>116</v>
      </c>
      <c r="B37" t="s">
        <v>43</v>
      </c>
      <c r="C37">
        <v>11</v>
      </c>
      <c r="G37">
        <v>95</v>
      </c>
      <c r="I37">
        <v>176</v>
      </c>
      <c r="J37">
        <v>355</v>
      </c>
      <c r="M37">
        <v>81</v>
      </c>
      <c r="N37">
        <v>718</v>
      </c>
      <c r="O37" t="s">
        <v>171</v>
      </c>
    </row>
    <row r="38" spans="1:15" x14ac:dyDescent="0.35">
      <c r="A38" t="s">
        <v>117</v>
      </c>
      <c r="B38" t="s">
        <v>45</v>
      </c>
      <c r="N38">
        <v>0</v>
      </c>
      <c r="O38" t="s">
        <v>171</v>
      </c>
    </row>
    <row r="39" spans="1:15" x14ac:dyDescent="0.35">
      <c r="A39" t="s">
        <v>118</v>
      </c>
      <c r="B39" t="s">
        <v>22</v>
      </c>
      <c r="C39">
        <v>434</v>
      </c>
      <c r="D39">
        <v>137</v>
      </c>
      <c r="E39">
        <v>67</v>
      </c>
      <c r="G39">
        <v>171</v>
      </c>
      <c r="I39">
        <v>104</v>
      </c>
      <c r="J39">
        <v>582</v>
      </c>
      <c r="K39">
        <v>36</v>
      </c>
      <c r="M39">
        <v>710</v>
      </c>
      <c r="N39">
        <v>2241</v>
      </c>
      <c r="O39" t="s">
        <v>171</v>
      </c>
    </row>
    <row r="40" spans="1:15" x14ac:dyDescent="0.35">
      <c r="A40" t="s">
        <v>119</v>
      </c>
      <c r="B40" t="s">
        <v>13</v>
      </c>
      <c r="C40">
        <v>10</v>
      </c>
      <c r="H40">
        <v>20</v>
      </c>
      <c r="I40">
        <v>10</v>
      </c>
      <c r="J40">
        <v>40</v>
      </c>
      <c r="M40">
        <v>80</v>
      </c>
      <c r="N40">
        <v>160</v>
      </c>
      <c r="O40" t="s">
        <v>171</v>
      </c>
    </row>
    <row r="41" spans="1:15" x14ac:dyDescent="0.35">
      <c r="A41" t="s">
        <v>120</v>
      </c>
      <c r="B41" t="s">
        <v>11</v>
      </c>
      <c r="C41">
        <v>217</v>
      </c>
      <c r="G41">
        <v>69</v>
      </c>
      <c r="H41">
        <v>51</v>
      </c>
      <c r="I41">
        <v>120</v>
      </c>
      <c r="J41">
        <v>1755</v>
      </c>
      <c r="K41">
        <v>90</v>
      </c>
      <c r="M41">
        <v>186</v>
      </c>
      <c r="N41">
        <v>2488</v>
      </c>
      <c r="O41" t="s">
        <v>171</v>
      </c>
    </row>
    <row r="42" spans="1:15" x14ac:dyDescent="0.35">
      <c r="A42" t="s">
        <v>121</v>
      </c>
      <c r="B42" t="s">
        <v>16</v>
      </c>
      <c r="C42">
        <v>998</v>
      </c>
      <c r="E42">
        <v>805</v>
      </c>
      <c r="G42">
        <v>1291</v>
      </c>
      <c r="J42">
        <v>3154</v>
      </c>
      <c r="K42">
        <v>451</v>
      </c>
      <c r="M42">
        <v>13559</v>
      </c>
      <c r="N42">
        <v>20258</v>
      </c>
      <c r="O42" t="s">
        <v>187</v>
      </c>
    </row>
    <row r="43" spans="1:15" x14ac:dyDescent="0.35">
      <c r="A43" t="s">
        <v>122</v>
      </c>
      <c r="B43" t="s">
        <v>44</v>
      </c>
      <c r="I43">
        <v>307</v>
      </c>
      <c r="J43">
        <v>241</v>
      </c>
      <c r="K43">
        <v>681</v>
      </c>
      <c r="M43">
        <v>484</v>
      </c>
      <c r="N43">
        <v>1713</v>
      </c>
      <c r="O43" t="s">
        <v>171</v>
      </c>
    </row>
    <row r="44" spans="1:15" x14ac:dyDescent="0.35">
      <c r="A44" t="s">
        <v>123</v>
      </c>
      <c r="B44" t="s">
        <v>46</v>
      </c>
      <c r="C44">
        <v>891</v>
      </c>
      <c r="D44">
        <v>1597</v>
      </c>
      <c r="E44">
        <v>80</v>
      </c>
      <c r="H44">
        <v>629</v>
      </c>
      <c r="I44">
        <v>2084</v>
      </c>
      <c r="J44">
        <v>2920</v>
      </c>
      <c r="K44">
        <v>17</v>
      </c>
      <c r="M44">
        <v>5457</v>
      </c>
      <c r="N44">
        <v>13114</v>
      </c>
      <c r="O44" t="s">
        <v>188</v>
      </c>
    </row>
    <row r="45" spans="1:15" x14ac:dyDescent="0.35">
      <c r="A45" t="s">
        <v>124</v>
      </c>
      <c r="B45" t="s">
        <v>14</v>
      </c>
      <c r="C45">
        <v>77</v>
      </c>
      <c r="D45">
        <v>37</v>
      </c>
      <c r="G45">
        <v>60</v>
      </c>
      <c r="I45">
        <v>130</v>
      </c>
      <c r="J45">
        <v>240</v>
      </c>
      <c r="K45">
        <v>215</v>
      </c>
      <c r="M45">
        <v>250</v>
      </c>
      <c r="N45">
        <v>1009</v>
      </c>
      <c r="O45" t="s">
        <v>189</v>
      </c>
    </row>
    <row r="46" spans="1:15" x14ac:dyDescent="0.35">
      <c r="A46" t="s">
        <v>125</v>
      </c>
      <c r="B46" t="s">
        <v>15</v>
      </c>
      <c r="C46">
        <v>1997</v>
      </c>
      <c r="D46">
        <v>246</v>
      </c>
      <c r="E46">
        <v>41</v>
      </c>
      <c r="F46">
        <v>220</v>
      </c>
      <c r="G46">
        <v>120</v>
      </c>
      <c r="H46">
        <v>1860</v>
      </c>
      <c r="I46">
        <v>8990</v>
      </c>
      <c r="J46">
        <v>14001</v>
      </c>
      <c r="K46">
        <v>3610</v>
      </c>
      <c r="M46">
        <v>1020</v>
      </c>
      <c r="N46">
        <v>32105</v>
      </c>
      <c r="O46" t="s">
        <v>171</v>
      </c>
    </row>
    <row r="47" spans="1:15" x14ac:dyDescent="0.35">
      <c r="A47" t="s">
        <v>126</v>
      </c>
      <c r="B47" t="s">
        <v>17</v>
      </c>
      <c r="C47">
        <v>115</v>
      </c>
      <c r="F47">
        <v>36</v>
      </c>
      <c r="H47">
        <v>180</v>
      </c>
      <c r="I47">
        <v>1939</v>
      </c>
      <c r="J47">
        <v>5272</v>
      </c>
      <c r="K47">
        <v>282</v>
      </c>
      <c r="L47">
        <v>100</v>
      </c>
      <c r="M47">
        <v>400</v>
      </c>
      <c r="N47">
        <v>8309</v>
      </c>
      <c r="O47" t="s">
        <v>190</v>
      </c>
    </row>
    <row r="48" spans="1:15" x14ac:dyDescent="0.35">
      <c r="A48" t="s">
        <v>127</v>
      </c>
      <c r="B48" t="s">
        <v>18</v>
      </c>
      <c r="C48">
        <v>265</v>
      </c>
      <c r="D48">
        <v>30</v>
      </c>
      <c r="E48">
        <v>80</v>
      </c>
      <c r="F48">
        <v>30</v>
      </c>
      <c r="G48">
        <v>155</v>
      </c>
      <c r="H48">
        <v>30</v>
      </c>
      <c r="I48">
        <v>270</v>
      </c>
      <c r="J48">
        <v>1100</v>
      </c>
      <c r="K48">
        <v>358</v>
      </c>
      <c r="M48">
        <v>421</v>
      </c>
      <c r="N48">
        <v>2739</v>
      </c>
      <c r="O48" t="s">
        <v>191</v>
      </c>
    </row>
    <row r="49" spans="3:14" x14ac:dyDescent="0.35">
      <c r="C49">
        <v>28934</v>
      </c>
      <c r="D49">
        <v>5102</v>
      </c>
      <c r="E49">
        <v>2206</v>
      </c>
      <c r="F49">
        <v>377</v>
      </c>
      <c r="G49">
        <v>5611</v>
      </c>
      <c r="H49">
        <v>6808</v>
      </c>
      <c r="I49">
        <v>35640</v>
      </c>
      <c r="J49">
        <v>115672</v>
      </c>
      <c r="K49">
        <v>16918</v>
      </c>
      <c r="L49">
        <v>1813</v>
      </c>
      <c r="M49">
        <v>40375</v>
      </c>
      <c r="N49">
        <v>259456</v>
      </c>
    </row>
    <row r="50" spans="3:14" x14ac:dyDescent="0.35">
      <c r="M50">
        <v>0.15873546317337253</v>
      </c>
      <c r="N50">
        <v>254354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0427-6846-4AC8-A2C8-0EF0406CA2E2}">
  <dimension ref="A1:C49"/>
  <sheetViews>
    <sheetView topLeftCell="A5" workbookViewId="0">
      <selection activeCell="A15" sqref="A15"/>
    </sheetView>
  </sheetViews>
  <sheetFormatPr defaultRowHeight="14.5" x14ac:dyDescent="0.35"/>
  <cols>
    <col min="1" max="1" width="20.90625" bestFit="1" customWidth="1"/>
    <col min="2" max="2" width="20.90625" customWidth="1"/>
    <col min="3" max="3" width="34.26953125" bestFit="1" customWidth="1"/>
  </cols>
  <sheetData>
    <row r="1" spans="1:3" x14ac:dyDescent="0.35">
      <c r="A1" s="22" t="s">
        <v>47</v>
      </c>
      <c r="B1" s="22" t="s">
        <v>76</v>
      </c>
      <c r="C1" s="22" t="s">
        <v>77</v>
      </c>
    </row>
    <row r="2" spans="1:3" x14ac:dyDescent="0.35">
      <c r="A2" t="s">
        <v>78</v>
      </c>
      <c r="B2" t="s">
        <v>4</v>
      </c>
      <c r="C2" t="s">
        <v>79</v>
      </c>
    </row>
    <row r="3" spans="1:3" x14ac:dyDescent="0.35">
      <c r="A3" t="s">
        <v>80</v>
      </c>
      <c r="B3" t="s">
        <v>28</v>
      </c>
      <c r="C3" t="s">
        <v>79</v>
      </c>
    </row>
    <row r="4" spans="1:3" x14ac:dyDescent="0.35">
      <c r="A4" t="s">
        <v>81</v>
      </c>
      <c r="B4" t="s">
        <v>0</v>
      </c>
      <c r="C4" t="s">
        <v>79</v>
      </c>
    </row>
    <row r="5" spans="1:3" x14ac:dyDescent="0.35">
      <c r="A5" t="s">
        <v>82</v>
      </c>
      <c r="B5" t="s">
        <v>1</v>
      </c>
      <c r="C5" t="s">
        <v>83</v>
      </c>
    </row>
    <row r="6" spans="1:3" x14ac:dyDescent="0.35">
      <c r="A6" t="s">
        <v>84</v>
      </c>
      <c r="B6" t="s">
        <v>20</v>
      </c>
      <c r="C6" t="s">
        <v>85</v>
      </c>
    </row>
    <row r="7" spans="1:3" x14ac:dyDescent="0.35">
      <c r="A7" t="s">
        <v>86</v>
      </c>
      <c r="B7" t="s">
        <v>19</v>
      </c>
      <c r="C7" t="s">
        <v>85</v>
      </c>
    </row>
    <row r="8" spans="1:3" x14ac:dyDescent="0.35">
      <c r="A8" t="s">
        <v>87</v>
      </c>
      <c r="B8" t="s">
        <v>24</v>
      </c>
      <c r="C8" t="s">
        <v>79</v>
      </c>
    </row>
    <row r="9" spans="1:3" x14ac:dyDescent="0.35">
      <c r="A9" t="s">
        <v>176</v>
      </c>
      <c r="B9" t="s">
        <v>3</v>
      </c>
      <c r="C9" t="s">
        <v>79</v>
      </c>
    </row>
    <row r="10" spans="1:3" x14ac:dyDescent="0.35">
      <c r="A10" t="s">
        <v>89</v>
      </c>
      <c r="B10" t="s">
        <v>29</v>
      </c>
      <c r="C10" t="s">
        <v>85</v>
      </c>
    </row>
    <row r="11" spans="1:3" x14ac:dyDescent="0.35">
      <c r="A11" t="s">
        <v>90</v>
      </c>
      <c r="B11" t="s">
        <v>23</v>
      </c>
      <c r="C11" t="s">
        <v>85</v>
      </c>
    </row>
    <row r="12" spans="1:3" x14ac:dyDescent="0.35">
      <c r="A12" t="s">
        <v>91</v>
      </c>
      <c r="B12" t="s">
        <v>31</v>
      </c>
      <c r="C12" t="s">
        <v>79</v>
      </c>
    </row>
    <row r="13" spans="1:3" x14ac:dyDescent="0.35">
      <c r="A13" t="s">
        <v>92</v>
      </c>
      <c r="B13" t="s">
        <v>26</v>
      </c>
      <c r="C13" t="s">
        <v>79</v>
      </c>
    </row>
    <row r="14" spans="1:3" x14ac:dyDescent="0.35">
      <c r="A14" t="s">
        <v>93</v>
      </c>
      <c r="B14" t="s">
        <v>2</v>
      </c>
      <c r="C14" t="s">
        <v>79</v>
      </c>
    </row>
    <row r="15" spans="1:3" x14ac:dyDescent="0.35">
      <c r="A15" t="s">
        <v>178</v>
      </c>
      <c r="B15" t="s">
        <v>30</v>
      </c>
      <c r="C15" t="s">
        <v>85</v>
      </c>
    </row>
    <row r="16" spans="1:3" x14ac:dyDescent="0.35">
      <c r="A16" t="s">
        <v>95</v>
      </c>
      <c r="B16" t="s">
        <v>35</v>
      </c>
      <c r="C16" t="s">
        <v>83</v>
      </c>
    </row>
    <row r="17" spans="1:3" x14ac:dyDescent="0.35">
      <c r="A17" t="s">
        <v>96</v>
      </c>
      <c r="B17" t="s">
        <v>5</v>
      </c>
      <c r="C17" t="s">
        <v>85</v>
      </c>
    </row>
    <row r="18" spans="1:3" x14ac:dyDescent="0.35">
      <c r="A18" t="s">
        <v>97</v>
      </c>
      <c r="B18" t="s">
        <v>12</v>
      </c>
      <c r="C18" t="s">
        <v>79</v>
      </c>
    </row>
    <row r="19" spans="1:3" x14ac:dyDescent="0.35">
      <c r="A19" t="s">
        <v>98</v>
      </c>
      <c r="B19" t="s">
        <v>32</v>
      </c>
      <c r="C19" t="s">
        <v>85</v>
      </c>
    </row>
    <row r="20" spans="1:3" x14ac:dyDescent="0.35">
      <c r="A20" t="s">
        <v>99</v>
      </c>
      <c r="B20" t="s">
        <v>21</v>
      </c>
      <c r="C20" t="s">
        <v>83</v>
      </c>
    </row>
    <row r="21" spans="1:3" x14ac:dyDescent="0.35">
      <c r="A21" t="s">
        <v>100</v>
      </c>
      <c r="B21" t="s">
        <v>34</v>
      </c>
      <c r="C21" t="s">
        <v>85</v>
      </c>
    </row>
    <row r="22" spans="1:3" x14ac:dyDescent="0.35">
      <c r="A22" t="s">
        <v>101</v>
      </c>
      <c r="B22" t="s">
        <v>6</v>
      </c>
      <c r="C22" t="s">
        <v>79</v>
      </c>
    </row>
    <row r="23" spans="1:3" x14ac:dyDescent="0.35">
      <c r="A23" t="s">
        <v>102</v>
      </c>
      <c r="B23" t="s">
        <v>33</v>
      </c>
      <c r="C23" t="s">
        <v>85</v>
      </c>
    </row>
    <row r="24" spans="1:3" x14ac:dyDescent="0.35">
      <c r="A24" t="s">
        <v>103</v>
      </c>
      <c r="B24" t="s">
        <v>25</v>
      </c>
      <c r="C24" t="s">
        <v>85</v>
      </c>
    </row>
    <row r="25" spans="1:3" x14ac:dyDescent="0.35">
      <c r="A25" t="s">
        <v>104</v>
      </c>
      <c r="B25" t="s">
        <v>7</v>
      </c>
      <c r="C25" t="s">
        <v>79</v>
      </c>
    </row>
    <row r="26" spans="1:3" x14ac:dyDescent="0.35">
      <c r="A26" t="s">
        <v>105</v>
      </c>
      <c r="B26" t="s">
        <v>37</v>
      </c>
      <c r="C26" t="s">
        <v>79</v>
      </c>
    </row>
    <row r="27" spans="1:3" x14ac:dyDescent="0.35">
      <c r="A27" t="s">
        <v>106</v>
      </c>
      <c r="B27" t="s">
        <v>36</v>
      </c>
      <c r="C27" t="s">
        <v>85</v>
      </c>
    </row>
    <row r="28" spans="1:3" x14ac:dyDescent="0.35">
      <c r="A28" t="s">
        <v>107</v>
      </c>
      <c r="B28" t="s">
        <v>8</v>
      </c>
      <c r="C28" t="s">
        <v>85</v>
      </c>
    </row>
    <row r="29" spans="1:3" x14ac:dyDescent="0.35">
      <c r="A29" t="s">
        <v>108</v>
      </c>
      <c r="B29" t="s">
        <v>10</v>
      </c>
      <c r="C29" t="s">
        <v>85</v>
      </c>
    </row>
    <row r="30" spans="1:3" x14ac:dyDescent="0.35">
      <c r="A30" t="s">
        <v>109</v>
      </c>
      <c r="B30" t="s">
        <v>38</v>
      </c>
      <c r="C30" t="s">
        <v>85</v>
      </c>
    </row>
    <row r="31" spans="1:3" x14ac:dyDescent="0.35">
      <c r="A31" t="s">
        <v>110</v>
      </c>
      <c r="B31" t="s">
        <v>39</v>
      </c>
      <c r="C31" t="s">
        <v>79</v>
      </c>
    </row>
    <row r="32" spans="1:3" x14ac:dyDescent="0.35">
      <c r="A32" t="s">
        <v>111</v>
      </c>
      <c r="B32" t="s">
        <v>40</v>
      </c>
      <c r="C32" t="s">
        <v>83</v>
      </c>
    </row>
    <row r="33" spans="1:3" x14ac:dyDescent="0.35">
      <c r="A33" t="s">
        <v>112</v>
      </c>
      <c r="B33" t="s">
        <v>9</v>
      </c>
      <c r="C33" t="s">
        <v>85</v>
      </c>
    </row>
    <row r="34" spans="1:3" x14ac:dyDescent="0.35">
      <c r="A34" t="s">
        <v>113</v>
      </c>
      <c r="B34" t="s">
        <v>41</v>
      </c>
      <c r="C34" t="s">
        <v>83</v>
      </c>
    </row>
    <row r="35" spans="1:3" x14ac:dyDescent="0.35">
      <c r="A35" t="s">
        <v>114</v>
      </c>
      <c r="B35" t="s">
        <v>42</v>
      </c>
      <c r="C35" t="s">
        <v>85</v>
      </c>
    </row>
    <row r="36" spans="1:3" x14ac:dyDescent="0.35">
      <c r="A36" t="s">
        <v>115</v>
      </c>
      <c r="B36" t="s">
        <v>27</v>
      </c>
      <c r="C36" t="s">
        <v>79</v>
      </c>
    </row>
    <row r="37" spans="1:3" x14ac:dyDescent="0.35">
      <c r="A37" t="s">
        <v>116</v>
      </c>
      <c r="B37" t="s">
        <v>43</v>
      </c>
      <c r="C37" t="s">
        <v>85</v>
      </c>
    </row>
    <row r="38" spans="1:3" x14ac:dyDescent="0.35">
      <c r="A38" t="s">
        <v>117</v>
      </c>
      <c r="B38" t="s">
        <v>45</v>
      </c>
      <c r="C38" t="s">
        <v>79</v>
      </c>
    </row>
    <row r="39" spans="1:3" x14ac:dyDescent="0.35">
      <c r="A39" t="s">
        <v>118</v>
      </c>
      <c r="B39" t="s">
        <v>22</v>
      </c>
      <c r="C39" t="s">
        <v>79</v>
      </c>
    </row>
    <row r="40" spans="1:3" x14ac:dyDescent="0.35">
      <c r="A40" t="s">
        <v>119</v>
      </c>
      <c r="B40" t="s">
        <v>13</v>
      </c>
      <c r="C40" t="s">
        <v>83</v>
      </c>
    </row>
    <row r="41" spans="1:3" x14ac:dyDescent="0.35">
      <c r="A41" t="s">
        <v>120</v>
      </c>
      <c r="B41" t="s">
        <v>11</v>
      </c>
      <c r="C41" t="s">
        <v>85</v>
      </c>
    </row>
    <row r="42" spans="1:3" x14ac:dyDescent="0.35">
      <c r="A42" t="s">
        <v>121</v>
      </c>
      <c r="B42" t="s">
        <v>16</v>
      </c>
      <c r="C42" t="s">
        <v>83</v>
      </c>
    </row>
    <row r="43" spans="1:3" x14ac:dyDescent="0.35">
      <c r="A43" t="s">
        <v>122</v>
      </c>
      <c r="B43" t="s">
        <v>44</v>
      </c>
      <c r="C43" t="s">
        <v>85</v>
      </c>
    </row>
    <row r="44" spans="1:3" x14ac:dyDescent="0.35">
      <c r="A44" t="s">
        <v>123</v>
      </c>
      <c r="B44" t="s">
        <v>46</v>
      </c>
      <c r="C44" t="s">
        <v>79</v>
      </c>
    </row>
    <row r="45" spans="1:3" x14ac:dyDescent="0.35">
      <c r="A45" t="s">
        <v>124</v>
      </c>
      <c r="B45" t="s">
        <v>14</v>
      </c>
      <c r="C45" t="s">
        <v>85</v>
      </c>
    </row>
    <row r="46" spans="1:3" x14ac:dyDescent="0.35">
      <c r="A46" t="s">
        <v>125</v>
      </c>
      <c r="B46" t="s">
        <v>15</v>
      </c>
      <c r="C46" t="s">
        <v>85</v>
      </c>
    </row>
    <row r="47" spans="1:3" x14ac:dyDescent="0.35">
      <c r="A47" t="s">
        <v>126</v>
      </c>
      <c r="B47" t="s">
        <v>17</v>
      </c>
      <c r="C47" t="s">
        <v>79</v>
      </c>
    </row>
    <row r="48" spans="1:3" x14ac:dyDescent="0.35">
      <c r="A48" t="s">
        <v>127</v>
      </c>
      <c r="B48" t="s">
        <v>18</v>
      </c>
      <c r="C48" t="s">
        <v>79</v>
      </c>
    </row>
    <row r="49" spans="1:2" x14ac:dyDescent="0.35">
      <c r="A49" t="s">
        <v>75</v>
      </c>
      <c r="B49" t="s">
        <v>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192F-A65B-4E0A-98E4-09EBFCD9D4F1}">
  <dimension ref="A1:B190"/>
  <sheetViews>
    <sheetView topLeftCell="A8" workbookViewId="0">
      <selection activeCell="C5" sqref="C5"/>
    </sheetView>
  </sheetViews>
  <sheetFormatPr defaultRowHeight="14.5" x14ac:dyDescent="0.35"/>
  <cols>
    <col min="1" max="1" width="10.6328125" bestFit="1" customWidth="1"/>
  </cols>
  <sheetData>
    <row r="1" spans="1:2" x14ac:dyDescent="0.35">
      <c r="A1" t="s">
        <v>49</v>
      </c>
      <c r="B1" t="s">
        <v>197</v>
      </c>
    </row>
    <row r="2" spans="1:2" x14ac:dyDescent="0.35">
      <c r="A2" t="s">
        <v>198</v>
      </c>
      <c r="B2">
        <v>2032</v>
      </c>
    </row>
    <row r="3" spans="1:2" x14ac:dyDescent="0.35">
      <c r="A3" t="s">
        <v>199</v>
      </c>
      <c r="B3">
        <v>496</v>
      </c>
    </row>
    <row r="4" spans="1:2" x14ac:dyDescent="0.35">
      <c r="A4" t="s">
        <v>28</v>
      </c>
      <c r="B4">
        <v>322</v>
      </c>
    </row>
    <row r="5" spans="1:2" x14ac:dyDescent="0.35">
      <c r="A5" t="s">
        <v>200</v>
      </c>
      <c r="B5">
        <v>1380</v>
      </c>
    </row>
    <row r="6" spans="1:2" x14ac:dyDescent="0.35">
      <c r="A6" t="s">
        <v>201</v>
      </c>
      <c r="B6">
        <v>5</v>
      </c>
    </row>
    <row r="7" spans="1:2" x14ac:dyDescent="0.35">
      <c r="A7" t="s">
        <v>202</v>
      </c>
      <c r="B7">
        <v>509</v>
      </c>
    </row>
    <row r="8" spans="1:2" x14ac:dyDescent="0.35">
      <c r="A8" t="s">
        <v>203</v>
      </c>
      <c r="B8">
        <v>4579</v>
      </c>
    </row>
    <row r="9" spans="1:2" x14ac:dyDescent="0.35">
      <c r="A9" t="s">
        <v>204</v>
      </c>
      <c r="B9">
        <v>955</v>
      </c>
    </row>
    <row r="10" spans="1:2" x14ac:dyDescent="0.35">
      <c r="A10" t="s">
        <v>205</v>
      </c>
      <c r="B10">
        <v>1371</v>
      </c>
    </row>
    <row r="11" spans="1:2" x14ac:dyDescent="0.35">
      <c r="A11" t="s">
        <v>206</v>
      </c>
      <c r="B11">
        <v>3504</v>
      </c>
    </row>
    <row r="12" spans="1:2" x14ac:dyDescent="0.35">
      <c r="A12" t="s">
        <v>207</v>
      </c>
      <c r="B12">
        <v>5250</v>
      </c>
    </row>
    <row r="13" spans="1:2" x14ac:dyDescent="0.35">
      <c r="A13" t="s">
        <v>208</v>
      </c>
      <c r="B13">
        <v>1648</v>
      </c>
    </row>
    <row r="14" spans="1:2" x14ac:dyDescent="0.35">
      <c r="A14" t="s">
        <v>19</v>
      </c>
      <c r="B14">
        <v>132</v>
      </c>
    </row>
    <row r="15" spans="1:2" x14ac:dyDescent="0.35">
      <c r="A15" t="s">
        <v>209</v>
      </c>
      <c r="B15">
        <v>4796</v>
      </c>
    </row>
    <row r="16" spans="1:2" x14ac:dyDescent="0.35">
      <c r="A16" t="s">
        <v>0</v>
      </c>
      <c r="B16">
        <v>173</v>
      </c>
    </row>
    <row r="17" spans="1:2" x14ac:dyDescent="0.35">
      <c r="A17" t="s">
        <v>20</v>
      </c>
      <c r="B17">
        <v>55</v>
      </c>
    </row>
    <row r="18" spans="1:2" x14ac:dyDescent="0.35">
      <c r="A18" t="s">
        <v>210</v>
      </c>
      <c r="B18">
        <v>3998</v>
      </c>
    </row>
    <row r="19" spans="1:2" x14ac:dyDescent="0.35">
      <c r="A19" t="s">
        <v>211</v>
      </c>
      <c r="B19">
        <v>6282</v>
      </c>
    </row>
    <row r="20" spans="1:2" x14ac:dyDescent="0.35">
      <c r="A20" t="s">
        <v>212</v>
      </c>
      <c r="B20">
        <v>330</v>
      </c>
    </row>
    <row r="21" spans="1:2" x14ac:dyDescent="0.35">
      <c r="A21" t="s">
        <v>213</v>
      </c>
      <c r="B21">
        <v>168</v>
      </c>
    </row>
    <row r="22" spans="1:2" x14ac:dyDescent="0.35">
      <c r="A22" t="s">
        <v>214</v>
      </c>
      <c r="B22">
        <v>1052</v>
      </c>
    </row>
    <row r="23" spans="1:2" x14ac:dyDescent="0.35">
      <c r="A23" t="s">
        <v>215</v>
      </c>
      <c r="B23">
        <v>2553</v>
      </c>
    </row>
    <row r="24" spans="1:2" x14ac:dyDescent="0.35">
      <c r="A24" t="s">
        <v>216</v>
      </c>
      <c r="B24">
        <v>192</v>
      </c>
    </row>
    <row r="25" spans="1:2" x14ac:dyDescent="0.35">
      <c r="A25" t="s">
        <v>217</v>
      </c>
      <c r="B25">
        <v>2081</v>
      </c>
    </row>
    <row r="26" spans="1:2" x14ac:dyDescent="0.35">
      <c r="A26" t="s">
        <v>218</v>
      </c>
      <c r="B26">
        <v>3709</v>
      </c>
    </row>
    <row r="27" spans="1:2" x14ac:dyDescent="0.35">
      <c r="A27" t="s">
        <v>219</v>
      </c>
      <c r="B27">
        <v>115</v>
      </c>
    </row>
    <row r="28" spans="1:2" x14ac:dyDescent="0.35">
      <c r="A28" t="s">
        <v>220</v>
      </c>
      <c r="B28">
        <v>3</v>
      </c>
    </row>
    <row r="29" spans="1:2" x14ac:dyDescent="0.35">
      <c r="A29" t="s">
        <v>221</v>
      </c>
      <c r="B29">
        <v>2</v>
      </c>
    </row>
    <row r="30" spans="1:2" x14ac:dyDescent="0.35">
      <c r="A30" t="s">
        <v>1</v>
      </c>
      <c r="B30">
        <v>19</v>
      </c>
    </row>
    <row r="31" spans="1:2" x14ac:dyDescent="0.35">
      <c r="A31" t="s">
        <v>29</v>
      </c>
      <c r="B31">
        <v>21</v>
      </c>
    </row>
    <row r="32" spans="1:2" x14ac:dyDescent="0.35">
      <c r="A32" t="s">
        <v>222</v>
      </c>
      <c r="B32">
        <v>8549</v>
      </c>
    </row>
    <row r="33" spans="1:2" x14ac:dyDescent="0.35">
      <c r="A33" t="s">
        <v>223</v>
      </c>
      <c r="B33">
        <v>1095</v>
      </c>
    </row>
    <row r="34" spans="1:2" x14ac:dyDescent="0.35">
      <c r="A34" t="s">
        <v>224</v>
      </c>
      <c r="B34">
        <v>725</v>
      </c>
    </row>
    <row r="35" spans="1:2" x14ac:dyDescent="0.35">
      <c r="A35" t="s">
        <v>225</v>
      </c>
      <c r="B35">
        <v>8419</v>
      </c>
    </row>
    <row r="36" spans="1:2" x14ac:dyDescent="0.35">
      <c r="A36" t="s">
        <v>2</v>
      </c>
      <c r="B36">
        <v>222</v>
      </c>
    </row>
    <row r="37" spans="1:2" x14ac:dyDescent="0.35">
      <c r="A37" t="s">
        <v>24</v>
      </c>
      <c r="B37">
        <v>439</v>
      </c>
    </row>
    <row r="38" spans="1:2" x14ac:dyDescent="0.35">
      <c r="A38" t="s">
        <v>30</v>
      </c>
      <c r="B38">
        <v>309</v>
      </c>
    </row>
    <row r="39" spans="1:2" x14ac:dyDescent="0.35">
      <c r="A39" t="s">
        <v>26</v>
      </c>
      <c r="B39">
        <v>252</v>
      </c>
    </row>
    <row r="40" spans="1:2" x14ac:dyDescent="0.35">
      <c r="A40" t="s">
        <v>226</v>
      </c>
      <c r="B40">
        <v>15</v>
      </c>
    </row>
    <row r="41" spans="1:2" x14ac:dyDescent="0.35">
      <c r="A41" t="s">
        <v>227</v>
      </c>
      <c r="B41">
        <v>8290</v>
      </c>
    </row>
    <row r="42" spans="1:2" x14ac:dyDescent="0.35">
      <c r="A42" t="s">
        <v>31</v>
      </c>
      <c r="B42">
        <v>4</v>
      </c>
    </row>
    <row r="43" spans="1:2" x14ac:dyDescent="0.35">
      <c r="A43" t="s">
        <v>3</v>
      </c>
      <c r="B43">
        <v>60</v>
      </c>
    </row>
    <row r="44" spans="1:2" x14ac:dyDescent="0.35">
      <c r="A44" t="s">
        <v>228</v>
      </c>
      <c r="B44">
        <v>627</v>
      </c>
    </row>
    <row r="45" spans="1:2" x14ac:dyDescent="0.35">
      <c r="A45" t="s">
        <v>229</v>
      </c>
      <c r="B45">
        <v>6849</v>
      </c>
    </row>
    <row r="46" spans="1:2" x14ac:dyDescent="0.35">
      <c r="A46" t="s">
        <v>230</v>
      </c>
      <c r="B46">
        <v>510</v>
      </c>
    </row>
    <row r="47" spans="1:2" x14ac:dyDescent="0.35">
      <c r="A47" t="s">
        <v>231</v>
      </c>
      <c r="B47">
        <v>4845</v>
      </c>
    </row>
    <row r="48" spans="1:2" x14ac:dyDescent="0.35">
      <c r="A48" t="s">
        <v>232</v>
      </c>
      <c r="B48">
        <v>19291</v>
      </c>
    </row>
    <row r="49" spans="1:2" x14ac:dyDescent="0.35">
      <c r="A49" t="s">
        <v>233</v>
      </c>
      <c r="B49">
        <v>7</v>
      </c>
    </row>
    <row r="50" spans="1:2" x14ac:dyDescent="0.35">
      <c r="A50" t="s">
        <v>234</v>
      </c>
      <c r="B50">
        <v>10181</v>
      </c>
    </row>
    <row r="51" spans="1:2" x14ac:dyDescent="0.35">
      <c r="A51" t="s">
        <v>235</v>
      </c>
      <c r="B51">
        <v>2353</v>
      </c>
    </row>
    <row r="52" spans="1:2" x14ac:dyDescent="0.35">
      <c r="A52" t="s">
        <v>236</v>
      </c>
      <c r="B52">
        <v>6635</v>
      </c>
    </row>
    <row r="53" spans="1:2" x14ac:dyDescent="0.35">
      <c r="A53" t="s">
        <v>4</v>
      </c>
      <c r="B53">
        <v>6494</v>
      </c>
    </row>
    <row r="54" spans="1:2" x14ac:dyDescent="0.35">
      <c r="A54" t="s">
        <v>237</v>
      </c>
      <c r="B54">
        <v>3708</v>
      </c>
    </row>
    <row r="55" spans="1:2" x14ac:dyDescent="0.35">
      <c r="A55" t="s">
        <v>238</v>
      </c>
      <c r="B55">
        <v>12923</v>
      </c>
    </row>
    <row r="56" spans="1:2" x14ac:dyDescent="0.35">
      <c r="A56" t="s">
        <v>5</v>
      </c>
      <c r="B56">
        <v>6</v>
      </c>
    </row>
    <row r="57" spans="1:2" x14ac:dyDescent="0.35">
      <c r="A57" t="s">
        <v>239</v>
      </c>
      <c r="B57">
        <v>8406</v>
      </c>
    </row>
    <row r="58" spans="1:2" x14ac:dyDescent="0.35">
      <c r="A58" t="s">
        <v>240</v>
      </c>
      <c r="B58">
        <v>1870</v>
      </c>
    </row>
    <row r="59" spans="1:2" x14ac:dyDescent="0.35">
      <c r="A59" t="s">
        <v>32</v>
      </c>
      <c r="B59">
        <v>825</v>
      </c>
    </row>
    <row r="60" spans="1:2" x14ac:dyDescent="0.35">
      <c r="A60" t="s">
        <v>241</v>
      </c>
      <c r="B60">
        <v>329</v>
      </c>
    </row>
    <row r="61" spans="1:2" x14ac:dyDescent="0.35">
      <c r="A61" t="s">
        <v>242</v>
      </c>
      <c r="B61">
        <v>106</v>
      </c>
    </row>
    <row r="62" spans="1:2" x14ac:dyDescent="0.35">
      <c r="A62" t="s">
        <v>243</v>
      </c>
      <c r="B62">
        <v>5189</v>
      </c>
    </row>
    <row r="63" spans="1:2" x14ac:dyDescent="0.35">
      <c r="A63" t="s">
        <v>244</v>
      </c>
      <c r="B63">
        <v>371</v>
      </c>
    </row>
    <row r="64" spans="1:2" x14ac:dyDescent="0.35">
      <c r="A64" t="s">
        <v>21</v>
      </c>
      <c r="B64">
        <v>483</v>
      </c>
    </row>
    <row r="65" spans="1:2" x14ac:dyDescent="0.35">
      <c r="A65" t="s">
        <v>245</v>
      </c>
      <c r="B65">
        <v>20811</v>
      </c>
    </row>
    <row r="66" spans="1:2" x14ac:dyDescent="0.35">
      <c r="A66" t="s">
        <v>246</v>
      </c>
      <c r="B66">
        <v>1380</v>
      </c>
    </row>
    <row r="67" spans="1:2" x14ac:dyDescent="0.35">
      <c r="A67" t="s">
        <v>6</v>
      </c>
      <c r="B67">
        <v>1813</v>
      </c>
    </row>
    <row r="68" spans="1:2" x14ac:dyDescent="0.35">
      <c r="A68" t="s">
        <v>33</v>
      </c>
      <c r="B68">
        <v>132</v>
      </c>
    </row>
    <row r="69" spans="1:2" x14ac:dyDescent="0.35">
      <c r="A69" t="s">
        <v>34</v>
      </c>
      <c r="B69">
        <v>13</v>
      </c>
    </row>
    <row r="70" spans="1:2" x14ac:dyDescent="0.35">
      <c r="A70" t="s">
        <v>25</v>
      </c>
      <c r="B70">
        <v>3</v>
      </c>
    </row>
    <row r="71" spans="1:2" x14ac:dyDescent="0.35">
      <c r="A71" t="s">
        <v>35</v>
      </c>
      <c r="B71">
        <v>1</v>
      </c>
    </row>
    <row r="72" spans="1:2" x14ac:dyDescent="0.35">
      <c r="A72" t="s">
        <v>247</v>
      </c>
      <c r="B72">
        <v>6696</v>
      </c>
    </row>
    <row r="73" spans="1:2" x14ac:dyDescent="0.35">
      <c r="A73" t="s">
        <v>248</v>
      </c>
      <c r="B73">
        <v>11460</v>
      </c>
    </row>
    <row r="74" spans="1:2" x14ac:dyDescent="0.35">
      <c r="A74" t="s">
        <v>249</v>
      </c>
      <c r="B74">
        <v>633</v>
      </c>
    </row>
    <row r="75" spans="1:2" x14ac:dyDescent="0.35">
      <c r="A75" t="s">
        <v>250</v>
      </c>
      <c r="B75">
        <v>85</v>
      </c>
    </row>
    <row r="76" spans="1:2" x14ac:dyDescent="0.35">
      <c r="A76" t="s">
        <v>251</v>
      </c>
      <c r="B76">
        <v>393</v>
      </c>
    </row>
    <row r="77" spans="1:2" x14ac:dyDescent="0.35">
      <c r="A77" t="s">
        <v>252</v>
      </c>
      <c r="B77">
        <v>1976</v>
      </c>
    </row>
    <row r="78" spans="1:2" x14ac:dyDescent="0.35">
      <c r="A78" t="s">
        <v>253</v>
      </c>
      <c r="B78">
        <v>818</v>
      </c>
    </row>
    <row r="79" spans="1:2" x14ac:dyDescent="0.35">
      <c r="A79" t="s">
        <v>254</v>
      </c>
      <c r="B79">
        <v>7226</v>
      </c>
    </row>
    <row r="80" spans="1:2" x14ac:dyDescent="0.35">
      <c r="A80" t="s">
        <v>255</v>
      </c>
      <c r="B80">
        <v>547</v>
      </c>
    </row>
    <row r="81" spans="1:2" x14ac:dyDescent="0.35">
      <c r="A81" t="s">
        <v>256</v>
      </c>
      <c r="B81">
        <v>75279</v>
      </c>
    </row>
    <row r="82" spans="1:2" x14ac:dyDescent="0.35">
      <c r="A82" t="s">
        <v>257</v>
      </c>
      <c r="B82">
        <v>6676</v>
      </c>
    </row>
    <row r="83" spans="1:2" x14ac:dyDescent="0.35">
      <c r="A83" t="s">
        <v>258</v>
      </c>
      <c r="B83">
        <v>5850</v>
      </c>
    </row>
    <row r="84" spans="1:2" x14ac:dyDescent="0.35">
      <c r="A84" t="s">
        <v>259</v>
      </c>
      <c r="B84">
        <v>5130</v>
      </c>
    </row>
    <row r="85" spans="1:2" x14ac:dyDescent="0.35">
      <c r="A85" t="s">
        <v>260</v>
      </c>
      <c r="B85">
        <v>2110</v>
      </c>
    </row>
    <row r="86" spans="1:2" x14ac:dyDescent="0.35">
      <c r="A86" t="s">
        <v>261</v>
      </c>
      <c r="B86">
        <v>4145</v>
      </c>
    </row>
    <row r="87" spans="1:2" x14ac:dyDescent="0.35">
      <c r="A87" t="s">
        <v>262</v>
      </c>
      <c r="B87">
        <v>15989</v>
      </c>
    </row>
    <row r="88" spans="1:2" x14ac:dyDescent="0.35">
      <c r="A88" t="s">
        <v>263</v>
      </c>
      <c r="B88">
        <v>2466</v>
      </c>
    </row>
    <row r="89" spans="1:2" x14ac:dyDescent="0.35">
      <c r="A89" t="s">
        <v>264</v>
      </c>
      <c r="B89">
        <v>3580</v>
      </c>
    </row>
    <row r="90" spans="1:2" x14ac:dyDescent="0.35">
      <c r="A90" t="s">
        <v>265</v>
      </c>
      <c r="B90">
        <v>1043</v>
      </c>
    </row>
    <row r="91" spans="1:2" x14ac:dyDescent="0.35">
      <c r="A91" t="s">
        <v>266</v>
      </c>
      <c r="B91">
        <v>1203</v>
      </c>
    </row>
    <row r="92" spans="1:2" x14ac:dyDescent="0.35">
      <c r="A92" t="s">
        <v>7</v>
      </c>
      <c r="B92">
        <v>409</v>
      </c>
    </row>
    <row r="93" spans="1:2" x14ac:dyDescent="0.35">
      <c r="A93" t="s">
        <v>267</v>
      </c>
      <c r="B93">
        <v>120</v>
      </c>
    </row>
    <row r="94" spans="1:2" x14ac:dyDescent="0.35">
      <c r="A94" t="s">
        <v>268</v>
      </c>
      <c r="B94">
        <v>63</v>
      </c>
    </row>
    <row r="95" spans="1:2" x14ac:dyDescent="0.35">
      <c r="A95" t="s">
        <v>269</v>
      </c>
      <c r="B95">
        <v>2</v>
      </c>
    </row>
    <row r="96" spans="1:2" x14ac:dyDescent="0.35">
      <c r="A96" t="s">
        <v>270</v>
      </c>
      <c r="B96">
        <v>7048</v>
      </c>
    </row>
    <row r="97" spans="1:2" x14ac:dyDescent="0.35">
      <c r="A97" t="s">
        <v>271</v>
      </c>
      <c r="B97">
        <v>1675</v>
      </c>
    </row>
    <row r="98" spans="1:2" x14ac:dyDescent="0.35">
      <c r="A98" t="s">
        <v>272</v>
      </c>
      <c r="B98">
        <v>136</v>
      </c>
    </row>
    <row r="99" spans="1:2" x14ac:dyDescent="0.35">
      <c r="A99" t="s">
        <v>273</v>
      </c>
      <c r="B99">
        <v>322</v>
      </c>
    </row>
    <row r="100" spans="1:2" x14ac:dyDescent="0.35">
      <c r="A100" t="s">
        <v>274</v>
      </c>
      <c r="B100">
        <v>4314</v>
      </c>
    </row>
    <row r="101" spans="1:2" x14ac:dyDescent="0.35">
      <c r="A101" t="s">
        <v>36</v>
      </c>
      <c r="B101">
        <v>61</v>
      </c>
    </row>
    <row r="102" spans="1:2" x14ac:dyDescent="0.35">
      <c r="A102" t="s">
        <v>275</v>
      </c>
      <c r="B102">
        <v>2225</v>
      </c>
    </row>
    <row r="103" spans="1:2" x14ac:dyDescent="0.35">
      <c r="A103" t="s">
        <v>276</v>
      </c>
      <c r="B103">
        <v>592</v>
      </c>
    </row>
    <row r="104" spans="1:2" x14ac:dyDescent="0.35">
      <c r="A104" t="s">
        <v>277</v>
      </c>
      <c r="B104">
        <v>4031</v>
      </c>
    </row>
    <row r="105" spans="1:2" x14ac:dyDescent="0.35">
      <c r="A105" t="s">
        <v>37</v>
      </c>
      <c r="B105">
        <v>2</v>
      </c>
    </row>
    <row r="106" spans="1:2" x14ac:dyDescent="0.35">
      <c r="A106" t="s">
        <v>278</v>
      </c>
      <c r="B106">
        <v>1734</v>
      </c>
    </row>
    <row r="107" spans="1:2" x14ac:dyDescent="0.35">
      <c r="A107" t="s">
        <v>279</v>
      </c>
      <c r="B107">
        <v>520</v>
      </c>
    </row>
    <row r="108" spans="1:2" x14ac:dyDescent="0.35">
      <c r="A108" t="s">
        <v>280</v>
      </c>
      <c r="B108">
        <v>1287</v>
      </c>
    </row>
    <row r="109" spans="1:2" x14ac:dyDescent="0.35">
      <c r="A109" t="s">
        <v>281</v>
      </c>
      <c r="B109">
        <v>4</v>
      </c>
    </row>
    <row r="110" spans="1:2" x14ac:dyDescent="0.35">
      <c r="A110" t="s">
        <v>282</v>
      </c>
      <c r="B110">
        <v>3141</v>
      </c>
    </row>
    <row r="111" spans="1:2" x14ac:dyDescent="0.35">
      <c r="A111" t="s">
        <v>8</v>
      </c>
      <c r="B111">
        <v>604</v>
      </c>
    </row>
    <row r="112" spans="1:2" x14ac:dyDescent="0.35">
      <c r="A112" t="s">
        <v>283</v>
      </c>
      <c r="B112">
        <v>7</v>
      </c>
    </row>
    <row r="113" spans="1:2" x14ac:dyDescent="0.35">
      <c r="A113" t="s">
        <v>284</v>
      </c>
      <c r="B113">
        <v>11151</v>
      </c>
    </row>
    <row r="114" spans="1:2" x14ac:dyDescent="0.35">
      <c r="A114" t="s">
        <v>285</v>
      </c>
      <c r="B114">
        <v>6</v>
      </c>
    </row>
    <row r="115" spans="1:2" x14ac:dyDescent="0.35">
      <c r="A115" t="s">
        <v>286</v>
      </c>
      <c r="B115">
        <v>1787</v>
      </c>
    </row>
    <row r="116" spans="1:2" x14ac:dyDescent="0.35">
      <c r="A116" t="s">
        <v>38</v>
      </c>
      <c r="B116">
        <v>193</v>
      </c>
    </row>
    <row r="117" spans="1:2" x14ac:dyDescent="0.35">
      <c r="A117" t="s">
        <v>287</v>
      </c>
      <c r="B117">
        <v>465</v>
      </c>
    </row>
    <row r="118" spans="1:2" x14ac:dyDescent="0.35">
      <c r="A118" t="s">
        <v>288</v>
      </c>
      <c r="B118">
        <v>2075</v>
      </c>
    </row>
    <row r="119" spans="1:2" x14ac:dyDescent="0.35">
      <c r="A119" t="s">
        <v>289</v>
      </c>
      <c r="B119">
        <v>51</v>
      </c>
    </row>
    <row r="120" spans="1:2" x14ac:dyDescent="0.35">
      <c r="A120" t="s">
        <v>290</v>
      </c>
      <c r="B120">
        <v>123</v>
      </c>
    </row>
    <row r="121" spans="1:2" x14ac:dyDescent="0.35">
      <c r="A121" t="s">
        <v>9</v>
      </c>
      <c r="B121">
        <v>72</v>
      </c>
    </row>
    <row r="122" spans="1:2" x14ac:dyDescent="0.35">
      <c r="A122" t="s">
        <v>39</v>
      </c>
      <c r="B122">
        <v>2</v>
      </c>
    </row>
    <row r="123" spans="1:2" x14ac:dyDescent="0.35">
      <c r="A123" t="s">
        <v>40</v>
      </c>
      <c r="B123">
        <v>128</v>
      </c>
    </row>
    <row r="124" spans="1:2" x14ac:dyDescent="0.35">
      <c r="A124" t="s">
        <v>10</v>
      </c>
      <c r="B124">
        <v>48</v>
      </c>
    </row>
    <row r="125" spans="1:2" x14ac:dyDescent="0.35">
      <c r="A125" t="s">
        <v>291</v>
      </c>
      <c r="B125">
        <v>829</v>
      </c>
    </row>
    <row r="126" spans="1:2" x14ac:dyDescent="0.35">
      <c r="A126" t="s">
        <v>41</v>
      </c>
      <c r="B126">
        <v>7</v>
      </c>
    </row>
    <row r="127" spans="1:2" x14ac:dyDescent="0.35">
      <c r="A127" t="s">
        <v>42</v>
      </c>
      <c r="B127">
        <v>64</v>
      </c>
    </row>
    <row r="128" spans="1:2" x14ac:dyDescent="0.35">
      <c r="A128" t="s">
        <v>27</v>
      </c>
      <c r="B128">
        <v>9921</v>
      </c>
    </row>
    <row r="129" spans="1:2" x14ac:dyDescent="0.35">
      <c r="A129" t="s">
        <v>292</v>
      </c>
      <c r="B129">
        <v>467</v>
      </c>
    </row>
    <row r="130" spans="1:2" x14ac:dyDescent="0.35">
      <c r="A130" t="s">
        <v>293</v>
      </c>
      <c r="B130">
        <v>135</v>
      </c>
    </row>
    <row r="131" spans="1:2" x14ac:dyDescent="0.35">
      <c r="A131" t="s">
        <v>294</v>
      </c>
      <c r="B131">
        <v>6910</v>
      </c>
    </row>
    <row r="132" spans="1:2" x14ac:dyDescent="0.35">
      <c r="A132" t="s">
        <v>295</v>
      </c>
      <c r="B132">
        <v>382</v>
      </c>
    </row>
    <row r="133" spans="1:2" x14ac:dyDescent="0.35">
      <c r="A133" t="s">
        <v>296</v>
      </c>
      <c r="B133">
        <v>1483</v>
      </c>
    </row>
    <row r="134" spans="1:2" x14ac:dyDescent="0.35">
      <c r="A134" t="s">
        <v>297</v>
      </c>
      <c r="B134">
        <v>1</v>
      </c>
    </row>
    <row r="135" spans="1:2" x14ac:dyDescent="0.35">
      <c r="A135" t="s">
        <v>298</v>
      </c>
      <c r="B135">
        <v>2708</v>
      </c>
    </row>
    <row r="136" spans="1:2" x14ac:dyDescent="0.35">
      <c r="A136" t="s">
        <v>299</v>
      </c>
      <c r="B136">
        <v>104</v>
      </c>
    </row>
    <row r="137" spans="1:2" x14ac:dyDescent="0.35">
      <c r="A137" t="s">
        <v>300</v>
      </c>
      <c r="B137">
        <v>25789</v>
      </c>
    </row>
    <row r="138" spans="1:2" x14ac:dyDescent="0.35">
      <c r="A138" t="s">
        <v>301</v>
      </c>
      <c r="B138">
        <v>477</v>
      </c>
    </row>
    <row r="139" spans="1:2" x14ac:dyDescent="0.35">
      <c r="A139" t="s">
        <v>302</v>
      </c>
      <c r="B139">
        <v>3008</v>
      </c>
    </row>
    <row r="140" spans="1:2" x14ac:dyDescent="0.35">
      <c r="A140" t="s">
        <v>303</v>
      </c>
      <c r="B140">
        <v>11473</v>
      </c>
    </row>
    <row r="141" spans="1:2" x14ac:dyDescent="0.35">
      <c r="A141" t="s">
        <v>304</v>
      </c>
      <c r="B141">
        <v>12</v>
      </c>
    </row>
    <row r="142" spans="1:2" x14ac:dyDescent="0.35">
      <c r="A142" t="s">
        <v>305</v>
      </c>
      <c r="B142">
        <v>11627</v>
      </c>
    </row>
    <row r="143" spans="1:2" x14ac:dyDescent="0.35">
      <c r="A143" t="s">
        <v>306</v>
      </c>
      <c r="B143">
        <v>152</v>
      </c>
    </row>
    <row r="144" spans="1:2" x14ac:dyDescent="0.35">
      <c r="A144" t="s">
        <v>307</v>
      </c>
      <c r="B144">
        <v>1569</v>
      </c>
    </row>
    <row r="145" spans="1:2" x14ac:dyDescent="0.35">
      <c r="A145" t="s">
        <v>308</v>
      </c>
      <c r="B145">
        <v>615</v>
      </c>
    </row>
    <row r="146" spans="1:2" x14ac:dyDescent="0.35">
      <c r="A146" t="s">
        <v>309</v>
      </c>
      <c r="B146">
        <v>228</v>
      </c>
    </row>
    <row r="147" spans="1:2" x14ac:dyDescent="0.35">
      <c r="A147" t="s">
        <v>310</v>
      </c>
      <c r="B147">
        <v>25855</v>
      </c>
    </row>
    <row r="148" spans="1:2" x14ac:dyDescent="0.35">
      <c r="A148" t="s">
        <v>311</v>
      </c>
      <c r="B148">
        <v>14637</v>
      </c>
    </row>
    <row r="149" spans="1:2" x14ac:dyDescent="0.35">
      <c r="A149" t="s">
        <v>43</v>
      </c>
      <c r="B149">
        <v>2358</v>
      </c>
    </row>
    <row r="150" spans="1:2" x14ac:dyDescent="0.35">
      <c r="A150" t="s">
        <v>312</v>
      </c>
      <c r="B150">
        <v>1484</v>
      </c>
    </row>
    <row r="151" spans="1:2" x14ac:dyDescent="0.35">
      <c r="A151" t="s">
        <v>313</v>
      </c>
      <c r="B151">
        <v>4023</v>
      </c>
    </row>
    <row r="152" spans="1:2" x14ac:dyDescent="0.35">
      <c r="A152" t="s">
        <v>22</v>
      </c>
      <c r="B152">
        <v>353</v>
      </c>
    </row>
    <row r="153" spans="1:2" x14ac:dyDescent="0.35">
      <c r="A153" t="s">
        <v>314</v>
      </c>
      <c r="B153">
        <v>311</v>
      </c>
    </row>
    <row r="154" spans="1:2" x14ac:dyDescent="0.35">
      <c r="A154" t="s">
        <v>315</v>
      </c>
      <c r="B154">
        <v>207</v>
      </c>
    </row>
    <row r="155" spans="1:2" x14ac:dyDescent="0.35">
      <c r="A155" t="s">
        <v>11</v>
      </c>
      <c r="B155">
        <v>47</v>
      </c>
    </row>
    <row r="156" spans="1:2" x14ac:dyDescent="0.35">
      <c r="A156" t="s">
        <v>316</v>
      </c>
      <c r="B156">
        <v>628</v>
      </c>
    </row>
    <row r="157" spans="1:2" x14ac:dyDescent="0.35">
      <c r="A157" t="s">
        <v>317</v>
      </c>
      <c r="B157">
        <v>149</v>
      </c>
    </row>
    <row r="158" spans="1:2" x14ac:dyDescent="0.35">
      <c r="A158" t="s">
        <v>318</v>
      </c>
      <c r="B158">
        <v>4113</v>
      </c>
    </row>
    <row r="159" spans="1:2" x14ac:dyDescent="0.35">
      <c r="A159" t="s">
        <v>44</v>
      </c>
      <c r="B159">
        <v>6</v>
      </c>
    </row>
    <row r="160" spans="1:2" x14ac:dyDescent="0.35">
      <c r="A160" t="s">
        <v>45</v>
      </c>
      <c r="B160">
        <v>3</v>
      </c>
    </row>
    <row r="161" spans="1:2" x14ac:dyDescent="0.35">
      <c r="A161" t="s">
        <v>319</v>
      </c>
      <c r="B161">
        <v>77</v>
      </c>
    </row>
    <row r="162" spans="1:2" x14ac:dyDescent="0.35">
      <c r="A162" t="s">
        <v>320</v>
      </c>
      <c r="B162">
        <v>5793</v>
      </c>
    </row>
    <row r="163" spans="1:2" x14ac:dyDescent="0.35">
      <c r="A163" t="s">
        <v>321</v>
      </c>
      <c r="B163">
        <v>238</v>
      </c>
    </row>
    <row r="164" spans="1:2" x14ac:dyDescent="0.35">
      <c r="A164" t="s">
        <v>322</v>
      </c>
      <c r="B164">
        <v>1761</v>
      </c>
    </row>
    <row r="165" spans="1:2" x14ac:dyDescent="0.35">
      <c r="A165" t="s">
        <v>12</v>
      </c>
      <c r="B165">
        <v>12</v>
      </c>
    </row>
    <row r="166" spans="1:2" x14ac:dyDescent="0.35">
      <c r="A166" t="s">
        <v>13</v>
      </c>
      <c r="B166">
        <v>11</v>
      </c>
    </row>
    <row r="167" spans="1:2" x14ac:dyDescent="0.35">
      <c r="A167" t="s">
        <v>323</v>
      </c>
      <c r="B167">
        <v>11045</v>
      </c>
    </row>
    <row r="168" spans="1:2" x14ac:dyDescent="0.35">
      <c r="A168" t="s">
        <v>23</v>
      </c>
      <c r="B168">
        <v>14</v>
      </c>
    </row>
    <row r="169" spans="1:2" x14ac:dyDescent="0.35">
      <c r="A169" t="s">
        <v>14</v>
      </c>
      <c r="B169">
        <v>255</v>
      </c>
    </row>
    <row r="170" spans="1:2" x14ac:dyDescent="0.35">
      <c r="A170" t="s">
        <v>324</v>
      </c>
      <c r="B170">
        <v>920</v>
      </c>
    </row>
    <row r="171" spans="1:2" x14ac:dyDescent="0.35">
      <c r="A171" t="s">
        <v>325</v>
      </c>
      <c r="B171">
        <v>297</v>
      </c>
    </row>
    <row r="172" spans="1:2" x14ac:dyDescent="0.35">
      <c r="A172" t="s">
        <v>326</v>
      </c>
      <c r="B172">
        <v>42</v>
      </c>
    </row>
    <row r="173" spans="1:2" x14ac:dyDescent="0.35">
      <c r="A173" t="s">
        <v>327</v>
      </c>
      <c r="B173">
        <v>370</v>
      </c>
    </row>
    <row r="174" spans="1:2" x14ac:dyDescent="0.35">
      <c r="A174" t="s">
        <v>328</v>
      </c>
      <c r="B174">
        <v>2382</v>
      </c>
    </row>
    <row r="175" spans="1:2" x14ac:dyDescent="0.35">
      <c r="A175" t="s">
        <v>329</v>
      </c>
      <c r="B175">
        <v>3322</v>
      </c>
    </row>
    <row r="176" spans="1:2" x14ac:dyDescent="0.35">
      <c r="A176" t="s">
        <v>46</v>
      </c>
      <c r="B176">
        <v>135</v>
      </c>
    </row>
    <row r="177" spans="1:2" x14ac:dyDescent="0.35">
      <c r="A177" t="s">
        <v>15</v>
      </c>
      <c r="B177">
        <v>370</v>
      </c>
    </row>
    <row r="178" spans="1:2" x14ac:dyDescent="0.35">
      <c r="A178" t="s">
        <v>330</v>
      </c>
      <c r="B178">
        <v>10865</v>
      </c>
    </row>
    <row r="179" spans="1:2" x14ac:dyDescent="0.35">
      <c r="A179" t="s">
        <v>331</v>
      </c>
      <c r="B179">
        <v>618</v>
      </c>
    </row>
    <row r="180" spans="1:2" x14ac:dyDescent="0.35">
      <c r="A180" t="s">
        <v>332</v>
      </c>
      <c r="B180">
        <v>5681</v>
      </c>
    </row>
    <row r="181" spans="1:2" x14ac:dyDescent="0.35">
      <c r="A181" t="s">
        <v>333</v>
      </c>
      <c r="B181">
        <v>857</v>
      </c>
    </row>
    <row r="182" spans="1:2" x14ac:dyDescent="0.35">
      <c r="A182" t="s">
        <v>334</v>
      </c>
      <c r="B182">
        <v>72</v>
      </c>
    </row>
    <row r="183" spans="1:2" x14ac:dyDescent="0.35">
      <c r="A183" t="s">
        <v>335</v>
      </c>
      <c r="B183">
        <v>9246</v>
      </c>
    </row>
    <row r="184" spans="1:2" x14ac:dyDescent="0.35">
      <c r="A184" t="s">
        <v>336</v>
      </c>
      <c r="B184">
        <v>763</v>
      </c>
    </row>
    <row r="185" spans="1:2" x14ac:dyDescent="0.35">
      <c r="A185" t="s">
        <v>337</v>
      </c>
      <c r="B185">
        <v>12</v>
      </c>
    </row>
    <row r="186" spans="1:2" x14ac:dyDescent="0.35">
      <c r="A186" t="s">
        <v>338</v>
      </c>
      <c r="B186">
        <v>470</v>
      </c>
    </row>
    <row r="187" spans="1:2" x14ac:dyDescent="0.35">
      <c r="A187" t="s">
        <v>16</v>
      </c>
      <c r="B187">
        <v>8907</v>
      </c>
    </row>
    <row r="188" spans="1:2" x14ac:dyDescent="0.35">
      <c r="A188" t="s">
        <v>17</v>
      </c>
      <c r="B188">
        <v>161</v>
      </c>
    </row>
    <row r="189" spans="1:2" x14ac:dyDescent="0.35">
      <c r="A189" t="s">
        <v>18</v>
      </c>
      <c r="B189">
        <v>626</v>
      </c>
    </row>
    <row r="190" spans="1:2" x14ac:dyDescent="0.35">
      <c r="A190" t="s">
        <v>51</v>
      </c>
      <c r="B190">
        <v>587432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Sheet2</vt:lpstr>
      <vt:lpstr>Sheet4</vt:lpstr>
      <vt:lpstr>Sheet3</vt:lpstr>
      <vt:lpstr>available</vt:lpstr>
      <vt:lpstr>Medical doctors</vt:lpstr>
      <vt:lpstr>Doctors distribution</vt:lpstr>
      <vt:lpstr>Sheet10</vt:lpstr>
      <vt:lpstr>Med 1</vt:lpstr>
      <vt:lpstr>Sheet1</vt:lpstr>
      <vt:lpstr>Sheet5</vt:lpstr>
      <vt:lpstr>Total medical doctors</vt:lpstr>
      <vt:lpstr>Sheet6</vt:lpstr>
      <vt:lpstr>Education graduates</vt:lpstr>
      <vt:lpstr>Edu updated</vt:lpstr>
      <vt:lpstr>Income</vt:lpstr>
      <vt:lpstr>Migration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2024-02-20T20:55:01Z</dcterms:created>
  <dcterms:modified xsi:type="dcterms:W3CDTF">2024-04-06T17:53:53Z</dcterms:modified>
</cp:coreProperties>
</file>