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Projections\"/>
    </mc:Choice>
  </mc:AlternateContent>
  <xr:revisionPtr revIDLastSave="0" documentId="13_ncr:1_{659AAF1E-B6D0-4324-B9B2-CA36498CFCAC}" xr6:coauthVersionLast="47" xr6:coauthVersionMax="47" xr10:uidLastSave="{00000000-0000-0000-0000-000000000000}"/>
  <bookViews>
    <workbookView xWindow="-110" yWindow="-110" windowWidth="19420" windowHeight="10300" tabRatio="590" firstSheet="4" activeTab="6" xr2:uid="{35C1C95E-ACF9-4716-A0F8-F4A640721A36}"/>
  </bookViews>
  <sheets>
    <sheet name="Available" sheetId="1" r:id="rId1"/>
    <sheet name="Sheet4" sheetId="4" r:id="rId2"/>
    <sheet name="proportions" sheetId="2" r:id="rId3"/>
    <sheet name="Income" sheetId="3" r:id="rId4"/>
    <sheet name="Sheet7" sheetId="7" r:id="rId5"/>
    <sheet name="Sheet2" sheetId="9" r:id="rId6"/>
    <sheet name="Projections" sheetId="5" r:id="rId7"/>
    <sheet name="Education" sheetId="6" state="hidden" r:id="rId8"/>
    <sheet name="Edu updated" sheetId="8" r:id="rId9"/>
    <sheet name="Migration" sheetId="10" r:id="rId10"/>
  </sheets>
  <definedNames>
    <definedName name="_xlnm._FilterDatabase" localSheetId="0" hidden="1">Available!$A$1:$B$49</definedName>
    <definedName name="_xlnm._FilterDatabase" localSheetId="6" hidden="1">Projections!$A$2:$AG$51</definedName>
  </definedNames>
  <calcPr calcId="191029"/>
  <pivotCaches>
    <pivotCache cacheId="20" r:id="rId11"/>
    <pivotCache cacheId="21" r:id="rId12"/>
    <pivotCache cacheId="6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43" i="5" l="1"/>
  <c r="AC44" i="5"/>
  <c r="AC45" i="5"/>
  <c r="AC46" i="5"/>
  <c r="AC47" i="5"/>
  <c r="AC48" i="5"/>
  <c r="AC49" i="5"/>
  <c r="AB43" i="5"/>
  <c r="AB44" i="5"/>
  <c r="AB45" i="5"/>
  <c r="AB46" i="5"/>
  <c r="AB47" i="5"/>
  <c r="AB48" i="5"/>
  <c r="AB49" i="5"/>
  <c r="AA43" i="5"/>
  <c r="AA44" i="5"/>
  <c r="AA45" i="5"/>
  <c r="AA46" i="5"/>
  <c r="AA47" i="5"/>
  <c r="AA48" i="5"/>
  <c r="AA49" i="5"/>
  <c r="Z43" i="5"/>
  <c r="Z44" i="5"/>
  <c r="Z45" i="5"/>
  <c r="Z46" i="5"/>
  <c r="Z47" i="5"/>
  <c r="Z48" i="5"/>
  <c r="Z49" i="5"/>
  <c r="Y43" i="5"/>
  <c r="Y44" i="5"/>
  <c r="Y45" i="5"/>
  <c r="Y46" i="5"/>
  <c r="Y47" i="5"/>
  <c r="Y48" i="5"/>
  <c r="Y49" i="5"/>
  <c r="X43" i="5"/>
  <c r="X44" i="5"/>
  <c r="X45" i="5"/>
  <c r="X46" i="5"/>
  <c r="X47" i="5"/>
  <c r="X48" i="5"/>
  <c r="X49" i="5"/>
  <c r="W43" i="5"/>
  <c r="W44" i="5"/>
  <c r="W45" i="5"/>
  <c r="W46" i="5"/>
  <c r="W47" i="5"/>
  <c r="W48" i="5"/>
  <c r="W49" i="5"/>
  <c r="V43" i="5"/>
  <c r="V44" i="5"/>
  <c r="V45" i="5"/>
  <c r="V46" i="5"/>
  <c r="V47" i="5"/>
  <c r="V48" i="5"/>
  <c r="V49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3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3" i="5"/>
  <c r="AI13" i="5"/>
  <c r="U39" i="5" l="1"/>
  <c r="U31" i="5"/>
  <c r="U4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3" i="5"/>
  <c r="S4" i="5"/>
  <c r="S5" i="5"/>
  <c r="S6" i="5"/>
  <c r="T6" i="5" s="1"/>
  <c r="U6" i="5" s="1"/>
  <c r="S7" i="5"/>
  <c r="S8" i="5"/>
  <c r="S9" i="5"/>
  <c r="S10" i="5"/>
  <c r="S11" i="5"/>
  <c r="S12" i="5"/>
  <c r="S13" i="5"/>
  <c r="S14" i="5"/>
  <c r="S15" i="5"/>
  <c r="S16" i="5"/>
  <c r="S17" i="5"/>
  <c r="T17" i="5" s="1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3" i="5"/>
  <c r="AE4" i="5" l="1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3" i="5"/>
  <c r="AD4" i="5"/>
  <c r="AI4" i="5" s="1"/>
  <c r="V4" i="5" s="1"/>
  <c r="AD5" i="5"/>
  <c r="AI5" i="5" s="1"/>
  <c r="AD6" i="5"/>
  <c r="AI6" i="5" s="1"/>
  <c r="V6" i="5" s="1"/>
  <c r="AD7" i="5"/>
  <c r="AI7" i="5" s="1"/>
  <c r="AD8" i="5"/>
  <c r="AI8" i="5" s="1"/>
  <c r="AD9" i="5"/>
  <c r="AI9" i="5" s="1"/>
  <c r="AD10" i="5"/>
  <c r="AI10" i="5" s="1"/>
  <c r="AD11" i="5"/>
  <c r="AI11" i="5" s="1"/>
  <c r="AD12" i="5"/>
  <c r="AI12" i="5" s="1"/>
  <c r="AD14" i="5"/>
  <c r="AI14" i="5" s="1"/>
  <c r="AD15" i="5"/>
  <c r="AI15" i="5" s="1"/>
  <c r="AD16" i="5"/>
  <c r="AI16" i="5" s="1"/>
  <c r="AD17" i="5"/>
  <c r="AI17" i="5" s="1"/>
  <c r="AD18" i="5"/>
  <c r="AI18" i="5" s="1"/>
  <c r="AD19" i="5"/>
  <c r="AI19" i="5" s="1"/>
  <c r="AD20" i="5"/>
  <c r="AI20" i="5" s="1"/>
  <c r="AD21" i="5"/>
  <c r="AI21" i="5" s="1"/>
  <c r="AD22" i="5"/>
  <c r="AI22" i="5" s="1"/>
  <c r="AD23" i="5"/>
  <c r="AI23" i="5" s="1"/>
  <c r="AD24" i="5"/>
  <c r="AI24" i="5" s="1"/>
  <c r="AD25" i="5"/>
  <c r="AI25" i="5" s="1"/>
  <c r="AD26" i="5"/>
  <c r="AI26" i="5" s="1"/>
  <c r="AD27" i="5"/>
  <c r="AI27" i="5" s="1"/>
  <c r="AD28" i="5"/>
  <c r="AI28" i="5" s="1"/>
  <c r="AD29" i="5"/>
  <c r="AI29" i="5" s="1"/>
  <c r="AD30" i="5"/>
  <c r="AI30" i="5" s="1"/>
  <c r="AD31" i="5"/>
  <c r="AI31" i="5" s="1"/>
  <c r="V31" i="5" s="1"/>
  <c r="AD32" i="5"/>
  <c r="AI32" i="5" s="1"/>
  <c r="AD33" i="5"/>
  <c r="AI33" i="5" s="1"/>
  <c r="AD34" i="5"/>
  <c r="AI34" i="5" s="1"/>
  <c r="AD35" i="5"/>
  <c r="AI35" i="5" s="1"/>
  <c r="AD36" i="5"/>
  <c r="AI36" i="5" s="1"/>
  <c r="AD37" i="5"/>
  <c r="AI37" i="5" s="1"/>
  <c r="AD38" i="5"/>
  <c r="AI38" i="5" s="1"/>
  <c r="AD39" i="5"/>
  <c r="AI39" i="5" s="1"/>
  <c r="V39" i="5" s="1"/>
  <c r="AD40" i="5"/>
  <c r="AI40" i="5" s="1"/>
  <c r="AD41" i="5"/>
  <c r="AI41" i="5" s="1"/>
  <c r="AD42" i="5"/>
  <c r="AI42" i="5" s="1"/>
  <c r="AD43" i="5"/>
  <c r="AI43" i="5" s="1"/>
  <c r="AD44" i="5"/>
  <c r="AI44" i="5" s="1"/>
  <c r="AD45" i="5"/>
  <c r="AI45" i="5" s="1"/>
  <c r="AD46" i="5"/>
  <c r="AI46" i="5" s="1"/>
  <c r="AD47" i="5"/>
  <c r="AI47" i="5" s="1"/>
  <c r="AD48" i="5"/>
  <c r="AI48" i="5" s="1"/>
  <c r="AD49" i="5"/>
  <c r="AI49" i="5" s="1"/>
  <c r="AD3" i="5"/>
  <c r="AI3" i="5" s="1"/>
  <c r="AD50" i="5" l="1"/>
  <c r="AD51" i="5" l="1"/>
  <c r="AI50" i="5"/>
  <c r="AI51" i="5" s="1"/>
  <c r="U3" i="5" l="1"/>
  <c r="T5" i="5"/>
  <c r="T7" i="5"/>
  <c r="T8" i="5"/>
  <c r="T12" i="5"/>
  <c r="T13" i="5"/>
  <c r="T14" i="5"/>
  <c r="T16" i="5"/>
  <c r="T19" i="5"/>
  <c r="T20" i="5"/>
  <c r="T21" i="5"/>
  <c r="T23" i="5"/>
  <c r="T24" i="5"/>
  <c r="T27" i="5"/>
  <c r="T29" i="5"/>
  <c r="T30" i="5"/>
  <c r="T33" i="5"/>
  <c r="T34" i="5"/>
  <c r="T35" i="5"/>
  <c r="T36" i="5"/>
  <c r="T37" i="5"/>
  <c r="T38" i="5"/>
  <c r="T40" i="5"/>
  <c r="T41" i="5"/>
  <c r="T42" i="5"/>
  <c r="T44" i="5"/>
  <c r="T46" i="5"/>
  <c r="T47" i="5"/>
  <c r="T48" i="5"/>
  <c r="T49" i="5"/>
  <c r="V3" i="5" l="1"/>
  <c r="AF3" i="5" s="1"/>
  <c r="AF6" i="5"/>
  <c r="U7" i="5"/>
  <c r="U8" i="5"/>
  <c r="U9" i="5"/>
  <c r="U11" i="5"/>
  <c r="U13" i="5"/>
  <c r="U15" i="5"/>
  <c r="U16" i="5"/>
  <c r="U17" i="5"/>
  <c r="V17" i="5" s="1"/>
  <c r="U19" i="5"/>
  <c r="U21" i="5"/>
  <c r="U22" i="5"/>
  <c r="U23" i="5"/>
  <c r="U24" i="5"/>
  <c r="U25" i="5"/>
  <c r="U29" i="5"/>
  <c r="U30" i="5"/>
  <c r="AF31" i="5"/>
  <c r="U32" i="5"/>
  <c r="U33" i="5"/>
  <c r="U37" i="5"/>
  <c r="AF39" i="5"/>
  <c r="U40" i="5"/>
  <c r="U41" i="5"/>
  <c r="U44" i="5"/>
  <c r="AF45" i="5"/>
  <c r="U48" i="5"/>
  <c r="AF48" i="5" s="1"/>
  <c r="U50" i="5"/>
  <c r="V50" i="5" s="1"/>
  <c r="AF4" i="5"/>
  <c r="D41" i="6"/>
  <c r="U5" i="5"/>
  <c r="U10" i="5"/>
  <c r="U12" i="5"/>
  <c r="U14" i="5"/>
  <c r="U18" i="5"/>
  <c r="U20" i="5"/>
  <c r="U26" i="5"/>
  <c r="U27" i="5"/>
  <c r="U28" i="5"/>
  <c r="U34" i="5"/>
  <c r="U35" i="5"/>
  <c r="U36" i="5"/>
  <c r="U38" i="5"/>
  <c r="U42" i="5"/>
  <c r="U46" i="5"/>
  <c r="AF46" i="5" s="1"/>
  <c r="U47" i="5"/>
  <c r="AF47" i="5" s="1"/>
  <c r="U49" i="5"/>
  <c r="AF49" i="5" s="1"/>
  <c r="B36" i="6"/>
  <c r="D23" i="6"/>
  <c r="D2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U43" i="5" s="1"/>
  <c r="D38" i="6"/>
  <c r="D39" i="6"/>
  <c r="D40" i="6"/>
  <c r="D42" i="6"/>
  <c r="D43" i="6"/>
  <c r="D2" i="6"/>
  <c r="M5" i="5"/>
  <c r="N5" i="5"/>
  <c r="O5" i="5"/>
  <c r="P5" i="5"/>
  <c r="Q5" i="5"/>
  <c r="R5" i="5"/>
  <c r="M6" i="5"/>
  <c r="N6" i="5"/>
  <c r="O6" i="5"/>
  <c r="P6" i="5"/>
  <c r="Q6" i="5"/>
  <c r="R6" i="5"/>
  <c r="M7" i="5"/>
  <c r="N7" i="5"/>
  <c r="O7" i="5"/>
  <c r="P7" i="5"/>
  <c r="Q7" i="5"/>
  <c r="R7" i="5"/>
  <c r="M8" i="5"/>
  <c r="N8" i="5"/>
  <c r="O8" i="5"/>
  <c r="P8" i="5"/>
  <c r="Q8" i="5"/>
  <c r="R8" i="5"/>
  <c r="M9" i="5"/>
  <c r="N9" i="5"/>
  <c r="O9" i="5"/>
  <c r="P9" i="5"/>
  <c r="Q9" i="5"/>
  <c r="R9" i="5"/>
  <c r="M10" i="5"/>
  <c r="N10" i="5"/>
  <c r="O10" i="5"/>
  <c r="P10" i="5"/>
  <c r="Q10" i="5"/>
  <c r="R10" i="5"/>
  <c r="M11" i="5"/>
  <c r="N11" i="5"/>
  <c r="O11" i="5"/>
  <c r="P11" i="5"/>
  <c r="Q11" i="5"/>
  <c r="R11" i="5"/>
  <c r="M12" i="5"/>
  <c r="N12" i="5"/>
  <c r="O12" i="5"/>
  <c r="P12" i="5"/>
  <c r="Q12" i="5"/>
  <c r="R12" i="5"/>
  <c r="M13" i="5"/>
  <c r="N13" i="5"/>
  <c r="O13" i="5"/>
  <c r="P13" i="5"/>
  <c r="Q13" i="5"/>
  <c r="R13" i="5"/>
  <c r="M14" i="5"/>
  <c r="N14" i="5"/>
  <c r="O14" i="5"/>
  <c r="P14" i="5"/>
  <c r="Q14" i="5"/>
  <c r="R14" i="5"/>
  <c r="M15" i="5"/>
  <c r="N15" i="5"/>
  <c r="O15" i="5"/>
  <c r="P15" i="5"/>
  <c r="Q15" i="5"/>
  <c r="R15" i="5"/>
  <c r="M16" i="5"/>
  <c r="N16" i="5"/>
  <c r="O16" i="5"/>
  <c r="P16" i="5"/>
  <c r="Q16" i="5"/>
  <c r="R16" i="5"/>
  <c r="M17" i="5"/>
  <c r="N17" i="5"/>
  <c r="O17" i="5"/>
  <c r="P17" i="5"/>
  <c r="Q17" i="5"/>
  <c r="R17" i="5"/>
  <c r="M18" i="5"/>
  <c r="N18" i="5"/>
  <c r="O18" i="5"/>
  <c r="P18" i="5"/>
  <c r="Q18" i="5"/>
  <c r="R18" i="5"/>
  <c r="M19" i="5"/>
  <c r="N19" i="5"/>
  <c r="O19" i="5"/>
  <c r="P19" i="5"/>
  <c r="Q19" i="5"/>
  <c r="R19" i="5"/>
  <c r="M20" i="5"/>
  <c r="N20" i="5"/>
  <c r="O20" i="5"/>
  <c r="P20" i="5"/>
  <c r="Q20" i="5"/>
  <c r="R20" i="5"/>
  <c r="M21" i="5"/>
  <c r="N21" i="5"/>
  <c r="O21" i="5"/>
  <c r="P21" i="5"/>
  <c r="Q21" i="5"/>
  <c r="R21" i="5"/>
  <c r="M22" i="5"/>
  <c r="N22" i="5"/>
  <c r="O22" i="5"/>
  <c r="P22" i="5"/>
  <c r="Q22" i="5"/>
  <c r="R22" i="5"/>
  <c r="M23" i="5"/>
  <c r="N23" i="5"/>
  <c r="O23" i="5"/>
  <c r="P23" i="5"/>
  <c r="Q23" i="5"/>
  <c r="R23" i="5"/>
  <c r="M24" i="5"/>
  <c r="N24" i="5"/>
  <c r="O24" i="5"/>
  <c r="P24" i="5"/>
  <c r="Q24" i="5"/>
  <c r="R24" i="5"/>
  <c r="M25" i="5"/>
  <c r="N25" i="5"/>
  <c r="O25" i="5"/>
  <c r="P25" i="5"/>
  <c r="Q25" i="5"/>
  <c r="R25" i="5"/>
  <c r="M26" i="5"/>
  <c r="N26" i="5"/>
  <c r="O26" i="5"/>
  <c r="P26" i="5"/>
  <c r="Q26" i="5"/>
  <c r="R26" i="5"/>
  <c r="M27" i="5"/>
  <c r="N27" i="5"/>
  <c r="O27" i="5"/>
  <c r="P27" i="5"/>
  <c r="Q27" i="5"/>
  <c r="R27" i="5"/>
  <c r="M28" i="5"/>
  <c r="N28" i="5"/>
  <c r="O28" i="5"/>
  <c r="P28" i="5"/>
  <c r="Q28" i="5"/>
  <c r="R28" i="5"/>
  <c r="M29" i="5"/>
  <c r="N29" i="5"/>
  <c r="O29" i="5"/>
  <c r="P29" i="5"/>
  <c r="Q29" i="5"/>
  <c r="R29" i="5"/>
  <c r="M30" i="5"/>
  <c r="N30" i="5"/>
  <c r="O30" i="5"/>
  <c r="P30" i="5"/>
  <c r="Q30" i="5"/>
  <c r="R30" i="5"/>
  <c r="M31" i="5"/>
  <c r="N31" i="5"/>
  <c r="O31" i="5"/>
  <c r="P31" i="5"/>
  <c r="Q31" i="5"/>
  <c r="R31" i="5"/>
  <c r="M32" i="5"/>
  <c r="N32" i="5"/>
  <c r="O32" i="5"/>
  <c r="P32" i="5"/>
  <c r="Q32" i="5"/>
  <c r="R32" i="5"/>
  <c r="M33" i="5"/>
  <c r="N33" i="5"/>
  <c r="O33" i="5"/>
  <c r="P33" i="5"/>
  <c r="Q33" i="5"/>
  <c r="R33" i="5"/>
  <c r="M34" i="5"/>
  <c r="N34" i="5"/>
  <c r="O34" i="5"/>
  <c r="P34" i="5"/>
  <c r="Q34" i="5"/>
  <c r="R34" i="5"/>
  <c r="M35" i="5"/>
  <c r="N35" i="5"/>
  <c r="O35" i="5"/>
  <c r="P35" i="5"/>
  <c r="Q35" i="5"/>
  <c r="R35" i="5"/>
  <c r="M36" i="5"/>
  <c r="N36" i="5"/>
  <c r="O36" i="5"/>
  <c r="P36" i="5"/>
  <c r="Q36" i="5"/>
  <c r="R36" i="5"/>
  <c r="M37" i="5"/>
  <c r="N37" i="5"/>
  <c r="O37" i="5"/>
  <c r="P37" i="5"/>
  <c r="Q37" i="5"/>
  <c r="R37" i="5"/>
  <c r="M38" i="5"/>
  <c r="N38" i="5"/>
  <c r="O38" i="5"/>
  <c r="P38" i="5"/>
  <c r="Q38" i="5"/>
  <c r="R38" i="5"/>
  <c r="M39" i="5"/>
  <c r="N39" i="5"/>
  <c r="O39" i="5"/>
  <c r="P39" i="5"/>
  <c r="Q39" i="5"/>
  <c r="R39" i="5"/>
  <c r="M40" i="5"/>
  <c r="N40" i="5"/>
  <c r="O40" i="5"/>
  <c r="P40" i="5"/>
  <c r="Q40" i="5"/>
  <c r="R40" i="5"/>
  <c r="M41" i="5"/>
  <c r="N41" i="5"/>
  <c r="O41" i="5"/>
  <c r="P41" i="5"/>
  <c r="Q41" i="5"/>
  <c r="R41" i="5"/>
  <c r="M42" i="5"/>
  <c r="N42" i="5"/>
  <c r="O42" i="5"/>
  <c r="P42" i="5"/>
  <c r="Q42" i="5"/>
  <c r="R42" i="5"/>
  <c r="M43" i="5"/>
  <c r="N43" i="5"/>
  <c r="O43" i="5"/>
  <c r="P43" i="5"/>
  <c r="Q43" i="5"/>
  <c r="R43" i="5"/>
  <c r="M44" i="5"/>
  <c r="N44" i="5"/>
  <c r="O44" i="5"/>
  <c r="P44" i="5"/>
  <c r="Q44" i="5"/>
  <c r="R44" i="5"/>
  <c r="M45" i="5"/>
  <c r="N45" i="5"/>
  <c r="O45" i="5"/>
  <c r="P45" i="5"/>
  <c r="Q45" i="5"/>
  <c r="R45" i="5"/>
  <c r="M46" i="5"/>
  <c r="N46" i="5"/>
  <c r="O46" i="5"/>
  <c r="P46" i="5"/>
  <c r="Q46" i="5"/>
  <c r="R46" i="5"/>
  <c r="M47" i="5"/>
  <c r="N47" i="5"/>
  <c r="O47" i="5"/>
  <c r="P47" i="5"/>
  <c r="Q47" i="5"/>
  <c r="R47" i="5"/>
  <c r="M48" i="5"/>
  <c r="N48" i="5"/>
  <c r="O48" i="5"/>
  <c r="P48" i="5"/>
  <c r="Q48" i="5"/>
  <c r="R48" i="5"/>
  <c r="M49" i="5"/>
  <c r="N49" i="5"/>
  <c r="O49" i="5"/>
  <c r="P49" i="5"/>
  <c r="Q49" i="5"/>
  <c r="R49" i="5"/>
  <c r="M50" i="5"/>
  <c r="N50" i="5"/>
  <c r="O50" i="5"/>
  <c r="P50" i="5"/>
  <c r="Q50" i="5"/>
  <c r="R50" i="5"/>
  <c r="N4" i="5"/>
  <c r="O4" i="5"/>
  <c r="P4" i="5"/>
  <c r="Q4" i="5"/>
  <c r="R4" i="5"/>
  <c r="M4" i="5"/>
  <c r="R3" i="5"/>
  <c r="N3" i="5"/>
  <c r="O3" i="5"/>
  <c r="P3" i="5"/>
  <c r="Q3" i="5"/>
  <c r="M3" i="5"/>
  <c r="V22" i="5" l="1"/>
  <c r="AF22" i="5" s="1"/>
  <c r="V18" i="5"/>
  <c r="AF18" i="5" s="1"/>
  <c r="V21" i="5"/>
  <c r="AF21" i="5" s="1"/>
  <c r="V19" i="5"/>
  <c r="AF19" i="5" s="1"/>
  <c r="V7" i="5"/>
  <c r="AF7" i="5" s="1"/>
  <c r="V35" i="5"/>
  <c r="AF35" i="5" s="1"/>
  <c r="AF12" i="5"/>
  <c r="V12" i="5"/>
  <c r="AF44" i="5"/>
  <c r="V30" i="5"/>
  <c r="AF30" i="5" s="1"/>
  <c r="AF17" i="5"/>
  <c r="V33" i="5"/>
  <c r="AF33" i="5" s="1"/>
  <c r="V32" i="5"/>
  <c r="AF32" i="5" s="1"/>
  <c r="V36" i="5"/>
  <c r="AF36" i="5" s="1"/>
  <c r="V16" i="5"/>
  <c r="AF16" i="5" s="1"/>
  <c r="V28" i="5"/>
  <c r="AF28" i="5" s="1"/>
  <c r="V5" i="5"/>
  <c r="V40" i="5"/>
  <c r="AF40" i="5" s="1"/>
  <c r="V25" i="5"/>
  <c r="AF25" i="5" s="1"/>
  <c r="V15" i="5"/>
  <c r="AF15" i="5" s="1"/>
  <c r="V34" i="5"/>
  <c r="AF34" i="5" s="1"/>
  <c r="V41" i="5"/>
  <c r="AF41" i="5" s="1"/>
  <c r="V29" i="5"/>
  <c r="AF29" i="5" s="1"/>
  <c r="AF27" i="5"/>
  <c r="V27" i="5"/>
  <c r="V24" i="5"/>
  <c r="AF24" i="5" s="1"/>
  <c r="V13" i="5"/>
  <c r="AF13" i="5" s="1"/>
  <c r="V42" i="5"/>
  <c r="AF42" i="5" s="1"/>
  <c r="V20" i="5"/>
  <c r="AF20" i="5" s="1"/>
  <c r="V9" i="5"/>
  <c r="AF9" i="5" s="1"/>
  <c r="AF43" i="5"/>
  <c r="V38" i="5"/>
  <c r="AF38" i="5" s="1"/>
  <c r="V8" i="5"/>
  <c r="AF8" i="5" s="1"/>
  <c r="V14" i="5"/>
  <c r="AF14" i="5" s="1"/>
  <c r="V10" i="5"/>
  <c r="AF10" i="5" s="1"/>
  <c r="V26" i="5"/>
  <c r="AF26" i="5" s="1"/>
  <c r="V37" i="5"/>
  <c r="AF37" i="5" s="1"/>
  <c r="V23" i="5"/>
  <c r="AF23" i="5" s="1"/>
  <c r="V11" i="5"/>
  <c r="AF11" i="5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I3" i="2"/>
  <c r="J3" i="2"/>
  <c r="K3" i="2"/>
  <c r="L3" i="2"/>
  <c r="M3" i="2"/>
  <c r="N3" i="2"/>
  <c r="I4" i="2"/>
  <c r="J4" i="2"/>
  <c r="K4" i="2"/>
  <c r="L4" i="2"/>
  <c r="M4" i="2"/>
  <c r="N4" i="2"/>
  <c r="I5" i="2"/>
  <c r="J5" i="2"/>
  <c r="K5" i="2"/>
  <c r="L5" i="2"/>
  <c r="M5" i="2"/>
  <c r="N5" i="2"/>
  <c r="I6" i="2"/>
  <c r="J6" i="2"/>
  <c r="K6" i="2"/>
  <c r="L6" i="2"/>
  <c r="M6" i="2"/>
  <c r="N6" i="2"/>
  <c r="I7" i="2"/>
  <c r="J7" i="2"/>
  <c r="K7" i="2"/>
  <c r="L7" i="2"/>
  <c r="M7" i="2"/>
  <c r="N7" i="2"/>
  <c r="I8" i="2"/>
  <c r="J8" i="2"/>
  <c r="K8" i="2"/>
  <c r="L8" i="2"/>
  <c r="M8" i="2"/>
  <c r="N8" i="2"/>
  <c r="I9" i="2"/>
  <c r="J9" i="2"/>
  <c r="K9" i="2"/>
  <c r="L9" i="2"/>
  <c r="M9" i="2"/>
  <c r="N9" i="2"/>
  <c r="I10" i="2"/>
  <c r="J10" i="2"/>
  <c r="K10" i="2"/>
  <c r="L10" i="2"/>
  <c r="M10" i="2"/>
  <c r="N10" i="2"/>
  <c r="I11" i="2"/>
  <c r="J11" i="2"/>
  <c r="K11" i="2"/>
  <c r="L11" i="2"/>
  <c r="M11" i="2"/>
  <c r="N11" i="2"/>
  <c r="I12" i="2"/>
  <c r="J12" i="2"/>
  <c r="K12" i="2"/>
  <c r="L12" i="2"/>
  <c r="M12" i="2"/>
  <c r="N12" i="2"/>
  <c r="I13" i="2"/>
  <c r="J13" i="2"/>
  <c r="K13" i="2"/>
  <c r="L13" i="2"/>
  <c r="M13" i="2"/>
  <c r="N13" i="2"/>
  <c r="I14" i="2"/>
  <c r="J14" i="2"/>
  <c r="K14" i="2"/>
  <c r="L14" i="2"/>
  <c r="M14" i="2"/>
  <c r="N14" i="2"/>
  <c r="I15" i="2"/>
  <c r="J15" i="2"/>
  <c r="K15" i="2"/>
  <c r="L15" i="2"/>
  <c r="M15" i="2"/>
  <c r="N15" i="2"/>
  <c r="I16" i="2"/>
  <c r="J16" i="2"/>
  <c r="K16" i="2"/>
  <c r="L16" i="2"/>
  <c r="M16" i="2"/>
  <c r="N16" i="2"/>
  <c r="I17" i="2"/>
  <c r="J17" i="2"/>
  <c r="K17" i="2"/>
  <c r="L17" i="2"/>
  <c r="M17" i="2"/>
  <c r="N17" i="2"/>
  <c r="I18" i="2"/>
  <c r="J18" i="2"/>
  <c r="K18" i="2"/>
  <c r="L18" i="2"/>
  <c r="M18" i="2"/>
  <c r="N18" i="2"/>
  <c r="I19" i="2"/>
  <c r="J19" i="2"/>
  <c r="K19" i="2"/>
  <c r="L19" i="2"/>
  <c r="M19" i="2"/>
  <c r="N19" i="2"/>
  <c r="I20" i="2"/>
  <c r="J20" i="2"/>
  <c r="K20" i="2"/>
  <c r="L20" i="2"/>
  <c r="M20" i="2"/>
  <c r="N20" i="2"/>
  <c r="I21" i="2"/>
  <c r="J21" i="2"/>
  <c r="K21" i="2"/>
  <c r="L21" i="2"/>
  <c r="M21" i="2"/>
  <c r="N21" i="2"/>
  <c r="I22" i="2"/>
  <c r="J22" i="2"/>
  <c r="K22" i="2"/>
  <c r="L22" i="2"/>
  <c r="M22" i="2"/>
  <c r="N22" i="2"/>
  <c r="I23" i="2"/>
  <c r="J23" i="2"/>
  <c r="K23" i="2"/>
  <c r="L23" i="2"/>
  <c r="M23" i="2"/>
  <c r="N23" i="2"/>
  <c r="I24" i="2"/>
  <c r="J24" i="2"/>
  <c r="K24" i="2"/>
  <c r="L24" i="2"/>
  <c r="M24" i="2"/>
  <c r="N24" i="2"/>
  <c r="I25" i="2"/>
  <c r="J25" i="2"/>
  <c r="K25" i="2"/>
  <c r="L25" i="2"/>
  <c r="M25" i="2"/>
  <c r="N25" i="2"/>
  <c r="N2" i="2"/>
  <c r="M2" i="2"/>
  <c r="L2" i="2"/>
  <c r="K2" i="2"/>
  <c r="J2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" i="2"/>
  <c r="W50" i="5" l="1"/>
  <c r="X50" i="5" l="1"/>
  <c r="Y50" i="5" l="1"/>
  <c r="Z50" i="5" l="1"/>
  <c r="AA50" i="5" l="1"/>
  <c r="AB50" i="5" l="1"/>
  <c r="AF5" i="5" l="1"/>
  <c r="AC5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bediakonk</author>
  </authors>
  <commentList>
    <comment ref="B36" authorId="0" shapeId="0" xr:uid="{DF683D68-183F-44EC-9FC1-D5EEEE19C0E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Nursing professionals (275) + Nursing associate professionals (961) + Specialist Nurses (1)
</t>
        </r>
      </text>
    </comment>
  </commentList>
</comments>
</file>

<file path=xl/sharedStrings.xml><?xml version="1.0" encoding="utf-8"?>
<sst xmlns="http://schemas.openxmlformats.org/spreadsheetml/2006/main" count="903" uniqueCount="341">
  <si>
    <t>Data on age group availability</t>
  </si>
  <si>
    <t>Country</t>
  </si>
  <si>
    <t>Data year</t>
  </si>
  <si>
    <t>AGO</t>
  </si>
  <si>
    <t>BDI</t>
  </si>
  <si>
    <t>BEN</t>
  </si>
  <si>
    <t>BFA</t>
  </si>
  <si>
    <t>BWA</t>
  </si>
  <si>
    <t>CAF</t>
  </si>
  <si>
    <t>CIV</t>
  </si>
  <si>
    <t>CMR</t>
  </si>
  <si>
    <t>COD</t>
  </si>
  <si>
    <t>COG</t>
  </si>
  <si>
    <t>COM</t>
  </si>
  <si>
    <t>CPV</t>
  </si>
  <si>
    <t>DZA</t>
  </si>
  <si>
    <t>ERI</t>
  </si>
  <si>
    <t>ETH</t>
  </si>
  <si>
    <t>GAB</t>
  </si>
  <si>
    <t>GHA</t>
  </si>
  <si>
    <t>GIN</t>
  </si>
  <si>
    <t>GMB</t>
  </si>
  <si>
    <t>GNB</t>
  </si>
  <si>
    <t>GNQ</t>
  </si>
  <si>
    <t>KEN</t>
  </si>
  <si>
    <t>LBR</t>
  </si>
  <si>
    <t>LSO</t>
  </si>
  <si>
    <t>MDG</t>
  </si>
  <si>
    <t>MLI</t>
  </si>
  <si>
    <t>MOZ</t>
  </si>
  <si>
    <t>MRT</t>
  </si>
  <si>
    <t>MUS</t>
  </si>
  <si>
    <t>MWI</t>
  </si>
  <si>
    <t>NAM</t>
  </si>
  <si>
    <t>NER</t>
  </si>
  <si>
    <t>NGA</t>
  </si>
  <si>
    <t>RWA</t>
  </si>
  <si>
    <t>SEN</t>
  </si>
  <si>
    <t>SLE</t>
  </si>
  <si>
    <t>SSD</t>
  </si>
  <si>
    <t>STP</t>
  </si>
  <si>
    <t>SWZ</t>
  </si>
  <si>
    <t>SYC</t>
  </si>
  <si>
    <t>TCD</t>
  </si>
  <si>
    <t>TGO</t>
  </si>
  <si>
    <t>TZA</t>
  </si>
  <si>
    <t>UGA</t>
  </si>
  <si>
    <t>ZAF</t>
  </si>
  <si>
    <t>ZMB</t>
  </si>
  <si>
    <t>ZWE</t>
  </si>
  <si>
    <t>Row Labels</t>
  </si>
  <si>
    <t>Grand Total</t>
  </si>
  <si>
    <t>Nursing  Personnel  Stock By Age Group &lt; 25 yrs</t>
  </si>
  <si>
    <t>Nursing  Personnel  Stock By Age Group 25-34 yrs</t>
  </si>
  <si>
    <t>Nursing  Personnel  Stock By Age Group 35-44 yrs</t>
  </si>
  <si>
    <t>Nursing  Personnel  Stock By Age Group 45-54 yrs</t>
  </si>
  <si>
    <t>Nursing  Personnel  Stock By Age Group 55-64 yrs</t>
  </si>
  <si>
    <t>Nursing  Personnel  Stock By Age Group ≥ 65 yrs</t>
  </si>
  <si>
    <t>Total</t>
  </si>
  <si>
    <t>country code</t>
  </si>
  <si>
    <t>Income</t>
  </si>
  <si>
    <t>Algeria</t>
  </si>
  <si>
    <t>Lower-Middle-Income Economies</t>
  </si>
  <si>
    <t>Angola</t>
  </si>
  <si>
    <t>Benin</t>
  </si>
  <si>
    <t>Botswana</t>
  </si>
  <si>
    <t>High/Upper-Middle-Income Economies </t>
  </si>
  <si>
    <t>Burkina Faso</t>
  </si>
  <si>
    <t>Low-Income Economies</t>
  </si>
  <si>
    <t>Burundi</t>
  </si>
  <si>
    <t>Cameroon</t>
  </si>
  <si>
    <t>Cape-Verde</t>
  </si>
  <si>
    <t>Central African Republic</t>
  </si>
  <si>
    <t>Chad</t>
  </si>
  <si>
    <t>Comoros</t>
  </si>
  <si>
    <t>Congo</t>
  </si>
  <si>
    <t>Cote d'Ivoire</t>
  </si>
  <si>
    <t>DRC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</si>
  <si>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</si>
  <si>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</si>
  <si>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</si>
  <si>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</si>
  <si>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</si>
  <si>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</si>
  <si>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</si>
  <si>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</si>
  <si>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</si>
  <si>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</si>
  <si>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</si>
  <si>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</si>
  <si>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</si>
  <si>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</si>
  <si>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</si>
  <si>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</si>
  <si>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</si>
  <si>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</si>
  <si>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</si>
  <si>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</si>
  <si>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</si>
  <si>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</si>
  <si>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</si>
  <si>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</si>
  <si>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</si>
  <si>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</si>
  <si>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</si>
  <si>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</si>
  <si>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</si>
  <si>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</si>
  <si>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</si>
  <si>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</si>
  <si>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</si>
  <si>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AFRO</t>
  </si>
  <si>
    <t>Average of Nursing  Personnel  Stock By Age Group &lt; 25 yrs2</t>
  </si>
  <si>
    <t>Average of Nursing  Personnel  Stock By Age Group 25-34 yrs2</t>
  </si>
  <si>
    <t>Average of Nursing  Personnel  Stock By Age Group 35-44 yrs2</t>
  </si>
  <si>
    <t>Average of Nursing  Personnel  Stock By Age Group 45-54 yrs2</t>
  </si>
  <si>
    <t>Average of Nursing  Personnel  Stock By Age Group ≥ 65 yrs2</t>
  </si>
  <si>
    <t>Average of Nursing  Personnel  Stock By Age Group 55-64 yrs2</t>
  </si>
  <si>
    <t>Nursing  Personnel  Stock By Age Group &lt; 25 years</t>
  </si>
  <si>
    <t>Nursing  Personnel  Stock By Age Group 25-34 years</t>
  </si>
  <si>
    <t>Nursing  Personnel  Stock By Age Group 35-44 years</t>
  </si>
  <si>
    <t>Nursing  Personnel  Stock By Age Group 45-54 years</t>
  </si>
  <si>
    <t>Nursing  Personnel  Stock By Age Group 55-64 years</t>
  </si>
  <si>
    <t>Nursing  Personnel  Stock By Age Group ≥ 65 years</t>
  </si>
  <si>
    <t>Adjusted 2022</t>
  </si>
  <si>
    <t>Country code</t>
  </si>
  <si>
    <t>income level</t>
  </si>
  <si>
    <t>Nursing  Personnel  Stock By Age Group &lt; 25 yrs (prop)</t>
  </si>
  <si>
    <t>Nursing  Personnel  Stock By Age Group 25-34 yrs  (prop)</t>
  </si>
  <si>
    <t>Nursing  Personnel  Stock By Age Group 35-44 yrs  (prop)</t>
  </si>
  <si>
    <t>Nursing  Personnel  Stock By Age Group 45-54 yrs  (prop)</t>
  </si>
  <si>
    <t>Nursing  Personnel  Stock By Age Group 55-64 yrs  (prop)</t>
  </si>
  <si>
    <t>Nursing  Personnel  Stock By Age Group ≥ 65 yrs  (prop)</t>
  </si>
  <si>
    <t xml:space="preserve">Nursing  Personnel  Stock By Age Group 25-34 yrs </t>
  </si>
  <si>
    <t xml:space="preserve">Nursing  Personnel  Stock By Age Group 35-44 yrs </t>
  </si>
  <si>
    <t xml:space="preserve">Nursing  Personnel  Stock By Age Group 45-54 yrs </t>
  </si>
  <si>
    <t xml:space="preserve">Nursing  Personnel  Stock By Age Group 55-64 yrs </t>
  </si>
  <si>
    <t xml:space="preserve">Nursing  Personnel  Stock By Age Group ≥ 65 yrs  </t>
  </si>
  <si>
    <t>Nursing Associate Professionals</t>
  </si>
  <si>
    <t>Nursing Professionals</t>
  </si>
  <si>
    <t>CAR</t>
  </si>
  <si>
    <t>Nurses</t>
  </si>
  <si>
    <t>Ratio of stock to graduates</t>
  </si>
  <si>
    <t>(blank)</t>
  </si>
  <si>
    <t>Average of Ratio of stock to graduates</t>
  </si>
  <si>
    <t>Estimated annual graduates</t>
  </si>
  <si>
    <t>Projected 2023</t>
  </si>
  <si>
    <t>Projected 2024</t>
  </si>
  <si>
    <t>Projected 2025</t>
  </si>
  <si>
    <t>Projected 2026</t>
  </si>
  <si>
    <t>Projected 2027</t>
  </si>
  <si>
    <t>Projected 2028</t>
  </si>
  <si>
    <t>Projected 2029</t>
  </si>
  <si>
    <t>Projected 2030</t>
  </si>
  <si>
    <t>iso codes</t>
  </si>
  <si>
    <t>Generalist Medical Practitioners</t>
  </si>
  <si>
    <t>Specialist Medical Practitioners</t>
  </si>
  <si>
    <t>Dentists</t>
  </si>
  <si>
    <t>Other Dental practitioners</t>
  </si>
  <si>
    <t>Pharmacists</t>
  </si>
  <si>
    <t>Other Pharmacy practitioners</t>
  </si>
  <si>
    <t>Midwifery personnel</t>
  </si>
  <si>
    <t>Nursing Personnel</t>
  </si>
  <si>
    <t>Medical and Pathology Laboratory scientists</t>
  </si>
  <si>
    <t>Paramedical Practitioners</t>
  </si>
  <si>
    <t>Other Health Workers</t>
  </si>
  <si>
    <t>Data Sorce(s)</t>
  </si>
  <si>
    <t>NHWA dataset, 2023</t>
  </si>
  <si>
    <t>Dent-2018;</t>
  </si>
  <si>
    <t>Med-2021; Pharm-2021;Mid-2021; Nur-2021;Biom-2021; others-2021</t>
  </si>
  <si>
    <t>2022 for all</t>
  </si>
  <si>
    <t>2018 dataset</t>
  </si>
  <si>
    <t>Cabo Verde</t>
  </si>
  <si>
    <t>2021 for all</t>
  </si>
  <si>
    <t>Democratic Republic of the Congo</t>
  </si>
  <si>
    <t>Nurs-2022</t>
  </si>
  <si>
    <t>pharmacist from 2018</t>
  </si>
  <si>
    <t xml:space="preserve">HLMA 2023; Ismaila (2023) </t>
  </si>
  <si>
    <t>HLMA data, Dentist-2018; CMHW-2022; Biom -2018;</t>
  </si>
  <si>
    <t>SADC dataset, 2022</t>
  </si>
  <si>
    <t>capacity-HLMA data extracted</t>
  </si>
  <si>
    <t>NHWA dataset, 2023; HLMA dataset, 2019; 2018 survey dataset</t>
  </si>
  <si>
    <t>Med-2021,2022; Nurs-2022; Midw-2022; Other-2021,2022, CHW-2021</t>
  </si>
  <si>
    <t>2030 starategic plan</t>
  </si>
  <si>
    <t>NHWA dataset, 2023; Other and Medical specialist from 2018 Survey dataset</t>
  </si>
  <si>
    <t>other occupations, Medical specialis taken from 2018 survey dataset</t>
  </si>
  <si>
    <t>NHWA dataset, 2023; Zambia HLMA</t>
  </si>
  <si>
    <t>2022 data set for -all</t>
  </si>
  <si>
    <t>Updated Annual graduated</t>
  </si>
  <si>
    <t>Sum of Latest count ever reported</t>
  </si>
  <si>
    <t>MAR</t>
  </si>
  <si>
    <t>AFG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</si>
  <si>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</si>
  <si>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</si>
  <si>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</si>
  <si>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</si>
  <si>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</si>
  <si>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</si>
  <si>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</si>
  <si>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</si>
  <si>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</si>
  <si>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BEL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</si>
  <si>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</si>
  <si>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</si>
  <si>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</si>
  <si>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</si>
  <si>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</si>
  <si>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</si>
  <si>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</si>
  <si>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</si>
  <si>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</si>
  <si>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</si>
  <si>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</si>
  <si>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</si>
  <si>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CAN</t>
  </si>
  <si>
    <t>CHE</t>
  </si>
  <si>
    <t>CHL</t>
  </si>
  <si>
    <t>CHN</t>
  </si>
  <si>
    <t>COK</t>
  </si>
  <si>
    <t>COL</t>
  </si>
  <si>
    <t>CRI</t>
  </si>
  <si>
    <t>CUB</t>
  </si>
  <si>
    <t>CYP</t>
  </si>
  <si>
    <t>CZE</t>
  </si>
  <si>
    <t>DEU</t>
  </si>
  <si>
    <t>DMA</t>
  </si>
  <si>
    <t>DNK</t>
  </si>
  <si>
    <t>DOM</t>
  </si>
  <si>
    <t>ECU</t>
  </si>
  <si>
    <t>EGY</t>
  </si>
  <si>
    <t>ESP</t>
  </si>
  <si>
    <t>EST</t>
  </si>
  <si>
    <t>FIN</t>
  </si>
  <si>
    <t>FJI</t>
  </si>
  <si>
    <t>FRA</t>
  </si>
  <si>
    <t>FSM</t>
  </si>
  <si>
    <t>GBR</t>
  </si>
  <si>
    <t>GEO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</si>
  <si>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</si>
  <si>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</si>
  <si>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</si>
  <si>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</si>
  <si>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</si>
  <si>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</si>
  <si>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</si>
  <si>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</si>
  <si>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</si>
  <si>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</si>
  <si>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</si>
  <si>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</si>
  <si>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</si>
  <si>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</si>
  <si>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</si>
  <si>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</si>
  <si>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</si>
  <si>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</si>
  <si>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</si>
  <si>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</si>
  <si>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KGZ</t>
  </si>
  <si>
    <t>KHM</t>
  </si>
  <si>
    <t>KIR</t>
  </si>
  <si>
    <t>KNA</t>
  </si>
  <si>
    <t>KOR</t>
  </si>
  <si>
    <t>KWT</t>
  </si>
  <si>
    <t>LAO</t>
  </si>
  <si>
    <t>LBN</t>
  </si>
  <si>
    <t>LBY</t>
  </si>
  <si>
    <t>LCA</t>
  </si>
  <si>
    <t>LKA</t>
  </si>
  <si>
    <t>LTU</t>
  </si>
  <si>
    <t>LUX</t>
  </si>
  <si>
    <t>LVA</t>
  </si>
  <si>
    <t>MCO</t>
  </si>
  <si>
    <t>MDA</t>
  </si>
  <si>
    <t>MDV</t>
  </si>
  <si>
    <t>MEX</t>
  </si>
  <si>
    <t>MHL</t>
  </si>
  <si>
    <t>MKD</t>
  </si>
  <si>
    <t>MLT</t>
  </si>
  <si>
    <t>MMR</t>
  </si>
  <si>
    <t>MNE</t>
  </si>
  <si>
    <t>MNG</t>
  </si>
  <si>
    <t>MYS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</si>
  <si>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</si>
  <si>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</si>
  <si>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</si>
  <si>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</si>
  <si>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</si>
  <si>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</si>
  <si>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</si>
  <si>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</si>
  <si>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</si>
  <si>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</si>
  <si>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</si>
  <si>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</si>
  <si>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</si>
  <si>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</si>
  <si>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</si>
  <si>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</si>
  <si>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</si>
  <si>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</si>
  <si>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QAT</t>
  </si>
  <si>
    <t>ROU</t>
  </si>
  <si>
    <t>RUS</t>
  </si>
  <si>
    <t>SAU</t>
  </si>
  <si>
    <t>SDN</t>
  </si>
  <si>
    <t>SGP</t>
  </si>
  <si>
    <t>SLB</t>
  </si>
  <si>
    <t>SLV</t>
  </si>
  <si>
    <t>SMR</t>
  </si>
  <si>
    <t>SOM</t>
  </si>
  <si>
    <t>SRB</t>
  </si>
  <si>
    <t>SUR</t>
  </si>
  <si>
    <t>SVK</t>
  </si>
  <si>
    <t>SVN</t>
  </si>
  <si>
    <t>SWE</t>
  </si>
  <si>
    <t>SYR</t>
  </si>
  <si>
    <t>THA</t>
  </si>
  <si>
    <t>TJK</t>
  </si>
  <si>
    <t>TKM</t>
  </si>
  <si>
    <t>TLS</t>
  </si>
  <si>
    <t>TON</t>
  </si>
  <si>
    <t>TTO</t>
  </si>
  <si>
    <t>TUN</t>
  </si>
  <si>
    <t>TUR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</si>
  <si>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</si>
  <si>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</si>
  <si>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</si>
  <si>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</si>
  <si>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</si>
  <si>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</si>
  <si>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</si>
  <si>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</si>
  <si>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</si>
  <si>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</si>
  <si>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Migrated</t>
  </si>
  <si>
    <t>Migration factor</t>
  </si>
  <si>
    <t>Trajectory</t>
  </si>
  <si>
    <t>Gap due to migration</t>
  </si>
  <si>
    <t>Midwives to Nurses</t>
  </si>
  <si>
    <t>Migrated midwives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</si>
</sst>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0_-;\-* #,##0.0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b/>
      <sz val="11"/>
      <color theme="1"/>
      <name val="Arial Nova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11"/>
      <color rgb="FFFF0000"/>
      <name val="Arial Narrow"/>
      <family val="2"/>
    </font>
    <font>
      <b/>
      <sz val="11"/>
      <color rgb="FFFF0000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b/>
      <sz val="11"/>
      <name val="Arial Narrow"/>
      <family val="2"/>
    </font>
    <font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2" applyNumberFormat="1" applyFont="1"/>
    <xf numFmtId="0" fontId="5" fillId="2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6" fillId="0" borderId="1" xfId="0" applyFont="1" applyBorder="1" applyAlignment="1">
      <alignment horizontal="left"/>
    </xf>
    <xf numFmtId="165" fontId="6" fillId="4" borderId="1" xfId="0" applyNumberFormat="1" applyFont="1" applyFill="1" applyBorder="1"/>
    <xf numFmtId="0" fontId="5" fillId="2" borderId="1" xfId="0" applyFont="1" applyFill="1" applyBorder="1" applyAlignment="1">
      <alignment horizontal="left"/>
    </xf>
    <xf numFmtId="165" fontId="5" fillId="3" borderId="1" xfId="0" applyNumberFormat="1" applyFont="1" applyFill="1" applyBorder="1"/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5" fontId="7" fillId="4" borderId="1" xfId="0" applyNumberFormat="1" applyFont="1" applyFill="1" applyBorder="1"/>
    <xf numFmtId="0" fontId="8" fillId="2" borderId="1" xfId="0" applyFont="1" applyFill="1" applyBorder="1" applyAlignment="1">
      <alignment wrapText="1"/>
    </xf>
    <xf numFmtId="165" fontId="9" fillId="0" borderId="0" xfId="1" applyNumberFormat="1" applyFont="1"/>
    <xf numFmtId="0" fontId="12" fillId="5" borderId="1" xfId="0" applyFont="1" applyFill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/>
    <xf numFmtId="165" fontId="6" fillId="0" borderId="1" xfId="0" applyNumberFormat="1" applyFont="1" applyBorder="1"/>
    <xf numFmtId="164" fontId="6" fillId="0" borderId="1" xfId="0" applyNumberFormat="1" applyFont="1" applyBorder="1"/>
    <xf numFmtId="165" fontId="6" fillId="0" borderId="1" xfId="1" applyNumberFormat="1" applyFont="1" applyBorder="1"/>
    <xf numFmtId="10" fontId="6" fillId="0" borderId="1" xfId="2" applyNumberFormat="1" applyFont="1" applyBorder="1"/>
    <xf numFmtId="0" fontId="5" fillId="0" borderId="1" xfId="0" applyFont="1" applyBorder="1"/>
    <xf numFmtId="165" fontId="5" fillId="0" borderId="1" xfId="1" applyNumberFormat="1" applyFont="1" applyBorder="1"/>
    <xf numFmtId="164" fontId="5" fillId="0" borderId="1" xfId="0" applyNumberFormat="1" applyFont="1" applyBorder="1"/>
    <xf numFmtId="0" fontId="2" fillId="0" borderId="8" xfId="0" applyFont="1" applyBorder="1"/>
    <xf numFmtId="0" fontId="8" fillId="0" borderId="1" xfId="0" applyFont="1" applyBorder="1" applyAlignment="1">
      <alignment vertical="top" wrapText="1"/>
    </xf>
    <xf numFmtId="0" fontId="0" fillId="0" borderId="0" xfId="0" applyNumberFormat="1"/>
    <xf numFmtId="0" fontId="12" fillId="5" borderId="9" xfId="0" applyFont="1" applyFill="1" applyBorder="1" applyAlignment="1">
      <alignment wrapText="1"/>
    </xf>
    <xf numFmtId="165" fontId="6" fillId="5" borderId="1" xfId="1" applyNumberFormat="1" applyFont="1" applyFill="1" applyBorder="1"/>
    <xf numFmtId="165" fontId="5" fillId="5" borderId="1" xfId="1" applyNumberFormat="1" applyFont="1" applyFill="1" applyBorder="1"/>
    <xf numFmtId="0" fontId="0" fillId="5" borderId="0" xfId="0" applyFill="1"/>
    <xf numFmtId="165" fontId="0" fillId="5" borderId="0" xfId="1" applyNumberFormat="1" applyFont="1" applyFill="1"/>
    <xf numFmtId="165" fontId="2" fillId="5" borderId="0" xfId="1" applyNumberFormat="1" applyFont="1" applyFill="1"/>
    <xf numFmtId="165" fontId="0" fillId="5" borderId="0" xfId="0" applyNumberFormat="1" applyFill="1"/>
    <xf numFmtId="9" fontId="0" fillId="0" borderId="0" xfId="2" applyFont="1"/>
    <xf numFmtId="0" fontId="6" fillId="0" borderId="1" xfId="1" applyNumberFormat="1" applyFont="1" applyBorder="1"/>
    <xf numFmtId="0" fontId="12" fillId="5" borderId="0" xfId="0" applyFont="1" applyFill="1" applyBorder="1" applyAlignment="1">
      <alignment wrapText="1"/>
    </xf>
    <xf numFmtId="1" fontId="0" fillId="0" borderId="0" xfId="0" applyNumberFormat="1"/>
    <xf numFmtId="0" fontId="13" fillId="5" borderId="1" xfId="0" applyFont="1" applyFill="1" applyBorder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Income!$A$64</c:f>
              <c:strCache>
                <c:ptCount val="1"/>
                <c:pt idx="0">
                  <c:v>High/Upper-Middle-Income Economies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Income!$B$63:$G$63</c:f>
              <c:strCache>
                <c:ptCount val="6"/>
                <c:pt idx="0">
                  <c:v>Nursing  Personnel  Stock By Age Group &lt; 25 years</c:v>
                </c:pt>
                <c:pt idx="1">
                  <c:v>Nursing  Personnel  Stock By Age Group 25-34 years</c:v>
                </c:pt>
                <c:pt idx="2">
                  <c:v>Nursing  Personnel  Stock By Age Group 35-44 years</c:v>
                </c:pt>
                <c:pt idx="3">
                  <c:v>Nursing  Personnel  Stock By Age Group 45-54 years</c:v>
                </c:pt>
                <c:pt idx="4">
                  <c:v>Nursing  Personnel  Stock By Age Group 55-64 years</c:v>
                </c:pt>
                <c:pt idx="5">
                  <c:v>Nursing  Personnel  Stock By Age Group ≥ 65 years</c:v>
                </c:pt>
              </c:strCache>
            </c:strRef>
          </c:cat>
          <c:val>
            <c:numRef>
              <c:f>Income!$B$64:$G$64</c:f>
              <c:numCache>
                <c:formatCode>0.00%</c:formatCode>
                <c:ptCount val="6"/>
                <c:pt idx="0">
                  <c:v>1.8679111475270328E-2</c:v>
                </c:pt>
                <c:pt idx="1">
                  <c:v>0.24613491771786639</c:v>
                </c:pt>
                <c:pt idx="2">
                  <c:v>0.31712615934178301</c:v>
                </c:pt>
                <c:pt idx="3">
                  <c:v>0.24329284860264971</c:v>
                </c:pt>
                <c:pt idx="4">
                  <c:v>0.13924057054727651</c:v>
                </c:pt>
                <c:pt idx="5">
                  <c:v>3.5526392315154053E-2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5-4E43-A92E-1FB03405E7AE}"/>
            </c:ext>
          </c:extLst>
        </c:ser>
        <c:ser>
          <c:idx val="1"/>
          <c:order val="1"/>
          <c:tx>
            <c:strRef>
              <c:f>Income!$A$65</c:f>
              <c:strCache>
                <c:ptCount val="1"/>
                <c:pt idx="0">
                  <c:v>Lower-Middle-Income Economies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Income!$B$63:$G$63</c:f>
              <c:strCache>
                <c:ptCount val="6"/>
                <c:pt idx="0">
                  <c:v>Nursing  Personnel  Stock By Age Group &lt; 25 years</c:v>
                </c:pt>
                <c:pt idx="1">
                  <c:v>Nursing  Personnel  Stock By Age Group 25-34 years</c:v>
                </c:pt>
                <c:pt idx="2">
                  <c:v>Nursing  Personnel  Stock By Age Group 35-44 years</c:v>
                </c:pt>
                <c:pt idx="3">
                  <c:v>Nursing  Personnel  Stock By Age Group 45-54 years</c:v>
                </c:pt>
                <c:pt idx="4">
                  <c:v>Nursing  Personnel  Stock By Age Group 55-64 years</c:v>
                </c:pt>
                <c:pt idx="5">
                  <c:v>Nursing  Personnel  Stock By Age Group ≥ 65 years</c:v>
                </c:pt>
              </c:strCache>
            </c:strRef>
          </c:cat>
          <c:val>
            <c:numRef>
              <c:f>Income!$B$65:$G$65</c:f>
              <c:numCache>
                <c:formatCode>0.00%</c:formatCode>
                <c:ptCount val="6"/>
                <c:pt idx="0">
                  <c:v>3.1079803713894617E-2</c:v>
                </c:pt>
                <c:pt idx="1">
                  <c:v>0.33653962637948021</c:v>
                </c:pt>
                <c:pt idx="2">
                  <c:v>0.34941395631522804</c:v>
                </c:pt>
                <c:pt idx="3">
                  <c:v>0.20169962632044125</c:v>
                </c:pt>
                <c:pt idx="4">
                  <c:v>7.3507084647192453E-2</c:v>
                </c:pt>
                <c:pt idx="5">
                  <c:v>7.7599026237634297E-3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5-4E43-A92E-1FB03405E7AE}"/>
            </c:ext>
          </c:extLst>
        </c:ser>
        <c:ser>
          <c:idx val="2"/>
          <c:order val="2"/>
          <c:tx>
            <c:strRef>
              <c:f>Income!$A$66</c:f>
              <c:strCache>
                <c:ptCount val="1"/>
                <c:pt idx="0">
                  <c:v>Low-Income Economies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Income!$B$63:$G$63</c:f>
              <c:strCache>
                <c:ptCount val="6"/>
                <c:pt idx="0">
                  <c:v>Nursing  Personnel  Stock By Age Group &lt; 25 years</c:v>
                </c:pt>
                <c:pt idx="1">
                  <c:v>Nursing  Personnel  Stock By Age Group 25-34 years</c:v>
                </c:pt>
                <c:pt idx="2">
                  <c:v>Nursing  Personnel  Stock By Age Group 35-44 years</c:v>
                </c:pt>
                <c:pt idx="3">
                  <c:v>Nursing  Personnel  Stock By Age Group 45-54 years</c:v>
                </c:pt>
                <c:pt idx="4">
                  <c:v>Nursing  Personnel  Stock By Age Group 55-64 years</c:v>
                </c:pt>
                <c:pt idx="5">
                  <c:v>Nursing  Personnel  Stock By Age Group ≥ 65 years</c:v>
                </c:pt>
              </c:strCache>
            </c:strRef>
          </c:cat>
          <c:val>
            <c:numRef>
              <c:f>Income!$B$66:$G$66</c:f>
              <c:numCache>
                <c:formatCode>0.00%</c:formatCode>
                <c:ptCount val="6"/>
                <c:pt idx="0">
                  <c:v>0.16765299086895941</c:v>
                </c:pt>
                <c:pt idx="1">
                  <c:v>0.35339731243898659</c:v>
                </c:pt>
                <c:pt idx="2">
                  <c:v>0.29951984150713429</c:v>
                </c:pt>
                <c:pt idx="3">
                  <c:v>0.1336555241914486</c:v>
                </c:pt>
                <c:pt idx="4">
                  <c:v>4.3048783589516915E-2</c:v>
                </c:pt>
                <c:pt idx="5">
                  <c:v>2.7255474039542516E-3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5-4E43-A92E-1FB03405E7AE}"/>
            </c:ext>
          </c:extLst>
        </c:ser>
        <c:ser>
          <c:idx val="3"/>
          <c:order val="3"/>
          <c:tx>
            <c:strRef>
              <c:f>Income!$A$67</c:f>
              <c:strCache>
                <c:ptCount val="1"/>
                <c:pt idx="0">
                  <c:v>AFRO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Income!$B$63:$G$63</c:f>
              <c:strCache>
                <c:ptCount val="6"/>
                <c:pt idx="0">
                  <c:v>Nursing  Personnel  Stock By Age Group &lt; 25 years</c:v>
                </c:pt>
                <c:pt idx="1">
                  <c:v>Nursing  Personnel  Stock By Age Group 25-34 years</c:v>
                </c:pt>
                <c:pt idx="2">
                  <c:v>Nursing  Personnel  Stock By Age Group 35-44 years</c:v>
                </c:pt>
                <c:pt idx="3">
                  <c:v>Nursing  Personnel  Stock By Age Group 45-54 years</c:v>
                </c:pt>
                <c:pt idx="4">
                  <c:v>Nursing  Personnel  Stock By Age Group 55-64 years</c:v>
                </c:pt>
                <c:pt idx="5">
                  <c:v>Nursing  Personnel  Stock By Age Group ≥ 65 years</c:v>
                </c:pt>
              </c:strCache>
            </c:strRef>
          </c:cat>
          <c:val>
            <c:numRef>
              <c:f>Income!$B$67:$G$67</c:f>
              <c:numCache>
                <c:formatCode>0.00%</c:formatCode>
                <c:ptCount val="6"/>
                <c:pt idx="0">
                  <c:v>2.8094911126753986E-2</c:v>
                </c:pt>
                <c:pt idx="1">
                  <c:v>0.42408199480095404</c:v>
                </c:pt>
                <c:pt idx="2">
                  <c:v>0.32237544168541793</c:v>
                </c:pt>
                <c:pt idx="3">
                  <c:v>0.14725787510182761</c:v>
                </c:pt>
                <c:pt idx="4">
                  <c:v>7.3303780982837616E-2</c:v>
                </c:pt>
                <c:pt idx="5">
                  <c:v>4.8859963022088162E-3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D5-4E43-A92E-1FB03405E7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03499632"/>
        <c:axId val="352565696"/>
      </c:barChart>
      <c:catAx>
        <c:axId val="2034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70C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52565696"/>
        <c:crosses val="autoZero"/>
        <c:auto val="1"/>
        <c:lblAlgn val="ctr"/>
        <c:lblOffset val="100"/>
        <c:noMultiLvlLbl val="0"/>
      </c:catAx>
      <c:valAx>
        <c:axId val="35256569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0349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Projections!$V$50:$AC$50</c:f>
              <c:numCache>
                <c:formatCode>_-* #,##0_-;\-* #,##0_-;_-* "-"??_-;_-@_-</c:formatCode>
                <c:ptCount val="8"/>
                <c:pt idx="0">
                  <c:v>342941.52213088784</c:v>
                </c:pt>
                <c:pt idx="1">
                  <c:v>379058.81882513792</c:v>
                </c:pt>
                <c:pt idx="2">
                  <c:v>399599.53420236066</c:v>
                </c:pt>
                <c:pt idx="3">
                  <c:v>420087.26413983182</c:v>
                </c:pt>
                <c:pt idx="4">
                  <c:v>440522.24221529177</c:v>
                </c:pt>
                <c:pt idx="5">
                  <c:v>460904.70017630287</c:v>
                </c:pt>
                <c:pt idx="6">
                  <c:v>481234.86796408874</c:v>
                </c:pt>
                <c:pt idx="7">
                  <c:v>501512.97373700025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73-49CA-BE22-FF17E7C65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257712"/>
        <c:axId val="153299632"/>
      </c:scatterChart>
      <c:valAx>
        <c:axId val="31525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53299632"/>
        <c:crosses val="autoZero"/>
        <c:crossBetween val="midCat"/>
      </c:valAx>
      <c:valAx>
        <c:axId val="15329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1525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0.15267847769028872"/>
          <c:y val="0.19486111111111112"/>
          <c:w val="0.84732152230971125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Projections!$W$54:$AC$54</c:f>
              <c:numCache>
                <c:formatCode>_-* #,##0_-;\-* #,##0_-;_-* "-"??_-;_-@_-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6-476A-B730-4FAB71748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443039"/>
        <c:axId val="1744916992"/>
      </c:lineChart>
      <c:catAx>
        <c:axId val="1624443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44916992"/>
        <c:crosses val="autoZero"/>
        <c:auto val="1"/>
        <c:lblAlgn val="ctr"/>
        <c:lblOffset val="100"/>
        <c:noMultiLvlLbl val="0"/>
      </c:catAx>
      <c:valAx>
        <c:axId val="174491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62444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98424</xdr:colOff>
      <xdr:row>62</xdr:row>
      <xdr:rowOff>50800</xdr:rowOff>
    </xdr:from>
    <xdr:to>
      <xdr:col>21</xdr:col>
      <xdr:colOff>457200</xdr:colOff>
      <xdr:row>86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EDB14D-3C67-CA72-7A52-9A3867731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193675</xdr:colOff>
      <xdr:row>58</xdr:row>
      <xdr:rowOff>25400</xdr:rowOff>
    </xdr:from>
    <xdr:to>
      <xdr:col>27</xdr:col>
      <xdr:colOff>1114425</xdr:colOff>
      <xdr:row>73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D0D356-81ED-7937-F5CE-38DCCACE4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41275</xdr:colOff>
      <xdr:row>57</xdr:row>
      <xdr:rowOff>57150</xdr:rowOff>
    </xdr:from>
    <xdr:to>
      <xdr:col>37</xdr:col>
      <xdr:colOff>346075</xdr:colOff>
      <xdr:row>72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20FDF2-7433-F38C-ECB8-6149DC41E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44.67537222222" createdVersion="8" refreshedVersion="8" minRefreshableVersion="3" recordCount="24" xr:uid="{9B524274-ED2A-4414-8786-CFC875A32A66}">
  <cacheSource type="worksheet">
    <worksheetSource ref="A1:O25" sheet="proportions"/>
  </cacheSource>
  <cacheFields count="15">
    <cacheField name="Country" numFmtId="0">
      <sharedItems/>
    </cacheField>
    <cacheField name="Nursing  Personnel  Stock By Age Group &lt; 25 yrs" numFmtId="0">
      <sharedItems containsSemiMixedTypes="0" containsString="0" containsNumber="1" containsInteger="1" minValue="0" maxValue="16244"/>
    </cacheField>
    <cacheField name="Nursing  Personnel  Stock By Age Group 25-34 yrs" numFmtId="0">
      <sharedItems containsSemiMixedTypes="0" containsString="0" containsNumber="1" containsInteger="1" minValue="253" maxValue="245197"/>
    </cacheField>
    <cacheField name="Nursing  Personnel  Stock By Age Group 35-44 yrs" numFmtId="0">
      <sharedItems containsSemiMixedTypes="0" containsString="0" containsNumber="1" containsInteger="1" minValue="139" maxValue="186392"/>
    </cacheField>
    <cacheField name="Nursing  Personnel  Stock By Age Group 45-54 yrs" numFmtId="0">
      <sharedItems containsSemiMixedTypes="0" containsString="0" containsNumber="1" containsInteger="1" minValue="102" maxValue="85142"/>
    </cacheField>
    <cacheField name="Nursing  Personnel  Stock By Age Group 55-64 yrs" numFmtId="0">
      <sharedItems containsSemiMixedTypes="0" containsString="0" containsNumber="1" containsInteger="1" minValue="100" maxValue="54049"/>
    </cacheField>
    <cacheField name="Nursing  Personnel  Stock By Age Group ≥ 65 yrs" numFmtId="0">
      <sharedItems containsString="0" containsBlank="1" containsNumber="1" containsInteger="1" minValue="0" maxValue="15146"/>
    </cacheField>
    <cacheField name="Total" numFmtId="0">
      <sharedItems containsSemiMixedTypes="0" containsString="0" containsNumber="1" containsInteger="1" minValue="941" maxValue="578183"/>
    </cacheField>
    <cacheField name="Nursing  Personnel  Stock By Age Group &lt; 25 yrs2" numFmtId="0">
      <sharedItems containsSemiMixedTypes="0" containsString="0" containsNumber="1" minValue="0" maxValue="0.88558189271074672"/>
    </cacheField>
    <cacheField name="Nursing  Personnel  Stock By Age Group 25-34 yrs2" numFmtId="0">
      <sharedItems containsSemiMixedTypes="0" containsString="0" containsNumber="1" minValue="7.9754054535733379E-2" maxValue="0.66800437430397397"/>
    </cacheField>
    <cacheField name="Nursing  Personnel  Stock By Age Group 35-44 yrs2" numFmtId="0">
      <sharedItems containsSemiMixedTypes="0" containsString="0" containsNumber="1" minValue="1.2386383888789878E-2" maxValue="0.56322567025543591"/>
    </cacheField>
    <cacheField name="Nursing  Personnel  Stock By Age Group 45-54 yrs2" numFmtId="0">
      <sharedItems containsSemiMixedTypes="0" containsString="0" containsNumber="1" minValue="9.0892888968098374E-3" maxValue="0.35819499649286884"/>
    </cacheField>
    <cacheField name="Nursing  Personnel  Stock By Age Group 55-64 yrs2" numFmtId="0">
      <sharedItems containsSemiMixedTypes="0" containsString="0" containsNumber="1" minValue="7.925917751045921E-3" maxValue="0.18920148843591708"/>
    </cacheField>
    <cacheField name="Nursing  Personnel  Stock By Age Group ≥ 65 yrs2" numFmtId="0">
      <sharedItems containsSemiMixedTypes="0" containsString="0" containsNumber="1" minValue="0" maxValue="8.4477296726504753E-2"/>
    </cacheField>
    <cacheField name="Income" numFmtId="0">
      <sharedItems containsMixedTypes="1" containsNumber="1" containsInteger="1" minValue="0" maxValue="0" count="5">
        <s v="AFRO"/>
        <s v="High/Upper-Middle-Income Economies "/>
        <s v="Lower-Middle-Income Economies"/>
        <s v="Low-Income Economies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44.74825034722" createdVersion="8" refreshedVersion="8" minRefreshableVersion="3" recordCount="48" xr:uid="{EFCDF4EF-0863-42C9-931B-FD686F143797}">
  <cacheSource type="worksheet">
    <worksheetSource ref="A2:T50" sheet="Projections"/>
  </cacheSource>
  <cacheFields count="20">
    <cacheField name="Country" numFmtId="0">
      <sharedItems/>
    </cacheField>
    <cacheField name="Country code" numFmtId="0">
      <sharedItems/>
    </cacheField>
    <cacheField name="income level" numFmtId="0">
      <sharedItems containsBlank="1" count="4">
        <s v="Lower-Middle-Income Economies"/>
        <s v="High/Upper-Middle-Income Economies "/>
        <s v="Low-Income Economies"/>
        <m/>
      </sharedItems>
    </cacheField>
    <cacheField name="2013" numFmtId="165">
      <sharedItems containsSemiMixedTypes="0" containsString="0" containsNumber="1" containsInteger="1" minValue="0" maxValue="479279"/>
    </cacheField>
    <cacheField name="2018" numFmtId="165">
      <sharedItems containsSemiMixedTypes="0" containsString="0" containsNumber="1" containsInteger="1" minValue="355" maxValue="1248604"/>
    </cacheField>
    <cacheField name="Adjusted 2022" numFmtId="165">
      <sharedItems containsSemiMixedTypes="0" containsString="0" containsNumber="1" minValue="440" maxValue="1599096.3166420327"/>
    </cacheField>
    <cacheField name="Nursing  Personnel  Stock By Age Group &lt; 25 yrs (prop)" numFmtId="0">
      <sharedItems containsSemiMixedTypes="0" containsString="0" containsNumber="1" minValue="0" maxValue="0.88558189271074672"/>
    </cacheField>
    <cacheField name="Nursing  Personnel  Stock By Age Group 25-34 yrs  (prop)" numFmtId="0">
      <sharedItems containsSemiMixedTypes="0" containsString="0" containsNumber="1" minValue="7.9754054535733379E-2" maxValue="0.66800437430397397"/>
    </cacheField>
    <cacheField name="Nursing  Personnel  Stock By Age Group 35-44 yrs  (prop)" numFmtId="0">
      <sharedItems containsSemiMixedTypes="0" containsString="0" containsNumber="1" minValue="1.2386383888789878E-2" maxValue="0.56322567025543591"/>
    </cacheField>
    <cacheField name="Nursing  Personnel  Stock By Age Group 45-54 yrs  (prop)" numFmtId="0">
      <sharedItems containsSemiMixedTypes="0" containsString="0" containsNumber="1" minValue="9.0892888968098374E-3" maxValue="0.35819499649286884"/>
    </cacheField>
    <cacheField name="Nursing  Personnel  Stock By Age Group 55-64 yrs  (prop)" numFmtId="0">
      <sharedItems containsSemiMixedTypes="0" containsString="0" containsNumber="1" minValue="7.925917751045921E-3" maxValue="0.18920148843591708"/>
    </cacheField>
    <cacheField name="Nursing  Personnel  Stock By Age Group ≥ 65 yrs  (prop)" numFmtId="0">
      <sharedItems containsSemiMixedTypes="0" containsString="0" containsNumber="1" minValue="0" maxValue="8.4477296726504753E-2"/>
    </cacheField>
    <cacheField name="Nursing  Personnel  Stock By Age Group &lt; 25 yrs" numFmtId="165">
      <sharedItems containsSemiMixedTypes="0" containsString="0" containsNumber="1" minValue="0" maxValue="59083.680467590988"/>
    </cacheField>
    <cacheField name="Nursing  Personnel  Stock By Age Group 25-34 yrs " numFmtId="165">
      <sharedItems containsSemiMixedTypes="0" containsString="0" containsNumber="1" minValue="5320.9794745918634" maxValue="44567.484189991606"/>
    </cacheField>
    <cacheField name="Nursing  Personnel  Stock By Age Group 35-44 yrs " numFmtId="165">
      <sharedItems containsSemiMixedTypes="0" containsString="0" containsNumber="1" minValue="826.38675638912741" maxValue="37576.926319773105"/>
    </cacheField>
    <cacheField name="Nursing  Personnel  Stock By Age Group 45-54 yrs " numFmtId="165">
      <sharedItems containsSemiMixedTypes="0" containsString="0" containsNumber="1" minValue="606.41330324957539" maxValue="23897.822315555248"/>
    </cacheField>
    <cacheField name="Nursing  Personnel  Stock By Age Group 55-64 yrs " numFmtId="165">
      <sharedItems containsSemiMixedTypes="0" containsString="0" containsNumber="1" minValue="528.79625890020384" maxValue="12623.02264618636"/>
    </cacheField>
    <cacheField name="Nursing  Personnel  Stock By Age Group ≥ 65 yrs  " numFmtId="165">
      <sharedItems containsSemiMixedTypes="0" containsString="0" containsNumber="1" minValue="0" maxValue="5636.1016949845625"/>
    </cacheField>
    <cacheField name="Annual graduates (2017 survey)" numFmtId="165">
      <sharedItems containsString="0" containsBlank="1" containsNumber="1" containsInteger="1" minValue="0" maxValue="4445"/>
    </cacheField>
    <cacheField name="Ratio of stock to graduates" numFmtId="0">
      <sharedItems containsString="0" containsBlank="1" containsNumber="1" minValue="8.9718284586398709E-4" maxValue="0.186292215228289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57.590766203706" createdVersion="8" refreshedVersion="8" minRefreshableVersion="3" recordCount="48" xr:uid="{C7DFA359-1328-4816-B3FC-F94DF569AD21}">
  <cacheSource type="worksheet">
    <worksheetSource ref="C2:AC50" sheet="Projections"/>
  </cacheSource>
  <cacheFields count="27">
    <cacheField name="income level" numFmtId="0">
      <sharedItems count="4">
        <s v="Lower-Middle-Income Economies"/>
        <s v="High/Upper-Middle-Income Economies "/>
        <s v="Low-Income Economies"/>
        <s v="AFRO"/>
      </sharedItems>
    </cacheField>
    <cacheField name="2013" numFmtId="165">
      <sharedItems containsSemiMixedTypes="0" containsString="0" containsNumber="1" containsInteger="1" minValue="0" maxValue="479279"/>
    </cacheField>
    <cacheField name="2018" numFmtId="165">
      <sharedItems containsSemiMixedTypes="0" containsString="0" containsNumber="1" containsInteger="1" minValue="355" maxValue="1248604"/>
    </cacheField>
    <cacheField name="Adjusted 2022" numFmtId="165">
      <sharedItems containsSemiMixedTypes="0" containsString="0" containsNumber="1" minValue="440" maxValue="1599096.3166420327"/>
    </cacheField>
    <cacheField name="Nursing  Personnel  Stock By Age Group &lt; 25 yrs (prop)" numFmtId="0">
      <sharedItems containsSemiMixedTypes="0" containsString="0" containsNumber="1" minValue="0" maxValue="0.88558189271074672"/>
    </cacheField>
    <cacheField name="Nursing  Personnel  Stock By Age Group 25-34 yrs  (prop)" numFmtId="0">
      <sharedItems containsSemiMixedTypes="0" containsString="0" containsNumber="1" minValue="7.9754054535733379E-2" maxValue="0.66800437430397397"/>
    </cacheField>
    <cacheField name="Nursing  Personnel  Stock By Age Group 35-44 yrs  (prop)" numFmtId="0">
      <sharedItems containsSemiMixedTypes="0" containsString="0" containsNumber="1" minValue="1.2386383888789878E-2" maxValue="0.56322567025543591"/>
    </cacheField>
    <cacheField name="Nursing  Personnel  Stock By Age Group 45-54 yrs  (prop)" numFmtId="0">
      <sharedItems containsSemiMixedTypes="0" containsString="0" containsNumber="1" minValue="9.0892888968098374E-3" maxValue="0.35819499649286884"/>
    </cacheField>
    <cacheField name="Nursing  Personnel  Stock By Age Group 55-64 yrs  (prop)" numFmtId="0">
      <sharedItems containsSemiMixedTypes="0" containsString="0" containsNumber="1" minValue="7.925917751045921E-3" maxValue="0.18920148843591708"/>
    </cacheField>
    <cacheField name="Nursing  Personnel  Stock By Age Group ≥ 65 yrs  (prop)" numFmtId="0">
      <sharedItems containsSemiMixedTypes="0" containsString="0" containsNumber="1" minValue="0" maxValue="8.4477296726504753E-2"/>
    </cacheField>
    <cacheField name="Nursing  Personnel  Stock By Age Group &lt; 25 yrs" numFmtId="165">
      <sharedItems containsSemiMixedTypes="0" containsString="0" containsNumber="1" minValue="0" maxValue="59083.680467590988"/>
    </cacheField>
    <cacheField name="Nursing  Personnel  Stock By Age Group 25-34 yrs " numFmtId="165">
      <sharedItems containsSemiMixedTypes="0" containsString="0" containsNumber="1" minValue="5320.9794745918634" maxValue="44567.484189991606"/>
    </cacheField>
    <cacheField name="Nursing  Personnel  Stock By Age Group 35-44 yrs " numFmtId="165">
      <sharedItems containsSemiMixedTypes="0" containsString="0" containsNumber="1" minValue="826.38675638912741" maxValue="37576.926319773105"/>
    </cacheField>
    <cacheField name="Nursing  Personnel  Stock By Age Group 45-54 yrs " numFmtId="165">
      <sharedItems containsSemiMixedTypes="0" containsString="0" containsNumber="1" minValue="606.41330324957539" maxValue="23897.822315555248"/>
    </cacheField>
    <cacheField name="Nursing  Personnel  Stock By Age Group 55-64 yrs " numFmtId="165">
      <sharedItems containsSemiMixedTypes="0" containsString="0" containsNumber="1" minValue="528.79625890020384" maxValue="12623.02264618636"/>
    </cacheField>
    <cacheField name="Nursing  Personnel  Stock By Age Group ≥ 65 yrs  " numFmtId="165">
      <sharedItems containsSemiMixedTypes="0" containsString="0" containsNumber="1" minValue="0" maxValue="5636.1016949845625"/>
    </cacheField>
    <cacheField name="Updated Annual graduated" numFmtId="165">
      <sharedItems containsString="0" containsBlank="1" containsNumber="1" containsInteger="1" minValue="0" maxValue="8990"/>
    </cacheField>
    <cacheField name="Ratio of stock to graduates" numFmtId="164">
      <sharedItems containsString="0" containsBlank="1" containsNumber="1" minValue="1.69928539384904E-3" maxValue="0.61526620687124556"/>
    </cacheField>
    <cacheField name="Estimated annual graduates" numFmtId="165">
      <sharedItems containsSemiMixedTypes="0" containsString="0" containsNumber="1" minValue="0" maxValue="68601.231983943202"/>
    </cacheField>
    <cacheField name="Projected 2023" numFmtId="165">
      <sharedItems containsSemiMixedTypes="0" containsString="0" containsNumber="1" minValue="461.51444284554407" maxValue="1639304.0003408045"/>
    </cacheField>
    <cacheField name="Projected 2024" numFmtId="165">
      <sharedItems containsSemiMixedTypes="0" containsString="0" containsNumber="1" minValue="483.05078472392916" maxValue="1656001.1999718752"/>
    </cacheField>
    <cacheField name="Projected 2025" numFmtId="165">
      <sharedItems containsSemiMixedTypes="0" containsString="0" containsNumber="1" minValue="504.42881923176969" maxValue="1664335.1651180028"/>
    </cacheField>
    <cacheField name="Projected 2026" numFmtId="165">
      <sharedItems containsSemiMixedTypes="0" containsString="0" containsNumber="1" minValue="525.64971004039444" maxValue="1672790.2603088159"/>
    </cacheField>
    <cacheField name="Projected 2027" numFmtId="165">
      <sharedItems containsSemiMixedTypes="0" containsString="0" containsNumber="1" minValue="546.71461226732333" maxValue="1681363.7198600974"/>
    </cacheField>
    <cacheField name="Projected 2028" numFmtId="165">
      <sharedItems containsSemiMixedTypes="0" containsString="0" containsNumber="1" minValue="567.62467253914429" maxValue="1690052.830438274"/>
    </cacheField>
    <cacheField name="Projected 2029" numFmtId="165">
      <sharedItems containsSemiMixedTypes="0" containsString="0" containsNumber="1" minValue="588.38102905392736" maxValue="1698854.9300867724"/>
    </cacheField>
    <cacheField name="Projected 2030" numFmtId="165">
      <sharedItems containsSemiMixedTypes="0" containsString="0" containsNumber="1" minValue="608.98481164318048" maxValue="1707767.40727054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AFRO"/>
    <n v="16244"/>
    <n v="245197"/>
    <n v="186392"/>
    <n v="85142"/>
    <n v="42383"/>
    <n v="2825"/>
    <n v="578183"/>
    <n v="2.8094911126753986E-2"/>
    <n v="0.42408199480095404"/>
    <n v="0.32237544168541793"/>
    <n v="0.14725787510182761"/>
    <n v="7.3303780982837616E-2"/>
    <n v="4.8859963022088162E-3"/>
    <x v="0"/>
  </r>
  <r>
    <s v="BWA"/>
    <n v="227"/>
    <n v="2959"/>
    <n v="2657"/>
    <n v="1502"/>
    <n v="646"/>
    <n v="37"/>
    <n v="8028"/>
    <n v="2.8276033881415048E-2"/>
    <n v="0.36858495266567015"/>
    <n v="0.33096661684105633"/>
    <n v="0.18709516691579473"/>
    <n v="8.0468360737419031E-2"/>
    <n v="4.6088689586447438E-3"/>
    <x v="1"/>
  </r>
  <r>
    <s v="CIV"/>
    <n v="35"/>
    <n v="3771"/>
    <n v="6788"/>
    <n v="3016"/>
    <n v="1366"/>
    <n v="3"/>
    <n v="14979"/>
    <n v="2.3366045797449764E-3"/>
    <n v="0.25175245343480873"/>
    <n v="0.45316776820882571"/>
    <n v="0.20134855464316709"/>
    <n v="9.1194338740903935E-2"/>
    <n v="2.002803925495694E-4"/>
    <x v="2"/>
  </r>
  <r>
    <s v="CMR"/>
    <n v="296"/>
    <n v="6515"/>
    <n v="6221"/>
    <n v="2896"/>
    <n v="521"/>
    <n v="19"/>
    <n v="16468"/>
    <n v="1.7974253096915228E-2"/>
    <n v="0.39561573961622543"/>
    <n v="0.37776293417537044"/>
    <n v="0.17585620597522467"/>
    <n v="3.1637114403692011E-2"/>
    <n v="1.1537527325722614E-3"/>
    <x v="2"/>
  </r>
  <r>
    <s v="COG"/>
    <n v="75"/>
    <n v="710"/>
    <n v="2588"/>
    <n v="1522"/>
    <n v="675"/>
    <n v="3"/>
    <n v="5573"/>
    <n v="1.3457742687959805E-2"/>
    <n v="0.12739996411268617"/>
    <n v="0.46438184101919971"/>
    <n v="0.27310245828099766"/>
    <n v="0.12111968419163825"/>
    <n v="5.3830970751839223E-4"/>
    <x v="2"/>
  </r>
  <r>
    <s v="CPV"/>
    <n v="0"/>
    <n v="253"/>
    <n v="249"/>
    <n v="262"/>
    <n v="128"/>
    <n v="49"/>
    <n v="941"/>
    <n v="0"/>
    <n v="0.26886291179596172"/>
    <n v="0.26461211477151964"/>
    <n v="0.27842720510095642"/>
    <n v="0.13602550478214664"/>
    <n v="5.2072263549415514E-2"/>
    <x v="2"/>
  </r>
  <r>
    <s v="ERI"/>
    <n v="859"/>
    <n v="2083"/>
    <n v="940"/>
    <n v="916"/>
    <n v="209"/>
    <m/>
    <n v="5007"/>
    <n v="0.17155981625723987"/>
    <n v="0.41601757539444778"/>
    <n v="0.18773716796484921"/>
    <n v="0.18294387857000199"/>
    <n v="4.1741561813461156E-2"/>
    <n v="0"/>
    <x v="3"/>
  </r>
  <r>
    <s v="GAB"/>
    <n v="0"/>
    <n v="615"/>
    <n v="1660"/>
    <n v="1532"/>
    <n v="470"/>
    <n v="0"/>
    <n v="4277"/>
    <n v="0"/>
    <n v="0.14379237783493104"/>
    <n v="0.38812251578209023"/>
    <n v="0.35819499649286884"/>
    <n v="0.10989010989010989"/>
    <n v="0"/>
    <x v="1"/>
  </r>
  <r>
    <s v="GHA"/>
    <n v="39"/>
    <n v="66582"/>
    <n v="30701"/>
    <n v="1561"/>
    <n v="790"/>
    <n v="0"/>
    <n v="99673"/>
    <n v="3.9127948391239352E-4"/>
    <n v="0.66800437430397397"/>
    <n v="0.30801721629729212"/>
    <n v="1.5661212163775546E-2"/>
    <n v="7.925917751045921E-3"/>
    <n v="0"/>
    <x v="2"/>
  </r>
  <r>
    <s v="GNB"/>
    <n v="0"/>
    <n v="659"/>
    <n v="863"/>
    <n v="209"/>
    <n v="134"/>
    <n v="14"/>
    <n v="1879"/>
    <n v="0"/>
    <n v="0.35071846726982436"/>
    <n v="0.45928685470995212"/>
    <n v="0.11122937732836616"/>
    <n v="7.1314529004789781E-2"/>
    <n v="7.4507716870675887E-3"/>
    <x v="3"/>
  </r>
  <r>
    <s v="KEN"/>
    <n v="375"/>
    <n v="11055"/>
    <n v="12233"/>
    <n v="8664"/>
    <n v="3678"/>
    <n v="57"/>
    <n v="36062"/>
    <n v="1.0398757695080694E-2"/>
    <n v="0.30655537685097889"/>
    <n v="0.33922134102379237"/>
    <n v="0.24025289778714437"/>
    <n v="0.10199101547335145"/>
    <n v="1.5806111696522655E-3"/>
    <x v="2"/>
  </r>
  <r>
    <s v="MWI"/>
    <n v="310"/>
    <n v="4736"/>
    <n v="2722"/>
    <n v="1613"/>
    <n v="211"/>
    <m/>
    <n v="9592"/>
    <n v="3.2318598832360303E-2"/>
    <n v="0.493744787322769"/>
    <n v="0.28377814845704752"/>
    <n v="0.16816096747289408"/>
    <n v="2.1997497914929106E-2"/>
    <n v="0"/>
    <x v="3"/>
  </r>
  <r>
    <s v="NGA"/>
    <n v="9026"/>
    <n v="106455"/>
    <n v="89987"/>
    <n v="52923"/>
    <n v="31760"/>
    <n v="2353"/>
    <n v="292504"/>
    <n v="3.085769767251046E-2"/>
    <n v="0.36394374094029486"/>
    <n v="0.30764365615512951"/>
    <n v="0.18093085906517517"/>
    <n v="0.10857971173043787"/>
    <n v="8.0443344364521507E-3"/>
    <x v="2"/>
  </r>
  <r>
    <s v="SEN"/>
    <n v="15"/>
    <n v="1113"/>
    <n v="2668"/>
    <n v="709"/>
    <n v="203"/>
    <n v="29"/>
    <n v="4737"/>
    <n v="3.1665611146295125E-3"/>
    <n v="0.23495883470550982"/>
    <n v="0.56322567025543591"/>
    <n v="0.14967278868482162"/>
    <n v="4.2854127084652735E-2"/>
    <n v="6.122018154950391E-3"/>
    <x v="2"/>
  </r>
  <r>
    <s v="SWZ"/>
    <n v="156"/>
    <n v="2150"/>
    <n v="1684"/>
    <n v="1016"/>
    <n v="478"/>
    <n v="34"/>
    <n v="5518"/>
    <n v="2.8271112722000724E-2"/>
    <n v="0.38963392533526642"/>
    <n v="0.30518303733236679"/>
    <n v="0.18412468285610728"/>
    <n v="8.6625588981515039E-2"/>
    <n v="6.1616527727437476E-3"/>
    <x v="2"/>
  </r>
  <r>
    <s v="SYC"/>
    <n v="42"/>
    <n v="256"/>
    <n v="239"/>
    <n v="162"/>
    <n v="168"/>
    <n v="80"/>
    <n v="947"/>
    <n v="4.4350580781414996E-2"/>
    <n v="0.27032734952481519"/>
    <n v="0.25237592397043296"/>
    <n v="0.17106652587117213"/>
    <n v="0.17740232312565998"/>
    <n v="8.4477296726504753E-2"/>
    <x v="1"/>
  </r>
  <r>
    <s v="TCD"/>
    <n v="123"/>
    <n v="1494"/>
    <n v="1044"/>
    <n v="491"/>
    <n v="215"/>
    <n v="0"/>
    <n v="3367"/>
    <n v="3.653103653103653E-2"/>
    <n v="0.44371844371844371"/>
    <n v="0.31006831006831009"/>
    <n v="0.14582714582714582"/>
    <n v="6.3855063855063857E-2"/>
    <n v="0"/>
    <x v="3"/>
  </r>
  <r>
    <s v="TGO"/>
    <n v="121"/>
    <n v="987"/>
    <n v="1001"/>
    <n v="411"/>
    <n v="146"/>
    <n v="4"/>
    <n v="2670"/>
    <n v="4.5318352059925092E-2"/>
    <n v="0.36966292134831463"/>
    <n v="0.37490636704119851"/>
    <n v="0.15393258426966291"/>
    <n v="5.4681647940074907E-2"/>
    <n v="1.4981273408239701E-3"/>
    <x v="3"/>
  </r>
  <r>
    <s v="ZMB"/>
    <n v="4545"/>
    <n v="19288"/>
    <n v="7021"/>
    <n v="2197"/>
    <n v="585"/>
    <n v="143"/>
    <n v="33779"/>
    <n v="0.13455105242902396"/>
    <n v="0.57100565440066309"/>
    <n v="0.2078510317060896"/>
    <n v="6.5040409722016634E-2"/>
    <n v="1.7318452292844667E-2"/>
    <n v="4.2333994493620299E-3"/>
    <x v="2"/>
  </r>
  <r>
    <s v="BEN"/>
    <n v="206"/>
    <n v="876"/>
    <n v="2422"/>
    <n v="1649"/>
    <n v="289"/>
    <n v="42"/>
    <n v="5484"/>
    <n v="3.7563822027716992E-2"/>
    <n v="0.15973741794310722"/>
    <n v="0.44164843180160468"/>
    <n v="0.30069292487235594"/>
    <n v="5.2698760029175784E-2"/>
    <n v="7.658643326039387E-3"/>
    <x v="2"/>
  </r>
  <r>
    <s v="BDI"/>
    <n v="17"/>
    <n v="2407"/>
    <n v="3522"/>
    <n v="1236"/>
    <n v="292"/>
    <n v="44"/>
    <n v="7518"/>
    <n v="2.261239691407289E-3"/>
    <n v="0.32016493748337321"/>
    <n v="0.4684756584197925"/>
    <n v="0.16440542697525937"/>
    <n v="3.8840117052407558E-2"/>
    <n v="5.8526203777600422E-3"/>
    <x v="3"/>
  </r>
  <r>
    <s v="DZA"/>
    <n v="5302"/>
    <n v="16980"/>
    <n v="9040"/>
    <n v="20042"/>
    <n v="4745"/>
    <n v="302"/>
    <n v="56411"/>
    <n v="9.3988761057240605E-2"/>
    <n v="0.30100512311428623"/>
    <n v="0.16025243303610998"/>
    <n v="0.35528531669355268"/>
    <n v="8.4114800304905077E-2"/>
    <n v="5.3535657939054442E-3"/>
    <x v="2"/>
  </r>
  <r>
    <s v="UGA"/>
    <n v="9938"/>
    <n v="895"/>
    <n v="139"/>
    <n v="102"/>
    <n v="100"/>
    <n v="48"/>
    <n v="11222"/>
    <n v="0.88558189271074672"/>
    <n v="7.9754054535733379E-2"/>
    <n v="1.2386383888789878E-2"/>
    <n v="9.0892888968098374E-3"/>
    <n v="8.9110675458919982E-3"/>
    <n v="4.2773124220281591E-3"/>
    <x v="3"/>
  </r>
  <r>
    <s v="ZAF"/>
    <n v="597"/>
    <n v="57658"/>
    <n v="84855"/>
    <n v="73364"/>
    <n v="54049"/>
    <n v="15146"/>
    <n v="285669"/>
    <n v="2.0898312382512628E-3"/>
    <n v="0.20183499084604911"/>
    <n v="0.29703958077355258"/>
    <n v="0.25681470513076321"/>
    <n v="0.18920148843591708"/>
    <n v="5.3019403575466709E-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Algeria"/>
    <s v="DZA"/>
    <x v="0"/>
    <n v="0"/>
    <n v="57705"/>
    <n v="5043.8935155116633"/>
    <n v="9.3988761057240605E-2"/>
    <n v="0.30100512311428623"/>
    <n v="0.16025243303610998"/>
    <n v="0.35528531669355268"/>
    <n v="8.4114800304905077E-2"/>
    <n v="5.3535657939054442E-3"/>
    <n v="5423.6214568080695"/>
    <n v="17369.500629309889"/>
    <n v="9247.3666483487268"/>
    <n v="20501.739199801457"/>
    <n v="4853.8445515945477"/>
    <n v="308.92751413731366"/>
    <m/>
    <m/>
  </r>
  <r>
    <s v="Angola"/>
    <s v="AGO"/>
    <x v="0"/>
    <n v="0"/>
    <n v="46082"/>
    <n v="66717.353814379763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0"/>
    <m/>
  </r>
  <r>
    <s v="Benin"/>
    <s v="BEN"/>
    <x v="0"/>
    <n v="4880"/>
    <n v="3410"/>
    <n v="5893"/>
    <n v="3.7563822027716992E-2"/>
    <n v="0.15973741794310722"/>
    <n v="0.44164843180160468"/>
    <n v="0.30069292487235594"/>
    <n v="5.2698760029175784E-2"/>
    <n v="7.658643326039387E-3"/>
    <n v="2506.1588048435869"/>
    <n v="10657.25783030574"/>
    <n v="29465.61468607363"/>
    <n v="20061.436258189686"/>
    <n v="3515.9218184456149"/>
    <n v="510.96441652150804"/>
    <n v="140"/>
    <n v="2.3756999830307143E-2"/>
  </r>
  <r>
    <s v="Botswana"/>
    <s v="BWA"/>
    <x v="1"/>
    <n v="5816"/>
    <n v="7645"/>
    <n v="8028"/>
    <n v="2.8276033881415048E-2"/>
    <n v="0.36858495266567015"/>
    <n v="0.33096661684105633"/>
    <n v="0.18709516691579473"/>
    <n v="8.0468360737419031E-2"/>
    <n v="4.6088689586447438E-3"/>
    <n v="1886.5021569337578"/>
    <n v="24591.012697651931"/>
    <n v="22081.216876533013"/>
    <n v="12482.494448081516"/>
    <n v="5368.6360941815301"/>
    <n v="307.49154099801336"/>
    <n v="0"/>
    <m/>
  </r>
  <r>
    <s v="Burkina Faso"/>
    <s v="BFA"/>
    <x v="2"/>
    <n v="6196"/>
    <n v="10325"/>
    <n v="13961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</r>
  <r>
    <s v="Burundi"/>
    <s v="BDI"/>
    <x v="2"/>
    <n v="6573"/>
    <n v="9156"/>
    <n v="9372"/>
    <n v="2.261239691407289E-3"/>
    <n v="0.32016493748337321"/>
    <n v="0.4684756584197925"/>
    <n v="0.16440542697525937"/>
    <n v="3.8840117052407558E-2"/>
    <n v="5.8526203777600422E-3"/>
    <n v="150.86392855073902"/>
    <n v="21360.55741303699"/>
    <n v="31255.456256217814"/>
    <n v="10968.695040512554"/>
    <n v="2591.3098315774"/>
    <n v="390.47134448426567"/>
    <n v="0"/>
    <m/>
  </r>
  <r>
    <s v="Cameroon"/>
    <s v="CMR"/>
    <x v="0"/>
    <n v="18954"/>
    <n v="9925"/>
    <n v="16473"/>
    <n v="1.7974253096915228E-2"/>
    <n v="0.39561573961622543"/>
    <n v="0.37776293417537044"/>
    <n v="0.17585620597522467"/>
    <n v="3.1637114403692011E-2"/>
    <n v="1.1537527325722614E-3"/>
    <n v="1199.1946034161044"/>
    <n v="26394.435274513249"/>
    <n v="25203.343337336442"/>
    <n v="11732.660714503509"/>
    <n v="2110.7445553371304"/>
    <n v="76.975329273331042"/>
    <n v="0"/>
    <m/>
  </r>
  <r>
    <s v="Cape-Verde"/>
    <s v="CPV"/>
    <x v="0"/>
    <n v="403"/>
    <n v="768"/>
    <n v="941"/>
    <n v="0"/>
    <n v="0.26886291179596172"/>
    <n v="0.26461211477151964"/>
    <n v="0.27842720510095642"/>
    <n v="0.13602550478214664"/>
    <n v="5.2072263549415514E-2"/>
    <n v="0"/>
    <n v="17937.822013855555"/>
    <n v="17654.220084782741"/>
    <n v="18575.926354269392"/>
    <n v="9075.2617303300849"/>
    <n v="3474.1236311419852"/>
    <n v="6"/>
    <n v="6.376195536663124E-3"/>
  </r>
  <r>
    <s v="Central African Republic"/>
    <s v="CAF"/>
    <x v="2"/>
    <n v="322"/>
    <n v="1195"/>
    <n v="648.48014888337468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m/>
    <m/>
  </r>
  <r>
    <s v="Chad"/>
    <s v="TCD"/>
    <x v="2"/>
    <n v="3606"/>
    <n v="4799"/>
    <n v="3387.151734852408"/>
    <n v="3.653103653103653E-2"/>
    <n v="0.44371844371844371"/>
    <n v="0.31006831006831009"/>
    <n v="0.14582714582714582"/>
    <n v="6.3855063855063857E-2"/>
    <n v="0"/>
    <n v="2437.2540894471963"/>
    <n v="29603.720403529362"/>
    <n v="20686.937149454254"/>
    <n v="9729.2012838908413"/>
    <n v="4260.2408880581079"/>
    <n v="0"/>
    <n v="631"/>
    <n v="0.18629221522828981"/>
  </r>
  <r>
    <s v="Comoros"/>
    <s v="COM"/>
    <x v="0"/>
    <n v="0"/>
    <n v="747"/>
    <n v="784.97097407084357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m/>
    <m/>
  </r>
  <r>
    <s v="Congo"/>
    <s v="COG"/>
    <x v="0"/>
    <n v="3289"/>
    <n v="5081"/>
    <n v="5573"/>
    <n v="1.3457742687959805E-2"/>
    <n v="0.12739996411268617"/>
    <n v="0.46438184101919971"/>
    <n v="0.27310245828099766"/>
    <n v="0.12111968419163825"/>
    <n v="5.3830970751839223E-4"/>
    <n v="897.86498045549649"/>
    <n v="8499.7884816453679"/>
    <n v="30982.327592251"/>
    <n v="18220.67333671021"/>
    <n v="8080.784824099469"/>
    <n v="35.914599218219863"/>
    <n v="5"/>
    <n v="8.9718284586398709E-4"/>
  </r>
  <r>
    <s v="Cote d'Ivoire"/>
    <s v="CIV"/>
    <x v="0"/>
    <n v="8780"/>
    <n v="15163"/>
    <n v="19225.233489577877"/>
    <n v="2.3366045797449764E-3"/>
    <n v="0.25175245343480873"/>
    <n v="0.45316776820882571"/>
    <n v="0.20134855464316709"/>
    <n v="9.1194338740903935E-2"/>
    <n v="2.002803925495694E-4"/>
    <n v="155.89207447114572"/>
    <n v="16796.2575094483"/>
    <n v="30234.154328861063"/>
    <n v="13433.442760142156"/>
    <n v="6084.2449636452875"/>
    <n v="13.36217781181249"/>
    <n v="0"/>
    <m/>
  </r>
  <r>
    <s v="DRC"/>
    <s v="COD"/>
    <x v="2"/>
    <n v="59813"/>
    <n v="103785"/>
    <n v="115316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</r>
  <r>
    <s v="Equatorial Guinea"/>
    <s v="GNQ"/>
    <x v="1"/>
    <n v="0"/>
    <n v="355"/>
    <n v="1375"/>
    <n v="1.8679111475270328E-2"/>
    <n v="0.24613491771786639"/>
    <n v="0.31712615934178301"/>
    <n v="0.24329284860264971"/>
    <n v="0.13924057054727651"/>
    <n v="3.5526392315154053E-2"/>
    <n v="1246.2208892338517"/>
    <n v="16421.470391456143"/>
    <n v="21157.818176601111"/>
    <n v="16231.85506073131"/>
    <n v="9289.7624105187533"/>
    <n v="2370.2268858385951"/>
    <m/>
    <m/>
  </r>
  <r>
    <s v="Eritrea"/>
    <s v="ERI"/>
    <x v="2"/>
    <n v="4262"/>
    <n v="4971"/>
    <n v="5007"/>
    <n v="0.17155981625723987"/>
    <n v="0.41601757539444778"/>
    <n v="0.18773716796484921"/>
    <n v="0.18294387857000199"/>
    <n v="4.1741561813461156E-2"/>
    <n v="0"/>
    <n v="11446.016961564254"/>
    <n v="27755.591770591782"/>
    <n v="12525.327059220486"/>
    <n v="12205.531474729751"/>
    <n v="2784.8865482734914"/>
    <n v="0"/>
    <n v="43"/>
    <n v="8.5879768324345924E-3"/>
  </r>
  <r>
    <s v="Eswatini"/>
    <s v="SWZ"/>
    <x v="0"/>
    <n v="3735"/>
    <n v="4706"/>
    <n v="5242"/>
    <n v="2.8271112722000724E-2"/>
    <n v="0.38963392533526642"/>
    <n v="0.30518303733236679"/>
    <n v="0.18412468285610728"/>
    <n v="8.6625588981515039E-2"/>
    <n v="6.1616527727437476E-3"/>
    <n v="1886.1738301999353"/>
    <n v="25995.344454678598"/>
    <n v="20361.004679850583"/>
    <n v="12284.311612071373"/>
    <n v="5779.4300694587764"/>
    <n v="411.0891681204987"/>
    <n v="0"/>
    <m/>
  </r>
  <r>
    <s v="Ethiopia"/>
    <s v="ETH"/>
    <x v="2"/>
    <n v="0"/>
    <n v="61772"/>
    <n v="131262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4174"/>
    <n v="3.1798997424997331E-2"/>
  </r>
  <r>
    <s v="Gabon"/>
    <s v="GAB"/>
    <x v="1"/>
    <n v="0"/>
    <n v="6085"/>
    <n v="4751.5998777719578"/>
    <n v="0"/>
    <n v="0.14379237783493104"/>
    <n v="0.38812251578209023"/>
    <n v="0.35819499649286884"/>
    <n v="0.10989010989010989"/>
    <n v="0"/>
    <n v="0"/>
    <n v="9593.4469478240717"/>
    <n v="25894.507208760908"/>
    <n v="23897.822315555248"/>
    <n v="7331.5773422395341"/>
    <n v="0"/>
    <n v="0"/>
    <m/>
  </r>
  <r>
    <s v="Gambia"/>
    <s v="GMB"/>
    <x v="2"/>
    <n v="2386"/>
    <n v="1498"/>
    <n v="1429.4036697247707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</r>
  <r>
    <s v="Ghana"/>
    <s v="GHA"/>
    <x v="0"/>
    <n v="37404"/>
    <n v="125024"/>
    <n v="124204.27697797566"/>
    <n v="3.9127948391239352E-4"/>
    <n v="0.66800437430397397"/>
    <n v="0.30801721629729212"/>
    <n v="1.5661212163775546E-2"/>
    <n v="7.925917751045921E-3"/>
    <n v="0"/>
    <n v="26.105131768491074"/>
    <n v="44567.484189991606"/>
    <n v="20550.09360062678"/>
    <n v="1044.8746330926813"/>
    <n v="528.79625890020384"/>
    <n v="0"/>
    <n v="0"/>
    <m/>
  </r>
  <r>
    <s v="Guinea"/>
    <s v="GIN"/>
    <x v="2"/>
    <n v="5789"/>
    <n v="7195"/>
    <n v="5018.9871797472533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</r>
  <r>
    <s v="Guinea-Bissau"/>
    <s v="GNB"/>
    <x v="2"/>
    <n v="727"/>
    <n v="1264"/>
    <n v="1879"/>
    <n v="0"/>
    <n v="0.35071846726982436"/>
    <n v="0.45928685470995212"/>
    <n v="0.11122937732836616"/>
    <n v="7.1314529004789781E-2"/>
    <n v="7.4507716870675887E-3"/>
    <n v="0"/>
    <n v="23399.008070077842"/>
    <n v="30642.403587977507"/>
    <n v="7420.9297217697558"/>
    <n v="4757.916663718408"/>
    <n v="497.09577083625152"/>
    <n v="0"/>
    <m/>
  </r>
  <r>
    <s v="Kenya"/>
    <s v="KEN"/>
    <x v="0"/>
    <n v="40292"/>
    <n v="59901"/>
    <n v="109659"/>
    <n v="1.0398757695080694E-2"/>
    <n v="0.30655537685097889"/>
    <n v="0.33922134102379237"/>
    <n v="0.24025289778714437"/>
    <n v="0.10199101547335145"/>
    <n v="1.5806111696522655E-3"/>
    <n v="693.77759637270287"/>
    <n v="20452.563541067284"/>
    <n v="22631.950230472732"/>
    <n v="16029.037586594928"/>
    <n v="6804.5706652234694"/>
    <n v="105.45419464865084"/>
    <n v="1070"/>
    <n v="9.7575210425044911E-3"/>
  </r>
  <r>
    <s v="Lesotho"/>
    <s v="LSO"/>
    <x v="0"/>
    <n v="0"/>
    <n v="6866"/>
    <n v="1235.4801331049025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112"/>
    <n v="9.0653015778190807E-2"/>
  </r>
  <r>
    <s v="Liberia"/>
    <s v="LBR"/>
    <x v="2"/>
    <n v="0"/>
    <n v="8488"/>
    <n v="4423.7952883834278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17"/>
    <n v="3.8428541313023216E-3"/>
  </r>
  <r>
    <s v="Madagascar"/>
    <s v="MDG"/>
    <x v="2"/>
    <n v="3438"/>
    <n v="4560"/>
    <n v="4560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</r>
  <r>
    <s v="Malawi"/>
    <s v="MWI"/>
    <x v="2"/>
    <n v="3545"/>
    <n v="7957"/>
    <n v="9592"/>
    <n v="3.2318598832360303E-2"/>
    <n v="0.493744787322769"/>
    <n v="0.28377814845704752"/>
    <n v="0.16816096747289408"/>
    <n v="2.1997497914929106E-2"/>
    <n v="0"/>
    <n v="2156.2113930835831"/>
    <n v="32941.345669818867"/>
    <n v="18932.927135398426"/>
    <n v="11219.25476465748"/>
    <n v="1467.6148514214062"/>
    <n v="0"/>
    <n v="0"/>
    <m/>
  </r>
  <r>
    <s v="Mali"/>
    <s v="MLI"/>
    <x v="2"/>
    <n v="4257"/>
    <n v="5225"/>
    <n v="6327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</r>
  <r>
    <s v="Mauritania"/>
    <s v="MRT"/>
    <x v="0"/>
    <n v="3846"/>
    <n v="4066"/>
    <n v="6503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0"/>
    <m/>
  </r>
  <r>
    <s v="Mauritius"/>
    <s v="MUS"/>
    <x v="1"/>
    <n v="3963"/>
    <n v="4986"/>
    <n v="4598.8787431180344"/>
    <n v="1.8679111475270328E-2"/>
    <n v="0.24613491771786639"/>
    <n v="0.31712615934178301"/>
    <n v="0.24329284860264971"/>
    <n v="0.13924057054727651"/>
    <n v="3.5526392315154053E-2"/>
    <n v="1246.2208892338517"/>
    <n v="16421.470391456143"/>
    <n v="21157.818176601111"/>
    <n v="16231.85506073131"/>
    <n v="9289.7624105187533"/>
    <n v="2370.2268858385951"/>
    <n v="0"/>
    <m/>
  </r>
  <r>
    <s v="Mozambique"/>
    <s v="MOZ"/>
    <x v="2"/>
    <n v="6432"/>
    <n v="8153"/>
    <n v="17168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580"/>
    <n v="3.3783783783783786E-2"/>
  </r>
  <r>
    <s v="Namibia"/>
    <s v="NAM"/>
    <x v="1"/>
    <n v="4110"/>
    <n v="12956"/>
    <n v="15558.321723868956"/>
    <n v="1.8679111475270328E-2"/>
    <n v="0.24613491771786639"/>
    <n v="0.31712615934178301"/>
    <n v="0.24329284860264971"/>
    <n v="0.13924057054727651"/>
    <n v="3.5526392315154053E-2"/>
    <n v="1246.2208892338517"/>
    <n v="16421.470391456143"/>
    <n v="21157.818176601111"/>
    <n v="16231.85506073131"/>
    <n v="9289.7624105187533"/>
    <n v="2370.2268858385951"/>
    <n v="1414"/>
    <n v="9.0883838571784878E-2"/>
  </r>
  <r>
    <s v="Niger"/>
    <s v="NER"/>
    <x v="2"/>
    <n v="3533"/>
    <n v="4107"/>
    <n v="4565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282"/>
    <n v="6.1774370208105146E-2"/>
  </r>
  <r>
    <s v="Nigeria"/>
    <s v="NGA"/>
    <x v="0"/>
    <n v="74920"/>
    <n v="180709"/>
    <n v="220681"/>
    <n v="3.085769767251046E-2"/>
    <n v="0.36394374094029486"/>
    <n v="0.30764365615512951"/>
    <n v="0.18093085906517517"/>
    <n v="0.10857971173043787"/>
    <n v="8.0443344364521507E-3"/>
    <n v="2058.7439335140434"/>
    <n v="24281.363332842622"/>
    <n v="20525.170656451166"/>
    <n v="12071.228140190971"/>
    <n v="7244.1510445829845"/>
    <n v="536.69670679797741"/>
    <n v="0"/>
    <m/>
  </r>
  <r>
    <s v="Rwanda"/>
    <s v="RWA"/>
    <x v="2"/>
    <n v="9625"/>
    <n v="13345"/>
    <n v="13501.239749316621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355"/>
    <n v="2.6293881642829777E-2"/>
  </r>
  <r>
    <s v="Sao Tome and Principe"/>
    <s v="STP"/>
    <x v="0"/>
    <n v="442"/>
    <n v="406"/>
    <n v="440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m/>
    <m/>
  </r>
  <r>
    <s v="Senegal"/>
    <s v="SEN"/>
    <x v="0"/>
    <n v="1682"/>
    <n v="4577"/>
    <n v="4737"/>
    <n v="3.1665611146295125E-3"/>
    <n v="0.23495883470550982"/>
    <n v="0.56322567025543591"/>
    <n v="0.14967278868482162"/>
    <n v="4.2854127084652735E-2"/>
    <n v="6.122018154950391E-3"/>
    <n v="211.26457825959395"/>
    <n v="15675.831706861871"/>
    <n v="37576.926319773105"/>
    <n v="9985.7723990701397"/>
    <n v="2859.1139591131714"/>
    <n v="408.44485130188161"/>
    <n v="0"/>
    <m/>
  </r>
  <r>
    <s v="Seychelles"/>
    <s v="SYC"/>
    <x v="1"/>
    <n v="419"/>
    <n v="1272"/>
    <n v="1277"/>
    <n v="4.4350580781414996E-2"/>
    <n v="0.27032734952481519"/>
    <n v="0.25237592397043296"/>
    <n v="0.17106652587117213"/>
    <n v="0.17740232312565998"/>
    <n v="8.4477296726504753E-2"/>
    <n v="2958.9533898668956"/>
    <n v="18035.525423950599"/>
    <n v="16837.853813766382"/>
    <n v="11413.10593234374"/>
    <n v="11835.813559467582"/>
    <n v="5636.1016949845625"/>
    <m/>
    <m/>
  </r>
  <r>
    <s v="Sierra Leone"/>
    <s v="SLE"/>
    <x v="2"/>
    <n v="6106"/>
    <n v="5757"/>
    <n v="15666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1237"/>
    <n v="7.8960806842844372E-2"/>
  </r>
  <r>
    <s v="South Africa"/>
    <s v="ZAF"/>
    <x v="1"/>
    <n v="58722"/>
    <n v="287458"/>
    <n v="397261.24962174537"/>
    <n v="2.0898312382512628E-3"/>
    <n v="0.20183499084604911"/>
    <n v="0.29703958077355258"/>
    <n v="0.25681470513076321"/>
    <n v="0.18920148843591708"/>
    <n v="5.3019403575466709E-2"/>
    <n v="139.42801013475287"/>
    <n v="13465.89649639796"/>
    <n v="19817.694807344145"/>
    <n v="17133.997546944738"/>
    <n v="12623.02264618636"/>
    <n v="3537.3143073718038"/>
    <n v="4445"/>
    <n v="1.1189110451201401E-2"/>
  </r>
  <r>
    <s v="South Sudan"/>
    <s v="SSD"/>
    <x v="2"/>
    <n v="0"/>
    <n v="3726"/>
    <n v="4530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</r>
  <r>
    <s v="Tanzania"/>
    <s v="TZA"/>
    <x v="0"/>
    <n v="20800"/>
    <n v="31940"/>
    <n v="31940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0"/>
    <m/>
  </r>
  <r>
    <s v="Togo"/>
    <s v="TGO"/>
    <x v="2"/>
    <n v="1341"/>
    <n v="1966"/>
    <n v="2630"/>
    <n v="4.5318352059925092E-2"/>
    <n v="0.36966292134831463"/>
    <n v="0.37490636704119851"/>
    <n v="0.15393258426966291"/>
    <n v="5.4681647940074907E-2"/>
    <n v="1.4981273408239701E-3"/>
    <n v="3023.5205286666483"/>
    <n v="24662.931915652745"/>
    <n v="25012.760737151366"/>
    <n v="10269.974688280929"/>
    <n v="3648.214852771328"/>
    <n v="99.951091856748718"/>
    <n v="160"/>
    <n v="6.0836501901140684E-2"/>
  </r>
  <r>
    <s v="Uganda"/>
    <s v="UGA"/>
    <x v="2"/>
    <n v="40149"/>
    <n v="52907"/>
    <n v="74197"/>
    <n v="0.88558189271074672"/>
    <n v="7.9754054535733379E-2"/>
    <n v="1.2386383888789878E-2"/>
    <n v="9.0892888968098374E-3"/>
    <n v="8.9110675458919982E-3"/>
    <n v="4.2773124220281591E-3"/>
    <n v="59083.680467590988"/>
    <n v="5320.9794745918634"/>
    <n v="826.38675638912741"/>
    <n v="606.41330324957539"/>
    <n v="594.52284632311319"/>
    <n v="285.37096623509433"/>
    <n v="3631"/>
    <n v="4.8937288569618716E-2"/>
  </r>
  <r>
    <s v="Zambia"/>
    <s v="ZMB"/>
    <x v="0"/>
    <n v="0"/>
    <n v="20746"/>
    <n v="49975"/>
    <n v="0.13455105242902396"/>
    <n v="0.57100565440066309"/>
    <n v="0.2078510317060896"/>
    <n v="6.5040409722016634E-2"/>
    <n v="1.7318452292844667E-2"/>
    <n v="4.2333994493620299E-3"/>
    <n v="8976.8901710043538"/>
    <n v="38095.986274660492"/>
    <n v="13867.270823019046"/>
    <n v="4339.3240276560091"/>
    <n v="1155.4413091391741"/>
    <n v="282.441208900687"/>
    <n v="0"/>
    <m/>
  </r>
  <r>
    <s v="Zimbabwe"/>
    <s v="ZWE"/>
    <x v="0"/>
    <n v="18722"/>
    <n v="27874"/>
    <n v="46537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1597"/>
    <n v="3.4316780196402864E-2"/>
  </r>
  <r>
    <s v="AFRO"/>
    <s v="AFRO"/>
    <x v="3"/>
    <n v="479279"/>
    <n v="1248604"/>
    <n v="1599096.3166420327"/>
    <n v="2.8094911126753986E-2"/>
    <n v="0.42408199480095404"/>
    <n v="0.32237544168541793"/>
    <n v="0.14725787510182761"/>
    <n v="7.3303780982837616E-2"/>
    <n v="4.8859963022088162E-3"/>
    <n v="1874.4181260272005"/>
    <n v="28293.628493443211"/>
    <n v="21508.036403992977"/>
    <n v="9824.6557551223777"/>
    <n v="4890.6342917637803"/>
    <n v="325.98074403021678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0"/>
    <n v="57705"/>
    <n v="5043.8935155116633"/>
    <n v="9.3988761057240605E-2"/>
    <n v="0.30100512311428623"/>
    <n v="0.16025243303610998"/>
    <n v="0.35528531669355268"/>
    <n v="8.4114800304905077E-2"/>
    <n v="5.3535657939054442E-3"/>
    <n v="5423.6214568080695"/>
    <n v="17369.500629309889"/>
    <n v="9247.3666483487268"/>
    <n v="20501.739199801457"/>
    <n v="4853.8445515945477"/>
    <n v="308.92751413731366"/>
    <n v="0"/>
    <n v="8.1100000000000005E-2"/>
    <n v="4679.8755000000001"/>
    <n v="60617.985335862686"/>
    <n v="63330.011212721511"/>
    <n v="66019.224938074956"/>
    <n v="68685.818395879876"/>
    <n v="71329.981856065031"/>
    <n v="73951.903988107486"/>
    <n v="76551.771874494763"/>
    <n v="79129.77102407378"/>
  </r>
  <r>
    <x v="0"/>
    <n v="0"/>
    <n v="46082"/>
    <n v="66717.353814379763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0"/>
    <m/>
    <n v="0"/>
    <n v="66195.683645465004"/>
    <n v="65705.148473364417"/>
    <n v="65218.21908230563"/>
    <n v="64734.868967243419"/>
    <n v="64255.07181796342"/>
    <n v="63778.801517649983"/>
    <n v="63306.032141464551"/>
    <n v="62836.737955134508"/>
  </r>
  <r>
    <x v="0"/>
    <n v="4880"/>
    <n v="3410"/>
    <n v="5893"/>
    <n v="3.7563822027716992E-2"/>
    <n v="0.15973741794310722"/>
    <n v="0.44164843180160468"/>
    <n v="0.30069292487235594"/>
    <n v="5.2698760029175784E-2"/>
    <n v="7.658643326039387E-3"/>
    <n v="2506.1588048435869"/>
    <n v="10657.25783030574"/>
    <n v="29465.61468607363"/>
    <n v="20061.436258189686"/>
    <n v="3515.9218184456149"/>
    <n v="510.96441652150804"/>
    <n v="247"/>
    <n v="4.191413541489903E-2"/>
    <n v="246.99999999999997"/>
    <n v="6020.4676148796498"/>
    <n v="6161.340497069652"/>
    <n v="6301.4709966383398"/>
    <n v="6440.8630258500734"/>
    <n v="6579.520476352066"/>
    <n v="6717.4472192830326"/>
    <n v="6854.6471053812666"/>
    <n v="6991.1239650921489"/>
  </r>
  <r>
    <x v="1"/>
    <n v="5816"/>
    <n v="7645"/>
    <n v="8028"/>
    <n v="2.8276033881415048E-2"/>
    <n v="0.36858495266567015"/>
    <n v="0.33096661684105633"/>
    <n v="0.18709516691579473"/>
    <n v="8.0468360737419031E-2"/>
    <n v="4.6088689586447438E-3"/>
    <n v="1886.5021569337578"/>
    <n v="24591.012697651931"/>
    <n v="22081.216876533013"/>
    <n v="12482.494448081516"/>
    <n v="5368.6360941815301"/>
    <n v="307.49154099801336"/>
    <n v="40"/>
    <n v="4.9825610363726956E-3"/>
    <n v="40"/>
    <n v="8004.9"/>
    <n v="7954.3858819133029"/>
    <n v="7904.278242654259"/>
    <n v="7854.5738113543748"/>
    <n v="7805.2693434652992"/>
    <n v="7756.3616205470307"/>
    <n v="7707.847450057825"/>
    <n v="7659.7236651457997"/>
  </r>
  <r>
    <x v="2"/>
    <n v="6196"/>
    <n v="10325"/>
    <n v="13961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1170"/>
    <n v="8.3804885036888474E-2"/>
    <n v="1170"/>
    <n v="14738.298632693395"/>
    <n v="15490.202049861748"/>
    <n v="16238.86861428151"/>
    <n v="16984.312260210027"/>
    <n v="17726.546861919371"/>
    <n v="18465.586233954549"/>
    <n v="19201.444131390643"/>
    <n v="19934.134250088799"/>
  </r>
  <r>
    <x v="2"/>
    <n v="6573"/>
    <n v="9156"/>
    <n v="9372"/>
    <n v="2.261239691407289E-3"/>
    <n v="0.32016493748337321"/>
    <n v="0.4684756584197925"/>
    <n v="0.16440542697525937"/>
    <n v="3.8840117052407558E-2"/>
    <n v="5.8526203777600422E-3"/>
    <n v="150.86392855073902"/>
    <n v="21360.55741303699"/>
    <n v="31255.456256217814"/>
    <n v="10968.695040512554"/>
    <n v="2591.3098315774"/>
    <n v="390.47134448426567"/>
    <n v="196"/>
    <n v="2.0913358941527956E-2"/>
    <n v="196"/>
    <n v="9453.6992418196351"/>
    <n v="9553.5309633065826"/>
    <n v="9652.9749372187216"/>
    <n v="9752.0326695721687"/>
    <n v="9850.7056605336602"/>
    <n v="9948.995404443267"/>
    <n v="10046.903389837023"/>
    <n v="10144.431099469475"/>
  </r>
  <r>
    <x v="0"/>
    <n v="18954"/>
    <n v="9925"/>
    <n v="16473"/>
    <n v="1.7974253096915228E-2"/>
    <n v="0.39561573961622543"/>
    <n v="0.37776293417537044"/>
    <n v="0.17585620597522467"/>
    <n v="3.1637114403692011E-2"/>
    <n v="1.1537527325722614E-3"/>
    <n v="1199.1946034161044"/>
    <n v="26394.435274513249"/>
    <n v="25203.343337336442"/>
    <n v="11732.660714503509"/>
    <n v="2110.7445553371304"/>
    <n v="76.975329273331042"/>
    <n v="0"/>
    <m/>
    <n v="0"/>
    <n v="16042.544231236338"/>
    <n v="15580.340250519346"/>
    <n v="15119.598549823933"/>
    <n v="14660.314502918065"/>
    <n v="14202.483498205773"/>
    <n v="13746.100938680844"/>
    <n v="13291.162241880669"/>
    <n v="12837.662839840228"/>
  </r>
  <r>
    <x v="0"/>
    <n v="403"/>
    <n v="768"/>
    <n v="941"/>
    <n v="0"/>
    <n v="0.26886291179596172"/>
    <n v="0.26461211477151964"/>
    <n v="0.27842720510095642"/>
    <n v="0.13602550478214664"/>
    <n v="5.2072263549415514E-2"/>
    <n v="0"/>
    <n v="17937.822013855555"/>
    <n v="17654.220084782741"/>
    <n v="18575.926354269392"/>
    <n v="9075.2617303300849"/>
    <n v="3474.1236311419852"/>
    <n v="0"/>
    <n v="8.1100000000000005E-2"/>
    <n v="76.315100000000001"/>
    <n v="931.72056999999995"/>
    <n v="958.767363914984"/>
    <n v="985.44625245046552"/>
    <n v="1011.7622400579405"/>
    <n v="1037.7202631156008"/>
    <n v="1063.3251908543045"/>
    <n v="1088.5818262709515"/>
    <n v="1113.4949070294338"/>
  </r>
  <r>
    <x v="2"/>
    <n v="322"/>
    <n v="1195"/>
    <n v="648.48014888337468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n v="0.16200000000000001"/>
    <n v="105.05378411910671"/>
    <n v="720.20033438044447"/>
    <n v="790.58760843023504"/>
    <n v="860.67187382722307"/>
    <n v="930.45443498680061"/>
    <n v="999.93659070901003"/>
    <n v="1069.1196342027176"/>
    <n v="1138.0048531096827"/>
    <n v="1206.5935295285235"/>
  </r>
  <r>
    <x v="2"/>
    <n v="3606"/>
    <n v="4799"/>
    <n v="3387.151734852408"/>
    <n v="3.653103653103653E-2"/>
    <n v="0.44371844371844371"/>
    <n v="0.31006831006831009"/>
    <n v="0.14582714582714582"/>
    <n v="6.3855063855063857E-2"/>
    <n v="0"/>
    <n v="2437.2540894471963"/>
    <n v="29603.720403529362"/>
    <n v="20686.937149454254"/>
    <n v="9729.2012838908413"/>
    <n v="4260.2408880581079"/>
    <n v="0"/>
    <n v="2084"/>
    <n v="0.61526620687124556"/>
    <n v="2084"/>
    <n v="4842.6017348524074"/>
    <n v="6267.1292705520427"/>
    <n v="7682.5604765761382"/>
    <n v="9088.9534375959211"/>
    <n v="10486.365867382581"/>
    <n v="11874.855111175653"/>
    <n v="13254.478148036276"/>
    <n v="14625.291593185435"/>
  </r>
  <r>
    <x v="0"/>
    <n v="0"/>
    <n v="747"/>
    <n v="784.97097407084357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29"/>
    <n v="3.6944041191238688E-2"/>
    <n v="29"/>
    <n v="799.17967574957299"/>
    <n v="813.60513894220901"/>
    <n v="827.92456476044742"/>
    <n v="842.13873265411382"/>
    <n v="856.24841634352526"/>
    <n v="870.25438386160647"/>
    <n v="884.1573975956959"/>
    <n v="897.95821432904506"/>
  </r>
  <r>
    <x v="0"/>
    <n v="3289"/>
    <n v="5081"/>
    <n v="5573"/>
    <n v="1.3457742687959805E-2"/>
    <n v="0.12739996411268617"/>
    <n v="0.46438184101919971"/>
    <n v="0.27310245828099766"/>
    <n v="0.12111968419163825"/>
    <n v="5.3830970751839223E-4"/>
    <n v="897.86498045549649"/>
    <n v="8499.7884816453679"/>
    <n v="30982.327592251"/>
    <n v="18220.67333671021"/>
    <n v="8080.784824099469"/>
    <n v="35.914599218219863"/>
    <n v="120"/>
    <n v="2.1532388300735689E-2"/>
    <n v="120"/>
    <n v="5639.6"/>
    <n v="5640.8933429032841"/>
    <n v="5642.1710208781678"/>
    <n v="5643.4332236577702"/>
    <n v="5644.6801386771676"/>
    <n v="5645.9119511012286"/>
    <n v="5647.1288438521115"/>
    <n v="5648.3309976364262"/>
  </r>
  <r>
    <x v="0"/>
    <n v="8780"/>
    <n v="15163"/>
    <n v="19225.233489577877"/>
    <n v="2.3366045797449764E-3"/>
    <n v="0.25175245343480873"/>
    <n v="0.45316776820882571"/>
    <n v="0.20134855464316709"/>
    <n v="9.1194338740903935E-2"/>
    <n v="2.002803925495694E-4"/>
    <n v="155.89207447114572"/>
    <n v="16796.2575094483"/>
    <n v="30234.154328861063"/>
    <n v="13433.442760142156"/>
    <n v="6084.2449636452875"/>
    <n v="13.36217781181249"/>
    <n v="0"/>
    <m/>
    <n v="0"/>
    <n v="19202.383052267727"/>
    <n v="19008.268189797618"/>
    <n v="18815.923544979782"/>
    <n v="18625.332974431396"/>
    <n v="18436.480481988154"/>
    <n v="18249.350217361705"/>
    <n v="18063.926474809359"/>
    <n v="17880.193691815904"/>
  </r>
  <r>
    <x v="2"/>
    <n v="59813"/>
    <n v="103785"/>
    <n v="115316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3453"/>
    <n v="2.9943806583648411E-2"/>
    <n v="3453"/>
    <n v="117415.30077556561"/>
    <n v="119323.44218824709"/>
    <n v="121223.3692842553"/>
    <n v="123115.11742522431"/>
    <n v="124998.72182056068"/>
    <n v="126874.21752809873"/>
    <n v="128741.63945475309"/>
    <n v="130601.02235716837"/>
  </r>
  <r>
    <x v="1"/>
    <n v="0"/>
    <n v="355"/>
    <n v="1375"/>
    <n v="1.8679111475270328E-2"/>
    <n v="0.24613491771786639"/>
    <n v="0.31712615934178301"/>
    <n v="0.24329284860264971"/>
    <n v="0.13924057054727651"/>
    <n v="3.5526392315154053E-2"/>
    <n v="1246.2208892338517"/>
    <n v="16421.470391456143"/>
    <n v="21157.818176601111"/>
    <n v="16231.85506073131"/>
    <n v="9289.7624105187533"/>
    <n v="2370.2268858385951"/>
    <n v="492"/>
    <n v="0.35781818181818181"/>
    <n v="492"/>
    <n v="1670.051210566663"/>
    <n v="1990.697322226416"/>
    <n v="2306.8787391330416"/>
    <n v="2618.657627951015"/>
    <n v="2926.0952897326274"/>
    <n v="3229.2521719708207"/>
    <n v="3528.1878804841958"/>
    <n v="3822.9611911365355"/>
  </r>
  <r>
    <x v="2"/>
    <n v="4262"/>
    <n v="4971"/>
    <n v="5007"/>
    <n v="0.17155981625723987"/>
    <n v="0.41601757539444778"/>
    <n v="0.18773716796484921"/>
    <n v="0.18294387857000199"/>
    <n v="4.1741561813461156E-2"/>
    <n v="0"/>
    <n v="11446.016961564254"/>
    <n v="27755.591770591782"/>
    <n v="12525.327059220486"/>
    <n v="12205.531474729751"/>
    <n v="2784.8865482734914"/>
    <n v="0"/>
    <n v="0"/>
    <m/>
    <n v="0"/>
    <n v="4918.7"/>
    <n v="4809.8685779908128"/>
    <n v="4701.4914353345303"/>
    <n v="4593.5666757981826"/>
    <n v="4486.0924110639744"/>
    <n v="4379.0667606962415"/>
    <n v="4272.4878521085539"/>
    <n v="4166.3538205309487"/>
  </r>
  <r>
    <x v="0"/>
    <n v="3735"/>
    <n v="4706"/>
    <n v="5242"/>
    <n v="2.8271112722000724E-2"/>
    <n v="0.38963392533526642"/>
    <n v="0.30518303733236679"/>
    <n v="0.18412468285610728"/>
    <n v="8.6625588981515039E-2"/>
    <n v="6.1616527727437476E-3"/>
    <n v="1886.1738301999353"/>
    <n v="25995.344454678598"/>
    <n v="20361.004679850583"/>
    <n v="12284.311612071373"/>
    <n v="5779.4300694587764"/>
    <n v="411.0891681204987"/>
    <n v="80"/>
    <n v="1.5261350629530714E-2"/>
    <n v="80"/>
    <n v="5259.6006161652767"/>
    <n v="5263.9390160469911"/>
    <n v="5268.2398342842062"/>
    <n v="5272.503396430131"/>
    <n v="5276.7300252178511"/>
    <n v="5280.9200405847569"/>
    <n v="5285.0737596967629"/>
    <n v="5289.1914969723148"/>
  </r>
  <r>
    <x v="2"/>
    <n v="0"/>
    <n v="61772"/>
    <n v="131262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2440"/>
    <n v="1.8588776645182915E-2"/>
    <n v="2440"/>
    <n v="132296.53919666214"/>
    <n v="133119.31868811022"/>
    <n v="133938.55621393136"/>
    <n v="134754.26702185677"/>
    <n v="135566.46629397798"/>
    <n v="136375.16914702946"/>
    <n v="137180.39063267002"/>
    <n v="137982.14573776288"/>
  </r>
  <r>
    <x v="1"/>
    <n v="0"/>
    <n v="6085"/>
    <n v="4751.5998777719578"/>
    <n v="0"/>
    <n v="0.14379237783493104"/>
    <n v="0.38812251578209023"/>
    <n v="0.35819499649286884"/>
    <n v="0.10989010989010989"/>
    <n v="0"/>
    <n v="0"/>
    <n v="9593.4469478240717"/>
    <n v="25894.507208760908"/>
    <n v="23897.822315555248"/>
    <n v="7331.5773422395341"/>
    <n v="0"/>
    <n v="34"/>
    <n v="7.1554846524540952E-3"/>
    <n v="34"/>
    <n v="4770.0998777719578"/>
    <n v="4736.1811977964417"/>
    <n v="4702.6352505679097"/>
    <n v="4669.457940122109"/>
    <n v="4636.645215505383"/>
    <n v="4604.1930702800491"/>
    <n v="4572.0975420352133"/>
    <n v="4540.3547119029581"/>
  </r>
  <r>
    <x v="2"/>
    <n v="2386"/>
    <n v="1498"/>
    <n v="1429.4036697247707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  <n v="0"/>
    <n v="1405.2577622635497"/>
    <n v="1378.9582985340326"/>
    <n v="1352.7720507967765"/>
    <n v="1326.6985316707069"/>
    <n v="1300.7372558728648"/>
    <n v="1274.8877402093756"/>
    <n v="1249.1495035664555"/>
    <n v="1223.522066901457"/>
  </r>
  <r>
    <x v="0"/>
    <n v="37404"/>
    <n v="125024"/>
    <n v="124204.27697797566"/>
    <n v="3.9127948391239352E-4"/>
    <n v="0.66800437430397397"/>
    <n v="0.30801721629729212"/>
    <n v="1.5661212163775546E-2"/>
    <n v="7.925917751045921E-3"/>
    <n v="0"/>
    <n v="26.105131768491074"/>
    <n v="44567.484189991606"/>
    <n v="20550.09360062678"/>
    <n v="1044.8746330926813"/>
    <n v="528.79625890020384"/>
    <n v="0"/>
    <n v="4827"/>
    <n v="3.8863395991234187E-2"/>
    <n v="4827"/>
    <n v="126955.47697797566"/>
    <n v="129606.05311111844"/>
    <n v="132254.52841941878"/>
    <n v="134900.90456797319"/>
    <n v="137545.18322055842"/>
    <n v="140187.36603963253"/>
    <n v="142827.45468633593"/>
    <n v="145465.45082049241"/>
  </r>
  <r>
    <x v="2"/>
    <n v="5789"/>
    <n v="7195"/>
    <n v="5018.9871797472533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492"/>
    <n v="9.8027745913623995E-2"/>
    <n v="492.00000000000006"/>
    <n v="5333.457692269013"/>
    <n v="5638.6478056711794"/>
    <n v="5942.5241127587951"/>
    <n v="6245.0922693082312"/>
    <n v="6546.3579067484297"/>
    <n v="6846.3266322657164"/>
    <n v="7145.0040289081608"/>
    <n v="7442.3956556894909"/>
  </r>
  <r>
    <x v="2"/>
    <n v="727"/>
    <n v="1264"/>
    <n v="1879"/>
    <n v="0"/>
    <n v="0.35071846726982436"/>
    <n v="0.45928685470995212"/>
    <n v="0.11122937732836616"/>
    <n v="7.1314529004789781E-2"/>
    <n v="7.4507716870675887E-3"/>
    <n v="0"/>
    <n v="23399.008070077842"/>
    <n v="30642.403587977507"/>
    <n v="7420.9297217697558"/>
    <n v="4757.916663718408"/>
    <n v="497.09577083625152"/>
    <n v="0"/>
    <n v="0.16200000000000001"/>
    <n v="304.39800000000002"/>
    <n v="2075.4785999999999"/>
    <n v="2271.1560221181476"/>
    <n v="2465.4379799167727"/>
    <n v="2658.3344250839441"/>
    <n v="2849.855238337736"/>
    <n v="3040.0102299323471"/>
    <n v="3228.8091401606102"/>
    <n v="3416.2616398529185"/>
  </r>
  <r>
    <x v="0"/>
    <n v="40292"/>
    <n v="59901"/>
    <n v="109659"/>
    <n v="1.0398757695080694E-2"/>
    <n v="0.30655537685097889"/>
    <n v="0.33922134102379237"/>
    <n v="0.24025289778714437"/>
    <n v="0.10199101547335145"/>
    <n v="1.5806111696522655E-3"/>
    <n v="693.77759637270287"/>
    <n v="20452.563541067284"/>
    <n v="22631.950230472732"/>
    <n v="16029.037586594928"/>
    <n v="6804.5706652234694"/>
    <n v="105.45419464865084"/>
    <n v="0"/>
    <m/>
    <n v="0"/>
    <n v="108752.27175974711"/>
    <n v="106909.69629656606"/>
    <n v="105085.91344764263"/>
    <n v="103280.73154519565"/>
    <n v="101493.96087628315"/>
    <n v="99725.413662864681"/>
    <n v="97974.904042067123"/>
    <n v="96242.248046651672"/>
  </r>
  <r>
    <x v="0"/>
    <n v="0"/>
    <n v="6866"/>
    <n v="1235.4801331049025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69"/>
    <n v="5.584873293477826E-2"/>
    <n v="69"/>
    <n v="1269.6429275784142"/>
    <n v="1304.0601525634927"/>
    <n v="1338.2243865615412"/>
    <n v="1372.1374892355498"/>
    <n v="1405.8013065786674"/>
    <n v="1439.2176710146864"/>
    <n v="1472.3884014977853"/>
    <n v="1505.3153036115411"/>
  </r>
  <r>
    <x v="2"/>
    <n v="0"/>
    <n v="8488"/>
    <n v="4423.7952883834278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  <n v="0"/>
    <n v="4127.0380246195491"/>
    <n v="3824.5716279407943"/>
    <n v="3523.4073123074118"/>
    <n v="3223.5394724188877"/>
    <n v="2924.9625271048453"/>
    <n v="2627.6709192211674"/>
    <n v="2331.6591155465658"/>
    <n v="2036.9216066795968"/>
  </r>
  <r>
    <x v="2"/>
    <n v="3438"/>
    <n v="4560"/>
    <n v="4560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2473"/>
    <n v="0.54232456140350882"/>
    <n v="2473"/>
    <n v="6278.5215038379683"/>
    <n v="7982.4432324898844"/>
    <n v="9679.029785366778"/>
    <n v="11368.312739508105"/>
    <n v="13050.323536018002"/>
    <n v="14725.093480650481"/>
    <n v="16392.653744392086"/>
    <n v="18053.035364042062"/>
  </r>
  <r>
    <x v="2"/>
    <n v="3545"/>
    <n v="7957"/>
    <n v="9592"/>
    <n v="3.2318598832360303E-2"/>
    <n v="0.493744787322769"/>
    <n v="0.28377814845704752"/>
    <n v="0.16816096747289408"/>
    <n v="2.1997497914929106E-2"/>
    <n v="0"/>
    <n v="2156.2113930835831"/>
    <n v="32941.345669818867"/>
    <n v="18932.927135398426"/>
    <n v="11219.25476465748"/>
    <n v="1467.6148514214062"/>
    <n v="0"/>
    <n v="1171"/>
    <n v="0.12208090075062553"/>
    <n v="1171"/>
    <n v="10401.700000000001"/>
    <n v="11188.51886259383"/>
    <n v="11973.606920558725"/>
    <n v="12756.967981231808"/>
    <n v="13538.605843575011"/>
    <n v="14318.524298193503"/>
    <n v="15096.727127354065"/>
    <n v="15873.218105003441"/>
  </r>
  <r>
    <x v="2"/>
    <n v="4257"/>
    <n v="5225"/>
    <n v="6327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n v="0.16200000000000001"/>
    <n v="1024.9739999999999"/>
    <n v="7024.6372615751807"/>
    <n v="7709.2788526483391"/>
    <n v="8390.9731449524497"/>
    <n v="9069.7328262501978"/>
    <n v="9745.5705296849992"/>
    <n v="10418.49883401612"/>
    <n v="11088.530263852799"/>
    <n v="11755.677289887359"/>
  </r>
  <r>
    <x v="0"/>
    <n v="3846"/>
    <n v="4066"/>
    <n v="6503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0"/>
    <m/>
    <n v="0"/>
    <n v="6451.9373532376658"/>
    <n v="6403.9110427213836"/>
    <n v="6356.2377596123424"/>
    <n v="6308.9149089089915"/>
    <n v="6261.9399146848809"/>
    <n v="6215.3102199484438"/>
    <n v="6169.0232865038124"/>
    <n v="6123.0765948126591"/>
  </r>
  <r>
    <x v="1"/>
    <n v="3963"/>
    <n v="4986"/>
    <n v="4598.8787431180344"/>
    <n v="1.8679111475270328E-2"/>
    <n v="0.24613491771786639"/>
    <n v="0.31712615934178301"/>
    <n v="0.24329284860264971"/>
    <n v="0.13924057054727651"/>
    <n v="3.5526392315154053E-2"/>
    <n v="1246.2208892338517"/>
    <n v="16421.470391456143"/>
    <n v="21157.818176601111"/>
    <n v="16231.85506073131"/>
    <n v="9289.7624105187533"/>
    <n v="2370.2268858385951"/>
    <n v="40"/>
    <n v="8.6977722689161509E-3"/>
    <n v="40"/>
    <n v="4439.7471726802005"/>
    <n v="4382.1778797392353"/>
    <n v="4325.4101849177805"/>
    <n v="4269.4329267178855"/>
    <n v="4214.235099054933"/>
    <n v="4159.8058490936564"/>
    <n v="4106.1344751142869"/>
    <n v="4053.2104244084112"/>
  </r>
  <r>
    <x v="2"/>
    <n v="6432"/>
    <n v="8153"/>
    <n v="17168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140"/>
    <n v="8.1547064305684987E-3"/>
    <n v="139.99999999999997"/>
    <n v="17217.707802168912"/>
    <n v="17240.087664460603"/>
    <n v="17262.371184167438"/>
    <n v="17284.558776032525"/>
    <n v="17306.650853013554"/>
    <n v="17328.647826290486"/>
    <n v="17350.550105273192"/>
    <n v="17372.358097609096"/>
  </r>
  <r>
    <x v="1"/>
    <n v="4110"/>
    <n v="12956"/>
    <n v="15558.321723868956"/>
    <n v="1.8679111475270328E-2"/>
    <n v="0.24613491771786639"/>
    <n v="0.31712615934178301"/>
    <n v="0.24329284860264971"/>
    <n v="0.13924057054727651"/>
    <n v="3.5526392315154053E-2"/>
    <n v="1246.2208892338517"/>
    <n v="16421.470391456143"/>
    <n v="21157.818176601111"/>
    <n v="16231.85506073131"/>
    <n v="9289.7624105187533"/>
    <n v="2370.2268858385951"/>
    <n v="1414"/>
    <n v="9.0883838571784878E-2"/>
    <n v="1414"/>
    <n v="15991.890682541401"/>
    <n v="16755.518684264727"/>
    <n v="17508.51388612347"/>
    <n v="18251.024339829593"/>
    <n v="18983.196035614583"/>
    <n v="19705.172930933604"/>
    <n v="20417.096978770009"/>
    <n v="21119.108155545706"/>
  </r>
  <r>
    <x v="2"/>
    <n v="3533"/>
    <n v="4107"/>
    <n v="4565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124"/>
    <n v="2.7163198247535596E-2"/>
    <n v="124"/>
    <n v="4635.757876100949"/>
    <n v="4699.0015023427823"/>
    <n v="4761.9728724666656"/>
    <n v="4824.6731585020689"/>
    <n v="4887.1035274330179"/>
    <n v="4949.2651412198147"/>
    <n v="5011.1591568206632"/>
    <n v="5072.7867262132031"/>
  </r>
  <r>
    <x v="0"/>
    <n v="74920"/>
    <n v="180709"/>
    <n v="220681"/>
    <n v="3.085769767251046E-2"/>
    <n v="0.36394374094029486"/>
    <n v="0.30764365615512951"/>
    <n v="0.18093085906517517"/>
    <n v="0.10857971173043787"/>
    <n v="8.0443344364521507E-3"/>
    <n v="2058.7439335140434"/>
    <n v="24281.363332842622"/>
    <n v="20525.170656451166"/>
    <n v="12071.228140190971"/>
    <n v="7244.1510445829845"/>
    <n v="536.69670679797741"/>
    <n v="375"/>
    <n v="1.69928539384904E-3"/>
    <n v="375"/>
    <n v="217123.26823222931"/>
    <n v="212983.25004476673"/>
    <n v="208888.18405543949"/>
    <n v="204837.58217457606"/>
    <n v="200830.96161216852"/>
    <n v="196867.84482032893"/>
    <n v="192947.75943637054"/>
    <n v="189070.23822650703"/>
  </r>
  <r>
    <x v="2"/>
    <n v="9625"/>
    <n v="13345"/>
    <n v="13501.239749316621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176"/>
    <n v="1.3035839913064904E-2"/>
    <n v="176"/>
    <n v="13583.441480367706"/>
    <n v="13643.966417098785"/>
    <n v="13704.230801339554"/>
    <n v="13764.235754736788"/>
    <n v="13823.982394108712"/>
    <n v="13883.471831465786"/>
    <n v="13942.705174031395"/>
    <n v="14001.683524262464"/>
  </r>
  <r>
    <x v="0"/>
    <n v="442"/>
    <n v="406"/>
    <n v="440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0"/>
    <n v="8.1100000000000005E-2"/>
    <n v="35.684000000000005"/>
    <n v="461.51444284554407"/>
    <n v="483.05078472392916"/>
    <n v="504.42881923176969"/>
    <n v="525.64971004039444"/>
    <n v="546.71461226732333"/>
    <n v="567.62467253914429"/>
    <n v="588.38102905392736"/>
    <n v="608.98481164318048"/>
  </r>
  <r>
    <x v="0"/>
    <n v="1682"/>
    <n v="4577"/>
    <n v="4737"/>
    <n v="3.1665611146295125E-3"/>
    <n v="0.23495883470550982"/>
    <n v="0.56322567025543591"/>
    <n v="0.14967278868482162"/>
    <n v="4.2854127084652735E-2"/>
    <n v="6.122018154950391E-3"/>
    <n v="211.26457825959395"/>
    <n v="15675.831706861871"/>
    <n v="37576.926319773105"/>
    <n v="9985.7723990701397"/>
    <n v="2859.1139591131714"/>
    <n v="408.44485130188161"/>
    <n v="104"/>
    <n v="2.1954823728097952E-2"/>
    <n v="104"/>
    <n v="4755.8500000000004"/>
    <n v="4783.3192199704463"/>
    <n v="4810.6707229965386"/>
    <n v="4837.9050135439675"/>
    <n v="4865.0225939165784"/>
    <n v="4892.0239642656379"/>
    <n v="4918.9096225990579"/>
    <n v="4945.6800647905802"/>
  </r>
  <r>
    <x v="1"/>
    <n v="419"/>
    <n v="1272"/>
    <n v="1277"/>
    <n v="4.4350580781414996E-2"/>
    <n v="0.27032734952481519"/>
    <n v="0.25237592397043296"/>
    <n v="0.17106652587117213"/>
    <n v="0.17740232312565998"/>
    <n v="8.4477296726504753E-2"/>
    <n v="2958.9533898668956"/>
    <n v="18035.525423950599"/>
    <n v="16837.853813766382"/>
    <n v="11413.10593234374"/>
    <n v="11835.813559467582"/>
    <n v="5636.1016949845625"/>
    <n v="10"/>
    <n v="7.8308535630383716E-3"/>
    <n v="10"/>
    <n v="1172.9224920802535"/>
    <n v="1155.9145745861158"/>
    <n v="1139.2083814994771"/>
    <n v="1122.7985601592541"/>
    <n v="1106.6798528618142"/>
    <n v="1090.8470951764091"/>
    <n v="1075.2952142904917"/>
    <n v="1060.0192273843879"/>
  </r>
  <r>
    <x v="2"/>
    <n v="6106"/>
    <n v="5757"/>
    <n v="15666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120"/>
    <n v="7.6599004212945234E-3"/>
    <n v="120"/>
    <n v="15409.951574369652"/>
    <n v="15130.263607324654"/>
    <n v="14851.779662956247"/>
    <n v="14574.494558093269"/>
    <n v="14298.403131877474"/>
    <n v="14023.500245667488"/>
    <n v="13749.78078294316"/>
    <n v="13477.239649210338"/>
  </r>
  <r>
    <x v="1"/>
    <n v="58722"/>
    <n v="287458"/>
    <n v="397261.24962174537"/>
    <n v="2.0898312382512628E-3"/>
    <n v="0.20183499084604911"/>
    <n v="0.29703958077355258"/>
    <n v="0.25681470513076321"/>
    <n v="0.18920148843591708"/>
    <n v="5.3019403575466709E-2"/>
    <n v="139.42801013475287"/>
    <n v="13465.89649639796"/>
    <n v="19817.694807344145"/>
    <n v="17133.997546944738"/>
    <n v="12623.02264618636"/>
    <n v="3537.3143073718038"/>
    <n v="0"/>
    <m/>
    <n v="0"/>
    <n v="375740.9451031558"/>
    <n v="368174.12049517228"/>
    <n v="360750.46133504517"/>
    <n v="353467.25891119172"/>
    <n v="346321.8557612556"/>
    <n v="339311.64470246376"/>
    <n v="332434.06788032921"/>
    <n v="325686.61583535268"/>
  </r>
  <r>
    <x v="2"/>
    <n v="0"/>
    <n v="3726"/>
    <n v="4530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307"/>
    <n v="6.777041942604857E-2"/>
    <n v="307"/>
    <n v="4726.0532702600867"/>
    <n v="4914.1081858136913"/>
    <n v="5101.3535478310341"/>
    <n v="5287.7928413416148"/>
    <n v="5473.4295363723031"/>
    <n v="5658.2670880119267"/>
    <n v="5842.3089364755751"/>
    <n v="6025.558507168631"/>
  </r>
  <r>
    <x v="0"/>
    <n v="20800"/>
    <n v="31940"/>
    <n v="31940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2084"/>
    <n v="6.5247338760175327E-2"/>
    <n v="2084"/>
    <n v="33099.998710196996"/>
    <n v="34264.540269495759"/>
    <n v="35420.521623297071"/>
    <n v="36568.00569517594"/>
    <n v="37707.054946174518"/>
    <n v="38837.73137820205"/>
    <n v="39960.096537409816"/>
    <n v="41074.211517541291"/>
  </r>
  <r>
    <x v="2"/>
    <n v="1341"/>
    <n v="1966"/>
    <n v="2630"/>
    <n v="4.5318352059925092E-2"/>
    <n v="0.36966292134831463"/>
    <n v="0.37490636704119851"/>
    <n v="0.15393258426966291"/>
    <n v="5.4681647940074907E-2"/>
    <n v="1.4981273408239701E-3"/>
    <n v="3023.5205286666483"/>
    <n v="24662.931915652745"/>
    <n v="25012.760737151366"/>
    <n v="10269.974688280929"/>
    <n v="3648.214852771328"/>
    <n v="99.951091856748718"/>
    <n v="130"/>
    <n v="4.9429657794676805E-2"/>
    <n v="130"/>
    <n v="2661.2599250936328"/>
    <n v="2681.9077172635325"/>
    <n v="2702.4426039032151"/>
    <n v="2722.8652023987256"/>
    <n v="2743.1761267601405"/>
    <n v="2763.3759876400286"/>
    <n v="2783.4653923518094"/>
    <n v="2803.4449448880127"/>
  </r>
  <r>
    <x v="2"/>
    <n v="40149"/>
    <n v="52907"/>
    <n v="74197"/>
    <n v="0.88558189271074672"/>
    <n v="7.9754054535733379E-2"/>
    <n v="1.2386383888789878E-2"/>
    <n v="9.0892888968098374E-3"/>
    <n v="8.9110675458919982E-3"/>
    <n v="4.2773124220281591E-3"/>
    <n v="59083.680467590988"/>
    <n v="5320.9794745918634"/>
    <n v="826.38675638912741"/>
    <n v="606.41330324957539"/>
    <n v="594.52284632311319"/>
    <n v="285.37096623509433"/>
    <n v="8990"/>
    <n v="0.12116392846071944"/>
    <n v="8990"/>
    <n v="80137.986250222792"/>
    <n v="86324.924749376049"/>
    <n v="92506.350025842476"/>
    <n v="98682.266992492048"/>
    <n v="104852.68055781687"/>
    <n v="111017.59562593502"/>
    <n v="117177.0170965945"/>
    <n v="123330.94986517711"/>
  </r>
  <r>
    <x v="0"/>
    <n v="0"/>
    <n v="20746"/>
    <n v="49975"/>
    <n v="0.13455105242902396"/>
    <n v="0.57100565440066309"/>
    <n v="0.2078510317060896"/>
    <n v="6.5040409722016634E-2"/>
    <n v="1.7318452292844667E-2"/>
    <n v="4.2333994493620299E-3"/>
    <n v="8976.8901710043538"/>
    <n v="38095.986274660492"/>
    <n v="13867.270823019046"/>
    <n v="4339.3240276560091"/>
    <n v="1155.4413091391741"/>
    <n v="282.441208900687"/>
    <n v="1939"/>
    <n v="3.8799399699849926E-2"/>
    <n v="1939"/>
    <n v="51030.385862518138"/>
    <n v="52208.959132213597"/>
    <n v="53385.491295414569"/>
    <n v="54559.985887001603"/>
    <n v="55732.446435733378"/>
    <n v="56902.876464257308"/>
    <n v="58071.279489120127"/>
    <n v="59237.659020778454"/>
  </r>
  <r>
    <x v="0"/>
    <n v="18722"/>
    <n v="27874"/>
    <n v="46537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270"/>
    <n v="5.8018350989535207E-3"/>
    <n v="270"/>
    <n v="45987.527411597919"/>
    <n v="45461.136504581984"/>
    <n v="44938.614943662003"/>
    <n v="44419.934286402873"/>
    <n v="43905.06629944154"/>
    <n v="43393.982956950182"/>
    <n v="42886.656439110651"/>
    <n v="42383.059130600181"/>
  </r>
  <r>
    <x v="3"/>
    <n v="479279"/>
    <n v="1248604"/>
    <n v="1599096.3166420327"/>
    <n v="2.8094911126753986E-2"/>
    <n v="0.42408199480095404"/>
    <n v="0.32237544168541793"/>
    <n v="0.14725787510182761"/>
    <n v="7.3303780982837616E-2"/>
    <n v="4.8859963022088162E-3"/>
    <n v="1874.4181260272005"/>
    <n v="28293.628493443211"/>
    <n v="21508.036403992977"/>
    <n v="9824.6557551223777"/>
    <n v="4890.6342917637803"/>
    <n v="325.98074403021678"/>
    <m/>
    <n v="4.2900000000000001E-2"/>
    <n v="68601.231983943202"/>
    <n v="1639304.0003408045"/>
    <n v="1656001.1999718752"/>
    <n v="1664335.1651180028"/>
    <n v="1672790.2603088159"/>
    <n v="1681363.7198600974"/>
    <n v="1690052.830438274"/>
    <n v="1698854.9300867724"/>
    <n v="1707767.40727054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BCFEF-C4E7-40BD-840F-DEA0DFB877C6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6">
        <item m="1" x="4"/>
        <item x="1"/>
        <item x="2"/>
        <item x="3"/>
        <item x="0"/>
        <item t="default"/>
      </items>
    </pivotField>
  </pivotFields>
  <rowFields count="1">
    <field x="14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Nursing  Personnel  Stock By Age Group &lt; 25 yrs2" fld="8" subtotal="average" baseField="0" baseItem="0"/>
    <dataField name="Average of Nursing  Personnel  Stock By Age Group 25-34 yrs2" fld="9" subtotal="average" baseField="0" baseItem="0"/>
    <dataField name="Average of Nursing  Personnel  Stock By Age Group 35-44 yrs2" fld="10" subtotal="average" baseField="0" baseItem="0"/>
    <dataField name="Average of Nursing  Personnel  Stock By Age Group 45-54 yrs2" fld="11" subtotal="average" baseField="0" baseItem="0"/>
    <dataField name="Average of Nursing  Personnel  Stock By Age Group 55-64 yrs2" fld="12" subtotal="average" baseField="0" baseItem="0"/>
    <dataField name="Average of Nursing  Personnel  Stock By Age Group ≥ 65 yrs2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09422-5ED4-46F2-8221-7EBB9572D8F4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0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dataField="1" numFmtId="166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atio of stock to graduates" fld="1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35835-D5CB-4E2B-8E9C-E997D88BB66C}" name="PivotTable2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7">
    <pivotField axis="axisRow" showAll="0">
      <items count="5">
        <item x="3"/>
        <item x="1"/>
        <item x="0"/>
        <item x="2"/>
        <item t="default"/>
      </items>
    </pivotField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dataField="1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atio of stock to graduates" fld="1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AA25-82FD-4CEE-A050-A6C1F5E68CEE}">
  <sheetPr filterMode="1"/>
  <dimension ref="A1:B49"/>
  <sheetViews>
    <sheetView workbookViewId="0">
      <selection activeCell="B2" sqref="B2"/>
    </sheetView>
  </sheetViews>
  <sheetFormatPr defaultRowHeight="14.5" x14ac:dyDescent="0.35"/>
  <cols>
    <col min="1" max="1" width="8.453125" bestFit="1" customWidth="1"/>
  </cols>
  <sheetData>
    <row r="1" spans="1:2" x14ac:dyDescent="0.35">
      <c r="A1" s="1"/>
      <c r="B1" s="1" t="s">
        <v>0</v>
      </c>
    </row>
    <row r="2" spans="1:2" hidden="1" x14ac:dyDescent="0.35">
      <c r="A2" s="2" t="s">
        <v>1</v>
      </c>
      <c r="B2" s="2" t="s">
        <v>2</v>
      </c>
    </row>
    <row r="3" spans="1:2" hidden="1" x14ac:dyDescent="0.35">
      <c r="A3" s="3" t="s">
        <v>3</v>
      </c>
      <c r="B3" s="3"/>
    </row>
    <row r="4" spans="1:2" hidden="1" x14ac:dyDescent="0.35">
      <c r="A4" s="3" t="s">
        <v>4</v>
      </c>
      <c r="B4" s="3">
        <v>2019</v>
      </c>
    </row>
    <row r="5" spans="1:2" hidden="1" x14ac:dyDescent="0.35">
      <c r="A5" s="3" t="s">
        <v>5</v>
      </c>
      <c r="B5" s="3">
        <v>2021</v>
      </c>
    </row>
    <row r="6" spans="1:2" hidden="1" x14ac:dyDescent="0.35">
      <c r="A6" s="3" t="s">
        <v>6</v>
      </c>
      <c r="B6" s="3">
        <v>2022</v>
      </c>
    </row>
    <row r="7" spans="1:2" hidden="1" x14ac:dyDescent="0.35">
      <c r="A7" s="3" t="s">
        <v>7</v>
      </c>
      <c r="B7" s="3">
        <v>2022</v>
      </c>
    </row>
    <row r="8" spans="1:2" hidden="1" x14ac:dyDescent="0.35">
      <c r="A8" s="3" t="s">
        <v>8</v>
      </c>
      <c r="B8" s="3"/>
    </row>
    <row r="9" spans="1:2" hidden="1" x14ac:dyDescent="0.35">
      <c r="A9" s="3" t="s">
        <v>9</v>
      </c>
      <c r="B9" s="3">
        <v>2022</v>
      </c>
    </row>
    <row r="10" spans="1:2" hidden="1" x14ac:dyDescent="0.35">
      <c r="A10" s="3" t="s">
        <v>10</v>
      </c>
      <c r="B10" s="3">
        <v>2022</v>
      </c>
    </row>
    <row r="11" spans="1:2" hidden="1" x14ac:dyDescent="0.35">
      <c r="A11" s="3" t="s">
        <v>11</v>
      </c>
      <c r="B11" s="3"/>
    </row>
    <row r="12" spans="1:2" hidden="1" x14ac:dyDescent="0.35">
      <c r="A12" s="3" t="s">
        <v>12</v>
      </c>
      <c r="B12" s="3">
        <v>2022</v>
      </c>
    </row>
    <row r="13" spans="1:2" hidden="1" x14ac:dyDescent="0.35">
      <c r="A13" s="3" t="s">
        <v>13</v>
      </c>
      <c r="B13" s="3"/>
    </row>
    <row r="14" spans="1:2" hidden="1" x14ac:dyDescent="0.35">
      <c r="A14" s="3" t="s">
        <v>14</v>
      </c>
      <c r="B14" s="3">
        <v>2022</v>
      </c>
    </row>
    <row r="15" spans="1:2" x14ac:dyDescent="0.35">
      <c r="A15" s="3" t="s">
        <v>15</v>
      </c>
      <c r="B15" s="3">
        <v>2018</v>
      </c>
    </row>
    <row r="16" spans="1:2" hidden="1" x14ac:dyDescent="0.35">
      <c r="A16" s="3" t="s">
        <v>16</v>
      </c>
      <c r="B16" s="3">
        <v>2022</v>
      </c>
    </row>
    <row r="17" spans="1:2" hidden="1" x14ac:dyDescent="0.35">
      <c r="A17" s="3" t="s">
        <v>17</v>
      </c>
      <c r="B17" s="3"/>
    </row>
    <row r="18" spans="1:2" hidden="1" x14ac:dyDescent="0.35">
      <c r="A18" s="3" t="s">
        <v>18</v>
      </c>
      <c r="B18" s="3">
        <v>2022</v>
      </c>
    </row>
    <row r="19" spans="1:2" hidden="1" x14ac:dyDescent="0.35">
      <c r="A19" s="3" t="s">
        <v>19</v>
      </c>
      <c r="B19" s="3">
        <v>2022</v>
      </c>
    </row>
    <row r="20" spans="1:2" hidden="1" x14ac:dyDescent="0.35">
      <c r="A20" s="3" t="s">
        <v>20</v>
      </c>
      <c r="B20" s="3"/>
    </row>
    <row r="21" spans="1:2" hidden="1" x14ac:dyDescent="0.35">
      <c r="A21" s="3" t="s">
        <v>21</v>
      </c>
      <c r="B21" s="3"/>
    </row>
    <row r="22" spans="1:2" hidden="1" x14ac:dyDescent="0.35">
      <c r="A22" s="3" t="s">
        <v>22</v>
      </c>
      <c r="B22" s="3">
        <v>2022</v>
      </c>
    </row>
    <row r="23" spans="1:2" hidden="1" x14ac:dyDescent="0.35">
      <c r="A23" s="3" t="s">
        <v>23</v>
      </c>
      <c r="B23" s="3"/>
    </row>
    <row r="24" spans="1:2" hidden="1" x14ac:dyDescent="0.35">
      <c r="A24" s="3" t="s">
        <v>24</v>
      </c>
      <c r="B24" s="3">
        <v>2022</v>
      </c>
    </row>
    <row r="25" spans="1:2" hidden="1" x14ac:dyDescent="0.35">
      <c r="A25" s="3" t="s">
        <v>25</v>
      </c>
      <c r="B25" s="3"/>
    </row>
    <row r="26" spans="1:2" hidden="1" x14ac:dyDescent="0.35">
      <c r="A26" s="3" t="s">
        <v>26</v>
      </c>
      <c r="B26" s="3"/>
    </row>
    <row r="27" spans="1:2" x14ac:dyDescent="0.35">
      <c r="A27" s="3" t="s">
        <v>27</v>
      </c>
      <c r="B27" s="3">
        <v>2018</v>
      </c>
    </row>
    <row r="28" spans="1:2" hidden="1" x14ac:dyDescent="0.35">
      <c r="A28" s="3" t="s">
        <v>28</v>
      </c>
      <c r="B28" s="3"/>
    </row>
    <row r="29" spans="1:2" hidden="1" x14ac:dyDescent="0.35">
      <c r="A29" s="3" t="s">
        <v>29</v>
      </c>
      <c r="B29" s="3">
        <v>2022</v>
      </c>
    </row>
    <row r="30" spans="1:2" hidden="1" x14ac:dyDescent="0.35">
      <c r="A30" s="3" t="s">
        <v>30</v>
      </c>
      <c r="B30" s="3"/>
    </row>
    <row r="31" spans="1:2" hidden="1" x14ac:dyDescent="0.35">
      <c r="A31" s="3" t="s">
        <v>31</v>
      </c>
      <c r="B31" s="3"/>
    </row>
    <row r="32" spans="1:2" hidden="1" x14ac:dyDescent="0.35">
      <c r="A32" s="3" t="s">
        <v>32</v>
      </c>
      <c r="B32" s="3">
        <v>2022</v>
      </c>
    </row>
    <row r="33" spans="1:2" hidden="1" x14ac:dyDescent="0.35">
      <c r="A33" s="3" t="s">
        <v>33</v>
      </c>
      <c r="B33" s="3"/>
    </row>
    <row r="34" spans="1:2" hidden="1" x14ac:dyDescent="0.35">
      <c r="A34" s="3" t="s">
        <v>34</v>
      </c>
      <c r="B34" s="3"/>
    </row>
    <row r="35" spans="1:2" hidden="1" x14ac:dyDescent="0.35">
      <c r="A35" s="3" t="s">
        <v>35</v>
      </c>
      <c r="B35" s="3">
        <v>2022</v>
      </c>
    </row>
    <row r="36" spans="1:2" hidden="1" x14ac:dyDescent="0.35">
      <c r="A36" s="3" t="s">
        <v>36</v>
      </c>
      <c r="B36" s="3"/>
    </row>
    <row r="37" spans="1:2" hidden="1" x14ac:dyDescent="0.35">
      <c r="A37" s="3" t="s">
        <v>37</v>
      </c>
      <c r="B37" s="3">
        <v>2022</v>
      </c>
    </row>
    <row r="38" spans="1:2" hidden="1" x14ac:dyDescent="0.35">
      <c r="A38" s="3" t="s">
        <v>38</v>
      </c>
      <c r="B38" s="3">
        <v>2020</v>
      </c>
    </row>
    <row r="39" spans="1:2" hidden="1" x14ac:dyDescent="0.35">
      <c r="A39" s="3" t="s">
        <v>39</v>
      </c>
      <c r="B39" s="3"/>
    </row>
    <row r="40" spans="1:2" hidden="1" x14ac:dyDescent="0.35">
      <c r="A40" s="3" t="s">
        <v>40</v>
      </c>
      <c r="B40" s="3"/>
    </row>
    <row r="41" spans="1:2" hidden="1" x14ac:dyDescent="0.35">
      <c r="A41" s="3" t="s">
        <v>41</v>
      </c>
      <c r="B41" s="3">
        <v>2022</v>
      </c>
    </row>
    <row r="42" spans="1:2" hidden="1" x14ac:dyDescent="0.35">
      <c r="A42" s="3" t="s">
        <v>42</v>
      </c>
      <c r="B42" s="3">
        <v>2022</v>
      </c>
    </row>
    <row r="43" spans="1:2" hidden="1" x14ac:dyDescent="0.35">
      <c r="A43" s="3" t="s">
        <v>43</v>
      </c>
      <c r="B43" s="3">
        <v>2022</v>
      </c>
    </row>
    <row r="44" spans="1:2" hidden="1" x14ac:dyDescent="0.35">
      <c r="A44" s="3" t="s">
        <v>44</v>
      </c>
      <c r="B44" s="3">
        <v>2022</v>
      </c>
    </row>
    <row r="45" spans="1:2" hidden="1" x14ac:dyDescent="0.35">
      <c r="A45" s="3" t="s">
        <v>45</v>
      </c>
      <c r="B45" s="3"/>
    </row>
    <row r="46" spans="1:2" x14ac:dyDescent="0.35">
      <c r="A46" s="3" t="s">
        <v>46</v>
      </c>
      <c r="B46" s="3">
        <v>2018</v>
      </c>
    </row>
    <row r="47" spans="1:2" x14ac:dyDescent="0.35">
      <c r="A47" s="3" t="s">
        <v>47</v>
      </c>
      <c r="B47" s="3">
        <v>2018</v>
      </c>
    </row>
    <row r="48" spans="1:2" hidden="1" x14ac:dyDescent="0.35">
      <c r="A48" s="3" t="s">
        <v>48</v>
      </c>
      <c r="B48" s="3">
        <v>2022</v>
      </c>
    </row>
    <row r="49" spans="1:2" hidden="1" x14ac:dyDescent="0.35">
      <c r="A49" s="3" t="s">
        <v>49</v>
      </c>
      <c r="B49" s="3">
        <v>2022</v>
      </c>
    </row>
  </sheetData>
  <autoFilter ref="A1:B49" xr:uid="{33DAAA25-82FD-4CEE-A050-A6C1F5E68CEE}">
    <filterColumn colId="1">
      <filters>
        <filter val="2018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FE3B-C481-4AC9-B155-ADCAA0A865D9}">
  <dimension ref="A3:G8"/>
  <sheetViews>
    <sheetView topLeftCell="F1" workbookViewId="0">
      <selection activeCell="A3" sqref="A3:G8"/>
    </sheetView>
  </sheetViews>
  <sheetFormatPr defaultRowHeight="14.5" x14ac:dyDescent="0.35"/>
  <cols>
    <col min="1" max="1" width="34.26953125" bestFit="1" customWidth="1"/>
    <col min="2" max="2" width="51.7265625" bestFit="1" customWidth="1"/>
    <col min="3" max="6" width="52.90625" bestFit="1" customWidth="1"/>
    <col min="7" max="7" width="51.7265625" bestFit="1" customWidth="1"/>
  </cols>
  <sheetData>
    <row r="3" spans="1:7" x14ac:dyDescent="0.35">
      <c r="A3" s="14" t="s">
        <v>50</v>
      </c>
      <c r="B3" t="s">
        <v>112</v>
      </c>
      <c r="C3" t="s">
        <v>113</v>
      </c>
      <c r="D3" t="s">
        <v>114</v>
      </c>
      <c r="E3" t="s">
        <v>115</v>
      </c>
      <c r="F3" t="s">
        <v>117</v>
      </c>
      <c r="G3" t="s">
        <v>116</v>
      </c>
    </row>
    <row r="4" spans="1:7" x14ac:dyDescent="0.35">
      <c r="A4" s="15" t="s">
        <v>66</v>
      </c>
      <c r="B4">
        <v>1.8679111475270328E-2</v>
      </c>
      <c r="C4">
        <v>0.24613491771786639</v>
      </c>
      <c r="D4">
        <v>0.31712615934178301</v>
      </c>
      <c r="E4">
        <v>0.24329284860264971</v>
      </c>
      <c r="F4">
        <v>0.13924057054727651</v>
      </c>
      <c r="G4">
        <v>3.5526392315154053E-2</v>
      </c>
    </row>
    <row r="5" spans="1:7" x14ac:dyDescent="0.35">
      <c r="A5" s="15" t="s">
        <v>62</v>
      </c>
      <c r="B5">
        <v>3.1079803713894617E-2</v>
      </c>
      <c r="C5">
        <v>0.33653962637948021</v>
      </c>
      <c r="D5">
        <v>0.34941395631522804</v>
      </c>
      <c r="E5">
        <v>0.20169962632044125</v>
      </c>
      <c r="F5">
        <v>7.3507084647192453E-2</v>
      </c>
      <c r="G5">
        <v>7.7599026237634297E-3</v>
      </c>
    </row>
    <row r="6" spans="1:7" x14ac:dyDescent="0.35">
      <c r="A6" s="15" t="s">
        <v>68</v>
      </c>
      <c r="B6">
        <v>0.16765299086895941</v>
      </c>
      <c r="C6">
        <v>0.35339731243898659</v>
      </c>
      <c r="D6">
        <v>0.29951984150713429</v>
      </c>
      <c r="E6">
        <v>0.1336555241914486</v>
      </c>
      <c r="F6">
        <v>4.3048783589516915E-2</v>
      </c>
      <c r="G6">
        <v>2.7255474039542516E-3</v>
      </c>
    </row>
    <row r="7" spans="1:7" x14ac:dyDescent="0.35">
      <c r="A7" s="15" t="s">
        <v>111</v>
      </c>
      <c r="B7">
        <v>2.8094911126753986E-2</v>
      </c>
      <c r="C7">
        <v>0.42408199480095404</v>
      </c>
      <c r="D7">
        <v>0.32237544168541793</v>
      </c>
      <c r="E7">
        <v>0.14725787510182761</v>
      </c>
      <c r="F7">
        <v>7.3303780982837616E-2</v>
      </c>
      <c r="G7">
        <v>4.8859963022088162E-3</v>
      </c>
    </row>
    <row r="8" spans="1:7" x14ac:dyDescent="0.35">
      <c r="A8" s="15" t="s">
        <v>51</v>
      </c>
      <c r="B8">
        <v>6.872249740322027E-2</v>
      </c>
      <c r="C8">
        <v>0.33003659872079533</v>
      </c>
      <c r="D8">
        <v>0.32835360189105112</v>
      </c>
      <c r="E8">
        <v>0.18651722727907752</v>
      </c>
      <c r="F8">
        <v>7.5570523502702977E-2</v>
      </c>
      <c r="G8">
        <v>1.0799551203152747E-2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E16E-0B44-4099-976C-5F1F98B9B821}">
  <dimension ref="A1:O25"/>
  <sheetViews>
    <sheetView topLeftCell="C8" workbookViewId="0">
      <selection activeCell="I1" sqref="I1:N1"/>
    </sheetView>
  </sheetViews>
  <sheetFormatPr defaultRowHeight="14.5" x14ac:dyDescent="0.35"/>
  <sheetData>
    <row r="1" spans="1:15" ht="87" x14ac:dyDescent="0.35">
      <c r="A1" s="4" t="s">
        <v>1</v>
      </c>
      <c r="B1" s="4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6" t="s">
        <v>57</v>
      </c>
      <c r="H1" s="12" t="s">
        <v>58</v>
      </c>
      <c r="I1" s="4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6" t="s">
        <v>57</v>
      </c>
      <c r="O1" s="12" t="s">
        <v>60</v>
      </c>
    </row>
    <row r="2" spans="1:15" x14ac:dyDescent="0.35">
      <c r="A2" s="7" t="s">
        <v>111</v>
      </c>
      <c r="B2" s="4">
        <v>16244</v>
      </c>
      <c r="C2" s="5">
        <v>245197</v>
      </c>
      <c r="D2" s="5">
        <v>186392</v>
      </c>
      <c r="E2" s="5">
        <v>85142</v>
      </c>
      <c r="F2" s="5">
        <v>42383</v>
      </c>
      <c r="G2" s="6">
        <v>2825</v>
      </c>
      <c r="H2">
        <f>SUM(B2:G2)</f>
        <v>578183</v>
      </c>
      <c r="I2">
        <f>B2/H2</f>
        <v>2.8094911126753986E-2</v>
      </c>
      <c r="J2">
        <f>C2/H2</f>
        <v>0.42408199480095404</v>
      </c>
      <c r="K2">
        <f>D2/H2</f>
        <v>0.32237544168541793</v>
      </c>
      <c r="L2">
        <f>E2/H2</f>
        <v>0.14725787510182761</v>
      </c>
      <c r="M2">
        <f>F2/H2</f>
        <v>7.3303780982837616E-2</v>
      </c>
      <c r="N2">
        <f>G2/H2</f>
        <v>4.8859963022088162E-3</v>
      </c>
      <c r="O2" t="s">
        <v>111</v>
      </c>
    </row>
    <row r="3" spans="1:15" x14ac:dyDescent="0.35">
      <c r="A3" s="8" t="s">
        <v>7</v>
      </c>
      <c r="B3" s="9">
        <v>227</v>
      </c>
      <c r="C3" s="10">
        <v>2959</v>
      </c>
      <c r="D3" s="10">
        <v>2657</v>
      </c>
      <c r="E3" s="10">
        <v>1502</v>
      </c>
      <c r="F3" s="10">
        <v>646</v>
      </c>
      <c r="G3" s="11">
        <v>37</v>
      </c>
      <c r="H3">
        <f t="shared" ref="H3:H25" si="0">SUM(B3:G3)</f>
        <v>8028</v>
      </c>
      <c r="I3">
        <f t="shared" ref="I3:I25" si="1">B3/H3</f>
        <v>2.8276033881415048E-2</v>
      </c>
      <c r="J3">
        <f t="shared" ref="J3:J25" si="2">C3/H3</f>
        <v>0.36858495266567015</v>
      </c>
      <c r="K3">
        <f t="shared" ref="K3:K25" si="3">D3/H3</f>
        <v>0.33096661684105633</v>
      </c>
      <c r="L3">
        <f t="shared" ref="L3:L25" si="4">E3/H3</f>
        <v>0.18709516691579473</v>
      </c>
      <c r="M3">
        <f t="shared" ref="M3:M25" si="5">F3/H3</f>
        <v>8.0468360737419031E-2</v>
      </c>
      <c r="N3">
        <f t="shared" ref="N3:N25" si="6">G3/H3</f>
        <v>4.6088689586447438E-3</v>
      </c>
      <c r="O3" t="str">
        <f>VLOOKUP(A3,Income!A$2:D$49,4,FALSE)</f>
        <v>High/Upper-Middle-Income Economies </v>
      </c>
    </row>
    <row r="4" spans="1:15" x14ac:dyDescent="0.35">
      <c r="A4" s="8" t="s">
        <v>9</v>
      </c>
      <c r="B4" s="9">
        <v>35</v>
      </c>
      <c r="C4" s="10">
        <v>3771</v>
      </c>
      <c r="D4" s="10">
        <v>6788</v>
      </c>
      <c r="E4" s="10">
        <v>3016</v>
      </c>
      <c r="F4" s="10">
        <v>1366</v>
      </c>
      <c r="G4" s="11">
        <v>3</v>
      </c>
      <c r="H4">
        <f t="shared" si="0"/>
        <v>14979</v>
      </c>
      <c r="I4">
        <f t="shared" si="1"/>
        <v>2.3366045797449764E-3</v>
      </c>
      <c r="J4">
        <f t="shared" si="2"/>
        <v>0.25175245343480873</v>
      </c>
      <c r="K4">
        <f t="shared" si="3"/>
        <v>0.45316776820882571</v>
      </c>
      <c r="L4">
        <f t="shared" si="4"/>
        <v>0.20134855464316709</v>
      </c>
      <c r="M4">
        <f t="shared" si="5"/>
        <v>9.1194338740903935E-2</v>
      </c>
      <c r="N4">
        <f t="shared" si="6"/>
        <v>2.002803925495694E-4</v>
      </c>
      <c r="O4" t="str">
        <f>VLOOKUP(A4,Income!A$2:D$49,4,FALSE)</f>
        <v>Lower-Middle-Income Economies</v>
      </c>
    </row>
    <row r="5" spans="1:15" x14ac:dyDescent="0.35">
      <c r="A5" s="8" t="s">
        <v>10</v>
      </c>
      <c r="B5" s="9">
        <v>296</v>
      </c>
      <c r="C5" s="10">
        <v>6515</v>
      </c>
      <c r="D5" s="10">
        <v>6221</v>
      </c>
      <c r="E5" s="10">
        <v>2896</v>
      </c>
      <c r="F5" s="10">
        <v>521</v>
      </c>
      <c r="G5" s="11">
        <v>19</v>
      </c>
      <c r="H5">
        <f t="shared" si="0"/>
        <v>16468</v>
      </c>
      <c r="I5">
        <f t="shared" si="1"/>
        <v>1.7974253096915228E-2</v>
      </c>
      <c r="J5">
        <f t="shared" si="2"/>
        <v>0.39561573961622543</v>
      </c>
      <c r="K5">
        <f t="shared" si="3"/>
        <v>0.37776293417537044</v>
      </c>
      <c r="L5">
        <f t="shared" si="4"/>
        <v>0.17585620597522467</v>
      </c>
      <c r="M5">
        <f t="shared" si="5"/>
        <v>3.1637114403692011E-2</v>
      </c>
      <c r="N5">
        <f t="shared" si="6"/>
        <v>1.1537527325722614E-3</v>
      </c>
      <c r="O5" t="str">
        <f>VLOOKUP(A5,Income!A$2:D$49,4,FALSE)</f>
        <v>Lower-Middle-Income Economies</v>
      </c>
    </row>
    <row r="6" spans="1:15" x14ac:dyDescent="0.35">
      <c r="A6" s="8" t="s">
        <v>12</v>
      </c>
      <c r="B6" s="9">
        <v>75</v>
      </c>
      <c r="C6" s="10">
        <v>710</v>
      </c>
      <c r="D6" s="10">
        <v>2588</v>
      </c>
      <c r="E6" s="10">
        <v>1522</v>
      </c>
      <c r="F6" s="10">
        <v>675</v>
      </c>
      <c r="G6" s="11">
        <v>3</v>
      </c>
      <c r="H6">
        <f t="shared" si="0"/>
        <v>5573</v>
      </c>
      <c r="I6">
        <f t="shared" si="1"/>
        <v>1.3457742687959805E-2</v>
      </c>
      <c r="J6">
        <f t="shared" si="2"/>
        <v>0.12739996411268617</v>
      </c>
      <c r="K6">
        <f t="shared" si="3"/>
        <v>0.46438184101919971</v>
      </c>
      <c r="L6">
        <f t="shared" si="4"/>
        <v>0.27310245828099766</v>
      </c>
      <c r="M6">
        <f t="shared" si="5"/>
        <v>0.12111968419163825</v>
      </c>
      <c r="N6">
        <f t="shared" si="6"/>
        <v>5.3830970751839223E-4</v>
      </c>
      <c r="O6" t="str">
        <f>VLOOKUP(A6,Income!A$2:D$49,4,FALSE)</f>
        <v>Lower-Middle-Income Economies</v>
      </c>
    </row>
    <row r="7" spans="1:15" x14ac:dyDescent="0.35">
      <c r="A7" s="8" t="s">
        <v>14</v>
      </c>
      <c r="B7" s="9">
        <v>0</v>
      </c>
      <c r="C7" s="10">
        <v>253</v>
      </c>
      <c r="D7" s="10">
        <v>249</v>
      </c>
      <c r="E7" s="10">
        <v>262</v>
      </c>
      <c r="F7" s="10">
        <v>128</v>
      </c>
      <c r="G7" s="11">
        <v>49</v>
      </c>
      <c r="H7">
        <f t="shared" si="0"/>
        <v>941</v>
      </c>
      <c r="I7">
        <f t="shared" si="1"/>
        <v>0</v>
      </c>
      <c r="J7">
        <f t="shared" si="2"/>
        <v>0.26886291179596172</v>
      </c>
      <c r="K7">
        <f t="shared" si="3"/>
        <v>0.26461211477151964</v>
      </c>
      <c r="L7">
        <f t="shared" si="4"/>
        <v>0.27842720510095642</v>
      </c>
      <c r="M7">
        <f t="shared" si="5"/>
        <v>0.13602550478214664</v>
      </c>
      <c r="N7">
        <f t="shared" si="6"/>
        <v>5.2072263549415514E-2</v>
      </c>
      <c r="O7" t="str">
        <f>VLOOKUP(A7,Income!A$2:D$49,4,FALSE)</f>
        <v>Lower-Middle-Income Economies</v>
      </c>
    </row>
    <row r="8" spans="1:15" x14ac:dyDescent="0.35">
      <c r="A8" s="8" t="s">
        <v>16</v>
      </c>
      <c r="B8" s="9">
        <v>859</v>
      </c>
      <c r="C8" s="10">
        <v>2083</v>
      </c>
      <c r="D8" s="10">
        <v>940</v>
      </c>
      <c r="E8" s="10">
        <v>916</v>
      </c>
      <c r="F8" s="10">
        <v>209</v>
      </c>
      <c r="G8" s="11"/>
      <c r="H8">
        <f t="shared" si="0"/>
        <v>5007</v>
      </c>
      <c r="I8">
        <f t="shared" si="1"/>
        <v>0.17155981625723987</v>
      </c>
      <c r="J8">
        <f t="shared" si="2"/>
        <v>0.41601757539444778</v>
      </c>
      <c r="K8">
        <f t="shared" si="3"/>
        <v>0.18773716796484921</v>
      </c>
      <c r="L8">
        <f t="shared" si="4"/>
        <v>0.18294387857000199</v>
      </c>
      <c r="M8">
        <f t="shared" si="5"/>
        <v>4.1741561813461156E-2</v>
      </c>
      <c r="N8">
        <f t="shared" si="6"/>
        <v>0</v>
      </c>
      <c r="O8" t="str">
        <f>VLOOKUP(A8,Income!A$2:D$49,4,FALSE)</f>
        <v>Low-Income Economies</v>
      </c>
    </row>
    <row r="9" spans="1:15" x14ac:dyDescent="0.35">
      <c r="A9" s="8" t="s">
        <v>18</v>
      </c>
      <c r="B9" s="9">
        <v>0</v>
      </c>
      <c r="C9" s="10">
        <v>615</v>
      </c>
      <c r="D9" s="10">
        <v>1660</v>
      </c>
      <c r="E9" s="10">
        <v>1532</v>
      </c>
      <c r="F9" s="10">
        <v>470</v>
      </c>
      <c r="G9" s="11">
        <v>0</v>
      </c>
      <c r="H9">
        <f t="shared" si="0"/>
        <v>4277</v>
      </c>
      <c r="I9">
        <f t="shared" si="1"/>
        <v>0</v>
      </c>
      <c r="J9">
        <f t="shared" si="2"/>
        <v>0.14379237783493104</v>
      </c>
      <c r="K9">
        <f t="shared" si="3"/>
        <v>0.38812251578209023</v>
      </c>
      <c r="L9">
        <f t="shared" si="4"/>
        <v>0.35819499649286884</v>
      </c>
      <c r="M9">
        <f t="shared" si="5"/>
        <v>0.10989010989010989</v>
      </c>
      <c r="N9">
        <f t="shared" si="6"/>
        <v>0</v>
      </c>
      <c r="O9" t="str">
        <f>VLOOKUP(A9,Income!A$2:D$49,4,FALSE)</f>
        <v>High/Upper-Middle-Income Economies </v>
      </c>
    </row>
    <row r="10" spans="1:15" x14ac:dyDescent="0.35">
      <c r="A10" s="8" t="s">
        <v>19</v>
      </c>
      <c r="B10" s="9">
        <v>39</v>
      </c>
      <c r="C10" s="10">
        <v>66582</v>
      </c>
      <c r="D10" s="10">
        <v>30701</v>
      </c>
      <c r="E10" s="10">
        <v>1561</v>
      </c>
      <c r="F10" s="10">
        <v>790</v>
      </c>
      <c r="G10" s="11">
        <v>0</v>
      </c>
      <c r="H10">
        <f t="shared" si="0"/>
        <v>99673</v>
      </c>
      <c r="I10">
        <f t="shared" si="1"/>
        <v>3.9127948391239352E-4</v>
      </c>
      <c r="J10">
        <f t="shared" si="2"/>
        <v>0.66800437430397397</v>
      </c>
      <c r="K10">
        <f t="shared" si="3"/>
        <v>0.30801721629729212</v>
      </c>
      <c r="L10">
        <f t="shared" si="4"/>
        <v>1.5661212163775546E-2</v>
      </c>
      <c r="M10">
        <f t="shared" si="5"/>
        <v>7.925917751045921E-3</v>
      </c>
      <c r="N10">
        <f t="shared" si="6"/>
        <v>0</v>
      </c>
      <c r="O10" t="str">
        <f>VLOOKUP(A10,Income!A$2:D$49,4,FALSE)</f>
        <v>Lower-Middle-Income Economies</v>
      </c>
    </row>
    <row r="11" spans="1:15" x14ac:dyDescent="0.35">
      <c r="A11" s="8" t="s">
        <v>22</v>
      </c>
      <c r="B11" s="9">
        <v>0</v>
      </c>
      <c r="C11" s="10">
        <v>659</v>
      </c>
      <c r="D11" s="10">
        <v>863</v>
      </c>
      <c r="E11" s="10">
        <v>209</v>
      </c>
      <c r="F11" s="10">
        <v>134</v>
      </c>
      <c r="G11" s="11">
        <v>14</v>
      </c>
      <c r="H11">
        <f t="shared" si="0"/>
        <v>1879</v>
      </c>
      <c r="I11">
        <f t="shared" si="1"/>
        <v>0</v>
      </c>
      <c r="J11">
        <f t="shared" si="2"/>
        <v>0.35071846726982436</v>
      </c>
      <c r="K11">
        <f t="shared" si="3"/>
        <v>0.45928685470995212</v>
      </c>
      <c r="L11">
        <f t="shared" si="4"/>
        <v>0.11122937732836616</v>
      </c>
      <c r="M11">
        <f t="shared" si="5"/>
        <v>7.1314529004789781E-2</v>
      </c>
      <c r="N11">
        <f t="shared" si="6"/>
        <v>7.4507716870675887E-3</v>
      </c>
      <c r="O11" t="str">
        <f>VLOOKUP(A11,Income!A$2:D$49,4,FALSE)</f>
        <v>Low-Income Economies</v>
      </c>
    </row>
    <row r="12" spans="1:15" x14ac:dyDescent="0.35">
      <c r="A12" s="8" t="s">
        <v>24</v>
      </c>
      <c r="B12" s="9">
        <v>375</v>
      </c>
      <c r="C12" s="10">
        <v>11055</v>
      </c>
      <c r="D12" s="10">
        <v>12233</v>
      </c>
      <c r="E12" s="10">
        <v>8664</v>
      </c>
      <c r="F12" s="10">
        <v>3678</v>
      </c>
      <c r="G12" s="11">
        <v>57</v>
      </c>
      <c r="H12">
        <f t="shared" si="0"/>
        <v>36062</v>
      </c>
      <c r="I12">
        <f t="shared" si="1"/>
        <v>1.0398757695080694E-2</v>
      </c>
      <c r="J12">
        <f t="shared" si="2"/>
        <v>0.30655537685097889</v>
      </c>
      <c r="K12">
        <f t="shared" si="3"/>
        <v>0.33922134102379237</v>
      </c>
      <c r="L12">
        <f t="shared" si="4"/>
        <v>0.24025289778714437</v>
      </c>
      <c r="M12">
        <f t="shared" si="5"/>
        <v>0.10199101547335145</v>
      </c>
      <c r="N12">
        <f t="shared" si="6"/>
        <v>1.5806111696522655E-3</v>
      </c>
      <c r="O12" t="str">
        <f>VLOOKUP(A12,Income!A$2:D$49,4,FALSE)</f>
        <v>Lower-Middle-Income Economies</v>
      </c>
    </row>
    <row r="13" spans="1:15" x14ac:dyDescent="0.35">
      <c r="A13" s="8" t="s">
        <v>32</v>
      </c>
      <c r="B13" s="9">
        <v>310</v>
      </c>
      <c r="C13" s="10">
        <v>4736</v>
      </c>
      <c r="D13" s="10">
        <v>2722</v>
      </c>
      <c r="E13" s="10">
        <v>1613</v>
      </c>
      <c r="F13" s="10">
        <v>211</v>
      </c>
      <c r="G13" s="11"/>
      <c r="H13">
        <f t="shared" si="0"/>
        <v>9592</v>
      </c>
      <c r="I13">
        <f t="shared" si="1"/>
        <v>3.2318598832360303E-2</v>
      </c>
      <c r="J13">
        <f t="shared" si="2"/>
        <v>0.493744787322769</v>
      </c>
      <c r="K13">
        <f t="shared" si="3"/>
        <v>0.28377814845704752</v>
      </c>
      <c r="L13">
        <f t="shared" si="4"/>
        <v>0.16816096747289408</v>
      </c>
      <c r="M13">
        <f t="shared" si="5"/>
        <v>2.1997497914929106E-2</v>
      </c>
      <c r="N13">
        <f t="shared" si="6"/>
        <v>0</v>
      </c>
      <c r="O13" t="str">
        <f>VLOOKUP(A13,Income!A$2:D$49,4,FALSE)</f>
        <v>Low-Income Economies</v>
      </c>
    </row>
    <row r="14" spans="1:15" x14ac:dyDescent="0.35">
      <c r="A14" s="8" t="s">
        <v>35</v>
      </c>
      <c r="B14" s="9">
        <v>9026</v>
      </c>
      <c r="C14" s="10">
        <v>106455</v>
      </c>
      <c r="D14" s="10">
        <v>89987</v>
      </c>
      <c r="E14" s="10">
        <v>52923</v>
      </c>
      <c r="F14" s="10">
        <v>31760</v>
      </c>
      <c r="G14" s="11">
        <v>2353</v>
      </c>
      <c r="H14">
        <f t="shared" si="0"/>
        <v>292504</v>
      </c>
      <c r="I14">
        <f t="shared" si="1"/>
        <v>3.085769767251046E-2</v>
      </c>
      <c r="J14">
        <f t="shared" si="2"/>
        <v>0.36394374094029486</v>
      </c>
      <c r="K14">
        <f t="shared" si="3"/>
        <v>0.30764365615512951</v>
      </c>
      <c r="L14">
        <f t="shared" si="4"/>
        <v>0.18093085906517517</v>
      </c>
      <c r="M14">
        <f t="shared" si="5"/>
        <v>0.10857971173043787</v>
      </c>
      <c r="N14">
        <f t="shared" si="6"/>
        <v>8.0443344364521507E-3</v>
      </c>
      <c r="O14" t="str">
        <f>VLOOKUP(A14,Income!A$2:D$49,4,FALSE)</f>
        <v>Lower-Middle-Income Economies</v>
      </c>
    </row>
    <row r="15" spans="1:15" x14ac:dyDescent="0.35">
      <c r="A15" s="8" t="s">
        <v>37</v>
      </c>
      <c r="B15" s="9">
        <v>15</v>
      </c>
      <c r="C15" s="10">
        <v>1113</v>
      </c>
      <c r="D15" s="10">
        <v>2668</v>
      </c>
      <c r="E15" s="10">
        <v>709</v>
      </c>
      <c r="F15" s="10">
        <v>203</v>
      </c>
      <c r="G15" s="11">
        <v>29</v>
      </c>
      <c r="H15">
        <f t="shared" si="0"/>
        <v>4737</v>
      </c>
      <c r="I15">
        <f t="shared" si="1"/>
        <v>3.1665611146295125E-3</v>
      </c>
      <c r="J15">
        <f t="shared" si="2"/>
        <v>0.23495883470550982</v>
      </c>
      <c r="K15">
        <f t="shared" si="3"/>
        <v>0.56322567025543591</v>
      </c>
      <c r="L15">
        <f t="shared" si="4"/>
        <v>0.14967278868482162</v>
      </c>
      <c r="M15">
        <f t="shared" si="5"/>
        <v>4.2854127084652735E-2</v>
      </c>
      <c r="N15">
        <f t="shared" si="6"/>
        <v>6.122018154950391E-3</v>
      </c>
      <c r="O15" t="str">
        <f>VLOOKUP(A15,Income!A$2:D$49,4,FALSE)</f>
        <v>Lower-Middle-Income Economies</v>
      </c>
    </row>
    <row r="16" spans="1:15" x14ac:dyDescent="0.35">
      <c r="A16" s="8" t="s">
        <v>41</v>
      </c>
      <c r="B16" s="9">
        <v>156</v>
      </c>
      <c r="C16" s="10">
        <v>2150</v>
      </c>
      <c r="D16" s="10">
        <v>1684</v>
      </c>
      <c r="E16" s="10">
        <v>1016</v>
      </c>
      <c r="F16" s="10">
        <v>478</v>
      </c>
      <c r="G16" s="11">
        <v>34</v>
      </c>
      <c r="H16">
        <f t="shared" si="0"/>
        <v>5518</v>
      </c>
      <c r="I16">
        <f t="shared" si="1"/>
        <v>2.8271112722000724E-2</v>
      </c>
      <c r="J16">
        <f t="shared" si="2"/>
        <v>0.38963392533526642</v>
      </c>
      <c r="K16">
        <f t="shared" si="3"/>
        <v>0.30518303733236679</v>
      </c>
      <c r="L16">
        <f t="shared" si="4"/>
        <v>0.18412468285610728</v>
      </c>
      <c r="M16">
        <f t="shared" si="5"/>
        <v>8.6625588981515039E-2</v>
      </c>
      <c r="N16">
        <f t="shared" si="6"/>
        <v>6.1616527727437476E-3</v>
      </c>
      <c r="O16" t="str">
        <f>VLOOKUP(A16,Income!A$2:D$49,4,FALSE)</f>
        <v>Lower-Middle-Income Economies</v>
      </c>
    </row>
    <row r="17" spans="1:15" x14ac:dyDescent="0.35">
      <c r="A17" s="8" t="s">
        <v>42</v>
      </c>
      <c r="B17" s="9">
        <v>42</v>
      </c>
      <c r="C17" s="10">
        <v>256</v>
      </c>
      <c r="D17" s="10">
        <v>239</v>
      </c>
      <c r="E17" s="10">
        <v>162</v>
      </c>
      <c r="F17" s="10">
        <v>168</v>
      </c>
      <c r="G17" s="11">
        <v>80</v>
      </c>
      <c r="H17">
        <f t="shared" si="0"/>
        <v>947</v>
      </c>
      <c r="I17">
        <f t="shared" si="1"/>
        <v>4.4350580781414996E-2</v>
      </c>
      <c r="J17">
        <f t="shared" si="2"/>
        <v>0.27032734952481519</v>
      </c>
      <c r="K17">
        <f t="shared" si="3"/>
        <v>0.25237592397043296</v>
      </c>
      <c r="L17">
        <f t="shared" si="4"/>
        <v>0.17106652587117213</v>
      </c>
      <c r="M17">
        <f t="shared" si="5"/>
        <v>0.17740232312565998</v>
      </c>
      <c r="N17">
        <f t="shared" si="6"/>
        <v>8.4477296726504753E-2</v>
      </c>
      <c r="O17" t="str">
        <f>VLOOKUP(A17,Income!A$2:D$49,4,FALSE)</f>
        <v>High/Upper-Middle-Income Economies </v>
      </c>
    </row>
    <row r="18" spans="1:15" x14ac:dyDescent="0.35">
      <c r="A18" s="8" t="s">
        <v>43</v>
      </c>
      <c r="B18" s="9">
        <v>123</v>
      </c>
      <c r="C18" s="10">
        <v>1494</v>
      </c>
      <c r="D18" s="10">
        <v>1044</v>
      </c>
      <c r="E18" s="10">
        <v>491</v>
      </c>
      <c r="F18" s="10">
        <v>215</v>
      </c>
      <c r="G18" s="11">
        <v>0</v>
      </c>
      <c r="H18">
        <f t="shared" si="0"/>
        <v>3367</v>
      </c>
      <c r="I18">
        <f t="shared" si="1"/>
        <v>3.653103653103653E-2</v>
      </c>
      <c r="J18">
        <f t="shared" si="2"/>
        <v>0.44371844371844371</v>
      </c>
      <c r="K18">
        <f t="shared" si="3"/>
        <v>0.31006831006831009</v>
      </c>
      <c r="L18">
        <f t="shared" si="4"/>
        <v>0.14582714582714582</v>
      </c>
      <c r="M18">
        <f t="shared" si="5"/>
        <v>6.3855063855063857E-2</v>
      </c>
      <c r="N18">
        <f t="shared" si="6"/>
        <v>0</v>
      </c>
      <c r="O18" t="str">
        <f>VLOOKUP(A18,Income!A$2:D$49,4,FALSE)</f>
        <v>Low-Income Economies</v>
      </c>
    </row>
    <row r="19" spans="1:15" x14ac:dyDescent="0.35">
      <c r="A19" s="8" t="s">
        <v>44</v>
      </c>
      <c r="B19" s="9">
        <v>121</v>
      </c>
      <c r="C19" s="10">
        <v>987</v>
      </c>
      <c r="D19" s="10">
        <v>1001</v>
      </c>
      <c r="E19" s="10">
        <v>411</v>
      </c>
      <c r="F19" s="10">
        <v>146</v>
      </c>
      <c r="G19" s="11">
        <v>4</v>
      </c>
      <c r="H19">
        <f t="shared" si="0"/>
        <v>2670</v>
      </c>
      <c r="I19">
        <f t="shared" si="1"/>
        <v>4.5318352059925092E-2</v>
      </c>
      <c r="J19">
        <f t="shared" si="2"/>
        <v>0.36966292134831463</v>
      </c>
      <c r="K19">
        <f t="shared" si="3"/>
        <v>0.37490636704119851</v>
      </c>
      <c r="L19">
        <f t="shared" si="4"/>
        <v>0.15393258426966291</v>
      </c>
      <c r="M19">
        <f t="shared" si="5"/>
        <v>5.4681647940074907E-2</v>
      </c>
      <c r="N19">
        <f t="shared" si="6"/>
        <v>1.4981273408239701E-3</v>
      </c>
      <c r="O19" t="str">
        <f>VLOOKUP(A19,Income!A$2:D$49,4,FALSE)</f>
        <v>Low-Income Economies</v>
      </c>
    </row>
    <row r="20" spans="1:15" x14ac:dyDescent="0.35">
      <c r="A20" s="8" t="s">
        <v>48</v>
      </c>
      <c r="B20" s="9">
        <v>4545</v>
      </c>
      <c r="C20" s="10">
        <v>19288</v>
      </c>
      <c r="D20" s="10">
        <v>7021</v>
      </c>
      <c r="E20" s="10">
        <v>2197</v>
      </c>
      <c r="F20" s="10">
        <v>585</v>
      </c>
      <c r="G20" s="11">
        <v>143</v>
      </c>
      <c r="H20">
        <f t="shared" si="0"/>
        <v>33779</v>
      </c>
      <c r="I20">
        <f t="shared" si="1"/>
        <v>0.13455105242902396</v>
      </c>
      <c r="J20">
        <f t="shared" si="2"/>
        <v>0.57100565440066309</v>
      </c>
      <c r="K20">
        <f t="shared" si="3"/>
        <v>0.2078510317060896</v>
      </c>
      <c r="L20">
        <f t="shared" si="4"/>
        <v>6.5040409722016634E-2</v>
      </c>
      <c r="M20">
        <f t="shared" si="5"/>
        <v>1.7318452292844667E-2</v>
      </c>
      <c r="N20">
        <f t="shared" si="6"/>
        <v>4.2333994493620299E-3</v>
      </c>
      <c r="O20" t="str">
        <f>VLOOKUP(A20,Income!A$2:D$49,4,FALSE)</f>
        <v>Lower-Middle-Income Economies</v>
      </c>
    </row>
    <row r="21" spans="1:15" x14ac:dyDescent="0.35">
      <c r="A21" s="8" t="s">
        <v>5</v>
      </c>
      <c r="B21" s="9">
        <v>206</v>
      </c>
      <c r="C21" s="10">
        <v>876</v>
      </c>
      <c r="D21" s="10">
        <v>2422</v>
      </c>
      <c r="E21" s="10">
        <v>1649</v>
      </c>
      <c r="F21" s="10">
        <v>289</v>
      </c>
      <c r="G21" s="11">
        <v>42</v>
      </c>
      <c r="H21">
        <f t="shared" si="0"/>
        <v>5484</v>
      </c>
      <c r="I21">
        <f t="shared" si="1"/>
        <v>3.7563822027716992E-2</v>
      </c>
      <c r="J21">
        <f t="shared" si="2"/>
        <v>0.15973741794310722</v>
      </c>
      <c r="K21">
        <f t="shared" si="3"/>
        <v>0.44164843180160468</v>
      </c>
      <c r="L21">
        <f t="shared" si="4"/>
        <v>0.30069292487235594</v>
      </c>
      <c r="M21">
        <f t="shared" si="5"/>
        <v>5.2698760029175784E-2</v>
      </c>
      <c r="N21">
        <f t="shared" si="6"/>
        <v>7.658643326039387E-3</v>
      </c>
      <c r="O21" t="str">
        <f>VLOOKUP(A21,Income!A$2:D$49,4,FALSE)</f>
        <v>Lower-Middle-Income Economies</v>
      </c>
    </row>
    <row r="22" spans="1:15" x14ac:dyDescent="0.35">
      <c r="A22" s="8" t="s">
        <v>4</v>
      </c>
      <c r="B22" s="9">
        <v>17</v>
      </c>
      <c r="C22" s="10">
        <v>2407</v>
      </c>
      <c r="D22" s="10">
        <v>3522</v>
      </c>
      <c r="E22" s="10">
        <v>1236</v>
      </c>
      <c r="F22" s="10">
        <v>292</v>
      </c>
      <c r="G22" s="11">
        <v>44</v>
      </c>
      <c r="H22">
        <f t="shared" si="0"/>
        <v>7518</v>
      </c>
      <c r="I22">
        <f t="shared" si="1"/>
        <v>2.261239691407289E-3</v>
      </c>
      <c r="J22">
        <f t="shared" si="2"/>
        <v>0.32016493748337321</v>
      </c>
      <c r="K22">
        <f t="shared" si="3"/>
        <v>0.4684756584197925</v>
      </c>
      <c r="L22">
        <f t="shared" si="4"/>
        <v>0.16440542697525937</v>
      </c>
      <c r="M22">
        <f t="shared" si="5"/>
        <v>3.8840117052407558E-2</v>
      </c>
      <c r="N22">
        <f t="shared" si="6"/>
        <v>5.8526203777600422E-3</v>
      </c>
      <c r="O22" t="str">
        <f>VLOOKUP(A22,Income!A$2:D$49,4,FALSE)</f>
        <v>Low-Income Economies</v>
      </c>
    </row>
    <row r="23" spans="1:15" x14ac:dyDescent="0.35">
      <c r="A23" s="8" t="s">
        <v>15</v>
      </c>
      <c r="B23" s="9">
        <v>5302</v>
      </c>
      <c r="C23" s="10">
        <v>16980</v>
      </c>
      <c r="D23" s="10">
        <v>9040</v>
      </c>
      <c r="E23" s="10">
        <v>20042</v>
      </c>
      <c r="F23" s="10">
        <v>4745</v>
      </c>
      <c r="G23" s="11">
        <v>302</v>
      </c>
      <c r="H23">
        <f t="shared" si="0"/>
        <v>56411</v>
      </c>
      <c r="I23">
        <f t="shared" si="1"/>
        <v>9.3988761057240605E-2</v>
      </c>
      <c r="J23">
        <f t="shared" si="2"/>
        <v>0.30100512311428623</v>
      </c>
      <c r="K23">
        <f t="shared" si="3"/>
        <v>0.16025243303610998</v>
      </c>
      <c r="L23">
        <f t="shared" si="4"/>
        <v>0.35528531669355268</v>
      </c>
      <c r="M23">
        <f t="shared" si="5"/>
        <v>8.4114800304905077E-2</v>
      </c>
      <c r="N23">
        <f t="shared" si="6"/>
        <v>5.3535657939054442E-3</v>
      </c>
      <c r="O23" t="str">
        <f>VLOOKUP(A23,Income!A$2:D$49,4,FALSE)</f>
        <v>Lower-Middle-Income Economies</v>
      </c>
    </row>
    <row r="24" spans="1:15" s="12" customFormat="1" x14ac:dyDescent="0.35">
      <c r="A24" s="8" t="s">
        <v>46</v>
      </c>
      <c r="B24" s="9">
        <v>9938</v>
      </c>
      <c r="C24" s="10">
        <v>895</v>
      </c>
      <c r="D24" s="10">
        <v>139</v>
      </c>
      <c r="E24" s="10">
        <v>102</v>
      </c>
      <c r="F24" s="10">
        <v>100</v>
      </c>
      <c r="G24" s="11">
        <v>48</v>
      </c>
      <c r="H24">
        <f t="shared" si="0"/>
        <v>11222</v>
      </c>
      <c r="I24">
        <f t="shared" si="1"/>
        <v>0.88558189271074672</v>
      </c>
      <c r="J24">
        <f t="shared" si="2"/>
        <v>7.9754054535733379E-2</v>
      </c>
      <c r="K24">
        <f t="shared" si="3"/>
        <v>1.2386383888789878E-2</v>
      </c>
      <c r="L24">
        <f t="shared" si="4"/>
        <v>9.0892888968098374E-3</v>
      </c>
      <c r="M24">
        <f t="shared" si="5"/>
        <v>8.9110675458919982E-3</v>
      </c>
      <c r="N24">
        <f t="shared" si="6"/>
        <v>4.2773124220281591E-3</v>
      </c>
      <c r="O24" t="str">
        <f>VLOOKUP(A24,Income!A$2:D$49,4,FALSE)</f>
        <v>Low-Income Economies</v>
      </c>
    </row>
    <row r="25" spans="1:15" s="12" customFormat="1" x14ac:dyDescent="0.35">
      <c r="A25" s="8" t="s">
        <v>47</v>
      </c>
      <c r="B25" s="9">
        <v>597</v>
      </c>
      <c r="C25" s="10">
        <v>57658</v>
      </c>
      <c r="D25" s="10">
        <v>84855</v>
      </c>
      <c r="E25" s="10">
        <v>73364</v>
      </c>
      <c r="F25" s="10">
        <v>54049</v>
      </c>
      <c r="G25" s="11">
        <v>15146</v>
      </c>
      <c r="H25">
        <f t="shared" si="0"/>
        <v>285669</v>
      </c>
      <c r="I25">
        <f t="shared" si="1"/>
        <v>2.0898312382512628E-3</v>
      </c>
      <c r="J25">
        <f t="shared" si="2"/>
        <v>0.20183499084604911</v>
      </c>
      <c r="K25">
        <f t="shared" si="3"/>
        <v>0.29703958077355258</v>
      </c>
      <c r="L25">
        <f t="shared" si="4"/>
        <v>0.25681470513076321</v>
      </c>
      <c r="M25">
        <f t="shared" si="5"/>
        <v>0.18920148843591708</v>
      </c>
      <c r="N25">
        <f t="shared" si="6"/>
        <v>5.3019403575466709E-2</v>
      </c>
      <c r="O25" t="str">
        <f>VLOOKUP(A25,Income!A$2:D$49,4,FALSE)</f>
        <v>High/Upper-Middle-Income Economies 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3604-A971-404A-A174-4A046D0329CB}">
  <dimension ref="A1:G67"/>
  <sheetViews>
    <sheetView topLeftCell="A57" workbookViewId="0">
      <selection activeCell="B66" sqref="B66:G66"/>
    </sheetView>
  </sheetViews>
  <sheetFormatPr defaultRowHeight="14.5" x14ac:dyDescent="0.35"/>
  <cols>
    <col min="1" max="1" width="34.26953125" bestFit="1" customWidth="1"/>
  </cols>
  <sheetData>
    <row r="1" spans="1:4" ht="29" x14ac:dyDescent="0.35">
      <c r="A1" s="13" t="s">
        <v>59</v>
      </c>
      <c r="B1" s="13" t="s">
        <v>1</v>
      </c>
      <c r="C1" s="13" t="s">
        <v>59</v>
      </c>
      <c r="D1" s="13" t="s">
        <v>60</v>
      </c>
    </row>
    <row r="2" spans="1:4" x14ac:dyDescent="0.35">
      <c r="A2" t="s">
        <v>15</v>
      </c>
      <c r="B2" t="s">
        <v>61</v>
      </c>
      <c r="C2" t="s">
        <v>15</v>
      </c>
      <c r="D2" t="s">
        <v>62</v>
      </c>
    </row>
    <row r="3" spans="1:4" x14ac:dyDescent="0.35">
      <c r="A3" t="s">
        <v>3</v>
      </c>
      <c r="B3" t="s">
        <v>63</v>
      </c>
      <c r="C3" t="s">
        <v>3</v>
      </c>
      <c r="D3" t="s">
        <v>62</v>
      </c>
    </row>
    <row r="4" spans="1:4" x14ac:dyDescent="0.35">
      <c r="A4" t="s">
        <v>5</v>
      </c>
      <c r="B4" t="s">
        <v>64</v>
      </c>
      <c r="C4" t="s">
        <v>5</v>
      </c>
      <c r="D4" t="s">
        <v>62</v>
      </c>
    </row>
    <row r="5" spans="1:4" x14ac:dyDescent="0.35">
      <c r="A5" t="s">
        <v>7</v>
      </c>
      <c r="B5" t="s">
        <v>65</v>
      </c>
      <c r="C5" t="s">
        <v>7</v>
      </c>
      <c r="D5" t="s">
        <v>66</v>
      </c>
    </row>
    <row r="6" spans="1:4" x14ac:dyDescent="0.35">
      <c r="A6" t="s">
        <v>6</v>
      </c>
      <c r="B6" t="s">
        <v>67</v>
      </c>
      <c r="C6" t="s">
        <v>6</v>
      </c>
      <c r="D6" t="s">
        <v>68</v>
      </c>
    </row>
    <row r="7" spans="1:4" x14ac:dyDescent="0.35">
      <c r="A7" t="s">
        <v>4</v>
      </c>
      <c r="B7" t="s">
        <v>69</v>
      </c>
      <c r="C7" t="s">
        <v>4</v>
      </c>
      <c r="D7" t="s">
        <v>68</v>
      </c>
    </row>
    <row r="8" spans="1:4" x14ac:dyDescent="0.35">
      <c r="A8" t="s">
        <v>10</v>
      </c>
      <c r="B8" t="s">
        <v>70</v>
      </c>
      <c r="C8" t="s">
        <v>10</v>
      </c>
      <c r="D8" t="s">
        <v>62</v>
      </c>
    </row>
    <row r="9" spans="1:4" x14ac:dyDescent="0.35">
      <c r="A9" t="s">
        <v>14</v>
      </c>
      <c r="B9" t="s">
        <v>71</v>
      </c>
      <c r="C9" t="s">
        <v>14</v>
      </c>
      <c r="D9" t="s">
        <v>62</v>
      </c>
    </row>
    <row r="10" spans="1:4" x14ac:dyDescent="0.35">
      <c r="A10" t="s">
        <v>8</v>
      </c>
      <c r="B10" t="s">
        <v>72</v>
      </c>
      <c r="C10" t="s">
        <v>8</v>
      </c>
      <c r="D10" t="s">
        <v>68</v>
      </c>
    </row>
    <row r="11" spans="1:4" x14ac:dyDescent="0.35">
      <c r="A11" t="s">
        <v>43</v>
      </c>
      <c r="B11" t="s">
        <v>73</v>
      </c>
      <c r="C11" t="s">
        <v>43</v>
      </c>
      <c r="D11" t="s">
        <v>68</v>
      </c>
    </row>
    <row r="12" spans="1:4" x14ac:dyDescent="0.35">
      <c r="A12" t="s">
        <v>13</v>
      </c>
      <c r="B12" t="s">
        <v>74</v>
      </c>
      <c r="C12" t="s">
        <v>13</v>
      </c>
      <c r="D12" t="s">
        <v>62</v>
      </c>
    </row>
    <row r="13" spans="1:4" x14ac:dyDescent="0.35">
      <c r="A13" t="s">
        <v>12</v>
      </c>
      <c r="B13" t="s">
        <v>75</v>
      </c>
      <c r="C13" t="s">
        <v>12</v>
      </c>
      <c r="D13" t="s">
        <v>62</v>
      </c>
    </row>
    <row r="14" spans="1:4" x14ac:dyDescent="0.35">
      <c r="A14" t="s">
        <v>9</v>
      </c>
      <c r="B14" t="s">
        <v>76</v>
      </c>
      <c r="C14" t="s">
        <v>9</v>
      </c>
      <c r="D14" t="s">
        <v>62</v>
      </c>
    </row>
    <row r="15" spans="1:4" x14ac:dyDescent="0.35">
      <c r="A15" t="s">
        <v>11</v>
      </c>
      <c r="B15" t="s">
        <v>77</v>
      </c>
      <c r="C15" t="s">
        <v>11</v>
      </c>
      <c r="D15" t="s">
        <v>68</v>
      </c>
    </row>
    <row r="16" spans="1:4" x14ac:dyDescent="0.35">
      <c r="A16" t="s">
        <v>23</v>
      </c>
      <c r="B16" t="s">
        <v>78</v>
      </c>
      <c r="C16" t="s">
        <v>23</v>
      </c>
      <c r="D16" t="s">
        <v>66</v>
      </c>
    </row>
    <row r="17" spans="1:4" x14ac:dyDescent="0.35">
      <c r="A17" t="s">
        <v>16</v>
      </c>
      <c r="B17" t="s">
        <v>79</v>
      </c>
      <c r="C17" t="s">
        <v>16</v>
      </c>
      <c r="D17" t="s">
        <v>68</v>
      </c>
    </row>
    <row r="18" spans="1:4" x14ac:dyDescent="0.35">
      <c r="A18" t="s">
        <v>41</v>
      </c>
      <c r="B18" t="s">
        <v>80</v>
      </c>
      <c r="C18" t="s">
        <v>41</v>
      </c>
      <c r="D18" t="s">
        <v>62</v>
      </c>
    </row>
    <row r="19" spans="1:4" x14ac:dyDescent="0.35">
      <c r="A19" t="s">
        <v>17</v>
      </c>
      <c r="B19" t="s">
        <v>81</v>
      </c>
      <c r="C19" t="s">
        <v>17</v>
      </c>
      <c r="D19" t="s">
        <v>68</v>
      </c>
    </row>
    <row r="20" spans="1:4" x14ac:dyDescent="0.35">
      <c r="A20" t="s">
        <v>18</v>
      </c>
      <c r="B20" t="s">
        <v>82</v>
      </c>
      <c r="C20" t="s">
        <v>18</v>
      </c>
      <c r="D20" t="s">
        <v>66</v>
      </c>
    </row>
    <row r="21" spans="1:4" x14ac:dyDescent="0.35">
      <c r="A21" t="s">
        <v>21</v>
      </c>
      <c r="B21" t="s">
        <v>83</v>
      </c>
      <c r="C21" t="s">
        <v>21</v>
      </c>
      <c r="D21" t="s">
        <v>68</v>
      </c>
    </row>
    <row r="22" spans="1:4" x14ac:dyDescent="0.35">
      <c r="A22" t="s">
        <v>19</v>
      </c>
      <c r="B22" t="s">
        <v>84</v>
      </c>
      <c r="C22" t="s">
        <v>19</v>
      </c>
      <c r="D22" t="s">
        <v>62</v>
      </c>
    </row>
    <row r="23" spans="1:4" x14ac:dyDescent="0.35">
      <c r="A23" t="s">
        <v>20</v>
      </c>
      <c r="B23" t="s">
        <v>85</v>
      </c>
      <c r="C23" t="s">
        <v>20</v>
      </c>
      <c r="D23" t="s">
        <v>68</v>
      </c>
    </row>
    <row r="24" spans="1:4" x14ac:dyDescent="0.35">
      <c r="A24" t="s">
        <v>22</v>
      </c>
      <c r="B24" t="s">
        <v>86</v>
      </c>
      <c r="C24" t="s">
        <v>22</v>
      </c>
      <c r="D24" t="s">
        <v>68</v>
      </c>
    </row>
    <row r="25" spans="1:4" x14ac:dyDescent="0.35">
      <c r="A25" t="s">
        <v>24</v>
      </c>
      <c r="B25" t="s">
        <v>87</v>
      </c>
      <c r="C25" t="s">
        <v>24</v>
      </c>
      <c r="D25" t="s">
        <v>62</v>
      </c>
    </row>
    <row r="26" spans="1:4" x14ac:dyDescent="0.35">
      <c r="A26" t="s">
        <v>26</v>
      </c>
      <c r="B26" t="s">
        <v>88</v>
      </c>
      <c r="C26" t="s">
        <v>26</v>
      </c>
      <c r="D26" t="s">
        <v>62</v>
      </c>
    </row>
    <row r="27" spans="1:4" x14ac:dyDescent="0.35">
      <c r="A27" t="s">
        <v>25</v>
      </c>
      <c r="B27" t="s">
        <v>89</v>
      </c>
      <c r="C27" t="s">
        <v>25</v>
      </c>
      <c r="D27" t="s">
        <v>68</v>
      </c>
    </row>
    <row r="28" spans="1:4" x14ac:dyDescent="0.35">
      <c r="A28" t="s">
        <v>27</v>
      </c>
      <c r="B28" t="s">
        <v>90</v>
      </c>
      <c r="C28" t="s">
        <v>27</v>
      </c>
      <c r="D28" t="s">
        <v>68</v>
      </c>
    </row>
    <row r="29" spans="1:4" x14ac:dyDescent="0.35">
      <c r="A29" t="s">
        <v>32</v>
      </c>
      <c r="B29" t="s">
        <v>91</v>
      </c>
      <c r="C29" t="s">
        <v>32</v>
      </c>
      <c r="D29" t="s">
        <v>68</v>
      </c>
    </row>
    <row r="30" spans="1:4" x14ac:dyDescent="0.35">
      <c r="A30" t="s">
        <v>28</v>
      </c>
      <c r="B30" t="s">
        <v>92</v>
      </c>
      <c r="C30" t="s">
        <v>28</v>
      </c>
      <c r="D30" t="s">
        <v>68</v>
      </c>
    </row>
    <row r="31" spans="1:4" x14ac:dyDescent="0.35">
      <c r="A31" t="s">
        <v>30</v>
      </c>
      <c r="B31" t="s">
        <v>93</v>
      </c>
      <c r="C31" t="s">
        <v>30</v>
      </c>
      <c r="D31" t="s">
        <v>62</v>
      </c>
    </row>
    <row r="32" spans="1:4" x14ac:dyDescent="0.35">
      <c r="A32" t="s">
        <v>31</v>
      </c>
      <c r="B32" t="s">
        <v>94</v>
      </c>
      <c r="C32" t="s">
        <v>31</v>
      </c>
      <c r="D32" t="s">
        <v>66</v>
      </c>
    </row>
    <row r="33" spans="1:4" x14ac:dyDescent="0.35">
      <c r="A33" t="s">
        <v>29</v>
      </c>
      <c r="B33" t="s">
        <v>95</v>
      </c>
      <c r="C33" t="s">
        <v>29</v>
      </c>
      <c r="D33" t="s">
        <v>68</v>
      </c>
    </row>
    <row r="34" spans="1:4" x14ac:dyDescent="0.35">
      <c r="A34" t="s">
        <v>33</v>
      </c>
      <c r="B34" t="s">
        <v>96</v>
      </c>
      <c r="C34" t="s">
        <v>33</v>
      </c>
      <c r="D34" t="s">
        <v>66</v>
      </c>
    </row>
    <row r="35" spans="1:4" x14ac:dyDescent="0.35">
      <c r="A35" t="s">
        <v>34</v>
      </c>
      <c r="B35" t="s">
        <v>97</v>
      </c>
      <c r="C35" t="s">
        <v>34</v>
      </c>
      <c r="D35" t="s">
        <v>68</v>
      </c>
    </row>
    <row r="36" spans="1:4" x14ac:dyDescent="0.35">
      <c r="A36" t="s">
        <v>35</v>
      </c>
      <c r="B36" t="s">
        <v>98</v>
      </c>
      <c r="C36" t="s">
        <v>35</v>
      </c>
      <c r="D36" t="s">
        <v>62</v>
      </c>
    </row>
    <row r="37" spans="1:4" x14ac:dyDescent="0.35">
      <c r="A37" t="s">
        <v>36</v>
      </c>
      <c r="B37" t="s">
        <v>99</v>
      </c>
      <c r="C37" t="s">
        <v>36</v>
      </c>
      <c r="D37" t="s">
        <v>68</v>
      </c>
    </row>
    <row r="38" spans="1:4" x14ac:dyDescent="0.35">
      <c r="A38" t="s">
        <v>40</v>
      </c>
      <c r="B38" t="s">
        <v>100</v>
      </c>
      <c r="C38" t="s">
        <v>40</v>
      </c>
      <c r="D38" t="s">
        <v>62</v>
      </c>
    </row>
    <row r="39" spans="1:4" x14ac:dyDescent="0.35">
      <c r="A39" t="s">
        <v>37</v>
      </c>
      <c r="B39" t="s">
        <v>101</v>
      </c>
      <c r="C39" t="s">
        <v>37</v>
      </c>
      <c r="D39" t="s">
        <v>62</v>
      </c>
    </row>
    <row r="40" spans="1:4" x14ac:dyDescent="0.35">
      <c r="A40" t="s">
        <v>42</v>
      </c>
      <c r="B40" t="s">
        <v>102</v>
      </c>
      <c r="C40" t="s">
        <v>42</v>
      </c>
      <c r="D40" t="s">
        <v>66</v>
      </c>
    </row>
    <row r="41" spans="1:4" x14ac:dyDescent="0.35">
      <c r="A41" t="s">
        <v>38</v>
      </c>
      <c r="B41" t="s">
        <v>103</v>
      </c>
      <c r="C41" t="s">
        <v>38</v>
      </c>
      <c r="D41" t="s">
        <v>68</v>
      </c>
    </row>
    <row r="42" spans="1:4" x14ac:dyDescent="0.35">
      <c r="A42" t="s">
        <v>47</v>
      </c>
      <c r="B42" t="s">
        <v>104</v>
      </c>
      <c r="C42" t="s">
        <v>47</v>
      </c>
      <c r="D42" t="s">
        <v>66</v>
      </c>
    </row>
    <row r="43" spans="1:4" x14ac:dyDescent="0.35">
      <c r="A43" t="s">
        <v>39</v>
      </c>
      <c r="B43" t="s">
        <v>105</v>
      </c>
      <c r="C43" t="s">
        <v>39</v>
      </c>
      <c r="D43" t="s">
        <v>68</v>
      </c>
    </row>
    <row r="44" spans="1:4" x14ac:dyDescent="0.35">
      <c r="A44" t="s">
        <v>45</v>
      </c>
      <c r="B44" t="s">
        <v>106</v>
      </c>
      <c r="C44" t="s">
        <v>45</v>
      </c>
      <c r="D44" t="s">
        <v>62</v>
      </c>
    </row>
    <row r="45" spans="1:4" x14ac:dyDescent="0.35">
      <c r="A45" t="s">
        <v>44</v>
      </c>
      <c r="B45" t="s">
        <v>107</v>
      </c>
      <c r="C45" t="s">
        <v>44</v>
      </c>
      <c r="D45" t="s">
        <v>68</v>
      </c>
    </row>
    <row r="46" spans="1:4" x14ac:dyDescent="0.35">
      <c r="A46" t="s">
        <v>46</v>
      </c>
      <c r="B46" t="s">
        <v>108</v>
      </c>
      <c r="C46" t="s">
        <v>46</v>
      </c>
      <c r="D46" t="s">
        <v>68</v>
      </c>
    </row>
    <row r="47" spans="1:4" x14ac:dyDescent="0.35">
      <c r="A47" t="s">
        <v>48</v>
      </c>
      <c r="B47" t="s">
        <v>109</v>
      </c>
      <c r="C47" t="s">
        <v>48</v>
      </c>
      <c r="D47" t="s">
        <v>62</v>
      </c>
    </row>
    <row r="48" spans="1:4" x14ac:dyDescent="0.35">
      <c r="A48" t="s">
        <v>49</v>
      </c>
      <c r="B48" t="s">
        <v>110</v>
      </c>
      <c r="C48" t="s">
        <v>49</v>
      </c>
      <c r="D48" t="s">
        <v>62</v>
      </c>
    </row>
    <row r="49" spans="1:7" x14ac:dyDescent="0.35">
      <c r="A49" t="s">
        <v>111</v>
      </c>
      <c r="B49" t="s">
        <v>111</v>
      </c>
      <c r="C49" t="s">
        <v>111</v>
      </c>
    </row>
    <row r="63" spans="1:7" s="13" customFormat="1" ht="87" x14ac:dyDescent="0.35">
      <c r="A63" s="13" t="s">
        <v>60</v>
      </c>
      <c r="B63" s="13" t="s">
        <v>118</v>
      </c>
      <c r="C63" s="13" t="s">
        <v>119</v>
      </c>
      <c r="D63" s="13" t="s">
        <v>120</v>
      </c>
      <c r="E63" s="13" t="s">
        <v>121</v>
      </c>
      <c r="F63" s="13" t="s">
        <v>122</v>
      </c>
      <c r="G63" s="13" t="s">
        <v>123</v>
      </c>
    </row>
    <row r="64" spans="1:7" x14ac:dyDescent="0.35">
      <c r="A64" t="s">
        <v>66</v>
      </c>
      <c r="B64" s="16">
        <v>1.8679111475270328E-2</v>
      </c>
      <c r="C64" s="16">
        <v>0.24613491771786639</v>
      </c>
      <c r="D64" s="16">
        <v>0.31712615934178301</v>
      </c>
      <c r="E64" s="16">
        <v>0.24329284860264971</v>
      </c>
      <c r="F64" s="16">
        <v>0.13924057054727651</v>
      </c>
      <c r="G64" s="16">
        <v>3.5526392315154053E-2</v>
      </c>
    </row>
    <row r="65" spans="1:7" x14ac:dyDescent="0.35">
      <c r="A65" t="s">
        <v>62</v>
      </c>
      <c r="B65" s="16">
        <v>3.1079803713894617E-2</v>
      </c>
      <c r="C65" s="16">
        <v>0.33653962637948021</v>
      </c>
      <c r="D65" s="16">
        <v>0.34941395631522804</v>
      </c>
      <c r="E65" s="16">
        <v>0.20169962632044125</v>
      </c>
      <c r="F65" s="16">
        <v>7.3507084647192453E-2</v>
      </c>
      <c r="G65" s="16">
        <v>7.7599026237634297E-3</v>
      </c>
    </row>
    <row r="66" spans="1:7" x14ac:dyDescent="0.35">
      <c r="A66" t="s">
        <v>68</v>
      </c>
      <c r="B66" s="16">
        <v>0.16765299086895941</v>
      </c>
      <c r="C66" s="16">
        <v>0.35339731243898659</v>
      </c>
      <c r="D66" s="16">
        <v>0.29951984150713429</v>
      </c>
      <c r="E66" s="16">
        <v>0.1336555241914486</v>
      </c>
      <c r="F66" s="16">
        <v>4.3048783589516915E-2</v>
      </c>
      <c r="G66" s="16">
        <v>2.7255474039542516E-3</v>
      </c>
    </row>
    <row r="67" spans="1:7" x14ac:dyDescent="0.35">
      <c r="A67" t="s">
        <v>111</v>
      </c>
      <c r="B67" s="16">
        <v>2.8094911126753986E-2</v>
      </c>
      <c r="C67" s="16">
        <v>0.42408199480095404</v>
      </c>
      <c r="D67" s="16">
        <v>0.32237544168541793</v>
      </c>
      <c r="E67" s="16">
        <v>0.14725787510182761</v>
      </c>
      <c r="F67" s="16">
        <v>7.3303780982837616E-2</v>
      </c>
      <c r="G67" s="16">
        <v>4.8859963022088162E-3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D53C-527C-47A0-BAEF-1CC9A4DA6647}">
  <dimension ref="A3:B8"/>
  <sheetViews>
    <sheetView workbookViewId="0">
      <selection activeCell="B6" sqref="B6"/>
    </sheetView>
  </sheetViews>
  <sheetFormatPr defaultRowHeight="14.5" x14ac:dyDescent="0.35"/>
  <cols>
    <col min="1" max="1" width="34.26953125" bestFit="1" customWidth="1"/>
    <col min="2" max="2" width="33.1796875" bestFit="1" customWidth="1"/>
  </cols>
  <sheetData>
    <row r="3" spans="1:2" x14ac:dyDescent="0.35">
      <c r="A3" s="14" t="s">
        <v>50</v>
      </c>
      <c r="B3" t="s">
        <v>144</v>
      </c>
    </row>
    <row r="4" spans="1:2" x14ac:dyDescent="0.35">
      <c r="A4" s="15" t="s">
        <v>66</v>
      </c>
      <c r="B4">
        <v>5.1036474511493138E-2</v>
      </c>
    </row>
    <row r="5" spans="1:2" x14ac:dyDescent="0.35">
      <c r="A5" s="15" t="s">
        <v>62</v>
      </c>
      <c r="B5">
        <v>2.7626282538322069E-2</v>
      </c>
    </row>
    <row r="6" spans="1:2" x14ac:dyDescent="0.35">
      <c r="A6" s="15" t="s">
        <v>68</v>
      </c>
      <c r="B6">
        <v>5.4110867656534653E-2</v>
      </c>
    </row>
    <row r="7" spans="1:2" x14ac:dyDescent="0.35">
      <c r="A7" s="15" t="s">
        <v>143</v>
      </c>
    </row>
    <row r="8" spans="1:2" x14ac:dyDescent="0.35">
      <c r="A8" s="15" t="s">
        <v>51</v>
      </c>
      <c r="B8">
        <v>4.4941073378792516E-2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915B-4F57-4ECB-A45B-C3695907E102}">
  <dimension ref="A3:B8"/>
  <sheetViews>
    <sheetView workbookViewId="0">
      <selection activeCell="B5" sqref="B5"/>
    </sheetView>
  </sheetViews>
  <sheetFormatPr defaultRowHeight="14.5" x14ac:dyDescent="0.35"/>
  <cols>
    <col min="1" max="1" width="34.26953125" bestFit="1" customWidth="1"/>
    <col min="2" max="2" width="33.1796875" bestFit="1" customWidth="1"/>
  </cols>
  <sheetData>
    <row r="3" spans="1:2" x14ac:dyDescent="0.35">
      <c r="A3" s="14" t="s">
        <v>50</v>
      </c>
      <c r="B3" t="s">
        <v>144</v>
      </c>
    </row>
    <row r="4" spans="1:2" x14ac:dyDescent="0.35">
      <c r="A4" s="15" t="s">
        <v>111</v>
      </c>
      <c r="B4" s="40">
        <v>4.2900000000000001E-2</v>
      </c>
    </row>
    <row r="5" spans="1:2" x14ac:dyDescent="0.35">
      <c r="A5" s="15" t="s">
        <v>66</v>
      </c>
      <c r="B5" s="40">
        <v>7.9561448651791336E-2</v>
      </c>
    </row>
    <row r="6" spans="1:2" x14ac:dyDescent="0.35">
      <c r="A6" s="15" t="s">
        <v>62</v>
      </c>
      <c r="B6" s="40">
        <v>4.1940480510238735E-2</v>
      </c>
    </row>
    <row r="7" spans="1:2" x14ac:dyDescent="0.35">
      <c r="A7" s="15" t="s">
        <v>68</v>
      </c>
      <c r="B7" s="40">
        <v>0.12840710515778667</v>
      </c>
    </row>
    <row r="8" spans="1:2" x14ac:dyDescent="0.35">
      <c r="A8" s="15" t="s">
        <v>51</v>
      </c>
      <c r="B8" s="40">
        <v>8.7660597740878213E-2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29C4-6F88-4AD4-B716-858E84CF74CD}">
  <sheetPr>
    <tabColor rgb="FF00B050"/>
  </sheetPr>
  <dimension ref="A2:AI56"/>
  <sheetViews>
    <sheetView tabSelected="1" topLeftCell="R43" workbookViewId="0">
      <selection activeCell="W55" sqref="W55"/>
    </sheetView>
  </sheetViews>
  <sheetFormatPr defaultRowHeight="14.5" x14ac:dyDescent="0.35"/>
  <cols>
    <col min="1" max="2" width="18.54296875" customWidth="1"/>
    <col min="3" max="3" width="29.7265625" bestFit="1" customWidth="1"/>
    <col min="5" max="5" width="9.1796875" bestFit="1" customWidth="1"/>
    <col min="6" max="6" width="10.08984375" bestFit="1" customWidth="1"/>
    <col min="13" max="13" width="12" customWidth="1"/>
    <col min="14" max="14" width="11" customWidth="1"/>
    <col min="15" max="17" width="10.08984375" bestFit="1" customWidth="1"/>
    <col min="18" max="18" width="9.08984375" bestFit="1" customWidth="1"/>
    <col min="19" max="19" width="8.7265625" customWidth="1"/>
    <col min="20" max="20" width="11.26953125" customWidth="1"/>
    <col min="21" max="21" width="12" customWidth="1"/>
    <col min="22" max="26" width="12.54296875" style="44" bestFit="1" customWidth="1"/>
    <col min="27" max="27" width="14.6328125" style="44" bestFit="1" customWidth="1"/>
    <col min="28" max="28" width="18.1796875" style="44" bestFit="1" customWidth="1"/>
    <col min="29" max="29" width="12.54296875" style="44" bestFit="1" customWidth="1"/>
    <col min="35" max="35" width="9.36328125" bestFit="1" customWidth="1"/>
  </cols>
  <sheetData>
    <row r="2" spans="1:35" ht="84" x14ac:dyDescent="0.35">
      <c r="A2" s="17" t="s">
        <v>1</v>
      </c>
      <c r="B2" s="17" t="s">
        <v>125</v>
      </c>
      <c r="C2" s="17" t="s">
        <v>126</v>
      </c>
      <c r="D2" s="18">
        <v>2013</v>
      </c>
      <c r="E2" s="18">
        <v>2018</v>
      </c>
      <c r="F2" s="18" t="s">
        <v>124</v>
      </c>
      <c r="G2" s="29" t="s">
        <v>127</v>
      </c>
      <c r="H2" s="29" t="s">
        <v>128</v>
      </c>
      <c r="I2" s="29" t="s">
        <v>129</v>
      </c>
      <c r="J2" s="29" t="s">
        <v>130</v>
      </c>
      <c r="K2" s="29" t="s">
        <v>131</v>
      </c>
      <c r="L2" s="29" t="s">
        <v>132</v>
      </c>
      <c r="M2" s="29" t="s">
        <v>52</v>
      </c>
      <c r="N2" s="29" t="s">
        <v>133</v>
      </c>
      <c r="O2" s="29" t="s">
        <v>134</v>
      </c>
      <c r="P2" s="29" t="s">
        <v>135</v>
      </c>
      <c r="Q2" s="29" t="s">
        <v>136</v>
      </c>
      <c r="R2" s="29" t="s">
        <v>137</v>
      </c>
      <c r="S2" s="26" t="s">
        <v>188</v>
      </c>
      <c r="T2" s="39" t="s">
        <v>142</v>
      </c>
      <c r="U2" s="29" t="s">
        <v>145</v>
      </c>
      <c r="V2" s="28" t="s">
        <v>146</v>
      </c>
      <c r="W2" s="28" t="s">
        <v>147</v>
      </c>
      <c r="X2" s="28" t="s">
        <v>148</v>
      </c>
      <c r="Y2" s="28" t="s">
        <v>149</v>
      </c>
      <c r="Z2" s="28" t="s">
        <v>150</v>
      </c>
      <c r="AA2" s="28" t="s">
        <v>151</v>
      </c>
      <c r="AB2" s="28" t="s">
        <v>152</v>
      </c>
      <c r="AC2" s="28" t="s">
        <v>153</v>
      </c>
      <c r="AD2" s="41" t="s">
        <v>335</v>
      </c>
      <c r="AE2" s="41" t="s">
        <v>336</v>
      </c>
      <c r="AF2" s="41" t="s">
        <v>337</v>
      </c>
      <c r="AH2" t="s">
        <v>339</v>
      </c>
      <c r="AI2" s="50" t="s">
        <v>340</v>
      </c>
    </row>
    <row r="3" spans="1:35" x14ac:dyDescent="0.35">
      <c r="A3" s="19" t="s">
        <v>61</v>
      </c>
      <c r="B3" s="19" t="s">
        <v>15</v>
      </c>
      <c r="C3" s="19" t="s">
        <v>62</v>
      </c>
      <c r="D3" s="20">
        <v>11139</v>
      </c>
      <c r="E3" s="20">
        <v>8948</v>
      </c>
      <c r="F3" s="20">
        <v>9070</v>
      </c>
      <c r="G3" s="30">
        <v>9.3988761057240605E-2</v>
      </c>
      <c r="H3" s="30">
        <v>0.30100512311428623</v>
      </c>
      <c r="I3" s="30">
        <v>0.16025243303610998</v>
      </c>
      <c r="J3" s="30">
        <v>0.35528531669355268</v>
      </c>
      <c r="K3" s="30">
        <v>8.4114800304905077E-2</v>
      </c>
      <c r="L3" s="30">
        <v>5.3535657939054442E-3</v>
      </c>
      <c r="M3" s="31">
        <f>$E$3*G3</f>
        <v>841.01143394018891</v>
      </c>
      <c r="N3" s="31">
        <f t="shared" ref="N3:Q3" si="0">$E$3*H3</f>
        <v>2693.3938416266333</v>
      </c>
      <c r="O3" s="31">
        <f t="shared" si="0"/>
        <v>1433.938770807112</v>
      </c>
      <c r="P3" s="31">
        <f t="shared" si="0"/>
        <v>3179.0930137739092</v>
      </c>
      <c r="Q3" s="31">
        <f t="shared" si="0"/>
        <v>752.65923312829068</v>
      </c>
      <c r="R3" s="31">
        <f>$E$3*L3</f>
        <v>47.903706723865916</v>
      </c>
      <c r="S3" s="31">
        <f>VLOOKUP(B3,'Edu updated'!B$2:J$48,8,FALSE)</f>
        <v>0</v>
      </c>
      <c r="T3" s="32">
        <v>8.1100000000000005E-2</v>
      </c>
      <c r="U3" s="33">
        <f>E3*T3</f>
        <v>725.68280000000004</v>
      </c>
      <c r="V3" s="42">
        <f>F3*(1-L3)+0.7*U3-AI3*AE3</f>
        <v>9520.9334655328767</v>
      </c>
      <c r="W3" s="42">
        <f>V3*(1-0.1*K3)+0.7*U3-AI3*AE3</f>
        <v>9940.3386310995174</v>
      </c>
      <c r="X3" s="42">
        <f>W3*(1-0.1*K3)+0.7*U3-AI3*AE3</f>
        <v>10356.215978491309</v>
      </c>
      <c r="Y3" s="42">
        <f>X3*(1-0.1*K3)+0.7*U3-AI3*AE3</f>
        <v>10768.595181880381</v>
      </c>
      <c r="Z3" s="42">
        <f>Y3*(1-0.1*K3)+0.7*U3-AI3*AE3</f>
        <v>11177.505665835155</v>
      </c>
      <c r="AA3" s="42">
        <f>Z3*(1-0.1*K3)+0.7*U3-AI3*AE3</f>
        <v>11582.976607419887</v>
      </c>
      <c r="AB3" s="42">
        <f>AA3*(1-0.1*K3)+0.7*U3-AI3*AE3</f>
        <v>11985.036938276535</v>
      </c>
      <c r="AC3" s="42">
        <f>AB3*(1-0.1*K3)+0.7*U3-AI3*AE3</f>
        <v>12383.715346689129</v>
      </c>
      <c r="AD3">
        <f>VLOOKUP(B3,Migration!A$2:B$193,2,FALSE)</f>
        <v>1080</v>
      </c>
      <c r="AE3">
        <f>1/20</f>
        <v>0.05</v>
      </c>
      <c r="AF3" t="str">
        <f>IF(AC3&lt;V3,"Decreased","Increased")</f>
        <v>Increased</v>
      </c>
      <c r="AG3" t="b">
        <f>F3&lt;0.7*E3</f>
        <v>0</v>
      </c>
      <c r="AH3">
        <v>0.15717875400745168</v>
      </c>
      <c r="AI3" s="51">
        <f>AD3*AH3</f>
        <v>169.75305432804782</v>
      </c>
    </row>
    <row r="4" spans="1:35" x14ac:dyDescent="0.35">
      <c r="A4" s="19" t="s">
        <v>63</v>
      </c>
      <c r="B4" s="19" t="s">
        <v>3</v>
      </c>
      <c r="C4" s="23" t="s">
        <v>62</v>
      </c>
      <c r="D4" s="20">
        <v>30</v>
      </c>
      <c r="E4" s="20">
        <v>1438</v>
      </c>
      <c r="F4" s="25">
        <v>32.625348061000572</v>
      </c>
      <c r="G4" s="34">
        <v>3.1079803713894617E-2</v>
      </c>
      <c r="H4" s="34">
        <v>0.33653962637948021</v>
      </c>
      <c r="I4" s="34">
        <v>0.34941395631522804</v>
      </c>
      <c r="J4" s="34">
        <v>0.20169962632044125</v>
      </c>
      <c r="K4" s="34">
        <v>7.3507084647192453E-2</v>
      </c>
      <c r="L4" s="34">
        <v>7.7599026237634297E-3</v>
      </c>
      <c r="M4" s="33">
        <f>$F$4*G4</f>
        <v>1.01398941383339</v>
      </c>
      <c r="N4" s="33">
        <f t="shared" ref="N4:R4" si="1">$F$4*H4</f>
        <v>10.979722446949632</v>
      </c>
      <c r="O4" s="33">
        <f t="shared" si="1"/>
        <v>11.399751942155564</v>
      </c>
      <c r="P4" s="33">
        <f t="shared" si="1"/>
        <v>6.5805205124781478</v>
      </c>
      <c r="Q4" s="33">
        <f t="shared" si="1"/>
        <v>2.398194221564085</v>
      </c>
      <c r="R4" s="33">
        <f t="shared" si="1"/>
        <v>0.25316952401975346</v>
      </c>
      <c r="S4" s="31">
        <f>VLOOKUP(B4,'Edu updated'!B$2:J$48,8,FALSE)</f>
        <v>0</v>
      </c>
      <c r="T4" s="32">
        <v>4.1940480510238735E-2</v>
      </c>
      <c r="U4" s="33">
        <f>T4*E4</f>
        <v>60.3104109737233</v>
      </c>
      <c r="V4" s="42">
        <f>E4*(1-L4)+0.7*U4-AI4*AE4</f>
        <v>1469.0566161253582</v>
      </c>
      <c r="W4" s="42">
        <f t="shared" ref="W4:W49" si="2">V4*(1-0.1*K4)+0.7*U4-AI4*AE4</f>
        <v>1500.4733653203843</v>
      </c>
      <c r="X4" s="42">
        <f t="shared" ref="X4:X49" si="3">W4*(1-0.1*K4)+0.7*U4-AI4*AE4</f>
        <v>1531.6591791511682</v>
      </c>
      <c r="Y4" s="42">
        <f t="shared" ref="Y4:Y49" si="4">X4*(1-0.1*K4)+0.7*U4-AI4*AE4</f>
        <v>1562.6157551562474</v>
      </c>
      <c r="Z4" s="42">
        <f t="shared" ref="Z4:Z49" si="5">Y4*(1-0.1*K4)+0.7*U4-AI4*AE4</f>
        <v>1593.3447783960469</v>
      </c>
      <c r="AA4" s="42">
        <f t="shared" ref="AA4:AA49" si="6">Z4*(1-0.1*K4)+0.7*U4-AI4*AE4</f>
        <v>1623.847921544605</v>
      </c>
      <c r="AB4" s="42">
        <f t="shared" ref="AB4:AB49" si="7">AA4*(1-0.1*K4)+0.7*U4-AI4*AE4</f>
        <v>1654.1268449806207</v>
      </c>
      <c r="AC4" s="42">
        <f t="shared" ref="AC4:AC49" si="8">AB4*(1-0.1*K4)+0.7*U4-AI4*AE4</f>
        <v>1684.1831968778329</v>
      </c>
      <c r="AD4">
        <f>VLOOKUP(B4,Migration!A$2:B$193,2,FALSE)</f>
        <v>79</v>
      </c>
      <c r="AE4">
        <f t="shared" ref="AE4:AE49" si="9">1/20</f>
        <v>0.05</v>
      </c>
      <c r="AF4" t="str">
        <f t="shared" ref="AF4:AF49" si="10">IF(AC4&lt;V4,"Decreased","Increased")</f>
        <v>Increased</v>
      </c>
      <c r="AG4" t="b">
        <f t="shared" ref="AG4:AG51" si="11">F4&lt;0.7*E4</f>
        <v>1</v>
      </c>
      <c r="AH4">
        <v>4.8900842428149099E-4</v>
      </c>
      <c r="AI4" s="51">
        <f t="shared" ref="AI4:AI51" si="12">AD4*AH4</f>
        <v>3.8631665518237789E-2</v>
      </c>
    </row>
    <row r="5" spans="1:35" x14ac:dyDescent="0.35">
      <c r="A5" s="19" t="s">
        <v>64</v>
      </c>
      <c r="B5" s="19" t="s">
        <v>5</v>
      </c>
      <c r="C5" s="19" t="s">
        <v>62</v>
      </c>
      <c r="D5" s="20">
        <v>943</v>
      </c>
      <c r="E5" s="20">
        <v>1055</v>
      </c>
      <c r="F5" s="20">
        <v>2055</v>
      </c>
      <c r="G5" s="30">
        <v>3.7563822027716992E-2</v>
      </c>
      <c r="H5" s="30">
        <v>0.15973741794310722</v>
      </c>
      <c r="I5" s="30">
        <v>0.44164843180160468</v>
      </c>
      <c r="J5" s="30">
        <v>0.30069292487235594</v>
      </c>
      <c r="K5" s="30">
        <v>5.2698760029175784E-2</v>
      </c>
      <c r="L5" s="30">
        <v>7.658643326039387E-3</v>
      </c>
      <c r="M5" s="33">
        <f t="shared" ref="M5:M50" si="13">$F$4*G5</f>
        <v>1.2255327681557471</v>
      </c>
      <c r="N5" s="33">
        <f t="shared" ref="N5:N50" si="14">$F$4*H5</f>
        <v>5.2114888587593917</v>
      </c>
      <c r="O5" s="33">
        <f t="shared" ref="O5:O50" si="15">$F$4*I5</f>
        <v>14.408933808122427</v>
      </c>
      <c r="P5" s="33">
        <f t="shared" ref="P5:P50" si="16">$F$4*J5</f>
        <v>9.8102113334409093</v>
      </c>
      <c r="Q5" s="33">
        <f t="shared" ref="Q5:Q50" si="17">$F$4*K5</f>
        <v>1.7193153883350045</v>
      </c>
      <c r="R5" s="33">
        <f t="shared" ref="R5:R50" si="18">$F$4*L5</f>
        <v>0.24986590418709409</v>
      </c>
      <c r="S5" s="31">
        <f>VLOOKUP(B5,'Edu updated'!B$2:J$48,8,FALSE)</f>
        <v>247</v>
      </c>
      <c r="T5" s="32">
        <f t="shared" ref="T3:T11" si="19">S5/F5</f>
        <v>0.12019464720194648</v>
      </c>
      <c r="U5" s="33">
        <f t="shared" ref="U5:U50" si="20">T5*F5</f>
        <v>247</v>
      </c>
      <c r="V5" s="42">
        <f t="shared" ref="V4:V49" si="21">F5*(1-L5)+0.7*U5-AI5*AE5</f>
        <v>2212.0568723193078</v>
      </c>
      <c r="W5" s="42">
        <f t="shared" si="2"/>
        <v>2373.1949912451018</v>
      </c>
      <c r="X5" s="42">
        <f t="shared" si="3"/>
        <v>2533.4839322648136</v>
      </c>
      <c r="Y5" s="42">
        <f t="shared" si="4"/>
        <v>2692.9281704407126</v>
      </c>
      <c r="Z5" s="42">
        <f t="shared" si="5"/>
        <v>2851.5321572520447</v>
      </c>
      <c r="AA5" s="42">
        <f t="shared" si="6"/>
        <v>3009.3003207193128</v>
      </c>
      <c r="AB5" s="42">
        <f t="shared" si="7"/>
        <v>3166.2370655279005</v>
      </c>
      <c r="AC5" s="42">
        <f t="shared" si="8"/>
        <v>3322.3467731510455</v>
      </c>
      <c r="AD5">
        <f>VLOOKUP(B5,Migration!A$2:B$193,2,FALSE)</f>
        <v>6</v>
      </c>
      <c r="AE5">
        <f t="shared" si="9"/>
        <v>0.05</v>
      </c>
      <c r="AF5" t="str">
        <f t="shared" si="10"/>
        <v>Increased</v>
      </c>
      <c r="AG5" t="b">
        <f t="shared" si="11"/>
        <v>0</v>
      </c>
      <c r="AH5">
        <v>0.34871881893772272</v>
      </c>
      <c r="AI5" s="51">
        <f t="shared" si="12"/>
        <v>2.0923129136263361</v>
      </c>
    </row>
    <row r="6" spans="1:35" x14ac:dyDescent="0.35">
      <c r="A6" s="19" t="s">
        <v>65</v>
      </c>
      <c r="B6" s="19" t="s">
        <v>7</v>
      </c>
      <c r="C6" s="19" t="s">
        <v>66</v>
      </c>
      <c r="D6" s="20">
        <v>1501</v>
      </c>
      <c r="E6" s="20">
        <v>0</v>
      </c>
      <c r="F6" s="20">
        <v>0</v>
      </c>
      <c r="G6" s="30">
        <v>2.8276033881415048E-2</v>
      </c>
      <c r="H6" s="30">
        <v>0.36858495266567015</v>
      </c>
      <c r="I6" s="30">
        <v>0.33096661684105633</v>
      </c>
      <c r="J6" s="30">
        <v>0.18709516691579473</v>
      </c>
      <c r="K6" s="30">
        <v>8.0468360737419031E-2</v>
      </c>
      <c r="L6" s="30">
        <v>4.6088689586447438E-3</v>
      </c>
      <c r="M6" s="33">
        <f t="shared" si="13"/>
        <v>0.92251544716581091</v>
      </c>
      <c r="N6" s="33">
        <f t="shared" si="14"/>
        <v>12.02521237076491</v>
      </c>
      <c r="O6" s="33">
        <f t="shared" si="15"/>
        <v>10.797901071011276</v>
      </c>
      <c r="P6" s="33">
        <f t="shared" si="16"/>
        <v>6.1040449411588016</v>
      </c>
      <c r="Q6" s="33">
        <f t="shared" si="17"/>
        <v>2.6253082769564484</v>
      </c>
      <c r="R6" s="33">
        <f t="shared" si="18"/>
        <v>0.15036595394332603</v>
      </c>
      <c r="S6" s="31">
        <f>VLOOKUP(B6,'Edu updated'!B$2:J$48,8,FALSE)</f>
        <v>40</v>
      </c>
      <c r="T6" s="32">
        <f>S6/D6</f>
        <v>2.6648900732844771E-2</v>
      </c>
      <c r="U6" s="33">
        <f>T6*D6</f>
        <v>40</v>
      </c>
      <c r="V6" s="42">
        <f t="shared" si="21"/>
        <v>25.363714499252616</v>
      </c>
      <c r="W6" s="42">
        <f t="shared" si="2"/>
        <v>50.523331345708556</v>
      </c>
      <c r="X6" s="42">
        <f t="shared" si="3"/>
        <v>75.480492879722902</v>
      </c>
      <c r="Y6" s="42">
        <f t="shared" si="4"/>
        <v>100.23682822600713</v>
      </c>
      <c r="Z6" s="42">
        <f t="shared" si="5"/>
        <v>124.79395339997325</v>
      </c>
      <c r="AA6" s="42">
        <f t="shared" si="6"/>
        <v>149.15347141322209</v>
      </c>
      <c r="AB6" s="42">
        <f t="shared" si="7"/>
        <v>173.31697237818295</v>
      </c>
      <c r="AC6" s="42">
        <f t="shared" si="8"/>
        <v>197.28603361191108</v>
      </c>
      <c r="AD6">
        <f>VLOOKUP(B6,Migration!A$2:B$193,2,FALSE)</f>
        <v>282</v>
      </c>
      <c r="AE6">
        <f t="shared" si="9"/>
        <v>0.05</v>
      </c>
      <c r="AF6" t="str">
        <f t="shared" si="10"/>
        <v>Increased</v>
      </c>
      <c r="AG6" t="b">
        <f t="shared" si="11"/>
        <v>0</v>
      </c>
      <c r="AH6">
        <v>0.1869706028898854</v>
      </c>
      <c r="AI6" s="51">
        <f t="shared" si="12"/>
        <v>52.72571001494768</v>
      </c>
    </row>
    <row r="7" spans="1:35" x14ac:dyDescent="0.35">
      <c r="A7" s="19" t="s">
        <v>67</v>
      </c>
      <c r="B7" s="19" t="s">
        <v>6</v>
      </c>
      <c r="C7" s="19" t="s">
        <v>68</v>
      </c>
      <c r="D7" s="20">
        <v>1591</v>
      </c>
      <c r="E7" s="20">
        <v>6569</v>
      </c>
      <c r="F7" s="20">
        <v>9294</v>
      </c>
      <c r="G7" s="34">
        <v>0.16765299086895941</v>
      </c>
      <c r="H7" s="34">
        <v>0.35339731243898659</v>
      </c>
      <c r="I7" s="34">
        <v>0.29951984150713429</v>
      </c>
      <c r="J7" s="34">
        <v>0.1336555241914486</v>
      </c>
      <c r="K7" s="34">
        <v>4.3048783589516915E-2</v>
      </c>
      <c r="L7" s="34">
        <v>2.7255474039542516E-3</v>
      </c>
      <c r="M7" s="33">
        <f t="shared" si="13"/>
        <v>5.4697371805675514</v>
      </c>
      <c r="N7" s="33">
        <f t="shared" si="14"/>
        <v>11.529710322144105</v>
      </c>
      <c r="O7" s="33">
        <f t="shared" si="15"/>
        <v>9.771939080345982</v>
      </c>
      <c r="P7" s="33">
        <f t="shared" si="16"/>
        <v>4.3605579970214929</v>
      </c>
      <c r="Q7" s="33">
        <f t="shared" si="17"/>
        <v>1.4044815482106789</v>
      </c>
      <c r="R7" s="33">
        <f t="shared" si="18"/>
        <v>8.8921932710763985E-2</v>
      </c>
      <c r="S7" s="31">
        <f>VLOOKUP(B7,'Edu updated'!B$2:J$48,8,FALSE)</f>
        <v>1170</v>
      </c>
      <c r="T7" s="32">
        <f t="shared" si="19"/>
        <v>0.12588766946417043</v>
      </c>
      <c r="U7" s="33">
        <f t="shared" si="20"/>
        <v>1170</v>
      </c>
      <c r="V7" s="42">
        <f t="shared" si="21"/>
        <v>10085.238914995516</v>
      </c>
      <c r="W7" s="42">
        <f t="shared" si="2"/>
        <v>10858.393340813362</v>
      </c>
      <c r="X7" s="42">
        <f t="shared" si="3"/>
        <v>11628.219430875377</v>
      </c>
      <c r="Y7" s="42">
        <f t="shared" si="4"/>
        <v>12394.731513262128</v>
      </c>
      <c r="Z7" s="42">
        <f t="shared" si="5"/>
        <v>13157.943854373536</v>
      </c>
      <c r="AA7" s="42">
        <f t="shared" si="6"/>
        <v>13917.87065919441</v>
      </c>
      <c r="AB7" s="42">
        <f t="shared" si="7"/>
        <v>14674.526071558823</v>
      </c>
      <c r="AC7" s="42">
        <f t="shared" si="8"/>
        <v>15427.924174413365</v>
      </c>
      <c r="AD7">
        <f>VLOOKUP(B7,Migration!A$2:B$193,2,FALSE)</f>
        <v>73</v>
      </c>
      <c r="AE7">
        <f t="shared" si="9"/>
        <v>0.05</v>
      </c>
      <c r="AF7" t="str">
        <f t="shared" si="10"/>
        <v>Increased</v>
      </c>
      <c r="AG7" t="b">
        <f t="shared" si="11"/>
        <v>0</v>
      </c>
      <c r="AH7">
        <v>0.66571162524174488</v>
      </c>
      <c r="AI7" s="51">
        <f t="shared" si="12"/>
        <v>48.596948642647376</v>
      </c>
    </row>
    <row r="8" spans="1:35" x14ac:dyDescent="0.35">
      <c r="A8" s="19" t="s">
        <v>69</v>
      </c>
      <c r="B8" s="19" t="s">
        <v>4</v>
      </c>
      <c r="C8" s="19" t="s">
        <v>68</v>
      </c>
      <c r="D8" s="20">
        <v>35</v>
      </c>
      <c r="E8" s="20">
        <v>160</v>
      </c>
      <c r="F8" s="20">
        <v>178.72552788162812</v>
      </c>
      <c r="G8" s="30">
        <v>2.261239691407289E-3</v>
      </c>
      <c r="H8" s="30">
        <v>0.32016493748337321</v>
      </c>
      <c r="I8" s="30">
        <v>0.4684756584197925</v>
      </c>
      <c r="J8" s="30">
        <v>0.16440542697525937</v>
      </c>
      <c r="K8" s="30">
        <v>3.8840117052407558E-2</v>
      </c>
      <c r="L8" s="30">
        <v>5.8526203777600422E-3</v>
      </c>
      <c r="M8" s="33">
        <f t="shared" si="13"/>
        <v>7.3773731981512325E-2</v>
      </c>
      <c r="N8" s="33">
        <f t="shared" si="14"/>
        <v>10.445492522323539</v>
      </c>
      <c r="O8" s="33">
        <f t="shared" si="15"/>
        <v>15.284181414052144</v>
      </c>
      <c r="P8" s="33">
        <f t="shared" si="16"/>
        <v>5.3637842781852489</v>
      </c>
      <c r="Q8" s="33">
        <f t="shared" si="17"/>
        <v>1.2671723375648001</v>
      </c>
      <c r="R8" s="33">
        <f t="shared" si="18"/>
        <v>0.19094377689332603</v>
      </c>
      <c r="S8" s="31">
        <f>VLOOKUP(B8,'Edu updated'!B$2:J$48,8,FALSE)</f>
        <v>196</v>
      </c>
      <c r="T8" s="32">
        <f t="shared" si="19"/>
        <v>1.0966536360145092</v>
      </c>
      <c r="U8" s="33">
        <f t="shared" si="20"/>
        <v>196.00000000000003</v>
      </c>
      <c r="V8" s="42">
        <f t="shared" si="21"/>
        <v>314.86711961192935</v>
      </c>
      <c r="W8" s="42">
        <f t="shared" si="2"/>
        <v>450.83177643056837</v>
      </c>
      <c r="X8" s="42">
        <f t="shared" si="3"/>
        <v>586.26834493062483</v>
      </c>
      <c r="Y8" s="42">
        <f t="shared" si="4"/>
        <v>721.17887621330942</v>
      </c>
      <c r="Z8" s="42">
        <f t="shared" si="5"/>
        <v>855.56541341333184</v>
      </c>
      <c r="AA8" s="42">
        <f t="shared" si="6"/>
        <v>989.42999172984253</v>
      </c>
      <c r="AB8" s="42">
        <f t="shared" si="7"/>
        <v>1122.7746384572547</v>
      </c>
      <c r="AC8" s="42">
        <f t="shared" si="8"/>
        <v>1255.6013730159466</v>
      </c>
      <c r="AD8">
        <f>VLOOKUP(B8,Migration!A$2:B$193,2,FALSE)</f>
        <v>13</v>
      </c>
      <c r="AE8">
        <f t="shared" si="9"/>
        <v>0.05</v>
      </c>
      <c r="AF8" t="str">
        <f t="shared" si="10"/>
        <v>Increased</v>
      </c>
      <c r="AG8" t="b">
        <f t="shared" si="11"/>
        <v>0</v>
      </c>
      <c r="AH8">
        <v>1.9070158758176282E-2</v>
      </c>
      <c r="AI8" s="51">
        <f t="shared" si="12"/>
        <v>0.24791206385629166</v>
      </c>
    </row>
    <row r="9" spans="1:35" x14ac:dyDescent="0.35">
      <c r="A9" s="19" t="s">
        <v>70</v>
      </c>
      <c r="B9" s="19" t="s">
        <v>10</v>
      </c>
      <c r="C9" s="19" t="s">
        <v>62</v>
      </c>
      <c r="D9" s="20">
        <v>127</v>
      </c>
      <c r="E9" s="20">
        <v>690</v>
      </c>
      <c r="F9" s="20">
        <v>1674</v>
      </c>
      <c r="G9" s="30">
        <v>1.7974253096915228E-2</v>
      </c>
      <c r="H9" s="30">
        <v>0.39561573961622543</v>
      </c>
      <c r="I9" s="30">
        <v>0.37776293417537044</v>
      </c>
      <c r="J9" s="30">
        <v>0.17585620597522467</v>
      </c>
      <c r="K9" s="30">
        <v>3.1637114403692011E-2</v>
      </c>
      <c r="L9" s="30">
        <v>1.1537527325722614E-3</v>
      </c>
      <c r="M9" s="33">
        <f t="shared" si="13"/>
        <v>0.58641626342337683</v>
      </c>
      <c r="N9" s="33">
        <f t="shared" si="14"/>
        <v>12.907101203389528</v>
      </c>
      <c r="O9" s="33">
        <f t="shared" si="15"/>
        <v>12.324647212016309</v>
      </c>
      <c r="P9" s="33">
        <f t="shared" si="16"/>
        <v>5.7373699286287136</v>
      </c>
      <c r="Q9" s="33">
        <f t="shared" si="17"/>
        <v>1.0321718690661463</v>
      </c>
      <c r="R9" s="33">
        <f t="shared" si="18"/>
        <v>3.7641584476500539E-2</v>
      </c>
      <c r="S9" s="31">
        <f>VLOOKUP(B9,'Edu updated'!B$2:J$48,8,FALSE)</f>
        <v>0</v>
      </c>
      <c r="T9" s="32">
        <v>4.1940480510238735E-2</v>
      </c>
      <c r="U9" s="33">
        <f t="shared" si="20"/>
        <v>70.208364374139649</v>
      </c>
      <c r="V9" s="42">
        <f t="shared" si="21"/>
        <v>1679.4025808003562</v>
      </c>
      <c r="W9" s="42">
        <f t="shared" si="2"/>
        <v>1681.423398517175</v>
      </c>
      <c r="X9" s="42">
        <f t="shared" si="3"/>
        <v>1683.4378229498639</v>
      </c>
      <c r="Y9" s="42">
        <f t="shared" si="4"/>
        <v>1685.4458743249293</v>
      </c>
      <c r="Z9" s="42">
        <f t="shared" si="5"/>
        <v>1687.4475728048865</v>
      </c>
      <c r="AA9" s="42">
        <f t="shared" si="6"/>
        <v>1689.4429384884625</v>
      </c>
      <c r="AB9" s="42">
        <f t="shared" si="7"/>
        <v>1691.4319914107978</v>
      </c>
      <c r="AC9" s="42">
        <f t="shared" si="8"/>
        <v>1693.4147515436471</v>
      </c>
      <c r="AD9">
        <f>VLOOKUP(B9,Migration!A$2:B$193,2,FALSE)</f>
        <v>8229</v>
      </c>
      <c r="AE9">
        <f t="shared" si="9"/>
        <v>0.05</v>
      </c>
      <c r="AF9" t="str">
        <f t="shared" si="10"/>
        <v>Increased</v>
      </c>
      <c r="AG9" t="b">
        <f t="shared" si="11"/>
        <v>0</v>
      </c>
      <c r="AH9">
        <v>0.10162083409215079</v>
      </c>
      <c r="AI9" s="51">
        <f t="shared" si="12"/>
        <v>836.23784374430886</v>
      </c>
    </row>
    <row r="10" spans="1:35" x14ac:dyDescent="0.35">
      <c r="A10" s="19" t="s">
        <v>71</v>
      </c>
      <c r="B10" s="19" t="s">
        <v>14</v>
      </c>
      <c r="C10" s="19" t="s">
        <v>62</v>
      </c>
      <c r="D10" s="20">
        <v>0</v>
      </c>
      <c r="E10" s="20">
        <v>27</v>
      </c>
      <c r="F10" s="20">
        <v>27</v>
      </c>
      <c r="G10" s="30">
        <v>0</v>
      </c>
      <c r="H10" s="30">
        <v>0.26886291179596172</v>
      </c>
      <c r="I10" s="30">
        <v>0.26461211477151964</v>
      </c>
      <c r="J10" s="30">
        <v>0.27842720510095642</v>
      </c>
      <c r="K10" s="30">
        <v>0.13602550478214664</v>
      </c>
      <c r="L10" s="30">
        <v>5.2072263549415514E-2</v>
      </c>
      <c r="M10" s="33">
        <f t="shared" si="13"/>
        <v>0</v>
      </c>
      <c r="N10" s="33">
        <f t="shared" si="14"/>
        <v>8.7717460780373475</v>
      </c>
      <c r="O10" s="33">
        <f t="shared" si="15"/>
        <v>8.6330623455782582</v>
      </c>
      <c r="P10" s="33">
        <f t="shared" si="16"/>
        <v>9.0837844760702975</v>
      </c>
      <c r="Q10" s="33">
        <f t="shared" si="17"/>
        <v>4.4378794386908318</v>
      </c>
      <c r="R10" s="33">
        <f t="shared" si="18"/>
        <v>1.6988757226238342</v>
      </c>
      <c r="S10" s="31">
        <f>VLOOKUP(B10,'Edu updated'!B$2:J$48,8,FALSE)</f>
        <v>0</v>
      </c>
      <c r="T10" s="32">
        <v>8.1100000000000005E-2</v>
      </c>
      <c r="U10" s="33">
        <f t="shared" si="20"/>
        <v>2.1897000000000002</v>
      </c>
      <c r="V10" s="42">
        <f t="shared" si="21"/>
        <v>26.733746429330495</v>
      </c>
      <c r="W10" s="42">
        <f t="shared" si="2"/>
        <v>27.509796839218453</v>
      </c>
      <c r="X10" s="42">
        <f t="shared" si="3"/>
        <v>28.275290984232271</v>
      </c>
      <c r="Y10" s="42">
        <f t="shared" si="4"/>
        <v>29.030372456497759</v>
      </c>
      <c r="Z10" s="42">
        <f t="shared" si="5"/>
        <v>29.775182894921592</v>
      </c>
      <c r="AA10" s="42">
        <f t="shared" si="6"/>
        <v>30.509862011760063</v>
      </c>
      <c r="AB10" s="42">
        <f t="shared" si="7"/>
        <v>31.234547618826447</v>
      </c>
      <c r="AC10" s="42">
        <f t="shared" si="8"/>
        <v>31.949375653341875</v>
      </c>
      <c r="AD10">
        <f>VLOOKUP(B10,Migration!A$2:B$193,2,FALSE)</f>
        <v>274</v>
      </c>
      <c r="AE10">
        <f t="shared" si="9"/>
        <v>0.05</v>
      </c>
      <c r="AF10" t="str">
        <f t="shared" si="10"/>
        <v>Increased</v>
      </c>
      <c r="AG10" t="b">
        <f t="shared" si="11"/>
        <v>0</v>
      </c>
      <c r="AH10">
        <v>2.8692879914984058E-2</v>
      </c>
      <c r="AI10" s="51">
        <f t="shared" si="12"/>
        <v>7.8618490967056323</v>
      </c>
    </row>
    <row r="11" spans="1:35" x14ac:dyDescent="0.35">
      <c r="A11" s="19" t="s">
        <v>72</v>
      </c>
      <c r="B11" s="19" t="s">
        <v>8</v>
      </c>
      <c r="C11" s="23" t="s">
        <v>68</v>
      </c>
      <c r="D11" s="20">
        <v>514</v>
      </c>
      <c r="E11" s="20">
        <v>444</v>
      </c>
      <c r="F11" s="20">
        <v>537</v>
      </c>
      <c r="G11" s="34">
        <v>0.16765299086895941</v>
      </c>
      <c r="H11" s="34">
        <v>0.35339731243898659</v>
      </c>
      <c r="I11" s="34">
        <v>0.29951984150713429</v>
      </c>
      <c r="J11" s="34">
        <v>0.1336555241914486</v>
      </c>
      <c r="K11" s="34">
        <v>4.3048783589516915E-2</v>
      </c>
      <c r="L11" s="34">
        <v>2.7255474039542516E-3</v>
      </c>
      <c r="M11" s="33">
        <f t="shared" si="13"/>
        <v>5.4697371805675514</v>
      </c>
      <c r="N11" s="33">
        <f t="shared" si="14"/>
        <v>11.529710322144105</v>
      </c>
      <c r="O11" s="33">
        <f t="shared" si="15"/>
        <v>9.771939080345982</v>
      </c>
      <c r="P11" s="33">
        <f t="shared" si="16"/>
        <v>4.3605579970214929</v>
      </c>
      <c r="Q11" s="33">
        <f t="shared" si="17"/>
        <v>1.4044815482106789</v>
      </c>
      <c r="R11" s="33">
        <f t="shared" si="18"/>
        <v>8.8921932710763985E-2</v>
      </c>
      <c r="S11" s="31">
        <f>VLOOKUP(B11,'Edu updated'!B$2:J$48,8,FALSE)</f>
        <v>0</v>
      </c>
      <c r="T11" s="32">
        <v>0.16200000000000001</v>
      </c>
      <c r="U11" s="33">
        <f t="shared" si="20"/>
        <v>86.994</v>
      </c>
      <c r="V11" s="42">
        <f t="shared" si="21"/>
        <v>596.39077653840866</v>
      </c>
      <c r="W11" s="42">
        <f t="shared" si="2"/>
        <v>654.67778228534212</v>
      </c>
      <c r="X11" s="42">
        <f t="shared" si="3"/>
        <v>712.71386956262756</v>
      </c>
      <c r="Y11" s="42">
        <f t="shared" si="4"/>
        <v>770.50011854375475</v>
      </c>
      <c r="Z11" s="42">
        <f t="shared" si="5"/>
        <v>828.03760475219815</v>
      </c>
      <c r="AA11" s="42">
        <f t="shared" si="6"/>
        <v>885.32739908143424</v>
      </c>
      <c r="AB11" s="42">
        <f t="shared" si="7"/>
        <v>942.37056781487365</v>
      </c>
      <c r="AC11" s="42">
        <f t="shared" si="8"/>
        <v>999.16817264570648</v>
      </c>
      <c r="AD11">
        <f>VLOOKUP(B11,Migration!A$2:B$193,2,FALSE)</f>
        <v>1</v>
      </c>
      <c r="AE11">
        <f t="shared" si="9"/>
        <v>0.05</v>
      </c>
      <c r="AF11" t="str">
        <f t="shared" si="10"/>
        <v>Increased</v>
      </c>
      <c r="AG11" t="b">
        <f t="shared" si="11"/>
        <v>0</v>
      </c>
      <c r="AH11">
        <v>0.82809011335916205</v>
      </c>
      <c r="AI11" s="51">
        <f t="shared" si="12"/>
        <v>0.82809011335916205</v>
      </c>
    </row>
    <row r="12" spans="1:35" x14ac:dyDescent="0.35">
      <c r="A12" s="19" t="s">
        <v>73</v>
      </c>
      <c r="B12" s="19" t="s">
        <v>43</v>
      </c>
      <c r="C12" s="19" t="s">
        <v>68</v>
      </c>
      <c r="D12" s="20">
        <v>451</v>
      </c>
      <c r="E12" s="20">
        <v>936</v>
      </c>
      <c r="F12" s="20">
        <v>904.24132573795964</v>
      </c>
      <c r="G12" s="30">
        <v>3.653103653103653E-2</v>
      </c>
      <c r="H12" s="30">
        <v>0.44371844371844371</v>
      </c>
      <c r="I12" s="30">
        <v>0.31006831006831009</v>
      </c>
      <c r="J12" s="30">
        <v>0.14582714582714582</v>
      </c>
      <c r="K12" s="30">
        <v>6.3855063855063857E-2</v>
      </c>
      <c r="L12" s="30">
        <v>0</v>
      </c>
      <c r="M12" s="33">
        <f t="shared" si="13"/>
        <v>1.1918377818541936</v>
      </c>
      <c r="N12" s="33">
        <f t="shared" si="14"/>
        <v>14.476468667399718</v>
      </c>
      <c r="O12" s="33">
        <f t="shared" si="15"/>
        <v>10.116086538664865</v>
      </c>
      <c r="P12" s="33">
        <f t="shared" si="16"/>
        <v>4.7576613893529194</v>
      </c>
      <c r="Q12" s="33">
        <f t="shared" si="17"/>
        <v>2.0832936837288751</v>
      </c>
      <c r="R12" s="33">
        <f t="shared" si="18"/>
        <v>0</v>
      </c>
      <c r="S12" s="31">
        <f>VLOOKUP(B12,'Edu updated'!B$2:J$48,8,FALSE)</f>
        <v>2084</v>
      </c>
      <c r="T12" s="32">
        <f>S12/F12</f>
        <v>2.3046944888293273</v>
      </c>
      <c r="U12" s="33">
        <f t="shared" si="20"/>
        <v>2084</v>
      </c>
      <c r="V12" s="42">
        <f t="shared" si="21"/>
        <v>2362.1470025194121</v>
      </c>
      <c r="W12" s="42">
        <f t="shared" si="2"/>
        <v>3804.9691745327718</v>
      </c>
      <c r="X12" s="42">
        <f t="shared" si="3"/>
        <v>5238.5781963535901</v>
      </c>
      <c r="Y12" s="42">
        <f t="shared" si="4"/>
        <v>6663.0328986112527</v>
      </c>
      <c r="Z12" s="42">
        <f t="shared" si="5"/>
        <v>8078.3917362717839</v>
      </c>
      <c r="AA12" s="42">
        <f t="shared" si="6"/>
        <v>9484.7127910366489</v>
      </c>
      <c r="AB12" s="42">
        <f t="shared" si="7"/>
        <v>10882.053773726242</v>
      </c>
      <c r="AC12" s="42">
        <f t="shared" si="8"/>
        <v>12270.47202664814</v>
      </c>
      <c r="AD12">
        <f>VLOOKUP(B12,Migration!A$2:B$193,2,FALSE)</f>
        <v>67</v>
      </c>
      <c r="AE12">
        <f t="shared" si="9"/>
        <v>0.05</v>
      </c>
      <c r="AF12" t="str">
        <f t="shared" si="10"/>
        <v>Increased</v>
      </c>
      <c r="AG12" t="b">
        <f t="shared" si="11"/>
        <v>0</v>
      </c>
      <c r="AH12">
        <v>0.2669621547903171</v>
      </c>
      <c r="AI12" s="51">
        <f t="shared" si="12"/>
        <v>17.886464370951245</v>
      </c>
    </row>
    <row r="13" spans="1:35" x14ac:dyDescent="0.35">
      <c r="A13" s="19" t="s">
        <v>74</v>
      </c>
      <c r="B13" s="19" t="s">
        <v>13</v>
      </c>
      <c r="C13" s="23" t="s">
        <v>62</v>
      </c>
      <c r="D13" s="20">
        <v>295</v>
      </c>
      <c r="E13" s="20">
        <v>487</v>
      </c>
      <c r="F13" s="20">
        <v>586</v>
      </c>
      <c r="G13" s="34">
        <v>3.1079803713894617E-2</v>
      </c>
      <c r="H13" s="34">
        <v>0.33653962637948021</v>
      </c>
      <c r="I13" s="34">
        <v>0.34941395631522804</v>
      </c>
      <c r="J13" s="34">
        <v>0.20169962632044125</v>
      </c>
      <c r="K13" s="34">
        <v>7.3507084647192453E-2</v>
      </c>
      <c r="L13" s="34">
        <v>7.7599026237634297E-3</v>
      </c>
      <c r="M13" s="33">
        <f t="shared" si="13"/>
        <v>1.01398941383339</v>
      </c>
      <c r="N13" s="33">
        <f t="shared" si="14"/>
        <v>10.979722446949632</v>
      </c>
      <c r="O13" s="33">
        <f t="shared" si="15"/>
        <v>11.399751942155564</v>
      </c>
      <c r="P13" s="33">
        <f t="shared" si="16"/>
        <v>6.5805205124781478</v>
      </c>
      <c r="Q13" s="33">
        <f t="shared" si="17"/>
        <v>2.398194221564085</v>
      </c>
      <c r="R13" s="33">
        <f t="shared" si="18"/>
        <v>0.25316952401975346</v>
      </c>
      <c r="S13" s="31">
        <f>VLOOKUP(B13,'Edu updated'!B$2:J$48,8,FALSE)</f>
        <v>29</v>
      </c>
      <c r="T13" s="32">
        <f t="shared" ref="T13:T49" si="22">S13/F13</f>
        <v>4.9488054607508533E-2</v>
      </c>
      <c r="U13" s="33">
        <f t="shared" si="20"/>
        <v>29</v>
      </c>
      <c r="V13" s="42">
        <f t="shared" si="21"/>
        <v>601.75269706247457</v>
      </c>
      <c r="W13" s="42">
        <f t="shared" si="2"/>
        <v>617.62938841850973</v>
      </c>
      <c r="X13" s="42">
        <f t="shared" si="3"/>
        <v>633.38937484500241</v>
      </c>
      <c r="Y13" s="42">
        <f t="shared" si="4"/>
        <v>649.03351420586603</v>
      </c>
      <c r="Z13" s="42">
        <f t="shared" si="5"/>
        <v>664.56265805910652</v>
      </c>
      <c r="AA13" s="42">
        <f t="shared" si="6"/>
        <v>679.97765170317507</v>
      </c>
      <c r="AB13" s="42">
        <f t="shared" si="7"/>
        <v>695.27933422298065</v>
      </c>
      <c r="AC13" s="42">
        <f t="shared" si="8"/>
        <v>710.46853853556343</v>
      </c>
      <c r="AD13">
        <v>0</v>
      </c>
      <c r="AE13">
        <f t="shared" si="9"/>
        <v>0.05</v>
      </c>
      <c r="AF13" t="str">
        <f t="shared" si="10"/>
        <v>Increased</v>
      </c>
      <c r="AG13" t="b">
        <f t="shared" si="11"/>
        <v>0</v>
      </c>
      <c r="AH13">
        <v>0.74652441855399554</v>
      </c>
      <c r="AI13" s="51">
        <f t="shared" si="12"/>
        <v>0</v>
      </c>
    </row>
    <row r="14" spans="1:35" x14ac:dyDescent="0.35">
      <c r="A14" s="19" t="s">
        <v>75</v>
      </c>
      <c r="B14" s="19" t="s">
        <v>12</v>
      </c>
      <c r="C14" s="19" t="s">
        <v>62</v>
      </c>
      <c r="D14" s="20">
        <v>1282</v>
      </c>
      <c r="E14" s="20">
        <v>1069</v>
      </c>
      <c r="F14" s="20">
        <v>1042.4138703986166</v>
      </c>
      <c r="G14" s="30">
        <v>1.3457742687959805E-2</v>
      </c>
      <c r="H14" s="30">
        <v>0.12739996411268617</v>
      </c>
      <c r="I14" s="30">
        <v>0.46438184101919971</v>
      </c>
      <c r="J14" s="30">
        <v>0.27310245828099766</v>
      </c>
      <c r="K14" s="30">
        <v>0.12111968419163825</v>
      </c>
      <c r="L14" s="30">
        <v>5.3830970751839223E-4</v>
      </c>
      <c r="M14" s="33">
        <f t="shared" si="13"/>
        <v>0.43906353931007408</v>
      </c>
      <c r="N14" s="33">
        <f t="shared" si="14"/>
        <v>4.1564681721353685</v>
      </c>
      <c r="O14" s="33">
        <f t="shared" si="15"/>
        <v>15.150619196459623</v>
      </c>
      <c r="P14" s="33">
        <f t="shared" si="16"/>
        <v>8.9100627577324367</v>
      </c>
      <c r="Q14" s="33">
        <f t="shared" si="17"/>
        <v>3.9515718537906666</v>
      </c>
      <c r="R14" s="33">
        <f t="shared" si="18"/>
        <v>1.7562541572402963E-2</v>
      </c>
      <c r="S14" s="31">
        <f>VLOOKUP(B14,'Edu updated'!B$2:J$48,8,FALSE)</f>
        <v>120</v>
      </c>
      <c r="T14" s="32">
        <f t="shared" si="22"/>
        <v>0.11511742447758516</v>
      </c>
      <c r="U14" s="33">
        <f t="shared" si="20"/>
        <v>120</v>
      </c>
      <c r="V14" s="42">
        <f t="shared" si="21"/>
        <v>1123.1592496656297</v>
      </c>
      <c r="W14" s="42">
        <f t="shared" si="2"/>
        <v>1190.8621010766883</v>
      </c>
      <c r="X14" s="42">
        <f t="shared" si="3"/>
        <v>1257.7449376895688</v>
      </c>
      <c r="Y14" s="42">
        <f t="shared" si="4"/>
        <v>1323.81769149761</v>
      </c>
      <c r="Z14" s="42">
        <f t="shared" si="5"/>
        <v>1389.0901741981609</v>
      </c>
      <c r="AA14" s="42">
        <f t="shared" si="6"/>
        <v>1453.5720786496024</v>
      </c>
      <c r="AB14" s="42">
        <f t="shared" si="7"/>
        <v>1517.2729803107204</v>
      </c>
      <c r="AC14" s="42">
        <f t="shared" si="8"/>
        <v>1580.2023386626468</v>
      </c>
      <c r="AD14">
        <f>VLOOKUP(B14,Migration!A$2:B$193,2,FALSE)</f>
        <v>288</v>
      </c>
      <c r="AE14">
        <f t="shared" si="9"/>
        <v>0.05</v>
      </c>
      <c r="AF14" t="str">
        <f t="shared" si="10"/>
        <v>Increased</v>
      </c>
      <c r="AG14" t="b">
        <f t="shared" si="11"/>
        <v>0</v>
      </c>
      <c r="AH14">
        <v>0.18704716856246484</v>
      </c>
      <c r="AI14" s="51">
        <f t="shared" si="12"/>
        <v>53.869584545989873</v>
      </c>
    </row>
    <row r="15" spans="1:35" x14ac:dyDescent="0.35">
      <c r="A15" s="19" t="s">
        <v>76</v>
      </c>
      <c r="B15" s="19" t="s">
        <v>9</v>
      </c>
      <c r="C15" s="19" t="s">
        <v>62</v>
      </c>
      <c r="D15" s="20">
        <v>3851</v>
      </c>
      <c r="E15" s="20">
        <v>5460</v>
      </c>
      <c r="F15" s="20">
        <v>7425</v>
      </c>
      <c r="G15" s="30">
        <v>2.3366045797449764E-3</v>
      </c>
      <c r="H15" s="30">
        <v>0.25175245343480873</v>
      </c>
      <c r="I15" s="30">
        <v>0.45316776820882571</v>
      </c>
      <c r="J15" s="30">
        <v>0.20134855464316709</v>
      </c>
      <c r="K15" s="30">
        <v>9.1194338740903935E-2</v>
      </c>
      <c r="L15" s="30">
        <v>2.002803925495694E-4</v>
      </c>
      <c r="M15" s="33">
        <f t="shared" si="13"/>
        <v>7.6232537695107822E-2</v>
      </c>
      <c r="N15" s="33">
        <f t="shared" si="14"/>
        <v>8.2135114185214739</v>
      </c>
      <c r="O15" s="33">
        <f t="shared" si="15"/>
        <v>14.784756167839769</v>
      </c>
      <c r="P15" s="33">
        <f t="shared" si="16"/>
        <v>6.5690666768127191</v>
      </c>
      <c r="Q15" s="33">
        <f t="shared" si="17"/>
        <v>2.9752470426147797</v>
      </c>
      <c r="R15" s="33">
        <f t="shared" si="18"/>
        <v>6.5342175167235278E-3</v>
      </c>
      <c r="S15" s="31">
        <f>VLOOKUP(B15,'Edu updated'!B$2:J$48,8,FALSE)</f>
        <v>0</v>
      </c>
      <c r="T15" s="32">
        <v>4.1940480510238735E-2</v>
      </c>
      <c r="U15" s="33">
        <f t="shared" si="20"/>
        <v>311.4080677885226</v>
      </c>
      <c r="V15" s="42">
        <f t="shared" si="21"/>
        <v>7634.1605532277608</v>
      </c>
      <c r="W15" s="42">
        <f t="shared" si="2"/>
        <v>7775.1889660208526</v>
      </c>
      <c r="X15" s="42">
        <f t="shared" si="3"/>
        <v>7914.9312795291098</v>
      </c>
      <c r="Y15" s="42">
        <f t="shared" si="4"/>
        <v>8053.3992222499155</v>
      </c>
      <c r="Z15" s="42">
        <f t="shared" si="5"/>
        <v>8190.6044157233982</v>
      </c>
      <c r="AA15" s="42">
        <f t="shared" si="6"/>
        <v>8326.5583755078169</v>
      </c>
      <c r="AB15" s="42">
        <f t="shared" si="7"/>
        <v>8461.2725121460608</v>
      </c>
      <c r="AC15" s="42">
        <f t="shared" si="8"/>
        <v>8594.7581321233265</v>
      </c>
      <c r="AD15">
        <f>VLOOKUP(B15,Migration!A$2:B$193,2,FALSE)</f>
        <v>380</v>
      </c>
      <c r="AE15">
        <f t="shared" si="9"/>
        <v>0.05</v>
      </c>
      <c r="AF15" t="str">
        <f t="shared" si="10"/>
        <v>Increased</v>
      </c>
      <c r="AG15" t="b">
        <f t="shared" si="11"/>
        <v>0</v>
      </c>
      <c r="AH15">
        <v>0.38621117418548601</v>
      </c>
      <c r="AI15" s="51">
        <f t="shared" si="12"/>
        <v>146.76024619048468</v>
      </c>
    </row>
    <row r="16" spans="1:35" x14ac:dyDescent="0.35">
      <c r="A16" s="19" t="s">
        <v>77</v>
      </c>
      <c r="B16" s="19" t="s">
        <v>11</v>
      </c>
      <c r="C16" s="23" t="s">
        <v>68</v>
      </c>
      <c r="D16" s="20">
        <v>1555</v>
      </c>
      <c r="E16" s="20">
        <v>3642</v>
      </c>
      <c r="F16" s="20">
        <v>3039.2846492442031</v>
      </c>
      <c r="G16" s="34">
        <v>0.16765299086895941</v>
      </c>
      <c r="H16" s="34">
        <v>0.35339731243898659</v>
      </c>
      <c r="I16" s="34">
        <v>0.29951984150713429</v>
      </c>
      <c r="J16" s="34">
        <v>0.1336555241914486</v>
      </c>
      <c r="K16" s="34">
        <v>4.3048783589516915E-2</v>
      </c>
      <c r="L16" s="34">
        <v>2.7255474039542516E-3</v>
      </c>
      <c r="M16" s="33">
        <f t="shared" si="13"/>
        <v>5.4697371805675514</v>
      </c>
      <c r="N16" s="33">
        <f t="shared" si="14"/>
        <v>11.529710322144105</v>
      </c>
      <c r="O16" s="33">
        <f t="shared" si="15"/>
        <v>9.771939080345982</v>
      </c>
      <c r="P16" s="33">
        <f t="shared" si="16"/>
        <v>4.3605579970214929</v>
      </c>
      <c r="Q16" s="33">
        <f t="shared" si="17"/>
        <v>1.4044815482106789</v>
      </c>
      <c r="R16" s="33">
        <f t="shared" si="18"/>
        <v>8.8921932710763985E-2</v>
      </c>
      <c r="S16" s="31">
        <f>VLOOKUP(B16,'Edu updated'!B$2:J$48,8,FALSE)</f>
        <v>3453</v>
      </c>
      <c r="T16" s="32">
        <f t="shared" si="22"/>
        <v>1.1361226072913828</v>
      </c>
      <c r="U16" s="33">
        <f t="shared" si="20"/>
        <v>3453</v>
      </c>
      <c r="V16" s="42">
        <f t="shared" si="21"/>
        <v>5448.0086883683043</v>
      </c>
      <c r="W16" s="42">
        <f t="shared" si="2"/>
        <v>7841.5634271760928</v>
      </c>
      <c r="X16" s="42">
        <f t="shared" si="3"/>
        <v>10224.814203987822</v>
      </c>
      <c r="Y16" s="42">
        <f t="shared" si="4"/>
        <v>12597.8053761065</v>
      </c>
      <c r="Z16" s="42">
        <f t="shared" si="5"/>
        <v>14960.581109882341</v>
      </c>
      <c r="AA16" s="42">
        <f t="shared" si="6"/>
        <v>17313.185381534797</v>
      </c>
      <c r="AB16" s="42">
        <f t="shared" si="7"/>
        <v>19655.661977971035</v>
      </c>
      <c r="AC16" s="42">
        <f t="shared" si="8"/>
        <v>21988.054497600926</v>
      </c>
      <c r="AD16">
        <f>VLOOKUP(B16,Migration!A$2:B$193,2,FALSE)</f>
        <v>70</v>
      </c>
      <c r="AE16">
        <f t="shared" si="9"/>
        <v>0.05</v>
      </c>
      <c r="AF16" t="str">
        <f t="shared" si="10"/>
        <v>Increased</v>
      </c>
      <c r="AG16" t="b">
        <f t="shared" si="11"/>
        <v>0</v>
      </c>
      <c r="AH16">
        <v>2.635614007808286E-2</v>
      </c>
      <c r="AI16" s="51">
        <f t="shared" si="12"/>
        <v>1.8449298054658001</v>
      </c>
    </row>
    <row r="17" spans="1:35" x14ac:dyDescent="0.35">
      <c r="A17" s="19" t="s">
        <v>78</v>
      </c>
      <c r="B17" s="19" t="s">
        <v>23</v>
      </c>
      <c r="C17" s="23" t="s">
        <v>66</v>
      </c>
      <c r="D17" s="20">
        <v>0</v>
      </c>
      <c r="E17" s="20">
        <v>51</v>
      </c>
      <c r="F17" s="20">
        <v>26.43386881936955</v>
      </c>
      <c r="G17" s="34">
        <v>1.8679111475270328E-2</v>
      </c>
      <c r="H17" s="34">
        <v>0.24613491771786639</v>
      </c>
      <c r="I17" s="34">
        <v>0.31712615934178301</v>
      </c>
      <c r="J17" s="34">
        <v>0.24329284860264971</v>
      </c>
      <c r="K17" s="34">
        <v>0.13924057054727651</v>
      </c>
      <c r="L17" s="34">
        <v>3.5526392315154053E-2</v>
      </c>
      <c r="M17" s="33">
        <f t="shared" si="13"/>
        <v>0.60941251335092439</v>
      </c>
      <c r="N17" s="33">
        <f t="shared" si="14"/>
        <v>8.0302373605111281</v>
      </c>
      <c r="O17" s="33">
        <f t="shared" si="15"/>
        <v>10.346351327773998</v>
      </c>
      <c r="P17" s="33">
        <f t="shared" si="16"/>
        <v>7.9375138664137639</v>
      </c>
      <c r="Q17" s="33">
        <f t="shared" si="17"/>
        <v>4.542772078317201</v>
      </c>
      <c r="R17" s="33">
        <f t="shared" si="18"/>
        <v>1.1590609146335569</v>
      </c>
      <c r="S17" s="31">
        <f>VLOOKUP(B17,'Edu updated'!B$2:J$48,8,FALSE)</f>
        <v>492</v>
      </c>
      <c r="T17" s="32">
        <f t="shared" si="22"/>
        <v>18.612485495860692</v>
      </c>
      <c r="U17" s="33">
        <f t="shared" si="20"/>
        <v>491.99999999999994</v>
      </c>
      <c r="V17" s="42">
        <f>E17*(1-L17)+0.7*U17-AI17*AE17</f>
        <v>393.57854167599277</v>
      </c>
      <c r="W17" s="42">
        <f t="shared" si="2"/>
        <v>732.48871929024529</v>
      </c>
      <c r="X17" s="42">
        <f t="shared" si="3"/>
        <v>1066.679892254969</v>
      </c>
      <c r="Y17" s="42">
        <f t="shared" si="4"/>
        <v>1396.2177682601455</v>
      </c>
      <c r="Z17" s="42">
        <f t="shared" si="5"/>
        <v>1721.1671400781322</v>
      </c>
      <c r="AA17" s="42">
        <f t="shared" si="6"/>
        <v>2041.5918983030274</v>
      </c>
      <c r="AB17" s="42">
        <f t="shared" si="7"/>
        <v>2357.5550439126519</v>
      </c>
      <c r="AC17" s="42">
        <f t="shared" si="8"/>
        <v>2669.118700655617</v>
      </c>
      <c r="AD17">
        <f>VLOOKUP(B17,Migration!A$2:B$193,2,FALSE)</f>
        <v>10</v>
      </c>
      <c r="AE17">
        <f t="shared" si="9"/>
        <v>0.05</v>
      </c>
      <c r="AF17" t="str">
        <f t="shared" si="10"/>
        <v>Increased</v>
      </c>
      <c r="AG17" t="b">
        <f t="shared" si="11"/>
        <v>1</v>
      </c>
      <c r="AH17">
        <v>1.9224631868632401E-2</v>
      </c>
      <c r="AI17" s="51">
        <f t="shared" si="12"/>
        <v>0.19224631868632402</v>
      </c>
    </row>
    <row r="18" spans="1:35" x14ac:dyDescent="0.35">
      <c r="A18" s="19" t="s">
        <v>79</v>
      </c>
      <c r="B18" s="19" t="s">
        <v>16</v>
      </c>
      <c r="C18" s="19" t="s">
        <v>68</v>
      </c>
      <c r="D18" s="20">
        <v>0</v>
      </c>
      <c r="E18" s="20">
        <v>45</v>
      </c>
      <c r="F18" s="20">
        <v>67</v>
      </c>
      <c r="G18" s="30">
        <v>0.17155981625723987</v>
      </c>
      <c r="H18" s="30">
        <v>0.41601757539444778</v>
      </c>
      <c r="I18" s="30">
        <v>0.18773716796484921</v>
      </c>
      <c r="J18" s="30">
        <v>0.18294387857000199</v>
      </c>
      <c r="K18" s="30">
        <v>4.1741561813461156E-2</v>
      </c>
      <c r="L18" s="30">
        <v>0</v>
      </c>
      <c r="M18" s="33">
        <f t="shared" si="13"/>
        <v>5.5971987186737557</v>
      </c>
      <c r="N18" s="33">
        <f t="shared" si="14"/>
        <v>13.572718196737407</v>
      </c>
      <c r="O18" s="33">
        <f t="shared" si="15"/>
        <v>6.124990448839732</v>
      </c>
      <c r="P18" s="33">
        <f t="shared" si="16"/>
        <v>5.9686077139757385</v>
      </c>
      <c r="Q18" s="33">
        <f t="shared" si="17"/>
        <v>1.3618329827739404</v>
      </c>
      <c r="R18" s="33">
        <f t="shared" si="18"/>
        <v>0</v>
      </c>
      <c r="S18" s="31">
        <f>VLOOKUP(B18,'Edu updated'!B$2:J$48,8,FALSE)</f>
        <v>0</v>
      </c>
      <c r="T18" s="32">
        <v>0.12840710515778667</v>
      </c>
      <c r="U18" s="33">
        <f t="shared" si="20"/>
        <v>8.6032760455717074</v>
      </c>
      <c r="V18" s="42">
        <f t="shared" si="21"/>
        <v>71.840727424031215</v>
      </c>
      <c r="W18" s="42">
        <f t="shared" si="2"/>
        <v>76.381580431613017</v>
      </c>
      <c r="X18" s="42">
        <f t="shared" si="3"/>
        <v>80.903479209544628</v>
      </c>
      <c r="Y18" s="42">
        <f t="shared" si="4"/>
        <v>85.406502875740912</v>
      </c>
      <c r="Z18" s="42">
        <f t="shared" si="5"/>
        <v>89.890730217866206</v>
      </c>
      <c r="AA18" s="42">
        <f t="shared" si="6"/>
        <v>94.356239694712798</v>
      </c>
      <c r="AB18" s="42">
        <f t="shared" si="7"/>
        <v>98.803109437573752</v>
      </c>
      <c r="AC18" s="42">
        <f t="shared" si="8"/>
        <v>103.2314172516099</v>
      </c>
      <c r="AD18">
        <f>VLOOKUP(B18,Migration!A$2:B$193,2,FALSE)</f>
        <v>1766</v>
      </c>
      <c r="AE18">
        <f t="shared" si="9"/>
        <v>0.05</v>
      </c>
      <c r="AF18" t="str">
        <f t="shared" si="10"/>
        <v>Increased</v>
      </c>
      <c r="AG18" t="b">
        <f t="shared" si="11"/>
        <v>0</v>
      </c>
      <c r="AH18">
        <v>1.3381266227281806E-2</v>
      </c>
      <c r="AI18" s="51">
        <f t="shared" si="12"/>
        <v>23.631316157379668</v>
      </c>
    </row>
    <row r="19" spans="1:35" x14ac:dyDescent="0.35">
      <c r="A19" s="19" t="s">
        <v>80</v>
      </c>
      <c r="B19" s="19" t="s">
        <v>41</v>
      </c>
      <c r="C19" s="19" t="s">
        <v>62</v>
      </c>
      <c r="D19" s="20">
        <v>0</v>
      </c>
      <c r="E19" s="20">
        <v>14</v>
      </c>
      <c r="F19" s="20">
        <v>14</v>
      </c>
      <c r="G19" s="30">
        <v>2.8271112722000724E-2</v>
      </c>
      <c r="H19" s="30">
        <v>0.38963392533526642</v>
      </c>
      <c r="I19" s="30">
        <v>0.30518303733236679</v>
      </c>
      <c r="J19" s="30">
        <v>0.18412468285610728</v>
      </c>
      <c r="K19" s="30">
        <v>8.6625588981515039E-2</v>
      </c>
      <c r="L19" s="30">
        <v>6.1616527727437476E-3</v>
      </c>
      <c r="M19" s="33">
        <f t="shared" si="13"/>
        <v>0.92235489262705495</v>
      </c>
      <c r="N19" s="33">
        <f t="shared" si="14"/>
        <v>12.711942430436975</v>
      </c>
      <c r="O19" s="33">
        <f t="shared" si="15"/>
        <v>9.9567028152817976</v>
      </c>
      <c r="P19" s="33">
        <f t="shared" si="16"/>
        <v>6.0071318648018446</v>
      </c>
      <c r="Q19" s="33">
        <f t="shared" si="17"/>
        <v>2.8261899915111042</v>
      </c>
      <c r="R19" s="33">
        <f t="shared" si="18"/>
        <v>0.20102606634179401</v>
      </c>
      <c r="S19" s="31">
        <f>VLOOKUP(B19,'Edu updated'!B$2:J$48,8,FALSE)</f>
        <v>80</v>
      </c>
      <c r="T19" s="32">
        <f t="shared" si="22"/>
        <v>5.7142857142857144</v>
      </c>
      <c r="U19" s="33">
        <f t="shared" si="20"/>
        <v>80</v>
      </c>
      <c r="V19" s="42">
        <f t="shared" si="21"/>
        <v>69.89744536938457</v>
      </c>
      <c r="W19" s="42">
        <f t="shared" si="2"/>
        <v>125.27566314024493</v>
      </c>
      <c r="X19" s="42">
        <f t="shared" si="3"/>
        <v>180.17416383799053</v>
      </c>
      <c r="Y19" s="42">
        <f t="shared" si="4"/>
        <v>234.59710304002172</v>
      </c>
      <c r="Z19" s="42">
        <f t="shared" si="5"/>
        <v>288.54860032580484</v>
      </c>
      <c r="AA19" s="42">
        <f t="shared" si="6"/>
        <v>342.03273958870636</v>
      </c>
      <c r="AB19" s="42">
        <f t="shared" si="7"/>
        <v>395.05356934512611</v>
      </c>
      <c r="AC19" s="42">
        <f t="shared" si="8"/>
        <v>447.61510304095196</v>
      </c>
      <c r="AD19">
        <f>VLOOKUP(B19,Migration!A$2:B$193,2,FALSE)</f>
        <v>122</v>
      </c>
      <c r="AE19">
        <f t="shared" si="9"/>
        <v>0.05</v>
      </c>
      <c r="AF19" t="str">
        <f t="shared" si="10"/>
        <v>Increased</v>
      </c>
      <c r="AG19" t="b">
        <f t="shared" si="11"/>
        <v>0</v>
      </c>
      <c r="AH19">
        <v>2.6707363601678751E-3</v>
      </c>
      <c r="AI19" s="51">
        <f t="shared" si="12"/>
        <v>0.32582983594048076</v>
      </c>
    </row>
    <row r="20" spans="1:35" x14ac:dyDescent="0.35">
      <c r="A20" s="19" t="s">
        <v>81</v>
      </c>
      <c r="B20" s="19" t="s">
        <v>17</v>
      </c>
      <c r="C20" s="23" t="s">
        <v>68</v>
      </c>
      <c r="D20" s="20">
        <v>6925</v>
      </c>
      <c r="E20" s="20">
        <v>16161</v>
      </c>
      <c r="F20" s="20">
        <v>34541</v>
      </c>
      <c r="G20" s="34">
        <v>0.16765299086895941</v>
      </c>
      <c r="H20" s="34">
        <v>0.35339731243898659</v>
      </c>
      <c r="I20" s="34">
        <v>0.29951984150713429</v>
      </c>
      <c r="J20" s="34">
        <v>0.1336555241914486</v>
      </c>
      <c r="K20" s="34">
        <v>4.3048783589516915E-2</v>
      </c>
      <c r="L20" s="34">
        <v>2.7255474039542516E-3</v>
      </c>
      <c r="M20" s="33">
        <f t="shared" si="13"/>
        <v>5.4697371805675514</v>
      </c>
      <c r="N20" s="33">
        <f t="shared" si="14"/>
        <v>11.529710322144105</v>
      </c>
      <c r="O20" s="33">
        <f t="shared" si="15"/>
        <v>9.771939080345982</v>
      </c>
      <c r="P20" s="33">
        <f t="shared" si="16"/>
        <v>4.3605579970214929</v>
      </c>
      <c r="Q20" s="33">
        <f t="shared" si="17"/>
        <v>1.4044815482106789</v>
      </c>
      <c r="R20" s="33">
        <f t="shared" si="18"/>
        <v>8.8921932710763985E-2</v>
      </c>
      <c r="S20" s="31">
        <f>VLOOKUP(B20,'Edu updated'!B$2:J$48,8,FALSE)</f>
        <v>2440</v>
      </c>
      <c r="T20" s="32">
        <f t="shared" si="22"/>
        <v>7.0640687878173763E-2</v>
      </c>
      <c r="U20" s="33">
        <f t="shared" si="20"/>
        <v>2440</v>
      </c>
      <c r="V20" s="42">
        <f t="shared" si="21"/>
        <v>36071.781843884048</v>
      </c>
      <c r="W20" s="42">
        <f t="shared" si="2"/>
        <v>37541.422187619515</v>
      </c>
      <c r="X20" s="42">
        <f t="shared" si="3"/>
        <v>39004.735908443792</v>
      </c>
      <c r="Y20" s="42">
        <f t="shared" si="4"/>
        <v>40461.750241698937</v>
      </c>
      <c r="Z20" s="42">
        <f t="shared" si="5"/>
        <v>41912.49230548217</v>
      </c>
      <c r="AA20" s="42">
        <f t="shared" si="6"/>
        <v>43356.989101150604</v>
      </c>
      <c r="AB20" s="42">
        <f t="shared" si="7"/>
        <v>44795.26751382379</v>
      </c>
      <c r="AC20" s="42">
        <f t="shared" si="8"/>
        <v>46227.354312884105</v>
      </c>
      <c r="AD20">
        <f>VLOOKUP(B20,Migration!A$2:B$193,2,FALSE)</f>
        <v>6314</v>
      </c>
      <c r="AE20">
        <f t="shared" si="9"/>
        <v>0.05</v>
      </c>
      <c r="AF20" t="str">
        <f t="shared" si="10"/>
        <v>Increased</v>
      </c>
      <c r="AG20" t="b">
        <f t="shared" si="11"/>
        <v>0</v>
      </c>
      <c r="AH20">
        <v>0.26314546479559964</v>
      </c>
      <c r="AI20" s="51">
        <f t="shared" si="12"/>
        <v>1661.5004647194162</v>
      </c>
    </row>
    <row r="21" spans="1:35" x14ac:dyDescent="0.35">
      <c r="A21" s="19" t="s">
        <v>82</v>
      </c>
      <c r="B21" s="19" t="s">
        <v>18</v>
      </c>
      <c r="C21" s="19" t="s">
        <v>66</v>
      </c>
      <c r="D21" s="20">
        <v>437</v>
      </c>
      <c r="E21" s="20">
        <v>733</v>
      </c>
      <c r="F21" s="20">
        <v>920</v>
      </c>
      <c r="G21" s="30">
        <v>0</v>
      </c>
      <c r="H21" s="30">
        <v>0.14379237783493104</v>
      </c>
      <c r="I21" s="30">
        <v>0.38812251578209023</v>
      </c>
      <c r="J21" s="30">
        <v>0.35819499649286884</v>
      </c>
      <c r="K21" s="30">
        <v>0.10989010989010989</v>
      </c>
      <c r="L21" s="30">
        <v>0</v>
      </c>
      <c r="M21" s="33">
        <f t="shared" si="13"/>
        <v>0</v>
      </c>
      <c r="N21" s="33">
        <f t="shared" si="14"/>
        <v>4.6912763753835289</v>
      </c>
      <c r="O21" s="33">
        <f t="shared" si="15"/>
        <v>12.662632167701881</v>
      </c>
      <c r="P21" s="33">
        <f t="shared" si="16"/>
        <v>11.686236434288725</v>
      </c>
      <c r="Q21" s="33">
        <f t="shared" si="17"/>
        <v>3.5852030836264364</v>
      </c>
      <c r="R21" s="33">
        <f t="shared" si="18"/>
        <v>0</v>
      </c>
      <c r="S21" s="31">
        <f>VLOOKUP(B21,'Edu updated'!B$2:J$48,8,FALSE)</f>
        <v>34</v>
      </c>
      <c r="T21" s="32">
        <f t="shared" si="22"/>
        <v>3.6956521739130437E-2</v>
      </c>
      <c r="U21" s="33">
        <f t="shared" si="20"/>
        <v>34</v>
      </c>
      <c r="V21" s="42">
        <f t="shared" si="21"/>
        <v>942.77381931866569</v>
      </c>
      <c r="W21" s="42">
        <f t="shared" si="2"/>
        <v>955.18748677668668</v>
      </c>
      <c r="X21" s="42">
        <f t="shared" si="3"/>
        <v>967.46474030659761</v>
      </c>
      <c r="Y21" s="42">
        <f t="shared" si="4"/>
        <v>979.60707896255349</v>
      </c>
      <c r="Z21" s="42">
        <f t="shared" si="5"/>
        <v>991.61598532558673</v>
      </c>
      <c r="AA21" s="42">
        <f t="shared" si="6"/>
        <v>1003.4929256846307</v>
      </c>
      <c r="AB21" s="42">
        <f t="shared" si="7"/>
        <v>1015.2393502155533</v>
      </c>
      <c r="AC21" s="42">
        <f t="shared" si="8"/>
        <v>1026.8566931582238</v>
      </c>
      <c r="AD21">
        <f>VLOOKUP(B21,Migration!A$2:B$193,2,FALSE)</f>
        <v>106</v>
      </c>
      <c r="AE21">
        <f t="shared" si="9"/>
        <v>0.05</v>
      </c>
      <c r="AF21" t="str">
        <f t="shared" si="10"/>
        <v>Increased</v>
      </c>
      <c r="AG21" t="b">
        <f t="shared" si="11"/>
        <v>0</v>
      </c>
      <c r="AH21">
        <v>0.19361899647816963</v>
      </c>
      <c r="AI21" s="51">
        <f t="shared" si="12"/>
        <v>20.523613626685982</v>
      </c>
    </row>
    <row r="22" spans="1:35" x14ac:dyDescent="0.35">
      <c r="A22" s="19" t="s">
        <v>83</v>
      </c>
      <c r="B22" s="19" t="s">
        <v>21</v>
      </c>
      <c r="C22" s="23" t="s">
        <v>68</v>
      </c>
      <c r="D22" s="20">
        <v>259</v>
      </c>
      <c r="E22" s="20">
        <v>320</v>
      </c>
      <c r="F22" s="20">
        <v>379</v>
      </c>
      <c r="G22" s="34">
        <v>0.16765299086895941</v>
      </c>
      <c r="H22" s="34">
        <v>0.35339731243898659</v>
      </c>
      <c r="I22" s="34">
        <v>0.29951984150713429</v>
      </c>
      <c r="J22" s="34">
        <v>0.1336555241914486</v>
      </c>
      <c r="K22" s="34">
        <v>4.3048783589516915E-2</v>
      </c>
      <c r="L22" s="34">
        <v>2.7255474039542516E-3</v>
      </c>
      <c r="M22" s="33">
        <f t="shared" si="13"/>
        <v>5.4697371805675514</v>
      </c>
      <c r="N22" s="33">
        <f t="shared" si="14"/>
        <v>11.529710322144105</v>
      </c>
      <c r="O22" s="33">
        <f t="shared" si="15"/>
        <v>9.771939080345982</v>
      </c>
      <c r="P22" s="33">
        <f t="shared" si="16"/>
        <v>4.3605579970214929</v>
      </c>
      <c r="Q22" s="33">
        <f t="shared" si="17"/>
        <v>1.4044815482106789</v>
      </c>
      <c r="R22" s="33">
        <f t="shared" si="18"/>
        <v>8.8921932710763985E-2</v>
      </c>
      <c r="S22" s="31">
        <f>VLOOKUP(B22,'Edu updated'!B$2:J$48,8,FALSE)</f>
        <v>0</v>
      </c>
      <c r="T22" s="32">
        <v>0.12840710515778667</v>
      </c>
      <c r="U22" s="33">
        <f t="shared" si="20"/>
        <v>48.666292854801149</v>
      </c>
      <c r="V22" s="42">
        <f t="shared" si="21"/>
        <v>406.66422545899746</v>
      </c>
      <c r="W22" s="42">
        <f t="shared" si="2"/>
        <v>433.61079336055531</v>
      </c>
      <c r="X22" s="42">
        <f t="shared" si="3"/>
        <v>460.4413595651057</v>
      </c>
      <c r="Y22" s="42">
        <f t="shared" si="4"/>
        <v>487.1564234458437</v>
      </c>
      <c r="Z22" s="42">
        <f t="shared" si="5"/>
        <v>513.75648222622351</v>
      </c>
      <c r="AA22" s="42">
        <f t="shared" si="6"/>
        <v>540.24203098921282</v>
      </c>
      <c r="AB22" s="42">
        <f t="shared" si="7"/>
        <v>566.61356268650741</v>
      </c>
      <c r="AC22" s="42">
        <f t="shared" si="8"/>
        <v>592.87156814770583</v>
      </c>
      <c r="AD22">
        <f>VLOOKUP(B22,Migration!A$2:B$193,2,FALSE)</f>
        <v>405</v>
      </c>
      <c r="AE22">
        <f t="shared" si="9"/>
        <v>0.05</v>
      </c>
      <c r="AF22" t="str">
        <f t="shared" si="10"/>
        <v>Increased</v>
      </c>
      <c r="AG22" t="b">
        <f t="shared" si="11"/>
        <v>0</v>
      </c>
      <c r="AH22">
        <v>0.26514553448220529</v>
      </c>
      <c r="AI22" s="51">
        <f t="shared" si="12"/>
        <v>107.38394146529315</v>
      </c>
    </row>
    <row r="23" spans="1:35" x14ac:dyDescent="0.35">
      <c r="A23" s="19" t="s">
        <v>84</v>
      </c>
      <c r="B23" s="19" t="s">
        <v>19</v>
      </c>
      <c r="C23" s="19" t="s">
        <v>62</v>
      </c>
      <c r="D23" s="20">
        <v>11287</v>
      </c>
      <c r="E23" s="20">
        <v>10625</v>
      </c>
      <c r="F23" s="20">
        <v>23882</v>
      </c>
      <c r="G23" s="30">
        <v>3.9127948391239352E-4</v>
      </c>
      <c r="H23" s="30">
        <v>0.66800437430397397</v>
      </c>
      <c r="I23" s="30">
        <v>0.30801721629729212</v>
      </c>
      <c r="J23" s="30">
        <v>1.5661212163775546E-2</v>
      </c>
      <c r="K23" s="30">
        <v>7.925917751045921E-3</v>
      </c>
      <c r="L23" s="30">
        <v>0</v>
      </c>
      <c r="M23" s="33">
        <f t="shared" si="13"/>
        <v>1.2765629351770513E-2</v>
      </c>
      <c r="N23" s="33">
        <f t="shared" si="14"/>
        <v>21.793875217938059</v>
      </c>
      <c r="O23" s="33">
        <f t="shared" si="15"/>
        <v>10.049168890479653</v>
      </c>
      <c r="P23" s="33">
        <f t="shared" si="16"/>
        <v>0.51095249790035313</v>
      </c>
      <c r="Q23" s="33">
        <f t="shared" si="17"/>
        <v>0.25858582533073604</v>
      </c>
      <c r="R23" s="33">
        <f t="shared" si="18"/>
        <v>0</v>
      </c>
      <c r="S23" s="31">
        <f>VLOOKUP(B23,'Edu updated'!B$2:J$48,8,FALSE)</f>
        <v>4827</v>
      </c>
      <c r="T23" s="32">
        <f t="shared" si="22"/>
        <v>0.20211875052340675</v>
      </c>
      <c r="U23" s="33">
        <f t="shared" si="20"/>
        <v>4827</v>
      </c>
      <c r="V23" s="42">
        <f t="shared" si="21"/>
        <v>27140.205835799374</v>
      </c>
      <c r="W23" s="42">
        <f t="shared" si="2"/>
        <v>30376.900567678647</v>
      </c>
      <c r="X23" s="42">
        <f t="shared" si="3"/>
        <v>33611.029921934904</v>
      </c>
      <c r="Y23" s="42">
        <f t="shared" si="4"/>
        <v>36842.595931865355</v>
      </c>
      <c r="Z23" s="42">
        <f t="shared" si="5"/>
        <v>40071.600629155633</v>
      </c>
      <c r="AA23" s="42">
        <f t="shared" si="6"/>
        <v>43298.046043881062</v>
      </c>
      <c r="AB23" s="42">
        <f t="shared" si="7"/>
        <v>46521.934204507954</v>
      </c>
      <c r="AC23" s="42">
        <f t="shared" si="8"/>
        <v>49743.26713789488</v>
      </c>
      <c r="AD23">
        <f>VLOOKUP(B23,Migration!A$2:B$193,2,FALSE)</f>
        <v>12554</v>
      </c>
      <c r="AE23">
        <f t="shared" si="9"/>
        <v>0.05</v>
      </c>
      <c r="AF23" t="str">
        <f t="shared" si="10"/>
        <v>Increased</v>
      </c>
      <c r="AG23" t="b">
        <f t="shared" si="11"/>
        <v>0</v>
      </c>
      <c r="AH23">
        <v>0.19228001306456491</v>
      </c>
      <c r="AI23" s="51">
        <f t="shared" si="12"/>
        <v>2413.8832840125478</v>
      </c>
    </row>
    <row r="24" spans="1:35" x14ac:dyDescent="0.35">
      <c r="A24" s="19" t="s">
        <v>85</v>
      </c>
      <c r="B24" s="19" t="s">
        <v>20</v>
      </c>
      <c r="C24" s="23" t="s">
        <v>68</v>
      </c>
      <c r="D24" s="20">
        <v>500</v>
      </c>
      <c r="E24" s="20">
        <v>866</v>
      </c>
      <c r="F24" s="20">
        <v>893.00504663696256</v>
      </c>
      <c r="G24" s="34">
        <v>0.16765299086895941</v>
      </c>
      <c r="H24" s="34">
        <v>0.35339731243898659</v>
      </c>
      <c r="I24" s="34">
        <v>0.29951984150713429</v>
      </c>
      <c r="J24" s="34">
        <v>0.1336555241914486</v>
      </c>
      <c r="K24" s="34">
        <v>4.3048783589516915E-2</v>
      </c>
      <c r="L24" s="34">
        <v>2.7255474039542516E-3</v>
      </c>
      <c r="M24" s="33">
        <f t="shared" si="13"/>
        <v>5.4697371805675514</v>
      </c>
      <c r="N24" s="33">
        <f t="shared" si="14"/>
        <v>11.529710322144105</v>
      </c>
      <c r="O24" s="33">
        <f t="shared" si="15"/>
        <v>9.771939080345982</v>
      </c>
      <c r="P24" s="33">
        <f t="shared" si="16"/>
        <v>4.3605579970214929</v>
      </c>
      <c r="Q24" s="33">
        <f t="shared" si="17"/>
        <v>1.4044815482106789</v>
      </c>
      <c r="R24" s="33">
        <f t="shared" si="18"/>
        <v>8.8921932710763985E-2</v>
      </c>
      <c r="S24" s="31">
        <f>VLOOKUP(B24,'Edu updated'!B$2:J$48,8,FALSE)</f>
        <v>492</v>
      </c>
      <c r="T24" s="32">
        <f t="shared" si="22"/>
        <v>0.55094873411170653</v>
      </c>
      <c r="U24" s="33">
        <f t="shared" si="20"/>
        <v>492</v>
      </c>
      <c r="V24" s="42">
        <f t="shared" si="21"/>
        <v>1232.0798321257209</v>
      </c>
      <c r="W24" s="42">
        <f t="shared" si="2"/>
        <v>1568.2845913952399</v>
      </c>
      <c r="X24" s="42">
        <f t="shared" si="3"/>
        <v>1903.0420300724029</v>
      </c>
      <c r="Y24" s="42">
        <f t="shared" si="4"/>
        <v>2236.3583786963063</v>
      </c>
      <c r="Z24" s="42">
        <f t="shared" si="5"/>
        <v>2568.239840984334</v>
      </c>
      <c r="AA24" s="42">
        <f t="shared" si="6"/>
        <v>2898.6925939476209</v>
      </c>
      <c r="AB24" s="42">
        <f t="shared" si="7"/>
        <v>3227.72278800602</v>
      </c>
      <c r="AC24" s="42">
        <f t="shared" si="8"/>
        <v>3555.3365471025754</v>
      </c>
      <c r="AD24">
        <f>VLOOKUP(B24,Migration!A$2:B$193,2,FALSE)</f>
        <v>325</v>
      </c>
      <c r="AE24">
        <f t="shared" si="9"/>
        <v>0.05</v>
      </c>
      <c r="AF24" t="str">
        <f t="shared" si="10"/>
        <v>Increased</v>
      </c>
      <c r="AG24" t="b">
        <f t="shared" si="11"/>
        <v>0</v>
      </c>
      <c r="AH24">
        <v>0.17792534920998396</v>
      </c>
      <c r="AI24" s="51">
        <f t="shared" si="12"/>
        <v>57.825738493244785</v>
      </c>
    </row>
    <row r="25" spans="1:35" x14ac:dyDescent="0.35">
      <c r="A25" s="19" t="s">
        <v>86</v>
      </c>
      <c r="B25" s="19" t="s">
        <v>22</v>
      </c>
      <c r="C25" s="19" t="s">
        <v>68</v>
      </c>
      <c r="D25" s="20">
        <v>153</v>
      </c>
      <c r="E25" s="20">
        <v>157</v>
      </c>
      <c r="F25" s="20">
        <v>197</v>
      </c>
      <c r="G25" s="30">
        <v>0</v>
      </c>
      <c r="H25" s="30">
        <v>0.35071846726982436</v>
      </c>
      <c r="I25" s="30">
        <v>0.45928685470995212</v>
      </c>
      <c r="J25" s="30">
        <v>0.11122937732836616</v>
      </c>
      <c r="K25" s="30">
        <v>7.1314529004789781E-2</v>
      </c>
      <c r="L25" s="30">
        <v>7.4507716870675887E-3</v>
      </c>
      <c r="M25" s="33">
        <f t="shared" si="13"/>
        <v>0</v>
      </c>
      <c r="N25" s="33">
        <f t="shared" si="14"/>
        <v>11.442312066098657</v>
      </c>
      <c r="O25" s="33">
        <f t="shared" si="15"/>
        <v>14.984393494754388</v>
      </c>
      <c r="P25" s="33">
        <f t="shared" si="16"/>
        <v>3.6288971499463121</v>
      </c>
      <c r="Q25" s="33">
        <f t="shared" si="17"/>
        <v>2.3266613305875872</v>
      </c>
      <c r="R25" s="33">
        <f t="shared" si="18"/>
        <v>0.24308401961362852</v>
      </c>
      <c r="S25" s="31">
        <f>VLOOKUP(B25,'Edu updated'!B$2:J$48,8,FALSE)</f>
        <v>0</v>
      </c>
      <c r="T25" s="32">
        <v>0.16200000000000001</v>
      </c>
      <c r="U25" s="33">
        <f t="shared" si="20"/>
        <v>31.914000000000001</v>
      </c>
      <c r="V25" s="42">
        <f t="shared" si="21"/>
        <v>217.59940617349653</v>
      </c>
      <c r="W25" s="42">
        <f t="shared" si="2"/>
        <v>238.1148144530469</v>
      </c>
      <c r="X25" s="42">
        <f t="shared" si="3"/>
        <v>258.48391806471756</v>
      </c>
      <c r="Y25" s="42">
        <f t="shared" si="4"/>
        <v>278.70776037335662</v>
      </c>
      <c r="Z25" s="42">
        <f t="shared" si="5"/>
        <v>298.7873773031049</v>
      </c>
      <c r="AA25" s="42">
        <f t="shared" si="6"/>
        <v>318.72379739045903</v>
      </c>
      <c r="AB25" s="42">
        <f t="shared" si="7"/>
        <v>338.51804183695606</v>
      </c>
      <c r="AC25" s="42">
        <f t="shared" si="8"/>
        <v>358.17112456148232</v>
      </c>
      <c r="AD25">
        <f>VLOOKUP(B25,Migration!A$2:B$193,2,FALSE)</f>
        <v>52</v>
      </c>
      <c r="AE25">
        <f t="shared" si="9"/>
        <v>0.05</v>
      </c>
      <c r="AF25" t="str">
        <f t="shared" si="10"/>
        <v>Increased</v>
      </c>
      <c r="AG25" t="b">
        <f t="shared" si="11"/>
        <v>0</v>
      </c>
      <c r="AH25">
        <v>0.10484300159659393</v>
      </c>
      <c r="AI25" s="51">
        <f t="shared" si="12"/>
        <v>5.4518360830228847</v>
      </c>
    </row>
    <row r="26" spans="1:35" x14ac:dyDescent="0.35">
      <c r="A26" s="19" t="s">
        <v>87</v>
      </c>
      <c r="B26" s="19" t="s">
        <v>24</v>
      </c>
      <c r="C26" s="19" t="s">
        <v>62</v>
      </c>
      <c r="D26" s="20">
        <v>0</v>
      </c>
      <c r="E26" s="20">
        <v>0</v>
      </c>
      <c r="F26" s="20">
        <v>137</v>
      </c>
      <c r="G26" s="30">
        <v>1.0398757695080694E-2</v>
      </c>
      <c r="H26" s="30">
        <v>0.30655537685097889</v>
      </c>
      <c r="I26" s="30">
        <v>0.33922134102379237</v>
      </c>
      <c r="J26" s="30">
        <v>0.24025289778714437</v>
      </c>
      <c r="K26" s="30">
        <v>0.10199101547335145</v>
      </c>
      <c r="L26" s="30">
        <v>1.5806111696522655E-3</v>
      </c>
      <c r="M26" s="33">
        <f t="shared" si="13"/>
        <v>0.33926308920401571</v>
      </c>
      <c r="N26" s="33">
        <f t="shared" si="14"/>
        <v>10.001475869734383</v>
      </c>
      <c r="O26" s="33">
        <f t="shared" si="15"/>
        <v>11.067214320620598</v>
      </c>
      <c r="P26" s="33">
        <f t="shared" si="16"/>
        <v>7.8383344129695791</v>
      </c>
      <c r="Q26" s="33">
        <f t="shared" si="17"/>
        <v>3.3274923789129858</v>
      </c>
      <c r="R26" s="33">
        <f t="shared" si="18"/>
        <v>5.1567989559010388E-2</v>
      </c>
      <c r="S26" s="31">
        <f>VLOOKUP(B26,'Edu updated'!B$2:J$48,8,FALSE)</f>
        <v>0</v>
      </c>
      <c r="T26" s="32">
        <v>4.1940480510238735E-2</v>
      </c>
      <c r="U26" s="33">
        <f t="shared" si="20"/>
        <v>5.7458458299027066</v>
      </c>
      <c r="V26" s="42">
        <f t="shared" si="21"/>
        <v>139.88929159109841</v>
      </c>
      <c r="W26" s="42">
        <f t="shared" si="2"/>
        <v>141.56838182211681</v>
      </c>
      <c r="X26" s="42">
        <f t="shared" si="3"/>
        <v>143.23034684136189</v>
      </c>
      <c r="Y26" s="42">
        <f t="shared" si="4"/>
        <v>144.87536131060759</v>
      </c>
      <c r="Z26" s="42">
        <f t="shared" si="5"/>
        <v>146.50359811023461</v>
      </c>
      <c r="AA26" s="42">
        <f t="shared" si="6"/>
        <v>148.11522835739913</v>
      </c>
      <c r="AB26" s="42">
        <f t="shared" si="7"/>
        <v>149.71042142401606</v>
      </c>
      <c r="AC26" s="42">
        <f t="shared" si="8"/>
        <v>151.28934495455897</v>
      </c>
      <c r="AD26">
        <f>VLOOKUP(B26,Migration!A$2:B$193,2,FALSE)</f>
        <v>14668</v>
      </c>
      <c r="AE26">
        <f t="shared" si="9"/>
        <v>0.05</v>
      </c>
      <c r="AF26" t="str">
        <f t="shared" si="10"/>
        <v>Increased</v>
      </c>
      <c r="AG26" t="b">
        <f t="shared" si="11"/>
        <v>0</v>
      </c>
      <c r="AH26">
        <v>1.2493274605823506E-3</v>
      </c>
      <c r="AI26" s="51">
        <f t="shared" si="12"/>
        <v>18.325135191821918</v>
      </c>
    </row>
    <row r="27" spans="1:35" x14ac:dyDescent="0.35">
      <c r="A27" s="19" t="s">
        <v>88</v>
      </c>
      <c r="B27" s="19" t="s">
        <v>26</v>
      </c>
      <c r="C27" s="23" t="s">
        <v>62</v>
      </c>
      <c r="D27" s="20">
        <v>0</v>
      </c>
      <c r="E27" s="20">
        <v>2779</v>
      </c>
      <c r="F27" s="20">
        <v>2779</v>
      </c>
      <c r="G27" s="34">
        <v>3.1079803713894617E-2</v>
      </c>
      <c r="H27" s="34">
        <v>0.33653962637948021</v>
      </c>
      <c r="I27" s="34">
        <v>0.34941395631522804</v>
      </c>
      <c r="J27" s="34">
        <v>0.20169962632044125</v>
      </c>
      <c r="K27" s="34">
        <v>7.3507084647192453E-2</v>
      </c>
      <c r="L27" s="34">
        <v>7.7599026237634297E-3</v>
      </c>
      <c r="M27" s="33">
        <f t="shared" si="13"/>
        <v>1.01398941383339</v>
      </c>
      <c r="N27" s="33">
        <f t="shared" si="14"/>
        <v>10.979722446949632</v>
      </c>
      <c r="O27" s="33">
        <f t="shared" si="15"/>
        <v>11.399751942155564</v>
      </c>
      <c r="P27" s="33">
        <f t="shared" si="16"/>
        <v>6.5805205124781478</v>
      </c>
      <c r="Q27" s="33">
        <f t="shared" si="17"/>
        <v>2.398194221564085</v>
      </c>
      <c r="R27" s="33">
        <f t="shared" si="18"/>
        <v>0.25316952401975346</v>
      </c>
      <c r="S27" s="31">
        <f>VLOOKUP(B27,'Edu updated'!B$2:J$48,8,FALSE)</f>
        <v>69</v>
      </c>
      <c r="T27" s="32">
        <f t="shared" si="22"/>
        <v>2.4829075206908961E-2</v>
      </c>
      <c r="U27" s="33">
        <f t="shared" si="20"/>
        <v>69</v>
      </c>
      <c r="V27" s="42">
        <f t="shared" si="21"/>
        <v>2795.5007884178781</v>
      </c>
      <c r="W27" s="42">
        <f t="shared" si="2"/>
        <v>2813.0174349186427</v>
      </c>
      <c r="X27" s="42">
        <f t="shared" si="3"/>
        <v>2830.4053216577004</v>
      </c>
      <c r="Y27" s="42">
        <f t="shared" si="4"/>
        <v>2847.6653951105218</v>
      </c>
      <c r="Z27" s="42">
        <f t="shared" si="5"/>
        <v>2864.7985947953121</v>
      </c>
      <c r="AA27" s="42">
        <f t="shared" si="6"/>
        <v>2881.8058533241515</v>
      </c>
      <c r="AB27" s="42">
        <f t="shared" si="7"/>
        <v>2898.6880964537613</v>
      </c>
      <c r="AC27" s="42">
        <f t="shared" si="8"/>
        <v>2915.4462431358947</v>
      </c>
      <c r="AD27">
        <f>VLOOKUP(B27,Migration!A$2:B$193,2,FALSE)</f>
        <v>91</v>
      </c>
      <c r="AE27">
        <f t="shared" si="9"/>
        <v>0.05</v>
      </c>
      <c r="AF27" t="str">
        <f t="shared" si="10"/>
        <v>Increased</v>
      </c>
      <c r="AG27" t="b">
        <f t="shared" si="11"/>
        <v>0</v>
      </c>
      <c r="AH27">
        <v>2.2493279539963593</v>
      </c>
      <c r="AI27" s="51">
        <f t="shared" si="12"/>
        <v>204.68884381366871</v>
      </c>
    </row>
    <row r="28" spans="1:35" x14ac:dyDescent="0.35">
      <c r="A28" s="19" t="s">
        <v>89</v>
      </c>
      <c r="B28" s="19" t="s">
        <v>25</v>
      </c>
      <c r="C28" s="23" t="s">
        <v>68</v>
      </c>
      <c r="D28" s="20">
        <v>806</v>
      </c>
      <c r="E28" s="20">
        <v>927</v>
      </c>
      <c r="F28" s="20">
        <v>988.92400487408611</v>
      </c>
      <c r="G28" s="34">
        <v>0.16765299086895941</v>
      </c>
      <c r="H28" s="34">
        <v>0.35339731243898659</v>
      </c>
      <c r="I28" s="34">
        <v>0.29951984150713429</v>
      </c>
      <c r="J28" s="34">
        <v>0.1336555241914486</v>
      </c>
      <c r="K28" s="34">
        <v>4.3048783589516915E-2</v>
      </c>
      <c r="L28" s="34">
        <v>2.7255474039542516E-3</v>
      </c>
      <c r="M28" s="33">
        <f t="shared" si="13"/>
        <v>5.4697371805675514</v>
      </c>
      <c r="N28" s="33">
        <f t="shared" si="14"/>
        <v>11.529710322144105</v>
      </c>
      <c r="O28" s="33">
        <f t="shared" si="15"/>
        <v>9.771939080345982</v>
      </c>
      <c r="P28" s="33">
        <f t="shared" si="16"/>
        <v>4.3605579970214929</v>
      </c>
      <c r="Q28" s="33">
        <f t="shared" si="17"/>
        <v>1.4044815482106789</v>
      </c>
      <c r="R28" s="33">
        <f t="shared" si="18"/>
        <v>8.8921932710763985E-2</v>
      </c>
      <c r="S28" s="31">
        <f>VLOOKUP(B28,'Edu updated'!B$2:J$48,8,FALSE)</f>
        <v>0</v>
      </c>
      <c r="T28" s="32">
        <v>0.12840710515778667</v>
      </c>
      <c r="U28" s="33">
        <f t="shared" si="20"/>
        <v>126.9848686869263</v>
      </c>
      <c r="V28" s="42">
        <f t="shared" si="21"/>
        <v>1011.4743618402769</v>
      </c>
      <c r="W28" s="42">
        <f t="shared" si="2"/>
        <v>1032.3658039697395</v>
      </c>
      <c r="X28" s="42">
        <f t="shared" si="3"/>
        <v>1053.1673109820917</v>
      </c>
      <c r="Y28" s="42">
        <f t="shared" si="4"/>
        <v>1073.8792700370727</v>
      </c>
      <c r="Z28" s="42">
        <f t="shared" si="5"/>
        <v>1094.5020666277464</v>
      </c>
      <c r="AA28" s="42">
        <f t="shared" si="6"/>
        <v>1115.036084587676</v>
      </c>
      <c r="AB28" s="42">
        <f t="shared" si="7"/>
        <v>1135.4817060980674</v>
      </c>
      <c r="AC28" s="42">
        <f t="shared" si="8"/>
        <v>1155.8393116948835</v>
      </c>
      <c r="AD28">
        <f>VLOOKUP(B28,Migration!A$2:B$193,2,FALSE)</f>
        <v>5694</v>
      </c>
      <c r="AE28">
        <f t="shared" si="9"/>
        <v>0.05</v>
      </c>
      <c r="AF28" t="str">
        <f t="shared" si="10"/>
        <v>Increased</v>
      </c>
      <c r="AG28" t="b">
        <f t="shared" si="11"/>
        <v>0</v>
      </c>
      <c r="AH28">
        <v>0.22354651162790701</v>
      </c>
      <c r="AI28" s="51">
        <f t="shared" si="12"/>
        <v>1272.8738372093026</v>
      </c>
    </row>
    <row r="29" spans="1:35" x14ac:dyDescent="0.35">
      <c r="A29" s="19" t="s">
        <v>90</v>
      </c>
      <c r="B29" s="19" t="s">
        <v>27</v>
      </c>
      <c r="C29" s="23" t="s">
        <v>68</v>
      </c>
      <c r="D29" s="20">
        <v>3400</v>
      </c>
      <c r="E29" s="20">
        <v>3994</v>
      </c>
      <c r="F29" s="20">
        <v>3994</v>
      </c>
      <c r="G29" s="34">
        <v>0.16765299086895941</v>
      </c>
      <c r="H29" s="34">
        <v>0.35339731243898659</v>
      </c>
      <c r="I29" s="34">
        <v>0.29951984150713429</v>
      </c>
      <c r="J29" s="34">
        <v>0.1336555241914486</v>
      </c>
      <c r="K29" s="34">
        <v>4.3048783589516915E-2</v>
      </c>
      <c r="L29" s="34">
        <v>2.7255474039542516E-3</v>
      </c>
      <c r="M29" s="33">
        <f t="shared" si="13"/>
        <v>5.4697371805675514</v>
      </c>
      <c r="N29" s="33">
        <f t="shared" si="14"/>
        <v>11.529710322144105</v>
      </c>
      <c r="O29" s="33">
        <f t="shared" si="15"/>
        <v>9.771939080345982</v>
      </c>
      <c r="P29" s="33">
        <f t="shared" si="16"/>
        <v>4.3605579970214929</v>
      </c>
      <c r="Q29" s="33">
        <f t="shared" si="17"/>
        <v>1.4044815482106789</v>
      </c>
      <c r="R29" s="33">
        <f t="shared" si="18"/>
        <v>8.8921932710763985E-2</v>
      </c>
      <c r="S29" s="31">
        <f>VLOOKUP(B29,'Edu updated'!B$2:J$48,8,FALSE)</f>
        <v>2473</v>
      </c>
      <c r="T29" s="32">
        <f t="shared" si="22"/>
        <v>0.61917876815222839</v>
      </c>
      <c r="U29" s="33">
        <f t="shared" si="20"/>
        <v>2473</v>
      </c>
      <c r="V29" s="42">
        <f t="shared" si="21"/>
        <v>5714.0827820896593</v>
      </c>
      <c r="W29" s="42">
        <f t="shared" si="2"/>
        <v>7420.4529692008364</v>
      </c>
      <c r="X29" s="42">
        <f t="shared" si="3"/>
        <v>9119.4774402211569</v>
      </c>
      <c r="Y29" s="42">
        <f t="shared" si="4"/>
        <v>10811.187817564854</v>
      </c>
      <c r="Z29" s="42">
        <f t="shared" si="5"/>
        <v>12495.615587515511</v>
      </c>
      <c r="AA29" s="42">
        <f t="shared" si="6"/>
        <v>14172.79210081209</v>
      </c>
      <c r="AB29" s="42">
        <f t="shared" si="7"/>
        <v>15842.748573232437</v>
      </c>
      <c r="AC29" s="42">
        <f t="shared" si="8"/>
        <v>17505.51608617427</v>
      </c>
      <c r="AD29">
        <f>VLOOKUP(B29,Migration!A$2:B$193,2,FALSE)</f>
        <v>3</v>
      </c>
      <c r="AE29">
        <f t="shared" si="9"/>
        <v>0.05</v>
      </c>
      <c r="AF29" t="str">
        <f t="shared" si="10"/>
        <v>Increased</v>
      </c>
      <c r="AG29" t="b">
        <f t="shared" si="11"/>
        <v>0</v>
      </c>
      <c r="AH29">
        <v>0.87587719298245614</v>
      </c>
      <c r="AI29" s="51">
        <f t="shared" si="12"/>
        <v>2.6276315789473683</v>
      </c>
    </row>
    <row r="30" spans="1:35" x14ac:dyDescent="0.35">
      <c r="A30" s="19" t="s">
        <v>91</v>
      </c>
      <c r="B30" s="19" t="s">
        <v>32</v>
      </c>
      <c r="C30" s="19" t="s">
        <v>68</v>
      </c>
      <c r="D30" s="20">
        <v>48</v>
      </c>
      <c r="E30" s="20">
        <v>0</v>
      </c>
      <c r="F30" s="20">
        <v>616</v>
      </c>
      <c r="G30" s="30">
        <v>3.2318598832360303E-2</v>
      </c>
      <c r="H30" s="30">
        <v>0.493744787322769</v>
      </c>
      <c r="I30" s="30">
        <v>0.28377814845704752</v>
      </c>
      <c r="J30" s="30">
        <v>0.16816096747289408</v>
      </c>
      <c r="K30" s="30">
        <v>2.1997497914929106E-2</v>
      </c>
      <c r="L30" s="30">
        <v>0</v>
      </c>
      <c r="M30" s="33">
        <f t="shared" si="13"/>
        <v>1.0544055357496016</v>
      </c>
      <c r="N30" s="33">
        <f t="shared" si="14"/>
        <v>16.108595539710041</v>
      </c>
      <c r="O30" s="33">
        <f t="shared" si="15"/>
        <v>9.2583608655174672</v>
      </c>
      <c r="P30" s="33">
        <f t="shared" si="16"/>
        <v>5.4863100940777656</v>
      </c>
      <c r="Q30" s="33">
        <f t="shared" si="17"/>
        <v>0.71767602594569646</v>
      </c>
      <c r="R30" s="33">
        <f t="shared" si="18"/>
        <v>0</v>
      </c>
      <c r="S30" s="31">
        <f>VLOOKUP(B30,'Edu updated'!B$2:J$48,8,FALSE)</f>
        <v>1171</v>
      </c>
      <c r="T30" s="32">
        <f t="shared" si="22"/>
        <v>1.900974025974026</v>
      </c>
      <c r="U30" s="33">
        <f t="shared" si="20"/>
        <v>1171</v>
      </c>
      <c r="V30" s="42">
        <f t="shared" si="21"/>
        <v>1435.0577981651375</v>
      </c>
      <c r="W30" s="42">
        <f t="shared" si="2"/>
        <v>2250.9588282379809</v>
      </c>
      <c r="X30" s="42">
        <f t="shared" si="3"/>
        <v>3065.0650801900424</v>
      </c>
      <c r="Y30" s="42">
        <f t="shared" si="4"/>
        <v>3877.3805020841191</v>
      </c>
      <c r="Z30" s="42">
        <f t="shared" si="5"/>
        <v>4687.9090332982587</v>
      </c>
      <c r="AA30" s="42">
        <f t="shared" si="6"/>
        <v>5496.6546045448604</v>
      </c>
      <c r="AB30" s="42">
        <f t="shared" si="7"/>
        <v>6303.6211378897415</v>
      </c>
      <c r="AC30" s="42">
        <f t="shared" si="8"/>
        <v>7108.8125467711552</v>
      </c>
      <c r="AD30">
        <f>VLOOKUP(B30,Migration!A$2:B$193,2,FALSE)</f>
        <v>200</v>
      </c>
      <c r="AE30">
        <f t="shared" si="9"/>
        <v>0.05</v>
      </c>
      <c r="AF30" t="str">
        <f t="shared" si="10"/>
        <v>Increased</v>
      </c>
      <c r="AG30" t="b">
        <f t="shared" si="11"/>
        <v>0</v>
      </c>
      <c r="AH30">
        <v>6.4220183486238536E-2</v>
      </c>
      <c r="AI30" s="51">
        <f t="shared" si="12"/>
        <v>12.844036697247708</v>
      </c>
    </row>
    <row r="31" spans="1:35" x14ac:dyDescent="0.35">
      <c r="A31" s="19" t="s">
        <v>92</v>
      </c>
      <c r="B31" s="19" t="s">
        <v>28</v>
      </c>
      <c r="C31" s="23" t="s">
        <v>68</v>
      </c>
      <c r="D31" s="20">
        <v>1961</v>
      </c>
      <c r="E31" s="20">
        <v>3235</v>
      </c>
      <c r="F31" s="20">
        <v>1920.0050044483985</v>
      </c>
      <c r="G31" s="34">
        <v>0.16765299086895941</v>
      </c>
      <c r="H31" s="34">
        <v>0.35339731243898659</v>
      </c>
      <c r="I31" s="34">
        <v>0.29951984150713429</v>
      </c>
      <c r="J31" s="34">
        <v>0.1336555241914486</v>
      </c>
      <c r="K31" s="34">
        <v>4.3048783589516915E-2</v>
      </c>
      <c r="L31" s="34">
        <v>2.7255474039542516E-3</v>
      </c>
      <c r="M31" s="33">
        <f t="shared" si="13"/>
        <v>5.4697371805675514</v>
      </c>
      <c r="N31" s="33">
        <f t="shared" si="14"/>
        <v>11.529710322144105</v>
      </c>
      <c r="O31" s="33">
        <f t="shared" si="15"/>
        <v>9.771939080345982</v>
      </c>
      <c r="P31" s="33">
        <f t="shared" si="16"/>
        <v>4.3605579970214929</v>
      </c>
      <c r="Q31" s="33">
        <f t="shared" si="17"/>
        <v>1.4044815482106789</v>
      </c>
      <c r="R31" s="33">
        <f t="shared" si="18"/>
        <v>8.8921932710763985E-2</v>
      </c>
      <c r="S31" s="31">
        <f>VLOOKUP(B31,'Edu updated'!B$2:J$48,8,FALSE)</f>
        <v>0</v>
      </c>
      <c r="T31" s="32">
        <v>0.16200000000000001</v>
      </c>
      <c r="U31" s="33">
        <f>T31*E31</f>
        <v>524.07000000000005</v>
      </c>
      <c r="V31" s="42">
        <f>E31*(1-L31)+0.7*U31-AI31*AE31</f>
        <v>3592.2428525658524</v>
      </c>
      <c r="W31" s="42">
        <f t="shared" si="2"/>
        <v>3942.8386824673871</v>
      </c>
      <c r="X31" s="42">
        <f t="shared" si="3"/>
        <v>4291.9252399680399</v>
      </c>
      <c r="Y31" s="42">
        <f t="shared" si="4"/>
        <v>4639.509022301907</v>
      </c>
      <c r="Z31" s="42">
        <f t="shared" si="5"/>
        <v>4985.5964987332827</v>
      </c>
      <c r="AA31" s="42">
        <f t="shared" si="6"/>
        <v>5330.1941106770646</v>
      </c>
      <c r="AB31" s="42">
        <f t="shared" si="7"/>
        <v>5673.3082718186433</v>
      </c>
      <c r="AC31" s="42">
        <f t="shared" si="8"/>
        <v>6014.9453682332742</v>
      </c>
      <c r="AD31">
        <f>VLOOKUP(B31,Migration!A$2:B$193,2,FALSE)</f>
        <v>52</v>
      </c>
      <c r="AE31">
        <f t="shared" si="9"/>
        <v>0.05</v>
      </c>
      <c r="AF31" t="str">
        <f t="shared" si="10"/>
        <v>Increased</v>
      </c>
      <c r="AG31" t="b">
        <f t="shared" si="11"/>
        <v>1</v>
      </c>
      <c r="AH31">
        <v>0.30346214705996499</v>
      </c>
      <c r="AI31" s="51">
        <f t="shared" si="12"/>
        <v>15.780031647118179</v>
      </c>
    </row>
    <row r="32" spans="1:35" x14ac:dyDescent="0.35">
      <c r="A32" s="19" t="s">
        <v>93</v>
      </c>
      <c r="B32" s="19" t="s">
        <v>30</v>
      </c>
      <c r="C32" s="23" t="s">
        <v>62</v>
      </c>
      <c r="D32" s="20">
        <v>368</v>
      </c>
      <c r="E32" s="20">
        <v>855</v>
      </c>
      <c r="F32" s="20">
        <v>1340</v>
      </c>
      <c r="G32" s="34">
        <v>3.1079803713894617E-2</v>
      </c>
      <c r="H32" s="34">
        <v>0.33653962637948021</v>
      </c>
      <c r="I32" s="34">
        <v>0.34941395631522804</v>
      </c>
      <c r="J32" s="34">
        <v>0.20169962632044125</v>
      </c>
      <c r="K32" s="34">
        <v>7.3507084647192453E-2</v>
      </c>
      <c r="L32" s="34">
        <v>7.7599026237634297E-3</v>
      </c>
      <c r="M32" s="33">
        <f t="shared" si="13"/>
        <v>1.01398941383339</v>
      </c>
      <c r="N32" s="33">
        <f t="shared" si="14"/>
        <v>10.979722446949632</v>
      </c>
      <c r="O32" s="33">
        <f t="shared" si="15"/>
        <v>11.399751942155564</v>
      </c>
      <c r="P32" s="33">
        <f t="shared" si="16"/>
        <v>6.5805205124781478</v>
      </c>
      <c r="Q32" s="33">
        <f t="shared" si="17"/>
        <v>2.398194221564085</v>
      </c>
      <c r="R32" s="33">
        <f t="shared" si="18"/>
        <v>0.25316952401975346</v>
      </c>
      <c r="S32" s="31">
        <f>VLOOKUP(B32,'Edu updated'!B$2:J$48,8,FALSE)</f>
        <v>0</v>
      </c>
      <c r="T32" s="32">
        <v>4.1940480510238735E-2</v>
      </c>
      <c r="U32" s="33">
        <f t="shared" si="20"/>
        <v>56.200243883719907</v>
      </c>
      <c r="V32" s="42">
        <f t="shared" si="21"/>
        <v>1368.8182659574895</v>
      </c>
      <c r="W32" s="42">
        <f t="shared" si="2"/>
        <v>1397.9730174165863</v>
      </c>
      <c r="X32" s="42">
        <f t="shared" si="3"/>
        <v>1426.9134607973458</v>
      </c>
      <c r="Y32" s="42">
        <f t="shared" si="4"/>
        <v>1455.6411714159738</v>
      </c>
      <c r="Z32" s="42">
        <f t="shared" si="5"/>
        <v>1484.1577130089852</v>
      </c>
      <c r="AA32" s="42">
        <f t="shared" si="6"/>
        <v>1512.4646378183245</v>
      </c>
      <c r="AB32" s="42">
        <f t="shared" si="7"/>
        <v>1540.5634866758576</v>
      </c>
      <c r="AC32" s="42">
        <f t="shared" si="8"/>
        <v>1568.4557890872447</v>
      </c>
      <c r="AD32">
        <f>VLOOKUP(B32,Migration!A$2:B$193,2,FALSE)</f>
        <v>12</v>
      </c>
      <c r="AE32">
        <f t="shared" si="9"/>
        <v>0.05</v>
      </c>
      <c r="AF32" t="str">
        <f t="shared" si="10"/>
        <v>Increased</v>
      </c>
      <c r="AG32" t="b">
        <f t="shared" si="11"/>
        <v>0</v>
      </c>
      <c r="AH32">
        <v>0.206058742119022</v>
      </c>
      <c r="AI32" s="51">
        <f t="shared" si="12"/>
        <v>2.4727049054282642</v>
      </c>
    </row>
    <row r="33" spans="1:35" x14ac:dyDescent="0.35">
      <c r="A33" s="19" t="s">
        <v>94</v>
      </c>
      <c r="B33" s="19" t="s">
        <v>31</v>
      </c>
      <c r="C33" s="23" t="s">
        <v>66</v>
      </c>
      <c r="D33" s="20">
        <v>0</v>
      </c>
      <c r="E33" s="20">
        <v>567</v>
      </c>
      <c r="F33" s="20">
        <v>567</v>
      </c>
      <c r="G33" s="34">
        <v>1.8679111475270328E-2</v>
      </c>
      <c r="H33" s="34">
        <v>0.24613491771786639</v>
      </c>
      <c r="I33" s="34">
        <v>0.31712615934178301</v>
      </c>
      <c r="J33" s="34">
        <v>0.24329284860264971</v>
      </c>
      <c r="K33" s="34">
        <v>0.13924057054727651</v>
      </c>
      <c r="L33" s="34">
        <v>3.5526392315154053E-2</v>
      </c>
      <c r="M33" s="33">
        <f t="shared" si="13"/>
        <v>0.60941251335092439</v>
      </c>
      <c r="N33" s="33">
        <f t="shared" si="14"/>
        <v>8.0302373605111281</v>
      </c>
      <c r="O33" s="33">
        <f t="shared" si="15"/>
        <v>10.346351327773998</v>
      </c>
      <c r="P33" s="33">
        <f t="shared" si="16"/>
        <v>7.9375138664137639</v>
      </c>
      <c r="Q33" s="33">
        <f t="shared" si="17"/>
        <v>4.542772078317201</v>
      </c>
      <c r="R33" s="33">
        <f t="shared" si="18"/>
        <v>1.1590609146335569</v>
      </c>
      <c r="S33" s="31">
        <f>VLOOKUP(B33,'Edu updated'!B$2:J$48,8,FALSE)</f>
        <v>40</v>
      </c>
      <c r="T33" s="32">
        <f t="shared" si="22"/>
        <v>7.0546737213403876E-2</v>
      </c>
      <c r="U33" s="33">
        <f t="shared" si="20"/>
        <v>40</v>
      </c>
      <c r="V33" s="42">
        <f t="shared" si="21"/>
        <v>571.92837616190036</v>
      </c>
      <c r="W33" s="42">
        <f t="shared" si="2"/>
        <v>589.03665342559702</v>
      </c>
      <c r="X33" s="42">
        <f t="shared" si="3"/>
        <v>605.90671406056583</v>
      </c>
      <c r="Y33" s="42">
        <f t="shared" si="4"/>
        <v>622.54187500873661</v>
      </c>
      <c r="Z33" s="42">
        <f t="shared" si="5"/>
        <v>638.94540702675056</v>
      </c>
      <c r="AA33" s="42">
        <f t="shared" si="6"/>
        <v>655.12053532904656</v>
      </c>
      <c r="AB33" s="42">
        <f t="shared" si="7"/>
        <v>671.07044022199386</v>
      </c>
      <c r="AC33" s="42">
        <f t="shared" si="8"/>
        <v>686.79825772919435</v>
      </c>
      <c r="AD33">
        <f>VLOOKUP(B33,Migration!A$2:B$193,2,FALSE)</f>
        <v>475</v>
      </c>
      <c r="AE33">
        <f t="shared" si="9"/>
        <v>0.05</v>
      </c>
      <c r="AF33" t="str">
        <f t="shared" si="10"/>
        <v>Increased</v>
      </c>
      <c r="AG33" t="b">
        <f t="shared" si="11"/>
        <v>0</v>
      </c>
      <c r="AH33">
        <v>0.12329092191188643</v>
      </c>
      <c r="AI33" s="51">
        <f t="shared" si="12"/>
        <v>58.563187908146055</v>
      </c>
    </row>
    <row r="34" spans="1:35" x14ac:dyDescent="0.35">
      <c r="A34" s="19" t="s">
        <v>95</v>
      </c>
      <c r="B34" s="19" t="s">
        <v>29</v>
      </c>
      <c r="C34" s="19" t="s">
        <v>68</v>
      </c>
      <c r="D34" s="20">
        <v>4265</v>
      </c>
      <c r="E34" s="20">
        <v>6021</v>
      </c>
      <c r="F34" s="20">
        <v>13384</v>
      </c>
      <c r="G34" s="34">
        <v>0.16765299086895941</v>
      </c>
      <c r="H34" s="34">
        <v>0.35339731243898659</v>
      </c>
      <c r="I34" s="34">
        <v>0.29951984150713429</v>
      </c>
      <c r="J34" s="34">
        <v>0.1336555241914486</v>
      </c>
      <c r="K34" s="34">
        <v>4.3048783589516915E-2</v>
      </c>
      <c r="L34" s="34">
        <v>2.7255474039542516E-3</v>
      </c>
      <c r="M34" s="33">
        <f t="shared" si="13"/>
        <v>5.4697371805675514</v>
      </c>
      <c r="N34" s="33">
        <f t="shared" si="14"/>
        <v>11.529710322144105</v>
      </c>
      <c r="O34" s="33">
        <f t="shared" si="15"/>
        <v>9.771939080345982</v>
      </c>
      <c r="P34" s="33">
        <f t="shared" si="16"/>
        <v>4.3605579970214929</v>
      </c>
      <c r="Q34" s="33">
        <f t="shared" si="17"/>
        <v>1.4044815482106789</v>
      </c>
      <c r="R34" s="33">
        <f t="shared" si="18"/>
        <v>8.8921932710763985E-2</v>
      </c>
      <c r="S34" s="31">
        <f>VLOOKUP(B34,'Edu updated'!B$2:J$48,8,FALSE)</f>
        <v>140</v>
      </c>
      <c r="T34" s="32">
        <f t="shared" si="22"/>
        <v>1.0460251046025104E-2</v>
      </c>
      <c r="U34" s="33">
        <f t="shared" si="20"/>
        <v>140</v>
      </c>
      <c r="V34" s="42">
        <f t="shared" si="21"/>
        <v>13444.351888643334</v>
      </c>
      <c r="W34" s="42">
        <f t="shared" si="2"/>
        <v>13483.306204245639</v>
      </c>
      <c r="X34" s="42">
        <f t="shared" si="3"/>
        <v>13522.09282625772</v>
      </c>
      <c r="Y34" s="42">
        <f t="shared" si="4"/>
        <v>13560.712476580085</v>
      </c>
      <c r="Z34" s="42">
        <f t="shared" si="5"/>
        <v>13599.165874005546</v>
      </c>
      <c r="AA34" s="42">
        <f t="shared" si="6"/>
        <v>13637.453734232602</v>
      </c>
      <c r="AB34" s="42">
        <f t="shared" si="7"/>
        <v>13675.576769878757</v>
      </c>
      <c r="AC34" s="42">
        <f t="shared" si="8"/>
        <v>13713.53569049378</v>
      </c>
      <c r="AD34">
        <f>VLOOKUP(B34,Migration!A$2:B$193,2,FALSE)</f>
        <v>30</v>
      </c>
      <c r="AE34">
        <f t="shared" si="9"/>
        <v>0.05</v>
      </c>
      <c r="AF34" t="str">
        <f t="shared" si="10"/>
        <v>Increased</v>
      </c>
      <c r="AG34" t="b">
        <f t="shared" si="11"/>
        <v>0</v>
      </c>
      <c r="AH34">
        <v>0.7795899347623485</v>
      </c>
      <c r="AI34" s="51">
        <f t="shared" si="12"/>
        <v>23.387698042870454</v>
      </c>
    </row>
    <row r="35" spans="1:35" x14ac:dyDescent="0.35">
      <c r="A35" s="19" t="s">
        <v>96</v>
      </c>
      <c r="B35" s="19" t="s">
        <v>33</v>
      </c>
      <c r="C35" s="23" t="s">
        <v>66</v>
      </c>
      <c r="D35" s="20">
        <v>0</v>
      </c>
      <c r="E35" s="20">
        <v>5</v>
      </c>
      <c r="F35" s="20">
        <v>17</v>
      </c>
      <c r="G35" s="34">
        <v>1.8679111475270328E-2</v>
      </c>
      <c r="H35" s="34">
        <v>0.24613491771786639</v>
      </c>
      <c r="I35" s="34">
        <v>0.31712615934178301</v>
      </c>
      <c r="J35" s="34">
        <v>0.24329284860264971</v>
      </c>
      <c r="K35" s="34">
        <v>0.13924057054727651</v>
      </c>
      <c r="L35" s="34">
        <v>3.5526392315154053E-2</v>
      </c>
      <c r="M35" s="33">
        <f t="shared" si="13"/>
        <v>0.60941251335092439</v>
      </c>
      <c r="N35" s="33">
        <f t="shared" si="14"/>
        <v>8.0302373605111281</v>
      </c>
      <c r="O35" s="33">
        <f t="shared" si="15"/>
        <v>10.346351327773998</v>
      </c>
      <c r="P35" s="33">
        <f t="shared" si="16"/>
        <v>7.9375138664137639</v>
      </c>
      <c r="Q35" s="33">
        <f t="shared" si="17"/>
        <v>4.542772078317201</v>
      </c>
      <c r="R35" s="33">
        <f t="shared" si="18"/>
        <v>1.1590609146335569</v>
      </c>
      <c r="S35" s="31">
        <f>VLOOKUP(B35,'Edu updated'!B$2:J$48,8,FALSE)</f>
        <v>1414</v>
      </c>
      <c r="T35" s="32">
        <f t="shared" si="22"/>
        <v>83.17647058823529</v>
      </c>
      <c r="U35" s="33">
        <f t="shared" si="20"/>
        <v>1414</v>
      </c>
      <c r="V35" s="42">
        <f t="shared" si="21"/>
        <v>1006.1922270107025</v>
      </c>
      <c r="W35" s="42">
        <f t="shared" si="2"/>
        <v>1981.9781247138419</v>
      </c>
      <c r="X35" s="42">
        <f t="shared" si="3"/>
        <v>2944.1771239041641</v>
      </c>
      <c r="Y35" s="42">
        <f t="shared" si="4"/>
        <v>3892.978409331758</v>
      </c>
      <c r="Z35" s="42">
        <f t="shared" si="5"/>
        <v>4828.5685315274604</v>
      </c>
      <c r="AA35" s="42">
        <f t="shared" si="6"/>
        <v>5751.1314434818696</v>
      </c>
      <c r="AB35" s="42">
        <f t="shared" si="7"/>
        <v>6660.8485368136508</v>
      </c>
      <c r="AC35" s="42">
        <f t="shared" si="8"/>
        <v>7557.8986774342184</v>
      </c>
      <c r="AD35">
        <f>VLOOKUP(B35,Migration!A$2:B$193,2,FALSE)</f>
        <v>70</v>
      </c>
      <c r="AE35">
        <f t="shared" si="9"/>
        <v>0.05</v>
      </c>
      <c r="AF35" t="str">
        <f t="shared" si="10"/>
        <v>Increased</v>
      </c>
      <c r="AG35" t="b">
        <f t="shared" si="11"/>
        <v>0</v>
      </c>
      <c r="AH35">
        <v>1.0926628399719541E-3</v>
      </c>
      <c r="AI35" s="51">
        <f t="shared" si="12"/>
        <v>7.6486398798036787E-2</v>
      </c>
    </row>
    <row r="36" spans="1:35" x14ac:dyDescent="0.35">
      <c r="A36" s="19" t="s">
        <v>97</v>
      </c>
      <c r="B36" s="19" t="s">
        <v>34</v>
      </c>
      <c r="C36" s="23" t="s">
        <v>68</v>
      </c>
      <c r="D36" s="20">
        <v>917</v>
      </c>
      <c r="E36" s="20">
        <v>906</v>
      </c>
      <c r="F36" s="20">
        <v>825.19642662205808</v>
      </c>
      <c r="G36" s="34">
        <v>0.16765299086895941</v>
      </c>
      <c r="H36" s="34">
        <v>0.35339731243898659</v>
      </c>
      <c r="I36" s="34">
        <v>0.29951984150713429</v>
      </c>
      <c r="J36" s="34">
        <v>0.1336555241914486</v>
      </c>
      <c r="K36" s="34">
        <v>4.3048783589516915E-2</v>
      </c>
      <c r="L36" s="34">
        <v>2.7255474039542516E-3</v>
      </c>
      <c r="M36" s="33">
        <f t="shared" si="13"/>
        <v>5.4697371805675514</v>
      </c>
      <c r="N36" s="33">
        <f t="shared" si="14"/>
        <v>11.529710322144105</v>
      </c>
      <c r="O36" s="33">
        <f t="shared" si="15"/>
        <v>9.771939080345982</v>
      </c>
      <c r="P36" s="33">
        <f t="shared" si="16"/>
        <v>4.3605579970214929</v>
      </c>
      <c r="Q36" s="33">
        <f t="shared" si="17"/>
        <v>1.4044815482106789</v>
      </c>
      <c r="R36" s="33">
        <f t="shared" si="18"/>
        <v>8.8921932710763985E-2</v>
      </c>
      <c r="S36" s="31">
        <f>VLOOKUP(B36,'Edu updated'!B$2:J$48,8,FALSE)</f>
        <v>124</v>
      </c>
      <c r="T36" s="32">
        <f t="shared" si="22"/>
        <v>0.15026725274077354</v>
      </c>
      <c r="U36" s="33">
        <f t="shared" si="20"/>
        <v>123.99999999999999</v>
      </c>
      <c r="V36" s="42">
        <f t="shared" si="21"/>
        <v>909.0965573302891</v>
      </c>
      <c r="W36" s="42">
        <f t="shared" si="2"/>
        <v>991.33224992100361</v>
      </c>
      <c r="X36" s="42">
        <f t="shared" si="3"/>
        <v>1073.2139278583509</v>
      </c>
      <c r="Y36" s="42">
        <f t="shared" si="4"/>
        <v>1154.7431151323508</v>
      </c>
      <c r="Z36" s="42">
        <f t="shared" si="5"/>
        <v>1235.921329172432</v>
      </c>
      <c r="AA36" s="42">
        <f t="shared" si="6"/>
        <v>1316.7500808756738</v>
      </c>
      <c r="AB36" s="42">
        <f t="shared" si="7"/>
        <v>1397.2308746349272</v>
      </c>
      <c r="AC36" s="42">
        <f t="shared" si="8"/>
        <v>1477.3652083668151</v>
      </c>
      <c r="AD36">
        <f>VLOOKUP(B36,Migration!A$2:B$193,2,FALSE)</f>
        <v>72</v>
      </c>
      <c r="AE36">
        <f t="shared" si="9"/>
        <v>0.05</v>
      </c>
      <c r="AF36" t="str">
        <f t="shared" si="10"/>
        <v>Increased</v>
      </c>
      <c r="AG36" t="b">
        <f t="shared" si="11"/>
        <v>0</v>
      </c>
      <c r="AH36">
        <v>0.1807659203991365</v>
      </c>
      <c r="AI36" s="51">
        <f t="shared" si="12"/>
        <v>13.015146268737828</v>
      </c>
    </row>
    <row r="37" spans="1:35" x14ac:dyDescent="0.35">
      <c r="A37" s="19" t="s">
        <v>98</v>
      </c>
      <c r="B37" s="19" t="s">
        <v>35</v>
      </c>
      <c r="C37" s="19" t="s">
        <v>62</v>
      </c>
      <c r="D37" s="20">
        <v>101275</v>
      </c>
      <c r="E37" s="20">
        <v>120870</v>
      </c>
      <c r="F37" s="20">
        <v>146787</v>
      </c>
      <c r="G37" s="30">
        <v>3.085769767251046E-2</v>
      </c>
      <c r="H37" s="30">
        <v>0.36394374094029486</v>
      </c>
      <c r="I37" s="30">
        <v>0.30764365615512951</v>
      </c>
      <c r="J37" s="30">
        <v>0.18093085906517517</v>
      </c>
      <c r="K37" s="30">
        <v>0.10857971173043787</v>
      </c>
      <c r="L37" s="30">
        <v>8.0443344364521507E-3</v>
      </c>
      <c r="M37" s="33">
        <f t="shared" si="13"/>
        <v>1.006743126926781</v>
      </c>
      <c r="N37" s="33">
        <f t="shared" si="14"/>
        <v>11.873791222799744</v>
      </c>
      <c r="O37" s="33">
        <f t="shared" si="15"/>
        <v>10.036981360819881</v>
      </c>
      <c r="P37" s="33">
        <f t="shared" si="16"/>
        <v>5.9029322519771803</v>
      </c>
      <c r="Q37" s="33">
        <f t="shared" si="17"/>
        <v>3.5424508875686422</v>
      </c>
      <c r="R37" s="33">
        <f t="shared" si="18"/>
        <v>0.26244921090834433</v>
      </c>
      <c r="S37" s="31">
        <f>VLOOKUP(B37,'Edu updated'!B$2:J$48,8,FALSE)</f>
        <v>375</v>
      </c>
      <c r="T37" s="32">
        <f t="shared" si="22"/>
        <v>2.5547221484191378E-3</v>
      </c>
      <c r="U37" s="33">
        <f t="shared" si="20"/>
        <v>375</v>
      </c>
      <c r="V37" s="42">
        <f t="shared" si="21"/>
        <v>144508.45495989342</v>
      </c>
      <c r="W37" s="42">
        <f t="shared" si="2"/>
        <v>141841.64500049473</v>
      </c>
      <c r="X37" s="42">
        <f t="shared" si="3"/>
        <v>139203.79118675916</v>
      </c>
      <c r="Y37" s="42">
        <f t="shared" si="4"/>
        <v>136594.57911369184</v>
      </c>
      <c r="Z37" s="42">
        <f t="shared" si="5"/>
        <v>134013.69779009826</v>
      </c>
      <c r="AA37" s="42">
        <f t="shared" si="6"/>
        <v>131460.83960151731</v>
      </c>
      <c r="AB37" s="42">
        <f t="shared" si="7"/>
        <v>128935.70027355682</v>
      </c>
      <c r="AC37" s="42">
        <f t="shared" si="8"/>
        <v>126437.97883562726</v>
      </c>
      <c r="AD37">
        <f>VLOOKUP(B37,Migration!A$2:B$193,2,FALSE)</f>
        <v>40900</v>
      </c>
      <c r="AE37">
        <f t="shared" si="9"/>
        <v>0.05</v>
      </c>
      <c r="AF37" t="str">
        <f t="shared" si="10"/>
        <v>Decreased</v>
      </c>
      <c r="AG37" t="b">
        <f t="shared" si="11"/>
        <v>0</v>
      </c>
      <c r="AH37">
        <v>0.66515468028511748</v>
      </c>
      <c r="AI37" s="51">
        <f t="shared" si="12"/>
        <v>27204.826423661307</v>
      </c>
    </row>
    <row r="38" spans="1:35" x14ac:dyDescent="0.35">
      <c r="A38" s="19" t="s">
        <v>99</v>
      </c>
      <c r="B38" s="19" t="s">
        <v>36</v>
      </c>
      <c r="C38" s="23" t="s">
        <v>68</v>
      </c>
      <c r="D38" s="20">
        <v>622</v>
      </c>
      <c r="E38" s="20">
        <v>1471</v>
      </c>
      <c r="F38" s="20">
        <v>1990</v>
      </c>
      <c r="G38" s="34">
        <v>0.16765299086895941</v>
      </c>
      <c r="H38" s="34">
        <v>0.35339731243898659</v>
      </c>
      <c r="I38" s="34">
        <v>0.29951984150713429</v>
      </c>
      <c r="J38" s="34">
        <v>0.1336555241914486</v>
      </c>
      <c r="K38" s="34">
        <v>4.3048783589516915E-2</v>
      </c>
      <c r="L38" s="34">
        <v>2.7255474039542516E-3</v>
      </c>
      <c r="M38" s="33">
        <f t="shared" si="13"/>
        <v>5.4697371805675514</v>
      </c>
      <c r="N38" s="33">
        <f t="shared" si="14"/>
        <v>11.529710322144105</v>
      </c>
      <c r="O38" s="33">
        <f t="shared" si="15"/>
        <v>9.771939080345982</v>
      </c>
      <c r="P38" s="33">
        <f t="shared" si="16"/>
        <v>4.3605579970214929</v>
      </c>
      <c r="Q38" s="33">
        <f t="shared" si="17"/>
        <v>1.4044815482106789</v>
      </c>
      <c r="R38" s="33">
        <f t="shared" si="18"/>
        <v>8.8921932710763985E-2</v>
      </c>
      <c r="S38" s="31">
        <f>VLOOKUP(B38,'Edu updated'!B$2:J$48,8,FALSE)</f>
        <v>176</v>
      </c>
      <c r="T38" s="32">
        <f t="shared" si="22"/>
        <v>8.8442211055276387E-2</v>
      </c>
      <c r="U38" s="33">
        <f t="shared" si="20"/>
        <v>176</v>
      </c>
      <c r="V38" s="42">
        <f t="shared" si="21"/>
        <v>2107.1571064048048</v>
      </c>
      <c r="W38" s="42">
        <f t="shared" si="2"/>
        <v>2220.666997117205</v>
      </c>
      <c r="X38" s="42">
        <f t="shared" si="3"/>
        <v>2333.6882415575506</v>
      </c>
      <c r="Y38" s="42">
        <f t="shared" si="4"/>
        <v>2446.2229432886029</v>
      </c>
      <c r="Z38" s="42">
        <f t="shared" si="5"/>
        <v>2558.2731968175422</v>
      </c>
      <c r="AA38" s="42">
        <f t="shared" si="6"/>
        <v>2669.8410876349499</v>
      </c>
      <c r="AB38" s="42">
        <f t="shared" si="7"/>
        <v>2780.9286922536239</v>
      </c>
      <c r="AC38" s="42">
        <f t="shared" si="8"/>
        <v>2891.5380782472271</v>
      </c>
      <c r="AD38">
        <f>VLOOKUP(B38,Migration!A$2:B$193,2,FALSE)</f>
        <v>84</v>
      </c>
      <c r="AE38">
        <f t="shared" si="9"/>
        <v>0.05</v>
      </c>
      <c r="AF38" t="str">
        <f t="shared" si="10"/>
        <v>Increased</v>
      </c>
      <c r="AG38" t="b">
        <f t="shared" si="11"/>
        <v>0</v>
      </c>
      <c r="AH38">
        <v>0.1473938717443134</v>
      </c>
      <c r="AI38" s="51">
        <f t="shared" si="12"/>
        <v>12.381085226522325</v>
      </c>
    </row>
    <row r="39" spans="1:35" x14ac:dyDescent="0.35">
      <c r="A39" s="19" t="s">
        <v>100</v>
      </c>
      <c r="B39" s="19" t="s">
        <v>40</v>
      </c>
      <c r="C39" s="23" t="s">
        <v>62</v>
      </c>
      <c r="D39" s="20">
        <v>31</v>
      </c>
      <c r="E39" s="20">
        <v>50</v>
      </c>
      <c r="F39" s="20">
        <v>25.284570175049133</v>
      </c>
      <c r="G39" s="34">
        <v>3.1079803713894617E-2</v>
      </c>
      <c r="H39" s="34">
        <v>0.33653962637948021</v>
      </c>
      <c r="I39" s="34">
        <v>0.34941395631522804</v>
      </c>
      <c r="J39" s="34">
        <v>0.20169962632044125</v>
      </c>
      <c r="K39" s="34">
        <v>7.3507084647192453E-2</v>
      </c>
      <c r="L39" s="34">
        <v>7.7599026237634297E-3</v>
      </c>
      <c r="M39" s="33">
        <f t="shared" si="13"/>
        <v>1.01398941383339</v>
      </c>
      <c r="N39" s="33">
        <f t="shared" si="14"/>
        <v>10.979722446949632</v>
      </c>
      <c r="O39" s="33">
        <f t="shared" si="15"/>
        <v>11.399751942155564</v>
      </c>
      <c r="P39" s="33">
        <f t="shared" si="16"/>
        <v>6.5805205124781478</v>
      </c>
      <c r="Q39" s="33">
        <f t="shared" si="17"/>
        <v>2.398194221564085</v>
      </c>
      <c r="R39" s="33">
        <f t="shared" si="18"/>
        <v>0.25316952401975346</v>
      </c>
      <c r="S39" s="31">
        <f>VLOOKUP(B39,'Edu updated'!B$2:J$48,8,FALSE)</f>
        <v>0</v>
      </c>
      <c r="T39" s="32">
        <v>8.1100000000000005E-2</v>
      </c>
      <c r="U39" s="33">
        <f>T39*E39</f>
        <v>4.0550000000000006</v>
      </c>
      <c r="V39" s="42">
        <f>E39*(1-L39)+0.7*U39-AI39*AE39</f>
        <v>52.447631622201023</v>
      </c>
      <c r="W39" s="42">
        <f t="shared" si="2"/>
        <v>54.897731125870436</v>
      </c>
      <c r="X39" s="42">
        <f t="shared" si="3"/>
        <v>57.329820662378822</v>
      </c>
      <c r="Y39" s="42">
        <f t="shared" si="4"/>
        <v>59.744032617744239</v>
      </c>
      <c r="Z39" s="42">
        <f t="shared" si="5"/>
        <v>62.140498404853723</v>
      </c>
      <c r="AA39" s="42">
        <f t="shared" si="6"/>
        <v>64.519348470616492</v>
      </c>
      <c r="AB39" s="42">
        <f t="shared" si="7"/>
        <v>66.880712303064556</v>
      </c>
      <c r="AC39" s="42">
        <f t="shared" si="8"/>
        <v>69.224718438401169</v>
      </c>
      <c r="AD39">
        <f>VLOOKUP(B39,Migration!A$2:B$193,2,FALSE)</f>
        <v>1</v>
      </c>
      <c r="AE39">
        <f t="shared" si="9"/>
        <v>0.05</v>
      </c>
      <c r="AF39" t="str">
        <f t="shared" si="10"/>
        <v>Increased</v>
      </c>
      <c r="AG39" t="b">
        <f t="shared" si="11"/>
        <v>1</v>
      </c>
      <c r="AH39">
        <v>5.746493221602076E-2</v>
      </c>
      <c r="AI39" s="51">
        <f t="shared" si="12"/>
        <v>5.746493221602076E-2</v>
      </c>
    </row>
    <row r="40" spans="1:35" x14ac:dyDescent="0.35">
      <c r="A40" s="19" t="s">
        <v>101</v>
      </c>
      <c r="B40" s="19" t="s">
        <v>37</v>
      </c>
      <c r="C40" s="19" t="s">
        <v>62</v>
      </c>
      <c r="D40" s="20">
        <v>3946</v>
      </c>
      <c r="E40" s="20">
        <v>3015</v>
      </c>
      <c r="F40" s="20">
        <v>3280.6659247026164</v>
      </c>
      <c r="G40" s="30">
        <v>3.1665611146295125E-3</v>
      </c>
      <c r="H40" s="30">
        <v>0.23495883470550982</v>
      </c>
      <c r="I40" s="30">
        <v>0.56322567025543591</v>
      </c>
      <c r="J40" s="30">
        <v>0.14967278868482162</v>
      </c>
      <c r="K40" s="30">
        <v>4.2854127084652735E-2</v>
      </c>
      <c r="L40" s="30">
        <v>6.122018154950391E-3</v>
      </c>
      <c r="M40" s="33">
        <f t="shared" si="13"/>
        <v>0.10331015852121778</v>
      </c>
      <c r="N40" s="33">
        <f t="shared" si="14"/>
        <v>7.6656137622743588</v>
      </c>
      <c r="O40" s="33">
        <f t="shared" si="15"/>
        <v>18.375433528973932</v>
      </c>
      <c r="P40" s="33">
        <f t="shared" si="16"/>
        <v>4.8831268261028935</v>
      </c>
      <c r="Q40" s="33">
        <f t="shared" si="17"/>
        <v>1.3981308119871472</v>
      </c>
      <c r="R40" s="33">
        <f t="shared" si="18"/>
        <v>0.19973297314102104</v>
      </c>
      <c r="S40" s="31">
        <f>VLOOKUP(B40,'Edu updated'!B$2:J$48,8,FALSE)</f>
        <v>104</v>
      </c>
      <c r="T40" s="32">
        <f t="shared" si="22"/>
        <v>3.170088097569012E-2</v>
      </c>
      <c r="U40" s="33">
        <f t="shared" si="20"/>
        <v>104</v>
      </c>
      <c r="V40" s="42">
        <f t="shared" si="21"/>
        <v>3316.1022078696619</v>
      </c>
      <c r="W40" s="42">
        <f t="shared" si="2"/>
        <v>3357.4119208438897</v>
      </c>
      <c r="X40" s="42">
        <f t="shared" si="3"/>
        <v>3398.5446046491543</v>
      </c>
      <c r="Y40" s="42">
        <f t="shared" si="4"/>
        <v>3439.5010179285068</v>
      </c>
      <c r="Z40" s="42">
        <f t="shared" si="5"/>
        <v>3480.2819160738986</v>
      </c>
      <c r="AA40" s="42">
        <f t="shared" si="6"/>
        <v>3520.8880512401156</v>
      </c>
      <c r="AB40" s="42">
        <f t="shared" si="7"/>
        <v>3561.3201723586499</v>
      </c>
      <c r="AC40" s="42">
        <f t="shared" si="8"/>
        <v>3601.5790251515123</v>
      </c>
      <c r="AD40">
        <f>VLOOKUP(B40,Migration!A$2:B$193,2,FALSE)</f>
        <v>499</v>
      </c>
      <c r="AE40">
        <f t="shared" si="9"/>
        <v>0.05</v>
      </c>
      <c r="AF40" t="str">
        <f t="shared" si="10"/>
        <v>Increased</v>
      </c>
      <c r="AG40" t="b">
        <f t="shared" si="11"/>
        <v>0</v>
      </c>
      <c r="AH40">
        <v>0.69256194315022512</v>
      </c>
      <c r="AI40" s="51">
        <f t="shared" si="12"/>
        <v>345.58840963196235</v>
      </c>
    </row>
    <row r="41" spans="1:35" x14ac:dyDescent="0.35">
      <c r="A41" s="19" t="s">
        <v>102</v>
      </c>
      <c r="B41" s="19" t="s">
        <v>42</v>
      </c>
      <c r="C41" s="19" t="s">
        <v>66</v>
      </c>
      <c r="D41" s="20">
        <v>0</v>
      </c>
      <c r="E41" s="20">
        <v>158</v>
      </c>
      <c r="F41" s="20">
        <v>179.29058851398477</v>
      </c>
      <c r="G41" s="30">
        <v>4.4350580781414996E-2</v>
      </c>
      <c r="H41" s="30">
        <v>0.27032734952481519</v>
      </c>
      <c r="I41" s="30">
        <v>0.25237592397043296</v>
      </c>
      <c r="J41" s="30">
        <v>0.17106652587117213</v>
      </c>
      <c r="K41" s="30">
        <v>0.17740232312565998</v>
      </c>
      <c r="L41" s="30">
        <v>8.4477296726504753E-2</v>
      </c>
      <c r="M41" s="33">
        <f t="shared" si="13"/>
        <v>1.446953134701187</v>
      </c>
      <c r="N41" s="33">
        <f t="shared" si="14"/>
        <v>8.8195238686548532</v>
      </c>
      <c r="O41" s="33">
        <f t="shared" si="15"/>
        <v>8.2338523617519925</v>
      </c>
      <c r="P41" s="33">
        <f t="shared" si="16"/>
        <v>5.5811049481331496</v>
      </c>
      <c r="Q41" s="33">
        <f t="shared" si="17"/>
        <v>5.7878125388047481</v>
      </c>
      <c r="R41" s="33">
        <f t="shared" si="18"/>
        <v>2.7561012089546417</v>
      </c>
      <c r="S41" s="31">
        <f>VLOOKUP(B41,'Edu updated'!B$2:J$48,8,FALSE)</f>
        <v>10</v>
      </c>
      <c r="T41" s="32">
        <f t="shared" si="22"/>
        <v>5.5775376069000931E-2</v>
      </c>
      <c r="U41" s="33">
        <f t="shared" si="20"/>
        <v>10</v>
      </c>
      <c r="V41" s="42">
        <f t="shared" si="21"/>
        <v>170.69532479777635</v>
      </c>
      <c r="W41" s="42">
        <f t="shared" si="2"/>
        <v>174.21787061115199</v>
      </c>
      <c r="X41" s="42">
        <f t="shared" si="3"/>
        <v>177.67792564346669</v>
      </c>
      <c r="Y41" s="42">
        <f t="shared" si="4"/>
        <v>181.07659849569387</v>
      </c>
      <c r="Z41" s="42">
        <f t="shared" si="5"/>
        <v>184.41497810196813</v>
      </c>
      <c r="AA41" s="42">
        <f t="shared" si="6"/>
        <v>187.69413407847955</v>
      </c>
      <c r="AB41" s="42">
        <f t="shared" si="7"/>
        <v>190.91511706617851</v>
      </c>
      <c r="AC41" s="42">
        <f t="shared" si="8"/>
        <v>194.07895906740089</v>
      </c>
      <c r="AD41">
        <f>VLOOKUP(B41,Migration!A$2:B$193,2,FALSE)</f>
        <v>64</v>
      </c>
      <c r="AE41">
        <f t="shared" si="9"/>
        <v>0.05</v>
      </c>
      <c r="AF41" t="str">
        <f t="shared" si="10"/>
        <v>Increased</v>
      </c>
      <c r="AG41" t="b">
        <f t="shared" si="11"/>
        <v>0</v>
      </c>
      <c r="AH41">
        <v>0.14039983438839843</v>
      </c>
      <c r="AI41" s="51">
        <f t="shared" si="12"/>
        <v>8.9855894008574992</v>
      </c>
    </row>
    <row r="42" spans="1:35" x14ac:dyDescent="0.35">
      <c r="A42" s="19" t="s">
        <v>103</v>
      </c>
      <c r="B42" s="19" t="s">
        <v>38</v>
      </c>
      <c r="C42" s="19" t="s">
        <v>68</v>
      </c>
      <c r="D42" s="20">
        <v>2187</v>
      </c>
      <c r="E42" s="20">
        <v>391</v>
      </c>
      <c r="F42" s="20">
        <v>2271</v>
      </c>
      <c r="G42" s="34">
        <v>0.16765299086895941</v>
      </c>
      <c r="H42" s="34">
        <v>0.35339731243898659</v>
      </c>
      <c r="I42" s="34">
        <v>0.29951984150713429</v>
      </c>
      <c r="J42" s="34">
        <v>0.1336555241914486</v>
      </c>
      <c r="K42" s="34">
        <v>4.3048783589516915E-2</v>
      </c>
      <c r="L42" s="34">
        <v>2.7255474039542516E-3</v>
      </c>
      <c r="M42" s="33">
        <f t="shared" si="13"/>
        <v>5.4697371805675514</v>
      </c>
      <c r="N42" s="33">
        <f t="shared" si="14"/>
        <v>11.529710322144105</v>
      </c>
      <c r="O42" s="33">
        <f t="shared" si="15"/>
        <v>9.771939080345982</v>
      </c>
      <c r="P42" s="33">
        <f t="shared" si="16"/>
        <v>4.3605579970214929</v>
      </c>
      <c r="Q42" s="33">
        <f t="shared" si="17"/>
        <v>1.4044815482106789</v>
      </c>
      <c r="R42" s="33">
        <f t="shared" si="18"/>
        <v>8.8921932710763985E-2</v>
      </c>
      <c r="S42" s="31">
        <f>VLOOKUP(B42,'Edu updated'!B$2:J$48,8,FALSE)</f>
        <v>120</v>
      </c>
      <c r="T42" s="32">
        <f t="shared" si="22"/>
        <v>5.2840158520475564E-2</v>
      </c>
      <c r="U42" s="33">
        <f t="shared" si="20"/>
        <v>120</v>
      </c>
      <c r="V42" s="42">
        <f t="shared" si="21"/>
        <v>2305.705350784724</v>
      </c>
      <c r="W42" s="42">
        <f t="shared" si="2"/>
        <v>2336.6746386571158</v>
      </c>
      <c r="X42" s="42">
        <f t="shared" si="3"/>
        <v>2367.5106075123531</v>
      </c>
      <c r="Y42" s="42">
        <f t="shared" si="4"/>
        <v>2398.2138312725883</v>
      </c>
      <c r="Z42" s="42">
        <f t="shared" si="5"/>
        <v>2428.7848813893079</v>
      </c>
      <c r="AA42" s="42">
        <f t="shared" si="6"/>
        <v>2459.2243268539696</v>
      </c>
      <c r="AB42" s="42">
        <f t="shared" si="7"/>
        <v>2489.532734208592</v>
      </c>
      <c r="AC42" s="42">
        <f t="shared" si="8"/>
        <v>2519.7106675562991</v>
      </c>
      <c r="AD42">
        <f>VLOOKUP(B42,Migration!A$2:B$193,2,FALSE)</f>
        <v>5947</v>
      </c>
      <c r="AE42">
        <f t="shared" si="9"/>
        <v>0.05</v>
      </c>
      <c r="AF42" t="str">
        <f t="shared" si="10"/>
        <v>Increased</v>
      </c>
      <c r="AG42" t="b">
        <f t="shared" si="11"/>
        <v>0</v>
      </c>
      <c r="AH42">
        <v>0.14496361547299885</v>
      </c>
      <c r="AI42" s="51">
        <f t="shared" si="12"/>
        <v>862.09862121792412</v>
      </c>
    </row>
    <row r="43" spans="1:35" x14ac:dyDescent="0.35">
      <c r="A43" s="19" t="s">
        <v>104</v>
      </c>
      <c r="B43" s="19" t="s">
        <v>47</v>
      </c>
      <c r="C43" s="23" t="s">
        <v>66</v>
      </c>
      <c r="D43" s="20">
        <v>0</v>
      </c>
      <c r="E43" s="20">
        <v>0</v>
      </c>
      <c r="F43" s="20">
        <v>0</v>
      </c>
      <c r="G43" s="30">
        <v>2.0898312382512628E-3</v>
      </c>
      <c r="H43" s="30">
        <v>0.20183499084604911</v>
      </c>
      <c r="I43" s="30">
        <v>0.29703958077355258</v>
      </c>
      <c r="J43" s="30">
        <v>0.25681470513076321</v>
      </c>
      <c r="K43" s="30">
        <v>0.18920148843591708</v>
      </c>
      <c r="L43" s="30">
        <v>5.3019403575466709E-2</v>
      </c>
      <c r="M43" s="33">
        <f t="shared" si="13"/>
        <v>6.8181471536699262E-2</v>
      </c>
      <c r="N43" s="33">
        <f t="shared" si="14"/>
        <v>6.5849368272412168</v>
      </c>
      <c r="O43" s="33">
        <f t="shared" si="15"/>
        <v>9.6910197106308473</v>
      </c>
      <c r="P43" s="33">
        <f t="shared" si="16"/>
        <v>8.3786691420743793</v>
      </c>
      <c r="Q43" s="33">
        <f t="shared" si="17"/>
        <v>6.1727644138811693</v>
      </c>
      <c r="R43" s="33">
        <f t="shared" si="18"/>
        <v>1.7297764956362596</v>
      </c>
      <c r="S43" s="31">
        <f>VLOOKUP(B43,'Edu updated'!B$2:J$48,8,FALSE)</f>
        <v>0</v>
      </c>
      <c r="T43" s="32">
        <v>7.9561448651791336E-2</v>
      </c>
      <c r="U43" s="33">
        <f t="shared" si="20"/>
        <v>0</v>
      </c>
      <c r="V43" s="42">
        <f t="shared" si="21"/>
        <v>0</v>
      </c>
      <c r="W43" s="42">
        <f t="shared" si="2"/>
        <v>0</v>
      </c>
      <c r="X43" s="42">
        <f t="shared" si="3"/>
        <v>0</v>
      </c>
      <c r="Y43" s="42">
        <f t="shared" si="4"/>
        <v>0</v>
      </c>
      <c r="Z43" s="42">
        <f t="shared" si="5"/>
        <v>0</v>
      </c>
      <c r="AA43" s="42">
        <f t="shared" si="6"/>
        <v>0</v>
      </c>
      <c r="AB43" s="42">
        <f t="shared" si="7"/>
        <v>0</v>
      </c>
      <c r="AC43" s="42">
        <f t="shared" si="8"/>
        <v>0</v>
      </c>
      <c r="AD43">
        <f>VLOOKUP(B43,Migration!A$2:B$193,2,FALSE)</f>
        <v>9155</v>
      </c>
      <c r="AE43">
        <f t="shared" si="9"/>
        <v>0.05</v>
      </c>
      <c r="AF43" t="str">
        <f t="shared" si="10"/>
        <v>Increased</v>
      </c>
      <c r="AG43" t="b">
        <f t="shared" si="11"/>
        <v>0</v>
      </c>
      <c r="AH43">
        <v>0</v>
      </c>
      <c r="AI43" s="51">
        <f t="shared" si="12"/>
        <v>0</v>
      </c>
    </row>
    <row r="44" spans="1:35" x14ac:dyDescent="0.35">
      <c r="A44" s="19" t="s">
        <v>105</v>
      </c>
      <c r="B44" s="19" t="s">
        <v>39</v>
      </c>
      <c r="C44" s="23" t="s">
        <v>68</v>
      </c>
      <c r="D44" s="20">
        <v>0</v>
      </c>
      <c r="E44" s="20">
        <v>1712</v>
      </c>
      <c r="F44" s="20">
        <v>3020</v>
      </c>
      <c r="G44" s="34">
        <v>0.16765299086895941</v>
      </c>
      <c r="H44" s="34">
        <v>0.35339731243898659</v>
      </c>
      <c r="I44" s="34">
        <v>0.29951984150713429</v>
      </c>
      <c r="J44" s="34">
        <v>0.1336555241914486</v>
      </c>
      <c r="K44" s="34">
        <v>4.3048783589516915E-2</v>
      </c>
      <c r="L44" s="34">
        <v>2.7255474039542516E-3</v>
      </c>
      <c r="M44" s="33">
        <f t="shared" si="13"/>
        <v>5.4697371805675514</v>
      </c>
      <c r="N44" s="33">
        <f t="shared" si="14"/>
        <v>11.529710322144105</v>
      </c>
      <c r="O44" s="33">
        <f t="shared" si="15"/>
        <v>9.771939080345982</v>
      </c>
      <c r="P44" s="33">
        <f t="shared" si="16"/>
        <v>4.3605579970214929</v>
      </c>
      <c r="Q44" s="33">
        <f t="shared" si="17"/>
        <v>1.4044815482106789</v>
      </c>
      <c r="R44" s="33">
        <f t="shared" si="18"/>
        <v>8.8921932710763985E-2</v>
      </c>
      <c r="S44" s="31">
        <f>VLOOKUP(B44,'Edu updated'!B$2:J$48,8,FALSE)</f>
        <v>307</v>
      </c>
      <c r="T44" s="32">
        <f t="shared" si="22"/>
        <v>0.10165562913907285</v>
      </c>
      <c r="U44" s="33">
        <f t="shared" si="20"/>
        <v>307</v>
      </c>
      <c r="V44" s="42">
        <f t="shared" si="21"/>
        <v>3222.335513506725</v>
      </c>
      <c r="W44" s="42">
        <f t="shared" si="2"/>
        <v>3419.0304177560151</v>
      </c>
      <c r="X44" s="42">
        <f t="shared" si="3"/>
        <v>3614.8785743686863</v>
      </c>
      <c r="Y44" s="42">
        <f t="shared" si="4"/>
        <v>3809.883628490315</v>
      </c>
      <c r="Z44" s="42">
        <f t="shared" si="5"/>
        <v>4004.0492095745694</v>
      </c>
      <c r="AA44" s="42">
        <f t="shared" si="6"/>
        <v>4197.3789314507612</v>
      </c>
      <c r="AB44" s="42">
        <f t="shared" si="7"/>
        <v>4389.8763923911056</v>
      </c>
      <c r="AC44" s="42">
        <f t="shared" si="8"/>
        <v>4581.5451751776945</v>
      </c>
      <c r="AD44">
        <f>VLOOKUP(B44,Migration!A$2:B$193,2,FALSE)</f>
        <v>130</v>
      </c>
      <c r="AE44">
        <f t="shared" si="9"/>
        <v>0.05</v>
      </c>
      <c r="AF44" t="str">
        <f t="shared" si="10"/>
        <v>Increased</v>
      </c>
      <c r="AG44" t="b">
        <f t="shared" si="11"/>
        <v>0</v>
      </c>
      <c r="AH44">
        <v>0.66666666666666663</v>
      </c>
      <c r="AI44" s="51">
        <f t="shared" si="12"/>
        <v>86.666666666666657</v>
      </c>
    </row>
    <row r="45" spans="1:35" x14ac:dyDescent="0.35">
      <c r="A45" s="19" t="s">
        <v>106</v>
      </c>
      <c r="B45" s="19" t="s">
        <v>45</v>
      </c>
      <c r="C45" s="23" t="s">
        <v>62</v>
      </c>
      <c r="D45" s="20">
        <v>0</v>
      </c>
      <c r="E45" s="20">
        <v>0</v>
      </c>
      <c r="F45" s="20">
        <v>0</v>
      </c>
      <c r="G45" s="34">
        <v>3.1079803713894617E-2</v>
      </c>
      <c r="H45" s="34">
        <v>0.33653962637948021</v>
      </c>
      <c r="I45" s="34">
        <v>0.34941395631522804</v>
      </c>
      <c r="J45" s="34">
        <v>0.20169962632044125</v>
      </c>
      <c r="K45" s="34">
        <v>7.3507084647192453E-2</v>
      </c>
      <c r="L45" s="34">
        <v>7.7599026237634297E-3</v>
      </c>
      <c r="M45" s="33">
        <f t="shared" si="13"/>
        <v>1.01398941383339</v>
      </c>
      <c r="N45" s="33">
        <f t="shared" si="14"/>
        <v>10.979722446949632</v>
      </c>
      <c r="O45" s="33">
        <f t="shared" si="15"/>
        <v>11.399751942155564</v>
      </c>
      <c r="P45" s="33">
        <f t="shared" si="16"/>
        <v>6.5805205124781478</v>
      </c>
      <c r="Q45" s="33">
        <f t="shared" si="17"/>
        <v>2.398194221564085</v>
      </c>
      <c r="R45" s="33">
        <f t="shared" si="18"/>
        <v>0.25316952401975346</v>
      </c>
      <c r="S45" s="31">
        <f>VLOOKUP(B45,'Edu updated'!B$2:J$48,8,FALSE)</f>
        <v>2084</v>
      </c>
      <c r="T45" s="32"/>
      <c r="U45" s="49"/>
      <c r="V45" s="42">
        <f t="shared" si="21"/>
        <v>0</v>
      </c>
      <c r="W45" s="42">
        <f t="shared" si="2"/>
        <v>0</v>
      </c>
      <c r="X45" s="42">
        <f t="shared" si="3"/>
        <v>0</v>
      </c>
      <c r="Y45" s="42">
        <f t="shared" si="4"/>
        <v>0</v>
      </c>
      <c r="Z45" s="42">
        <f t="shared" si="5"/>
        <v>0</v>
      </c>
      <c r="AA45" s="42">
        <f t="shared" si="6"/>
        <v>0</v>
      </c>
      <c r="AB45" s="42">
        <f t="shared" si="7"/>
        <v>0</v>
      </c>
      <c r="AC45" s="42">
        <f t="shared" si="8"/>
        <v>0</v>
      </c>
      <c r="AD45">
        <f>VLOOKUP(B45,Migration!A$2:B$193,2,FALSE)</f>
        <v>1019</v>
      </c>
      <c r="AE45">
        <f t="shared" si="9"/>
        <v>0.05</v>
      </c>
      <c r="AF45" t="str">
        <f t="shared" si="10"/>
        <v>Increased</v>
      </c>
      <c r="AG45" t="b">
        <f t="shared" si="11"/>
        <v>0</v>
      </c>
      <c r="AH45">
        <v>0</v>
      </c>
      <c r="AI45" s="51">
        <f t="shared" si="12"/>
        <v>0</v>
      </c>
    </row>
    <row r="46" spans="1:35" x14ac:dyDescent="0.35">
      <c r="A46" s="19" t="s">
        <v>107</v>
      </c>
      <c r="B46" s="19" t="s">
        <v>44</v>
      </c>
      <c r="C46" s="19" t="s">
        <v>68</v>
      </c>
      <c r="D46" s="20">
        <v>795</v>
      </c>
      <c r="E46" s="20">
        <v>1285</v>
      </c>
      <c r="F46" s="20">
        <v>1864</v>
      </c>
      <c r="G46" s="30">
        <v>4.5318352059925092E-2</v>
      </c>
      <c r="H46" s="30">
        <v>0.36966292134831463</v>
      </c>
      <c r="I46" s="30">
        <v>0.37490636704119851</v>
      </c>
      <c r="J46" s="30">
        <v>0.15393258426966291</v>
      </c>
      <c r="K46" s="30">
        <v>5.4681647940074907E-2</v>
      </c>
      <c r="L46" s="30">
        <v>1.4981273408239701E-3</v>
      </c>
      <c r="M46" s="33">
        <f t="shared" si="13"/>
        <v>1.4785270095060183</v>
      </c>
      <c r="N46" s="33">
        <f t="shared" si="14"/>
        <v>12.060381474235044</v>
      </c>
      <c r="O46" s="33">
        <f t="shared" si="15"/>
        <v>12.231450715004335</v>
      </c>
      <c r="P46" s="33">
        <f t="shared" si="16"/>
        <v>5.0221041397270545</v>
      </c>
      <c r="Q46" s="33">
        <f t="shared" si="17"/>
        <v>1.7840077965940389</v>
      </c>
      <c r="R46" s="33">
        <f t="shared" si="18"/>
        <v>4.8876925934083257E-2</v>
      </c>
      <c r="S46" s="31">
        <f>VLOOKUP(B46,'Edu updated'!B$2:J$48,8,FALSE)</f>
        <v>130</v>
      </c>
      <c r="T46" s="32">
        <f t="shared" si="22"/>
        <v>6.974248927038626E-2</v>
      </c>
      <c r="U46" s="33">
        <f t="shared" si="20"/>
        <v>130</v>
      </c>
      <c r="V46" s="42">
        <f t="shared" si="21"/>
        <v>1912.6595058458295</v>
      </c>
      <c r="W46" s="42">
        <f t="shared" si="2"/>
        <v>1953.6527836821649</v>
      </c>
      <c r="X46" s="42">
        <f t="shared" si="3"/>
        <v>1994.4219035198448</v>
      </c>
      <c r="Y46" s="42">
        <f t="shared" si="4"/>
        <v>2034.9680910917459</v>
      </c>
      <c r="Z46" s="42">
        <f t="shared" si="5"/>
        <v>2075.2925654282349</v>
      </c>
      <c r="AA46" s="42">
        <f t="shared" si="6"/>
        <v>2115.39653889382</v>
      </c>
      <c r="AB46" s="42">
        <f t="shared" si="7"/>
        <v>2155.2812172236008</v>
      </c>
      <c r="AC46" s="42">
        <f t="shared" si="8"/>
        <v>2194.9477995595184</v>
      </c>
      <c r="AD46">
        <f>VLOOKUP(B46,Migration!A$2:B$193,2,FALSE)</f>
        <v>1116</v>
      </c>
      <c r="AE46">
        <f t="shared" si="9"/>
        <v>0.05</v>
      </c>
      <c r="AF46" t="str">
        <f t="shared" si="10"/>
        <v>Increased</v>
      </c>
      <c r="AG46" t="b">
        <f t="shared" si="11"/>
        <v>0</v>
      </c>
      <c r="AH46">
        <v>0.70874524714828901</v>
      </c>
      <c r="AI46" s="51">
        <f t="shared" si="12"/>
        <v>790.95969581749057</v>
      </c>
    </row>
    <row r="47" spans="1:35" x14ac:dyDescent="0.35">
      <c r="A47" s="19" t="s">
        <v>108</v>
      </c>
      <c r="B47" s="19" t="s">
        <v>46</v>
      </c>
      <c r="C47" s="23" t="s">
        <v>68</v>
      </c>
      <c r="D47" s="20">
        <v>7000</v>
      </c>
      <c r="E47" s="20">
        <v>7237</v>
      </c>
      <c r="F47" s="20">
        <v>32957</v>
      </c>
      <c r="G47" s="30">
        <v>0.88558189271074672</v>
      </c>
      <c r="H47" s="30">
        <v>7.9754054535733379E-2</v>
      </c>
      <c r="I47" s="30">
        <v>1.2386383888789878E-2</v>
      </c>
      <c r="J47" s="30">
        <v>9.0892888968098374E-3</v>
      </c>
      <c r="K47" s="30">
        <v>8.9110675458919982E-3</v>
      </c>
      <c r="L47" s="30">
        <v>4.2773124220281591E-3</v>
      </c>
      <c r="M47" s="33">
        <f t="shared" si="13"/>
        <v>28.892417486207776</v>
      </c>
      <c r="N47" s="33">
        <f t="shared" si="14"/>
        <v>2.602003788504323</v>
      </c>
      <c r="O47" s="33">
        <f t="shared" si="15"/>
        <v>0.40411008558893957</v>
      </c>
      <c r="P47" s="33">
        <f t="shared" si="16"/>
        <v>0.29654121388540888</v>
      </c>
      <c r="Q47" s="33">
        <f t="shared" si="17"/>
        <v>0.29072668027981263</v>
      </c>
      <c r="R47" s="33">
        <f t="shared" si="18"/>
        <v>0.13954880653431007</v>
      </c>
      <c r="S47" s="31">
        <f>VLOOKUP(B47,'Edu updated'!B$2:J$48,8,FALSE)</f>
        <v>8990</v>
      </c>
      <c r="T47" s="32">
        <f t="shared" si="22"/>
        <v>0.27277968261674301</v>
      </c>
      <c r="U47" s="33">
        <f t="shared" si="20"/>
        <v>8990</v>
      </c>
      <c r="V47" s="42">
        <f t="shared" si="21"/>
        <v>39093.641695063037</v>
      </c>
      <c r="W47" s="42">
        <f t="shared" si="2"/>
        <v>45336.414167442897</v>
      </c>
      <c r="X47" s="42">
        <f t="shared" si="3"/>
        <v>51573.623663105252</v>
      </c>
      <c r="Y47" s="42">
        <f t="shared" si="4"/>
        <v>57805.275139256235</v>
      </c>
      <c r="Z47" s="42">
        <f t="shared" si="5"/>
        <v>64031.373548684576</v>
      </c>
      <c r="AA47" s="42">
        <f t="shared" si="6"/>
        <v>70251.923839765543</v>
      </c>
      <c r="AB47" s="42">
        <f t="shared" si="7"/>
        <v>76466.930956464857</v>
      </c>
      <c r="AC47" s="42">
        <f t="shared" si="8"/>
        <v>82676.399838342666</v>
      </c>
      <c r="AD47">
        <f>VLOOKUP(B47,Migration!A$2:B$193,2,FALSE)</f>
        <v>693</v>
      </c>
      <c r="AE47">
        <f t="shared" si="9"/>
        <v>0.05</v>
      </c>
      <c r="AF47" t="str">
        <f t="shared" si="10"/>
        <v>Increased</v>
      </c>
      <c r="AG47" t="b">
        <f t="shared" si="11"/>
        <v>0</v>
      </c>
      <c r="AH47">
        <v>0.4441823793414828</v>
      </c>
      <c r="AI47" s="51">
        <f t="shared" si="12"/>
        <v>307.81838888364757</v>
      </c>
    </row>
    <row r="48" spans="1:35" x14ac:dyDescent="0.35">
      <c r="A48" s="19" t="s">
        <v>109</v>
      </c>
      <c r="B48" s="19" t="s">
        <v>48</v>
      </c>
      <c r="C48" s="19" t="s">
        <v>62</v>
      </c>
      <c r="D48" s="20">
        <v>2773</v>
      </c>
      <c r="E48" s="20">
        <v>3432</v>
      </c>
      <c r="F48" s="20">
        <v>9202</v>
      </c>
      <c r="G48" s="30">
        <v>0.13455105242902396</v>
      </c>
      <c r="H48" s="30">
        <v>0.57100565440066309</v>
      </c>
      <c r="I48" s="30">
        <v>0.2078510317060896</v>
      </c>
      <c r="J48" s="30">
        <v>6.5040409722016634E-2</v>
      </c>
      <c r="K48" s="30">
        <v>1.7318452292844667E-2</v>
      </c>
      <c r="L48" s="30">
        <v>4.2333994493620299E-3</v>
      </c>
      <c r="M48" s="33">
        <f t="shared" si="13"/>
        <v>4.3897749174708434</v>
      </c>
      <c r="N48" s="33">
        <f t="shared" si="14"/>
        <v>18.629258219621036</v>
      </c>
      <c r="O48" s="33">
        <f t="shared" si="15"/>
        <v>6.7812122542492386</v>
      </c>
      <c r="P48" s="33">
        <f t="shared" si="16"/>
        <v>2.121966005210878</v>
      </c>
      <c r="Q48" s="33">
        <f t="shared" si="17"/>
        <v>0.56502053393189067</v>
      </c>
      <c r="R48" s="33">
        <f t="shared" si="18"/>
        <v>0.13811613051668439</v>
      </c>
      <c r="S48" s="31">
        <f>VLOOKUP(B48,'Edu updated'!B$2:J$48,8,FALSE)</f>
        <v>1939</v>
      </c>
      <c r="T48" s="32">
        <f t="shared" si="22"/>
        <v>0.21071506194305586</v>
      </c>
      <c r="U48" s="33">
        <f t="shared" si="20"/>
        <v>1939</v>
      </c>
      <c r="V48" s="42">
        <f t="shared" si="21"/>
        <v>10503.707926100886</v>
      </c>
      <c r="W48" s="42">
        <f t="shared" si="2"/>
        <v>11826.180797473187</v>
      </c>
      <c r="X48" s="42">
        <f t="shared" si="3"/>
        <v>13146.363350512343</v>
      </c>
      <c r="Y48" s="42">
        <f t="shared" si="4"/>
        <v>14464.259551695235</v>
      </c>
      <c r="Z48" s="42">
        <f t="shared" si="5"/>
        <v>15779.873360629415</v>
      </c>
      <c r="AA48" s="42">
        <f t="shared" si="6"/>
        <v>17093.208730065013</v>
      </c>
      <c r="AB48" s="42">
        <f t="shared" si="7"/>
        <v>18404.269605906604</v>
      </c>
      <c r="AC48" s="42">
        <f t="shared" si="8"/>
        <v>19713.059927225066</v>
      </c>
      <c r="AD48">
        <f>VLOOKUP(B48,Migration!A$2:B$193,2,FALSE)</f>
        <v>1807</v>
      </c>
      <c r="AE48">
        <f t="shared" si="9"/>
        <v>0.05</v>
      </c>
      <c r="AF48" t="str">
        <f t="shared" si="10"/>
        <v>Increased</v>
      </c>
      <c r="AG48" t="b">
        <f t="shared" si="11"/>
        <v>0</v>
      </c>
      <c r="AH48">
        <v>0.18413206603301652</v>
      </c>
      <c r="AI48" s="51">
        <f t="shared" si="12"/>
        <v>332.72664332166084</v>
      </c>
    </row>
    <row r="49" spans="1:35" x14ac:dyDescent="0.35">
      <c r="A49" s="19" t="s">
        <v>110</v>
      </c>
      <c r="B49" s="19" t="s">
        <v>49</v>
      </c>
      <c r="C49" s="19" t="s">
        <v>62</v>
      </c>
      <c r="D49" s="20">
        <v>0</v>
      </c>
      <c r="E49" s="20">
        <v>854</v>
      </c>
      <c r="F49" s="20">
        <v>9601</v>
      </c>
      <c r="G49" s="34">
        <v>3.1079803713894617E-2</v>
      </c>
      <c r="H49" s="34">
        <v>0.33653962637948021</v>
      </c>
      <c r="I49" s="34">
        <v>0.34941395631522804</v>
      </c>
      <c r="J49" s="34">
        <v>0.20169962632044125</v>
      </c>
      <c r="K49" s="34">
        <v>7.3507084647192453E-2</v>
      </c>
      <c r="L49" s="34">
        <v>7.7599026237634297E-3</v>
      </c>
      <c r="M49" s="33">
        <f t="shared" si="13"/>
        <v>1.01398941383339</v>
      </c>
      <c r="N49" s="33">
        <f t="shared" si="14"/>
        <v>10.979722446949632</v>
      </c>
      <c r="O49" s="33">
        <f t="shared" si="15"/>
        <v>11.399751942155564</v>
      </c>
      <c r="P49" s="33">
        <f t="shared" si="16"/>
        <v>6.5805205124781478</v>
      </c>
      <c r="Q49" s="33">
        <f t="shared" si="17"/>
        <v>2.398194221564085</v>
      </c>
      <c r="R49" s="33">
        <f t="shared" si="18"/>
        <v>0.25316952401975346</v>
      </c>
      <c r="S49" s="31">
        <f>VLOOKUP(B49,'Edu updated'!B$2:J$48,8,FALSE)</f>
        <v>270</v>
      </c>
      <c r="T49" s="32">
        <f t="shared" si="22"/>
        <v>2.8122070617643994E-2</v>
      </c>
      <c r="U49" s="33">
        <f t="shared" si="20"/>
        <v>270</v>
      </c>
      <c r="V49" s="42">
        <f t="shared" si="21"/>
        <v>9637.6464894331748</v>
      </c>
      <c r="W49" s="42">
        <f t="shared" si="2"/>
        <v>9677.9522743272537</v>
      </c>
      <c r="X49" s="42">
        <f t="shared" si="3"/>
        <v>9717.9617831471351</v>
      </c>
      <c r="Y49" s="42">
        <f t="shared" si="4"/>
        <v>9757.6771937318645</v>
      </c>
      <c r="Z49" s="42">
        <f t="shared" si="5"/>
        <v>9797.1006679118291</v>
      </c>
      <c r="AA49" s="42">
        <f t="shared" si="6"/>
        <v>9836.2343516264318</v>
      </c>
      <c r="AB49" s="42">
        <f t="shared" si="7"/>
        <v>9875.0803750408977</v>
      </c>
      <c r="AC49" s="42">
        <f t="shared" si="8"/>
        <v>9913.640852662229</v>
      </c>
      <c r="AD49">
        <f>VLOOKUP(B49,Migration!A$2:B$193,2,FALSE)</f>
        <v>7547</v>
      </c>
      <c r="AE49">
        <f t="shared" si="9"/>
        <v>0.05</v>
      </c>
      <c r="AF49" t="str">
        <f t="shared" si="10"/>
        <v>Increased</v>
      </c>
      <c r="AG49" t="b">
        <f t="shared" si="11"/>
        <v>0</v>
      </c>
      <c r="AH49">
        <v>0.20630895846315836</v>
      </c>
      <c r="AI49" s="51">
        <f t="shared" si="12"/>
        <v>1557.0137095214561</v>
      </c>
    </row>
    <row r="50" spans="1:35" s="38" customFormat="1" ht="15" thickBot="1" x14ac:dyDescent="0.4">
      <c r="A50" s="21" t="s">
        <v>111</v>
      </c>
      <c r="B50" s="24" t="s">
        <v>111</v>
      </c>
      <c r="C50" s="24" t="s">
        <v>111</v>
      </c>
      <c r="D50" s="22">
        <v>173269</v>
      </c>
      <c r="E50" s="22">
        <v>219661</v>
      </c>
      <c r="F50" s="22">
        <v>334530.09615611599</v>
      </c>
      <c r="G50" s="35">
        <v>2.8094911126753986E-2</v>
      </c>
      <c r="H50" s="35">
        <v>0.42408199480095404</v>
      </c>
      <c r="I50" s="35">
        <v>0.32237544168541793</v>
      </c>
      <c r="J50" s="35">
        <v>0.14725787510182761</v>
      </c>
      <c r="K50" s="35">
        <v>7.3303780982837616E-2</v>
      </c>
      <c r="L50" s="35">
        <v>4.8859963022088162E-3</v>
      </c>
      <c r="M50" s="36">
        <f t="shared" si="13"/>
        <v>0.91660625425322662</v>
      </c>
      <c r="N50" s="36">
        <f t="shared" si="14"/>
        <v>13.83582268678456</v>
      </c>
      <c r="O50" s="36">
        <f t="shared" si="15"/>
        <v>10.517610991305553</v>
      </c>
      <c r="P50" s="36">
        <f t="shared" si="16"/>
        <v>4.8043394299204758</v>
      </c>
      <c r="Q50" s="36">
        <f t="shared" si="17"/>
        <v>2.391561368752432</v>
      </c>
      <c r="R50" s="36">
        <f t="shared" si="18"/>
        <v>0.15940732998432436</v>
      </c>
      <c r="S50" s="31"/>
      <c r="T50" s="37">
        <v>4.2900000000000001E-2</v>
      </c>
      <c r="U50" s="36">
        <f t="shared" si="20"/>
        <v>14351.341125097377</v>
      </c>
      <c r="V50" s="43">
        <f t="shared" ref="V5:V50" si="23">F50*(1-L50)+0.7*U50</f>
        <v>342941.52213088784</v>
      </c>
      <c r="W50" s="43">
        <f>SUM(W3:W49)</f>
        <v>379058.81882513792</v>
      </c>
      <c r="X50" s="43">
        <f t="shared" ref="X50:AD50" si="24">SUM(X3:X49)</f>
        <v>399599.53420236066</v>
      </c>
      <c r="Y50" s="43">
        <f t="shared" si="24"/>
        <v>420087.26413983182</v>
      </c>
      <c r="Z50" s="43">
        <f t="shared" si="24"/>
        <v>440522.24221529177</v>
      </c>
      <c r="AA50" s="43">
        <f t="shared" si="24"/>
        <v>460904.70017630287</v>
      </c>
      <c r="AB50" s="43">
        <f t="shared" si="24"/>
        <v>481234.86796408874</v>
      </c>
      <c r="AC50" s="43">
        <f t="shared" si="24"/>
        <v>501512.97373700025</v>
      </c>
      <c r="AD50" s="36">
        <f t="shared" si="24"/>
        <v>122825</v>
      </c>
      <c r="AG50"/>
      <c r="AH50" s="38">
        <v>0.209199466395246</v>
      </c>
      <c r="AI50" s="51">
        <f t="shared" si="12"/>
        <v>25694.924459996091</v>
      </c>
    </row>
    <row r="51" spans="1:35" x14ac:dyDescent="0.35">
      <c r="V51" s="52" t="s">
        <v>146</v>
      </c>
      <c r="W51" s="52" t="s">
        <v>147</v>
      </c>
      <c r="X51" s="52" t="s">
        <v>148</v>
      </c>
      <c r="Y51" s="52" t="s">
        <v>149</v>
      </c>
      <c r="Z51" s="52" t="s">
        <v>150</v>
      </c>
      <c r="AA51" s="52" t="s">
        <v>151</v>
      </c>
      <c r="AB51" s="52" t="s">
        <v>152</v>
      </c>
      <c r="AC51" s="52" t="s">
        <v>153</v>
      </c>
      <c r="AD51" s="48">
        <f>AD50/F50</f>
        <v>0.36715680117068139</v>
      </c>
      <c r="AI51" s="48">
        <f>AI50/F50</f>
        <v>7.6809006888291981E-2</v>
      </c>
    </row>
    <row r="53" spans="1:35" x14ac:dyDescent="0.35">
      <c r="V53" s="46"/>
      <c r="W53" s="46"/>
      <c r="X53" s="46"/>
      <c r="Y53" s="46"/>
      <c r="Z53" s="46"/>
      <c r="AA53" s="46"/>
      <c r="AB53" s="46"/>
      <c r="AC53" s="46"/>
    </row>
    <row r="54" spans="1:35" x14ac:dyDescent="0.35">
      <c r="V54" s="47"/>
      <c r="W54" s="47"/>
      <c r="X54" s="47"/>
      <c r="Y54" s="47"/>
      <c r="Z54" s="47"/>
      <c r="AA54" s="47"/>
      <c r="AB54" s="47"/>
      <c r="AC54" s="47"/>
      <c r="AD54" t="s">
        <v>338</v>
      </c>
    </row>
    <row r="56" spans="1:35" x14ac:dyDescent="0.35">
      <c r="V56" s="45"/>
      <c r="W56" s="45"/>
      <c r="X56" s="45"/>
      <c r="Y56" s="45"/>
      <c r="Z56" s="45"/>
      <c r="AA56" s="45"/>
      <c r="AB56" s="45"/>
      <c r="AC56" s="45"/>
    </row>
  </sheetData>
  <autoFilter ref="A2:AG51" xr:uid="{8DC829C4-6F88-4AD4-B716-858E84CF74CD}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6FF0-6246-49F7-91E1-43626815A25C}">
  <dimension ref="A1:D43"/>
  <sheetViews>
    <sheetView topLeftCell="A19" workbookViewId="0">
      <selection activeCell="H45" sqref="H45"/>
    </sheetView>
  </sheetViews>
  <sheetFormatPr defaultRowHeight="14.5" x14ac:dyDescent="0.35"/>
  <cols>
    <col min="1" max="1" width="12.6328125" bestFit="1" customWidth="1"/>
  </cols>
  <sheetData>
    <row r="1" spans="1:4" s="13" customFormat="1" ht="58" x14ac:dyDescent="0.35">
      <c r="A1" s="13" t="s">
        <v>50</v>
      </c>
      <c r="B1" s="13" t="s">
        <v>138</v>
      </c>
      <c r="C1" s="13" t="s">
        <v>139</v>
      </c>
      <c r="D1" s="13" t="s">
        <v>141</v>
      </c>
    </row>
    <row r="2" spans="1:4" x14ac:dyDescent="0.35">
      <c r="A2" t="s">
        <v>63</v>
      </c>
      <c r="D2">
        <f>B2+C2</f>
        <v>0</v>
      </c>
    </row>
    <row r="3" spans="1:4" x14ac:dyDescent="0.35">
      <c r="A3" t="s">
        <v>64</v>
      </c>
      <c r="B3">
        <v>140</v>
      </c>
      <c r="D3">
        <f t="shared" ref="D3:D43" si="0">B3+C3</f>
        <v>140</v>
      </c>
    </row>
    <row r="4" spans="1:4" x14ac:dyDescent="0.35">
      <c r="A4" t="s">
        <v>65</v>
      </c>
      <c r="D4">
        <f t="shared" si="0"/>
        <v>0</v>
      </c>
    </row>
    <row r="5" spans="1:4" x14ac:dyDescent="0.35">
      <c r="A5" t="s">
        <v>67</v>
      </c>
      <c r="D5">
        <f t="shared" si="0"/>
        <v>0</v>
      </c>
    </row>
    <row r="6" spans="1:4" x14ac:dyDescent="0.35">
      <c r="A6" t="s">
        <v>69</v>
      </c>
      <c r="D6">
        <f t="shared" si="0"/>
        <v>0</v>
      </c>
    </row>
    <row r="7" spans="1:4" x14ac:dyDescent="0.35">
      <c r="A7" t="s">
        <v>70</v>
      </c>
      <c r="D7">
        <f t="shared" si="0"/>
        <v>0</v>
      </c>
    </row>
    <row r="8" spans="1:4" x14ac:dyDescent="0.35">
      <c r="A8" t="s">
        <v>71</v>
      </c>
      <c r="C8">
        <v>6</v>
      </c>
      <c r="D8">
        <f t="shared" si="0"/>
        <v>6</v>
      </c>
    </row>
    <row r="9" spans="1:4" x14ac:dyDescent="0.35">
      <c r="A9" t="s">
        <v>140</v>
      </c>
      <c r="D9">
        <f t="shared" si="0"/>
        <v>0</v>
      </c>
    </row>
    <row r="10" spans="1:4" x14ac:dyDescent="0.35">
      <c r="A10" t="s">
        <v>73</v>
      </c>
      <c r="B10">
        <v>208</v>
      </c>
      <c r="C10">
        <v>423</v>
      </c>
      <c r="D10">
        <f t="shared" si="0"/>
        <v>631</v>
      </c>
    </row>
    <row r="11" spans="1:4" x14ac:dyDescent="0.35">
      <c r="A11" t="s">
        <v>75</v>
      </c>
      <c r="C11">
        <v>5</v>
      </c>
      <c r="D11">
        <f t="shared" si="0"/>
        <v>5</v>
      </c>
    </row>
    <row r="12" spans="1:4" x14ac:dyDescent="0.35">
      <c r="A12" t="s">
        <v>76</v>
      </c>
      <c r="D12">
        <f t="shared" si="0"/>
        <v>0</v>
      </c>
    </row>
    <row r="13" spans="1:4" x14ac:dyDescent="0.35">
      <c r="A13" t="s">
        <v>77</v>
      </c>
      <c r="D13">
        <f t="shared" si="0"/>
        <v>0</v>
      </c>
    </row>
    <row r="14" spans="1:4" x14ac:dyDescent="0.35">
      <c r="A14" t="s">
        <v>79</v>
      </c>
      <c r="C14">
        <v>43</v>
      </c>
      <c r="D14">
        <f t="shared" si="0"/>
        <v>43</v>
      </c>
    </row>
    <row r="15" spans="1:4" x14ac:dyDescent="0.35">
      <c r="A15" t="s">
        <v>80</v>
      </c>
      <c r="D15">
        <f t="shared" si="0"/>
        <v>0</v>
      </c>
    </row>
    <row r="16" spans="1:4" x14ac:dyDescent="0.35">
      <c r="A16" t="s">
        <v>81</v>
      </c>
      <c r="B16">
        <v>4174</v>
      </c>
      <c r="D16">
        <f t="shared" si="0"/>
        <v>4174</v>
      </c>
    </row>
    <row r="17" spans="1:4" x14ac:dyDescent="0.35">
      <c r="A17" t="s">
        <v>82</v>
      </c>
      <c r="D17">
        <f t="shared" si="0"/>
        <v>0</v>
      </c>
    </row>
    <row r="18" spans="1:4" x14ac:dyDescent="0.35">
      <c r="A18" t="s">
        <v>83</v>
      </c>
      <c r="D18">
        <f t="shared" si="0"/>
        <v>0</v>
      </c>
    </row>
    <row r="19" spans="1:4" x14ac:dyDescent="0.35">
      <c r="A19" t="s">
        <v>84</v>
      </c>
      <c r="D19">
        <f t="shared" si="0"/>
        <v>0</v>
      </c>
    </row>
    <row r="20" spans="1:4" x14ac:dyDescent="0.35">
      <c r="A20" t="s">
        <v>85</v>
      </c>
      <c r="D20">
        <f t="shared" si="0"/>
        <v>0</v>
      </c>
    </row>
    <row r="21" spans="1:4" x14ac:dyDescent="0.35">
      <c r="A21" t="s">
        <v>86</v>
      </c>
      <c r="D21">
        <f t="shared" si="0"/>
        <v>0</v>
      </c>
    </row>
    <row r="22" spans="1:4" x14ac:dyDescent="0.35">
      <c r="A22" t="s">
        <v>87</v>
      </c>
      <c r="B22">
        <v>1070</v>
      </c>
      <c r="D22">
        <f t="shared" si="0"/>
        <v>1070</v>
      </c>
    </row>
    <row r="23" spans="1:4" x14ac:dyDescent="0.35">
      <c r="A23" t="s">
        <v>88</v>
      </c>
      <c r="B23">
        <v>112</v>
      </c>
      <c r="D23">
        <f t="shared" si="0"/>
        <v>112</v>
      </c>
    </row>
    <row r="24" spans="1:4" x14ac:dyDescent="0.35">
      <c r="A24" t="s">
        <v>89</v>
      </c>
      <c r="C24">
        <v>17</v>
      </c>
      <c r="D24">
        <f t="shared" si="0"/>
        <v>17</v>
      </c>
    </row>
    <row r="25" spans="1:4" x14ac:dyDescent="0.35">
      <c r="A25" t="s">
        <v>90</v>
      </c>
      <c r="D25">
        <f t="shared" si="0"/>
        <v>0</v>
      </c>
    </row>
    <row r="26" spans="1:4" x14ac:dyDescent="0.35">
      <c r="A26" t="s">
        <v>91</v>
      </c>
      <c r="D26">
        <f t="shared" si="0"/>
        <v>0</v>
      </c>
    </row>
    <row r="27" spans="1:4" x14ac:dyDescent="0.35">
      <c r="A27" t="s">
        <v>92</v>
      </c>
      <c r="D27">
        <f t="shared" si="0"/>
        <v>0</v>
      </c>
    </row>
    <row r="28" spans="1:4" x14ac:dyDescent="0.35">
      <c r="A28" t="s">
        <v>93</v>
      </c>
      <c r="D28">
        <f t="shared" si="0"/>
        <v>0</v>
      </c>
    </row>
    <row r="29" spans="1:4" x14ac:dyDescent="0.35">
      <c r="A29" t="s">
        <v>94</v>
      </c>
      <c r="D29">
        <f t="shared" si="0"/>
        <v>0</v>
      </c>
    </row>
    <row r="30" spans="1:4" x14ac:dyDescent="0.35">
      <c r="A30" t="s">
        <v>95</v>
      </c>
      <c r="B30">
        <v>580</v>
      </c>
      <c r="D30">
        <f t="shared" si="0"/>
        <v>580</v>
      </c>
    </row>
    <row r="31" spans="1:4" x14ac:dyDescent="0.35">
      <c r="A31" t="s">
        <v>96</v>
      </c>
      <c r="B31">
        <v>1414</v>
      </c>
      <c r="D31">
        <f t="shared" si="0"/>
        <v>1414</v>
      </c>
    </row>
    <row r="32" spans="1:4" x14ac:dyDescent="0.35">
      <c r="A32" t="s">
        <v>97</v>
      </c>
      <c r="B32">
        <v>282</v>
      </c>
      <c r="D32">
        <f t="shared" si="0"/>
        <v>282</v>
      </c>
    </row>
    <row r="33" spans="1:4" x14ac:dyDescent="0.35">
      <c r="A33" t="s">
        <v>98</v>
      </c>
      <c r="D33">
        <f t="shared" si="0"/>
        <v>0</v>
      </c>
    </row>
    <row r="34" spans="1:4" x14ac:dyDescent="0.35">
      <c r="A34" t="s">
        <v>99</v>
      </c>
      <c r="B34">
        <v>355</v>
      </c>
      <c r="D34">
        <f t="shared" si="0"/>
        <v>355</v>
      </c>
    </row>
    <row r="35" spans="1:4" x14ac:dyDescent="0.35">
      <c r="A35" t="s">
        <v>101</v>
      </c>
      <c r="D35">
        <f t="shared" si="0"/>
        <v>0</v>
      </c>
    </row>
    <row r="36" spans="1:4" x14ac:dyDescent="0.35">
      <c r="A36" t="s">
        <v>103</v>
      </c>
      <c r="B36" s="27">
        <f>275+961+1</f>
        <v>1237</v>
      </c>
      <c r="D36">
        <f t="shared" si="0"/>
        <v>1237</v>
      </c>
    </row>
    <row r="37" spans="1:4" x14ac:dyDescent="0.35">
      <c r="A37" t="s">
        <v>104</v>
      </c>
      <c r="B37">
        <v>4445</v>
      </c>
      <c r="D37">
        <f t="shared" si="0"/>
        <v>4445</v>
      </c>
    </row>
    <row r="38" spans="1:4" x14ac:dyDescent="0.35">
      <c r="A38" t="s">
        <v>105</v>
      </c>
      <c r="D38">
        <f t="shared" si="0"/>
        <v>0</v>
      </c>
    </row>
    <row r="39" spans="1:4" x14ac:dyDescent="0.35">
      <c r="A39" t="s">
        <v>106</v>
      </c>
      <c r="D39">
        <f t="shared" si="0"/>
        <v>0</v>
      </c>
    </row>
    <row r="40" spans="1:4" x14ac:dyDescent="0.35">
      <c r="A40" t="s">
        <v>107</v>
      </c>
      <c r="B40">
        <v>160</v>
      </c>
      <c r="D40">
        <f t="shared" si="0"/>
        <v>160</v>
      </c>
    </row>
    <row r="41" spans="1:4" x14ac:dyDescent="0.35">
      <c r="A41" t="s">
        <v>108</v>
      </c>
      <c r="B41" s="27">
        <v>3631</v>
      </c>
      <c r="D41">
        <f t="shared" si="0"/>
        <v>3631</v>
      </c>
    </row>
    <row r="42" spans="1:4" x14ac:dyDescent="0.35">
      <c r="A42" t="s">
        <v>109</v>
      </c>
      <c r="D42">
        <f t="shared" si="0"/>
        <v>0</v>
      </c>
    </row>
    <row r="43" spans="1:4" x14ac:dyDescent="0.35">
      <c r="A43" t="s">
        <v>110</v>
      </c>
      <c r="B43" s="27">
        <v>1597</v>
      </c>
      <c r="D43">
        <f t="shared" si="0"/>
        <v>1597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EDE8-E96C-44E5-8782-7AC8A3620DFF}">
  <dimension ref="A1:O48"/>
  <sheetViews>
    <sheetView topLeftCell="D1" workbookViewId="0">
      <selection activeCell="A16" sqref="A16:XFD16"/>
    </sheetView>
  </sheetViews>
  <sheetFormatPr defaultRowHeight="14.5" x14ac:dyDescent="0.35"/>
  <cols>
    <col min="1" max="1" width="29.36328125" bestFit="1" customWidth="1"/>
    <col min="3" max="3" width="27.54296875" bestFit="1" customWidth="1"/>
    <col min="4" max="4" width="26.7265625" bestFit="1" customWidth="1"/>
    <col min="5" max="5" width="7.54296875" bestFit="1" customWidth="1"/>
    <col min="6" max="6" width="22.81640625" bestFit="1" customWidth="1"/>
    <col min="7" max="7" width="10.81640625" bestFit="1" customWidth="1"/>
    <col min="8" max="8" width="25.6328125" bestFit="1" customWidth="1"/>
    <col min="9" max="9" width="18.26953125" bestFit="1" customWidth="1"/>
    <col min="10" max="10" width="16" bestFit="1" customWidth="1"/>
    <col min="11" max="11" width="37.81640625" bestFit="1" customWidth="1"/>
    <col min="12" max="12" width="22.1796875" bestFit="1" customWidth="1"/>
  </cols>
  <sheetData>
    <row r="1" spans="1:15" x14ac:dyDescent="0.35">
      <c r="A1" t="s">
        <v>1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  <c r="N1" t="s">
        <v>58</v>
      </c>
      <c r="O1" t="s">
        <v>166</v>
      </c>
    </row>
    <row r="2" spans="1:15" x14ac:dyDescent="0.35">
      <c r="A2" t="s">
        <v>61</v>
      </c>
      <c r="B2" t="s">
        <v>15</v>
      </c>
      <c r="C2">
        <v>0</v>
      </c>
      <c r="N2">
        <v>0</v>
      </c>
      <c r="O2" t="s">
        <v>167</v>
      </c>
    </row>
    <row r="3" spans="1:15" x14ac:dyDescent="0.35">
      <c r="A3" t="s">
        <v>63</v>
      </c>
      <c r="B3" t="s">
        <v>3</v>
      </c>
      <c r="C3">
        <v>611</v>
      </c>
      <c r="E3">
        <v>145</v>
      </c>
      <c r="G3">
        <v>529</v>
      </c>
      <c r="J3">
        <v>2950</v>
      </c>
      <c r="N3">
        <v>4235</v>
      </c>
      <c r="O3" t="s">
        <v>168</v>
      </c>
    </row>
    <row r="4" spans="1:15" x14ac:dyDescent="0.35">
      <c r="A4" t="s">
        <v>64</v>
      </c>
      <c r="B4" t="s">
        <v>5</v>
      </c>
      <c r="C4">
        <v>780</v>
      </c>
      <c r="D4">
        <v>385</v>
      </c>
      <c r="G4">
        <v>143</v>
      </c>
      <c r="I4">
        <v>247</v>
      </c>
      <c r="J4">
        <v>257</v>
      </c>
      <c r="K4">
        <v>1113</v>
      </c>
      <c r="M4">
        <v>1194</v>
      </c>
      <c r="N4">
        <v>4119</v>
      </c>
      <c r="O4" t="s">
        <v>169</v>
      </c>
    </row>
    <row r="5" spans="1:15" x14ac:dyDescent="0.35">
      <c r="A5" t="s">
        <v>65</v>
      </c>
      <c r="B5" t="s">
        <v>7</v>
      </c>
      <c r="C5">
        <v>60</v>
      </c>
      <c r="D5">
        <v>48</v>
      </c>
      <c r="E5">
        <v>7</v>
      </c>
      <c r="F5">
        <v>10</v>
      </c>
      <c r="G5">
        <v>95</v>
      </c>
      <c r="H5">
        <v>60</v>
      </c>
      <c r="I5">
        <v>40</v>
      </c>
      <c r="J5">
        <v>490</v>
      </c>
      <c r="K5">
        <v>189</v>
      </c>
      <c r="L5">
        <v>30</v>
      </c>
      <c r="M5">
        <v>597</v>
      </c>
      <c r="N5">
        <v>1626</v>
      </c>
      <c r="O5" t="s">
        <v>170</v>
      </c>
    </row>
    <row r="6" spans="1:15" x14ac:dyDescent="0.35">
      <c r="A6" t="s">
        <v>67</v>
      </c>
      <c r="B6" t="s">
        <v>6</v>
      </c>
      <c r="C6">
        <v>1492</v>
      </c>
      <c r="D6">
        <v>385</v>
      </c>
      <c r="E6">
        <v>62</v>
      </c>
      <c r="G6">
        <v>594</v>
      </c>
      <c r="I6">
        <v>1170</v>
      </c>
      <c r="J6">
        <v>1170</v>
      </c>
      <c r="N6">
        <v>4873</v>
      </c>
      <c r="O6" t="s">
        <v>167</v>
      </c>
    </row>
    <row r="7" spans="1:15" x14ac:dyDescent="0.35">
      <c r="A7" t="s">
        <v>69</v>
      </c>
      <c r="B7" t="s">
        <v>4</v>
      </c>
      <c r="C7">
        <v>325</v>
      </c>
      <c r="D7">
        <v>240</v>
      </c>
      <c r="G7">
        <v>39</v>
      </c>
      <c r="I7">
        <v>196</v>
      </c>
      <c r="J7">
        <v>1467</v>
      </c>
      <c r="K7">
        <v>322</v>
      </c>
      <c r="M7">
        <v>194</v>
      </c>
      <c r="N7">
        <v>2783</v>
      </c>
      <c r="O7" t="s">
        <v>171</v>
      </c>
    </row>
    <row r="8" spans="1:15" x14ac:dyDescent="0.35">
      <c r="A8" t="s">
        <v>70</v>
      </c>
      <c r="B8" t="s">
        <v>10</v>
      </c>
      <c r="C8">
        <v>800</v>
      </c>
      <c r="J8">
        <v>2660</v>
      </c>
      <c r="K8">
        <v>800</v>
      </c>
      <c r="N8">
        <v>4260</v>
      </c>
      <c r="O8" t="s">
        <v>167</v>
      </c>
    </row>
    <row r="9" spans="1:15" x14ac:dyDescent="0.35">
      <c r="A9" t="s">
        <v>172</v>
      </c>
      <c r="B9" t="s">
        <v>14</v>
      </c>
      <c r="F9">
        <v>7</v>
      </c>
      <c r="M9">
        <v>83</v>
      </c>
      <c r="N9">
        <v>90</v>
      </c>
      <c r="O9" t="s">
        <v>167</v>
      </c>
    </row>
    <row r="10" spans="1:15" x14ac:dyDescent="0.35">
      <c r="A10" t="s">
        <v>72</v>
      </c>
      <c r="B10" t="s">
        <v>8</v>
      </c>
      <c r="C10">
        <v>18</v>
      </c>
      <c r="N10">
        <v>18</v>
      </c>
      <c r="O10" t="s">
        <v>167</v>
      </c>
    </row>
    <row r="11" spans="1:15" x14ac:dyDescent="0.35">
      <c r="A11" t="s">
        <v>73</v>
      </c>
      <c r="B11" t="s">
        <v>43</v>
      </c>
      <c r="C11">
        <v>330</v>
      </c>
      <c r="D11">
        <v>30</v>
      </c>
      <c r="G11">
        <v>80</v>
      </c>
      <c r="H11">
        <v>180</v>
      </c>
      <c r="I11">
        <v>2084</v>
      </c>
      <c r="J11">
        <v>2920</v>
      </c>
      <c r="K11">
        <v>220</v>
      </c>
      <c r="N11">
        <v>5844</v>
      </c>
      <c r="O11" t="s">
        <v>167</v>
      </c>
    </row>
    <row r="12" spans="1:15" x14ac:dyDescent="0.35">
      <c r="A12" t="s">
        <v>74</v>
      </c>
      <c r="B12" t="s">
        <v>13</v>
      </c>
      <c r="I12">
        <v>29</v>
      </c>
      <c r="J12">
        <v>40</v>
      </c>
      <c r="N12">
        <v>69</v>
      </c>
      <c r="O12" t="s">
        <v>173</v>
      </c>
    </row>
    <row r="13" spans="1:15" x14ac:dyDescent="0.35">
      <c r="A13" t="s">
        <v>75</v>
      </c>
      <c r="B13" t="s">
        <v>12</v>
      </c>
      <c r="C13">
        <v>60</v>
      </c>
      <c r="D13">
        <v>315</v>
      </c>
      <c r="F13">
        <v>10</v>
      </c>
      <c r="H13">
        <v>5</v>
      </c>
      <c r="I13">
        <v>120</v>
      </c>
      <c r="J13">
        <v>60</v>
      </c>
      <c r="L13">
        <v>50</v>
      </c>
      <c r="M13">
        <v>408</v>
      </c>
      <c r="N13">
        <v>1028</v>
      </c>
      <c r="O13" t="s">
        <v>170</v>
      </c>
    </row>
    <row r="14" spans="1:15" x14ac:dyDescent="0.35">
      <c r="A14" t="s">
        <v>76</v>
      </c>
      <c r="B14" t="s">
        <v>9</v>
      </c>
      <c r="C14">
        <v>254</v>
      </c>
      <c r="D14">
        <v>48</v>
      </c>
      <c r="H14">
        <v>151</v>
      </c>
      <c r="J14">
        <v>1007</v>
      </c>
      <c r="K14">
        <v>1106</v>
      </c>
      <c r="M14">
        <v>450</v>
      </c>
      <c r="N14">
        <v>3016</v>
      </c>
      <c r="O14" t="s">
        <v>167</v>
      </c>
    </row>
    <row r="15" spans="1:15" x14ac:dyDescent="0.35">
      <c r="A15" t="s">
        <v>174</v>
      </c>
      <c r="B15" t="s">
        <v>11</v>
      </c>
      <c r="C15">
        <v>6020</v>
      </c>
      <c r="E15">
        <v>66</v>
      </c>
      <c r="G15">
        <v>178</v>
      </c>
      <c r="H15">
        <v>328</v>
      </c>
      <c r="I15">
        <v>3453</v>
      </c>
      <c r="J15">
        <v>24061</v>
      </c>
      <c r="K15">
        <v>2571</v>
      </c>
      <c r="M15">
        <v>3151</v>
      </c>
      <c r="N15">
        <v>39828</v>
      </c>
      <c r="O15" t="s">
        <v>167</v>
      </c>
    </row>
    <row r="16" spans="1:15" x14ac:dyDescent="0.35">
      <c r="A16" t="s">
        <v>78</v>
      </c>
      <c r="B16" t="s">
        <v>23</v>
      </c>
      <c r="C16">
        <v>767</v>
      </c>
      <c r="I16">
        <v>492</v>
      </c>
      <c r="J16">
        <v>962</v>
      </c>
      <c r="K16">
        <v>27</v>
      </c>
      <c r="M16">
        <v>1304</v>
      </c>
      <c r="N16">
        <v>3552</v>
      </c>
      <c r="O16" t="s">
        <v>167</v>
      </c>
    </row>
    <row r="17" spans="1:15" x14ac:dyDescent="0.35">
      <c r="A17" t="s">
        <v>79</v>
      </c>
      <c r="B17" t="s">
        <v>16</v>
      </c>
      <c r="J17">
        <v>400</v>
      </c>
      <c r="M17">
        <v>1023</v>
      </c>
      <c r="N17">
        <v>1423</v>
      </c>
      <c r="O17" t="s">
        <v>175</v>
      </c>
    </row>
    <row r="18" spans="1:15" x14ac:dyDescent="0.35">
      <c r="A18" t="s">
        <v>80</v>
      </c>
      <c r="B18" t="s">
        <v>41</v>
      </c>
      <c r="G18">
        <v>44</v>
      </c>
      <c r="H18">
        <v>30</v>
      </c>
      <c r="I18">
        <v>80</v>
      </c>
      <c r="J18">
        <v>160</v>
      </c>
      <c r="K18">
        <v>78</v>
      </c>
      <c r="M18">
        <v>58</v>
      </c>
      <c r="N18">
        <v>450</v>
      </c>
      <c r="O18" t="s">
        <v>167</v>
      </c>
    </row>
    <row r="19" spans="1:15" x14ac:dyDescent="0.35">
      <c r="A19" t="s">
        <v>81</v>
      </c>
      <c r="B19" t="s">
        <v>17</v>
      </c>
      <c r="C19">
        <v>3114</v>
      </c>
      <c r="D19">
        <v>880</v>
      </c>
      <c r="E19">
        <v>189</v>
      </c>
      <c r="F19">
        <v>64</v>
      </c>
      <c r="G19">
        <v>699</v>
      </c>
      <c r="H19">
        <v>2878</v>
      </c>
      <c r="I19">
        <v>2440</v>
      </c>
      <c r="J19">
        <v>6298</v>
      </c>
      <c r="K19">
        <v>1220</v>
      </c>
      <c r="L19">
        <v>1613</v>
      </c>
      <c r="M19">
        <v>3672</v>
      </c>
      <c r="N19">
        <v>23067</v>
      </c>
      <c r="O19" t="s">
        <v>176</v>
      </c>
    </row>
    <row r="20" spans="1:15" x14ac:dyDescent="0.35">
      <c r="A20" t="s">
        <v>82</v>
      </c>
      <c r="B20" t="s">
        <v>18</v>
      </c>
      <c r="C20">
        <v>46</v>
      </c>
      <c r="D20">
        <v>16</v>
      </c>
      <c r="G20">
        <v>2</v>
      </c>
      <c r="I20">
        <v>34</v>
      </c>
      <c r="J20">
        <v>95</v>
      </c>
      <c r="K20">
        <v>6</v>
      </c>
      <c r="N20">
        <v>199</v>
      </c>
      <c r="O20" t="s">
        <v>167</v>
      </c>
    </row>
    <row r="21" spans="1:15" x14ac:dyDescent="0.35">
      <c r="A21" t="s">
        <v>83</v>
      </c>
      <c r="B21" t="s">
        <v>21</v>
      </c>
      <c r="C21">
        <v>23</v>
      </c>
      <c r="J21">
        <v>137</v>
      </c>
      <c r="K21">
        <v>6</v>
      </c>
      <c r="N21">
        <v>166</v>
      </c>
      <c r="O21" t="s">
        <v>167</v>
      </c>
    </row>
    <row r="22" spans="1:15" x14ac:dyDescent="0.35">
      <c r="A22" t="s">
        <v>84</v>
      </c>
      <c r="B22" t="s">
        <v>19</v>
      </c>
      <c r="C22">
        <v>1566</v>
      </c>
      <c r="G22">
        <v>343</v>
      </c>
      <c r="I22">
        <v>4827</v>
      </c>
      <c r="J22">
        <v>21271</v>
      </c>
      <c r="K22">
        <v>396</v>
      </c>
      <c r="N22">
        <v>28403</v>
      </c>
      <c r="O22" t="s">
        <v>177</v>
      </c>
    </row>
    <row r="23" spans="1:15" x14ac:dyDescent="0.35">
      <c r="A23" t="s">
        <v>85</v>
      </c>
      <c r="B23" t="s">
        <v>20</v>
      </c>
      <c r="C23">
        <v>767</v>
      </c>
      <c r="D23">
        <v>74</v>
      </c>
      <c r="G23">
        <v>113</v>
      </c>
      <c r="H23">
        <v>34</v>
      </c>
      <c r="I23">
        <v>492</v>
      </c>
      <c r="J23">
        <v>964</v>
      </c>
      <c r="K23">
        <v>27</v>
      </c>
      <c r="M23">
        <v>1304</v>
      </c>
      <c r="N23">
        <v>3775</v>
      </c>
      <c r="O23" t="s">
        <v>167</v>
      </c>
    </row>
    <row r="24" spans="1:15" x14ac:dyDescent="0.35">
      <c r="A24" t="s">
        <v>86</v>
      </c>
      <c r="B24" t="s">
        <v>22</v>
      </c>
      <c r="K24">
        <v>23</v>
      </c>
      <c r="M24">
        <v>489</v>
      </c>
      <c r="N24">
        <v>512</v>
      </c>
      <c r="O24" t="s">
        <v>167</v>
      </c>
    </row>
    <row r="25" spans="1:15" x14ac:dyDescent="0.35">
      <c r="A25" t="s">
        <v>87</v>
      </c>
      <c r="B25" t="s">
        <v>24</v>
      </c>
      <c r="C25">
        <v>558</v>
      </c>
      <c r="E25">
        <v>36</v>
      </c>
      <c r="G25">
        <v>379</v>
      </c>
      <c r="H25">
        <v>20</v>
      </c>
      <c r="J25">
        <v>1070</v>
      </c>
      <c r="K25">
        <v>519</v>
      </c>
      <c r="M25">
        <v>366</v>
      </c>
      <c r="N25">
        <v>2948</v>
      </c>
      <c r="O25" t="s">
        <v>178</v>
      </c>
    </row>
    <row r="26" spans="1:15" x14ac:dyDescent="0.35">
      <c r="A26" t="s">
        <v>88</v>
      </c>
      <c r="B26" t="s">
        <v>26</v>
      </c>
      <c r="C26">
        <v>8</v>
      </c>
      <c r="D26">
        <v>22</v>
      </c>
      <c r="E26">
        <v>8</v>
      </c>
      <c r="G26">
        <v>33</v>
      </c>
      <c r="H26">
        <v>20</v>
      </c>
      <c r="I26">
        <v>69</v>
      </c>
      <c r="J26">
        <v>376</v>
      </c>
      <c r="K26">
        <v>20</v>
      </c>
      <c r="N26">
        <v>556</v>
      </c>
      <c r="O26" t="s">
        <v>167</v>
      </c>
    </row>
    <row r="27" spans="1:15" x14ac:dyDescent="0.35">
      <c r="A27" t="s">
        <v>89</v>
      </c>
      <c r="B27" t="s">
        <v>25</v>
      </c>
      <c r="C27">
        <v>29</v>
      </c>
      <c r="D27">
        <v>50</v>
      </c>
      <c r="G27">
        <v>22</v>
      </c>
      <c r="J27">
        <v>63</v>
      </c>
      <c r="K27">
        <v>56</v>
      </c>
      <c r="M27">
        <v>50</v>
      </c>
      <c r="N27">
        <v>270</v>
      </c>
      <c r="O27" t="s">
        <v>167</v>
      </c>
    </row>
    <row r="28" spans="1:15" x14ac:dyDescent="0.35">
      <c r="A28" t="s">
        <v>90</v>
      </c>
      <c r="B28" t="s">
        <v>27</v>
      </c>
      <c r="C28">
        <v>316</v>
      </c>
      <c r="D28">
        <v>156</v>
      </c>
      <c r="I28">
        <v>2473</v>
      </c>
      <c r="J28">
        <v>2540</v>
      </c>
      <c r="K28">
        <v>116</v>
      </c>
      <c r="M28">
        <v>297</v>
      </c>
      <c r="N28">
        <v>5898</v>
      </c>
      <c r="O28" t="s">
        <v>167</v>
      </c>
    </row>
    <row r="29" spans="1:15" x14ac:dyDescent="0.35">
      <c r="A29" t="s">
        <v>91</v>
      </c>
      <c r="B29" t="s">
        <v>32</v>
      </c>
      <c r="C29">
        <v>115</v>
      </c>
      <c r="D29">
        <v>167</v>
      </c>
      <c r="G29">
        <v>110</v>
      </c>
      <c r="H29">
        <v>189</v>
      </c>
      <c r="I29">
        <v>1171</v>
      </c>
      <c r="J29">
        <v>386</v>
      </c>
      <c r="K29">
        <v>175</v>
      </c>
      <c r="M29">
        <v>616</v>
      </c>
      <c r="N29">
        <v>2929</v>
      </c>
      <c r="O29" t="s">
        <v>167</v>
      </c>
    </row>
    <row r="30" spans="1:15" x14ac:dyDescent="0.35">
      <c r="A30" t="s">
        <v>92</v>
      </c>
      <c r="B30" t="s">
        <v>28</v>
      </c>
      <c r="N30">
        <v>0</v>
      </c>
      <c r="O30" t="s">
        <v>167</v>
      </c>
    </row>
    <row r="31" spans="1:15" x14ac:dyDescent="0.35">
      <c r="A31" t="s">
        <v>93</v>
      </c>
      <c r="B31" t="s">
        <v>30</v>
      </c>
      <c r="D31">
        <v>76</v>
      </c>
      <c r="J31">
        <v>113</v>
      </c>
      <c r="M31">
        <v>366</v>
      </c>
      <c r="N31">
        <v>555</v>
      </c>
      <c r="O31" t="s">
        <v>167</v>
      </c>
    </row>
    <row r="32" spans="1:15" x14ac:dyDescent="0.35">
      <c r="A32" t="s">
        <v>94</v>
      </c>
      <c r="B32" t="s">
        <v>31</v>
      </c>
      <c r="C32">
        <v>432</v>
      </c>
      <c r="I32">
        <v>40</v>
      </c>
      <c r="J32">
        <v>175</v>
      </c>
      <c r="M32">
        <v>39</v>
      </c>
      <c r="N32">
        <v>686</v>
      </c>
      <c r="O32" t="s">
        <v>179</v>
      </c>
    </row>
    <row r="33" spans="1:15" x14ac:dyDescent="0.35">
      <c r="A33" t="s">
        <v>95</v>
      </c>
      <c r="B33" t="s">
        <v>29</v>
      </c>
      <c r="C33">
        <v>819</v>
      </c>
      <c r="D33">
        <v>146</v>
      </c>
      <c r="E33">
        <v>161</v>
      </c>
      <c r="H33">
        <v>112</v>
      </c>
      <c r="I33">
        <v>140</v>
      </c>
      <c r="J33">
        <v>580</v>
      </c>
      <c r="K33">
        <v>248</v>
      </c>
      <c r="L33">
        <v>20</v>
      </c>
      <c r="N33">
        <v>2226</v>
      </c>
      <c r="O33" t="s">
        <v>180</v>
      </c>
    </row>
    <row r="34" spans="1:15" x14ac:dyDescent="0.35">
      <c r="A34" t="s">
        <v>96</v>
      </c>
      <c r="B34" t="s">
        <v>33</v>
      </c>
      <c r="C34">
        <v>475</v>
      </c>
      <c r="D34">
        <v>3</v>
      </c>
      <c r="G34">
        <v>247</v>
      </c>
      <c r="H34">
        <v>31</v>
      </c>
      <c r="I34">
        <v>1414</v>
      </c>
      <c r="J34">
        <v>200</v>
      </c>
      <c r="K34">
        <v>121</v>
      </c>
      <c r="M34">
        <v>175</v>
      </c>
      <c r="N34">
        <v>2666</v>
      </c>
      <c r="O34" t="s">
        <v>181</v>
      </c>
    </row>
    <row r="35" spans="1:15" x14ac:dyDescent="0.35">
      <c r="A35" t="s">
        <v>97</v>
      </c>
      <c r="B35" t="s">
        <v>34</v>
      </c>
      <c r="C35">
        <v>370</v>
      </c>
      <c r="D35">
        <v>14</v>
      </c>
      <c r="I35">
        <v>124</v>
      </c>
      <c r="J35">
        <v>305</v>
      </c>
      <c r="K35">
        <v>45</v>
      </c>
      <c r="M35">
        <v>1891</v>
      </c>
      <c r="N35">
        <v>2749</v>
      </c>
      <c r="O35" t="s">
        <v>182</v>
      </c>
    </row>
    <row r="36" spans="1:15" x14ac:dyDescent="0.35">
      <c r="A36" t="s">
        <v>98</v>
      </c>
      <c r="B36" t="s">
        <v>35</v>
      </c>
      <c r="C36">
        <v>4340</v>
      </c>
      <c r="E36">
        <v>459</v>
      </c>
      <c r="I36">
        <v>375</v>
      </c>
      <c r="J36">
        <v>12835</v>
      </c>
      <c r="K36">
        <v>1774</v>
      </c>
      <c r="N36">
        <v>19783</v>
      </c>
      <c r="O36" t="s">
        <v>167</v>
      </c>
    </row>
    <row r="37" spans="1:15" x14ac:dyDescent="0.35">
      <c r="A37" t="s">
        <v>99</v>
      </c>
      <c r="B37" t="s">
        <v>36</v>
      </c>
      <c r="C37">
        <v>11</v>
      </c>
      <c r="G37">
        <v>95</v>
      </c>
      <c r="I37">
        <v>176</v>
      </c>
      <c r="J37">
        <v>355</v>
      </c>
      <c r="M37">
        <v>81</v>
      </c>
      <c r="N37">
        <v>718</v>
      </c>
      <c r="O37" t="s">
        <v>167</v>
      </c>
    </row>
    <row r="38" spans="1:15" x14ac:dyDescent="0.35">
      <c r="A38" t="s">
        <v>100</v>
      </c>
      <c r="B38" t="s">
        <v>40</v>
      </c>
      <c r="N38">
        <v>0</v>
      </c>
      <c r="O38" t="s">
        <v>167</v>
      </c>
    </row>
    <row r="39" spans="1:15" x14ac:dyDescent="0.35">
      <c r="A39" t="s">
        <v>101</v>
      </c>
      <c r="B39" t="s">
        <v>37</v>
      </c>
      <c r="C39">
        <v>434</v>
      </c>
      <c r="D39">
        <v>137</v>
      </c>
      <c r="E39">
        <v>67</v>
      </c>
      <c r="G39">
        <v>171</v>
      </c>
      <c r="I39">
        <v>104</v>
      </c>
      <c r="J39">
        <v>582</v>
      </c>
      <c r="K39">
        <v>36</v>
      </c>
      <c r="M39">
        <v>710</v>
      </c>
      <c r="N39">
        <v>2241</v>
      </c>
      <c r="O39" t="s">
        <v>167</v>
      </c>
    </row>
    <row r="40" spans="1:15" x14ac:dyDescent="0.35">
      <c r="A40" t="s">
        <v>102</v>
      </c>
      <c r="B40" t="s">
        <v>42</v>
      </c>
      <c r="C40">
        <v>10</v>
      </c>
      <c r="H40">
        <v>20</v>
      </c>
      <c r="I40">
        <v>10</v>
      </c>
      <c r="J40">
        <v>40</v>
      </c>
      <c r="M40">
        <v>80</v>
      </c>
      <c r="N40">
        <v>160</v>
      </c>
      <c r="O40" t="s">
        <v>167</v>
      </c>
    </row>
    <row r="41" spans="1:15" x14ac:dyDescent="0.35">
      <c r="A41" t="s">
        <v>103</v>
      </c>
      <c r="B41" t="s">
        <v>38</v>
      </c>
      <c r="C41">
        <v>217</v>
      </c>
      <c r="G41">
        <v>69</v>
      </c>
      <c r="H41">
        <v>51</v>
      </c>
      <c r="I41">
        <v>120</v>
      </c>
      <c r="J41">
        <v>1755</v>
      </c>
      <c r="K41">
        <v>90</v>
      </c>
      <c r="M41">
        <v>186</v>
      </c>
      <c r="N41">
        <v>2488</v>
      </c>
      <c r="O41" t="s">
        <v>167</v>
      </c>
    </row>
    <row r="42" spans="1:15" x14ac:dyDescent="0.35">
      <c r="A42" t="s">
        <v>104</v>
      </c>
      <c r="B42" t="s">
        <v>47</v>
      </c>
      <c r="C42">
        <v>998</v>
      </c>
      <c r="E42">
        <v>805</v>
      </c>
      <c r="G42">
        <v>1291</v>
      </c>
      <c r="J42">
        <v>3154</v>
      </c>
      <c r="K42">
        <v>451</v>
      </c>
      <c r="M42">
        <v>13559</v>
      </c>
      <c r="N42">
        <v>20258</v>
      </c>
      <c r="O42" t="s">
        <v>183</v>
      </c>
    </row>
    <row r="43" spans="1:15" x14ac:dyDescent="0.35">
      <c r="A43" t="s">
        <v>105</v>
      </c>
      <c r="B43" t="s">
        <v>39</v>
      </c>
      <c r="I43">
        <v>307</v>
      </c>
      <c r="J43">
        <v>241</v>
      </c>
      <c r="K43">
        <v>681</v>
      </c>
      <c r="M43">
        <v>484</v>
      </c>
      <c r="N43">
        <v>1713</v>
      </c>
      <c r="O43" t="s">
        <v>167</v>
      </c>
    </row>
    <row r="44" spans="1:15" x14ac:dyDescent="0.35">
      <c r="A44" t="s">
        <v>106</v>
      </c>
      <c r="B44" t="s">
        <v>45</v>
      </c>
      <c r="C44">
        <v>330</v>
      </c>
      <c r="D44">
        <v>1597</v>
      </c>
      <c r="E44">
        <v>80</v>
      </c>
      <c r="H44">
        <v>629</v>
      </c>
      <c r="I44">
        <v>2084</v>
      </c>
      <c r="J44">
        <v>2920</v>
      </c>
      <c r="K44">
        <v>17</v>
      </c>
      <c r="M44">
        <v>5457</v>
      </c>
      <c r="N44">
        <v>13114</v>
      </c>
      <c r="O44" t="s">
        <v>184</v>
      </c>
    </row>
    <row r="45" spans="1:15" x14ac:dyDescent="0.35">
      <c r="A45" t="s">
        <v>107</v>
      </c>
      <c r="B45" t="s">
        <v>44</v>
      </c>
      <c r="C45">
        <v>77</v>
      </c>
      <c r="D45">
        <v>37</v>
      </c>
      <c r="G45">
        <v>60</v>
      </c>
      <c r="I45">
        <v>130</v>
      </c>
      <c r="J45">
        <v>240</v>
      </c>
      <c r="K45">
        <v>215</v>
      </c>
      <c r="M45">
        <v>250</v>
      </c>
      <c r="N45">
        <v>1009</v>
      </c>
      <c r="O45" t="s">
        <v>185</v>
      </c>
    </row>
    <row r="46" spans="1:15" x14ac:dyDescent="0.35">
      <c r="A46" t="s">
        <v>108</v>
      </c>
      <c r="B46" t="s">
        <v>46</v>
      </c>
      <c r="C46">
        <v>1997</v>
      </c>
      <c r="D46">
        <v>246</v>
      </c>
      <c r="E46">
        <v>41</v>
      </c>
      <c r="F46">
        <v>220</v>
      </c>
      <c r="G46">
        <v>120</v>
      </c>
      <c r="H46">
        <v>1860</v>
      </c>
      <c r="I46">
        <v>8990</v>
      </c>
      <c r="J46">
        <v>14001</v>
      </c>
      <c r="K46">
        <v>3610</v>
      </c>
      <c r="M46">
        <v>1020</v>
      </c>
      <c r="N46">
        <v>32105</v>
      </c>
      <c r="O46" t="s">
        <v>167</v>
      </c>
    </row>
    <row r="47" spans="1:15" x14ac:dyDescent="0.35">
      <c r="A47" t="s">
        <v>109</v>
      </c>
      <c r="B47" t="s">
        <v>48</v>
      </c>
      <c r="C47">
        <v>100</v>
      </c>
      <c r="F47">
        <v>36</v>
      </c>
      <c r="H47">
        <v>180</v>
      </c>
      <c r="I47">
        <v>1939</v>
      </c>
      <c r="J47">
        <v>5272</v>
      </c>
      <c r="K47">
        <v>282</v>
      </c>
      <c r="L47">
        <v>100</v>
      </c>
      <c r="M47">
        <v>400</v>
      </c>
      <c r="N47">
        <v>8309</v>
      </c>
      <c r="O47" t="s">
        <v>186</v>
      </c>
    </row>
    <row r="48" spans="1:15" x14ac:dyDescent="0.35">
      <c r="A48" t="s">
        <v>110</v>
      </c>
      <c r="B48" t="s">
        <v>49</v>
      </c>
      <c r="C48">
        <v>265</v>
      </c>
      <c r="D48">
        <v>30</v>
      </c>
      <c r="E48">
        <v>80</v>
      </c>
      <c r="F48">
        <v>30</v>
      </c>
      <c r="G48">
        <v>155</v>
      </c>
      <c r="H48">
        <v>30</v>
      </c>
      <c r="I48">
        <v>270</v>
      </c>
      <c r="J48">
        <v>1100</v>
      </c>
      <c r="K48">
        <v>358</v>
      </c>
      <c r="M48">
        <v>421</v>
      </c>
      <c r="N48">
        <v>2739</v>
      </c>
      <c r="O48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A0C8-D819-4555-ABB6-16E6735CC7B8}">
  <dimension ref="A1:B193"/>
  <sheetViews>
    <sheetView workbookViewId="0">
      <selection activeCell="E9" sqref="E9"/>
    </sheetView>
  </sheetViews>
  <sheetFormatPr defaultRowHeight="14.5" x14ac:dyDescent="0.35"/>
  <sheetData>
    <row r="1" spans="1:2" x14ac:dyDescent="0.35">
      <c r="A1" t="s">
        <v>50</v>
      </c>
      <c r="B1" t="s">
        <v>189</v>
      </c>
    </row>
    <row r="2" spans="1:2" x14ac:dyDescent="0.35">
      <c r="A2" t="s">
        <v>190</v>
      </c>
      <c r="B2">
        <v>4593</v>
      </c>
    </row>
    <row r="3" spans="1:2" x14ac:dyDescent="0.35">
      <c r="A3" t="s">
        <v>191</v>
      </c>
      <c r="B3">
        <v>778</v>
      </c>
    </row>
    <row r="4" spans="1:2" x14ac:dyDescent="0.35">
      <c r="A4" t="s">
        <v>3</v>
      </c>
      <c r="B4">
        <v>79</v>
      </c>
    </row>
    <row r="5" spans="1:2" x14ac:dyDescent="0.35">
      <c r="A5" t="s">
        <v>192</v>
      </c>
      <c r="B5">
        <v>1976</v>
      </c>
    </row>
    <row r="6" spans="1:2" x14ac:dyDescent="0.35">
      <c r="A6" t="s">
        <v>193</v>
      </c>
      <c r="B6">
        <v>23</v>
      </c>
    </row>
    <row r="7" spans="1:2" x14ac:dyDescent="0.35">
      <c r="A7" t="s">
        <v>194</v>
      </c>
      <c r="B7">
        <v>569</v>
      </c>
    </row>
    <row r="8" spans="1:2" x14ac:dyDescent="0.35">
      <c r="A8" t="s">
        <v>195</v>
      </c>
      <c r="B8">
        <v>2919</v>
      </c>
    </row>
    <row r="9" spans="1:2" x14ac:dyDescent="0.35">
      <c r="A9" t="s">
        <v>196</v>
      </c>
      <c r="B9">
        <v>1994</v>
      </c>
    </row>
    <row r="10" spans="1:2" x14ac:dyDescent="0.35">
      <c r="A10" t="s">
        <v>197</v>
      </c>
      <c r="B10">
        <v>915</v>
      </c>
    </row>
    <row r="11" spans="1:2" x14ac:dyDescent="0.35">
      <c r="A11" t="s">
        <v>198</v>
      </c>
      <c r="B11">
        <v>5337</v>
      </c>
    </row>
    <row r="12" spans="1:2" x14ac:dyDescent="0.35">
      <c r="A12" t="s">
        <v>199</v>
      </c>
      <c r="B12">
        <v>1169</v>
      </c>
    </row>
    <row r="13" spans="1:2" x14ac:dyDescent="0.35">
      <c r="A13" t="s">
        <v>200</v>
      </c>
      <c r="B13">
        <v>1036</v>
      </c>
    </row>
    <row r="14" spans="1:2" x14ac:dyDescent="0.35">
      <c r="A14" t="s">
        <v>4</v>
      </c>
      <c r="B14">
        <v>13</v>
      </c>
    </row>
    <row r="15" spans="1:2" x14ac:dyDescent="0.35">
      <c r="A15" t="s">
        <v>201</v>
      </c>
      <c r="B15">
        <v>14143</v>
      </c>
    </row>
    <row r="16" spans="1:2" x14ac:dyDescent="0.35">
      <c r="A16" t="s">
        <v>5</v>
      </c>
      <c r="B16">
        <v>6</v>
      </c>
    </row>
    <row r="17" spans="1:2" x14ac:dyDescent="0.35">
      <c r="A17" t="s">
        <v>6</v>
      </c>
      <c r="B17">
        <v>73</v>
      </c>
    </row>
    <row r="18" spans="1:2" x14ac:dyDescent="0.35">
      <c r="A18" t="s">
        <v>202</v>
      </c>
      <c r="B18">
        <v>1313</v>
      </c>
    </row>
    <row r="19" spans="1:2" x14ac:dyDescent="0.35">
      <c r="A19" t="s">
        <v>203</v>
      </c>
      <c r="B19">
        <v>2183</v>
      </c>
    </row>
    <row r="20" spans="1:2" x14ac:dyDescent="0.35">
      <c r="A20" t="s">
        <v>204</v>
      </c>
      <c r="B20">
        <v>11</v>
      </c>
    </row>
    <row r="21" spans="1:2" x14ac:dyDescent="0.35">
      <c r="A21" t="s">
        <v>205</v>
      </c>
      <c r="B21">
        <v>919</v>
      </c>
    </row>
    <row r="22" spans="1:2" x14ac:dyDescent="0.35">
      <c r="A22" t="s">
        <v>206</v>
      </c>
      <c r="B22">
        <v>2962</v>
      </c>
    </row>
    <row r="23" spans="1:2" x14ac:dyDescent="0.35">
      <c r="A23" t="s">
        <v>207</v>
      </c>
      <c r="B23">
        <v>1338</v>
      </c>
    </row>
    <row r="24" spans="1:2" x14ac:dyDescent="0.35">
      <c r="A24" t="s">
        <v>208</v>
      </c>
      <c r="B24">
        <v>1110</v>
      </c>
    </row>
    <row r="25" spans="1:2" x14ac:dyDescent="0.35">
      <c r="A25" t="s">
        <v>209</v>
      </c>
      <c r="B25">
        <v>1687</v>
      </c>
    </row>
    <row r="26" spans="1:2" x14ac:dyDescent="0.35">
      <c r="A26" t="s">
        <v>210</v>
      </c>
      <c r="B26">
        <v>6034</v>
      </c>
    </row>
    <row r="27" spans="1:2" x14ac:dyDescent="0.35">
      <c r="A27" t="s">
        <v>211</v>
      </c>
      <c r="B27">
        <v>2307</v>
      </c>
    </row>
    <row r="28" spans="1:2" x14ac:dyDescent="0.35">
      <c r="A28" t="s">
        <v>212</v>
      </c>
      <c r="B28">
        <v>4</v>
      </c>
    </row>
    <row r="29" spans="1:2" x14ac:dyDescent="0.35">
      <c r="A29" t="s">
        <v>213</v>
      </c>
      <c r="B29">
        <v>78</v>
      </c>
    </row>
    <row r="30" spans="1:2" x14ac:dyDescent="0.35">
      <c r="A30" t="s">
        <v>7</v>
      </c>
      <c r="B30">
        <v>282</v>
      </c>
    </row>
    <row r="31" spans="1:2" x14ac:dyDescent="0.35">
      <c r="A31" t="s">
        <v>8</v>
      </c>
      <c r="B31">
        <v>1</v>
      </c>
    </row>
    <row r="32" spans="1:2" x14ac:dyDescent="0.35">
      <c r="A32" t="s">
        <v>214</v>
      </c>
      <c r="B32">
        <v>18519</v>
      </c>
    </row>
    <row r="33" spans="1:2" x14ac:dyDescent="0.35">
      <c r="A33" t="s">
        <v>215</v>
      </c>
      <c r="B33">
        <v>1499</v>
      </c>
    </row>
    <row r="34" spans="1:2" x14ac:dyDescent="0.35">
      <c r="A34" t="s">
        <v>216</v>
      </c>
      <c r="B34">
        <v>2065</v>
      </c>
    </row>
    <row r="35" spans="1:2" x14ac:dyDescent="0.35">
      <c r="A35" t="s">
        <v>217</v>
      </c>
      <c r="B35">
        <v>22035</v>
      </c>
    </row>
    <row r="36" spans="1:2" x14ac:dyDescent="0.35">
      <c r="A36" t="s">
        <v>9</v>
      </c>
      <c r="B36">
        <v>380</v>
      </c>
    </row>
    <row r="37" spans="1:2" x14ac:dyDescent="0.35">
      <c r="A37" t="s">
        <v>10</v>
      </c>
      <c r="B37">
        <v>8229</v>
      </c>
    </row>
    <row r="38" spans="1:2" x14ac:dyDescent="0.35">
      <c r="A38" t="s">
        <v>11</v>
      </c>
      <c r="B38">
        <v>70</v>
      </c>
    </row>
    <row r="39" spans="1:2" x14ac:dyDescent="0.35">
      <c r="A39" t="s">
        <v>12</v>
      </c>
      <c r="B39">
        <v>288</v>
      </c>
    </row>
    <row r="40" spans="1:2" x14ac:dyDescent="0.35">
      <c r="A40" t="s">
        <v>218</v>
      </c>
      <c r="B40">
        <v>4</v>
      </c>
    </row>
    <row r="41" spans="1:2" x14ac:dyDescent="0.35">
      <c r="A41" t="s">
        <v>219</v>
      </c>
      <c r="B41">
        <v>9410</v>
      </c>
    </row>
    <row r="42" spans="1:2" x14ac:dyDescent="0.35">
      <c r="A42" t="s">
        <v>14</v>
      </c>
      <c r="B42">
        <v>274</v>
      </c>
    </row>
    <row r="43" spans="1:2" x14ac:dyDescent="0.35">
      <c r="A43" t="s">
        <v>220</v>
      </c>
      <c r="B43">
        <v>1702</v>
      </c>
    </row>
    <row r="44" spans="1:2" x14ac:dyDescent="0.35">
      <c r="A44" t="s">
        <v>221</v>
      </c>
      <c r="B44">
        <v>18135</v>
      </c>
    </row>
    <row r="45" spans="1:2" x14ac:dyDescent="0.35">
      <c r="A45" t="s">
        <v>222</v>
      </c>
      <c r="B45">
        <v>565</v>
      </c>
    </row>
    <row r="46" spans="1:2" x14ac:dyDescent="0.35">
      <c r="A46" t="s">
        <v>223</v>
      </c>
      <c r="B46">
        <v>1593</v>
      </c>
    </row>
    <row r="47" spans="1:2" x14ac:dyDescent="0.35">
      <c r="A47" t="s">
        <v>224</v>
      </c>
      <c r="B47">
        <v>35443</v>
      </c>
    </row>
    <row r="48" spans="1:2" x14ac:dyDescent="0.35">
      <c r="A48" t="s">
        <v>225</v>
      </c>
      <c r="B48">
        <v>498</v>
      </c>
    </row>
    <row r="49" spans="1:2" x14ac:dyDescent="0.35">
      <c r="A49" t="s">
        <v>226</v>
      </c>
      <c r="B49">
        <v>1513</v>
      </c>
    </row>
    <row r="50" spans="1:2" x14ac:dyDescent="0.35">
      <c r="A50" t="s">
        <v>227</v>
      </c>
      <c r="B50">
        <v>10421</v>
      </c>
    </row>
    <row r="51" spans="1:2" x14ac:dyDescent="0.35">
      <c r="A51" t="s">
        <v>15</v>
      </c>
      <c r="B51">
        <v>1080</v>
      </c>
    </row>
    <row r="52" spans="1:2" x14ac:dyDescent="0.35">
      <c r="A52" t="s">
        <v>228</v>
      </c>
      <c r="B52">
        <v>5377</v>
      </c>
    </row>
    <row r="53" spans="1:2" x14ac:dyDescent="0.35">
      <c r="A53" t="s">
        <v>229</v>
      </c>
      <c r="B53">
        <v>1134</v>
      </c>
    </row>
    <row r="54" spans="1:2" x14ac:dyDescent="0.35">
      <c r="A54" t="s">
        <v>16</v>
      </c>
      <c r="B54">
        <v>1766</v>
      </c>
    </row>
    <row r="55" spans="1:2" x14ac:dyDescent="0.35">
      <c r="A55" t="s">
        <v>230</v>
      </c>
      <c r="B55">
        <v>10016</v>
      </c>
    </row>
    <row r="56" spans="1:2" x14ac:dyDescent="0.35">
      <c r="A56" t="s">
        <v>231</v>
      </c>
      <c r="B56">
        <v>1205</v>
      </c>
    </row>
    <row r="57" spans="1:2" x14ac:dyDescent="0.35">
      <c r="A57" t="s">
        <v>17</v>
      </c>
      <c r="B57">
        <v>6314</v>
      </c>
    </row>
    <row r="58" spans="1:2" x14ac:dyDescent="0.35">
      <c r="A58" t="s">
        <v>232</v>
      </c>
      <c r="B58">
        <v>1945</v>
      </c>
    </row>
    <row r="59" spans="1:2" x14ac:dyDescent="0.35">
      <c r="A59" t="s">
        <v>233</v>
      </c>
      <c r="B59">
        <v>1364</v>
      </c>
    </row>
    <row r="60" spans="1:2" x14ac:dyDescent="0.35">
      <c r="A60" t="s">
        <v>234</v>
      </c>
      <c r="B60">
        <v>17613</v>
      </c>
    </row>
    <row r="61" spans="1:2" x14ac:dyDescent="0.35">
      <c r="A61" t="s">
        <v>235</v>
      </c>
      <c r="B61">
        <v>52</v>
      </c>
    </row>
    <row r="62" spans="1:2" x14ac:dyDescent="0.35">
      <c r="A62" t="s">
        <v>18</v>
      </c>
      <c r="B62">
        <v>106</v>
      </c>
    </row>
    <row r="63" spans="1:2" x14ac:dyDescent="0.35">
      <c r="A63" t="s">
        <v>236</v>
      </c>
      <c r="B63">
        <v>47183</v>
      </c>
    </row>
    <row r="64" spans="1:2" x14ac:dyDescent="0.35">
      <c r="A64" t="s">
        <v>237</v>
      </c>
      <c r="B64">
        <v>1388</v>
      </c>
    </row>
    <row r="65" spans="1:2" x14ac:dyDescent="0.35">
      <c r="A65" t="s">
        <v>19</v>
      </c>
      <c r="B65">
        <v>12554</v>
      </c>
    </row>
    <row r="66" spans="1:2" x14ac:dyDescent="0.35">
      <c r="A66" t="s">
        <v>20</v>
      </c>
      <c r="B66">
        <v>325</v>
      </c>
    </row>
    <row r="67" spans="1:2" x14ac:dyDescent="0.35">
      <c r="A67" t="s">
        <v>21</v>
      </c>
      <c r="B67">
        <v>405</v>
      </c>
    </row>
    <row r="68" spans="1:2" x14ac:dyDescent="0.35">
      <c r="A68" t="s">
        <v>22</v>
      </c>
      <c r="B68">
        <v>52</v>
      </c>
    </row>
    <row r="69" spans="1:2" x14ac:dyDescent="0.35">
      <c r="A69" t="s">
        <v>23</v>
      </c>
      <c r="B69">
        <v>10</v>
      </c>
    </row>
    <row r="70" spans="1:2" x14ac:dyDescent="0.35">
      <c r="A70" t="s">
        <v>238</v>
      </c>
      <c r="B70">
        <v>1752</v>
      </c>
    </row>
    <row r="71" spans="1:2" x14ac:dyDescent="0.35">
      <c r="A71" t="s">
        <v>239</v>
      </c>
      <c r="B71">
        <v>1540</v>
      </c>
    </row>
    <row r="72" spans="1:2" x14ac:dyDescent="0.35">
      <c r="A72" t="s">
        <v>240</v>
      </c>
      <c r="B72">
        <v>3865</v>
      </c>
    </row>
    <row r="73" spans="1:2" x14ac:dyDescent="0.35">
      <c r="A73" t="s">
        <v>241</v>
      </c>
      <c r="B73">
        <v>11803</v>
      </c>
    </row>
    <row r="74" spans="1:2" x14ac:dyDescent="0.35">
      <c r="A74" t="s">
        <v>242</v>
      </c>
      <c r="B74">
        <v>2568</v>
      </c>
    </row>
    <row r="75" spans="1:2" x14ac:dyDescent="0.35">
      <c r="A75" t="s">
        <v>243</v>
      </c>
      <c r="B75">
        <v>959</v>
      </c>
    </row>
    <row r="76" spans="1:2" x14ac:dyDescent="0.35">
      <c r="A76" t="s">
        <v>244</v>
      </c>
      <c r="B76">
        <v>34828</v>
      </c>
    </row>
    <row r="77" spans="1:2" x14ac:dyDescent="0.35">
      <c r="A77" t="s">
        <v>245</v>
      </c>
      <c r="B77">
        <v>1634</v>
      </c>
    </row>
    <row r="78" spans="1:2" x14ac:dyDescent="0.35">
      <c r="A78" t="s">
        <v>246</v>
      </c>
      <c r="B78">
        <v>3282</v>
      </c>
    </row>
    <row r="79" spans="1:2" x14ac:dyDescent="0.35">
      <c r="A79" t="s">
        <v>247</v>
      </c>
      <c r="B79">
        <v>91232</v>
      </c>
    </row>
    <row r="80" spans="1:2" x14ac:dyDescent="0.35">
      <c r="A80" t="s">
        <v>248</v>
      </c>
      <c r="B80">
        <v>7675</v>
      </c>
    </row>
    <row r="81" spans="1:2" x14ac:dyDescent="0.35">
      <c r="A81" t="s">
        <v>249</v>
      </c>
      <c r="B81">
        <v>6893</v>
      </c>
    </row>
    <row r="82" spans="1:2" x14ac:dyDescent="0.35">
      <c r="A82" t="s">
        <v>250</v>
      </c>
      <c r="B82">
        <v>1739</v>
      </c>
    </row>
    <row r="83" spans="1:2" x14ac:dyDescent="0.35">
      <c r="A83" t="s">
        <v>251</v>
      </c>
      <c r="B83">
        <v>309</v>
      </c>
    </row>
    <row r="84" spans="1:2" x14ac:dyDescent="0.35">
      <c r="A84" t="s">
        <v>252</v>
      </c>
      <c r="B84">
        <v>541</v>
      </c>
    </row>
    <row r="85" spans="1:2" x14ac:dyDescent="0.35">
      <c r="A85" t="s">
        <v>253</v>
      </c>
      <c r="B85">
        <v>8746</v>
      </c>
    </row>
    <row r="86" spans="1:2" x14ac:dyDescent="0.35">
      <c r="A86" t="s">
        <v>254</v>
      </c>
      <c r="B86">
        <v>38437</v>
      </c>
    </row>
    <row r="87" spans="1:2" x14ac:dyDescent="0.35">
      <c r="A87" t="s">
        <v>255</v>
      </c>
      <c r="B87">
        <v>927</v>
      </c>
    </row>
    <row r="88" spans="1:2" x14ac:dyDescent="0.35">
      <c r="A88" t="s">
        <v>256</v>
      </c>
      <c r="B88">
        <v>9665</v>
      </c>
    </row>
    <row r="89" spans="1:2" x14ac:dyDescent="0.35">
      <c r="A89" t="s">
        <v>257</v>
      </c>
      <c r="B89">
        <v>2043</v>
      </c>
    </row>
    <row r="90" spans="1:2" x14ac:dyDescent="0.35">
      <c r="A90" t="s">
        <v>24</v>
      </c>
      <c r="B90">
        <v>14668</v>
      </c>
    </row>
    <row r="91" spans="1:2" x14ac:dyDescent="0.35">
      <c r="A91" t="s">
        <v>258</v>
      </c>
      <c r="B91">
        <v>4</v>
      </c>
    </row>
    <row r="92" spans="1:2" x14ac:dyDescent="0.35">
      <c r="A92" t="s">
        <v>259</v>
      </c>
      <c r="B92">
        <v>1498</v>
      </c>
    </row>
    <row r="93" spans="1:2" x14ac:dyDescent="0.35">
      <c r="A93" t="s">
        <v>260</v>
      </c>
      <c r="B93">
        <v>1</v>
      </c>
    </row>
    <row r="94" spans="1:2" x14ac:dyDescent="0.35">
      <c r="A94" t="s">
        <v>261</v>
      </c>
      <c r="B94">
        <v>2065</v>
      </c>
    </row>
    <row r="95" spans="1:2" x14ac:dyDescent="0.35">
      <c r="A95" t="s">
        <v>262</v>
      </c>
      <c r="B95">
        <v>422</v>
      </c>
    </row>
    <row r="96" spans="1:2" x14ac:dyDescent="0.35">
      <c r="A96" t="s">
        <v>263</v>
      </c>
      <c r="B96">
        <v>239</v>
      </c>
    </row>
    <row r="97" spans="1:2" x14ac:dyDescent="0.35">
      <c r="A97" t="s">
        <v>264</v>
      </c>
      <c r="B97">
        <v>2261</v>
      </c>
    </row>
    <row r="98" spans="1:2" x14ac:dyDescent="0.35">
      <c r="A98" t="s">
        <v>265</v>
      </c>
      <c r="B98">
        <v>2678</v>
      </c>
    </row>
    <row r="99" spans="1:2" x14ac:dyDescent="0.35">
      <c r="A99" t="s">
        <v>25</v>
      </c>
      <c r="B99">
        <v>5694</v>
      </c>
    </row>
    <row r="100" spans="1:2" x14ac:dyDescent="0.35">
      <c r="A100" t="s">
        <v>266</v>
      </c>
      <c r="B100">
        <v>168</v>
      </c>
    </row>
    <row r="101" spans="1:2" x14ac:dyDescent="0.35">
      <c r="A101" t="s">
        <v>267</v>
      </c>
      <c r="B101">
        <v>697</v>
      </c>
    </row>
    <row r="102" spans="1:2" x14ac:dyDescent="0.35">
      <c r="A102" t="s">
        <v>268</v>
      </c>
      <c r="B102">
        <v>996</v>
      </c>
    </row>
    <row r="103" spans="1:2" x14ac:dyDescent="0.35">
      <c r="A103" t="s">
        <v>26</v>
      </c>
      <c r="B103">
        <v>91</v>
      </c>
    </row>
    <row r="104" spans="1:2" x14ac:dyDescent="0.35">
      <c r="A104" t="s">
        <v>269</v>
      </c>
      <c r="B104">
        <v>1189</v>
      </c>
    </row>
    <row r="105" spans="1:2" x14ac:dyDescent="0.35">
      <c r="A105" t="s">
        <v>270</v>
      </c>
      <c r="B105">
        <v>57</v>
      </c>
    </row>
    <row r="106" spans="1:2" x14ac:dyDescent="0.35">
      <c r="A106" t="s">
        <v>271</v>
      </c>
      <c r="B106">
        <v>644</v>
      </c>
    </row>
    <row r="107" spans="1:2" x14ac:dyDescent="0.35">
      <c r="A107" t="s">
        <v>272</v>
      </c>
      <c r="B107">
        <v>108</v>
      </c>
    </row>
    <row r="108" spans="1:2" x14ac:dyDescent="0.35">
      <c r="A108" t="s">
        <v>273</v>
      </c>
      <c r="B108">
        <v>756</v>
      </c>
    </row>
    <row r="109" spans="1:2" x14ac:dyDescent="0.35">
      <c r="A109" t="s">
        <v>27</v>
      </c>
      <c r="B109">
        <v>3</v>
      </c>
    </row>
    <row r="110" spans="1:2" x14ac:dyDescent="0.35">
      <c r="A110" t="s">
        <v>274</v>
      </c>
      <c r="B110">
        <v>7</v>
      </c>
    </row>
    <row r="111" spans="1:2" x14ac:dyDescent="0.35">
      <c r="A111" t="s">
        <v>275</v>
      </c>
      <c r="B111">
        <v>38878</v>
      </c>
    </row>
    <row r="112" spans="1:2" x14ac:dyDescent="0.35">
      <c r="A112" t="s">
        <v>276</v>
      </c>
      <c r="B112">
        <v>111</v>
      </c>
    </row>
    <row r="113" spans="1:2" x14ac:dyDescent="0.35">
      <c r="A113" t="s">
        <v>277</v>
      </c>
      <c r="B113">
        <v>228</v>
      </c>
    </row>
    <row r="114" spans="1:2" x14ac:dyDescent="0.35">
      <c r="A114" t="s">
        <v>28</v>
      </c>
      <c r="B114">
        <v>52</v>
      </c>
    </row>
    <row r="115" spans="1:2" x14ac:dyDescent="0.35">
      <c r="A115" t="s">
        <v>278</v>
      </c>
      <c r="B115">
        <v>124</v>
      </c>
    </row>
    <row r="116" spans="1:2" x14ac:dyDescent="0.35">
      <c r="A116" t="s">
        <v>279</v>
      </c>
      <c r="B116">
        <v>963</v>
      </c>
    </row>
    <row r="117" spans="1:2" x14ac:dyDescent="0.35">
      <c r="A117" t="s">
        <v>280</v>
      </c>
      <c r="B117">
        <v>498</v>
      </c>
    </row>
    <row r="118" spans="1:2" x14ac:dyDescent="0.35">
      <c r="A118" t="s">
        <v>281</v>
      </c>
      <c r="B118">
        <v>8</v>
      </c>
    </row>
    <row r="119" spans="1:2" x14ac:dyDescent="0.35">
      <c r="A119" t="s">
        <v>29</v>
      </c>
      <c r="B119">
        <v>30</v>
      </c>
    </row>
    <row r="120" spans="1:2" x14ac:dyDescent="0.35">
      <c r="A120" t="s">
        <v>30</v>
      </c>
      <c r="B120">
        <v>12</v>
      </c>
    </row>
    <row r="121" spans="1:2" x14ac:dyDescent="0.35">
      <c r="A121" t="s">
        <v>31</v>
      </c>
      <c r="B121">
        <v>475</v>
      </c>
    </row>
    <row r="122" spans="1:2" x14ac:dyDescent="0.35">
      <c r="A122" t="s">
        <v>32</v>
      </c>
      <c r="B122">
        <v>200</v>
      </c>
    </row>
    <row r="123" spans="1:2" x14ac:dyDescent="0.35">
      <c r="A123" t="s">
        <v>282</v>
      </c>
      <c r="B123">
        <v>1732</v>
      </c>
    </row>
    <row r="124" spans="1:2" x14ac:dyDescent="0.35">
      <c r="A124" t="s">
        <v>33</v>
      </c>
      <c r="B124">
        <v>70</v>
      </c>
    </row>
    <row r="125" spans="1:2" x14ac:dyDescent="0.35">
      <c r="A125" t="s">
        <v>34</v>
      </c>
      <c r="B125">
        <v>72</v>
      </c>
    </row>
    <row r="126" spans="1:2" x14ac:dyDescent="0.35">
      <c r="A126" t="s">
        <v>35</v>
      </c>
      <c r="B126">
        <v>40900</v>
      </c>
    </row>
    <row r="127" spans="1:2" x14ac:dyDescent="0.35">
      <c r="A127" t="s">
        <v>283</v>
      </c>
      <c r="B127">
        <v>2372</v>
      </c>
    </row>
    <row r="128" spans="1:2" x14ac:dyDescent="0.35">
      <c r="A128" t="s">
        <v>284</v>
      </c>
      <c r="B128">
        <v>2</v>
      </c>
    </row>
    <row r="129" spans="1:2" x14ac:dyDescent="0.35">
      <c r="A129" t="s">
        <v>285</v>
      </c>
      <c r="B129">
        <v>4007</v>
      </c>
    </row>
    <row r="130" spans="1:2" x14ac:dyDescent="0.35">
      <c r="A130" t="s">
        <v>286</v>
      </c>
      <c r="B130">
        <v>680</v>
      </c>
    </row>
    <row r="131" spans="1:2" x14ac:dyDescent="0.35">
      <c r="A131" t="s">
        <v>287</v>
      </c>
      <c r="B131">
        <v>2630</v>
      </c>
    </row>
    <row r="132" spans="1:2" x14ac:dyDescent="0.35">
      <c r="A132" t="s">
        <v>288</v>
      </c>
      <c r="B132">
        <v>12</v>
      </c>
    </row>
    <row r="133" spans="1:2" x14ac:dyDescent="0.35">
      <c r="A133" t="s">
        <v>289</v>
      </c>
      <c r="B133">
        <v>8950</v>
      </c>
    </row>
    <row r="134" spans="1:2" x14ac:dyDescent="0.35">
      <c r="A134" t="s">
        <v>290</v>
      </c>
      <c r="B134">
        <v>46</v>
      </c>
    </row>
    <row r="135" spans="1:2" x14ac:dyDescent="0.35">
      <c r="A135" t="s">
        <v>291</v>
      </c>
      <c r="B135">
        <v>6626</v>
      </c>
    </row>
    <row r="136" spans="1:2" x14ac:dyDescent="0.35">
      <c r="A136" t="s">
        <v>292</v>
      </c>
      <c r="B136">
        <v>3811</v>
      </c>
    </row>
    <row r="137" spans="1:2" x14ac:dyDescent="0.35">
      <c r="A137" t="s">
        <v>293</v>
      </c>
      <c r="B137">
        <v>9167</v>
      </c>
    </row>
    <row r="138" spans="1:2" x14ac:dyDescent="0.35">
      <c r="A138" t="s">
        <v>294</v>
      </c>
      <c r="B138">
        <v>183349</v>
      </c>
    </row>
    <row r="139" spans="1:2" x14ac:dyDescent="0.35">
      <c r="A139" t="s">
        <v>295</v>
      </c>
      <c r="B139">
        <v>1</v>
      </c>
    </row>
    <row r="140" spans="1:2" x14ac:dyDescent="0.35">
      <c r="A140" t="s">
        <v>296</v>
      </c>
      <c r="B140">
        <v>4</v>
      </c>
    </row>
    <row r="141" spans="1:2" x14ac:dyDescent="0.35">
      <c r="A141" t="s">
        <v>297</v>
      </c>
      <c r="B141">
        <v>29627</v>
      </c>
    </row>
    <row r="142" spans="1:2" x14ac:dyDescent="0.35">
      <c r="A142" t="s">
        <v>298</v>
      </c>
      <c r="B142">
        <v>14</v>
      </c>
    </row>
    <row r="143" spans="1:2" x14ac:dyDescent="0.35">
      <c r="A143" t="s">
        <v>299</v>
      </c>
      <c r="B143">
        <v>8278</v>
      </c>
    </row>
    <row r="144" spans="1:2" x14ac:dyDescent="0.35">
      <c r="A144" t="s">
        <v>300</v>
      </c>
      <c r="B144">
        <v>279</v>
      </c>
    </row>
    <row r="145" spans="1:2" x14ac:dyDescent="0.35">
      <c r="A145" t="s">
        <v>301</v>
      </c>
      <c r="B145">
        <v>31</v>
      </c>
    </row>
    <row r="146" spans="1:2" x14ac:dyDescent="0.35">
      <c r="A146" t="s">
        <v>302</v>
      </c>
      <c r="B146">
        <v>27755</v>
      </c>
    </row>
    <row r="147" spans="1:2" x14ac:dyDescent="0.35">
      <c r="A147" t="s">
        <v>303</v>
      </c>
      <c r="B147">
        <v>18634</v>
      </c>
    </row>
    <row r="148" spans="1:2" x14ac:dyDescent="0.35">
      <c r="A148" t="s">
        <v>36</v>
      </c>
      <c r="B148">
        <v>84</v>
      </c>
    </row>
    <row r="149" spans="1:2" x14ac:dyDescent="0.35">
      <c r="A149" t="s">
        <v>304</v>
      </c>
      <c r="B149">
        <v>746</v>
      </c>
    </row>
    <row r="150" spans="1:2" x14ac:dyDescent="0.35">
      <c r="A150" t="s">
        <v>305</v>
      </c>
      <c r="B150">
        <v>125</v>
      </c>
    </row>
    <row r="151" spans="1:2" x14ac:dyDescent="0.35">
      <c r="A151" t="s">
        <v>37</v>
      </c>
      <c r="B151">
        <v>499</v>
      </c>
    </row>
    <row r="152" spans="1:2" x14ac:dyDescent="0.35">
      <c r="A152" t="s">
        <v>306</v>
      </c>
      <c r="B152">
        <v>1216</v>
      </c>
    </row>
    <row r="153" spans="1:2" x14ac:dyDescent="0.35">
      <c r="A153" t="s">
        <v>307</v>
      </c>
      <c r="B153">
        <v>1</v>
      </c>
    </row>
    <row r="154" spans="1:2" x14ac:dyDescent="0.35">
      <c r="A154" t="s">
        <v>38</v>
      </c>
      <c r="B154">
        <v>5947</v>
      </c>
    </row>
    <row r="155" spans="1:2" x14ac:dyDescent="0.35">
      <c r="A155" t="s">
        <v>308</v>
      </c>
      <c r="B155">
        <v>7126</v>
      </c>
    </row>
    <row r="156" spans="1:2" x14ac:dyDescent="0.35">
      <c r="A156" t="s">
        <v>309</v>
      </c>
      <c r="B156">
        <v>33</v>
      </c>
    </row>
    <row r="157" spans="1:2" x14ac:dyDescent="0.35">
      <c r="A157" t="s">
        <v>310</v>
      </c>
      <c r="B157">
        <v>2499</v>
      </c>
    </row>
    <row r="158" spans="1:2" x14ac:dyDescent="0.35">
      <c r="A158" t="s">
        <v>311</v>
      </c>
      <c r="B158">
        <v>1198</v>
      </c>
    </row>
    <row r="159" spans="1:2" x14ac:dyDescent="0.35">
      <c r="A159" t="s">
        <v>39</v>
      </c>
      <c r="B159">
        <v>130</v>
      </c>
    </row>
    <row r="160" spans="1:2" x14ac:dyDescent="0.35">
      <c r="A160" t="s">
        <v>40</v>
      </c>
      <c r="B160">
        <v>1</v>
      </c>
    </row>
    <row r="161" spans="1:2" x14ac:dyDescent="0.35">
      <c r="A161" t="s">
        <v>312</v>
      </c>
      <c r="B161">
        <v>418</v>
      </c>
    </row>
    <row r="162" spans="1:2" x14ac:dyDescent="0.35">
      <c r="A162" t="s">
        <v>313</v>
      </c>
      <c r="B162">
        <v>735</v>
      </c>
    </row>
    <row r="163" spans="1:2" x14ac:dyDescent="0.35">
      <c r="A163" t="s">
        <v>314</v>
      </c>
      <c r="B163">
        <v>98</v>
      </c>
    </row>
    <row r="164" spans="1:2" x14ac:dyDescent="0.35">
      <c r="A164" t="s">
        <v>315</v>
      </c>
      <c r="B164">
        <v>1959</v>
      </c>
    </row>
    <row r="165" spans="1:2" x14ac:dyDescent="0.35">
      <c r="A165" t="s">
        <v>41</v>
      </c>
      <c r="B165">
        <v>122</v>
      </c>
    </row>
    <row r="166" spans="1:2" x14ac:dyDescent="0.35">
      <c r="A166" t="s">
        <v>42</v>
      </c>
      <c r="B166">
        <v>64</v>
      </c>
    </row>
    <row r="167" spans="1:2" x14ac:dyDescent="0.35">
      <c r="A167" t="s">
        <v>316</v>
      </c>
      <c r="B167">
        <v>755</v>
      </c>
    </row>
    <row r="168" spans="1:2" x14ac:dyDescent="0.35">
      <c r="A168" t="s">
        <v>43</v>
      </c>
      <c r="B168">
        <v>67</v>
      </c>
    </row>
    <row r="169" spans="1:2" x14ac:dyDescent="0.35">
      <c r="A169" t="s">
        <v>44</v>
      </c>
      <c r="B169">
        <v>1116</v>
      </c>
    </row>
    <row r="170" spans="1:2" x14ac:dyDescent="0.35">
      <c r="A170" t="s">
        <v>317</v>
      </c>
      <c r="B170">
        <v>6299</v>
      </c>
    </row>
    <row r="171" spans="1:2" x14ac:dyDescent="0.35">
      <c r="A171" t="s">
        <v>318</v>
      </c>
      <c r="B171">
        <v>4</v>
      </c>
    </row>
    <row r="172" spans="1:2" x14ac:dyDescent="0.35">
      <c r="A172" t="s">
        <v>319</v>
      </c>
      <c r="B172">
        <v>1</v>
      </c>
    </row>
    <row r="173" spans="1:2" x14ac:dyDescent="0.35">
      <c r="A173" t="s">
        <v>320</v>
      </c>
      <c r="B173">
        <v>0</v>
      </c>
    </row>
    <row r="174" spans="1:2" x14ac:dyDescent="0.35">
      <c r="A174" t="s">
        <v>321</v>
      </c>
      <c r="B174">
        <v>567</v>
      </c>
    </row>
    <row r="175" spans="1:2" x14ac:dyDescent="0.35">
      <c r="A175" t="s">
        <v>322</v>
      </c>
      <c r="B175">
        <v>9236</v>
      </c>
    </row>
    <row r="176" spans="1:2" x14ac:dyDescent="0.35">
      <c r="A176" t="s">
        <v>323</v>
      </c>
      <c r="B176">
        <v>1888</v>
      </c>
    </row>
    <row r="177" spans="1:2" x14ac:dyDescent="0.35">
      <c r="A177" t="s">
        <v>324</v>
      </c>
      <c r="B177">
        <v>1612</v>
      </c>
    </row>
    <row r="178" spans="1:2" x14ac:dyDescent="0.35">
      <c r="A178" t="s">
        <v>45</v>
      </c>
      <c r="B178">
        <v>1019</v>
      </c>
    </row>
    <row r="179" spans="1:2" x14ac:dyDescent="0.35">
      <c r="A179" t="s">
        <v>46</v>
      </c>
      <c r="B179">
        <v>693</v>
      </c>
    </row>
    <row r="180" spans="1:2" x14ac:dyDescent="0.35">
      <c r="A180" t="s">
        <v>325</v>
      </c>
      <c r="B180">
        <v>9732</v>
      </c>
    </row>
    <row r="181" spans="1:2" x14ac:dyDescent="0.35">
      <c r="A181" t="s">
        <v>326</v>
      </c>
      <c r="B181">
        <v>426</v>
      </c>
    </row>
    <row r="182" spans="1:2" x14ac:dyDescent="0.35">
      <c r="A182" t="s">
        <v>327</v>
      </c>
      <c r="B182">
        <v>11980</v>
      </c>
    </row>
    <row r="183" spans="1:2" x14ac:dyDescent="0.35">
      <c r="A183" t="s">
        <v>328</v>
      </c>
      <c r="B183">
        <v>1559</v>
      </c>
    </row>
    <row r="184" spans="1:2" x14ac:dyDescent="0.35">
      <c r="A184" t="s">
        <v>329</v>
      </c>
      <c r="B184">
        <v>1439</v>
      </c>
    </row>
    <row r="185" spans="1:2" x14ac:dyDescent="0.35">
      <c r="A185" t="s">
        <v>330</v>
      </c>
      <c r="B185">
        <v>2657</v>
      </c>
    </row>
    <row r="186" spans="1:2" x14ac:dyDescent="0.35">
      <c r="A186" t="s">
        <v>331</v>
      </c>
      <c r="B186">
        <v>15773</v>
      </c>
    </row>
    <row r="187" spans="1:2" x14ac:dyDescent="0.35">
      <c r="A187" t="s">
        <v>332</v>
      </c>
      <c r="B187">
        <v>2</v>
      </c>
    </row>
    <row r="188" spans="1:2" x14ac:dyDescent="0.35">
      <c r="A188" t="s">
        <v>333</v>
      </c>
      <c r="B188">
        <v>348</v>
      </c>
    </row>
    <row r="189" spans="1:2" x14ac:dyDescent="0.35">
      <c r="A189" t="s">
        <v>334</v>
      </c>
      <c r="B189">
        <v>247</v>
      </c>
    </row>
    <row r="190" spans="1:2" x14ac:dyDescent="0.35">
      <c r="A190" t="s">
        <v>47</v>
      </c>
      <c r="B190">
        <v>9155</v>
      </c>
    </row>
    <row r="191" spans="1:2" x14ac:dyDescent="0.35">
      <c r="A191" t="s">
        <v>48</v>
      </c>
      <c r="B191">
        <v>1807</v>
      </c>
    </row>
    <row r="192" spans="1:2" x14ac:dyDescent="0.35">
      <c r="A192" t="s">
        <v>49</v>
      </c>
      <c r="B192">
        <v>7547</v>
      </c>
    </row>
    <row r="193" spans="1:2" x14ac:dyDescent="0.35">
      <c r="A193" t="s">
        <v>51</v>
      </c>
      <c r="B193">
        <v>1062626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Available</vt:lpstr>
      <vt:lpstr>Sheet4</vt:lpstr>
      <vt:lpstr>proportions</vt:lpstr>
      <vt:lpstr>Income</vt:lpstr>
      <vt:lpstr>Sheet7</vt:lpstr>
      <vt:lpstr>Sheet2</vt:lpstr>
      <vt:lpstr>Projections</vt:lpstr>
      <vt:lpstr>Education</vt:lpstr>
      <vt:lpstr>Edu updated</vt:lpstr>
      <vt:lpstr>Migration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2024-02-22T12:54:43Z</dcterms:created>
  <dcterms:modified xsi:type="dcterms:W3CDTF">2024-03-06T17:17:14Z</dcterms:modified>
</cp:coreProperties>
</file>