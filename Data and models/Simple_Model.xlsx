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ROI HRH\Deliverables\Data and models\"/>
    </mc:Choice>
  </mc:AlternateContent>
  <xr:revisionPtr revIDLastSave="0" documentId="8_{4D61F3DD-E2D0-4995-B01D-2EBFB619661D}" xr6:coauthVersionLast="47" xr6:coauthVersionMax="47" xr10:uidLastSave="{00000000-0000-0000-0000-000000000000}"/>
  <bookViews>
    <workbookView xWindow="-110" yWindow="-110" windowWidth="19420" windowHeight="10300" xr2:uid="{FB71399D-E866-40B6-802F-D98BC392D7AF}"/>
  </bookViews>
  <sheets>
    <sheet name="SEM_HWF" sheetId="1" r:id="rId1"/>
    <sheet name="SEM_Vars_HWF" sheetId="2" r:id="rId2"/>
  </sheets>
  <externalReferences>
    <externalReference r:id="rId3"/>
  </externalReferences>
  <definedNames>
    <definedName name="_R²_Impact">[1]Model_1!$AA$3</definedName>
    <definedName name="_R²_Outcome">[1]Model_1!$T$3</definedName>
    <definedName name="_R²_Output">[1]Model_1!$N$3</definedName>
    <definedName name="HWF_In_service_training_coef.">[1]Model_1!$J$3</definedName>
    <definedName name="Impact_1_Coef.">[1]Model_1!$AB$3</definedName>
    <definedName name="Impact_2_Coef.">[1]Model_1!$AC$3</definedName>
    <definedName name="Incentive">[1]Model_1!$K$3</definedName>
    <definedName name="Input_1_coef.">[1]Model_1!$D$3</definedName>
    <definedName name="Input_2_coef.">[1]Model_1!$E$3</definedName>
    <definedName name="Input_3_coef.">[1]Model_2!$F$3</definedName>
    <definedName name="Outcome_1_Coef.">[1]Model_1!$U$3</definedName>
    <definedName name="Outcome_2_Coef.">[1]Model_1!$V$3</definedName>
    <definedName name="Outcome_3_Coef.">[1]Model_1!$W$3</definedName>
    <definedName name="Output_1_Coef.">[1]Model_1!$O$3</definedName>
    <definedName name="Output_2_Coef.">[1]Model_1!$P$3</definedName>
    <definedName name="Output_3_Coef.">[1]Model_1!$Q$3</definedName>
    <definedName name="Percentage_of_HWF_benefiting_from_the_salary_increase">[1]Model_2!$G$3</definedName>
    <definedName name="Percentage_of_people_incentivised">[1]Model_1!$I$3</definedName>
    <definedName name="Percentage_of_people_trained">[1]Model_1!$H$3</definedName>
    <definedName name="Total_Impact_coef.">[1]Model_1!$Z$3</definedName>
    <definedName name="Total_Outcome_coef.">[1]Model_1!$S$3</definedName>
    <definedName name="Total_Output_coef.">[1]Model_1!$M$3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8" i="1" l="1"/>
  <c r="AG48" i="1"/>
  <c r="AF48" i="1"/>
  <c r="AE48" i="1"/>
  <c r="AH47" i="1"/>
  <c r="AG47" i="1"/>
  <c r="AF47" i="1"/>
  <c r="AE47" i="1"/>
  <c r="AH46" i="1"/>
  <c r="AG46" i="1"/>
  <c r="AF46" i="1"/>
  <c r="AE46" i="1"/>
  <c r="AH45" i="1"/>
  <c r="AG45" i="1"/>
  <c r="AF45" i="1"/>
  <c r="AE45" i="1"/>
  <c r="AH44" i="1"/>
  <c r="AG44" i="1"/>
  <c r="AF44" i="1"/>
  <c r="AE44" i="1"/>
  <c r="AH43" i="1"/>
  <c r="AG43" i="1"/>
  <c r="AF43" i="1"/>
  <c r="AE43" i="1"/>
  <c r="AH42" i="1"/>
  <c r="AG42" i="1"/>
  <c r="AF42" i="1"/>
  <c r="AE42" i="1"/>
  <c r="AH41" i="1"/>
  <c r="AG41" i="1"/>
  <c r="AF41" i="1"/>
  <c r="AE41" i="1"/>
  <c r="AH40" i="1"/>
  <c r="AG40" i="1"/>
  <c r="AF40" i="1"/>
  <c r="AE40" i="1"/>
  <c r="AH39" i="1"/>
  <c r="AG39" i="1"/>
  <c r="AF39" i="1"/>
  <c r="AE39" i="1"/>
  <c r="AH38" i="1"/>
  <c r="AG38" i="1"/>
  <c r="AF38" i="1"/>
  <c r="AE38" i="1"/>
  <c r="AH37" i="1"/>
  <c r="AG37" i="1"/>
  <c r="AF37" i="1"/>
  <c r="AE37" i="1"/>
  <c r="AH36" i="1"/>
  <c r="AG36" i="1"/>
  <c r="AF36" i="1"/>
  <c r="AE36" i="1"/>
  <c r="AH35" i="1"/>
  <c r="AG35" i="1"/>
  <c r="AF35" i="1"/>
  <c r="AE35" i="1"/>
  <c r="AH34" i="1"/>
  <c r="AG34" i="1"/>
  <c r="AF34" i="1"/>
  <c r="AE34" i="1"/>
  <c r="AH33" i="1"/>
  <c r="AG33" i="1"/>
  <c r="AF33" i="1"/>
  <c r="AE33" i="1"/>
  <c r="AH32" i="1"/>
  <c r="AG32" i="1"/>
  <c r="AF32" i="1"/>
  <c r="AE32" i="1"/>
  <c r="AH31" i="1"/>
  <c r="AG31" i="1"/>
  <c r="AF31" i="1"/>
  <c r="AE31" i="1"/>
  <c r="AH30" i="1"/>
  <c r="AG30" i="1"/>
  <c r="AF30" i="1"/>
  <c r="AE30" i="1"/>
  <c r="AH29" i="1"/>
  <c r="AG29" i="1"/>
  <c r="AF29" i="1"/>
  <c r="AE29" i="1"/>
  <c r="AH28" i="1"/>
  <c r="AG28" i="1"/>
  <c r="AF28" i="1"/>
  <c r="AE28" i="1"/>
  <c r="AH27" i="1"/>
  <c r="AG27" i="1"/>
  <c r="AF27" i="1"/>
  <c r="AE27" i="1"/>
  <c r="AH26" i="1"/>
  <c r="AG26" i="1"/>
  <c r="AF26" i="1"/>
  <c r="AE26" i="1"/>
  <c r="AH25" i="1"/>
  <c r="AG25" i="1"/>
  <c r="AF25" i="1"/>
  <c r="AE25" i="1"/>
  <c r="AH24" i="1"/>
  <c r="AG24" i="1"/>
  <c r="AF24" i="1"/>
  <c r="AE24" i="1"/>
  <c r="AH23" i="1"/>
  <c r="AG23" i="1"/>
  <c r="AF23" i="1"/>
  <c r="AE23" i="1"/>
  <c r="AH22" i="1"/>
  <c r="AG22" i="1"/>
  <c r="AF22" i="1"/>
  <c r="AE22" i="1"/>
  <c r="AH21" i="1"/>
  <c r="AG21" i="1"/>
  <c r="AF21" i="1"/>
  <c r="AE21" i="1"/>
  <c r="AH20" i="1"/>
  <c r="AG20" i="1"/>
  <c r="AF20" i="1"/>
  <c r="AE20" i="1"/>
  <c r="AH19" i="1"/>
  <c r="AG19" i="1"/>
  <c r="AF19" i="1"/>
  <c r="AE19" i="1"/>
  <c r="AH18" i="1"/>
  <c r="AG18" i="1"/>
  <c r="AF18" i="1"/>
  <c r="AE18" i="1"/>
  <c r="AH17" i="1"/>
  <c r="AG17" i="1"/>
  <c r="AF17" i="1"/>
  <c r="AE17" i="1"/>
  <c r="AH16" i="1"/>
  <c r="AG16" i="1"/>
  <c r="AF16" i="1"/>
  <c r="AE16" i="1"/>
  <c r="AH15" i="1"/>
  <c r="AG15" i="1"/>
  <c r="AF15" i="1"/>
  <c r="AE15" i="1"/>
  <c r="AH14" i="1"/>
  <c r="AG14" i="1"/>
  <c r="AF14" i="1"/>
  <c r="AE14" i="1"/>
  <c r="AH13" i="1"/>
  <c r="AG13" i="1"/>
  <c r="AF13" i="1"/>
  <c r="AE13" i="1"/>
  <c r="AH12" i="1"/>
  <c r="AG12" i="1"/>
  <c r="AF12" i="1"/>
  <c r="AE12" i="1"/>
  <c r="AH11" i="1"/>
  <c r="AG11" i="1"/>
  <c r="AF11" i="1"/>
  <c r="AE11" i="1"/>
  <c r="AH10" i="1"/>
  <c r="AG10" i="1"/>
  <c r="AF10" i="1"/>
  <c r="AE10" i="1"/>
  <c r="AH9" i="1"/>
  <c r="AG9" i="1"/>
  <c r="AF9" i="1"/>
  <c r="AE9" i="1"/>
  <c r="AH8" i="1"/>
  <c r="AG8" i="1"/>
  <c r="AF8" i="1"/>
  <c r="AE8" i="1"/>
  <c r="AH7" i="1"/>
  <c r="AG7" i="1"/>
  <c r="AF7" i="1"/>
  <c r="AE7" i="1"/>
  <c r="AH6" i="1"/>
  <c r="AG6" i="1"/>
  <c r="AF6" i="1"/>
  <c r="AE6" i="1"/>
  <c r="AH5" i="1"/>
  <c r="AG5" i="1"/>
  <c r="AF5" i="1"/>
  <c r="AE5" i="1"/>
  <c r="AH4" i="1"/>
  <c r="AG4" i="1"/>
  <c r="AF4" i="1"/>
  <c r="AE4" i="1"/>
  <c r="AH3" i="1"/>
  <c r="AG3" i="1"/>
  <c r="AF3" i="1"/>
  <c r="AE3" i="1"/>
  <c r="AH2" i="1"/>
  <c r="AG2" i="1"/>
  <c r="AF2" i="1"/>
  <c r="AE2" i="1"/>
</calcChain>
</file>

<file path=xl/sharedStrings.xml><?xml version="1.0" encoding="utf-8"?>
<sst xmlns="http://schemas.openxmlformats.org/spreadsheetml/2006/main" count="217" uniqueCount="168">
  <si>
    <t>Country</t>
  </si>
  <si>
    <t>ISO</t>
  </si>
  <si>
    <t>Population_2023</t>
  </si>
  <si>
    <t>hr</t>
  </si>
  <si>
    <t>output</t>
  </si>
  <si>
    <t>outcome</t>
  </si>
  <si>
    <t>impact</t>
  </si>
  <si>
    <t>Invest_1</t>
  </si>
  <si>
    <t>Invest_2</t>
  </si>
  <si>
    <t>Output_1</t>
  </si>
  <si>
    <t>Output_2</t>
  </si>
  <si>
    <t>Output_3</t>
  </si>
  <si>
    <t>Output_4</t>
  </si>
  <si>
    <t>Outcome_1a</t>
  </si>
  <si>
    <t>Outcome_2a</t>
  </si>
  <si>
    <t>Outcome_3a</t>
  </si>
  <si>
    <t>Outcome_4</t>
  </si>
  <si>
    <t>Outcome_5</t>
  </si>
  <si>
    <t>Impact_1</t>
  </si>
  <si>
    <t>Impact_2</t>
  </si>
  <si>
    <t>Impact_3</t>
  </si>
  <si>
    <t>GDP_Growth_per_capita</t>
  </si>
  <si>
    <t>HR_1</t>
  </si>
  <si>
    <t>HR_2</t>
  </si>
  <si>
    <t>HR_3</t>
  </si>
  <si>
    <t>HR_4</t>
  </si>
  <si>
    <t>HR_5</t>
  </si>
  <si>
    <t>HR_6</t>
  </si>
  <si>
    <t>HR_7</t>
  </si>
  <si>
    <t>HR_8</t>
  </si>
  <si>
    <t>DALYs All</t>
  </si>
  <si>
    <t>Outcome_1</t>
  </si>
  <si>
    <t>Outcome_2</t>
  </si>
  <si>
    <t>Outcome_3</t>
  </si>
  <si>
    <t>HR_1d</t>
  </si>
  <si>
    <t>HR_2d</t>
  </si>
  <si>
    <t>HR_3d</t>
  </si>
  <si>
    <t>HR_4d</t>
  </si>
  <si>
    <t>HR_5d</t>
  </si>
  <si>
    <t>HR_6d</t>
  </si>
  <si>
    <t>HR_7d</t>
  </si>
  <si>
    <t>Algeria</t>
  </si>
  <si>
    <t>DZA</t>
  </si>
  <si>
    <t>Angola</t>
  </si>
  <si>
    <t>AGO</t>
  </si>
  <si>
    <t>Benin</t>
  </si>
  <si>
    <t>BEN</t>
  </si>
  <si>
    <t>Botswana</t>
  </si>
  <si>
    <t>BWA</t>
  </si>
  <si>
    <t>Burkina Faso</t>
  </si>
  <si>
    <t>BFA</t>
  </si>
  <si>
    <t>Burundi</t>
  </si>
  <si>
    <t>BDI</t>
  </si>
  <si>
    <t>Cabo Verde</t>
  </si>
  <si>
    <t>CPV</t>
  </si>
  <si>
    <t>Cameroon</t>
  </si>
  <si>
    <t>CMR</t>
  </si>
  <si>
    <t>Central African Republic</t>
  </si>
  <si>
    <t>CAF</t>
  </si>
  <si>
    <t>Chad</t>
  </si>
  <si>
    <t>TCD</t>
  </si>
  <si>
    <t>Comoros</t>
  </si>
  <si>
    <t>COM</t>
  </si>
  <si>
    <t>Congo</t>
  </si>
  <si>
    <t>COG</t>
  </si>
  <si>
    <t>Côte d'Ivoire</t>
  </si>
  <si>
    <t>CIV</t>
  </si>
  <si>
    <t>Democratic Republic of the Congo</t>
  </si>
  <si>
    <t>COD</t>
  </si>
  <si>
    <t>Equatorial Guinea</t>
  </si>
  <si>
    <t>GNQ</t>
  </si>
  <si>
    <t>Eritrea</t>
  </si>
  <si>
    <t>ERI</t>
  </si>
  <si>
    <t>Eswatini</t>
  </si>
  <si>
    <t>SWZ</t>
  </si>
  <si>
    <t>Ethiopia</t>
  </si>
  <si>
    <t>ETH</t>
  </si>
  <si>
    <t>Gabon</t>
  </si>
  <si>
    <t>GAB</t>
  </si>
  <si>
    <t>Gambia</t>
  </si>
  <si>
    <t>GMB</t>
  </si>
  <si>
    <t>Ghana</t>
  </si>
  <si>
    <t>GHA</t>
  </si>
  <si>
    <t>Guinea</t>
  </si>
  <si>
    <t>GIN</t>
  </si>
  <si>
    <t>Guinea-Bissau</t>
  </si>
  <si>
    <t>GNB</t>
  </si>
  <si>
    <t>Kenya</t>
  </si>
  <si>
    <t>KEN</t>
  </si>
  <si>
    <t>Lesotho</t>
  </si>
  <si>
    <t>LSO</t>
  </si>
  <si>
    <t>Liberia</t>
  </si>
  <si>
    <t>LBR</t>
  </si>
  <si>
    <t>Madagascar</t>
  </si>
  <si>
    <t>MDG</t>
  </si>
  <si>
    <t>Malawi</t>
  </si>
  <si>
    <t>MWI</t>
  </si>
  <si>
    <t>Mali</t>
  </si>
  <si>
    <t>MLI</t>
  </si>
  <si>
    <t>Mauritania</t>
  </si>
  <si>
    <t>MRT</t>
  </si>
  <si>
    <t>Mauritius</t>
  </si>
  <si>
    <t>MUS</t>
  </si>
  <si>
    <t>Mozambique</t>
  </si>
  <si>
    <t>MOZ</t>
  </si>
  <si>
    <t>Namibia</t>
  </si>
  <si>
    <t>NAM</t>
  </si>
  <si>
    <t>Niger</t>
  </si>
  <si>
    <t>NER</t>
  </si>
  <si>
    <t>Nigeria</t>
  </si>
  <si>
    <t>NGA</t>
  </si>
  <si>
    <t>Rwanda</t>
  </si>
  <si>
    <t>RWA</t>
  </si>
  <si>
    <t>Sao Tome and Principe</t>
  </si>
  <si>
    <t>STP</t>
  </si>
  <si>
    <t>Senegal</t>
  </si>
  <si>
    <t>SEN</t>
  </si>
  <si>
    <t>Seychelles</t>
  </si>
  <si>
    <t>SYC</t>
  </si>
  <si>
    <t>Sierra Leone</t>
  </si>
  <si>
    <t>SLE</t>
  </si>
  <si>
    <t>South Africa</t>
  </si>
  <si>
    <t>ZAF</t>
  </si>
  <si>
    <t>South Sudan</t>
  </si>
  <si>
    <t>SSD</t>
  </si>
  <si>
    <t>Togo</t>
  </si>
  <si>
    <t>UGA</t>
  </si>
  <si>
    <t>Uganda</t>
  </si>
  <si>
    <t>TZA</t>
  </si>
  <si>
    <t>United Republic of Tanzania</t>
  </si>
  <si>
    <t>TGO</t>
  </si>
  <si>
    <t>Zambia</t>
  </si>
  <si>
    <t>ZMB</t>
  </si>
  <si>
    <t>Zimbabwe</t>
  </si>
  <si>
    <t>ZWE</t>
  </si>
  <si>
    <t>varname</t>
  </si>
  <si>
    <t>variable definition</t>
  </si>
  <si>
    <t>Salary per capita</t>
  </si>
  <si>
    <t>Total core cadre training per capita</t>
  </si>
  <si>
    <t>SCI_Infectious diseases</t>
  </si>
  <si>
    <t>SCI_NCD</t>
  </si>
  <si>
    <t>SCI_RMNCH</t>
  </si>
  <si>
    <t>DALYS_2021_Communicable, maternal, perinatal and nutritional conditions per capita 2021</t>
  </si>
  <si>
    <t>DALYS_2021_Noncommunicable diseases per capita (2021)</t>
  </si>
  <si>
    <t>DALYS_2021_Injuries per capita 2021</t>
  </si>
  <si>
    <t>Health_Security_Index_2021</t>
  </si>
  <si>
    <t>HAQ</t>
  </si>
  <si>
    <t>GDP per capita growth (annual %)</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</si>
  <si>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</si>
  <si>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GDP growth (annual %)</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</si>
  <si>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</si>
  <si>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GDP per capita, PPP (constant 2017 international $)</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</si>
  <si>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</si>
  <si>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Density_2023_Medical Doctors</t>
  </si>
  <si>
    <t>Density_2023_Nursing Personnel</t>
  </si>
  <si>
    <t>Density_2023_Midwifery Personnel</t>
  </si>
  <si>
    <t>Density_2023_Dentists</t>
  </si>
  <si>
    <t>Density_2023_Pharmacists</t>
  </si>
  <si>
    <t>Density_2023_Medical and Pathology Laboratory Scientists</t>
  </si>
  <si>
    <t>Density_2023_Medical and Pathology Laboratory Technicians</t>
  </si>
  <si>
    <t>Density_7_cadres_2023</t>
  </si>
  <si>
    <t>Construct</t>
  </si>
  <si>
    <t>Var_code</t>
  </si>
  <si>
    <t>Var_name</t>
  </si>
  <si>
    <t>HRH AVAILABILITY</t>
  </si>
  <si>
    <t>OUTPUT</t>
  </si>
  <si>
    <t>OUTCOME</t>
  </si>
  <si>
    <t>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</si>
</sst>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FF0000"/>
      <name val="Aptos Narrow"/>
      <family val="2"/>
      <scheme val="minor"/>
    </font>
    <font>
      <b/>
      <sz val="11"/>
      <name val="Aptos Narrow"/>
      <family val="2"/>
      <scheme val="minor"/>
    </font>
    <font>
      <sz val="11"/>
      <name val="Aptos Narrow"/>
      <family val="2"/>
      <scheme val="minor"/>
    </font>
    <font>
      <sz val="8"/>
      <name val="Aptos Narrow"/>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tint="-4.9989318521683403E-2"/>
        <bgColor indexed="64"/>
      </patternFill>
    </fill>
  </fills>
  <borders count="4">
    <border>
      <left/>
      <right/>
      <top/>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2" fillId="0" borderId="0" xfId="0" applyFont="1" applyAlignment="1">
      <alignment horizontal="center" vertical="center" wrapText="1"/>
    </xf>
    <xf numFmtId="0" fontId="2" fillId="0" borderId="0" xfId="0" applyFont="1" applyAlignment="1">
      <alignment vertical="center"/>
    </xf>
    <xf numFmtId="43" fontId="2" fillId="0" borderId="0" xfId="1" applyFont="1" applyAlignment="1">
      <alignment horizontal="center" vertical="center" wrapText="1"/>
    </xf>
    <xf numFmtId="0" fontId="2" fillId="0" borderId="0" xfId="0" applyFont="1" applyAlignment="1">
      <alignment horizontal="center" vertical="center"/>
    </xf>
    <xf numFmtId="0" fontId="2" fillId="0" borderId="0" xfId="0" applyFont="1"/>
    <xf numFmtId="164" fontId="1" fillId="0" borderId="0" xfId="1" applyNumberFormat="1" applyFont="1"/>
    <xf numFmtId="43" fontId="0" fillId="0" borderId="0" xfId="1" applyFont="1"/>
    <xf numFmtId="43" fontId="0" fillId="0" borderId="0" xfId="0" applyNumberFormat="1"/>
    <xf numFmtId="0" fontId="2" fillId="2" borderId="0" xfId="0" applyFont="1" applyFill="1" applyAlignment="1">
      <alignment horizontal="center" vertical="center" wrapText="1"/>
    </xf>
    <xf numFmtId="43" fontId="2" fillId="2" borderId="0" xfId="1" applyFont="1" applyFill="1" applyAlignment="1">
      <alignment horizontal="center" vertical="center" wrapText="1"/>
    </xf>
    <xf numFmtId="0" fontId="2" fillId="2" borderId="0" xfId="0" applyFont="1" applyFill="1" applyAlignment="1">
      <alignment horizontal="center" vertical="center"/>
    </xf>
    <xf numFmtId="0" fontId="3" fillId="3" borderId="0" xfId="0" applyFont="1" applyFill="1"/>
    <xf numFmtId="0" fontId="3" fillId="0" borderId="0" xfId="0" applyFont="1" applyAlignment="1">
      <alignment vertical="center" wrapText="1"/>
    </xf>
    <xf numFmtId="0" fontId="3" fillId="4" borderId="0" xfId="0" applyFont="1" applyFill="1"/>
    <xf numFmtId="0" fontId="3" fillId="5" borderId="0" xfId="0" applyFont="1" applyFill="1"/>
    <xf numFmtId="0" fontId="0" fillId="6" borderId="0" xfId="0" applyFill="1" applyAlignment="1">
      <alignment vertical="center" wrapText="1"/>
    </xf>
    <xf numFmtId="0" fontId="0" fillId="0" borderId="0" xfId="0" applyAlignment="1">
      <alignment vertical="center" wrapText="1"/>
    </xf>
    <xf numFmtId="0" fontId="3" fillId="7" borderId="0" xfId="0" applyFont="1" applyFill="1"/>
    <xf numFmtId="0" fontId="0" fillId="5" borderId="0" xfId="0" applyFill="1"/>
    <xf numFmtId="0" fontId="2" fillId="8"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0" borderId="0" xfId="0" applyFont="1"/>
    <xf numFmtId="0" fontId="5" fillId="0" borderId="2" xfId="0" applyFont="1" applyBorder="1"/>
    <xf numFmtId="0" fontId="5" fillId="0" borderId="2" xfId="0" applyFont="1" applyBorder="1" applyAlignment="1">
      <alignment vertical="center" wrapText="1"/>
    </xf>
    <xf numFmtId="0" fontId="5" fillId="0" borderId="0" xfId="0" applyFont="1" applyAlignment="1">
      <alignment vertical="center" wrapText="1"/>
    </xf>
    <xf numFmtId="0" fontId="2" fillId="0" borderId="3" xfId="0" applyFont="1" applyBorder="1" applyAlignment="1">
      <alignment horizontal="center" vertical="center"/>
    </xf>
    <xf numFmtId="0" fontId="5" fillId="0" borderId="3" xfId="0" applyFont="1" applyBorder="1"/>
    <xf numFmtId="0" fontId="2" fillId="0" borderId="0" xfId="0" applyFont="1" applyAlignment="1">
      <alignment horizontal="center" vertical="center" textRotation="90"/>
    </xf>
    <xf numFmtId="0" fontId="2" fillId="0" borderId="2" xfId="0" applyFont="1" applyBorder="1" applyAlignment="1">
      <alignment horizontal="center" textRotation="90"/>
    </xf>
    <xf numFmtId="0" fontId="2" fillId="0" borderId="0" xfId="0" applyFont="1" applyAlignment="1">
      <alignment horizontal="center" textRotation="90"/>
    </xf>
    <xf numFmtId="0" fontId="2" fillId="0" borderId="2" xfId="0" applyFont="1" applyBorder="1" applyAlignment="1">
      <alignment horizontal="center" vertical="center" textRotation="9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healthorg-my.sharepoint.com/personal/kbediakon_who_int/Documents/AFRO%20HWF%20UNIT/HWF%20RETURN%20ON%20INVESTMENT/ROI_MODEL.xlsx" TargetMode="External"/><Relationship Id="rId1" Type="http://schemas.openxmlformats.org/officeDocument/2006/relationships/externalLinkPath" Target="https://worldhealthorg-my.sharepoint.com/personal/kbediakon_who_int/Documents/AFRO%20HWF%20UNIT/HWF%20RETURN%20ON%20INVESTMENT/ROI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M_HWF"/>
      <sheetName val="Sheet5"/>
      <sheetName val="Sheet1"/>
      <sheetName val="SEM_Vars_HWF"/>
      <sheetName val="SEM"/>
      <sheetName val="Model_1"/>
      <sheetName val="Model_2"/>
      <sheetName val="Coef."/>
      <sheetName val="Sheet4"/>
      <sheetName val="SEM_Vars"/>
      <sheetName val="COMBINED"/>
      <sheetName val="Sheet2"/>
      <sheetName val="Variables"/>
      <sheetName val="Tuition and salaries"/>
      <sheetName val="Graduates"/>
      <sheetName val="Salaries_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2F14E-BC5A-4933-AEA0-035394A0AEC3}">
  <sheetPr>
    <tabColor rgb="FF00B0F0"/>
  </sheetPr>
  <dimension ref="A1:AO48"/>
  <sheetViews>
    <sheetView tabSelected="1" zoomScale="136" workbookViewId="0">
      <selection activeCell="AE1" sqref="AE1"/>
    </sheetView>
  </sheetViews>
  <sheetFormatPr defaultRowHeight="14.5" x14ac:dyDescent="0.35"/>
  <cols>
    <col min="3" max="3" width="15.54296875" customWidth="1"/>
    <col min="5" max="5" width="12.26953125" customWidth="1"/>
    <col min="6" max="6" width="13.26953125" customWidth="1"/>
    <col min="7" max="7" width="14.26953125" customWidth="1"/>
    <col min="14" max="15" width="12.453125" bestFit="1" customWidth="1"/>
    <col min="16" max="16" width="11.81640625" bestFit="1" customWidth="1"/>
    <col min="17" max="17" width="10.1796875" bestFit="1" customWidth="1"/>
    <col min="18" max="18" width="10.81640625" bestFit="1" customWidth="1"/>
    <col min="22" max="22" width="11.54296875" customWidth="1"/>
    <col min="31" max="31" width="14.26953125" bestFit="1" customWidth="1"/>
    <col min="32" max="33" width="14.453125" bestFit="1" customWidth="1"/>
    <col min="34" max="34" width="13.26953125" bestFit="1" customWidth="1"/>
  </cols>
  <sheetData>
    <row r="1" spans="1:41" s="2" customFormat="1" ht="43.5" x14ac:dyDescent="0.35">
      <c r="A1" s="1" t="s">
        <v>0</v>
      </c>
      <c r="B1" s="1" t="s">
        <v>1</v>
      </c>
      <c r="C1" s="1" t="s">
        <v>2</v>
      </c>
      <c r="D1" s="11" t="s">
        <v>3</v>
      </c>
      <c r="E1" s="9" t="s">
        <v>4</v>
      </c>
      <c r="F1" s="9" t="s">
        <v>5</v>
      </c>
      <c r="G1" s="10"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4" t="s">
        <v>22</v>
      </c>
      <c r="X1" s="4" t="s">
        <v>23</v>
      </c>
      <c r="Y1" s="4" t="s">
        <v>24</v>
      </c>
      <c r="Z1" s="4" t="s">
        <v>25</v>
      </c>
      <c r="AA1" s="4" t="s">
        <v>26</v>
      </c>
      <c r="AB1" s="4" t="s">
        <v>27</v>
      </c>
      <c r="AC1" s="4" t="s">
        <v>28</v>
      </c>
      <c r="AD1" s="4" t="s">
        <v>29</v>
      </c>
      <c r="AE1" s="2" t="s">
        <v>30</v>
      </c>
      <c r="AF1" s="2" t="s">
        <v>31</v>
      </c>
      <c r="AG1" s="2" t="s">
        <v>32</v>
      </c>
      <c r="AH1" s="2" t="s">
        <v>33</v>
      </c>
      <c r="AI1" s="4" t="s">
        <v>34</v>
      </c>
      <c r="AJ1" s="4" t="s">
        <v>35</v>
      </c>
      <c r="AK1" s="4" t="s">
        <v>36</v>
      </c>
      <c r="AL1" s="4" t="s">
        <v>37</v>
      </c>
      <c r="AM1" s="4" t="s">
        <v>38</v>
      </c>
      <c r="AN1" s="4" t="s">
        <v>39</v>
      </c>
      <c r="AO1" s="4" t="s">
        <v>40</v>
      </c>
    </row>
    <row r="2" spans="1:41" x14ac:dyDescent="0.35">
      <c r="A2" s="5" t="s">
        <v>41</v>
      </c>
      <c r="B2" s="5" t="s">
        <v>42</v>
      </c>
      <c r="C2" s="6">
        <v>46053477</v>
      </c>
      <c r="D2" s="7">
        <v>50.985292597994288</v>
      </c>
      <c r="E2">
        <v>74.94</v>
      </c>
      <c r="F2">
        <v>0.25858506591674785</v>
      </c>
      <c r="G2" s="7">
        <v>3.2999999993960927</v>
      </c>
      <c r="H2">
        <v>61.013029589926525</v>
      </c>
      <c r="I2">
        <v>0.13419182225915322</v>
      </c>
      <c r="J2">
        <v>88.72</v>
      </c>
      <c r="K2">
        <v>82.21</v>
      </c>
      <c r="L2">
        <v>60.71</v>
      </c>
      <c r="M2">
        <v>68.12</v>
      </c>
      <c r="N2">
        <v>5.4826069439724012E-2</v>
      </c>
      <c r="O2">
        <v>0.17657851132276614</v>
      </c>
      <c r="P2">
        <v>2.4002849501539029E-2</v>
      </c>
      <c r="Q2">
        <v>0.26200000000000001</v>
      </c>
      <c r="R2">
        <v>0.58663449999999995</v>
      </c>
      <c r="S2">
        <v>15545.11</v>
      </c>
      <c r="T2">
        <v>28.18</v>
      </c>
      <c r="U2">
        <v>37.36</v>
      </c>
      <c r="V2" s="7">
        <v>3.2999999993960927</v>
      </c>
      <c r="W2" s="7">
        <v>16.396590424649155</v>
      </c>
      <c r="X2" s="7">
        <v>22.750942344700707</v>
      </c>
      <c r="Y2" s="7">
        <v>2.0148315837260236</v>
      </c>
      <c r="Z2" s="7">
        <v>3.5224267648672867</v>
      </c>
      <c r="AA2" s="7">
        <v>2.9622084777659672</v>
      </c>
      <c r="AB2" s="7">
        <v>2.9530886451852485E-2</v>
      </c>
      <c r="AC2" s="7">
        <v>3.3087621158332956</v>
      </c>
      <c r="AD2" s="7">
        <v>50.985292597994288</v>
      </c>
      <c r="AE2" s="8">
        <f t="shared" ref="AE2:AE48" si="0">F2*$C2</f>
        <v>11908741.385740431</v>
      </c>
      <c r="AF2" s="8">
        <f t="shared" ref="AF2:AH17" si="1">N2*$C2</f>
        <v>2524931.1279427325</v>
      </c>
      <c r="AG2" s="8">
        <f t="shared" si="1"/>
        <v>8132054.4098972501</v>
      </c>
      <c r="AH2" s="8">
        <f t="shared" si="1"/>
        <v>1105414.6774535892</v>
      </c>
      <c r="AI2">
        <v>75512.000000000015</v>
      </c>
      <c r="AJ2">
        <v>104776.00000000001</v>
      </c>
      <c r="AK2">
        <v>9279</v>
      </c>
      <c r="AL2">
        <v>16222</v>
      </c>
      <c r="AM2">
        <v>13641.999999999996</v>
      </c>
      <c r="AN2">
        <v>136</v>
      </c>
      <c r="AO2">
        <v>15238</v>
      </c>
    </row>
    <row r="3" spans="1:41" x14ac:dyDescent="0.35">
      <c r="A3" s="5" t="s">
        <v>43</v>
      </c>
      <c r="B3" s="5" t="s">
        <v>44</v>
      </c>
      <c r="C3" s="6">
        <v>36148636</v>
      </c>
      <c r="D3" s="7">
        <v>21.346033637341112</v>
      </c>
      <c r="E3">
        <v>38.854999999999997</v>
      </c>
      <c r="F3">
        <v>0.55586602736035773</v>
      </c>
      <c r="G3" s="7">
        <v>4.423904529447455</v>
      </c>
      <c r="H3">
        <v>18.553569489316274</v>
      </c>
      <c r="I3">
        <v>2.4607173283108108</v>
      </c>
      <c r="J3">
        <v>21.08</v>
      </c>
      <c r="K3">
        <v>36.07</v>
      </c>
      <c r="L3">
        <v>53.76</v>
      </c>
      <c r="M3">
        <v>44.51</v>
      </c>
      <c r="N3">
        <v>0.34291113134334789</v>
      </c>
      <c r="O3">
        <v>0.16924786589235383</v>
      </c>
      <c r="P3">
        <v>4.0767474174770127E-2</v>
      </c>
      <c r="Q3">
        <v>0.29100000000000004</v>
      </c>
      <c r="R3">
        <v>0.2930257</v>
      </c>
      <c r="S3">
        <v>8866.6910000000007</v>
      </c>
      <c r="T3">
        <v>9.49</v>
      </c>
      <c r="U3">
        <v>45</v>
      </c>
      <c r="V3" s="7">
        <v>4.423904529447455</v>
      </c>
      <c r="W3" s="7">
        <v>2.4047933648174165</v>
      </c>
      <c r="X3" s="7">
        <v>18.45657468237529</v>
      </c>
      <c r="Y3" s="7">
        <v>9.1289751569049518E-3</v>
      </c>
      <c r="Z3" s="7">
        <v>7.0265445147086603E-2</v>
      </c>
      <c r="AA3" s="7">
        <v>0.39669546590914251</v>
      </c>
      <c r="AB3" s="7">
        <v>3.5962629405989206E-3</v>
      </c>
      <c r="AC3" s="7">
        <v>4.9794409946754279E-3</v>
      </c>
      <c r="AD3" s="7">
        <v>21.346033637341112</v>
      </c>
      <c r="AE3" s="8">
        <f t="shared" si="0"/>
        <v>20093798.687815614</v>
      </c>
      <c r="AF3" s="8">
        <f t="shared" si="1"/>
        <v>12395769.667278875</v>
      </c>
      <c r="AG3" s="8">
        <f t="shared" si="1"/>
        <v>6118079.4979195138</v>
      </c>
      <c r="AH3" s="8">
        <f t="shared" si="1"/>
        <v>1473688.5845831656</v>
      </c>
      <c r="AI3">
        <v>8693</v>
      </c>
      <c r="AJ3">
        <v>66718</v>
      </c>
      <c r="AK3">
        <v>33</v>
      </c>
      <c r="AL3">
        <v>254</v>
      </c>
      <c r="AM3">
        <v>1434.0000000000002</v>
      </c>
      <c r="AN3">
        <v>13</v>
      </c>
      <c r="AO3">
        <v>17.999999999999996</v>
      </c>
    </row>
    <row r="4" spans="1:41" x14ac:dyDescent="0.35">
      <c r="A4" s="5" t="s">
        <v>45</v>
      </c>
      <c r="B4" s="5" t="s">
        <v>46</v>
      </c>
      <c r="C4" s="6">
        <v>13124347</v>
      </c>
      <c r="D4" s="7">
        <v>11.015405185492277</v>
      </c>
      <c r="E4">
        <v>41.862499999999997</v>
      </c>
      <c r="F4">
        <v>0.54153340249256254</v>
      </c>
      <c r="G4" s="7">
        <v>7.4531156622620074</v>
      </c>
      <c r="H4">
        <v>10.88486024942803</v>
      </c>
      <c r="I4">
        <v>2.827229804271405</v>
      </c>
      <c r="J4">
        <v>16.86</v>
      </c>
      <c r="K4">
        <v>47</v>
      </c>
      <c r="L4">
        <v>60.77</v>
      </c>
      <c r="M4">
        <v>42.82</v>
      </c>
      <c r="N4">
        <v>0.325239308880447</v>
      </c>
      <c r="O4">
        <v>0.1662778788855776</v>
      </c>
      <c r="P4">
        <v>4.7324914602763002E-2</v>
      </c>
      <c r="Q4">
        <v>0.254</v>
      </c>
      <c r="R4">
        <v>0.3140346</v>
      </c>
      <c r="S4">
        <v>3966.8029999999999</v>
      </c>
      <c r="T4">
        <v>4.16</v>
      </c>
      <c r="U4">
        <v>37.6</v>
      </c>
      <c r="V4" s="7">
        <v>7.4531156622620074</v>
      </c>
      <c r="W4" s="7">
        <v>2.3178296032556895</v>
      </c>
      <c r="X4" s="7">
        <v>4.7164251295702559</v>
      </c>
      <c r="Y4" s="7">
        <v>1.8484729183097643</v>
      </c>
      <c r="Z4" s="7">
        <v>5.0288216244206284E-2</v>
      </c>
      <c r="AA4" s="7">
        <v>0.3299211762688079</v>
      </c>
      <c r="AB4" s="7">
        <v>0.50897770380499696</v>
      </c>
      <c r="AC4" s="7">
        <v>1.2434904380385554</v>
      </c>
      <c r="AD4" s="7">
        <v>11.015405185492277</v>
      </c>
      <c r="AE4" s="8">
        <f t="shared" si="0"/>
        <v>7107272.2864030553</v>
      </c>
      <c r="AF4" s="8">
        <f t="shared" si="1"/>
        <v>4268553.5477871681</v>
      </c>
      <c r="AG4" s="8">
        <f t="shared" si="1"/>
        <v>2182288.5809182939</v>
      </c>
      <c r="AH4" s="8">
        <f t="shared" si="1"/>
        <v>621108.60099202883</v>
      </c>
      <c r="AI4">
        <v>3042</v>
      </c>
      <c r="AJ4">
        <v>6190</v>
      </c>
      <c r="AK4">
        <v>2426</v>
      </c>
      <c r="AL4">
        <v>66</v>
      </c>
      <c r="AM4">
        <v>433</v>
      </c>
      <c r="AN4">
        <v>668</v>
      </c>
      <c r="AO4">
        <v>1632</v>
      </c>
    </row>
    <row r="5" spans="1:41" x14ac:dyDescent="0.35">
      <c r="A5" s="5" t="s">
        <v>47</v>
      </c>
      <c r="B5" s="5" t="s">
        <v>48</v>
      </c>
      <c r="C5" s="6">
        <v>2483754</v>
      </c>
      <c r="D5" s="7">
        <v>36.670298266253425</v>
      </c>
      <c r="E5">
        <v>55.85</v>
      </c>
      <c r="F5">
        <v>0.51046946627320211</v>
      </c>
      <c r="G5" s="7">
        <v>-2.9898687946792819</v>
      </c>
      <c r="H5">
        <v>32.040540701695896</v>
      </c>
      <c r="I5">
        <v>6.3942892492573744</v>
      </c>
      <c r="J5">
        <v>43.33</v>
      </c>
      <c r="K5">
        <v>66.05</v>
      </c>
      <c r="L5">
        <v>60.17</v>
      </c>
      <c r="M5">
        <v>53.85</v>
      </c>
      <c r="N5">
        <v>0.2905673858089361</v>
      </c>
      <c r="O5">
        <v>0.16281769439857324</v>
      </c>
      <c r="P5">
        <v>3.6818540319200059E-2</v>
      </c>
      <c r="Q5">
        <v>0.33600000000000002</v>
      </c>
      <c r="R5">
        <v>0.37506129999999999</v>
      </c>
      <c r="S5">
        <v>16749.388999999999</v>
      </c>
      <c r="T5">
        <v>23.79</v>
      </c>
      <c r="U5">
        <v>57.4</v>
      </c>
      <c r="V5" s="7">
        <v>-2.9898687946792819</v>
      </c>
      <c r="W5" s="7">
        <v>3.7886199680000514</v>
      </c>
      <c r="X5" s="7">
        <v>30.135834708268209</v>
      </c>
      <c r="Y5" s="7">
        <v>0</v>
      </c>
      <c r="Z5" s="7">
        <v>0.35832856232944166</v>
      </c>
      <c r="AA5" s="7">
        <v>0.53145359806164372</v>
      </c>
      <c r="AB5" s="7">
        <v>0.60392454325186795</v>
      </c>
      <c r="AC5" s="7">
        <v>1.252136886342206</v>
      </c>
      <c r="AD5" s="7">
        <v>36.670298266253425</v>
      </c>
      <c r="AE5" s="8">
        <f t="shared" si="0"/>
        <v>1267880.5787339308</v>
      </c>
      <c r="AF5" s="8">
        <f t="shared" si="1"/>
        <v>721697.90677248826</v>
      </c>
      <c r="AG5" s="8">
        <f t="shared" si="1"/>
        <v>404399.09973323386</v>
      </c>
      <c r="AH5" s="8">
        <f t="shared" si="1"/>
        <v>91448.19679197442</v>
      </c>
      <c r="AI5">
        <v>941</v>
      </c>
      <c r="AJ5">
        <v>7485</v>
      </c>
      <c r="AK5">
        <v>0</v>
      </c>
      <c r="AL5">
        <v>89</v>
      </c>
      <c r="AM5">
        <v>131.99999999999997</v>
      </c>
      <c r="AN5">
        <v>150</v>
      </c>
      <c r="AO5">
        <v>310.99999999999994</v>
      </c>
    </row>
    <row r="6" spans="1:41" x14ac:dyDescent="0.35">
      <c r="A6" s="5" t="s">
        <v>49</v>
      </c>
      <c r="B6" s="5" t="s">
        <v>50</v>
      </c>
      <c r="C6" s="6">
        <v>22720842</v>
      </c>
      <c r="D6" s="7">
        <v>12.022001649410702</v>
      </c>
      <c r="E6">
        <v>44.977499999999999</v>
      </c>
      <c r="F6">
        <v>0.53931545729379993</v>
      </c>
      <c r="G6" s="7">
        <v>4.9851030062518333</v>
      </c>
      <c r="H6">
        <v>10.935549276298829</v>
      </c>
      <c r="I6">
        <v>3.0043272604069866</v>
      </c>
      <c r="J6">
        <v>14.92</v>
      </c>
      <c r="K6">
        <v>50.01</v>
      </c>
      <c r="L6">
        <v>54.76</v>
      </c>
      <c r="M6">
        <v>60.22</v>
      </c>
      <c r="N6">
        <v>0.30772700766077493</v>
      </c>
      <c r="O6">
        <v>0.16837414140323015</v>
      </c>
      <c r="P6">
        <v>5.9056872943486417E-2</v>
      </c>
      <c r="Q6">
        <v>0.29799999999999999</v>
      </c>
      <c r="R6">
        <v>0.28462350000000003</v>
      </c>
      <c r="S6">
        <v>2508.5279999999998</v>
      </c>
      <c r="T6">
        <v>4.3</v>
      </c>
      <c r="U6">
        <v>0</v>
      </c>
      <c r="V6" s="7">
        <v>4.9851030062518333</v>
      </c>
      <c r="W6" s="7">
        <v>1.4625338268713808</v>
      </c>
      <c r="X6" s="7">
        <v>5.9940560301418406</v>
      </c>
      <c r="Y6" s="7">
        <v>3.6217847912502541</v>
      </c>
      <c r="Z6" s="7">
        <v>5.8536563037584609E-2</v>
      </c>
      <c r="AA6" s="7">
        <v>0.39655220523957696</v>
      </c>
      <c r="AB6" s="7">
        <v>2.640747204703065E-3</v>
      </c>
      <c r="AC6" s="7">
        <v>0.485897485665364</v>
      </c>
      <c r="AD6" s="7">
        <v>12.022001649410702</v>
      </c>
      <c r="AE6" s="8">
        <f t="shared" si="0"/>
        <v>12253701.293330176</v>
      </c>
      <c r="AF6" s="8">
        <f t="shared" si="1"/>
        <v>6991816.7201932566</v>
      </c>
      <c r="AG6" s="8">
        <f t="shared" si="1"/>
        <v>3825602.2637084504</v>
      </c>
      <c r="AH6" s="8">
        <f t="shared" si="1"/>
        <v>1341821.8791630298</v>
      </c>
      <c r="AI6">
        <v>3322.9999999999995</v>
      </c>
      <c r="AJ6">
        <v>13619</v>
      </c>
      <c r="AK6">
        <v>8229</v>
      </c>
      <c r="AL6">
        <v>133</v>
      </c>
      <c r="AM6">
        <v>901</v>
      </c>
      <c r="AN6">
        <v>5.9999999999999991</v>
      </c>
      <c r="AO6">
        <v>1104</v>
      </c>
    </row>
    <row r="7" spans="1:41" x14ac:dyDescent="0.35">
      <c r="A7" s="5" t="s">
        <v>51</v>
      </c>
      <c r="B7" s="5" t="s">
        <v>52</v>
      </c>
      <c r="C7" s="6">
        <v>12999141</v>
      </c>
      <c r="D7" s="7">
        <v>11.321517321798417</v>
      </c>
      <c r="E7">
        <v>48.282499999999999</v>
      </c>
      <c r="F7">
        <v>0.46057152861854272</v>
      </c>
      <c r="G7" s="7">
        <v>3.4892317483896846</v>
      </c>
      <c r="H7">
        <v>9.4270120648741322</v>
      </c>
      <c r="I7">
        <v>3.2873538720750854</v>
      </c>
      <c r="J7">
        <v>13.85</v>
      </c>
      <c r="K7">
        <v>60.47</v>
      </c>
      <c r="L7">
        <v>59.39</v>
      </c>
      <c r="M7">
        <v>59.42</v>
      </c>
      <c r="N7">
        <v>0.25291884815631899</v>
      </c>
      <c r="O7">
        <v>0.1545390833870478</v>
      </c>
      <c r="P7">
        <v>5.1080320762151438E-2</v>
      </c>
      <c r="Q7">
        <v>0.221</v>
      </c>
      <c r="R7">
        <v>0.25839420000000002</v>
      </c>
      <c r="S7">
        <v>879.67</v>
      </c>
      <c r="T7">
        <v>0.9</v>
      </c>
      <c r="U7">
        <v>33.33</v>
      </c>
      <c r="V7" s="7">
        <v>3.4892317483896846</v>
      </c>
      <c r="W7" s="7">
        <v>0.79851430182963623</v>
      </c>
      <c r="X7" s="7">
        <v>8.3643988475853899</v>
      </c>
      <c r="Y7" s="7">
        <v>0.37156301327910818</v>
      </c>
      <c r="Z7" s="7">
        <v>1.0769942413887195E-2</v>
      </c>
      <c r="AA7" s="7">
        <v>9.539091852300087E-2</v>
      </c>
      <c r="AB7" s="7">
        <v>0.98006475966373474</v>
      </c>
      <c r="AC7" s="7">
        <v>0.70081553850365952</v>
      </c>
      <c r="AD7" s="7">
        <v>11.321517321798417</v>
      </c>
      <c r="AE7" s="8">
        <f t="shared" si="0"/>
        <v>5987034.2410979718</v>
      </c>
      <c r="AF7" s="8">
        <f t="shared" si="1"/>
        <v>3287727.7687415807</v>
      </c>
      <c r="AG7" s="8">
        <f t="shared" si="1"/>
        <v>2008875.334958992</v>
      </c>
      <c r="AH7" s="8">
        <f t="shared" si="1"/>
        <v>664000.29191243404</v>
      </c>
      <c r="AI7">
        <v>1038</v>
      </c>
      <c r="AJ7">
        <v>10872.999999999998</v>
      </c>
      <c r="AK7">
        <v>483</v>
      </c>
      <c r="AL7">
        <v>14</v>
      </c>
      <c r="AM7">
        <v>124</v>
      </c>
      <c r="AN7">
        <v>1274</v>
      </c>
      <c r="AO7">
        <v>911</v>
      </c>
    </row>
    <row r="8" spans="1:41" x14ac:dyDescent="0.35">
      <c r="A8" s="5" t="s">
        <v>53</v>
      </c>
      <c r="B8" s="5" t="s">
        <v>54</v>
      </c>
      <c r="C8" s="6">
        <v>573322</v>
      </c>
      <c r="D8" s="7">
        <v>24.00047442798288</v>
      </c>
      <c r="E8">
        <v>72.23</v>
      </c>
      <c r="F8">
        <v>0.28416803571937194</v>
      </c>
      <c r="G8" s="7">
        <v>7.2718814720441145</v>
      </c>
      <c r="H8">
        <v>24.528465242917587</v>
      </c>
      <c r="J8">
        <v>66.2</v>
      </c>
      <c r="K8">
        <v>90.4</v>
      </c>
      <c r="L8">
        <v>56.77</v>
      </c>
      <c r="M8">
        <v>75.55</v>
      </c>
      <c r="N8">
        <v>6.4726853200502851E-2</v>
      </c>
      <c r="O8">
        <v>0.18145936291550335</v>
      </c>
      <c r="P8">
        <v>3.4756189241051116E-2</v>
      </c>
      <c r="Q8">
        <v>0.34100000000000003</v>
      </c>
      <c r="R8">
        <v>0.50242220000000004</v>
      </c>
      <c r="S8">
        <v>10052.799000000001</v>
      </c>
      <c r="T8">
        <v>11.35</v>
      </c>
      <c r="U8">
        <v>52.5</v>
      </c>
      <c r="V8" s="7">
        <v>7.2718814720441145</v>
      </c>
      <c r="W8" s="7">
        <v>6.6454802013528171</v>
      </c>
      <c r="X8" s="7">
        <v>16.378230732467966</v>
      </c>
      <c r="Y8" s="7">
        <v>0.45349733657525787</v>
      </c>
      <c r="Z8" s="7">
        <v>0.13953764202315627</v>
      </c>
      <c r="AA8" s="7">
        <v>0.17442205252894535</v>
      </c>
      <c r="AB8" s="7">
        <v>6.9768821011578136E-2</v>
      </c>
      <c r="AC8" s="7">
        <v>0.13953764202315627</v>
      </c>
      <c r="AD8" s="7">
        <v>24.00047442798288</v>
      </c>
      <c r="AE8" s="8">
        <f t="shared" si="0"/>
        <v>162919.78657470175</v>
      </c>
      <c r="AF8" s="8">
        <f t="shared" si="1"/>
        <v>37109.328930618693</v>
      </c>
      <c r="AG8" s="8">
        <f t="shared" si="1"/>
        <v>104034.64486544221</v>
      </c>
      <c r="AH8" s="8">
        <f t="shared" si="1"/>
        <v>19926.487928057908</v>
      </c>
      <c r="AI8">
        <v>381</v>
      </c>
      <c r="AJ8">
        <v>938.99999999999977</v>
      </c>
      <c r="AK8">
        <v>26</v>
      </c>
      <c r="AL8">
        <v>8</v>
      </c>
      <c r="AM8">
        <v>10.000000000000002</v>
      </c>
      <c r="AN8">
        <v>4</v>
      </c>
      <c r="AO8">
        <v>8</v>
      </c>
    </row>
    <row r="9" spans="1:41" x14ac:dyDescent="0.35">
      <c r="A9" s="5" t="s">
        <v>55</v>
      </c>
      <c r="B9" s="5" t="s">
        <v>56</v>
      </c>
      <c r="C9" s="6">
        <v>28608129</v>
      </c>
      <c r="D9" s="7">
        <v>8.1868338890669854</v>
      </c>
      <c r="E9">
        <v>45.265000000000008</v>
      </c>
      <c r="F9">
        <v>0.5498101903642878</v>
      </c>
      <c r="G9" s="7">
        <v>3.6707428468098442</v>
      </c>
      <c r="H9">
        <v>7.6903690506988429</v>
      </c>
      <c r="I9">
        <v>2.9013854768342244</v>
      </c>
      <c r="J9">
        <v>28.28</v>
      </c>
      <c r="K9">
        <v>56.12</v>
      </c>
      <c r="L9">
        <v>49.14</v>
      </c>
      <c r="M9">
        <v>47.52</v>
      </c>
      <c r="N9">
        <v>0.32608298886421361</v>
      </c>
      <c r="O9">
        <v>0.17512170372939165</v>
      </c>
      <c r="P9">
        <v>4.2805911751659313E-2</v>
      </c>
      <c r="Q9">
        <v>0.28600000000000003</v>
      </c>
      <c r="R9">
        <v>0.33725690000000003</v>
      </c>
      <c r="S9">
        <v>4880.5190000000002</v>
      </c>
      <c r="T9">
        <v>6.23</v>
      </c>
      <c r="U9">
        <v>49</v>
      </c>
      <c r="V9" s="7">
        <v>3.6707428468098442</v>
      </c>
      <c r="W9" s="7">
        <v>1.3150108488395031</v>
      </c>
      <c r="X9" s="7">
        <v>5.7798257271560827</v>
      </c>
      <c r="Y9" s="7">
        <v>0.5847988171473919</v>
      </c>
      <c r="Z9" s="7">
        <v>0.11080766589104796</v>
      </c>
      <c r="AA9" s="7">
        <v>0.21042969989404062</v>
      </c>
      <c r="AB9" s="7">
        <v>0.10241844197500648</v>
      </c>
      <c r="AC9" s="7">
        <v>8.3542688163913137E-2</v>
      </c>
      <c r="AD9" s="7">
        <v>8.1868338890669854</v>
      </c>
      <c r="AE9" s="8">
        <f t="shared" si="0"/>
        <v>15729040.851456102</v>
      </c>
      <c r="AF9" s="8">
        <f t="shared" si="1"/>
        <v>9328624.2101329863</v>
      </c>
      <c r="AG9" s="8">
        <f t="shared" si="1"/>
        <v>5009904.2909902176</v>
      </c>
      <c r="AH9" s="8">
        <f t="shared" si="1"/>
        <v>1224597.0453540855</v>
      </c>
      <c r="AI9">
        <v>3762.0000000000009</v>
      </c>
      <c r="AJ9">
        <v>16535.000000000004</v>
      </c>
      <c r="AK9">
        <v>1673</v>
      </c>
      <c r="AL9">
        <v>317</v>
      </c>
      <c r="AM9">
        <v>602</v>
      </c>
      <c r="AN9">
        <v>293</v>
      </c>
      <c r="AO9">
        <v>239</v>
      </c>
    </row>
    <row r="10" spans="1:41" x14ac:dyDescent="0.35">
      <c r="A10" s="5" t="s">
        <v>57</v>
      </c>
      <c r="B10" s="5" t="s">
        <v>58</v>
      </c>
      <c r="C10" s="6">
        <v>5119136</v>
      </c>
      <c r="D10" s="7">
        <v>12.601735917936152</v>
      </c>
      <c r="E10">
        <v>34.347499999999997</v>
      </c>
      <c r="F10">
        <v>0.83557862180849396</v>
      </c>
      <c r="G10" s="7">
        <v>1.539632474828494</v>
      </c>
      <c r="H10">
        <v>10.51026065922062</v>
      </c>
      <c r="I10">
        <v>7.243409825408037E-2</v>
      </c>
      <c r="J10">
        <v>16.760000000000002</v>
      </c>
      <c r="K10">
        <v>38.69</v>
      </c>
      <c r="L10">
        <v>43.77</v>
      </c>
      <c r="M10">
        <v>38.17</v>
      </c>
      <c r="N10">
        <v>0.58633455797762413</v>
      </c>
      <c r="O10">
        <v>0.16570338837932277</v>
      </c>
      <c r="P10">
        <v>7.5570310126372137E-2</v>
      </c>
      <c r="Q10">
        <v>0.18600000000000003</v>
      </c>
      <c r="R10">
        <v>0.15160310000000002</v>
      </c>
      <c r="S10">
        <v>1145.1610000000001</v>
      </c>
      <c r="T10">
        <v>1.57</v>
      </c>
      <c r="U10">
        <v>59.27</v>
      </c>
      <c r="V10" s="7">
        <v>1.539632474828494</v>
      </c>
      <c r="W10" s="7">
        <v>0.74817312921555512</v>
      </c>
      <c r="X10" s="7">
        <v>7.3371756483906667</v>
      </c>
      <c r="Y10" s="7">
        <v>3.7057034624592897</v>
      </c>
      <c r="Z10" s="7">
        <v>5.8603639364142703E-3</v>
      </c>
      <c r="AA10" s="7">
        <v>2.5394910391128504E-2</v>
      </c>
      <c r="AB10" s="7">
        <v>0.21878692029279939</v>
      </c>
      <c r="AC10" s="7">
        <v>0.5606414832502985</v>
      </c>
      <c r="AD10" s="7">
        <v>12.601735917936152</v>
      </c>
      <c r="AE10" s="8">
        <f t="shared" si="0"/>
        <v>4277440.6037302464</v>
      </c>
      <c r="AF10" s="8">
        <f t="shared" si="1"/>
        <v>3001526.3437873428</v>
      </c>
      <c r="AG10" s="8">
        <f t="shared" si="1"/>
        <v>848258.18077457289</v>
      </c>
      <c r="AH10" s="8">
        <f t="shared" si="1"/>
        <v>386854.69509907614</v>
      </c>
      <c r="AI10">
        <v>383</v>
      </c>
      <c r="AJ10">
        <v>3756.0000000000009</v>
      </c>
      <c r="AK10">
        <v>1897</v>
      </c>
      <c r="AL10">
        <v>3.0000000000000004</v>
      </c>
      <c r="AM10">
        <v>13</v>
      </c>
      <c r="AN10">
        <v>112</v>
      </c>
      <c r="AO10">
        <v>287</v>
      </c>
    </row>
    <row r="11" spans="1:41" x14ac:dyDescent="0.35">
      <c r="A11" s="5" t="s">
        <v>59</v>
      </c>
      <c r="B11" s="5" t="s">
        <v>60</v>
      </c>
      <c r="C11" s="6">
        <v>17921183</v>
      </c>
      <c r="D11" s="7">
        <v>3.9701620144161245</v>
      </c>
      <c r="E11">
        <v>34.814999999999998</v>
      </c>
      <c r="F11">
        <v>0.72291647714166141</v>
      </c>
      <c r="G11" s="7">
        <v>3.6544511046340489</v>
      </c>
      <c r="H11">
        <v>3.975771554255096</v>
      </c>
      <c r="I11">
        <v>4.1133941883189298</v>
      </c>
      <c r="J11">
        <v>10.76</v>
      </c>
      <c r="K11">
        <v>41.09</v>
      </c>
      <c r="L11">
        <v>58.54</v>
      </c>
      <c r="M11">
        <v>28.87</v>
      </c>
      <c r="N11">
        <v>0.50936099410263569</v>
      </c>
      <c r="O11">
        <v>0.15067298815289831</v>
      </c>
      <c r="P11">
        <v>5.6395952595388391E-2</v>
      </c>
      <c r="Q11">
        <v>0.23899999999999999</v>
      </c>
      <c r="R11">
        <v>0.23751449999999999</v>
      </c>
      <c r="S11">
        <v>2588.8200000000002</v>
      </c>
      <c r="T11">
        <v>3.29</v>
      </c>
      <c r="U11">
        <v>36.9</v>
      </c>
      <c r="V11" s="7">
        <v>3.6544511046340489</v>
      </c>
      <c r="W11" s="7">
        <v>0.91567615820897541</v>
      </c>
      <c r="X11" s="7">
        <v>1.3263633321527937</v>
      </c>
      <c r="Y11" s="7">
        <v>0.4715090516066936</v>
      </c>
      <c r="Z11" s="7">
        <v>7.2539854093337476E-3</v>
      </c>
      <c r="AA11" s="7">
        <v>9.0953817055492367E-2</v>
      </c>
      <c r="AB11" s="7">
        <v>0.57362284621500714</v>
      </c>
      <c r="AC11" s="7">
        <v>0.58478282376782831</v>
      </c>
      <c r="AD11" s="7">
        <v>3.9701620144161245</v>
      </c>
      <c r="AE11" s="8">
        <f t="shared" si="0"/>
        <v>12955518.480571032</v>
      </c>
      <c r="AF11" s="8">
        <f t="shared" si="1"/>
        <v>9128351.5883752555</v>
      </c>
      <c r="AG11" s="8">
        <f t="shared" si="1"/>
        <v>2700238.1938449228</v>
      </c>
      <c r="AH11" s="8">
        <f t="shared" si="1"/>
        <v>1010682.1869212803</v>
      </c>
      <c r="AI11">
        <v>1641</v>
      </c>
      <c r="AJ11">
        <v>2377</v>
      </c>
      <c r="AK11">
        <v>845</v>
      </c>
      <c r="AL11">
        <v>13</v>
      </c>
      <c r="AM11">
        <v>162.99999999999997</v>
      </c>
      <c r="AN11">
        <v>1028</v>
      </c>
      <c r="AO11">
        <v>1048</v>
      </c>
    </row>
    <row r="12" spans="1:41" x14ac:dyDescent="0.35">
      <c r="A12" s="5" t="s">
        <v>61</v>
      </c>
      <c r="B12" s="5" t="s">
        <v>62</v>
      </c>
      <c r="C12" s="6">
        <v>926492</v>
      </c>
      <c r="D12" s="7">
        <v>21.306174257306051</v>
      </c>
      <c r="E12">
        <v>48.652499999999989</v>
      </c>
      <c r="F12">
        <v>0.39984340446251848</v>
      </c>
      <c r="G12" s="7">
        <v>3.3887835062683962</v>
      </c>
      <c r="H12">
        <v>20.789888741618917</v>
      </c>
      <c r="I12">
        <v>0.92989469957646698</v>
      </c>
      <c r="J12">
        <v>37.44</v>
      </c>
      <c r="K12">
        <v>51.48</v>
      </c>
      <c r="L12">
        <v>56.05</v>
      </c>
      <c r="M12">
        <v>49.64</v>
      </c>
      <c r="N12">
        <v>0.18043054077648474</v>
      </c>
      <c r="O12">
        <v>0.17489083430940955</v>
      </c>
      <c r="P12">
        <v>3.9609689235262514E-2</v>
      </c>
      <c r="Q12">
        <v>0.249</v>
      </c>
      <c r="R12">
        <v>0.31806439999999997</v>
      </c>
      <c r="S12">
        <v>3392.3159999999998</v>
      </c>
      <c r="T12">
        <v>6.02</v>
      </c>
      <c r="U12">
        <v>55.92</v>
      </c>
      <c r="V12" s="7">
        <v>3.3887835062683962</v>
      </c>
      <c r="W12" s="7">
        <v>3.8208640765381676</v>
      </c>
      <c r="X12" s="7">
        <v>8.472820056730118</v>
      </c>
      <c r="Y12" s="7">
        <v>6.3249331888456668</v>
      </c>
      <c r="Z12" s="7">
        <v>0.34538884307689649</v>
      </c>
      <c r="AA12" s="7">
        <v>0.43173605384612063</v>
      </c>
      <c r="AB12" s="7">
        <v>1.7377376167306355</v>
      </c>
      <c r="AC12" s="7">
        <v>0.17269442153844825</v>
      </c>
      <c r="AD12" s="7">
        <v>21.306174257306051</v>
      </c>
      <c r="AE12" s="8">
        <f t="shared" si="0"/>
        <v>370451.71548728767</v>
      </c>
      <c r="AF12" s="8">
        <f t="shared" si="1"/>
        <v>167167.4525850869</v>
      </c>
      <c r="AG12" s="8">
        <f t="shared" si="1"/>
        <v>162034.95886099347</v>
      </c>
      <c r="AH12" s="8">
        <f t="shared" si="1"/>
        <v>36698.060198956839</v>
      </c>
      <c r="AI12">
        <v>354</v>
      </c>
      <c r="AJ12">
        <v>785</v>
      </c>
      <c r="AK12">
        <v>585.99999999999989</v>
      </c>
      <c r="AL12">
        <v>32</v>
      </c>
      <c r="AM12">
        <v>40</v>
      </c>
      <c r="AN12">
        <v>161</v>
      </c>
      <c r="AO12">
        <v>16</v>
      </c>
    </row>
    <row r="13" spans="1:41" x14ac:dyDescent="0.35">
      <c r="A13" s="5" t="s">
        <v>63</v>
      </c>
      <c r="B13" s="5" t="s">
        <v>64</v>
      </c>
      <c r="C13" s="6">
        <v>5940746</v>
      </c>
      <c r="D13" s="7">
        <v>15.055348267709141</v>
      </c>
      <c r="E13">
        <v>42.327500000000001</v>
      </c>
      <c r="F13">
        <v>0.45539964839499342</v>
      </c>
      <c r="G13" s="7">
        <v>2.5796663953513814</v>
      </c>
      <c r="H13">
        <v>13.271802888054802</v>
      </c>
      <c r="I13">
        <v>0.42558796487848494</v>
      </c>
      <c r="J13">
        <v>28.57</v>
      </c>
      <c r="K13">
        <v>36.21</v>
      </c>
      <c r="L13">
        <v>52.47</v>
      </c>
      <c r="M13">
        <v>52.06</v>
      </c>
      <c r="N13">
        <v>0.27170786700174843</v>
      </c>
      <c r="O13">
        <v>0.15151453240979784</v>
      </c>
      <c r="P13">
        <v>2.7856400828118095E-2</v>
      </c>
      <c r="Q13">
        <v>0.26300000000000001</v>
      </c>
      <c r="R13">
        <v>0.33953130000000004</v>
      </c>
      <c r="S13">
        <v>5622.1610000000001</v>
      </c>
      <c r="T13">
        <v>7.57</v>
      </c>
      <c r="U13">
        <v>41.9</v>
      </c>
      <c r="V13" s="7">
        <v>2.5796663953513814</v>
      </c>
      <c r="W13" s="7">
        <v>1.7539884721548438</v>
      </c>
      <c r="X13" s="7">
        <v>9.3809767325517708</v>
      </c>
      <c r="Y13" s="7">
        <v>2.0031154336509251</v>
      </c>
      <c r="Z13" s="7">
        <v>1.6832902803789289E-2</v>
      </c>
      <c r="AA13" s="7">
        <v>5.3865288972125724E-2</v>
      </c>
      <c r="AB13" s="7">
        <v>0.53865288972125724</v>
      </c>
      <c r="AC13" s="7">
        <v>1.3079165478544277</v>
      </c>
      <c r="AD13" s="7">
        <v>15.055348267709141</v>
      </c>
      <c r="AE13" s="8">
        <f t="shared" si="0"/>
        <v>2705413.6396039636</v>
      </c>
      <c r="AF13" s="8">
        <f t="shared" si="1"/>
        <v>1614147.4240591689</v>
      </c>
      <c r="AG13" s="8">
        <f t="shared" si="1"/>
        <v>900109.35235537693</v>
      </c>
      <c r="AH13" s="8">
        <f t="shared" si="1"/>
        <v>165487.80179403926</v>
      </c>
      <c r="AI13">
        <v>1042</v>
      </c>
      <c r="AJ13">
        <v>5573</v>
      </c>
      <c r="AK13">
        <v>1189.9999999999998</v>
      </c>
      <c r="AL13">
        <v>10</v>
      </c>
      <c r="AM13">
        <v>32</v>
      </c>
      <c r="AN13">
        <v>320</v>
      </c>
      <c r="AO13">
        <v>777</v>
      </c>
    </row>
    <row r="14" spans="1:41" x14ac:dyDescent="0.35">
      <c r="A14" s="5" t="s">
        <v>65</v>
      </c>
      <c r="B14" s="5" t="s">
        <v>66</v>
      </c>
      <c r="C14" s="6">
        <v>28444206</v>
      </c>
      <c r="D14" s="7">
        <v>11.257477181820439</v>
      </c>
      <c r="E14">
        <v>46.805</v>
      </c>
      <c r="F14">
        <v>0.5078316369366449</v>
      </c>
      <c r="G14" s="7">
        <v>5.9500000000203102</v>
      </c>
      <c r="H14">
        <v>10.770365265601015</v>
      </c>
      <c r="I14">
        <v>1.3951259704700494</v>
      </c>
      <c r="J14">
        <v>19.16</v>
      </c>
      <c r="K14">
        <v>58.23</v>
      </c>
      <c r="L14">
        <v>58.65</v>
      </c>
      <c r="M14">
        <v>51.18</v>
      </c>
      <c r="N14">
        <v>0.29631260176667984</v>
      </c>
      <c r="O14">
        <v>0.16206600409758018</v>
      </c>
      <c r="P14">
        <v>4.5583166487203272E-2</v>
      </c>
      <c r="Q14">
        <v>0.312</v>
      </c>
      <c r="R14">
        <v>0.34320339999999999</v>
      </c>
      <c r="S14">
        <v>6726.0720000000001</v>
      </c>
      <c r="T14">
        <v>8.59</v>
      </c>
      <c r="U14">
        <v>45.6</v>
      </c>
      <c r="V14" s="7">
        <v>5.9500000000203102</v>
      </c>
      <c r="W14" s="7">
        <v>1.8172417960972438</v>
      </c>
      <c r="X14" s="7">
        <v>5.6475473423304559</v>
      </c>
      <c r="Y14" s="7">
        <v>3.0403379865832783</v>
      </c>
      <c r="Z14" s="7">
        <v>0.14941531502057045</v>
      </c>
      <c r="AA14" s="7">
        <v>0.42820671457659953</v>
      </c>
      <c r="AB14" s="7">
        <v>0.17472802721229061</v>
      </c>
      <c r="AC14" s="7">
        <v>0</v>
      </c>
      <c r="AD14" s="7">
        <v>11.257477181820439</v>
      </c>
      <c r="AE14" s="8">
        <f t="shared" si="0"/>
        <v>14444867.694343137</v>
      </c>
      <c r="AF14" s="8">
        <f t="shared" si="1"/>
        <v>8428376.6850474048</v>
      </c>
      <c r="AG14" s="8">
        <f t="shared" si="1"/>
        <v>4609838.8061484145</v>
      </c>
      <c r="AH14" s="8">
        <f t="shared" si="1"/>
        <v>1296576.9776943063</v>
      </c>
      <c r="AI14">
        <v>5169</v>
      </c>
      <c r="AJ14">
        <v>16064</v>
      </c>
      <c r="AK14">
        <v>8648</v>
      </c>
      <c r="AL14">
        <v>425</v>
      </c>
      <c r="AM14">
        <v>1218</v>
      </c>
      <c r="AN14">
        <v>497</v>
      </c>
      <c r="AO14">
        <v>0</v>
      </c>
    </row>
    <row r="15" spans="1:41" x14ac:dyDescent="0.35">
      <c r="A15" s="5" t="s">
        <v>67</v>
      </c>
      <c r="B15" s="5" t="s">
        <v>68</v>
      </c>
      <c r="C15" s="6">
        <v>98151951</v>
      </c>
      <c r="D15" s="7">
        <v>15.093434057158985</v>
      </c>
      <c r="E15">
        <v>43.865000000000002</v>
      </c>
      <c r="F15">
        <v>0.61083886137873322</v>
      </c>
      <c r="G15" s="7">
        <v>6.675930289867793</v>
      </c>
      <c r="H15">
        <v>13.539166857722474</v>
      </c>
      <c r="I15">
        <v>6.893247919239017</v>
      </c>
      <c r="J15">
        <v>24.44</v>
      </c>
      <c r="K15">
        <v>48.21</v>
      </c>
      <c r="L15">
        <v>59.59</v>
      </c>
      <c r="M15">
        <v>43.22</v>
      </c>
      <c r="N15">
        <v>0.39012942784630578</v>
      </c>
      <c r="O15">
        <v>0.16891107812394099</v>
      </c>
      <c r="P15">
        <v>4.7809794046407894E-2</v>
      </c>
      <c r="Q15">
        <v>0.26100000000000001</v>
      </c>
      <c r="R15">
        <v>0.29041299999999998</v>
      </c>
      <c r="S15">
        <v>1592.4770000000001</v>
      </c>
      <c r="T15">
        <v>2.41</v>
      </c>
      <c r="U15">
        <v>41.64</v>
      </c>
      <c r="V15" s="7">
        <v>6.675930289867793</v>
      </c>
      <c r="W15" s="7">
        <v>2.1690857678417417</v>
      </c>
      <c r="X15" s="7">
        <v>11.748722142059101</v>
      </c>
      <c r="Y15" s="7">
        <v>0.43728117029482172</v>
      </c>
      <c r="Z15" s="7">
        <v>4.5949163048221019E-2</v>
      </c>
      <c r="AA15" s="7">
        <v>9.4547280063745243E-2</v>
      </c>
      <c r="AB15" s="7">
        <v>0.29892426692567731</v>
      </c>
      <c r="AC15" s="7">
        <v>0.29892426692567731</v>
      </c>
      <c r="AD15" s="7">
        <v>15.093434057158985</v>
      </c>
      <c r="AE15" s="8">
        <f t="shared" si="0"/>
        <v>59955025.990941219</v>
      </c>
      <c r="AF15" s="8">
        <f t="shared" si="1"/>
        <v>38291964.485628642</v>
      </c>
      <c r="AG15" s="8">
        <f t="shared" si="1"/>
        <v>16578951.863378229</v>
      </c>
      <c r="AH15" s="8">
        <f t="shared" si="1"/>
        <v>4692624.5625631195</v>
      </c>
      <c r="AI15">
        <v>21290</v>
      </c>
      <c r="AJ15">
        <v>115316</v>
      </c>
      <c r="AK15">
        <v>4292</v>
      </c>
      <c r="AL15">
        <v>451</v>
      </c>
      <c r="AM15">
        <v>928</v>
      </c>
      <c r="AN15">
        <v>2934</v>
      </c>
      <c r="AO15">
        <v>2934</v>
      </c>
    </row>
    <row r="16" spans="1:41" x14ac:dyDescent="0.35">
      <c r="A16" s="5" t="s">
        <v>69</v>
      </c>
      <c r="B16" s="5" t="s">
        <v>70</v>
      </c>
      <c r="C16" s="6">
        <v>1543389</v>
      </c>
      <c r="D16" s="7">
        <v>20.280046054494363</v>
      </c>
      <c r="E16">
        <v>45.900000000000006</v>
      </c>
      <c r="F16">
        <v>0.58306554041901237</v>
      </c>
      <c r="G16" s="7">
        <v>0.90724824598673592</v>
      </c>
      <c r="H16">
        <v>17.115683712920074</v>
      </c>
      <c r="I16">
        <v>23.864221204116397</v>
      </c>
      <c r="J16">
        <v>41.09</v>
      </c>
      <c r="K16">
        <v>43.59</v>
      </c>
      <c r="L16">
        <v>50.27</v>
      </c>
      <c r="M16">
        <v>48.65</v>
      </c>
      <c r="N16">
        <v>0.37725803356263643</v>
      </c>
      <c r="O16">
        <v>0.17062503821141639</v>
      </c>
      <c r="P16">
        <v>3.1497727378208405E-2</v>
      </c>
      <c r="Q16">
        <v>0.17399999999999999</v>
      </c>
      <c r="R16">
        <v>0.42420960000000002</v>
      </c>
      <c r="S16">
        <v>18565.41</v>
      </c>
      <c r="T16">
        <v>18.850000000000001</v>
      </c>
      <c r="U16">
        <v>50.2</v>
      </c>
      <c r="V16" s="7">
        <v>0.90724824598673592</v>
      </c>
      <c r="W16" s="7">
        <v>1.7817931837015812</v>
      </c>
      <c r="X16" s="7">
        <v>15.893595198618105</v>
      </c>
      <c r="Y16" s="7">
        <v>0.16846044645905858</v>
      </c>
      <c r="Z16" s="7">
        <v>0</v>
      </c>
      <c r="AA16" s="7">
        <v>9.0709471170262332E-2</v>
      </c>
      <c r="AB16" s="7">
        <v>0.86821922405822516</v>
      </c>
      <c r="AC16" s="7">
        <v>1.4772685304871294</v>
      </c>
      <c r="AD16" s="7">
        <v>20.280046054494363</v>
      </c>
      <c r="AE16" s="8">
        <f t="shared" si="0"/>
        <v>899896.94136175909</v>
      </c>
      <c r="AF16" s="8">
        <f t="shared" si="1"/>
        <v>582255.89916220389</v>
      </c>
      <c r="AG16" s="8">
        <f t="shared" si="1"/>
        <v>263340.80710007972</v>
      </c>
      <c r="AH16" s="8">
        <f t="shared" si="1"/>
        <v>48613.245960525695</v>
      </c>
      <c r="AI16">
        <v>275</v>
      </c>
      <c r="AJ16">
        <v>2452.9999999999995</v>
      </c>
      <c r="AK16">
        <v>25.999999999999996</v>
      </c>
      <c r="AL16">
        <v>0</v>
      </c>
      <c r="AM16">
        <v>14</v>
      </c>
      <c r="AN16">
        <v>134</v>
      </c>
      <c r="AO16">
        <v>228</v>
      </c>
    </row>
    <row r="17" spans="1:41" x14ac:dyDescent="0.35">
      <c r="A17" s="5" t="s">
        <v>71</v>
      </c>
      <c r="B17" s="5" t="s">
        <v>72</v>
      </c>
      <c r="C17" s="6">
        <v>3727656</v>
      </c>
      <c r="D17" s="7">
        <v>17.44527928542762</v>
      </c>
      <c r="E17">
        <v>46.045000000000002</v>
      </c>
      <c r="F17">
        <v>0.43861376693852167</v>
      </c>
      <c r="G17" s="7"/>
      <c r="H17">
        <v>14.517287311382807</v>
      </c>
      <c r="I17">
        <v>2.6869968688097829</v>
      </c>
      <c r="J17">
        <v>35.700000000000003</v>
      </c>
      <c r="K17">
        <v>36.43</v>
      </c>
      <c r="L17">
        <v>60.09</v>
      </c>
      <c r="M17">
        <v>51.96</v>
      </c>
      <c r="N17">
        <v>0.18328272635143175</v>
      </c>
      <c r="O17">
        <v>0.20161049336352013</v>
      </c>
      <c r="P17">
        <v>4.9832601104196059E-2</v>
      </c>
      <c r="Q17">
        <v>0.214</v>
      </c>
      <c r="R17">
        <v>0.2559651</v>
      </c>
      <c r="S17">
        <v>650</v>
      </c>
      <c r="T17">
        <v>2.78</v>
      </c>
      <c r="U17">
        <v>0</v>
      </c>
      <c r="V17" s="7"/>
      <c r="W17" s="7">
        <v>0.80211264129522675</v>
      </c>
      <c r="X17" s="7">
        <v>13.933689160158554</v>
      </c>
      <c r="Y17" s="7">
        <v>0.17973761527351237</v>
      </c>
      <c r="Z17" s="7">
        <v>0.17973761527351237</v>
      </c>
      <c r="AA17" s="7">
        <v>0.6143270730990199</v>
      </c>
      <c r="AB17" s="7">
        <v>0.91210133123871939</v>
      </c>
      <c r="AC17" s="7">
        <v>0.82357384908907905</v>
      </c>
      <c r="AD17" s="7">
        <v>17.44527928542762</v>
      </c>
      <c r="AE17" s="8">
        <f t="shared" si="0"/>
        <v>1635001.2400109819</v>
      </c>
      <c r="AF17" s="8">
        <f t="shared" si="1"/>
        <v>683214.95458027266</v>
      </c>
      <c r="AG17" s="8">
        <f t="shared" si="1"/>
        <v>751534.56524948601</v>
      </c>
      <c r="AH17" s="8">
        <f t="shared" si="1"/>
        <v>185758.79450166307</v>
      </c>
      <c r="AI17">
        <v>298.99999999999994</v>
      </c>
      <c r="AJ17">
        <v>5193.9999999999991</v>
      </c>
      <c r="AK17">
        <v>67</v>
      </c>
      <c r="AL17">
        <v>67</v>
      </c>
      <c r="AM17">
        <v>229</v>
      </c>
      <c r="AN17">
        <v>340</v>
      </c>
      <c r="AO17">
        <v>307</v>
      </c>
    </row>
    <row r="18" spans="1:41" x14ac:dyDescent="0.35">
      <c r="A18" s="5" t="s">
        <v>73</v>
      </c>
      <c r="B18" s="5" t="s">
        <v>74</v>
      </c>
      <c r="C18" s="6">
        <v>1197512</v>
      </c>
      <c r="D18" s="7">
        <v>50.137284636813654</v>
      </c>
      <c r="E18">
        <v>58.3125</v>
      </c>
      <c r="F18">
        <v>0.71206086397362212</v>
      </c>
      <c r="G18" s="7">
        <v>2.6407046161200043</v>
      </c>
      <c r="H18">
        <v>43.650797545243812</v>
      </c>
      <c r="I18">
        <v>4.3127442564249874</v>
      </c>
      <c r="J18">
        <v>32.979999999999997</v>
      </c>
      <c r="K18">
        <v>65.08</v>
      </c>
      <c r="L18">
        <v>62</v>
      </c>
      <c r="M18">
        <v>73.19</v>
      </c>
      <c r="N18">
        <v>0.38181597001458345</v>
      </c>
      <c r="O18">
        <v>0.23565534232671201</v>
      </c>
      <c r="P18">
        <v>7.5562409677964362E-2</v>
      </c>
      <c r="Q18">
        <v>0.29299999999999998</v>
      </c>
      <c r="R18">
        <v>0.32523240000000003</v>
      </c>
      <c r="S18">
        <v>11315.553</v>
      </c>
      <c r="T18">
        <v>24.95</v>
      </c>
      <c r="U18">
        <v>63.7</v>
      </c>
      <c r="V18" s="7">
        <v>2.6407046161200043</v>
      </c>
      <c r="W18" s="7">
        <v>5.72019320056918</v>
      </c>
      <c r="X18" s="7">
        <v>43.774091616618456</v>
      </c>
      <c r="Y18" s="7">
        <v>0</v>
      </c>
      <c r="Z18" s="7">
        <v>0.29227264528455665</v>
      </c>
      <c r="AA18" s="7">
        <v>0.350727174341468</v>
      </c>
      <c r="AB18" s="7">
        <v>0</v>
      </c>
      <c r="AC18" s="7">
        <v>0</v>
      </c>
      <c r="AD18" s="7">
        <v>50.137284636813654</v>
      </c>
      <c r="AE18" s="8">
        <f t="shared" si="0"/>
        <v>852701.42933878012</v>
      </c>
      <c r="AF18" s="8">
        <f t="shared" ref="AF18:AH48" si="2">N18*$C18</f>
        <v>457229.20588410384</v>
      </c>
      <c r="AG18" s="8">
        <f t="shared" si="2"/>
        <v>282200.10030034557</v>
      </c>
      <c r="AH18" s="8">
        <f t="shared" si="2"/>
        <v>90486.892338278456</v>
      </c>
      <c r="AI18">
        <v>685</v>
      </c>
      <c r="AJ18">
        <v>5242</v>
      </c>
      <c r="AK18">
        <v>0</v>
      </c>
      <c r="AL18">
        <v>35</v>
      </c>
      <c r="AM18">
        <v>42</v>
      </c>
      <c r="AN18">
        <v>0</v>
      </c>
      <c r="AO18">
        <v>0</v>
      </c>
    </row>
    <row r="19" spans="1:41" x14ac:dyDescent="0.35">
      <c r="A19" s="5" t="s">
        <v>75</v>
      </c>
      <c r="B19" s="5" t="s">
        <v>76</v>
      </c>
      <c r="C19" s="6">
        <v>123771387</v>
      </c>
      <c r="D19" s="7">
        <v>19.35794740669748</v>
      </c>
      <c r="E19">
        <v>37.582500000000003</v>
      </c>
      <c r="F19">
        <v>0.38864962867377678</v>
      </c>
      <c r="G19" s="7">
        <v>7.316691128483825</v>
      </c>
      <c r="H19">
        <v>17.313518936569729</v>
      </c>
      <c r="I19">
        <v>1.8644829681031205</v>
      </c>
      <c r="J19">
        <v>20.87</v>
      </c>
      <c r="K19">
        <v>29.04</v>
      </c>
      <c r="L19">
        <v>52.49</v>
      </c>
      <c r="M19">
        <v>47.93</v>
      </c>
      <c r="N19">
        <v>0.20396757926685294</v>
      </c>
      <c r="O19">
        <v>0.13963053062677852</v>
      </c>
      <c r="P19">
        <v>4.1155728503339851E-2</v>
      </c>
      <c r="Q19">
        <v>0.37799999999999995</v>
      </c>
      <c r="R19">
        <v>0.31205269999999996</v>
      </c>
      <c r="S19">
        <v>3591.681</v>
      </c>
      <c r="T19">
        <v>4.7</v>
      </c>
      <c r="U19">
        <v>30.98</v>
      </c>
      <c r="V19" s="7">
        <v>7.316691128483825</v>
      </c>
      <c r="W19" s="7">
        <v>1.4876620878458768</v>
      </c>
      <c r="X19" s="7">
        <v>10.60519746781217</v>
      </c>
      <c r="Y19" s="7">
        <v>1.7770666171818854</v>
      </c>
      <c r="Z19" s="7">
        <v>0.28455688227845422</v>
      </c>
      <c r="AA19" s="7">
        <v>1.5290286760703424</v>
      </c>
      <c r="AB19" s="7">
        <v>1.9194258524387386</v>
      </c>
      <c r="AC19" s="7">
        <v>1.7550098230700122</v>
      </c>
      <c r="AD19" s="7">
        <v>19.35794740669748</v>
      </c>
      <c r="AE19" s="8">
        <f t="shared" si="0"/>
        <v>48103703.597988322</v>
      </c>
      <c r="AF19" s="8">
        <f t="shared" si="2"/>
        <v>25245350.18889083</v>
      </c>
      <c r="AG19" s="8">
        <f t="shared" si="2"/>
        <v>17282264.443222355</v>
      </c>
      <c r="AH19" s="8">
        <f t="shared" si="2"/>
        <v>5093901.5998538071</v>
      </c>
      <c r="AI19">
        <v>18413.000000000004</v>
      </c>
      <c r="AJ19">
        <v>131262.00000000003</v>
      </c>
      <c r="AK19">
        <v>21995</v>
      </c>
      <c r="AL19">
        <v>3522</v>
      </c>
      <c r="AM19">
        <v>18925</v>
      </c>
      <c r="AN19">
        <v>23757</v>
      </c>
      <c r="AO19">
        <v>21722</v>
      </c>
    </row>
    <row r="20" spans="1:41" x14ac:dyDescent="0.35">
      <c r="A20" s="5" t="s">
        <v>77</v>
      </c>
      <c r="B20" s="5" t="s">
        <v>78</v>
      </c>
      <c r="C20" s="6">
        <v>2383905</v>
      </c>
      <c r="D20" s="7">
        <v>32.580996306480337</v>
      </c>
      <c r="E20">
        <v>50.204999999999998</v>
      </c>
      <c r="F20">
        <v>0.44235278336803757</v>
      </c>
      <c r="G20" s="7">
        <v>3.3839076078346721</v>
      </c>
      <c r="H20">
        <v>30.406050199148034</v>
      </c>
      <c r="I20">
        <v>1.3004664615410431</v>
      </c>
      <c r="J20">
        <v>48.48</v>
      </c>
      <c r="K20">
        <v>34.369999999999997</v>
      </c>
      <c r="L20">
        <v>53.8</v>
      </c>
      <c r="M20">
        <v>64.17</v>
      </c>
      <c r="N20">
        <v>0.24190195271789894</v>
      </c>
      <c r="O20">
        <v>0.16573109722475374</v>
      </c>
      <c r="P20">
        <v>3.1464039541019249E-2</v>
      </c>
      <c r="Q20">
        <v>0.218</v>
      </c>
      <c r="R20">
        <v>0.39623849999999999</v>
      </c>
      <c r="S20">
        <v>21218.077000000001</v>
      </c>
      <c r="T20">
        <v>34.92</v>
      </c>
      <c r="U20">
        <v>69</v>
      </c>
      <c r="V20" s="7">
        <v>3.3839076078346721</v>
      </c>
      <c r="W20" s="7">
        <v>5.3106143071976444</v>
      </c>
      <c r="X20" s="7">
        <v>20.281848479700326</v>
      </c>
      <c r="Y20" s="7">
        <v>3.8801881786396688</v>
      </c>
      <c r="Z20" s="7">
        <v>0.18457111336231938</v>
      </c>
      <c r="AA20" s="7">
        <v>0.7844272317898574</v>
      </c>
      <c r="AB20" s="7">
        <v>1.0780630939571838</v>
      </c>
      <c r="AC20" s="7">
        <v>1.0612839018333364</v>
      </c>
      <c r="AD20" s="7">
        <v>32.580996306480337</v>
      </c>
      <c r="AE20" s="8">
        <f t="shared" si="0"/>
        <v>1054527.0120349815</v>
      </c>
      <c r="AF20" s="8">
        <f t="shared" si="2"/>
        <v>576671.27459396282</v>
      </c>
      <c r="AG20" s="8">
        <f t="shared" si="2"/>
        <v>395087.19132957654</v>
      </c>
      <c r="AH20" s="8">
        <f t="shared" si="2"/>
        <v>75007.28118203349</v>
      </c>
      <c r="AI20">
        <v>1266</v>
      </c>
      <c r="AJ20">
        <v>4835.0000000000009</v>
      </c>
      <c r="AK20">
        <v>925</v>
      </c>
      <c r="AL20">
        <v>44</v>
      </c>
      <c r="AM20">
        <v>187</v>
      </c>
      <c r="AN20">
        <v>257.00000000000006</v>
      </c>
      <c r="AO20">
        <v>253</v>
      </c>
    </row>
    <row r="21" spans="1:41" x14ac:dyDescent="0.35">
      <c r="A21" s="5" t="s">
        <v>79</v>
      </c>
      <c r="B21" s="5" t="s">
        <v>80</v>
      </c>
      <c r="C21" s="6">
        <v>2631251</v>
      </c>
      <c r="D21" s="7">
        <v>8.60047179079457</v>
      </c>
      <c r="E21">
        <v>48.357500000000002</v>
      </c>
      <c r="F21">
        <v>0.43458984739430023</v>
      </c>
      <c r="G21" s="7">
        <v>5.7467176553559653</v>
      </c>
      <c r="H21">
        <v>7.574651806308105</v>
      </c>
      <c r="I21">
        <v>1.3278115618768411</v>
      </c>
      <c r="J21">
        <v>28.12</v>
      </c>
      <c r="K21">
        <v>43.85</v>
      </c>
      <c r="L21">
        <v>57.74</v>
      </c>
      <c r="M21">
        <v>63.72</v>
      </c>
      <c r="N21">
        <v>0.23410544769086855</v>
      </c>
      <c r="O21">
        <v>0.15868965386219419</v>
      </c>
      <c r="P21">
        <v>3.6390078838956785E-2</v>
      </c>
      <c r="Q21">
        <v>0.28699999999999998</v>
      </c>
      <c r="R21">
        <v>0.34679810000000005</v>
      </c>
      <c r="S21">
        <v>3073.5410000000002</v>
      </c>
      <c r="T21">
        <v>5.97</v>
      </c>
      <c r="U21">
        <v>67.2</v>
      </c>
      <c r="V21" s="7">
        <v>5.7467176553559653</v>
      </c>
      <c r="W21" s="7">
        <v>0.91971461483530081</v>
      </c>
      <c r="X21" s="7">
        <v>5.1116370122044614</v>
      </c>
      <c r="Y21" s="7">
        <v>1.6304031808443968</v>
      </c>
      <c r="Z21" s="7">
        <v>3.4204262535197136E-2</v>
      </c>
      <c r="AA21" s="7">
        <v>3.8004736150219036E-2</v>
      </c>
      <c r="AB21" s="7">
        <v>0.19382415436611711</v>
      </c>
      <c r="AC21" s="7">
        <v>0.67268382985887709</v>
      </c>
      <c r="AD21" s="7">
        <v>8.60047179079457</v>
      </c>
      <c r="AE21" s="8">
        <f t="shared" si="0"/>
        <v>1143514.9705460998</v>
      </c>
      <c r="AF21" s="8">
        <f t="shared" si="2"/>
        <v>615990.19334204553</v>
      </c>
      <c r="AG21" s="8">
        <f t="shared" si="2"/>
        <v>417552.31041455234</v>
      </c>
      <c r="AH21" s="8">
        <f t="shared" si="2"/>
        <v>95751.431335083878</v>
      </c>
      <c r="AI21">
        <v>242</v>
      </c>
      <c r="AJ21">
        <v>1345.0000000000002</v>
      </c>
      <c r="AK21">
        <v>429</v>
      </c>
      <c r="AL21">
        <v>9</v>
      </c>
      <c r="AM21">
        <v>9.9999999999999982</v>
      </c>
      <c r="AN21">
        <v>51</v>
      </c>
      <c r="AO21">
        <v>177.00000000000003</v>
      </c>
    </row>
    <row r="22" spans="1:41" x14ac:dyDescent="0.35">
      <c r="A22" s="5" t="s">
        <v>81</v>
      </c>
      <c r="B22" s="5" t="s">
        <v>82</v>
      </c>
      <c r="C22" s="6">
        <v>33062741</v>
      </c>
      <c r="D22" s="7">
        <v>48.464221402575184</v>
      </c>
      <c r="E22">
        <v>51.662500000000009</v>
      </c>
      <c r="F22">
        <v>0.40610833867673551</v>
      </c>
      <c r="G22" s="7">
        <v>5.6848726038983557</v>
      </c>
      <c r="H22">
        <v>40.416606624659472</v>
      </c>
      <c r="I22">
        <v>15.163717959742055</v>
      </c>
      <c r="J22">
        <v>25.98</v>
      </c>
      <c r="K22">
        <v>41.42</v>
      </c>
      <c r="L22">
        <v>70.510000000000005</v>
      </c>
      <c r="M22">
        <v>68.739999999999995</v>
      </c>
      <c r="N22">
        <v>0.19130623036279376</v>
      </c>
      <c r="O22">
        <v>0.17586458070213506</v>
      </c>
      <c r="P22">
        <v>3.571769450100705E-2</v>
      </c>
      <c r="Q22">
        <v>0.34299999999999997</v>
      </c>
      <c r="R22">
        <v>0.36055259999999995</v>
      </c>
      <c r="S22">
        <v>7061.9350000000004</v>
      </c>
      <c r="T22">
        <v>10.84</v>
      </c>
      <c r="U22">
        <v>47.5</v>
      </c>
      <c r="V22" s="7">
        <v>5.6848726038983557</v>
      </c>
      <c r="W22" s="7">
        <v>2.7151408892565807</v>
      </c>
      <c r="X22" s="7">
        <v>34.116953582281639</v>
      </c>
      <c r="Y22" s="7">
        <v>7.8807743132972554</v>
      </c>
      <c r="Z22" s="7">
        <v>7.3799083990041842E-2</v>
      </c>
      <c r="AA22" s="7">
        <v>1.7348833842904918</v>
      </c>
      <c r="AB22" s="7">
        <v>0.81058010284144311</v>
      </c>
      <c r="AC22" s="7">
        <v>1.1320900466177319</v>
      </c>
      <c r="AD22" s="7">
        <v>48.464221402575184</v>
      </c>
      <c r="AE22" s="8">
        <f t="shared" si="0"/>
        <v>13427054.819609189</v>
      </c>
      <c r="AF22" s="8">
        <f t="shared" si="2"/>
        <v>6325108.3461713865</v>
      </c>
      <c r="AG22" s="8">
        <f t="shared" si="2"/>
        <v>5814565.0828282898</v>
      </c>
      <c r="AH22" s="8">
        <f t="shared" si="2"/>
        <v>1180924.8824039204</v>
      </c>
      <c r="AI22">
        <v>8977.0000000000018</v>
      </c>
      <c r="AJ22">
        <v>112800</v>
      </c>
      <c r="AK22">
        <v>26056</v>
      </c>
      <c r="AL22">
        <v>244</v>
      </c>
      <c r="AM22">
        <v>5736</v>
      </c>
      <c r="AN22">
        <v>2679.9999999999995</v>
      </c>
      <c r="AO22">
        <v>3743</v>
      </c>
    </row>
    <row r="23" spans="1:41" x14ac:dyDescent="0.35">
      <c r="A23" s="5" t="s">
        <v>83</v>
      </c>
      <c r="B23" s="5" t="s">
        <v>84</v>
      </c>
      <c r="C23" s="6">
        <v>14238716</v>
      </c>
      <c r="D23" s="7">
        <v>6.7772964921837051</v>
      </c>
      <c r="E23">
        <v>43.680000000000007</v>
      </c>
      <c r="F23">
        <v>0.62038057824360393</v>
      </c>
      <c r="G23" s="7">
        <v>5.6685239347435044</v>
      </c>
      <c r="H23">
        <v>7.1826171713797784</v>
      </c>
      <c r="I23">
        <v>2.7373713683171994</v>
      </c>
      <c r="J23">
        <v>18.03</v>
      </c>
      <c r="K23">
        <v>47.87</v>
      </c>
      <c r="L23">
        <v>58.4</v>
      </c>
      <c r="M23">
        <v>50.42</v>
      </c>
      <c r="N23">
        <v>0.39821246299625696</v>
      </c>
      <c r="O23">
        <v>0.16588446968476117</v>
      </c>
      <c r="P23">
        <v>5.3108951240738007E-2</v>
      </c>
      <c r="Q23">
        <v>0.26800000000000002</v>
      </c>
      <c r="R23">
        <v>0.25688559999999999</v>
      </c>
      <c r="S23">
        <v>3895.7669999999998</v>
      </c>
      <c r="T23">
        <v>6.82</v>
      </c>
      <c r="U23">
        <v>68.5</v>
      </c>
      <c r="V23" s="7">
        <v>5.6685239347435044</v>
      </c>
      <c r="W23" s="7">
        <v>2.069006784038673</v>
      </c>
      <c r="X23" s="7">
        <v>3.5248964864528514</v>
      </c>
      <c r="Y23" s="7">
        <v>0.62716329197098952</v>
      </c>
      <c r="Z23" s="7">
        <v>2.7390110175664714E-2</v>
      </c>
      <c r="AA23" s="7">
        <v>0.17908918191780776</v>
      </c>
      <c r="AB23" s="7">
        <v>0.12711820363577728</v>
      </c>
      <c r="AC23" s="7">
        <v>0.22263243399194141</v>
      </c>
      <c r="AD23" s="7">
        <v>6.7772964921837051</v>
      </c>
      <c r="AE23" s="8">
        <f t="shared" si="0"/>
        <v>8833422.8655264545</v>
      </c>
      <c r="AF23" s="8">
        <f t="shared" si="2"/>
        <v>5670034.1682642121</v>
      </c>
      <c r="AG23" s="8">
        <f t="shared" si="2"/>
        <v>2361981.8526519239</v>
      </c>
      <c r="AH23" s="8">
        <f t="shared" si="2"/>
        <v>756203.27377471607</v>
      </c>
      <c r="AI23">
        <v>2945.9999999999995</v>
      </c>
      <c r="AJ23">
        <v>5019</v>
      </c>
      <c r="AK23">
        <v>893</v>
      </c>
      <c r="AL23">
        <v>39</v>
      </c>
      <c r="AM23">
        <v>255</v>
      </c>
      <c r="AN23">
        <v>181</v>
      </c>
      <c r="AO23">
        <v>317</v>
      </c>
    </row>
    <row r="24" spans="1:41" x14ac:dyDescent="0.35">
      <c r="A24" s="5" t="s">
        <v>85</v>
      </c>
      <c r="B24" s="5" t="s">
        <v>86</v>
      </c>
      <c r="C24" s="6">
        <v>2111612</v>
      </c>
      <c r="D24" s="7">
        <v>13.312104685898735</v>
      </c>
      <c r="E24">
        <v>42.272499999999994</v>
      </c>
      <c r="F24">
        <v>0.59333547971526324</v>
      </c>
      <c r="G24" s="7">
        <v>4.8134859518829529</v>
      </c>
      <c r="H24">
        <v>12.653131943747242</v>
      </c>
      <c r="I24">
        <v>0.12567910203200208</v>
      </c>
      <c r="J24">
        <v>17.329999999999998</v>
      </c>
      <c r="K24">
        <v>29.95</v>
      </c>
      <c r="L24">
        <v>61.51</v>
      </c>
      <c r="M24">
        <v>60.3</v>
      </c>
      <c r="N24">
        <v>0.36455418034516718</v>
      </c>
      <c r="O24">
        <v>0.17227405256931699</v>
      </c>
      <c r="P24">
        <v>4.9926094455427172E-2</v>
      </c>
      <c r="Q24">
        <v>0.214</v>
      </c>
      <c r="R24">
        <v>0.24262920000000002</v>
      </c>
      <c r="S24">
        <v>2729.1590000000001</v>
      </c>
      <c r="T24">
        <v>3.06</v>
      </c>
      <c r="U24">
        <v>55.76</v>
      </c>
      <c r="V24" s="7">
        <v>4.8134859518829529</v>
      </c>
      <c r="W24" s="7">
        <v>2.5146665201751079</v>
      </c>
      <c r="X24" s="7">
        <v>8.9126222052157313</v>
      </c>
      <c r="Y24" s="7">
        <v>0.96135085422890187</v>
      </c>
      <c r="Z24" s="7">
        <v>9.9450088368507092E-2</v>
      </c>
      <c r="AA24" s="7">
        <v>9.4714369874768656E-3</v>
      </c>
      <c r="AB24" s="7">
        <v>4.7357184937384328E-3</v>
      </c>
      <c r="AC24" s="7">
        <v>0.80980786242927205</v>
      </c>
      <c r="AD24" s="7">
        <v>13.312104685898735</v>
      </c>
      <c r="AE24" s="8">
        <f t="shared" si="0"/>
        <v>1252894.3189925065</v>
      </c>
      <c r="AF24" s="8">
        <f t="shared" si="2"/>
        <v>769796.9818670192</v>
      </c>
      <c r="AG24" s="8">
        <f t="shared" si="2"/>
        <v>363775.95669400058</v>
      </c>
      <c r="AH24" s="8">
        <f t="shared" si="2"/>
        <v>105424.54016521348</v>
      </c>
      <c r="AI24">
        <v>531</v>
      </c>
      <c r="AJ24">
        <v>1882</v>
      </c>
      <c r="AK24">
        <v>203</v>
      </c>
      <c r="AL24">
        <v>21</v>
      </c>
      <c r="AM24">
        <v>2</v>
      </c>
      <c r="AN24">
        <v>1</v>
      </c>
      <c r="AO24">
        <v>171</v>
      </c>
    </row>
    <row r="25" spans="1:41" x14ac:dyDescent="0.35">
      <c r="A25" s="5" t="s">
        <v>87</v>
      </c>
      <c r="B25" s="5" t="s">
        <v>88</v>
      </c>
      <c r="C25" s="6">
        <v>57458890</v>
      </c>
      <c r="D25" s="7">
        <v>26.999477365469474</v>
      </c>
      <c r="E25">
        <v>54.577500000000001</v>
      </c>
      <c r="F25">
        <v>0.3550140055913259</v>
      </c>
      <c r="G25" s="7">
        <v>4.4964982846120876</v>
      </c>
      <c r="H25">
        <v>23.424520390839444</v>
      </c>
      <c r="I25">
        <v>0.84095736099322493</v>
      </c>
      <c r="J25">
        <v>40.619999999999997</v>
      </c>
      <c r="K25">
        <v>53.15</v>
      </c>
      <c r="L25">
        <v>50.91</v>
      </c>
      <c r="M25">
        <v>73.63</v>
      </c>
      <c r="N25">
        <v>0.18481356088142981</v>
      </c>
      <c r="O25">
        <v>0.13523830496780934</v>
      </c>
      <c r="P25">
        <v>3.1453024298790933E-2</v>
      </c>
      <c r="Q25">
        <v>0.38799999999999996</v>
      </c>
      <c r="R25">
        <v>0.33363419999999999</v>
      </c>
      <c r="S25">
        <v>6267.1480000000001</v>
      </c>
      <c r="T25">
        <v>7.39</v>
      </c>
      <c r="U25">
        <v>50</v>
      </c>
      <c r="V25" s="7">
        <v>4.4964982846120876</v>
      </c>
      <c r="W25" s="7">
        <v>2.7835553384341396</v>
      </c>
      <c r="X25" s="7">
        <v>21.841528786929231</v>
      </c>
      <c r="Y25" s="7">
        <v>4.8208379939118216E-2</v>
      </c>
      <c r="Z25" s="7">
        <v>0.23390636331471074</v>
      </c>
      <c r="AA25" s="7">
        <v>0.20640844262741587</v>
      </c>
      <c r="AB25" s="7">
        <v>1.7403747270439789</v>
      </c>
      <c r="AC25" s="7">
        <v>0.14549532718087663</v>
      </c>
      <c r="AD25" s="7">
        <v>26.999477365469474</v>
      </c>
      <c r="AE25" s="8">
        <f t="shared" si="0"/>
        <v>20398710.695731379</v>
      </c>
      <c r="AF25" s="8">
        <f t="shared" si="2"/>
        <v>10619182.065194378</v>
      </c>
      <c r="AG25" s="8">
        <f t="shared" si="2"/>
        <v>7770642.8889318099</v>
      </c>
      <c r="AH25" s="8">
        <f t="shared" si="2"/>
        <v>1807255.8633515553</v>
      </c>
      <c r="AI25">
        <v>15994</v>
      </c>
      <c r="AJ25">
        <v>125499.00000000003</v>
      </c>
      <c r="AK25">
        <v>277.00000000000006</v>
      </c>
      <c r="AL25">
        <v>1344</v>
      </c>
      <c r="AM25">
        <v>1186</v>
      </c>
      <c r="AN25">
        <v>10000.000000000002</v>
      </c>
      <c r="AO25">
        <v>836</v>
      </c>
    </row>
    <row r="26" spans="1:41" x14ac:dyDescent="0.35">
      <c r="A26" s="5" t="s">
        <v>89</v>
      </c>
      <c r="B26" s="5" t="s">
        <v>90</v>
      </c>
      <c r="C26" s="6">
        <v>2192400</v>
      </c>
      <c r="D26" s="7">
        <v>25.456121145776319</v>
      </c>
      <c r="E26">
        <v>55.86</v>
      </c>
      <c r="F26">
        <v>0.80615459710445958</v>
      </c>
      <c r="G26" s="7">
        <v>2.7622381853268791</v>
      </c>
      <c r="H26">
        <v>23.526333520343005</v>
      </c>
      <c r="I26">
        <v>4.2294499178981937</v>
      </c>
      <c r="J26">
        <v>32.270000000000003</v>
      </c>
      <c r="K26">
        <v>50.71</v>
      </c>
      <c r="L26">
        <v>65.78</v>
      </c>
      <c r="M26">
        <v>74.680000000000007</v>
      </c>
      <c r="N26">
        <v>0.4663514433682352</v>
      </c>
      <c r="O26">
        <v>0.24303600774076528</v>
      </c>
      <c r="P26">
        <v>8.4683657155983097E-2</v>
      </c>
      <c r="Q26">
        <v>0.309</v>
      </c>
      <c r="R26">
        <v>0.26338650000000002</v>
      </c>
      <c r="S26">
        <v>2891.0540000000001</v>
      </c>
      <c r="T26">
        <v>3.19</v>
      </c>
      <c r="U26">
        <v>56.01</v>
      </c>
      <c r="V26" s="7">
        <v>2.7622381853268791</v>
      </c>
      <c r="W26" s="7">
        <v>2.449370552818829</v>
      </c>
      <c r="X26" s="7">
        <v>5.6330961503375301</v>
      </c>
      <c r="Y26" s="7">
        <v>12.675606641123881</v>
      </c>
      <c r="Z26" s="7">
        <v>0.38314176245210729</v>
      </c>
      <c r="AA26" s="7">
        <v>1.1722313446451378</v>
      </c>
      <c r="AB26" s="7">
        <v>1.8974639664294839</v>
      </c>
      <c r="AC26" s="7">
        <v>1.2452107279693487</v>
      </c>
      <c r="AD26" s="7">
        <v>25.456121145776319</v>
      </c>
      <c r="AE26" s="8">
        <f t="shared" si="0"/>
        <v>1767413.3386918171</v>
      </c>
      <c r="AF26" s="8">
        <f t="shared" si="2"/>
        <v>1022428.9044405188</v>
      </c>
      <c r="AG26" s="8">
        <f t="shared" si="2"/>
        <v>532832.14337085385</v>
      </c>
      <c r="AH26" s="8">
        <f t="shared" si="2"/>
        <v>185660.44994877733</v>
      </c>
      <c r="AI26">
        <v>537.00000000000011</v>
      </c>
      <c r="AJ26">
        <v>1235.0000000000002</v>
      </c>
      <c r="AK26">
        <v>2778.9999999999995</v>
      </c>
      <c r="AL26">
        <v>84</v>
      </c>
      <c r="AM26">
        <v>257</v>
      </c>
      <c r="AN26">
        <v>416.00000000000006</v>
      </c>
      <c r="AO26">
        <v>273</v>
      </c>
    </row>
    <row r="27" spans="1:41" x14ac:dyDescent="0.35">
      <c r="A27" s="5" t="s">
        <v>91</v>
      </c>
      <c r="B27" s="5" t="s">
        <v>92</v>
      </c>
      <c r="C27" s="6">
        <v>5432272</v>
      </c>
      <c r="D27" s="7">
        <v>12.260063560882079</v>
      </c>
      <c r="E27">
        <v>46.447499999999998</v>
      </c>
      <c r="F27">
        <v>0.53500919481581555</v>
      </c>
      <c r="G27" s="7">
        <v>4.7929148215681181</v>
      </c>
      <c r="H27">
        <v>11.114929521202178</v>
      </c>
      <c r="I27">
        <v>0.55403733465481841</v>
      </c>
      <c r="J27">
        <v>29.07</v>
      </c>
      <c r="K27">
        <v>42.02</v>
      </c>
      <c r="L27">
        <v>53.05</v>
      </c>
      <c r="M27">
        <v>61.65</v>
      </c>
      <c r="N27">
        <v>0.33742173029304895</v>
      </c>
      <c r="O27">
        <v>0.15837176614969409</v>
      </c>
      <c r="P27">
        <v>3.7012274193028341E-2</v>
      </c>
      <c r="Q27">
        <v>0.35700000000000004</v>
      </c>
      <c r="R27">
        <v>0.35735259999999996</v>
      </c>
      <c r="S27">
        <v>1670.3019999999999</v>
      </c>
      <c r="T27">
        <v>1.53</v>
      </c>
      <c r="U27">
        <v>43</v>
      </c>
      <c r="V27" s="7">
        <v>4.7929148215681181</v>
      </c>
      <c r="W27" s="7">
        <v>1.7561712668290541</v>
      </c>
      <c r="X27" s="7">
        <v>8.143922101102449</v>
      </c>
      <c r="Y27" s="7">
        <v>1.8206010302871434</v>
      </c>
      <c r="Z27" s="7">
        <v>1.4726803076134626E-2</v>
      </c>
      <c r="AA27" s="7">
        <v>0.31294456536786081</v>
      </c>
      <c r="AB27" s="7">
        <v>0.21169779421943524</v>
      </c>
      <c r="AC27" s="7">
        <v>0</v>
      </c>
      <c r="AD27" s="7">
        <v>12.260063560882079</v>
      </c>
      <c r="AE27" s="8">
        <f t="shared" si="0"/>
        <v>2906315.4687405</v>
      </c>
      <c r="AF27" s="8">
        <f t="shared" si="2"/>
        <v>1832966.6176624815</v>
      </c>
      <c r="AG27" s="8">
        <f t="shared" si="2"/>
        <v>860318.51084553101</v>
      </c>
      <c r="AH27" s="8">
        <f t="shared" si="2"/>
        <v>201060.74075511046</v>
      </c>
      <c r="AI27">
        <v>954</v>
      </c>
      <c r="AJ27">
        <v>4424</v>
      </c>
      <c r="AK27">
        <v>989</v>
      </c>
      <c r="AL27">
        <v>8</v>
      </c>
      <c r="AM27">
        <v>170</v>
      </c>
      <c r="AN27">
        <v>115</v>
      </c>
      <c r="AO27">
        <v>0</v>
      </c>
    </row>
    <row r="28" spans="1:41" x14ac:dyDescent="0.35">
      <c r="A28" s="5" t="s">
        <v>93</v>
      </c>
      <c r="B28" s="5" t="s">
        <v>94</v>
      </c>
      <c r="C28" s="6">
        <v>29942591</v>
      </c>
      <c r="D28" s="7">
        <v>4.9017134155157125</v>
      </c>
      <c r="E28">
        <v>38.115000000000002</v>
      </c>
      <c r="F28">
        <v>0.50996008202158039</v>
      </c>
      <c r="G28" s="7">
        <v>4.1999999999822393</v>
      </c>
      <c r="H28">
        <v>5.546029247769507</v>
      </c>
      <c r="I28">
        <v>2.0891931496509435</v>
      </c>
      <c r="J28">
        <v>18.98</v>
      </c>
      <c r="K28">
        <v>29.47</v>
      </c>
      <c r="L28">
        <v>45.77</v>
      </c>
      <c r="M28">
        <v>58.24</v>
      </c>
      <c r="N28">
        <v>0.28997473886399255</v>
      </c>
      <c r="O28">
        <v>0.17565735709921348</v>
      </c>
      <c r="P28">
        <v>3.9462753054174259E-2</v>
      </c>
      <c r="Q28">
        <v>0.30399999999999999</v>
      </c>
      <c r="R28">
        <v>0.29017929999999997</v>
      </c>
      <c r="S28">
        <v>1731.3050000000001</v>
      </c>
      <c r="T28">
        <v>1.89</v>
      </c>
      <c r="U28">
        <v>56.2</v>
      </c>
      <c r="V28" s="7">
        <v>4.1999999999822393</v>
      </c>
      <c r="W28" s="7">
        <v>1.7466758304249621</v>
      </c>
      <c r="X28" s="7">
        <v>1.5229142995674625</v>
      </c>
      <c r="Y28" s="7">
        <v>1.3338859018579923</v>
      </c>
      <c r="Z28" s="7">
        <v>8.3827080963033554E-2</v>
      </c>
      <c r="AA28" s="7">
        <v>1.0019173023470147E-2</v>
      </c>
      <c r="AB28" s="7">
        <v>0.1021955648393955</v>
      </c>
      <c r="AC28" s="7">
        <v>0.1021955648393955</v>
      </c>
      <c r="AD28" s="7">
        <v>4.9017134155157125</v>
      </c>
      <c r="AE28" s="8">
        <f t="shared" si="0"/>
        <v>15269526.162298635</v>
      </c>
      <c r="AF28" s="8">
        <f t="shared" si="2"/>
        <v>8682595.0061363336</v>
      </c>
      <c r="AG28" s="8">
        <f t="shared" si="2"/>
        <v>5259636.3997626957</v>
      </c>
      <c r="AH28" s="8">
        <f t="shared" si="2"/>
        <v>1181617.0744351407</v>
      </c>
      <c r="AI28">
        <v>5230</v>
      </c>
      <c r="AJ28">
        <v>4560.0000000000009</v>
      </c>
      <c r="AK28">
        <v>3994</v>
      </c>
      <c r="AL28">
        <v>251</v>
      </c>
      <c r="AM28">
        <v>30</v>
      </c>
      <c r="AN28">
        <v>306</v>
      </c>
      <c r="AO28">
        <v>306</v>
      </c>
    </row>
    <row r="29" spans="1:41" x14ac:dyDescent="0.35">
      <c r="A29" s="5" t="s">
        <v>95</v>
      </c>
      <c r="B29" s="5" t="s">
        <v>96</v>
      </c>
      <c r="C29" s="6">
        <v>20728157</v>
      </c>
      <c r="D29" s="7">
        <v>5.8244444983700179</v>
      </c>
      <c r="E29">
        <v>52.67</v>
      </c>
      <c r="F29">
        <v>0.4448113398104841</v>
      </c>
      <c r="G29" s="7">
        <v>1.8268500001019419</v>
      </c>
      <c r="H29">
        <v>5.0174020724563215</v>
      </c>
      <c r="I29">
        <v>0.71150071373928714</v>
      </c>
      <c r="J29">
        <v>22.25</v>
      </c>
      <c r="K29">
        <v>57.77</v>
      </c>
      <c r="L29">
        <v>58.77</v>
      </c>
      <c r="M29">
        <v>71.89</v>
      </c>
      <c r="N29">
        <v>0.24303617762927013</v>
      </c>
      <c r="O29">
        <v>0.16367846891482588</v>
      </c>
      <c r="P29">
        <v>3.3520621590401881E-2</v>
      </c>
      <c r="Q29">
        <v>0.28499999999999998</v>
      </c>
      <c r="R29">
        <v>0.29890059999999996</v>
      </c>
      <c r="S29">
        <v>1514.5540000000001</v>
      </c>
      <c r="T29">
        <v>2.77</v>
      </c>
      <c r="U29">
        <v>47</v>
      </c>
      <c r="V29" s="7">
        <v>1.8268500001019419</v>
      </c>
      <c r="W29" s="7">
        <v>0.53791564778286849</v>
      </c>
      <c r="X29" s="7">
        <v>4.7370347493990899</v>
      </c>
      <c r="Y29" s="7">
        <v>0.29718030406658924</v>
      </c>
      <c r="Z29" s="7">
        <v>4.872599141351544E-2</v>
      </c>
      <c r="AA29" s="7">
        <v>5.9339573701607917E-2</v>
      </c>
      <c r="AB29" s="7">
        <v>4.3419200269469202E-2</v>
      </c>
      <c r="AC29" s="7">
        <v>0.10082903173687849</v>
      </c>
      <c r="AD29" s="7">
        <v>5.8244444983700179</v>
      </c>
      <c r="AE29" s="8">
        <f t="shared" si="0"/>
        <v>9220119.2869720645</v>
      </c>
      <c r="AF29" s="8">
        <f t="shared" si="2"/>
        <v>5037692.0465793991</v>
      </c>
      <c r="AG29" s="8">
        <f t="shared" si="2"/>
        <v>3392753.0011861306</v>
      </c>
      <c r="AH29" s="8">
        <f t="shared" si="2"/>
        <v>694820.70706343988</v>
      </c>
      <c r="AI29">
        <v>1115</v>
      </c>
      <c r="AJ29">
        <v>9818.9999999999982</v>
      </c>
      <c r="AK29">
        <v>616</v>
      </c>
      <c r="AL29">
        <v>101</v>
      </c>
      <c r="AM29">
        <v>123</v>
      </c>
      <c r="AN29">
        <v>89.999999999999986</v>
      </c>
      <c r="AO29">
        <v>209</v>
      </c>
    </row>
    <row r="30" spans="1:41" x14ac:dyDescent="0.35">
      <c r="A30" s="5" t="s">
        <v>97</v>
      </c>
      <c r="B30" s="5" t="s">
        <v>98</v>
      </c>
      <c r="C30" s="6">
        <v>22105727</v>
      </c>
      <c r="D30" s="7">
        <v>7.8414068897168594</v>
      </c>
      <c r="E30">
        <v>47.427499999999995</v>
      </c>
      <c r="F30">
        <v>0.63970272370162862</v>
      </c>
      <c r="G30" s="7">
        <v>5.0045459374303647</v>
      </c>
      <c r="H30">
        <v>8.1755817250434699</v>
      </c>
      <c r="J30">
        <v>15.25</v>
      </c>
      <c r="K30">
        <v>59.37</v>
      </c>
      <c r="L30">
        <v>67.760000000000005</v>
      </c>
      <c r="M30">
        <v>47.33</v>
      </c>
      <c r="N30">
        <v>0.42599321031519566</v>
      </c>
      <c r="O30">
        <v>0.15654855723368269</v>
      </c>
      <c r="P30">
        <v>5.3925054752561812E-2</v>
      </c>
      <c r="Q30">
        <v>0.28999999999999998</v>
      </c>
      <c r="R30">
        <v>0.29593610000000004</v>
      </c>
      <c r="S30">
        <v>2472.828</v>
      </c>
      <c r="T30">
        <v>2.99</v>
      </c>
      <c r="U30">
        <v>36.5</v>
      </c>
      <c r="V30" s="7">
        <v>5.0045459374303647</v>
      </c>
      <c r="W30" s="7">
        <v>2.0157672262938919</v>
      </c>
      <c r="X30" s="7">
        <v>2.8811538295030967</v>
      </c>
      <c r="Y30" s="7">
        <v>1.475635702910834</v>
      </c>
      <c r="Z30" s="7">
        <v>1.3571143803594426E-2</v>
      </c>
      <c r="AA30" s="7">
        <v>0.77853128286620032</v>
      </c>
      <c r="AB30" s="7">
        <v>0.67674770433924203</v>
      </c>
      <c r="AC30" s="7">
        <v>0</v>
      </c>
      <c r="AD30" s="7">
        <v>7.8414068897168594</v>
      </c>
      <c r="AE30" s="8">
        <f t="shared" si="0"/>
        <v>14141093.771304632</v>
      </c>
      <c r="AF30" s="8">
        <f t="shared" si="2"/>
        <v>9416889.6110812984</v>
      </c>
      <c r="AG30" s="8">
        <f t="shared" si="2"/>
        <v>3460619.6684516645</v>
      </c>
      <c r="AH30" s="8">
        <f t="shared" si="2"/>
        <v>1192052.5388201841</v>
      </c>
      <c r="AI30">
        <v>4456</v>
      </c>
      <c r="AJ30">
        <v>6369</v>
      </c>
      <c r="AK30">
        <v>3262.0000000000005</v>
      </c>
      <c r="AL30">
        <v>30</v>
      </c>
      <c r="AM30">
        <v>1721.0000000000005</v>
      </c>
      <c r="AN30">
        <v>1496</v>
      </c>
      <c r="AO30">
        <v>0</v>
      </c>
    </row>
    <row r="31" spans="1:41" x14ac:dyDescent="0.35">
      <c r="A31" s="5" t="s">
        <v>99</v>
      </c>
      <c r="B31" s="5" t="s">
        <v>100</v>
      </c>
      <c r="C31" s="6">
        <v>5030233</v>
      </c>
      <c r="D31" s="7">
        <v>19.279425028621933</v>
      </c>
      <c r="E31">
        <v>42.722499999999997</v>
      </c>
      <c r="F31">
        <v>0.35641087386771675</v>
      </c>
      <c r="G31" s="7">
        <v>5.2000000000000028</v>
      </c>
      <c r="H31">
        <v>17.62192288707104</v>
      </c>
      <c r="I31">
        <v>0.48384448593136742</v>
      </c>
      <c r="J31">
        <v>22.04</v>
      </c>
      <c r="K31">
        <v>47.04</v>
      </c>
      <c r="L31">
        <v>60.5</v>
      </c>
      <c r="M31">
        <v>41.31</v>
      </c>
      <c r="N31">
        <v>0.18769681627792961</v>
      </c>
      <c r="O31">
        <v>0.13676511724373536</v>
      </c>
      <c r="P31">
        <v>2.6374756088042517E-2</v>
      </c>
      <c r="Q31">
        <v>0.26200000000000001</v>
      </c>
      <c r="R31">
        <v>0.42141039999999996</v>
      </c>
      <c r="S31">
        <v>7258.2529999999997</v>
      </c>
      <c r="T31">
        <v>15.14</v>
      </c>
      <c r="U31">
        <v>76</v>
      </c>
      <c r="V31" s="7">
        <v>5.2000000000000028</v>
      </c>
      <c r="W31" s="7">
        <v>2.5306978821855766</v>
      </c>
      <c r="X31" s="7">
        <v>12.927830579617286</v>
      </c>
      <c r="Y31" s="7">
        <v>2.6658804870470219</v>
      </c>
      <c r="Z31" s="7">
        <v>0.2962089430052246</v>
      </c>
      <c r="AA31" s="7">
        <v>0.19283400987588448</v>
      </c>
      <c r="AB31" s="7">
        <v>0.64808131154163229</v>
      </c>
      <c r="AC31" s="7">
        <v>1.7891815349308868E-2</v>
      </c>
      <c r="AD31" s="7">
        <v>19.279425028621933</v>
      </c>
      <c r="AE31" s="8">
        <f t="shared" si="0"/>
        <v>1792829.7392882265</v>
      </c>
      <c r="AF31" s="8">
        <f t="shared" si="2"/>
        <v>944158.71923617867</v>
      </c>
      <c r="AG31" s="8">
        <f t="shared" si="2"/>
        <v>687960.40600830666</v>
      </c>
      <c r="AH31" s="8">
        <f t="shared" si="2"/>
        <v>132671.16844102237</v>
      </c>
      <c r="AI31">
        <v>1273</v>
      </c>
      <c r="AJ31">
        <v>6503</v>
      </c>
      <c r="AK31">
        <v>1341.0000000000002</v>
      </c>
      <c r="AL31">
        <v>149</v>
      </c>
      <c r="AM31">
        <v>97</v>
      </c>
      <c r="AN31">
        <v>325.99999999999994</v>
      </c>
      <c r="AO31">
        <v>9</v>
      </c>
    </row>
    <row r="32" spans="1:41" x14ac:dyDescent="0.35">
      <c r="A32" s="5" t="s">
        <v>101</v>
      </c>
      <c r="B32" s="5" t="s">
        <v>102</v>
      </c>
      <c r="C32" s="6">
        <v>1275657</v>
      </c>
      <c r="D32" s="7">
        <v>62.994990032587125</v>
      </c>
      <c r="E32">
        <v>66.454999999999998</v>
      </c>
      <c r="F32">
        <v>0.38045249500622641</v>
      </c>
      <c r="G32" s="7">
        <v>4.6939031839850429</v>
      </c>
      <c r="H32">
        <v>66.876465201852838</v>
      </c>
      <c r="I32">
        <v>9.9309120711915515</v>
      </c>
      <c r="J32">
        <v>77.61</v>
      </c>
      <c r="K32">
        <v>52.41</v>
      </c>
      <c r="L32">
        <v>61.3</v>
      </c>
      <c r="M32">
        <v>74.5</v>
      </c>
      <c r="N32">
        <v>5.6210977567414437E-2</v>
      </c>
      <c r="O32">
        <v>0.30203463470943331</v>
      </c>
      <c r="P32">
        <v>2.2206882729378607E-2</v>
      </c>
      <c r="Q32">
        <v>0.39700000000000002</v>
      </c>
      <c r="R32">
        <v>0.56651220000000002</v>
      </c>
      <c r="S32">
        <v>27341.633999999998</v>
      </c>
      <c r="T32">
        <v>32.83</v>
      </c>
      <c r="U32">
        <v>41.9</v>
      </c>
      <c r="V32" s="7">
        <v>4.6939031839850429</v>
      </c>
      <c r="W32" s="7">
        <v>14.369066292898482</v>
      </c>
      <c r="X32" s="7">
        <v>36.052010846175733</v>
      </c>
      <c r="Y32" s="7">
        <v>4.4447684604874196</v>
      </c>
      <c r="Z32" s="7">
        <v>3.2453864949590678</v>
      </c>
      <c r="AA32" s="7">
        <v>0.32140301037034252</v>
      </c>
      <c r="AB32" s="7">
        <v>2.4928331048236321</v>
      </c>
      <c r="AC32" s="7">
        <v>2.0695218228724492</v>
      </c>
      <c r="AD32" s="7">
        <v>62.994990032587125</v>
      </c>
      <c r="AE32" s="8">
        <f t="shared" si="0"/>
        <v>485326.88842215779</v>
      </c>
      <c r="AF32" s="8">
        <f t="shared" si="2"/>
        <v>71705.927010715197</v>
      </c>
      <c r="AG32" s="8">
        <f t="shared" si="2"/>
        <v>385292.59600953158</v>
      </c>
      <c r="AH32" s="8">
        <f t="shared" si="2"/>
        <v>28328.365401910927</v>
      </c>
      <c r="AI32">
        <v>1833</v>
      </c>
      <c r="AJ32">
        <v>4599</v>
      </c>
      <c r="AK32">
        <v>567</v>
      </c>
      <c r="AL32">
        <v>413.99999999999994</v>
      </c>
      <c r="AM32">
        <v>41.000000000000007</v>
      </c>
      <c r="AN32">
        <v>318</v>
      </c>
      <c r="AO32">
        <v>264</v>
      </c>
    </row>
    <row r="33" spans="1:41" x14ac:dyDescent="0.35">
      <c r="A33" s="5" t="s">
        <v>103</v>
      </c>
      <c r="B33" s="5" t="s">
        <v>104</v>
      </c>
      <c r="C33" s="6">
        <v>34034812</v>
      </c>
      <c r="D33" s="7">
        <v>11.621630229660148</v>
      </c>
      <c r="E33">
        <v>46.652500000000003</v>
      </c>
      <c r="F33">
        <v>0.63336596926197108</v>
      </c>
      <c r="G33" s="7">
        <v>1.851775024744569</v>
      </c>
      <c r="H33">
        <v>10.863930015832027</v>
      </c>
      <c r="I33">
        <v>1.0442801329415305</v>
      </c>
      <c r="J33">
        <v>23.4</v>
      </c>
      <c r="K33">
        <v>57.76</v>
      </c>
      <c r="L33">
        <v>49.78</v>
      </c>
      <c r="M33">
        <v>55.67</v>
      </c>
      <c r="N33">
        <v>0.40815360662518763</v>
      </c>
      <c r="O33">
        <v>0.17392551446158355</v>
      </c>
      <c r="P33">
        <v>4.3108830943495102E-2</v>
      </c>
      <c r="Q33">
        <v>0.30399999999999999</v>
      </c>
      <c r="R33">
        <v>0.2511178</v>
      </c>
      <c r="S33">
        <v>1485.598</v>
      </c>
      <c r="T33">
        <v>2.4300000000000002</v>
      </c>
      <c r="U33">
        <v>40</v>
      </c>
      <c r="V33" s="7">
        <v>1.851775024744569</v>
      </c>
      <c r="W33" s="7">
        <v>1.6803383547410222</v>
      </c>
      <c r="X33" s="7">
        <v>5.0442470491683631</v>
      </c>
      <c r="Y33" s="7">
        <v>3.9151090360070158</v>
      </c>
      <c r="Z33" s="7">
        <v>0.10753695363441408</v>
      </c>
      <c r="AA33" s="7">
        <v>0.1474960402308084</v>
      </c>
      <c r="AB33" s="7">
        <v>9.4902830666436469E-2</v>
      </c>
      <c r="AC33" s="7">
        <v>0.63199996521208934</v>
      </c>
      <c r="AD33" s="7">
        <v>11.621630229660148</v>
      </c>
      <c r="AE33" s="8">
        <f t="shared" si="0"/>
        <v>21556491.691028964</v>
      </c>
      <c r="AF33" s="8">
        <f t="shared" si="2"/>
        <v>13891431.268610215</v>
      </c>
      <c r="AG33" s="8">
        <f t="shared" si="2"/>
        <v>5919522.1867032778</v>
      </c>
      <c r="AH33" s="8">
        <f t="shared" si="2"/>
        <v>1467200.9567016384</v>
      </c>
      <c r="AI33">
        <v>5719</v>
      </c>
      <c r="AJ33">
        <v>17168</v>
      </c>
      <c r="AK33">
        <v>13325.000000000002</v>
      </c>
      <c r="AL33">
        <v>366</v>
      </c>
      <c r="AM33">
        <v>502</v>
      </c>
      <c r="AN33">
        <v>323</v>
      </c>
      <c r="AO33">
        <v>2151</v>
      </c>
    </row>
    <row r="34" spans="1:41" x14ac:dyDescent="0.35">
      <c r="A34" s="5" t="s">
        <v>105</v>
      </c>
      <c r="B34" s="5" t="s">
        <v>106</v>
      </c>
      <c r="C34" s="6">
        <v>2680497</v>
      </c>
      <c r="D34" s="7">
        <v>71.639699652713645</v>
      </c>
      <c r="E34">
        <v>63.082499999999996</v>
      </c>
      <c r="F34">
        <v>0.53297666036275093</v>
      </c>
      <c r="G34" s="7">
        <v>3.7115449741623934</v>
      </c>
      <c r="H34">
        <v>62.136352366743921</v>
      </c>
      <c r="I34">
        <v>7.4922891165332395</v>
      </c>
      <c r="J34">
        <v>55.5</v>
      </c>
      <c r="K34">
        <v>57.25</v>
      </c>
      <c r="L34">
        <v>64.709999999999994</v>
      </c>
      <c r="M34">
        <v>74.87</v>
      </c>
      <c r="N34">
        <v>0.2976211391108608</v>
      </c>
      <c r="O34">
        <v>0.16825144960481977</v>
      </c>
      <c r="P34">
        <v>4.6707970963014753E-2</v>
      </c>
      <c r="Q34">
        <v>0.30299999999999999</v>
      </c>
      <c r="R34">
        <v>0.39937230000000001</v>
      </c>
      <c r="S34">
        <v>10419.859</v>
      </c>
      <c r="T34">
        <v>15.64</v>
      </c>
      <c r="U34">
        <v>70.100000000000009</v>
      </c>
      <c r="V34" s="7">
        <v>3.7115449741623934</v>
      </c>
      <c r="W34" s="7">
        <v>5.957850353870942</v>
      </c>
      <c r="X34" s="7">
        <v>58.041475144348226</v>
      </c>
      <c r="Y34" s="7">
        <v>2.6114560098369814E-2</v>
      </c>
      <c r="Z34" s="7">
        <v>0.83566592314783406</v>
      </c>
      <c r="AA34" s="7">
        <v>2.4435766949188902</v>
      </c>
      <c r="AB34" s="7">
        <v>0.3618731899345532</v>
      </c>
      <c r="AC34" s="7">
        <v>3.9731437863948367</v>
      </c>
      <c r="AD34" s="7">
        <v>71.639699652713645</v>
      </c>
      <c r="AE34" s="8">
        <f t="shared" si="0"/>
        <v>1428642.3391723728</v>
      </c>
      <c r="AF34" s="8">
        <f t="shared" si="2"/>
        <v>797772.57052324503</v>
      </c>
      <c r="AG34" s="8">
        <f t="shared" si="2"/>
        <v>450997.50591137056</v>
      </c>
      <c r="AH34" s="8">
        <f t="shared" si="2"/>
        <v>125200.57604244816</v>
      </c>
      <c r="AI34">
        <v>1596.9999999999998</v>
      </c>
      <c r="AJ34">
        <v>15558</v>
      </c>
      <c r="AK34">
        <v>6.9999999999999982</v>
      </c>
      <c r="AL34">
        <v>223.99999999999994</v>
      </c>
      <c r="AM34">
        <v>655</v>
      </c>
      <c r="AN34">
        <v>97</v>
      </c>
      <c r="AO34">
        <v>1065</v>
      </c>
    </row>
    <row r="35" spans="1:41" x14ac:dyDescent="0.35">
      <c r="A35" s="5" t="s">
        <v>107</v>
      </c>
      <c r="B35" s="5" t="s">
        <v>108</v>
      </c>
      <c r="C35" s="6">
        <v>27066230</v>
      </c>
      <c r="D35" s="7">
        <v>4.8617779424766576</v>
      </c>
      <c r="E35">
        <v>40.754999999999995</v>
      </c>
      <c r="F35">
        <v>0.74303883168019547</v>
      </c>
      <c r="G35" s="7">
        <v>8.4215978952545356</v>
      </c>
      <c r="H35">
        <v>4.0944273458106286</v>
      </c>
      <c r="I35">
        <v>0.54349922394068184</v>
      </c>
      <c r="J35">
        <v>11.68</v>
      </c>
      <c r="K35">
        <v>49.68</v>
      </c>
      <c r="L35">
        <v>49.3</v>
      </c>
      <c r="M35">
        <v>52.36</v>
      </c>
      <c r="N35">
        <v>0.52283857722050142</v>
      </c>
      <c r="O35">
        <v>0.15281918930952315</v>
      </c>
      <c r="P35">
        <v>6.2854541304058556E-2</v>
      </c>
      <c r="Q35">
        <v>0.28699999999999998</v>
      </c>
      <c r="R35">
        <v>0.26459189999999999</v>
      </c>
      <c r="S35">
        <v>1747.635</v>
      </c>
      <c r="T35">
        <v>2.34</v>
      </c>
      <c r="U35">
        <v>29.2</v>
      </c>
      <c r="V35" s="7">
        <v>8.4215978952545356</v>
      </c>
      <c r="W35" s="7">
        <v>0.36724730411291118</v>
      </c>
      <c r="X35" s="7">
        <v>3.4278878144462674</v>
      </c>
      <c r="Y35" s="7">
        <v>0.63621716064631084</v>
      </c>
      <c r="Z35" s="7">
        <v>1.0344994482053836E-2</v>
      </c>
      <c r="AA35" s="7">
        <v>2.0689988964107672E-2</v>
      </c>
      <c r="AB35" s="7">
        <v>0.15960848629454488</v>
      </c>
      <c r="AC35" s="7">
        <v>0.23978219353046215</v>
      </c>
      <c r="AD35" s="7">
        <v>4.8617779424766576</v>
      </c>
      <c r="AE35" s="8">
        <f t="shared" si="0"/>
        <v>20111259.917187456</v>
      </c>
      <c r="AF35" s="8">
        <f t="shared" si="2"/>
        <v>14151269.183922851</v>
      </c>
      <c r="AG35" s="8">
        <f t="shared" si="2"/>
        <v>4136239.3262650948</v>
      </c>
      <c r="AH35" s="8">
        <f t="shared" si="2"/>
        <v>1701235.4714801488</v>
      </c>
      <c r="AI35">
        <v>994</v>
      </c>
      <c r="AJ35">
        <v>9278</v>
      </c>
      <c r="AK35">
        <v>1721.9999999999995</v>
      </c>
      <c r="AL35">
        <v>28</v>
      </c>
      <c r="AM35">
        <v>56</v>
      </c>
      <c r="AN35">
        <v>431.99999999999989</v>
      </c>
      <c r="AO35">
        <v>649.00000000000011</v>
      </c>
    </row>
    <row r="36" spans="1:41" x14ac:dyDescent="0.35">
      <c r="A36" s="5" t="s">
        <v>109</v>
      </c>
      <c r="B36" s="5" t="s">
        <v>110</v>
      </c>
      <c r="C36" s="6">
        <v>222182400</v>
      </c>
      <c r="D36" s="7">
        <v>24.888560029957361</v>
      </c>
      <c r="E36">
        <v>44.097499999999997</v>
      </c>
      <c r="F36">
        <v>0.60520174664925264</v>
      </c>
      <c r="G36" s="7">
        <v>3.4264394713514861</v>
      </c>
      <c r="H36">
        <v>23.664466103615773</v>
      </c>
      <c r="I36">
        <v>1.7813082696919289</v>
      </c>
      <c r="J36">
        <v>14.08</v>
      </c>
      <c r="K36">
        <v>53.21</v>
      </c>
      <c r="L36">
        <v>62.66</v>
      </c>
      <c r="M36">
        <v>46.44</v>
      </c>
      <c r="N36">
        <v>0.41661934185884308</v>
      </c>
      <c r="O36">
        <v>0.14433401847649949</v>
      </c>
      <c r="P36">
        <v>4.2283574865925044E-2</v>
      </c>
      <c r="Q36">
        <v>0.38</v>
      </c>
      <c r="R36">
        <v>0.3161699</v>
      </c>
      <c r="S36">
        <v>5789.0159999999996</v>
      </c>
      <c r="T36">
        <v>5.8</v>
      </c>
      <c r="U36">
        <v>46.800000000000004</v>
      </c>
      <c r="V36" s="7">
        <v>3.4264394713514861</v>
      </c>
      <c r="W36" s="7">
        <v>3.8995888063140915</v>
      </c>
      <c r="X36" s="7">
        <v>9.9324248905403838</v>
      </c>
      <c r="Y36" s="7">
        <v>6.6065989025233316</v>
      </c>
      <c r="Z36" s="7">
        <v>0.22720071436801473</v>
      </c>
      <c r="AA36" s="7">
        <v>0.82261241214425618</v>
      </c>
      <c r="AB36" s="7">
        <v>1.6577820745477589</v>
      </c>
      <c r="AC36" s="7">
        <v>1.7423522295195299</v>
      </c>
      <c r="AD36" s="7">
        <v>24.888560029957361</v>
      </c>
      <c r="AE36" s="8">
        <f t="shared" si="0"/>
        <v>134465176.55472291</v>
      </c>
      <c r="AF36" s="8">
        <f t="shared" si="2"/>
        <v>92565485.260618225</v>
      </c>
      <c r="AG36" s="8">
        <f t="shared" si="2"/>
        <v>32068478.626752999</v>
      </c>
      <c r="AH36" s="8">
        <f t="shared" si="2"/>
        <v>9394666.1442909054</v>
      </c>
      <c r="AI36">
        <v>86642</v>
      </c>
      <c r="AJ36">
        <v>220681</v>
      </c>
      <c r="AK36">
        <v>146786.99999999997</v>
      </c>
      <c r="AL36">
        <v>5047.9999999999991</v>
      </c>
      <c r="AM36">
        <v>18276.999999999996</v>
      </c>
      <c r="AN36">
        <v>36833</v>
      </c>
      <c r="AO36">
        <v>38712</v>
      </c>
    </row>
    <row r="37" spans="1:41" x14ac:dyDescent="0.35">
      <c r="A37" s="5" t="s">
        <v>111</v>
      </c>
      <c r="B37" s="5" t="s">
        <v>112</v>
      </c>
      <c r="C37" s="6">
        <v>13924498</v>
      </c>
      <c r="D37" s="7">
        <v>13.318972073535434</v>
      </c>
      <c r="E37">
        <v>52.022499999999994</v>
      </c>
      <c r="F37">
        <v>0.38275530190051499</v>
      </c>
      <c r="G37" s="7">
        <v>8.8906552957311362</v>
      </c>
      <c r="H37">
        <v>11.403763826171689</v>
      </c>
      <c r="I37">
        <v>0.6922883324052328</v>
      </c>
      <c r="J37">
        <v>26.82</v>
      </c>
      <c r="K37">
        <v>70.06</v>
      </c>
      <c r="L37">
        <v>44.01</v>
      </c>
      <c r="M37">
        <v>67.2</v>
      </c>
      <c r="N37">
        <v>0.1659740372163217</v>
      </c>
      <c r="O37">
        <v>0.17304009943129375</v>
      </c>
      <c r="P37">
        <v>4.0846173442570521E-2</v>
      </c>
      <c r="Q37">
        <v>0.33100000000000002</v>
      </c>
      <c r="R37">
        <v>0.31762669999999998</v>
      </c>
      <c r="S37">
        <v>3355.683</v>
      </c>
      <c r="T37">
        <v>6</v>
      </c>
      <c r="U37">
        <v>28.900000000000002</v>
      </c>
      <c r="V37" s="7">
        <v>8.8906552957311362</v>
      </c>
      <c r="W37" s="7">
        <v>0.87830814439414617</v>
      </c>
      <c r="X37" s="7">
        <v>9.6958612080665318</v>
      </c>
      <c r="Y37" s="7">
        <v>1.1433087210756179</v>
      </c>
      <c r="Z37" s="7">
        <v>0.19677549596401966</v>
      </c>
      <c r="AA37" s="7">
        <v>5.8170858295932819E-2</v>
      </c>
      <c r="AB37" s="7">
        <v>0</v>
      </c>
      <c r="AC37" s="7">
        <v>1.3465476457391858</v>
      </c>
      <c r="AD37" s="7">
        <v>13.318972073535434</v>
      </c>
      <c r="AE37" s="8">
        <f t="shared" si="0"/>
        <v>5329675.4358031172</v>
      </c>
      <c r="AF37" s="8">
        <f t="shared" si="2"/>
        <v>2311105.1492705969</v>
      </c>
      <c r="AG37" s="8">
        <f t="shared" si="2"/>
        <v>2409496.5184508511</v>
      </c>
      <c r="AH37" s="8">
        <f t="shared" si="2"/>
        <v>568762.46040872636</v>
      </c>
      <c r="AI37">
        <v>1223</v>
      </c>
      <c r="AJ37">
        <v>13501</v>
      </c>
      <c r="AK37">
        <v>1591.9999999999998</v>
      </c>
      <c r="AL37">
        <v>274</v>
      </c>
      <c r="AM37">
        <v>81</v>
      </c>
      <c r="AN37">
        <v>0</v>
      </c>
      <c r="AO37">
        <v>1875</v>
      </c>
    </row>
    <row r="38" spans="1:41" x14ac:dyDescent="0.35">
      <c r="A38" s="5" t="s">
        <v>113</v>
      </c>
      <c r="B38" s="5" t="s">
        <v>114</v>
      </c>
      <c r="C38" s="6">
        <v>232132</v>
      </c>
      <c r="D38" s="7">
        <v>33.773887271035449</v>
      </c>
      <c r="E38">
        <v>60.137500000000003</v>
      </c>
      <c r="F38">
        <v>0.26640417665325467</v>
      </c>
      <c r="G38" s="7">
        <v>0.90000059899249152</v>
      </c>
      <c r="H38">
        <v>30.890154351834301</v>
      </c>
      <c r="J38">
        <v>44.77</v>
      </c>
      <c r="K38">
        <v>53.47</v>
      </c>
      <c r="L38">
        <v>62.61</v>
      </c>
      <c r="M38">
        <v>79.7</v>
      </c>
      <c r="N38">
        <v>8.5742941444987494E-2</v>
      </c>
      <c r="O38">
        <v>0.15520468546613181</v>
      </c>
      <c r="P38">
        <v>2.1865646872572111E-2</v>
      </c>
      <c r="Q38">
        <v>0.26600000000000001</v>
      </c>
      <c r="R38">
        <v>0.4141126</v>
      </c>
      <c r="S38">
        <v>5449.7889999999998</v>
      </c>
      <c r="T38">
        <v>16.63</v>
      </c>
      <c r="U38">
        <v>32.130000000000003</v>
      </c>
      <c r="V38" s="7">
        <v>0.90000059899249152</v>
      </c>
      <c r="W38" s="7">
        <v>4.5232884737993899</v>
      </c>
      <c r="X38" s="7">
        <v>18.95473265211173</v>
      </c>
      <c r="Y38" s="7">
        <v>2.1539468922854241</v>
      </c>
      <c r="Z38" s="7">
        <v>0.25847362707425087</v>
      </c>
      <c r="AA38" s="7">
        <v>1.5939207002912137</v>
      </c>
      <c r="AB38" s="7">
        <v>6.2895249254734376</v>
      </c>
      <c r="AC38" s="7">
        <v>0</v>
      </c>
      <c r="AD38" s="7">
        <v>33.773887271035449</v>
      </c>
      <c r="AE38" s="8">
        <f t="shared" si="0"/>
        <v>61840.934334873309</v>
      </c>
      <c r="AF38" s="8">
        <f t="shared" si="2"/>
        <v>19903.680483507836</v>
      </c>
      <c r="AG38" s="8">
        <f t="shared" si="2"/>
        <v>36027.974046624106</v>
      </c>
      <c r="AH38" s="8">
        <f t="shared" si="2"/>
        <v>5075.716339823909</v>
      </c>
      <c r="AI38">
        <v>105</v>
      </c>
      <c r="AJ38">
        <v>440</v>
      </c>
      <c r="AK38">
        <v>50.000000000000007</v>
      </c>
      <c r="AL38">
        <v>6</v>
      </c>
      <c r="AM38">
        <v>37</v>
      </c>
      <c r="AN38">
        <v>146</v>
      </c>
      <c r="AO38">
        <v>0</v>
      </c>
    </row>
    <row r="39" spans="1:41" x14ac:dyDescent="0.35">
      <c r="A39" s="5" t="s">
        <v>115</v>
      </c>
      <c r="B39" s="5" t="s">
        <v>116</v>
      </c>
      <c r="C39" s="6">
        <v>18116526</v>
      </c>
      <c r="D39" s="7">
        <v>5.7764937935672656</v>
      </c>
      <c r="E39">
        <v>52.125</v>
      </c>
      <c r="F39">
        <v>0.36508063195709667</v>
      </c>
      <c r="G39" s="7">
        <v>6.8920074029138476</v>
      </c>
      <c r="H39">
        <v>5.732720728576771</v>
      </c>
      <c r="I39">
        <v>1.4601029468894864</v>
      </c>
      <c r="J39">
        <v>30.05</v>
      </c>
      <c r="K39">
        <v>63.69</v>
      </c>
      <c r="L39">
        <v>55.65</v>
      </c>
      <c r="M39">
        <v>59.11</v>
      </c>
      <c r="N39">
        <v>0.1649072122431515</v>
      </c>
      <c r="O39">
        <v>0.1580066279516382</v>
      </c>
      <c r="P39">
        <v>3.6505767161045893E-2</v>
      </c>
      <c r="Q39">
        <v>0.32799999999999996</v>
      </c>
      <c r="R39">
        <v>0.3396112</v>
      </c>
      <c r="S39">
        <v>4464.78</v>
      </c>
      <c r="T39">
        <v>6.73</v>
      </c>
      <c r="U39">
        <v>58.7</v>
      </c>
      <c r="V39" s="7">
        <v>6.8920074029138476</v>
      </c>
      <c r="W39" s="7">
        <v>1.089060893904273</v>
      </c>
      <c r="X39" s="7">
        <v>2.6384749482323491</v>
      </c>
      <c r="Y39" s="7">
        <v>1.5952285774877588</v>
      </c>
      <c r="Z39" s="7">
        <v>0.10874049472840433</v>
      </c>
      <c r="AA39" s="7">
        <v>0.20147350546125675</v>
      </c>
      <c r="AB39" s="7">
        <v>0</v>
      </c>
      <c r="AC39" s="7">
        <v>0.14351537375322398</v>
      </c>
      <c r="AD39" s="7">
        <v>5.7764937935672656</v>
      </c>
      <c r="AE39" s="8">
        <f t="shared" si="0"/>
        <v>6613992.7609471725</v>
      </c>
      <c r="AF39" s="8">
        <f t="shared" si="2"/>
        <v>2987545.7981905723</v>
      </c>
      <c r="AG39" s="8">
        <f t="shared" si="2"/>
        <v>2862531.1834581802</v>
      </c>
      <c r="AH39" s="8">
        <f t="shared" si="2"/>
        <v>661357.67992303416</v>
      </c>
      <c r="AI39">
        <v>1973.0000000000005</v>
      </c>
      <c r="AJ39">
        <v>4780.0000000000009</v>
      </c>
      <c r="AK39">
        <v>2889.9999999999995</v>
      </c>
      <c r="AL39">
        <v>197</v>
      </c>
      <c r="AM39">
        <v>365</v>
      </c>
      <c r="AN39">
        <v>0</v>
      </c>
      <c r="AO39">
        <v>260</v>
      </c>
    </row>
    <row r="40" spans="1:41" x14ac:dyDescent="0.35">
      <c r="A40" s="5" t="s">
        <v>117</v>
      </c>
      <c r="B40" s="5" t="s">
        <v>118</v>
      </c>
      <c r="C40" s="6">
        <v>99912</v>
      </c>
      <c r="D40" s="7">
        <v>189.56681880054444</v>
      </c>
      <c r="E40">
        <v>75.462500000000006</v>
      </c>
      <c r="F40">
        <v>0.3120941327811978</v>
      </c>
      <c r="G40" s="7">
        <v>3.4656806641534104</v>
      </c>
      <c r="H40">
        <v>230.71805128513097</v>
      </c>
      <c r="I40">
        <v>10.684802626311154</v>
      </c>
      <c r="J40">
        <v>78.3</v>
      </c>
      <c r="K40">
        <v>87.12</v>
      </c>
      <c r="L40">
        <v>57.3</v>
      </c>
      <c r="M40">
        <v>79.13</v>
      </c>
      <c r="N40">
        <v>6.782598305724101E-2</v>
      </c>
      <c r="O40">
        <v>0.22109037588065925</v>
      </c>
      <c r="P40">
        <v>2.314529161372509E-2</v>
      </c>
      <c r="Q40">
        <v>0.318</v>
      </c>
      <c r="R40">
        <v>0.52842650999999996</v>
      </c>
      <c r="S40">
        <v>35085.182000000001</v>
      </c>
      <c r="U40">
        <v>46</v>
      </c>
      <c r="V40" s="7">
        <v>3.4656806641534104</v>
      </c>
      <c r="W40" s="7">
        <v>82.872928176795583</v>
      </c>
      <c r="X40" s="7">
        <v>62.555048442629513</v>
      </c>
      <c r="Y40" s="7">
        <v>31.227480182560654</v>
      </c>
      <c r="Z40" s="7">
        <v>4.4038754103611177</v>
      </c>
      <c r="AA40" s="7">
        <v>5.4047561854431896</v>
      </c>
      <c r="AB40" s="7">
        <v>1.0008807750820721</v>
      </c>
      <c r="AC40" s="7">
        <v>2.1018496276723515</v>
      </c>
      <c r="AD40" s="7">
        <v>189.56681880054444</v>
      </c>
      <c r="AE40" s="8">
        <f t="shared" si="0"/>
        <v>31181.948994435035</v>
      </c>
      <c r="AF40" s="8">
        <f t="shared" si="2"/>
        <v>6776.6296192150639</v>
      </c>
      <c r="AG40" s="8">
        <f t="shared" si="2"/>
        <v>22089.581634988426</v>
      </c>
      <c r="AH40" s="8">
        <f t="shared" si="2"/>
        <v>2312.4923757105012</v>
      </c>
      <c r="AI40">
        <v>828</v>
      </c>
      <c r="AJ40">
        <v>625</v>
      </c>
      <c r="AK40">
        <v>312</v>
      </c>
      <c r="AL40">
        <v>44</v>
      </c>
      <c r="AM40">
        <v>54</v>
      </c>
      <c r="AN40">
        <v>9.9999999999999982</v>
      </c>
      <c r="AO40">
        <v>20.999999999999996</v>
      </c>
    </row>
    <row r="41" spans="1:41" x14ac:dyDescent="0.35">
      <c r="A41" s="5" t="s">
        <v>119</v>
      </c>
      <c r="B41" s="5" t="s">
        <v>120</v>
      </c>
      <c r="C41" s="6">
        <v>8472212</v>
      </c>
      <c r="D41" s="7">
        <v>13.142966677415535</v>
      </c>
      <c r="E41">
        <v>47.877499999999998</v>
      </c>
      <c r="F41">
        <v>0.62214615616470859</v>
      </c>
      <c r="G41" s="7">
        <v>4.0000000257011266</v>
      </c>
      <c r="H41">
        <v>11.384249263356487</v>
      </c>
      <c r="I41">
        <v>5.2633400226528799</v>
      </c>
      <c r="J41">
        <v>14.19</v>
      </c>
      <c r="K41">
        <v>50.54</v>
      </c>
      <c r="L41">
        <v>54.72</v>
      </c>
      <c r="M41">
        <v>72.06</v>
      </c>
      <c r="N41">
        <v>0.39564768663342004</v>
      </c>
      <c r="O41">
        <v>0.17921992752953569</v>
      </c>
      <c r="P41">
        <v>4.5723569546007918E-2</v>
      </c>
      <c r="Q41">
        <v>0.32700000000000001</v>
      </c>
      <c r="R41">
        <v>0.30919380000000002</v>
      </c>
      <c r="S41">
        <v>2966.491</v>
      </c>
      <c r="T41">
        <v>2.63</v>
      </c>
      <c r="U41">
        <v>59</v>
      </c>
      <c r="V41" s="7">
        <v>4.0000000257011266</v>
      </c>
      <c r="W41" s="7">
        <v>1.3054441980441471</v>
      </c>
      <c r="X41" s="7">
        <v>8.6825022792158641</v>
      </c>
      <c r="Y41" s="7">
        <v>2.6805278243745554</v>
      </c>
      <c r="Z41" s="7">
        <v>1.7704939394812123E-2</v>
      </c>
      <c r="AA41" s="7">
        <v>0.10504930707588526</v>
      </c>
      <c r="AB41" s="7">
        <v>0</v>
      </c>
      <c r="AC41" s="7">
        <v>0.35173812931026754</v>
      </c>
      <c r="AD41" s="7">
        <v>13.142966677415535</v>
      </c>
      <c r="AE41" s="8">
        <f t="shared" si="0"/>
        <v>5270954.1300125178</v>
      </c>
      <c r="AF41" s="8">
        <f t="shared" si="2"/>
        <v>3352011.0784679009</v>
      </c>
      <c r="AG41" s="8">
        <f t="shared" si="2"/>
        <v>1518389.2206548627</v>
      </c>
      <c r="AH41" s="8">
        <f t="shared" si="2"/>
        <v>387379.77459052281</v>
      </c>
      <c r="AI41">
        <v>1106</v>
      </c>
      <c r="AJ41">
        <v>7356</v>
      </c>
      <c r="AK41">
        <v>2271</v>
      </c>
      <c r="AL41">
        <v>15</v>
      </c>
      <c r="AM41">
        <v>89</v>
      </c>
      <c r="AN41">
        <v>0</v>
      </c>
      <c r="AO41">
        <v>298.00000000000006</v>
      </c>
    </row>
    <row r="42" spans="1:41" x14ac:dyDescent="0.35">
      <c r="A42" s="5" t="s">
        <v>121</v>
      </c>
      <c r="B42" s="5" t="s">
        <v>122</v>
      </c>
      <c r="C42" s="6">
        <v>61452696</v>
      </c>
      <c r="D42" s="7">
        <v>76.068102854266968</v>
      </c>
      <c r="E42">
        <v>71.335000000000008</v>
      </c>
      <c r="F42">
        <v>0.59898341166070868</v>
      </c>
      <c r="G42" s="7">
        <v>0.5798536923039137</v>
      </c>
      <c r="H42">
        <v>66.053003462858655</v>
      </c>
      <c r="I42">
        <v>2.1852693411530715</v>
      </c>
      <c r="J42">
        <v>79.53</v>
      </c>
      <c r="K42">
        <v>68.77</v>
      </c>
      <c r="L42">
        <v>60.66</v>
      </c>
      <c r="M42">
        <v>76.38</v>
      </c>
      <c r="N42">
        <v>0.2728903357757716</v>
      </c>
      <c r="O42">
        <v>0.23352653702763926</v>
      </c>
      <c r="P42">
        <v>6.6110008896233377E-2</v>
      </c>
      <c r="Q42">
        <v>0.45799999999999996</v>
      </c>
      <c r="R42">
        <v>0.44564129999999996</v>
      </c>
      <c r="S42">
        <v>13771.97</v>
      </c>
      <c r="T42">
        <v>21.64</v>
      </c>
      <c r="U42">
        <v>54</v>
      </c>
      <c r="V42" s="7">
        <v>0.5798536923039137</v>
      </c>
      <c r="W42" s="7">
        <v>8.0603461237892642</v>
      </c>
      <c r="X42" s="7">
        <v>64.645007600642941</v>
      </c>
      <c r="Y42" s="7">
        <v>0.25108743805153805</v>
      </c>
      <c r="Z42" s="7">
        <v>0.19039034512009043</v>
      </c>
      <c r="AA42" s="7">
        <v>2.7385291607059843</v>
      </c>
      <c r="AB42" s="7">
        <v>2.115448279112116E-3</v>
      </c>
      <c r="AC42" s="7">
        <v>0.1806267376780345</v>
      </c>
      <c r="AD42" s="7">
        <v>76.068102854266968</v>
      </c>
      <c r="AE42" s="8">
        <f t="shared" si="0"/>
        <v>36809145.505828388</v>
      </c>
      <c r="AF42" s="8">
        <f t="shared" si="2"/>
        <v>16769846.845766416</v>
      </c>
      <c r="AG42" s="8">
        <f t="shared" si="2"/>
        <v>14350835.28789226</v>
      </c>
      <c r="AH42" s="8">
        <f t="shared" si="2"/>
        <v>4062638.2792575252</v>
      </c>
      <c r="AI42">
        <v>49533</v>
      </c>
      <c r="AJ42">
        <v>397261</v>
      </c>
      <c r="AK42">
        <v>1543</v>
      </c>
      <c r="AL42">
        <v>1170</v>
      </c>
      <c r="AM42">
        <v>16829</v>
      </c>
      <c r="AN42">
        <v>13.000000000000002</v>
      </c>
      <c r="AO42">
        <v>1110</v>
      </c>
    </row>
    <row r="43" spans="1:41" x14ac:dyDescent="0.35">
      <c r="A43" s="5" t="s">
        <v>123</v>
      </c>
      <c r="B43" s="5" t="s">
        <v>124</v>
      </c>
      <c r="C43" s="6">
        <v>11891023</v>
      </c>
      <c r="D43" s="7">
        <v>7.7142227376063435</v>
      </c>
      <c r="E43">
        <v>36.597499999999997</v>
      </c>
      <c r="F43">
        <v>0.63690565705921587</v>
      </c>
      <c r="G43" s="7"/>
      <c r="H43">
        <v>6.4682067236771807</v>
      </c>
      <c r="I43">
        <v>1.0973401531558722</v>
      </c>
      <c r="J43">
        <v>21.91</v>
      </c>
      <c r="K43">
        <v>35.58</v>
      </c>
      <c r="L43">
        <v>59.48</v>
      </c>
      <c r="M43">
        <v>29.42</v>
      </c>
      <c r="N43">
        <v>0.41618333128777973</v>
      </c>
      <c r="O43">
        <v>0.15884744607502699</v>
      </c>
      <c r="P43">
        <v>5.7924879340651249E-2</v>
      </c>
      <c r="Q43">
        <v>0.21299999999999999</v>
      </c>
      <c r="R43">
        <v>0.29113900000000004</v>
      </c>
      <c r="S43">
        <v>660.09400000000005</v>
      </c>
      <c r="T43">
        <v>3.35</v>
      </c>
      <c r="U43">
        <v>46.32</v>
      </c>
      <c r="V43" s="7"/>
      <c r="W43" s="7">
        <v>0.38348256495677452</v>
      </c>
      <c r="X43" s="7">
        <v>3.8095965334521678</v>
      </c>
      <c r="Y43" s="7">
        <v>2.5969170188300872</v>
      </c>
      <c r="Z43" s="7">
        <v>2.691105718994909E-2</v>
      </c>
      <c r="AA43" s="7">
        <v>0.13455528594974545</v>
      </c>
      <c r="AB43" s="7">
        <v>0.53401629111305227</v>
      </c>
      <c r="AC43" s="7">
        <v>0.22874398611456728</v>
      </c>
      <c r="AD43" s="7">
        <v>7.7142227376063435</v>
      </c>
      <c r="AE43" s="8">
        <f t="shared" si="0"/>
        <v>7573459.8169212481</v>
      </c>
      <c r="AF43" s="8">
        <f t="shared" si="2"/>
        <v>4948845.5645596087</v>
      </c>
      <c r="AG43" s="8">
        <f t="shared" si="2"/>
        <v>1888858.6347694057</v>
      </c>
      <c r="AH43" s="8">
        <f t="shared" si="2"/>
        <v>688786.07251190883</v>
      </c>
      <c r="AI43">
        <v>456</v>
      </c>
      <c r="AJ43">
        <v>4529.9999999999991</v>
      </c>
      <c r="AK43">
        <v>3088</v>
      </c>
      <c r="AL43">
        <v>32</v>
      </c>
      <c r="AM43">
        <v>160</v>
      </c>
      <c r="AN43">
        <v>635</v>
      </c>
      <c r="AO43">
        <v>272</v>
      </c>
    </row>
    <row r="44" spans="1:41" x14ac:dyDescent="0.35">
      <c r="A44" s="5" t="s">
        <v>125</v>
      </c>
      <c r="B44" s="5" t="s">
        <v>126</v>
      </c>
      <c r="C44" s="6">
        <v>49700758</v>
      </c>
      <c r="D44" s="7">
        <v>27.278054793450032</v>
      </c>
      <c r="E44">
        <v>46.8125</v>
      </c>
      <c r="F44">
        <v>0.39850536567927758</v>
      </c>
      <c r="G44" s="7">
        <v>6.1364520184639844</v>
      </c>
      <c r="H44">
        <v>23.242417004183313</v>
      </c>
      <c r="I44">
        <v>0.2082909379370029</v>
      </c>
      <c r="J44">
        <v>22.84</v>
      </c>
      <c r="K44">
        <v>55.37</v>
      </c>
      <c r="L44">
        <v>56.9</v>
      </c>
      <c r="M44">
        <v>52.14</v>
      </c>
      <c r="N44">
        <v>0.21625225487927172</v>
      </c>
      <c r="O44">
        <v>0.13944238339201867</v>
      </c>
      <c r="P44">
        <v>4.0092692100191125E-2</v>
      </c>
      <c r="Q44">
        <v>0.27800000000000002</v>
      </c>
      <c r="R44">
        <v>0.32356370000000001</v>
      </c>
      <c r="S44">
        <v>3240.9789999999998</v>
      </c>
      <c r="T44">
        <v>4.33</v>
      </c>
      <c r="U44">
        <v>40.1</v>
      </c>
      <c r="V44" s="7">
        <v>6.1364520184639844</v>
      </c>
      <c r="W44" s="7">
        <v>1.8213001902304993</v>
      </c>
      <c r="X44" s="7">
        <v>14.928746157151163</v>
      </c>
      <c r="Y44" s="7">
        <v>6.6310859886684224</v>
      </c>
      <c r="Z44" s="7">
        <v>0.10140690409590936</v>
      </c>
      <c r="AA44" s="7">
        <v>0.34446154724642225</v>
      </c>
      <c r="AB44" s="7">
        <v>0.75894214732097243</v>
      </c>
      <c r="AC44" s="7">
        <v>2.6921118587366415</v>
      </c>
      <c r="AD44" s="7">
        <v>27.278054793450032</v>
      </c>
      <c r="AE44" s="8">
        <f t="shared" si="0"/>
        <v>19806018.741327282</v>
      </c>
      <c r="AF44" s="8">
        <f t="shared" si="2"/>
        <v>10747900.986709002</v>
      </c>
      <c r="AG44" s="8">
        <f t="shared" si="2"/>
        <v>6930392.151909939</v>
      </c>
      <c r="AH44" s="8">
        <f t="shared" si="2"/>
        <v>1992637.187640111</v>
      </c>
      <c r="AI44">
        <v>9052.0000000000018</v>
      </c>
      <c r="AJ44">
        <v>74197</v>
      </c>
      <c r="AK44">
        <v>32957</v>
      </c>
      <c r="AL44">
        <v>504</v>
      </c>
      <c r="AM44">
        <v>1712</v>
      </c>
      <c r="AN44">
        <v>3772</v>
      </c>
      <c r="AO44">
        <v>13380</v>
      </c>
    </row>
    <row r="45" spans="1:41" x14ac:dyDescent="0.35">
      <c r="A45" s="5" t="s">
        <v>127</v>
      </c>
      <c r="B45" s="5" t="s">
        <v>128</v>
      </c>
      <c r="C45" s="6">
        <v>65136238</v>
      </c>
      <c r="D45" s="7">
        <v>9.8502771989994251</v>
      </c>
      <c r="E45">
        <v>51.212500000000006</v>
      </c>
      <c r="F45">
        <v>0.40710627607488364</v>
      </c>
      <c r="G45" s="7">
        <v>5.5263138305945034</v>
      </c>
      <c r="H45">
        <v>9.0431618115556525</v>
      </c>
      <c r="I45">
        <v>5.9479843386104063</v>
      </c>
      <c r="J45">
        <v>27.27</v>
      </c>
      <c r="K45">
        <v>54.91</v>
      </c>
      <c r="L45">
        <v>54.5</v>
      </c>
      <c r="M45">
        <v>68.17</v>
      </c>
      <c r="N45">
        <v>0.22733352917512639</v>
      </c>
      <c r="O45">
        <v>0.14378753375303649</v>
      </c>
      <c r="P45">
        <v>3.3397869842837262E-2</v>
      </c>
      <c r="Q45">
        <v>0.36499999999999999</v>
      </c>
      <c r="R45">
        <v>0.32460880000000003</v>
      </c>
      <c r="S45">
        <v>3638.1469999999999</v>
      </c>
      <c r="T45">
        <v>3.2</v>
      </c>
      <c r="U45">
        <v>41.2</v>
      </c>
      <c r="V45" s="7">
        <v>5.5263138305945034</v>
      </c>
      <c r="W45" s="7">
        <v>1.3345873613394743</v>
      </c>
      <c r="X45" s="7">
        <v>7.086070890369812</v>
      </c>
      <c r="Y45" s="7">
        <v>0</v>
      </c>
      <c r="Z45" s="7">
        <v>0.11591090047294411</v>
      </c>
      <c r="AA45" s="7">
        <v>0.34727212830437032</v>
      </c>
      <c r="AB45" s="7">
        <v>0.23826982454835663</v>
      </c>
      <c r="AC45" s="7">
        <v>0.72816609396446885</v>
      </c>
      <c r="AD45" s="7">
        <v>9.8502771989994251</v>
      </c>
      <c r="AE45" s="8">
        <f t="shared" si="0"/>
        <v>26517371.289707325</v>
      </c>
      <c r="AF45" s="8">
        <f t="shared" si="2"/>
        <v>14807650.861730976</v>
      </c>
      <c r="AG45" s="8">
        <f t="shared" si="2"/>
        <v>9365779.0199708175</v>
      </c>
      <c r="AH45" s="8">
        <f t="shared" si="2"/>
        <v>2175411.5987760704</v>
      </c>
      <c r="AI45">
        <v>8693</v>
      </c>
      <c r="AJ45">
        <v>46156</v>
      </c>
      <c r="AK45">
        <v>0</v>
      </c>
      <c r="AL45">
        <v>755</v>
      </c>
      <c r="AM45">
        <v>2262</v>
      </c>
      <c r="AN45">
        <v>1552</v>
      </c>
      <c r="AO45">
        <v>4743.0000000000009</v>
      </c>
    </row>
    <row r="46" spans="1:41" x14ac:dyDescent="0.35">
      <c r="A46" s="5" t="s">
        <v>129</v>
      </c>
      <c r="B46" s="5" t="s">
        <v>130</v>
      </c>
      <c r="C46" s="6">
        <v>8886635</v>
      </c>
      <c r="D46" s="7">
        <v>6.7978486795057966</v>
      </c>
      <c r="E46">
        <v>46.519999999999996</v>
      </c>
      <c r="F46">
        <v>0.4825229129974139</v>
      </c>
      <c r="G46" s="7">
        <v>5.3000053141664125</v>
      </c>
      <c r="H46">
        <v>6.2109685522135205</v>
      </c>
      <c r="I46">
        <v>9.3501279730741729</v>
      </c>
      <c r="J46">
        <v>19.600000000000001</v>
      </c>
      <c r="K46">
        <v>52.66</v>
      </c>
      <c r="L46">
        <v>50.72</v>
      </c>
      <c r="M46">
        <v>63.1</v>
      </c>
      <c r="N46">
        <v>0.25168431894204213</v>
      </c>
      <c r="O46">
        <v>0.18194218749659744</v>
      </c>
      <c r="P46">
        <v>4.5928544433521477E-2</v>
      </c>
      <c r="Q46">
        <v>0.313</v>
      </c>
      <c r="R46">
        <v>0.33478419999999998</v>
      </c>
      <c r="S46">
        <v>2895.085</v>
      </c>
      <c r="T46">
        <v>3.7</v>
      </c>
      <c r="U46">
        <v>33.799999999999997</v>
      </c>
      <c r="V46" s="7">
        <v>5.3000053141664125</v>
      </c>
      <c r="W46" s="7">
        <v>0.82145829101791623</v>
      </c>
      <c r="X46" s="7">
        <v>2.9595004183248217</v>
      </c>
      <c r="Y46" s="7">
        <v>2.09753185542109</v>
      </c>
      <c r="Z46" s="7">
        <v>2.4756277263553637E-2</v>
      </c>
      <c r="AA46" s="7">
        <v>0.28694775919118992</v>
      </c>
      <c r="AB46" s="7">
        <v>0.14178595160035265</v>
      </c>
      <c r="AC46" s="7">
        <v>0.46586812668687305</v>
      </c>
      <c r="AD46" s="7">
        <v>6.7978486795057966</v>
      </c>
      <c r="AE46" s="8">
        <f t="shared" si="0"/>
        <v>4288005.0069447737</v>
      </c>
      <c r="AF46" s="8">
        <f t="shared" si="2"/>
        <v>2236626.6776615144</v>
      </c>
      <c r="AG46" s="8">
        <f t="shared" si="2"/>
        <v>1616853.8113838253</v>
      </c>
      <c r="AH46" s="8">
        <f t="shared" si="2"/>
        <v>408150.21046198712</v>
      </c>
      <c r="AI46">
        <v>730</v>
      </c>
      <c r="AJ46">
        <v>2630</v>
      </c>
      <c r="AK46">
        <v>1863.9999999999995</v>
      </c>
      <c r="AL46">
        <v>21.999999999999996</v>
      </c>
      <c r="AM46">
        <v>255</v>
      </c>
      <c r="AN46">
        <v>125.99999999999997</v>
      </c>
      <c r="AO46">
        <v>414</v>
      </c>
    </row>
    <row r="47" spans="1:41" x14ac:dyDescent="0.35">
      <c r="A47" s="5" t="s">
        <v>131</v>
      </c>
      <c r="B47" s="5" t="s">
        <v>132</v>
      </c>
      <c r="C47" s="6">
        <v>20032801</v>
      </c>
      <c r="D47" s="7">
        <v>34.627209644822003</v>
      </c>
      <c r="E47">
        <v>57.49</v>
      </c>
      <c r="F47">
        <v>0.50513805423928626</v>
      </c>
      <c r="G47" s="7">
        <v>4.0431482994442973</v>
      </c>
      <c r="H47">
        <v>29.96820612604299</v>
      </c>
      <c r="I47">
        <v>5.948934899318373</v>
      </c>
      <c r="J47">
        <v>37.54</v>
      </c>
      <c r="K47">
        <v>60.64</v>
      </c>
      <c r="L47">
        <v>57.47</v>
      </c>
      <c r="M47">
        <v>74.31</v>
      </c>
      <c r="N47">
        <v>0.30859836329964879</v>
      </c>
      <c r="O47">
        <v>0.1537962183167122</v>
      </c>
      <c r="P47">
        <v>3.6071446539086352E-2</v>
      </c>
      <c r="Q47">
        <v>0.26500000000000001</v>
      </c>
      <c r="R47">
        <v>0.31617059999999997</v>
      </c>
      <c r="S47">
        <v>3747.732</v>
      </c>
      <c r="T47">
        <v>5.23</v>
      </c>
      <c r="U47">
        <v>52.300000000000004</v>
      </c>
      <c r="V47" s="7">
        <v>4.0431482994442973</v>
      </c>
      <c r="W47" s="7">
        <v>3.260153185767682</v>
      </c>
      <c r="X47" s="7">
        <v>24.946586351054954</v>
      </c>
      <c r="Y47" s="7">
        <v>4.5934664852907989</v>
      </c>
      <c r="Z47" s="7">
        <v>0.14126831290342273</v>
      </c>
      <c r="AA47" s="7">
        <v>0.71133337769391314</v>
      </c>
      <c r="AB47" s="7">
        <v>0.20915697210789444</v>
      </c>
      <c r="AC47" s="7">
        <v>0.76524496000334652</v>
      </c>
      <c r="AD47" s="7">
        <v>34.627209644822003</v>
      </c>
      <c r="AE47" s="8">
        <f t="shared" si="0"/>
        <v>10119330.118102828</v>
      </c>
      <c r="AF47" s="8">
        <f t="shared" si="2"/>
        <v>6182089.6009075679</v>
      </c>
      <c r="AG47" s="8">
        <f t="shared" si="2"/>
        <v>3080969.0360912504</v>
      </c>
      <c r="AH47" s="8">
        <f t="shared" si="2"/>
        <v>722612.11029965559</v>
      </c>
      <c r="AI47">
        <v>6531.0000000000009</v>
      </c>
      <c r="AJ47">
        <v>49975.000000000007</v>
      </c>
      <c r="AK47">
        <v>9202</v>
      </c>
      <c r="AL47">
        <v>283</v>
      </c>
      <c r="AM47">
        <v>1425</v>
      </c>
      <c r="AN47">
        <v>419</v>
      </c>
      <c r="AO47">
        <v>1533</v>
      </c>
    </row>
    <row r="48" spans="1:41" x14ac:dyDescent="0.35">
      <c r="A48" s="5" t="s">
        <v>133</v>
      </c>
      <c r="B48" s="5" t="s">
        <v>134</v>
      </c>
      <c r="C48" s="6">
        <v>15581023</v>
      </c>
      <c r="D48" s="7">
        <v>36.237671942336519</v>
      </c>
      <c r="E48">
        <v>56.534999999999997</v>
      </c>
      <c r="F48">
        <v>0.55124774450300362</v>
      </c>
      <c r="G48" s="7">
        <v>2.0294841433712349</v>
      </c>
      <c r="H48">
        <v>29.796678813708194</v>
      </c>
      <c r="I48">
        <v>2.4268710084055458</v>
      </c>
      <c r="J48">
        <v>40.409999999999997</v>
      </c>
      <c r="K48">
        <v>47.83</v>
      </c>
      <c r="L48">
        <v>66.739999999999995</v>
      </c>
      <c r="M48">
        <v>71.16</v>
      </c>
      <c r="N48">
        <v>0.29968261517066563</v>
      </c>
      <c r="O48">
        <v>0.18528360365862584</v>
      </c>
      <c r="P48">
        <v>5.7561610933959804E-2</v>
      </c>
      <c r="Q48">
        <v>0.32400000000000001</v>
      </c>
      <c r="R48">
        <v>0.285771</v>
      </c>
      <c r="S48">
        <v>4465.3609999999999</v>
      </c>
      <c r="T48">
        <v>4.5</v>
      </c>
      <c r="U48">
        <v>46</v>
      </c>
      <c r="V48" s="7">
        <v>2.0294841433712349</v>
      </c>
      <c r="W48" s="7">
        <v>1.4260937808769039</v>
      </c>
      <c r="X48" s="7">
        <v>29.867743600660884</v>
      </c>
      <c r="Y48" s="7">
        <v>1.8002669016020323</v>
      </c>
      <c r="Z48" s="7">
        <v>0.3157687399601426</v>
      </c>
      <c r="AA48" s="7">
        <v>1.2207157386264047</v>
      </c>
      <c r="AB48" s="7">
        <v>0.92997744756554179</v>
      </c>
      <c r="AC48" s="7">
        <v>0.67710573304461452</v>
      </c>
      <c r="AD48" s="7">
        <v>36.237671942336519</v>
      </c>
      <c r="AE48" s="8">
        <f t="shared" si="0"/>
        <v>8589003.7857994232</v>
      </c>
      <c r="AF48" s="8">
        <f t="shared" si="2"/>
        <v>4669361.7196742902</v>
      </c>
      <c r="AG48" s="8">
        <f t="shared" si="2"/>
        <v>2886908.0901279333</v>
      </c>
      <c r="AH48" s="8">
        <f t="shared" si="2"/>
        <v>896868.78387907916</v>
      </c>
      <c r="AI48">
        <v>2222</v>
      </c>
      <c r="AJ48">
        <v>46537.000000000007</v>
      </c>
      <c r="AK48">
        <v>2805.0000000000005</v>
      </c>
      <c r="AL48">
        <v>492.00000000000011</v>
      </c>
      <c r="AM48">
        <v>1902</v>
      </c>
      <c r="AN48">
        <v>1449</v>
      </c>
      <c r="AO48">
        <v>1054.9999999999998</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2238-EF19-42B7-8A28-62660CDA2A26}">
  <dimension ref="A2:D41"/>
  <sheetViews>
    <sheetView zoomScale="140" zoomScaleNormal="140" workbookViewId="0">
      <selection activeCell="B5" sqref="B5"/>
    </sheetView>
  </sheetViews>
  <sheetFormatPr defaultRowHeight="14.5" x14ac:dyDescent="0.35"/>
  <cols>
    <col min="1" max="1" width="14.81640625" customWidth="1"/>
    <col min="2" max="2" width="10.81640625" bestFit="1" customWidth="1"/>
    <col min="3" max="3" width="72.81640625" customWidth="1"/>
  </cols>
  <sheetData>
    <row r="2" spans="2:4" x14ac:dyDescent="0.35">
      <c r="B2" s="5" t="s">
        <v>135</v>
      </c>
      <c r="C2" s="5" t="s">
        <v>136</v>
      </c>
    </row>
    <row r="3" spans="2:4" x14ac:dyDescent="0.35">
      <c r="B3" s="12" t="s">
        <v>7</v>
      </c>
      <c r="C3" s="13" t="s">
        <v>137</v>
      </c>
    </row>
    <row r="4" spans="2:4" x14ac:dyDescent="0.35">
      <c r="B4" s="12" t="s">
        <v>8</v>
      </c>
      <c r="C4" s="13" t="s">
        <v>138</v>
      </c>
    </row>
    <row r="5" spans="2:4" x14ac:dyDescent="0.35">
      <c r="B5" s="14" t="s">
        <v>9</v>
      </c>
      <c r="C5" s="13" t="s">
        <v>139</v>
      </c>
    </row>
    <row r="6" spans="2:4" x14ac:dyDescent="0.35">
      <c r="B6" s="14" t="s">
        <v>10</v>
      </c>
      <c r="C6" s="13" t="s">
        <v>140</v>
      </c>
    </row>
    <row r="7" spans="2:4" x14ac:dyDescent="0.35">
      <c r="B7" s="14" t="s">
        <v>11</v>
      </c>
      <c r="C7" s="13" t="s">
        <v>141</v>
      </c>
    </row>
    <row r="8" spans="2:4" ht="29" x14ac:dyDescent="0.35">
      <c r="B8" s="15" t="s">
        <v>31</v>
      </c>
      <c r="C8" s="16" t="s">
        <v>142</v>
      </c>
    </row>
    <row r="9" spans="2:4" x14ac:dyDescent="0.35">
      <c r="B9" s="15" t="s">
        <v>32</v>
      </c>
      <c r="C9" s="16" t="s">
        <v>143</v>
      </c>
    </row>
    <row r="10" spans="2:4" x14ac:dyDescent="0.35">
      <c r="B10" s="15" t="s">
        <v>33</v>
      </c>
      <c r="C10" s="16" t="s">
        <v>144</v>
      </c>
    </row>
    <row r="11" spans="2:4" x14ac:dyDescent="0.35">
      <c r="B11" t="s">
        <v>16</v>
      </c>
      <c r="C11" s="17" t="s">
        <v>145</v>
      </c>
    </row>
    <row r="12" spans="2:4" x14ac:dyDescent="0.35">
      <c r="B12" t="s">
        <v>17</v>
      </c>
      <c r="C12" s="17" t="s">
        <v>146</v>
      </c>
    </row>
    <row r="13" spans="2:4" x14ac:dyDescent="0.35">
      <c r="B13" s="18" t="s">
        <v>18</v>
      </c>
      <c r="C13" s="18" t="s">
        <v>147</v>
      </c>
      <c r="D13" t="s">
        <v>148</v>
      </c>
    </row>
    <row r="14" spans="2:4" x14ac:dyDescent="0.35">
      <c r="B14" t="s">
        <v>19</v>
      </c>
      <c r="C14" t="s">
        <v>149</v>
      </c>
      <c r="D14" t="s">
        <v>150</v>
      </c>
    </row>
    <row r="15" spans="2:4" x14ac:dyDescent="0.35">
      <c r="B15" t="s">
        <v>20</v>
      </c>
      <c r="C15" t="s">
        <v>151</v>
      </c>
      <c r="D15" t="s">
        <v>152</v>
      </c>
    </row>
    <row r="16" spans="2:4" x14ac:dyDescent="0.35">
      <c r="B16" s="19" t="s">
        <v>22</v>
      </c>
      <c r="C16" s="19" t="s">
        <v>153</v>
      </c>
    </row>
    <row r="17" spans="1:3" x14ac:dyDescent="0.35">
      <c r="B17" s="19" t="s">
        <v>23</v>
      </c>
      <c r="C17" s="19" t="s">
        <v>154</v>
      </c>
    </row>
    <row r="18" spans="1:3" x14ac:dyDescent="0.35">
      <c r="B18" s="19" t="s">
        <v>24</v>
      </c>
      <c r="C18" s="19" t="s">
        <v>155</v>
      </c>
    </row>
    <row r="19" spans="1:3" x14ac:dyDescent="0.35">
      <c r="B19" s="19" t="s">
        <v>25</v>
      </c>
      <c r="C19" s="19" t="s">
        <v>156</v>
      </c>
    </row>
    <row r="20" spans="1:3" x14ac:dyDescent="0.35">
      <c r="B20" s="19" t="s">
        <v>26</v>
      </c>
      <c r="C20" s="19" t="s">
        <v>157</v>
      </c>
    </row>
    <row r="21" spans="1:3" x14ac:dyDescent="0.35">
      <c r="B21" s="19" t="s">
        <v>27</v>
      </c>
      <c r="C21" s="19" t="s">
        <v>158</v>
      </c>
    </row>
    <row r="22" spans="1:3" x14ac:dyDescent="0.35">
      <c r="B22" s="19" t="s">
        <v>28</v>
      </c>
      <c r="C22" s="19" t="s">
        <v>159</v>
      </c>
    </row>
    <row r="23" spans="1:3" x14ac:dyDescent="0.35">
      <c r="B23" s="19" t="s">
        <v>29</v>
      </c>
      <c r="C23" s="19" t="s">
        <v>160</v>
      </c>
    </row>
    <row r="27" spans="1:3" ht="15" thickBot="1" x14ac:dyDescent="0.4">
      <c r="A27" s="20" t="s">
        <v>161</v>
      </c>
      <c r="B27" s="21" t="s">
        <v>162</v>
      </c>
      <c r="C27" s="21" t="s">
        <v>163</v>
      </c>
    </row>
    <row r="28" spans="1:3" ht="15" thickTop="1" x14ac:dyDescent="0.35">
      <c r="A28" s="28" t="s">
        <v>164</v>
      </c>
      <c r="B28" s="22" t="s">
        <v>22</v>
      </c>
      <c r="C28" s="22" t="s">
        <v>153</v>
      </c>
    </row>
    <row r="29" spans="1:3" x14ac:dyDescent="0.35">
      <c r="A29" s="28"/>
      <c r="B29" s="22" t="s">
        <v>23</v>
      </c>
      <c r="C29" s="22" t="s">
        <v>154</v>
      </c>
    </row>
    <row r="30" spans="1:3" x14ac:dyDescent="0.35">
      <c r="A30" s="28"/>
      <c r="B30" s="22" t="s">
        <v>24</v>
      </c>
      <c r="C30" s="22" t="s">
        <v>155</v>
      </c>
    </row>
    <row r="31" spans="1:3" x14ac:dyDescent="0.35">
      <c r="A31" s="28"/>
      <c r="B31" s="22" t="s">
        <v>25</v>
      </c>
      <c r="C31" s="22" t="s">
        <v>156</v>
      </c>
    </row>
    <row r="32" spans="1:3" x14ac:dyDescent="0.35">
      <c r="A32" s="28"/>
      <c r="B32" s="22" t="s">
        <v>26</v>
      </c>
      <c r="C32" s="22" t="s">
        <v>157</v>
      </c>
    </row>
    <row r="33" spans="1:3" x14ac:dyDescent="0.35">
      <c r="A33" s="28"/>
      <c r="B33" s="22" t="s">
        <v>27</v>
      </c>
      <c r="C33" s="22" t="s">
        <v>158</v>
      </c>
    </row>
    <row r="34" spans="1:3" x14ac:dyDescent="0.35">
      <c r="A34" s="28"/>
      <c r="B34" s="22" t="s">
        <v>28</v>
      </c>
      <c r="C34" s="22" t="s">
        <v>159</v>
      </c>
    </row>
    <row r="35" spans="1:3" x14ac:dyDescent="0.35">
      <c r="A35" s="29" t="s">
        <v>165</v>
      </c>
      <c r="B35" s="23" t="s">
        <v>9</v>
      </c>
      <c r="C35" s="24" t="s">
        <v>139</v>
      </c>
    </row>
    <row r="36" spans="1:3" x14ac:dyDescent="0.35">
      <c r="A36" s="30"/>
      <c r="B36" s="22" t="s">
        <v>10</v>
      </c>
      <c r="C36" s="25" t="s">
        <v>140</v>
      </c>
    </row>
    <row r="37" spans="1:3" x14ac:dyDescent="0.35">
      <c r="A37" s="30"/>
      <c r="B37" s="22" t="s">
        <v>11</v>
      </c>
      <c r="C37" s="25" t="s">
        <v>141</v>
      </c>
    </row>
    <row r="38" spans="1:3" ht="29" x14ac:dyDescent="0.35">
      <c r="A38" s="31" t="s">
        <v>166</v>
      </c>
      <c r="B38" s="23" t="s">
        <v>31</v>
      </c>
      <c r="C38" s="24" t="s">
        <v>142</v>
      </c>
    </row>
    <row r="39" spans="1:3" x14ac:dyDescent="0.35">
      <c r="A39" s="28"/>
      <c r="B39" s="22" t="s">
        <v>32</v>
      </c>
      <c r="C39" s="25" t="s">
        <v>143</v>
      </c>
    </row>
    <row r="40" spans="1:3" x14ac:dyDescent="0.35">
      <c r="A40" s="28"/>
      <c r="B40" s="22" t="s">
        <v>33</v>
      </c>
      <c r="C40" s="25" t="s">
        <v>144</v>
      </c>
    </row>
    <row r="41" spans="1:3" x14ac:dyDescent="0.35">
      <c r="A41" s="26" t="s">
        <v>167</v>
      </c>
      <c r="B41" s="27" t="s">
        <v>18</v>
      </c>
      <c r="C41" s="27" t="s">
        <v>147</v>
      </c>
    </row>
  </sheetData>
  <mergeCells count="3">
    <mergeCell ref="A28:A34"/>
    <mergeCell ref="A35:A37"/>
    <mergeCell ref="A38:A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SEM_HWF</vt:lpstr>
      <vt:lpstr>SEM_Vars_HWF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BEDIAKON, Kouadjo San Boris</dc:creator>
  <cp:keywords/>
  <dc:description/>
  <cp:lastModifiedBy>MUNG'ATU, Joseph</cp:lastModifiedBy>
  <cp:revision/>
  <dcterms:created xsi:type="dcterms:W3CDTF">2025-07-12T14:48:52Z</dcterms:created>
  <dcterms:modified xsi:type="dcterms:W3CDTF">2026-01-27T18:58:55Z</dcterms:modified>
  <cp:category/>
  <cp:contentStatus/>
</cp:coreProperties>
</file>