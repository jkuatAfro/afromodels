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14E21FCE-B4AA-4F19-A46F-8DCF03175D3E}" xr6:coauthVersionLast="47" xr6:coauthVersionMax="47" xr10:uidLastSave="{00000000-0000-0000-0000-000000000000}"/>
  <bookViews>
    <workbookView xWindow="-110" yWindow="-110" windowWidth="19420" windowHeight="10300" xr2:uid="{D50A8DFC-CF33-47C0-BFD0-2DDF38EEBDD3}"/>
  </bookViews>
  <sheets>
    <sheet name="Sheet1" sheetId="1" r:id="rId1"/>
    <sheet name="Sheet1 (2)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C10" i="1"/>
  <c r="F7" i="3"/>
  <c r="F6" i="3"/>
  <c r="F5" i="3"/>
  <c r="F4" i="3"/>
  <c r="F8" i="3"/>
  <c r="C10" i="3"/>
  <c r="F3" i="3"/>
  <c r="F9" i="3" s="1"/>
  <c r="F10" i="3" s="1"/>
  <c r="F11" i="3" s="1"/>
  <c r="F12" i="3" s="1"/>
  <c r="F13" i="3" s="1"/>
  <c r="F8" i="1"/>
  <c r="F3" i="1"/>
  <c r="F9" i="1" l="1"/>
  <c r="F10" i="1" s="1"/>
  <c r="F11" i="1" s="1"/>
  <c r="F12" i="1" s="1"/>
  <c r="F13" i="1" s="1"/>
</calcChain>
</file>

<file path=xl/sharedStrings.xml><?xml version="1.0" encoding="utf-8"?>
<sst xmlns="http://schemas.openxmlformats.org/spreadsheetml/2006/main" count="16" uniqueCount="8">
  <si>
    <t>year</t>
  </si>
  <si>
    <t>stock</t>
  </si>
  <si>
    <t>Test</t>
  </si>
  <si>
    <t>Stock medical doctors</t>
  </si>
  <si>
    <t>Share of doctors aged 55-64</t>
  </si>
  <si>
    <t>Share of doctors aged 65+</t>
  </si>
  <si>
    <t>Years of follow up</t>
  </si>
  <si>
    <t>Stock after these years of 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</si>
</sst>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D108-69D9-4E75-9E14-2929E6FEE34F}">
  <dimension ref="B2:F14"/>
  <sheetViews>
    <sheetView tabSelected="1" zoomScale="130" zoomScaleNormal="130" workbookViewId="0">
      <selection activeCell="J12" sqref="J12"/>
    </sheetView>
  </sheetViews>
  <sheetFormatPr defaultRowHeight="14.5" x14ac:dyDescent="0.35"/>
  <cols>
    <col min="2" max="2" width="30.453125" bestFit="1" customWidth="1"/>
    <col min="3" max="3" width="16" customWidth="1"/>
  </cols>
  <sheetData>
    <row r="2" spans="2:6" x14ac:dyDescent="0.35">
      <c r="B2" t="s">
        <v>2</v>
      </c>
      <c r="E2" t="s">
        <v>0</v>
      </c>
      <c r="F2" t="s">
        <v>1</v>
      </c>
    </row>
    <row r="3" spans="2:6" x14ac:dyDescent="0.35">
      <c r="B3" t="s">
        <v>3</v>
      </c>
      <c r="C3">
        <v>11301</v>
      </c>
      <c r="E3">
        <v>2020</v>
      </c>
      <c r="F3" s="1">
        <f>C3</f>
        <v>11301</v>
      </c>
    </row>
    <row r="4" spans="2:6" x14ac:dyDescent="0.35">
      <c r="B4" t="s">
        <v>4</v>
      </c>
      <c r="C4" s="2">
        <v>0.11834466</v>
      </c>
      <c r="E4">
        <v>2021</v>
      </c>
      <c r="F4" s="1">
        <f>F3-C5*F3</f>
        <v>11039.67658008</v>
      </c>
    </row>
    <row r="5" spans="2:6" x14ac:dyDescent="0.35">
      <c r="B5" t="s">
        <v>5</v>
      </c>
      <c r="C5" s="2">
        <v>2.3123919999999999E-2</v>
      </c>
      <c r="E5">
        <v>2022</v>
      </c>
      <c r="F5" s="1">
        <f>F4*(1-0.1*C$4)</f>
        <v>10909.027902942047</v>
      </c>
    </row>
    <row r="6" spans="2:6" x14ac:dyDescent="0.35">
      <c r="E6">
        <v>2023</v>
      </c>
      <c r="F6" s="1">
        <f>F5*(1-0.1*C$4)</f>
        <v>10779.925383131627</v>
      </c>
    </row>
    <row r="7" spans="2:6" x14ac:dyDescent="0.35">
      <c r="C7" s="2"/>
      <c r="E7">
        <v>2024</v>
      </c>
      <c r="F7" s="1">
        <f>F6*(1-0.1*C$4)</f>
        <v>10652.350722702418</v>
      </c>
    </row>
    <row r="8" spans="2:6" x14ac:dyDescent="0.35">
      <c r="C8" s="2"/>
      <c r="E8">
        <v>2025</v>
      </c>
      <c r="F8" s="1">
        <f>F7*(1-0.1*C$4)</f>
        <v>10526.285840254521</v>
      </c>
    </row>
    <row r="9" spans="2:6" x14ac:dyDescent="0.35">
      <c r="B9" t="s">
        <v>6</v>
      </c>
      <c r="C9">
        <v>10</v>
      </c>
      <c r="E9">
        <v>2026</v>
      </c>
      <c r="F9" s="1">
        <f t="shared" ref="F9:F13" si="0">F8*(1-0.1*C$4)</f>
        <v>10401.712868371747</v>
      </c>
    </row>
    <row r="10" spans="2:6" x14ac:dyDescent="0.35">
      <c r="B10" t="s">
        <v>7</v>
      </c>
      <c r="C10" s="1">
        <f>(C3*(1-C5))*(1-0.1*C4)^(C9-1)</f>
        <v>9917.9900866209355</v>
      </c>
      <c r="E10">
        <v>2027</v>
      </c>
      <c r="F10" s="1">
        <f t="shared" si="0"/>
        <v>10278.614151089239</v>
      </c>
    </row>
    <row r="11" spans="2:6" x14ac:dyDescent="0.35">
      <c r="E11">
        <v>2028</v>
      </c>
      <c r="F11" s="1">
        <f t="shared" si="0"/>
        <v>10156.972241391055</v>
      </c>
    </row>
    <row r="12" spans="2:6" x14ac:dyDescent="0.35">
      <c r="E12">
        <v>2029</v>
      </c>
      <c r="F12" s="1">
        <f t="shared" si="0"/>
        <v>10036.769898737368</v>
      </c>
    </row>
    <row r="13" spans="2:6" x14ac:dyDescent="0.35">
      <c r="E13">
        <v>2030</v>
      </c>
      <c r="F13" s="1">
        <f t="shared" si="0"/>
        <v>9917.9900866209373</v>
      </c>
    </row>
    <row r="14" spans="2:6" x14ac:dyDescent="0.35">
      <c r="C14" s="1"/>
      <c r="F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76C0-BE45-4876-8853-85915B0ADCD0}">
  <dimension ref="B2:F14"/>
  <sheetViews>
    <sheetView zoomScale="130" zoomScaleNormal="130" workbookViewId="0">
      <selection activeCell="F9" sqref="F9"/>
    </sheetView>
  </sheetViews>
  <sheetFormatPr defaultRowHeight="14.5" x14ac:dyDescent="0.35"/>
  <cols>
    <col min="2" max="2" width="30.453125" bestFit="1" customWidth="1"/>
    <col min="3" max="3" width="16" customWidth="1"/>
  </cols>
  <sheetData>
    <row r="2" spans="2:6" x14ac:dyDescent="0.35">
      <c r="B2" t="s">
        <v>2</v>
      </c>
      <c r="E2" t="s">
        <v>0</v>
      </c>
      <c r="F2" t="s">
        <v>1</v>
      </c>
    </row>
    <row r="3" spans="2:6" x14ac:dyDescent="0.35">
      <c r="B3" t="s">
        <v>3</v>
      </c>
      <c r="C3">
        <v>11301</v>
      </c>
      <c r="E3">
        <v>2020</v>
      </c>
      <c r="F3" s="1">
        <f>C3</f>
        <v>11301</v>
      </c>
    </row>
    <row r="4" spans="2:6" x14ac:dyDescent="0.35">
      <c r="B4" t="s">
        <v>4</v>
      </c>
      <c r="C4" s="2">
        <v>0.11834466</v>
      </c>
      <c r="E4">
        <v>2021</v>
      </c>
      <c r="F4" s="1">
        <f>F3-C5*F3</f>
        <v>11039.67658008</v>
      </c>
    </row>
    <row r="5" spans="2:6" x14ac:dyDescent="0.35">
      <c r="B5" t="s">
        <v>5</v>
      </c>
      <c r="C5" s="2">
        <v>2.3123919999999999E-2</v>
      </c>
      <c r="E5">
        <v>2022</v>
      </c>
      <c r="F5" s="1">
        <f>F4*(1-0.1*C$4)</f>
        <v>10909.027902942047</v>
      </c>
    </row>
    <row r="6" spans="2:6" x14ac:dyDescent="0.35">
      <c r="E6">
        <v>2023</v>
      </c>
      <c r="F6" s="1">
        <f>F5*(1-0.1*C$4)</f>
        <v>10779.925383131627</v>
      </c>
    </row>
    <row r="7" spans="2:6" x14ac:dyDescent="0.35">
      <c r="C7" s="2"/>
      <c r="E7">
        <v>2024</v>
      </c>
      <c r="F7" s="1">
        <f>F6*(1-0.1*C$4)</f>
        <v>10652.350722702418</v>
      </c>
    </row>
    <row r="8" spans="2:6" x14ac:dyDescent="0.35">
      <c r="C8" s="2"/>
      <c r="E8">
        <v>2025</v>
      </c>
      <c r="F8" s="1">
        <f>F7*(1-0.1*C$4)</f>
        <v>10526.285840254521</v>
      </c>
    </row>
    <row r="9" spans="2:6" x14ac:dyDescent="0.35">
      <c r="B9" t="s">
        <v>6</v>
      </c>
      <c r="C9">
        <v>10</v>
      </c>
      <c r="E9">
        <v>2026</v>
      </c>
      <c r="F9" s="1">
        <f t="shared" ref="F9:F13" si="0">F8*(1-0.1*C$4)</f>
        <v>10401.712868371747</v>
      </c>
    </row>
    <row r="10" spans="2:6" x14ac:dyDescent="0.35">
      <c r="B10" t="s">
        <v>7</v>
      </c>
      <c r="C10" s="1">
        <f>(C3*(1-C5))*(1-0.1*C4)^(C9-1)</f>
        <v>9917.9900866209355</v>
      </c>
      <c r="E10">
        <v>2027</v>
      </c>
      <c r="F10" s="1">
        <f t="shared" si="0"/>
        <v>10278.614151089239</v>
      </c>
    </row>
    <row r="11" spans="2:6" x14ac:dyDescent="0.35">
      <c r="E11">
        <v>2028</v>
      </c>
      <c r="F11" s="1">
        <f t="shared" si="0"/>
        <v>10156.972241391055</v>
      </c>
    </row>
    <row r="12" spans="2:6" x14ac:dyDescent="0.35">
      <c r="E12">
        <v>2029</v>
      </c>
      <c r="F12" s="1">
        <f t="shared" si="0"/>
        <v>10036.769898737368</v>
      </c>
    </row>
    <row r="13" spans="2:6" x14ac:dyDescent="0.35">
      <c r="E13">
        <v>2030</v>
      </c>
      <c r="F13" s="1">
        <f t="shared" si="0"/>
        <v>9917.9900866209373</v>
      </c>
    </row>
    <row r="14" spans="2:6" x14ac:dyDescent="0.35">
      <c r="C14" s="1"/>
      <c r="F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D4CB-48C8-405E-98CD-B59A7CE8775B}">
  <dimension ref="A1"/>
  <sheetViews>
    <sheetView workbookViewId="0">
      <selection activeCell="C13" sqref="C1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428AC39C2174AA60E2B24655F8CA0" ma:contentTypeVersion="14" ma:contentTypeDescription="Create a new document." ma:contentTypeScope="" ma:versionID="4eebe7f530323011a7ba4e75e40eaf43">
  <xsd:schema xmlns:xsd="http://www.w3.org/2001/XMLSchema" xmlns:xs="http://www.w3.org/2001/XMLSchema" xmlns:p="http://schemas.microsoft.com/office/2006/metadata/properties" xmlns:ns3="cdf6d0ad-cdd5-4030-b89e-97d3a33d71ec" xmlns:ns4="95bab860-2d6b-4602-b166-24da51455eee" targetNamespace="http://schemas.microsoft.com/office/2006/metadata/properties" ma:root="true" ma:fieldsID="cca6fa0d6eadbef4e3c28baf5f10a076" ns3:_="" ns4:_="">
    <xsd:import namespace="cdf6d0ad-cdd5-4030-b89e-97d3a33d71ec"/>
    <xsd:import namespace="95bab860-2d6b-4602-b166-24da51455ee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6d0ad-cdd5-4030-b89e-97d3a33d71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ab860-2d6b-4602-b166-24da51455e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648065-3949-484A-9E64-1C82937F2D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945CD7-2DC1-447B-9465-F344CABAC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f6d0ad-cdd5-4030-b89e-97d3a33d71ec"/>
    <ds:schemaRef ds:uri="95bab860-2d6b-4602-b166-24da51455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9D4596-F02D-42A0-A2B3-6EB5C7F4615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BONIOL, Mathieu</dc:creator>
  <cp:lastModifiedBy>Joseph Mung'atu</cp:lastModifiedBy>
  <dcterms:created xsi:type="dcterms:W3CDTF">2021-09-18T09:58:35Z</dcterms:created>
  <dcterms:modified xsi:type="dcterms:W3CDTF">2024-02-22T09:58:40Z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0x010100EBE428AC39C2174AA60E2B24655F8CA0</vt:lpwstr>
  </property>
</Properties>
</file>