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:\Brazzaville\HRH 24\Materials\Latest HWF datasets\"/>
    </mc:Choice>
  </mc:AlternateContent>
  <xr:revisionPtr revIDLastSave="0" documentId="13_ncr:1_{9A616AA9-935B-41C4-9823-C9E7B5BC299E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heet1" sheetId="2" r:id="rId1"/>
    <sheet name="Sheet3" sheetId="4" r:id="rId2"/>
    <sheet name="Sheet4" sheetId="5" r:id="rId3"/>
    <sheet name="Sheet 1 - AFRO Age 20240123" sheetId="1" r:id="rId4"/>
    <sheet name="Sheet2" sheetId="3" r:id="rId5"/>
  </sheets>
  <definedNames>
    <definedName name="_xlnm._FilterDatabase" localSheetId="3" hidden="1">'Sheet 1 - AFRO Age 20240123'!$A$2:$DU$76</definedName>
  </definedNames>
  <calcPr calcId="191029"/>
  <pivotCaches>
    <pivotCache cacheId="2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5" l="1"/>
  <c r="I2" i="5"/>
  <c r="J2" i="5"/>
  <c r="L2" i="5"/>
  <c r="M2" i="5"/>
  <c r="H2" i="5"/>
  <c r="G2" i="5"/>
</calcChain>
</file>

<file path=xl/sharedStrings.xml><?xml version="1.0" encoding="utf-8"?>
<sst xmlns="http://schemas.openxmlformats.org/spreadsheetml/2006/main" count="731" uniqueCount="234">
  <si>
    <t>AFRO Age 20240123</t>
  </si>
  <si>
    <t>periodid</t>
  </si>
  <si>
    <t>periodname</t>
  </si>
  <si>
    <t>periodcode</t>
  </si>
  <si>
    <t>perioddescription</t>
  </si>
  <si>
    <t>orgunitlevel1</t>
  </si>
  <si>
    <t>orgunitlevel2</t>
  </si>
  <si>
    <t>orgunitlevel3</t>
  </si>
  <si>
    <t>organisationunitid</t>
  </si>
  <si>
    <t>organisationunitname</t>
  </si>
  <si>
    <t>organisationunitcode</t>
  </si>
  <si>
    <t>organisationunitdescription</t>
  </si>
  <si>
    <t>NHWA_Medical Doctors Stock By Age Group &lt; 25 yrs</t>
  </si>
  <si>
    <t>NHWA_Medical Doctors Stock By Age Group 25-34 yrs</t>
  </si>
  <si>
    <t>NHWA_Medical Doctors Stock By Age Group 35-44 yrs</t>
  </si>
  <si>
    <t>NHWA_Medical Doctors Stock By Age Group 45-54 yrs</t>
  </si>
  <si>
    <t>NHWA_Medical Doctors Stock By Age Group 55-64 yrs</t>
  </si>
  <si>
    <t>NHWA_Medical Doctors Stock By Age Group ≥ 65 yrs</t>
  </si>
  <si>
    <t>NHWA_Nursing  Personnel  Stock By Age Group &lt; 25 yrs</t>
  </si>
  <si>
    <t>NHWA_Nursing  Personnel  Stock By Age Group 25-34 yrs</t>
  </si>
  <si>
    <t>NHWA_Nursing  Personnel  Stock By Age Group 35-44 yrs</t>
  </si>
  <si>
    <t>NHWA_Nursing  Personnel  Stock By Age Group 45-54 yrs</t>
  </si>
  <si>
    <t>NHWA_Nursing  Personnel  Stock By Age Group 55-64 yrs</t>
  </si>
  <si>
    <t>NHWA_Nursing  Personnel  Stock By Age Group ≥ 65 yrs</t>
  </si>
  <si>
    <t>NHWA_Midwifery personnel Stock By Age Group &lt; 25 yrs</t>
  </si>
  <si>
    <t>NHWA_Midwifery personnel Stock By Age Group 25-34 yrs</t>
  </si>
  <si>
    <t>NHWA_Midwifery personnel Stock By Age Group 35-44 yrs</t>
  </si>
  <si>
    <t>NHWA_Midwifery personnel Stock By Age Group 45-54 yrs</t>
  </si>
  <si>
    <t>NHWA_Midwifery personnel Stock By Age Group 55-64 yrs</t>
  </si>
  <si>
    <t>NHWA_Midwifery personnel Stock By Age Group ≥ 65 yrs</t>
  </si>
  <si>
    <t>NHWA_Dentists Stock By Age Group &lt; 25 yrs</t>
  </si>
  <si>
    <t>NHWA_Dentists Stock By Age Group 25-34 yrs</t>
  </si>
  <si>
    <t>NHWA_Dentists Stock By Age Group 35-44 yrs</t>
  </si>
  <si>
    <t>NHWA_Dentists Stock By Age Group 45-54 yrs</t>
  </si>
  <si>
    <t>NHWA_Dentists Stock By Age Group 55-64 yrs</t>
  </si>
  <si>
    <t>NHWA_Dentists Stock By Age Group ≥ 65 yrs</t>
  </si>
  <si>
    <t>NHWA_Pharmacists Stock By Age Group &lt; 25 yrs</t>
  </si>
  <si>
    <t>NHWA_Pharmacists Stock By Age Group 25-34 yrs</t>
  </si>
  <si>
    <t>NHWA_Pharmacists Stock By Age Group 35-44 yrs</t>
  </si>
  <si>
    <t>NHWA_Pharmacists Stock By Age Group 45-54 yrs</t>
  </si>
  <si>
    <t>NHWA_Pharmacists Stock By Age Group 55-64 yrs</t>
  </si>
  <si>
    <t>NHWA_Pharmacists Stock By Age Group ≥ 65 yrs</t>
  </si>
  <si>
    <t>NHWA_Generalist Medical Practitioners (incl. Family medical practitioners) Stock By Age Group &lt; 25 yrs</t>
  </si>
  <si>
    <t>NHWA_Generalist Medical Practitioners (incl. Family medical practitioners) Stock By Age Group 25-34 yrs</t>
  </si>
  <si>
    <t>NHWA_Generalist Medical Practitioners (incl. Family medical practitioners) Stock By Age Group 35-44 yrs</t>
  </si>
  <si>
    <t>NHWA_Generalist Medical Practitioners (incl. Family medical practitioners) Stock By Age Group 45-54 yrs</t>
  </si>
  <si>
    <t>NHWA_Generalist Medical Practitioners (incl. Family medical practitioners) Stock By Age Group 55-64 yrs</t>
  </si>
  <si>
    <t>NHWA_Generalist Medical Practitioners (incl. Family medical practitioners) Stock By Age Group ≥ 65 yrs</t>
  </si>
  <si>
    <t>NHWA_Specialist Medical Practitioners Stock By Age Group &lt; 25 yrs</t>
  </si>
  <si>
    <t>NHWA_Specialist Medical Practitioners Stock By Age Group 25-34 yrs</t>
  </si>
  <si>
    <t>NHWA_Specialist Medical Practitioners Stock By Age Group 35-44 yrs</t>
  </si>
  <si>
    <t>NHWA_Specialist Medical Practitioners Stock By Age Group 45-54 yrs</t>
  </si>
  <si>
    <t>NHWA_Specialist Medical Practitioners Stock By Age Group 55-64 yrs</t>
  </si>
  <si>
    <t>NHWA_Specialist Medical Practitioners Stock By Age Group ≥ 65 yrs</t>
  </si>
  <si>
    <t>NHWA_Medical doctors not further defined Stock By Age Group &lt; 25 yrs</t>
  </si>
  <si>
    <t>NHWA_Medical doctors not further defined Stock By Age Group 25-34 yrs</t>
  </si>
  <si>
    <t>NHWA_Medical doctors not further defined Stock By Age Group 35-44 yrs</t>
  </si>
  <si>
    <t>NHWA_Medical doctors not further defined Stock By Age Group 45-54 yrs</t>
  </si>
  <si>
    <t>NHWA_Medical doctors not further defined Stock By Age Group 55-64 yrs</t>
  </si>
  <si>
    <t>NHWA_Medical doctors not further defined Stock By Age Group ≥ 65 yrs</t>
  </si>
  <si>
    <t>NHWA_Nursing Associate Professionals Stock By Age Group &lt; 25 yrs</t>
  </si>
  <si>
    <t>NHWA_Nursing Associate Professionals Stock By Age Group 25-34 yrs</t>
  </si>
  <si>
    <t>NHWA_Nursing Associate Professionals Stock By Age Group 35-44 yrs</t>
  </si>
  <si>
    <t>NHWA_Nursing Associate Professionals Stock By Age Group 45-54 yrs</t>
  </si>
  <si>
    <t>NHWA_Nursing Associate Professionals Stock By Age Group 55-64 yrs</t>
  </si>
  <si>
    <t>NHWA_Nursing Associate Professionals Stock By Age Group ≥ 65 yrs</t>
  </si>
  <si>
    <t>NHWA_Nursing Professionals Stock By Age Group &lt; 25 yrs</t>
  </si>
  <si>
    <t>NHWA_Nursing Professionals Stock By Age Group 25-34 yrs</t>
  </si>
  <si>
    <t>NHWA_Nursing Professionals Stock By Age Group 35-44 yrs</t>
  </si>
  <si>
    <t>NHWA_Nursing Professionals Stock By Age Group 45-54 yrs</t>
  </si>
  <si>
    <t>NHWA_Nursing Professionals Stock By Age Group 55-64 yrs</t>
  </si>
  <si>
    <t>NHWA_Nursing Professionals Stock By Age Group ≥ 65 yrs</t>
  </si>
  <si>
    <t>NHWA_Nurses not further defined Stock By Age Group &lt; 25 yrs</t>
  </si>
  <si>
    <t>NHWA_Nurses not further defined Stock By Age Group 25-34 yrs</t>
  </si>
  <si>
    <t>NHWA_Nurses not further defined Stock By Age Group 35-44 yrs</t>
  </si>
  <si>
    <t>NHWA_Nurses not further defined Stock By Age Group 45-54 yrs</t>
  </si>
  <si>
    <t>NHWA_Nurses not further defined Stock By Age Group 55-64 yrs</t>
  </si>
  <si>
    <t>NHWA_Nurses not further defined Stock By Age Group ≥ 65 yrs</t>
  </si>
  <si>
    <t>NHWA_Nursing Associate Professionals Stock with additional midwifery training By Age Group &lt; 25 yrs</t>
  </si>
  <si>
    <t>NHWA_Nursing Associate Professionals Stock with additional midwifery training By Age Group 25-34 yrs</t>
  </si>
  <si>
    <t>NHWA_Nursing Associate Professionals Stock with additional midwifery training By Age Group 35-44 yrs</t>
  </si>
  <si>
    <t>NHWA_Nursing Associate Professionals Stock with additional midwifery training By Age Group 45-54 yrs</t>
  </si>
  <si>
    <t>NHWA_Nursing Associate Professionals Stock with additional midwifery training By Age Group 55-64 yrs</t>
  </si>
  <si>
    <t>NHWA_Nursing Associate Professionals Stock with additional midwifery training By Age Group ≥ 65 yrs</t>
  </si>
  <si>
    <t>NHWA_Nursing Professionals Stock with additional midwifery training By Age Group &lt; 25 yrs</t>
  </si>
  <si>
    <t>NHWA_Nursing Professionals Stock with additional midwifery training By Age Group 25-34 yrs</t>
  </si>
  <si>
    <t>NHWA_Nursing Professionals Stock with additional midwifery training By Age Group 35-44 yrs</t>
  </si>
  <si>
    <t>NHWA_Nursing Professionals Stock with additional midwifery training By Age Group 45-54 yrs</t>
  </si>
  <si>
    <t>NHWA_Nursing Professionals Stock with additional midwifery training By Age Group 55-64 yrs</t>
  </si>
  <si>
    <t>NHWA_Nursing Professionals Stock with additional midwifery training By Age Group ≥ 65 yrs</t>
  </si>
  <si>
    <t>NHWA_Midwifery Professionals Stock By Age Group &lt; 25 yrs</t>
  </si>
  <si>
    <t>NHWA_Midwifery Professionals Stock By Age Group 25-34 yrs</t>
  </si>
  <si>
    <t>NHWA_Midwifery Professionals Stock By Age Group 35-44 yrs</t>
  </si>
  <si>
    <t>NHWA_Midwifery Professionals Stock By Age Group 45-54 yrs</t>
  </si>
  <si>
    <t>NHWA_Midwifery Professionals Stock By Age Group 55-64 yrs</t>
  </si>
  <si>
    <t>NHWA_Midwifery Professionals Stock By Age Group ≥ 65 yrs</t>
  </si>
  <si>
    <t>NHWA_Midwifery Associate Professionals Stock By Age Group &lt; 25 yrs</t>
  </si>
  <si>
    <t>NHWA_Midwifery Associate Professionals Stock By Age Group 25-34 yrs</t>
  </si>
  <si>
    <t>NHWA_Midwifery Associate Professionals Stock By Age Group 35-44 yrs</t>
  </si>
  <si>
    <t>NHWA_Midwifery Associate Professionals Stock By Age Group 45-54 yrs</t>
  </si>
  <si>
    <t>NHWA_Midwifery Associate Professionals Stock By Age Group 55-64 yrs</t>
  </si>
  <si>
    <t>NHWA_Midwifery Associate Professionals Stock By Age Group ≥ 65 yrs</t>
  </si>
  <si>
    <t>NHWA_Midwives not further defined Stock By Age Group &lt; 25 yrs</t>
  </si>
  <si>
    <t>NHWA_Midwives not further defined Stock By Age Group 25-34 yrs</t>
  </si>
  <si>
    <t>NHWA_Midwives not further defined Stock By Age Group 35-44 yrs</t>
  </si>
  <si>
    <t>NHWA_Midwives not further defined Stock By Age Group 45-54 yrs</t>
  </si>
  <si>
    <t>NHWA_Midwives not further defined Stock By Age Group 55-64 yrs</t>
  </si>
  <si>
    <t>NHWA_Midwives not further defined Stock By Age Group ≥ 65 yrs</t>
  </si>
  <si>
    <t>NHWA_Obstetricians and Gynaecologists Practitioners Stock By Age Group &lt; 25 yrs</t>
  </si>
  <si>
    <t>NHWA_Obstetricians and Gynaecologists Practitioners Stock By Age Group 25-34 yrs</t>
  </si>
  <si>
    <t>NHWA_Obstetricians and Gynaecologists Practitioners Stock By Age Group 35-44 yrs</t>
  </si>
  <si>
    <t>NHWA_Obstetricians and Gynaecologists Practitioners Stock By Age Group 45-54 yrs</t>
  </si>
  <si>
    <t>NHWA_Obstetricians and Gynaecologists Practitioners Stock By Age Group 55-64 yrs</t>
  </si>
  <si>
    <t>NHWA_Obstetricians and Gynaecologists Practitioners Stock By Age Group ≥ 65 yrs</t>
  </si>
  <si>
    <t>NHWA_General Paediatricians Practitioners Stock By Age Group &lt; 25 yrs</t>
  </si>
  <si>
    <t>NHWA_General Paediatricians Practitioners Stock By Age Group 25-34 yrs</t>
  </si>
  <si>
    <t>NHWA_General Paediatricians Practitioners Stock By Age Group 35-44 yrs</t>
  </si>
  <si>
    <t>NHWA_General Paediatricians Practitioners Stock By Age Group 45-54 yrs</t>
  </si>
  <si>
    <t>NHWA_General Paediatricians Practitioners Stock By Age Group 55-64 yrs</t>
  </si>
  <si>
    <t>NHWA_General Paediatricians Practitioners Stock By Age Group ≥ 65 yrs</t>
  </si>
  <si>
    <t>NHWA_Community Health Workers Stock By Age Group &lt; 25 yrs</t>
  </si>
  <si>
    <t>NHWA_Community Health Workers Stock By Age Group 25-34 yrs</t>
  </si>
  <si>
    <t>NHWA_Community Health Workers Stock By Age Group 35-44 yrs</t>
  </si>
  <si>
    <t>NHWA_Community Health Workers Stock By Age Group 45-54 yrs</t>
  </si>
  <si>
    <t>NHWA_Community Health Workers Stock By Age Group 55-64 yrs</t>
  </si>
  <si>
    <t>NHWA_Community Health Workers Stock By Age Group ≥ 65 yrs</t>
  </si>
  <si>
    <t>Global</t>
  </si>
  <si>
    <t>AFR</t>
  </si>
  <si>
    <t>seHJdofSPcM</t>
  </si>
  <si>
    <t>Burkina Faso</t>
  </si>
  <si>
    <t>hmZE3mVAZFf</t>
  </si>
  <si>
    <t>BFA</t>
  </si>
  <si>
    <t>Federal Republic of Nigeria</t>
  </si>
  <si>
    <t>I3NxIqG7bD4</t>
  </si>
  <si>
    <t>NGA</t>
  </si>
  <si>
    <t>Gabonese Republic</t>
  </si>
  <si>
    <t>EGLpIMSAWhx</t>
  </si>
  <si>
    <t>GAB</t>
  </si>
  <si>
    <t>Kingdom of Eswatini</t>
  </si>
  <si>
    <t>G3thRWUQAX9</t>
  </si>
  <si>
    <t>SWZ</t>
  </si>
  <si>
    <t>Republic of Botswana</t>
  </si>
  <si>
    <t>c82mDnhUQly</t>
  </si>
  <si>
    <t>BWA</t>
  </si>
  <si>
    <t>Republic of Cabo Verde</t>
  </si>
  <si>
    <t>bGWaeVBrOcc</t>
  </si>
  <si>
    <t>CPV</t>
  </si>
  <si>
    <t>Republic of Cameroon</t>
  </si>
  <si>
    <t>VPesUmegQpP</t>
  </si>
  <si>
    <t>CMR</t>
  </si>
  <si>
    <t>Republic of Chad</t>
  </si>
  <si>
    <t>tV0rWhHr9cj</t>
  </si>
  <si>
    <t>TCD</t>
  </si>
  <si>
    <t>Republic of Côte d'Ivoire</t>
  </si>
  <si>
    <t>WXGcnQWJ0Qd</t>
  </si>
  <si>
    <t>CIV</t>
  </si>
  <si>
    <t>Republic of Ghana</t>
  </si>
  <si>
    <t>WC5rU5fLMzY</t>
  </si>
  <si>
    <t>GHA</t>
  </si>
  <si>
    <t>Republic of Guinea-Bissau</t>
  </si>
  <si>
    <t>G9o5ad4oJJX</t>
  </si>
  <si>
    <t>GNB</t>
  </si>
  <si>
    <t>Republic of Kenya</t>
  </si>
  <si>
    <t>HfVjCurKxh2</t>
  </si>
  <si>
    <t>KEN</t>
  </si>
  <si>
    <t>Republic of Malawi</t>
  </si>
  <si>
    <t>G037PAPU5dO</t>
  </si>
  <si>
    <t>MWI</t>
  </si>
  <si>
    <t>Republic of Mozambique</t>
  </si>
  <si>
    <t>Gan3VYicAWe</t>
  </si>
  <si>
    <t>MOZ</t>
  </si>
  <si>
    <t>Republic of Senegal</t>
  </si>
  <si>
    <t>wj7iV08dvFq</t>
  </si>
  <si>
    <t>SEN</t>
  </si>
  <si>
    <t>Republic of Seychelles</t>
  </si>
  <si>
    <t>wimH12ukPK5</t>
  </si>
  <si>
    <t>SYC</t>
  </si>
  <si>
    <t>Republic of the Congo</t>
  </si>
  <si>
    <t>shRXArPWh8H</t>
  </si>
  <si>
    <t>COG</t>
  </si>
  <si>
    <t>Republic of Zambia</t>
  </si>
  <si>
    <t>gb7vWtO7Wjp</t>
  </si>
  <si>
    <t>ZMB</t>
  </si>
  <si>
    <t>Republic of Zimbabwe</t>
  </si>
  <si>
    <t>buSEeeViTo3</t>
  </si>
  <si>
    <t>ZWE</t>
  </si>
  <si>
    <t>State of Eritrea</t>
  </si>
  <si>
    <t>vnbnnSZXGTv</t>
  </si>
  <si>
    <t>ERI</t>
  </si>
  <si>
    <t>Togolese Republic</t>
  </si>
  <si>
    <t>WtcZBCTspgM</t>
  </si>
  <si>
    <t>TGO</t>
  </si>
  <si>
    <t>Republic of Benin</t>
  </si>
  <si>
    <t>DzAOqCf0ots</t>
  </si>
  <si>
    <t>BEN</t>
  </si>
  <si>
    <t>Republic of Sierra Leone</t>
  </si>
  <si>
    <t>qbqrFLCJewu</t>
  </si>
  <si>
    <t>SLE</t>
  </si>
  <si>
    <t>Republic of Burundi</t>
  </si>
  <si>
    <t>Xz7rnovuiOx</t>
  </si>
  <si>
    <t>BDI</t>
  </si>
  <si>
    <t>People's Democratic Republic of Algeria</t>
  </si>
  <si>
    <t>mNa42CHbkO7</t>
  </si>
  <si>
    <t>DZA</t>
  </si>
  <si>
    <t>Republic of Madagascar</t>
  </si>
  <si>
    <t>bcy4159FETR</t>
  </si>
  <si>
    <t>MDG</t>
  </si>
  <si>
    <t>Republic of South Africa</t>
  </si>
  <si>
    <t>lVPoUAKCdmU</t>
  </si>
  <si>
    <t>ZAF</t>
  </si>
  <si>
    <t>Republic of Uganda</t>
  </si>
  <si>
    <t>SnYHrnchKjL</t>
  </si>
  <si>
    <t>UGA</t>
  </si>
  <si>
    <t>Row Labels</t>
  </si>
  <si>
    <t>Grand Total</t>
  </si>
  <si>
    <t>Sum of NHWA_Pharmacists Stock By Age Group &lt; 25 yrs</t>
  </si>
  <si>
    <t>Sum of NHWA_Pharmacists Stock By Age Group 25-34 yrs</t>
  </si>
  <si>
    <t>Sum of NHWA_Pharmacists Stock By Age Group 35-44 yrs</t>
  </si>
  <si>
    <t>Sum of NHWA_Pharmacists Stock By Age Group 45-54 yrs</t>
  </si>
  <si>
    <t>Sum of NHWA_Pharmacists Stock By Age Group 55-64 yrs</t>
  </si>
  <si>
    <t>Sum of NHWA_Pharmacists Stock By Age Group ≥ 65 yrs</t>
  </si>
  <si>
    <t>Sum of NHWA_Medical Doctors Stock By Age Group &lt; 25 yrs</t>
  </si>
  <si>
    <t>Sum of NHWA_Medical Doctors Stock By Age Group 25-34 yrs</t>
  </si>
  <si>
    <t>Sum of NHWA_Medical Doctors Stock By Age Group 35-44 yrs</t>
  </si>
  <si>
    <t>Sum of NHWA_Medical Doctors Stock By Age Group 45-54 yrs</t>
  </si>
  <si>
    <t>Sum of NHWA_Medical Doctors Stock By Age Group 55-64 yrs</t>
  </si>
  <si>
    <t>Sum of NHWA_Medical Doctors Stock By Age Group ≥ 65 yrs</t>
  </si>
  <si>
    <t>Total</t>
  </si>
  <si>
    <t>Medical doctors  &lt; 25 yrs</t>
  </si>
  <si>
    <t>Medical doctors 25-34</t>
  </si>
  <si>
    <t>Medical doctors  35-44</t>
  </si>
  <si>
    <t>45-55</t>
  </si>
  <si>
    <t>Medical doctors 55-64</t>
  </si>
  <si>
    <t>Medical doctors &gt;65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</si>
</sst>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10"/>
      <color rgb="FFFF0000"/>
      <name val="Helvetica Neue"/>
    </font>
    <font>
      <sz val="10"/>
      <color indexed="8"/>
      <name val="Helvetica Neue"/>
    </font>
    <font>
      <sz val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1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9" fontId="4" fillId="0" borderId="0" applyFont="0" applyFill="0" applyBorder="0" applyAlignment="0" applyProtection="0"/>
  </cellStyleXfs>
  <cellXfs count="38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0" fillId="0" borderId="3" xfId="0" applyNumberFormat="1" applyBorder="1" applyAlignment="1">
      <alignment vertical="top"/>
    </xf>
    <xf numFmtId="0" fontId="0" fillId="0" borderId="4" xfId="0" applyNumberFormat="1" applyBorder="1" applyAlignment="1">
      <alignment vertical="top"/>
    </xf>
    <xf numFmtId="0" fontId="0" fillId="0" borderId="4" xfId="0" applyBorder="1" applyAlignment="1">
      <alignment vertical="top"/>
    </xf>
    <xf numFmtId="49" fontId="0" fillId="0" borderId="4" xfId="0" applyNumberFormat="1" applyBorder="1" applyAlignment="1">
      <alignment vertical="top"/>
    </xf>
    <xf numFmtId="0" fontId="2" fillId="3" borderId="5" xfId="0" applyNumberFormat="1" applyFont="1" applyFill="1" applyBorder="1" applyAlignment="1">
      <alignment vertical="top"/>
    </xf>
    <xf numFmtId="0" fontId="0" fillId="0" borderId="6" xfId="0" applyNumberFormat="1" applyBorder="1" applyAlignment="1">
      <alignment vertical="top"/>
    </xf>
    <xf numFmtId="0" fontId="0" fillId="0" borderId="7" xfId="0" applyNumberFormat="1" applyBorder="1" applyAlignment="1">
      <alignment vertical="top"/>
    </xf>
    <xf numFmtId="0" fontId="0" fillId="0" borderId="7" xfId="0" applyBorder="1" applyAlignment="1">
      <alignment vertical="top"/>
    </xf>
    <xf numFmtId="49" fontId="0" fillId="0" borderId="7" xfId="0" applyNumberFormat="1" applyBorder="1" applyAlignment="1">
      <alignment vertical="top"/>
    </xf>
    <xf numFmtId="0" fontId="0" fillId="0" borderId="8" xfId="0" applyBorder="1">
      <alignment vertical="top" wrapText="1"/>
    </xf>
    <xf numFmtId="0" fontId="0" fillId="0" borderId="10" xfId="0" pivotButton="1" applyBorder="1">
      <alignment vertical="top" wrapText="1"/>
    </xf>
    <xf numFmtId="0" fontId="0" fillId="0" borderId="8" xfId="0" pivotButton="1" applyBorder="1">
      <alignment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>
      <alignment vertical="top" wrapText="1"/>
    </xf>
    <xf numFmtId="0" fontId="0" fillId="0" borderId="8" xfId="0" applyNumberFormat="1" applyBorder="1">
      <alignment vertical="top" wrapText="1"/>
    </xf>
    <xf numFmtId="0" fontId="0" fillId="0" borderId="12" xfId="0" applyNumberFormat="1" applyBorder="1">
      <alignment vertical="top" wrapText="1"/>
    </xf>
    <xf numFmtId="0" fontId="0" fillId="0" borderId="9" xfId="0" applyNumberFormat="1" applyBorder="1">
      <alignment vertical="top" wrapText="1"/>
    </xf>
    <xf numFmtId="0" fontId="0" fillId="0" borderId="13" xfId="0" applyNumberFormat="1" applyBorder="1">
      <alignment vertical="top" wrapText="1"/>
    </xf>
    <xf numFmtId="0" fontId="0" fillId="0" borderId="11" xfId="0" applyNumberFormat="1" applyBorder="1">
      <alignment vertical="top" wrapText="1"/>
    </xf>
    <xf numFmtId="0" fontId="0" fillId="0" borderId="14" xfId="0" applyNumberFormat="1" applyBorder="1">
      <alignment vertical="top" wrapText="1"/>
    </xf>
    <xf numFmtId="0" fontId="0" fillId="0" borderId="15" xfId="0" applyBorder="1">
      <alignment vertical="top" wrapText="1"/>
    </xf>
    <xf numFmtId="0" fontId="0" fillId="0" borderId="15" xfId="0" applyNumberFormat="1" applyBorder="1">
      <alignment vertical="top" wrapText="1"/>
    </xf>
    <xf numFmtId="0" fontId="0" fillId="0" borderId="16" xfId="0" applyNumberFormat="1" applyBorder="1">
      <alignment vertical="top" wrapText="1"/>
    </xf>
    <xf numFmtId="0" fontId="0" fillId="0" borderId="17" xfId="0" applyNumberFormat="1" applyBorder="1">
      <alignment vertical="top" wrapText="1"/>
    </xf>
    <xf numFmtId="0" fontId="0" fillId="0" borderId="10" xfId="0" applyBorder="1" applyAlignment="1">
      <alignment horizontal="left" vertical="top" wrapText="1"/>
    </xf>
    <xf numFmtId="49" fontId="0" fillId="0" borderId="1" xfId="0" applyNumberFormat="1" applyFill="1" applyBorder="1" applyAlignment="1">
      <alignment vertical="top"/>
    </xf>
    <xf numFmtId="0" fontId="0" fillId="0" borderId="0" xfId="0" applyFill="1">
      <alignment vertical="top" wrapText="1"/>
    </xf>
    <xf numFmtId="49" fontId="3" fillId="0" borderId="1" xfId="0" applyNumberFormat="1" applyFont="1" applyFill="1" applyBorder="1" applyAlignment="1">
      <alignment vertical="top"/>
    </xf>
    <xf numFmtId="0" fontId="3" fillId="0" borderId="0" xfId="0" applyFont="1" applyFill="1">
      <alignment vertical="top" wrapText="1"/>
    </xf>
    <xf numFmtId="0" fontId="0" fillId="0" borderId="0" xfId="0" applyFill="1" applyBorder="1">
      <alignment vertical="top" wrapText="1"/>
    </xf>
    <xf numFmtId="164" fontId="0" fillId="0" borderId="0" xfId="1" applyNumberFormat="1" applyFont="1" applyAlignment="1">
      <alignment vertical="top" wrapText="1"/>
    </xf>
    <xf numFmtId="0" fontId="1" fillId="0" borderId="0" xfId="0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Sheet4!$H$1:$M$1</c:f>
              <c:strCache>
                <c:ptCount val="6"/>
                <c:pt idx="0">
                  <c:v>Medical doctors  &lt; 25 yrs</c:v>
                </c:pt>
                <c:pt idx="1">
                  <c:v>Medical doctors 25-34</c:v>
                </c:pt>
                <c:pt idx="2">
                  <c:v>Medical doctors  35-44</c:v>
                </c:pt>
                <c:pt idx="3">
                  <c:v>45-55</c:v>
                </c:pt>
                <c:pt idx="4">
                  <c:v>Medical doctors 55-64</c:v>
                </c:pt>
                <c:pt idx="5">
                  <c:v>Medical doctors &gt;65</c:v>
                </c:pt>
              </c:strCache>
            </c:strRef>
          </c:cat>
          <c:val>
            <c:numRef>
              <c:f>Sheet4!$H$2:$M$2</c:f>
              <c:numCache>
                <c:formatCode>0.0%</c:formatCode>
                <c:ptCount val="6"/>
                <c:pt idx="0">
                  <c:v>1.0147857047578982E-2</c:v>
                </c:pt>
                <c:pt idx="1">
                  <c:v>0.36773412409320844</c:v>
                </c:pt>
                <c:pt idx="2">
                  <c:v>0.36325018725823166</c:v>
                </c:pt>
                <c:pt idx="3">
                  <c:v>0.1737756389866508</c:v>
                </c:pt>
                <c:pt idx="4">
                  <c:v>6.744374557506233E-2</c:v>
                </c:pt>
                <c:pt idx="5">
                  <c:v>1.7648447039267795E-2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2-48A6-9C5F-0DDA8D9C2EF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20513151"/>
        <c:axId val="1205355007"/>
      </c:barChart>
      <c:catAx>
        <c:axId val="1220513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05355007"/>
        <c:crosses val="autoZero"/>
        <c:auto val="1"/>
        <c:lblAlgn val="ctr"/>
        <c:lblOffset val="100"/>
        <c:noMultiLvlLbl val="0"/>
      </c:catAx>
      <c:valAx>
        <c:axId val="1205355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220513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60325</xdr:colOff>
      <xdr:row>0</xdr:row>
      <xdr:rowOff>165100</xdr:rowOff>
    </xdr:from>
    <xdr:to>
      <xdr:col>21</xdr:col>
      <xdr:colOff>365125</xdr:colOff>
      <xdr:row>11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373DC1-96BA-C33F-FCE5-36EE08B9EE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mung" refreshedDate="45323.808938425929" createdVersion="8" refreshedVersion="8" minRefreshableVersion="3" recordCount="74" xr:uid="{A9184BDE-2206-4A61-AE74-A2F7E4D67B7F}">
  <cacheSource type="worksheet">
    <worksheetSource ref="A2:DU76" sheet="Sheet 1 - AFRO Age 20240123"/>
  </cacheSource>
  <cacheFields count="125">
    <cacheField name="periodid" numFmtId="0">
      <sharedItems containsSemiMixedTypes="0" containsString="0" containsNumber="1" containsInteger="1" minValue="2018" maxValue="2022" count="5">
        <n v="2022"/>
        <n v="2021"/>
        <n v="2020"/>
        <n v="2019"/>
        <n v="2018"/>
      </sharedItems>
    </cacheField>
    <cacheField name="periodname" numFmtId="0">
      <sharedItems containsSemiMixedTypes="0" containsString="0" containsNumber="1" containsInteger="1" minValue="2018" maxValue="2022"/>
    </cacheField>
    <cacheField name="periodcode" numFmtId="0">
      <sharedItems containsSemiMixedTypes="0" containsString="0" containsNumber="1" containsInteger="1" minValue="2018" maxValue="2022" count="5">
        <n v="2022"/>
        <n v="2021"/>
        <n v="2020"/>
        <n v="2019"/>
        <n v="2018"/>
      </sharedItems>
    </cacheField>
    <cacheField name="perioddescription" numFmtId="0">
      <sharedItems containsNonDate="0" containsString="0" containsBlank="1"/>
    </cacheField>
    <cacheField name="orgunitlevel1" numFmtId="49">
      <sharedItems/>
    </cacheField>
    <cacheField name="orgunitlevel2" numFmtId="49">
      <sharedItems/>
    </cacheField>
    <cacheField name="orgunitlevel3" numFmtId="0">
      <sharedItems containsBlank="1"/>
    </cacheField>
    <cacheField name="organisationunitid" numFmtId="49">
      <sharedItems/>
    </cacheField>
    <cacheField name="organisationunitname" numFmtId="49">
      <sharedItems count="29">
        <s v="AFR"/>
        <s v="Burkina Faso"/>
        <s v="Federal Republic of Nigeria"/>
        <s v="Gabonese Republic"/>
        <s v="Kingdom of Eswatini"/>
        <s v="Republic of Botswana"/>
        <s v="Republic of Cabo Verde"/>
        <s v="Republic of Cameroon"/>
        <s v="Republic of Chad"/>
        <s v="Republic of Côte d'Ivoire"/>
        <s v="Republic of Ghana"/>
        <s v="Republic of Guinea-Bissau"/>
        <s v="Republic of Kenya"/>
        <s v="Republic of Malawi"/>
        <s v="Republic of Mozambique"/>
        <s v="Republic of Senegal"/>
        <s v="Republic of Seychelles"/>
        <s v="Republic of the Congo"/>
        <s v="Republic of Zambia"/>
        <s v="Republic of Zimbabwe"/>
        <s v="State of Eritrea"/>
        <s v="Togolese Republic"/>
        <s v="Republic of Benin"/>
        <s v="Republic of Sierra Leone"/>
        <s v="Republic of Burundi"/>
        <s v="People's Democratic Republic of Algeria"/>
        <s v="Republic of Madagascar"/>
        <s v="Republic of South Africa"/>
        <s v="Republic of Uganda"/>
      </sharedItems>
    </cacheField>
    <cacheField name="organisationunitcode" numFmtId="49">
      <sharedItems count="29">
        <s v="AFR"/>
        <s v="BFA"/>
        <s v="NGA"/>
        <s v="GAB"/>
        <s v="SWZ"/>
        <s v="BWA"/>
        <s v="CPV"/>
        <s v="CMR"/>
        <s v="TCD"/>
        <s v="CIV"/>
        <s v="GHA"/>
        <s v="GNB"/>
        <s v="KEN"/>
        <s v="MWI"/>
        <s v="MOZ"/>
        <s v="SEN"/>
        <s v="SYC"/>
        <s v="COG"/>
        <s v="ZMB"/>
        <s v="ZWE"/>
        <s v="ERI"/>
        <s v="TGO"/>
        <s v="BEN"/>
        <s v="SLE"/>
        <s v="BDI"/>
        <s v="DZA"/>
        <s v="MDG"/>
        <s v="ZAF"/>
        <s v="UGA"/>
      </sharedItems>
    </cacheField>
    <cacheField name="organisationunitdescription" numFmtId="0">
      <sharedItems containsNonDate="0" containsString="0" containsBlank="1"/>
    </cacheField>
    <cacheField name="NHWA_Medical Doctors Stock By Age Group &lt; 25 yrs" numFmtId="0">
      <sharedItems containsString="0" containsBlank="1" containsNumber="1" containsInteger="1" minValue="0" maxValue="6974"/>
    </cacheField>
    <cacheField name="NHWA_Medical Doctors Stock By Age Group 25-34 yrs" numFmtId="0">
      <sharedItems containsString="0" containsBlank="1" containsNumber="1" containsInteger="1" minValue="9" maxValue="35839"/>
    </cacheField>
    <cacheField name="NHWA_Medical Doctors Stock By Age Group 35-44 yrs" numFmtId="0">
      <sharedItems containsString="0" containsBlank="1" containsNumber="1" containsInteger="1" minValue="15" maxValue="35402"/>
    </cacheField>
    <cacheField name="NHWA_Medical Doctors Stock By Age Group 45-54 yrs" numFmtId="0">
      <sharedItems containsString="0" containsBlank="1" containsNumber="1" containsInteger="1" minValue="17" maxValue="16936"/>
    </cacheField>
    <cacheField name="NHWA_Medical Doctors Stock By Age Group 55-64 yrs" numFmtId="0">
      <sharedItems containsString="0" containsBlank="1" containsNumber="1" containsInteger="1" minValue="0" maxValue="14213"/>
    </cacheField>
    <cacheField name="NHWA_Medical Doctors Stock By Age Group ≥ 65 yrs" numFmtId="0">
      <sharedItems containsString="0" containsBlank="1" containsNumber="1" containsInteger="1" minValue="0" maxValue="7712"/>
    </cacheField>
    <cacheField name="NHWA_Nursing  Personnel  Stock By Age Group &lt; 25 yrs" numFmtId="0">
      <sharedItems containsString="0" containsBlank="1" containsNumber="1" containsInteger="1" minValue="0" maxValue="23560"/>
    </cacheField>
    <cacheField name="NHWA_Nursing  Personnel  Stock By Age Group 25-34 yrs" numFmtId="0">
      <sharedItems containsString="0" containsBlank="1" containsNumber="1" containsInteger="1" minValue="161" maxValue="245197"/>
    </cacheField>
    <cacheField name="NHWA_Nursing  Personnel  Stock By Age Group 35-44 yrs" numFmtId="0">
      <sharedItems containsString="0" containsBlank="1" containsNumber="1" containsInteger="1" minValue="139" maxValue="186392"/>
    </cacheField>
    <cacheField name="NHWA_Nursing  Personnel  Stock By Age Group 45-54 yrs" numFmtId="0">
      <sharedItems containsString="0" containsBlank="1" containsNumber="1" containsInteger="1" minValue="102" maxValue="132148"/>
    </cacheField>
    <cacheField name="NHWA_Nursing  Personnel  Stock By Age Group 55-64 yrs" numFmtId="0">
      <sharedItems containsString="0" containsBlank="1" containsNumber="1" containsInteger="1" minValue="0" maxValue="84727"/>
    </cacheField>
    <cacheField name="NHWA_Nursing  Personnel  Stock By Age Group ≥ 65 yrs" numFmtId="0">
      <sharedItems containsString="0" containsBlank="1" containsNumber="1" containsInteger="1" minValue="0" maxValue="24837"/>
    </cacheField>
    <cacheField name="NHWA_Midwifery personnel Stock By Age Group &lt; 25 yrs" numFmtId="0">
      <sharedItems containsString="0" containsBlank="1" containsNumber="1" containsInteger="1" minValue="0" maxValue="1154"/>
    </cacheField>
    <cacheField name="NHWA_Midwifery personnel Stock By Age Group 25-34 yrs" numFmtId="0">
      <sharedItems containsString="0" containsBlank="1" containsNumber="1" containsInteger="1" minValue="0" maxValue="24869"/>
    </cacheField>
    <cacheField name="NHWA_Midwifery personnel Stock By Age Group 35-44 yrs" numFmtId="0">
      <sharedItems containsString="0" containsBlank="1" containsNumber="1" containsInteger="1" minValue="0" maxValue="24566"/>
    </cacheField>
    <cacheField name="NHWA_Midwifery personnel Stock By Age Group 45-54 yrs" numFmtId="0">
      <sharedItems containsString="0" containsBlank="1" containsNumber="1" containsInteger="1" minValue="0" maxValue="7546"/>
    </cacheField>
    <cacheField name="NHWA_Midwifery personnel Stock By Age Group 55-64 yrs" numFmtId="0">
      <sharedItems containsString="0" containsBlank="1" containsNumber="1" containsInteger="1" minValue="0" maxValue="2267"/>
    </cacheField>
    <cacheField name="NHWA_Midwifery personnel Stock By Age Group ≥ 65 yrs" numFmtId="0">
      <sharedItems containsString="0" containsBlank="1" containsNumber="1" containsInteger="1" minValue="0" maxValue="317"/>
    </cacheField>
    <cacheField name="NHWA_Dentists Stock By Age Group &lt; 25 yrs" numFmtId="0">
      <sharedItems containsString="0" containsBlank="1" containsNumber="1" containsInteger="1" minValue="0" maxValue="543"/>
    </cacheField>
    <cacheField name="NHWA_Dentists Stock By Age Group 25-34 yrs" numFmtId="0">
      <sharedItems containsString="0" containsBlank="1" containsNumber="1" containsInteger="1" minValue="0" maxValue="5240"/>
    </cacheField>
    <cacheField name="NHWA_Dentists Stock By Age Group 35-44 yrs" numFmtId="0">
      <sharedItems containsString="0" containsBlank="1" containsNumber="1" containsInteger="1" minValue="1" maxValue="3682"/>
    </cacheField>
    <cacheField name="NHWA_Dentists Stock By Age Group 45-54 yrs" numFmtId="0">
      <sharedItems containsString="0" containsBlank="1" containsNumber="1" containsInteger="1" minValue="0" maxValue="2105"/>
    </cacheField>
    <cacheField name="NHWA_Dentists Stock By Age Group 55-64 yrs" numFmtId="0">
      <sharedItems containsString="0" containsBlank="1" containsNumber="1" containsInteger="1" minValue="0" maxValue="3457"/>
    </cacheField>
    <cacheField name="NHWA_Dentists Stock By Age Group ≥ 65 yrs" numFmtId="0">
      <sharedItems containsString="0" containsBlank="1" containsNumber="1" containsInteger="1" minValue="0" maxValue="681"/>
    </cacheField>
    <cacheField name="NHWA_Pharmacists Stock By Age Group &lt; 25 yrs" numFmtId="0">
      <sharedItems containsString="0" containsBlank="1" containsNumber="1" containsInteger="1" minValue="0" maxValue="758"/>
    </cacheField>
    <cacheField name="NHWA_Pharmacists Stock By Age Group 25-34 yrs" numFmtId="0">
      <sharedItems containsString="0" containsBlank="1" containsNumber="1" containsInteger="1" minValue="0" maxValue="4888"/>
    </cacheField>
    <cacheField name="NHWA_Pharmacists Stock By Age Group 35-44 yrs" numFmtId="0">
      <sharedItems containsString="0" containsBlank="1" containsNumber="1" containsInteger="1" minValue="0" maxValue="5056"/>
    </cacheField>
    <cacheField name="NHWA_Pharmacists Stock By Age Group 45-54 yrs" numFmtId="0">
      <sharedItems containsString="0" containsBlank="1" containsNumber="1" containsInteger="1" minValue="0" maxValue="4353"/>
    </cacheField>
    <cacheField name="NHWA_Pharmacists Stock By Age Group 55-64 yrs" numFmtId="0">
      <sharedItems containsString="0" containsBlank="1" containsNumber="1" containsInteger="1" minValue="0" maxValue="4193"/>
    </cacheField>
    <cacheField name="NHWA_Pharmacists Stock By Age Group ≥ 65 yrs" numFmtId="0">
      <sharedItems containsString="0" containsBlank="1" containsNumber="1" containsInteger="1" minValue="0" maxValue="702"/>
    </cacheField>
    <cacheField name="NHWA_Generalist Medical Practitioners (incl. Family medical practitioners) Stock By Age Group &lt; 25 yrs" numFmtId="0">
      <sharedItems containsString="0" containsBlank="1" containsNumber="1" containsInteger="1" minValue="0" maxValue="6008"/>
    </cacheField>
    <cacheField name="NHWA_Generalist Medical Practitioners (incl. Family medical practitioners) Stock By Age Group 25-34 yrs" numFmtId="0">
      <sharedItems containsString="0" containsBlank="1" containsNumber="1" containsInteger="1" minValue="9" maxValue="34664"/>
    </cacheField>
    <cacheField name="NHWA_Generalist Medical Practitioners (incl. Family medical practitioners) Stock By Age Group 35-44 yrs" numFmtId="0">
      <sharedItems containsString="0" containsBlank="1" containsNumber="1" containsInteger="1" minValue="15" maxValue="30033"/>
    </cacheField>
    <cacheField name="NHWA_Generalist Medical Practitioners (incl. Family medical practitioners) Stock By Age Group 45-54 yrs" numFmtId="0">
      <sharedItems containsString="0" containsBlank="1" containsNumber="1" containsInteger="1" minValue="17" maxValue="13433"/>
    </cacheField>
    <cacheField name="NHWA_Generalist Medical Practitioners (incl. Family medical practitioners) Stock By Age Group 55-64 yrs" numFmtId="0">
      <sharedItems containsString="0" containsBlank="1" containsNumber="1" containsInteger="1" minValue="0" maxValue="8306"/>
    </cacheField>
    <cacheField name="NHWA_Generalist Medical Practitioners (incl. Family medical practitioners) Stock By Age Group ≥ 65 yrs" numFmtId="0">
      <sharedItems containsString="0" containsBlank="1" containsNumber="1" containsInteger="1" minValue="0" maxValue="5955"/>
    </cacheField>
    <cacheField name="NHWA_Specialist Medical Practitioners Stock By Age Group &lt; 25 yrs" numFmtId="0">
      <sharedItems containsString="0" containsBlank="1" containsNumber="1" containsInteger="1" minValue="0" maxValue="48"/>
    </cacheField>
    <cacheField name="NHWA_Specialist Medical Practitioners Stock By Age Group 25-34 yrs" numFmtId="0">
      <sharedItems containsString="0" containsBlank="1" containsNumber="1" containsInteger="1" minValue="0" maxValue="16603"/>
    </cacheField>
    <cacheField name="NHWA_Specialist Medical Practitioners Stock By Age Group 35-44 yrs" numFmtId="0">
      <sharedItems containsString="0" containsBlank="1" containsNumber="1" containsInteger="1" minValue="3" maxValue="12064"/>
    </cacheField>
    <cacheField name="NHWA_Specialist Medical Practitioners Stock By Age Group 45-54 yrs" numFmtId="0">
      <sharedItems containsString="0" containsBlank="1" containsNumber="1" containsInteger="1" minValue="5" maxValue="6713"/>
    </cacheField>
    <cacheField name="NHWA_Specialist Medical Practitioners Stock By Age Group 55-64 yrs" numFmtId="0">
      <sharedItems containsString="0" containsBlank="1" containsNumber="1" containsInteger="1" minValue="0" maxValue="5190"/>
    </cacheField>
    <cacheField name="NHWA_Specialist Medical Practitioners Stock By Age Group ≥ 65 yrs" numFmtId="0">
      <sharedItems containsString="0" containsBlank="1" containsNumber="1" containsInteger="1" minValue="0" maxValue="1654"/>
    </cacheField>
    <cacheField name="NHWA_Medical doctors not further defined Stock By Age Group &lt; 25 yrs" numFmtId="0">
      <sharedItems containsString="0" containsBlank="1" containsNumber="1" containsInteger="1" minValue="0" maxValue="966"/>
    </cacheField>
    <cacheField name="NHWA_Medical doctors not further defined Stock By Age Group 25-34 yrs" numFmtId="0">
      <sharedItems containsString="0" containsBlank="1" containsNumber="1" containsInteger="1" minValue="0" maxValue="7036"/>
    </cacheField>
    <cacheField name="NHWA_Medical doctors not further defined Stock By Age Group 35-44 yrs" numFmtId="0">
      <sharedItems containsString="0" containsBlank="1" containsNumber="1" containsInteger="1" minValue="0" maxValue="2868"/>
    </cacheField>
    <cacheField name="NHWA_Medical doctors not further defined Stock By Age Group 45-54 yrs" numFmtId="0">
      <sharedItems containsString="0" containsBlank="1" containsNumber="1" containsInteger="1" minValue="0" maxValue="1920"/>
    </cacheField>
    <cacheField name="NHWA_Medical doctors not further defined Stock By Age Group 55-64 yrs" numFmtId="0">
      <sharedItems containsString="0" containsBlank="1" containsNumber="1" containsInteger="1" minValue="0" maxValue="717"/>
    </cacheField>
    <cacheField name="NHWA_Medical doctors not further defined Stock By Age Group ≥ 65 yrs" numFmtId="0">
      <sharedItems containsString="0" containsBlank="1" containsNumber="1" containsInteger="1" minValue="0" maxValue="125"/>
    </cacheField>
    <cacheField name="NHWA_Nursing Associate Professionals Stock By Age Group &lt; 25 yrs" numFmtId="0">
      <sharedItems containsString="0" containsBlank="1" containsNumber="1" containsInteger="1" minValue="0" maxValue="2154"/>
    </cacheField>
    <cacheField name="NHWA_Nursing Associate Professionals Stock By Age Group 25-34 yrs" numFmtId="0">
      <sharedItems containsString="0" containsBlank="1" containsNumber="1" containsInteger="1" minValue="0" maxValue="46317"/>
    </cacheField>
    <cacheField name="NHWA_Nursing Associate Professionals Stock By Age Group 35-44 yrs" numFmtId="0">
      <sharedItems containsString="0" containsBlank="1" containsNumber="1" containsInteger="1" minValue="0" maxValue="24104"/>
    </cacheField>
    <cacheField name="NHWA_Nursing Associate Professionals Stock By Age Group 45-54 yrs" numFmtId="0">
      <sharedItems containsString="0" containsBlank="1" containsNumber="1" containsInteger="1" minValue="0" maxValue="22090"/>
    </cacheField>
    <cacheField name="NHWA_Nursing Associate Professionals Stock By Age Group 55-64 yrs" numFmtId="0">
      <sharedItems containsString="0" containsBlank="1" containsNumber="1" containsInteger="1" minValue="0" maxValue="15436"/>
    </cacheField>
    <cacheField name="NHWA_Nursing Associate Professionals Stock By Age Group ≥ 65 yrs" numFmtId="0">
      <sharedItems containsString="0" containsBlank="1" containsNumber="1" containsInteger="1" minValue="0" maxValue="6721"/>
    </cacheField>
    <cacheField name="NHWA_Nursing Professionals Stock By Age Group &lt; 25 yrs" numFmtId="0">
      <sharedItems containsString="0" containsBlank="1" containsNumber="1" containsInteger="1" minValue="0" maxValue="15034"/>
    </cacheField>
    <cacheField name="NHWA_Nursing Professionals Stock By Age Group 25-34 yrs" numFmtId="0">
      <sharedItems containsString="0" containsBlank="1" containsNumber="1" containsInteger="1" minValue="116" maxValue="198142"/>
    </cacheField>
    <cacheField name="NHWA_Nursing Professionals Stock By Age Group 35-44 yrs" numFmtId="0">
      <sharedItems containsString="0" containsBlank="1" containsNumber="1" containsInteger="1" minValue="132" maxValue="161688"/>
    </cacheField>
    <cacheField name="NHWA_Nursing Professionals Stock By Age Group 45-54 yrs" numFmtId="0">
      <sharedItems containsString="0" containsBlank="1" containsNumber="1" containsInteger="1" minValue="57" maxValue="79829"/>
    </cacheField>
    <cacheField name="NHWA_Nursing Professionals Stock By Age Group 55-64 yrs" numFmtId="0">
      <sharedItems containsString="0" containsBlank="1" containsNumber="1" containsInteger="1" minValue="0" maxValue="40859"/>
    </cacheField>
    <cacheField name="NHWA_Nursing Professionals Stock By Age Group ≥ 65 yrs" numFmtId="0">
      <sharedItems containsString="0" containsBlank="1" containsNumber="1" containsInteger="1" minValue="0" maxValue="2799"/>
    </cacheField>
    <cacheField name="NHWA_Nurses not further defined Stock By Age Group &lt; 25 yrs" numFmtId="0">
      <sharedItems containsString="0" containsBlank="1" containsNumber="1" containsInteger="1" minValue="0" maxValue="11393"/>
    </cacheField>
    <cacheField name="NHWA_Nurses not further defined Stock By Age Group 25-34 yrs" numFmtId="0">
      <sharedItems containsString="0" containsBlank="1" containsNumber="1" containsInteger="1" minValue="0" maxValue="61583"/>
    </cacheField>
    <cacheField name="NHWA_Nurses not further defined Stock By Age Group 35-44 yrs" numFmtId="0">
      <sharedItems containsString="0" containsBlank="1" containsNumber="1" containsInteger="1" minValue="0" maxValue="87413"/>
    </cacheField>
    <cacheField name="NHWA_Nurses not further defined Stock By Age Group 45-54 yrs" numFmtId="0">
      <sharedItems containsString="0" containsBlank="1" containsNumber="1" containsInteger="1" minValue="0" maxValue="75535"/>
    </cacheField>
    <cacheField name="NHWA_Nurses not further defined Stock By Age Group 55-64 yrs" numFmtId="0">
      <sharedItems containsString="0" containsBlank="1" containsNumber="1" containsInteger="1" minValue="0" maxValue="55198"/>
    </cacheField>
    <cacheField name="NHWA_Nurses not further defined Stock By Age Group ≥ 65 yrs" numFmtId="0">
      <sharedItems containsString="0" containsBlank="1" containsNumber="1" containsInteger="1" minValue="0" maxValue="15317"/>
    </cacheField>
    <cacheField name="NHWA_Nursing Associate Professionals Stock with additional midwifery training By Age Group &lt; 25 yrs" numFmtId="0">
      <sharedItems containsString="0" containsBlank="1" containsNumber="1" containsInteger="1" minValue="0" maxValue="631"/>
    </cacheField>
    <cacheField name="NHWA_Nursing Associate Professionals Stock with additional midwifery training By Age Group 25-34 yrs" numFmtId="0">
      <sharedItems containsString="0" containsBlank="1" containsNumber="1" containsInteger="1" minValue="0" maxValue="2800"/>
    </cacheField>
    <cacheField name="NHWA_Nursing Associate Professionals Stock with additional midwifery training By Age Group 35-44 yrs" numFmtId="0">
      <sharedItems containsString="0" containsBlank="1" containsNumber="1" containsInteger="1" minValue="0" maxValue="1456"/>
    </cacheField>
    <cacheField name="NHWA_Nursing Associate Professionals Stock with additional midwifery training By Age Group 45-54 yrs" numFmtId="0">
      <sharedItems containsString="0" containsBlank="1" containsNumber="1" containsInteger="1" minValue="0" maxValue="499"/>
    </cacheField>
    <cacheField name="NHWA_Nursing Associate Professionals Stock with additional midwifery training By Age Group 55-64 yrs" numFmtId="0">
      <sharedItems containsString="0" containsBlank="1" containsNumber="1" containsInteger="1" minValue="0" maxValue="104"/>
    </cacheField>
    <cacheField name="NHWA_Nursing Associate Professionals Stock with additional midwifery training By Age Group ≥ 65 yrs" numFmtId="0">
      <sharedItems containsString="0" containsBlank="1" containsNumber="1" containsInteger="1" minValue="0" maxValue="16"/>
    </cacheField>
    <cacheField name="NHWA_Nursing Professionals Stock with additional midwifery training By Age Group &lt; 25 yrs" numFmtId="0">
      <sharedItems containsString="0" containsBlank="1" containsNumber="1" containsInteger="1" minValue="0" maxValue="379"/>
    </cacheField>
    <cacheField name="NHWA_Nursing Professionals Stock with additional midwifery training By Age Group 25-34 yrs" numFmtId="0">
      <sharedItems containsString="0" containsBlank="1" containsNumber="1" containsInteger="1" minValue="0" maxValue="787"/>
    </cacheField>
    <cacheField name="NHWA_Nursing Professionals Stock with additional midwifery training By Age Group 35-44 yrs" numFmtId="0">
      <sharedItems containsString="0" containsBlank="1" containsNumber="1" containsInteger="1" minValue="0" maxValue="554"/>
    </cacheField>
    <cacheField name="NHWA_Nursing Professionals Stock with additional midwifery training By Age Group 45-54 yrs" numFmtId="0">
      <sharedItems containsString="0" containsBlank="1" containsNumber="1" containsInteger="1" minValue="0" maxValue="437"/>
    </cacheField>
    <cacheField name="NHWA_Nursing Professionals Stock with additional midwifery training By Age Group 55-64 yrs" numFmtId="0">
      <sharedItems containsString="0" containsBlank="1" containsNumber="1" containsInteger="1" minValue="0" maxValue="268"/>
    </cacheField>
    <cacheField name="NHWA_Nursing Professionals Stock with additional midwifery training By Age Group ≥ 65 yrs" numFmtId="0">
      <sharedItems containsString="0" containsBlank="1" containsNumber="1" containsInteger="1" minValue="0" maxValue="80"/>
    </cacheField>
    <cacheField name="NHWA_Midwifery Professionals Stock By Age Group &lt; 25 yrs" numFmtId="0">
      <sharedItems containsString="0" containsBlank="1" containsNumber="1" containsInteger="1" minValue="0" maxValue="1134"/>
    </cacheField>
    <cacheField name="NHWA_Midwifery Professionals Stock By Age Group 25-34 yrs" numFmtId="0">
      <sharedItems containsString="0" containsBlank="1" containsNumber="1" containsInteger="1" minValue="0" maxValue="24075"/>
    </cacheField>
    <cacheField name="NHWA_Midwifery Professionals Stock By Age Group 35-44 yrs" numFmtId="0">
      <sharedItems containsString="0" containsBlank="1" containsNumber="1" containsInteger="1" minValue="0" maxValue="23918"/>
    </cacheField>
    <cacheField name="NHWA_Midwifery Professionals Stock By Age Group 45-54 yrs" numFmtId="0">
      <sharedItems containsString="0" containsBlank="1" containsNumber="1" containsInteger="1" minValue="0" maxValue="7293"/>
    </cacheField>
    <cacheField name="NHWA_Midwifery Professionals Stock By Age Group 55-64 yrs" numFmtId="0">
      <sharedItems containsString="0" containsBlank="1" containsNumber="1" containsInteger="1" minValue="0" maxValue="2223"/>
    </cacheField>
    <cacheField name="NHWA_Midwifery Professionals Stock By Age Group ≥ 65 yrs" numFmtId="0">
      <sharedItems containsString="0" containsBlank="1" containsNumber="1" containsInteger="1" minValue="0" maxValue="315"/>
    </cacheField>
    <cacheField name="NHWA_Midwifery Associate Professionals Stock By Age Group &lt; 25 yrs" numFmtId="0">
      <sharedItems containsString="0" containsBlank="1" containsNumber="1" containsInteger="1" minValue="0" maxValue="585"/>
    </cacheField>
    <cacheField name="NHWA_Midwifery Associate Professionals Stock By Age Group 25-34 yrs" numFmtId="0">
      <sharedItems containsString="0" containsBlank="1" containsNumber="1" containsInteger="1" minValue="0" maxValue="3778"/>
    </cacheField>
    <cacheField name="NHWA_Midwifery Associate Professionals Stock By Age Group 35-44 yrs" numFmtId="0">
      <sharedItems containsString="0" containsBlank="1" containsNumber="1" containsInteger="1" minValue="0" maxValue="3759"/>
    </cacheField>
    <cacheField name="NHWA_Midwifery Associate Professionals Stock By Age Group 45-54 yrs" numFmtId="0">
      <sharedItems containsString="0" containsBlank="1" containsNumber="1" containsInteger="1" minValue="0" maxValue="1818"/>
    </cacheField>
    <cacheField name="NHWA_Midwifery Associate Professionals Stock By Age Group 55-64 yrs" numFmtId="0">
      <sharedItems containsString="0" containsBlank="1" containsNumber="1" containsInteger="1" minValue="0" maxValue="432"/>
    </cacheField>
    <cacheField name="NHWA_Midwifery Associate Professionals Stock By Age Group ≥ 65 yrs" numFmtId="0">
      <sharedItems containsString="0" containsBlank="1" containsNumber="1" containsInteger="1" minValue="0" maxValue="66"/>
    </cacheField>
    <cacheField name="NHWA_Midwives not further defined Stock By Age Group &lt; 25 yrs" numFmtId="0">
      <sharedItems containsString="0" containsBlank="1" containsNumber="1" containsInteger="1" minValue="0" maxValue="78"/>
    </cacheField>
    <cacheField name="NHWA_Midwives not further defined Stock By Age Group 25-34 yrs" numFmtId="0">
      <sharedItems containsString="0" containsBlank="1" containsNumber="1" containsInteger="1" minValue="0" maxValue="437"/>
    </cacheField>
    <cacheField name="NHWA_Midwives not further defined Stock By Age Group 35-44 yrs" numFmtId="0">
      <sharedItems containsString="0" containsBlank="1" containsNumber="1" containsInteger="1" minValue="0" maxValue="360"/>
    </cacheField>
    <cacheField name="NHWA_Midwives not further defined Stock By Age Group 45-54 yrs" numFmtId="0">
      <sharedItems containsString="0" containsBlank="1" containsNumber="1" containsInteger="1" minValue="0" maxValue="127"/>
    </cacheField>
    <cacheField name="NHWA_Midwives not further defined Stock By Age Group 55-64 yrs" numFmtId="0">
      <sharedItems containsString="0" containsBlank="1" containsNumber="1" containsInteger="1" minValue="0" maxValue="63"/>
    </cacheField>
    <cacheField name="NHWA_Midwives not further defined Stock By Age Group ≥ 65 yrs" numFmtId="0">
      <sharedItems containsString="0" containsBlank="1" containsNumber="1" containsInteger="1" minValue="0" maxValue="1"/>
    </cacheField>
    <cacheField name="NHWA_Obstetricians and Gynaecologists Practitioners Stock By Age Group &lt; 25 yrs" numFmtId="0">
      <sharedItems containsString="0" containsBlank="1" containsNumber="1" containsInteger="1" minValue="0" maxValue="2"/>
    </cacheField>
    <cacheField name="NHWA_Obstetricians and Gynaecologists Practitioners Stock By Age Group 25-34 yrs" numFmtId="0">
      <sharedItems containsString="0" containsBlank="1" containsNumber="1" containsInteger="1" minValue="0" maxValue="1173"/>
    </cacheField>
    <cacheField name="NHWA_Obstetricians and Gynaecologists Practitioners Stock By Age Group 35-44 yrs" numFmtId="0">
      <sharedItems containsString="0" containsBlank="1" containsNumber="1" containsInteger="1" minValue="0" maxValue="860"/>
    </cacheField>
    <cacheField name="NHWA_Obstetricians and Gynaecologists Practitioners Stock By Age Group 45-54 yrs" numFmtId="0">
      <sharedItems containsString="0" containsBlank="1" containsNumber="1" containsInteger="1" minValue="1" maxValue="531"/>
    </cacheField>
    <cacheField name="NHWA_Obstetricians and Gynaecologists Practitioners Stock By Age Group 55-64 yrs" numFmtId="0">
      <sharedItems containsString="0" containsBlank="1" containsNumber="1" containsInteger="1" minValue="0" maxValue="488"/>
    </cacheField>
    <cacheField name="NHWA_Obstetricians and Gynaecologists Practitioners Stock By Age Group ≥ 65 yrs" numFmtId="0">
      <sharedItems containsString="0" containsBlank="1" containsNumber="1" containsInteger="1" minValue="0" maxValue="149"/>
    </cacheField>
    <cacheField name="NHWA_General Paediatricians Practitioners Stock By Age Group &lt; 25 yrs" numFmtId="0">
      <sharedItems containsString="0" containsBlank="1" containsNumber="1" containsInteger="1" minValue="0" maxValue="1"/>
    </cacheField>
    <cacheField name="NHWA_General Paediatricians Practitioners Stock By Age Group 25-34 yrs" numFmtId="0">
      <sharedItems containsString="0" containsBlank="1" containsNumber="1" containsInteger="1" minValue="0" maxValue="1153"/>
    </cacheField>
    <cacheField name="NHWA_General Paediatricians Practitioners Stock By Age Group 35-44 yrs" numFmtId="0">
      <sharedItems containsString="0" containsBlank="1" containsNumber="1" containsInteger="1" minValue="1" maxValue="904"/>
    </cacheField>
    <cacheField name="NHWA_General Paediatricians Practitioners Stock By Age Group 45-54 yrs" numFmtId="0">
      <sharedItems containsString="0" containsBlank="1" containsNumber="1" containsInteger="1" minValue="1" maxValue="469"/>
    </cacheField>
    <cacheField name="NHWA_General Paediatricians Practitioners Stock By Age Group 55-64 yrs" numFmtId="0">
      <sharedItems containsString="0" containsBlank="1" containsNumber="1" containsInteger="1" minValue="0" maxValue="362"/>
    </cacheField>
    <cacheField name="NHWA_General Paediatricians Practitioners Stock By Age Group ≥ 65 yrs" numFmtId="0">
      <sharedItems containsString="0" containsBlank="1" containsNumber="1" containsInteger="1" minValue="0" maxValue="124"/>
    </cacheField>
    <cacheField name="NHWA_Community Health Workers Stock By Age Group &lt; 25 yrs" numFmtId="0">
      <sharedItems containsString="0" containsBlank="1" containsNumber="1" containsInteger="1" minValue="0" maxValue="10828"/>
    </cacheField>
    <cacheField name="NHWA_Community Health Workers Stock By Age Group 25-34 yrs" numFmtId="0">
      <sharedItems containsString="0" containsBlank="1" containsNumber="1" containsInteger="1" minValue="0" maxValue="8190"/>
    </cacheField>
    <cacheField name="NHWA_Community Health Workers Stock By Age Group 35-44 yrs" numFmtId="0">
      <sharedItems containsString="0" containsBlank="1" containsNumber="1" containsInteger="1" minValue="0" maxValue="18484"/>
    </cacheField>
    <cacheField name="NHWA_Community Health Workers Stock By Age Group 45-54 yrs" numFmtId="0">
      <sharedItems containsString="0" containsBlank="1" containsNumber="1" containsInteger="1" minValue="0" maxValue="14404"/>
    </cacheField>
    <cacheField name="NHWA_Community Health Workers Stock By Age Group 55-64 yrs" numFmtId="0">
      <sharedItems containsString="0" containsBlank="1" containsNumber="1" containsInteger="1" minValue="0" maxValue="711"/>
    </cacheField>
    <cacheField name="NHWA_Community Health Workers Stock By Age Group ≥ 65 yrs" numFmtId="0">
      <sharedItems containsString="0" containsBlank="1" containsNumber="1" containsInteger="1" minValue="0" maxValue="8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x v="0"/>
    <n v="2022"/>
    <x v="0"/>
    <m/>
    <s v="Global"/>
    <s v="AFR"/>
    <m/>
    <s v="seHJdofSPcM"/>
    <x v="0"/>
    <x v="0"/>
    <m/>
    <n v="989"/>
    <n v="35839"/>
    <n v="35402"/>
    <n v="16936"/>
    <n v="6573"/>
    <n v="1720"/>
    <n v="16244"/>
    <n v="245197"/>
    <n v="186392"/>
    <n v="85142"/>
    <n v="42383"/>
    <n v="2825"/>
    <n v="1154"/>
    <n v="24869"/>
    <n v="24566"/>
    <n v="7546"/>
    <n v="2267"/>
    <n v="317"/>
    <n v="543"/>
    <n v="3220"/>
    <n v="2068"/>
    <n v="806"/>
    <n v="481"/>
    <n v="94"/>
    <n v="758"/>
    <n v="3188"/>
    <n v="2581"/>
    <n v="1218"/>
    <n v="308"/>
    <n v="27"/>
    <n v="930"/>
    <n v="34664"/>
    <n v="30033"/>
    <n v="13433"/>
    <n v="5100"/>
    <n v="1453"/>
    <n v="48"/>
    <n v="699"/>
    <n v="4671"/>
    <n v="2869"/>
    <n v="1053"/>
    <n v="142"/>
    <n v="11"/>
    <n v="476"/>
    <n v="698"/>
    <n v="634"/>
    <n v="420"/>
    <n v="125"/>
    <n v="1166"/>
    <n v="46317"/>
    <n v="24104"/>
    <n v="4939"/>
    <n v="1384"/>
    <n v="22"/>
    <n v="15034"/>
    <n v="198142"/>
    <n v="161688"/>
    <n v="79829"/>
    <n v="40859"/>
    <n v="2795"/>
    <n v="44"/>
    <n v="738"/>
    <n v="600"/>
    <n v="374"/>
    <n v="140"/>
    <n v="8"/>
    <m/>
    <m/>
    <m/>
    <m/>
    <m/>
    <m/>
    <m/>
    <m/>
    <m/>
    <m/>
    <m/>
    <m/>
    <n v="1134"/>
    <n v="24075"/>
    <n v="23918"/>
    <n v="7293"/>
    <n v="2223"/>
    <n v="315"/>
    <n v="20"/>
    <n v="357"/>
    <n v="482"/>
    <n v="230"/>
    <n v="25"/>
    <n v="2"/>
    <n v="0"/>
    <n v="437"/>
    <n v="166"/>
    <n v="23"/>
    <n v="19"/>
    <n v="0"/>
    <n v="0"/>
    <n v="93"/>
    <n v="504"/>
    <n v="369"/>
    <n v="137"/>
    <n v="16"/>
    <n v="0"/>
    <n v="79"/>
    <n v="388"/>
    <n v="273"/>
    <n v="102"/>
    <n v="10"/>
    <n v="10828"/>
    <n v="8190"/>
    <n v="18484"/>
    <n v="14404"/>
    <n v="711"/>
    <n v="85"/>
  </r>
  <r>
    <x v="0"/>
    <n v="2022"/>
    <x v="0"/>
    <m/>
    <s v="Global"/>
    <s v="AFR"/>
    <s v="Burkina Faso"/>
    <s v="hmZE3mVAZFf"/>
    <x v="1"/>
    <x v="1"/>
    <m/>
    <n v="0"/>
    <n v="1138"/>
    <n v="1088"/>
    <n v="112"/>
    <n v="33"/>
    <n v="1"/>
    <m/>
    <m/>
    <m/>
    <m/>
    <m/>
    <m/>
    <n v="3"/>
    <n v="1574"/>
    <n v="2916"/>
    <n v="1064"/>
    <n v="129"/>
    <n v="0"/>
    <n v="0"/>
    <n v="22"/>
    <n v="4"/>
    <n v="8"/>
    <n v="4"/>
    <n v="1"/>
    <n v="0"/>
    <n v="127"/>
    <n v="329"/>
    <n v="108"/>
    <n v="11"/>
    <n v="0"/>
    <n v="0"/>
    <n v="1138"/>
    <n v="1088"/>
    <n v="112"/>
    <n v="33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574"/>
    <n v="2916"/>
    <n v="1064"/>
    <n v="129"/>
    <n v="0"/>
    <m/>
    <m/>
    <m/>
    <m/>
    <m/>
    <m/>
    <m/>
    <m/>
    <m/>
    <m/>
    <m/>
    <m/>
    <m/>
    <m/>
    <m/>
    <m/>
    <m/>
    <m/>
    <m/>
    <m/>
    <m/>
    <m/>
    <m/>
    <m/>
    <n v="32"/>
    <n v="490"/>
    <n v="1545"/>
    <n v="1002"/>
    <n v="76"/>
    <n v="0"/>
  </r>
  <r>
    <x v="0"/>
    <n v="2022"/>
    <x v="0"/>
    <m/>
    <s v="Global"/>
    <s v="AFR"/>
    <s v="Federal Republic of Nigeria"/>
    <s v="I3NxIqG7bD4"/>
    <x v="2"/>
    <x v="2"/>
    <m/>
    <n v="860"/>
    <n v="21366"/>
    <n v="19365"/>
    <n v="8834"/>
    <n v="3461"/>
    <n v="1088"/>
    <n v="9026"/>
    <n v="106455"/>
    <n v="89987"/>
    <n v="52923"/>
    <n v="31760"/>
    <n v="2353"/>
    <m/>
    <m/>
    <m/>
    <m/>
    <m/>
    <m/>
    <n v="62"/>
    <n v="1146"/>
    <n v="1086"/>
    <m/>
    <n v="217"/>
    <n v="62"/>
    <m/>
    <m/>
    <m/>
    <m/>
    <m/>
    <m/>
    <n v="860"/>
    <n v="21366"/>
    <n v="19365"/>
    <n v="8834"/>
    <n v="3461"/>
    <n v="1088"/>
    <m/>
    <m/>
    <m/>
    <m/>
    <m/>
    <m/>
    <m/>
    <m/>
    <m/>
    <m/>
    <m/>
    <m/>
    <m/>
    <m/>
    <m/>
    <m/>
    <m/>
    <m/>
    <n v="9026"/>
    <n v="106455"/>
    <n v="89987"/>
    <n v="52923"/>
    <n v="31760"/>
    <n v="235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250"/>
    <n v="2345"/>
    <n v="500"/>
    <n v="400"/>
    <n v="82"/>
    <m/>
  </r>
  <r>
    <x v="0"/>
    <n v="2022"/>
    <x v="0"/>
    <m/>
    <s v="Global"/>
    <s v="AFR"/>
    <s v="Gabonese Republic"/>
    <s v="EGLpIMSAWhx"/>
    <x v="3"/>
    <x v="3"/>
    <m/>
    <n v="0"/>
    <n v="248"/>
    <n v="258"/>
    <n v="379"/>
    <n v="224"/>
    <n v="28"/>
    <n v="0"/>
    <n v="615"/>
    <n v="1660"/>
    <n v="1532"/>
    <n v="470"/>
    <n v="0"/>
    <n v="0"/>
    <n v="145"/>
    <n v="401"/>
    <n v="313"/>
    <n v="61"/>
    <n v="0"/>
    <n v="0"/>
    <n v="2"/>
    <n v="4"/>
    <n v="17"/>
    <n v="19"/>
    <n v="2"/>
    <n v="0"/>
    <n v="17"/>
    <n v="38"/>
    <n v="61"/>
    <n v="45"/>
    <n v="7"/>
    <n v="0"/>
    <n v="242"/>
    <n v="170"/>
    <n v="141"/>
    <n v="42"/>
    <n v="16"/>
    <n v="0"/>
    <n v="6"/>
    <n v="88"/>
    <n v="238"/>
    <n v="182"/>
    <n v="12"/>
    <n v="0"/>
    <n v="0"/>
    <n v="0"/>
    <n v="0"/>
    <n v="0"/>
    <n v="0"/>
    <n v="0"/>
    <n v="414"/>
    <n v="1214"/>
    <n v="1170"/>
    <n v="403"/>
    <n v="0"/>
    <n v="0"/>
    <n v="182"/>
    <n v="407"/>
    <n v="348"/>
    <n v="55"/>
    <n v="0"/>
    <n v="0"/>
    <n v="19"/>
    <n v="39"/>
    <n v="14"/>
    <n v="12"/>
    <n v="0"/>
    <m/>
    <m/>
    <m/>
    <m/>
    <m/>
    <m/>
    <m/>
    <m/>
    <m/>
    <m/>
    <m/>
    <m/>
    <n v="0"/>
    <n v="142"/>
    <n v="391"/>
    <n v="276"/>
    <n v="58"/>
    <n v="0"/>
    <n v="0"/>
    <n v="2"/>
    <n v="9"/>
    <n v="32"/>
    <n v="0"/>
    <n v="0"/>
    <n v="0"/>
    <n v="1"/>
    <n v="1"/>
    <n v="5"/>
    <n v="3"/>
    <n v="0"/>
    <n v="0"/>
    <n v="1"/>
    <n v="27"/>
    <n v="56"/>
    <n v="45"/>
    <n v="4"/>
    <n v="0"/>
    <n v="0"/>
    <n v="47"/>
    <n v="77"/>
    <n v="29"/>
    <n v="1"/>
    <m/>
    <m/>
    <m/>
    <m/>
    <m/>
    <m/>
  </r>
  <r>
    <x v="0"/>
    <n v="2022"/>
    <x v="0"/>
    <m/>
    <s v="Global"/>
    <s v="AFR"/>
    <s v="Kingdom of Eswatini"/>
    <s v="G3thRWUQAX9"/>
    <x v="4"/>
    <x v="4"/>
    <m/>
    <m/>
    <n v="116"/>
    <n v="691"/>
    <m/>
    <m/>
    <m/>
    <n v="156"/>
    <n v="2150"/>
    <n v="1684"/>
    <n v="1016"/>
    <n v="478"/>
    <n v="34"/>
    <n v="44"/>
    <n v="917"/>
    <n v="730"/>
    <n v="514"/>
    <n v="240"/>
    <n v="20"/>
    <m/>
    <n v="7"/>
    <m/>
    <n v="1"/>
    <m/>
    <m/>
    <m/>
    <m/>
    <m/>
    <m/>
    <m/>
    <m/>
    <m/>
    <m/>
    <m/>
    <m/>
    <m/>
    <m/>
    <m/>
    <n v="116"/>
    <n v="691"/>
    <m/>
    <m/>
    <m/>
    <m/>
    <m/>
    <m/>
    <m/>
    <m/>
    <m/>
    <n v="33"/>
    <n v="244"/>
    <n v="200"/>
    <n v="112"/>
    <n v="78"/>
    <n v="2"/>
    <n v="87"/>
    <n v="1270"/>
    <n v="1112"/>
    <n v="725"/>
    <n v="334"/>
    <n v="27"/>
    <n v="36"/>
    <n v="636"/>
    <n v="372"/>
    <n v="179"/>
    <n v="66"/>
    <n v="5"/>
    <m/>
    <m/>
    <m/>
    <m/>
    <m/>
    <m/>
    <m/>
    <m/>
    <m/>
    <m/>
    <m/>
    <m/>
    <n v="44"/>
    <n v="917"/>
    <n v="730"/>
    <n v="514"/>
    <n v="240"/>
    <n v="2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n v="2022"/>
    <x v="0"/>
    <m/>
    <s v="Global"/>
    <s v="AFR"/>
    <s v="Republic of Botswana"/>
    <s v="c82mDnhUQly"/>
    <x v="5"/>
    <x v="5"/>
    <m/>
    <m/>
    <n v="483"/>
    <n v="323"/>
    <n v="121"/>
    <n v="52"/>
    <n v="14"/>
    <n v="227"/>
    <n v="2959"/>
    <n v="2657"/>
    <n v="1502"/>
    <n v="646"/>
    <n v="37"/>
    <m/>
    <m/>
    <m/>
    <m/>
    <m/>
    <m/>
    <m/>
    <n v="28"/>
    <n v="49"/>
    <n v="9"/>
    <m/>
    <m/>
    <m/>
    <n v="7"/>
    <n v="38"/>
    <n v="38"/>
    <n v="32"/>
    <n v="10"/>
    <m/>
    <n v="483"/>
    <n v="273"/>
    <n v="101"/>
    <n v="37"/>
    <n v="5"/>
    <m/>
    <m/>
    <n v="50"/>
    <n v="20"/>
    <n v="15"/>
    <n v="9"/>
    <m/>
    <m/>
    <m/>
    <m/>
    <m/>
    <m/>
    <m/>
    <m/>
    <m/>
    <m/>
    <m/>
    <m/>
    <n v="227"/>
    <n v="2959"/>
    <n v="2657"/>
    <n v="1502"/>
    <n v="646"/>
    <n v="3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n v="2022"/>
    <x v="0"/>
    <m/>
    <s v="Global"/>
    <s v="AFR"/>
    <s v="Republic of Cabo Verde"/>
    <s v="bGWaeVBrOcc"/>
    <x v="6"/>
    <x v="6"/>
    <m/>
    <n v="11"/>
    <n v="539"/>
    <n v="801"/>
    <n v="713"/>
    <n v="452"/>
    <n v="128"/>
    <n v="0"/>
    <n v="253"/>
    <n v="249"/>
    <n v="262"/>
    <n v="128"/>
    <n v="49"/>
    <m/>
    <m/>
    <m/>
    <m/>
    <m/>
    <m/>
    <m/>
    <m/>
    <m/>
    <m/>
    <m/>
    <m/>
    <m/>
    <m/>
    <m/>
    <m/>
    <m/>
    <m/>
    <n v="0"/>
    <n v="61"/>
    <n v="70"/>
    <n v="43"/>
    <n v="12"/>
    <n v="1"/>
    <n v="0"/>
    <n v="2"/>
    <n v="35"/>
    <n v="48"/>
    <n v="21"/>
    <n v="2"/>
    <n v="11"/>
    <n v="476"/>
    <n v="696"/>
    <n v="622"/>
    <n v="419"/>
    <n v="125"/>
    <n v="0"/>
    <n v="1"/>
    <n v="11"/>
    <n v="51"/>
    <n v="26"/>
    <n v="6"/>
    <n v="0"/>
    <n v="252"/>
    <n v="238"/>
    <n v="211"/>
    <n v="102"/>
    <n v="43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2"/>
    <n v="13"/>
    <n v="13"/>
    <n v="4"/>
    <n v="1"/>
    <n v="0"/>
    <n v="0"/>
    <n v="7"/>
    <n v="9"/>
    <n v="6"/>
    <n v="1"/>
    <n v="0"/>
    <n v="19"/>
    <n v="24"/>
    <n v="20"/>
    <n v="10"/>
    <n v="82"/>
  </r>
  <r>
    <x v="0"/>
    <n v="2022"/>
    <x v="0"/>
    <m/>
    <s v="Global"/>
    <s v="AFR"/>
    <s v="Republic of Cameroon"/>
    <s v="VPesUmegQpP"/>
    <x v="7"/>
    <x v="7"/>
    <m/>
    <n v="15"/>
    <n v="1889"/>
    <n v="1240"/>
    <n v="454"/>
    <n v="156"/>
    <n v="8"/>
    <n v="296"/>
    <n v="6515"/>
    <n v="6221"/>
    <n v="2896"/>
    <n v="521"/>
    <n v="19"/>
    <n v="30"/>
    <n v="1053"/>
    <n v="506"/>
    <n v="76"/>
    <n v="8"/>
    <n v="1"/>
    <n v="0"/>
    <n v="230"/>
    <n v="59"/>
    <n v="18"/>
    <n v="10"/>
    <n v="0"/>
    <n v="3"/>
    <n v="389"/>
    <n v="201"/>
    <n v="8"/>
    <n v="1"/>
    <n v="0"/>
    <n v="15"/>
    <n v="1773"/>
    <n v="547"/>
    <n v="87"/>
    <n v="44"/>
    <n v="1"/>
    <n v="0"/>
    <n v="116"/>
    <n v="691"/>
    <n v="366"/>
    <n v="112"/>
    <n v="7"/>
    <n v="0"/>
    <n v="0"/>
    <n v="2"/>
    <n v="1"/>
    <n v="0"/>
    <n v="0"/>
    <n v="119"/>
    <n v="2023"/>
    <n v="1849"/>
    <n v="896"/>
    <n v="32"/>
    <n v="5"/>
    <n v="170"/>
    <n v="4487"/>
    <n v="4340"/>
    <n v="1986"/>
    <n v="487"/>
    <n v="11"/>
    <n v="7"/>
    <n v="5"/>
    <n v="32"/>
    <n v="14"/>
    <n v="2"/>
    <n v="3"/>
    <m/>
    <m/>
    <m/>
    <m/>
    <m/>
    <m/>
    <m/>
    <m/>
    <m/>
    <m/>
    <m/>
    <m/>
    <n v="24"/>
    <n v="1011"/>
    <n v="484"/>
    <n v="53"/>
    <n v="6"/>
    <n v="0"/>
    <n v="6"/>
    <n v="42"/>
    <n v="12"/>
    <n v="16"/>
    <n v="0"/>
    <n v="1"/>
    <n v="0"/>
    <n v="0"/>
    <n v="10"/>
    <n v="7"/>
    <n v="2"/>
    <n v="0"/>
    <n v="0"/>
    <n v="9"/>
    <n v="81"/>
    <n v="42"/>
    <n v="20"/>
    <n v="0"/>
    <n v="0"/>
    <n v="6"/>
    <n v="49"/>
    <n v="23"/>
    <n v="9"/>
    <n v="0"/>
    <n v="7"/>
    <n v="207"/>
    <n v="65"/>
    <n v="27"/>
    <n v="3"/>
    <n v="1"/>
  </r>
  <r>
    <x v="0"/>
    <n v="2022"/>
    <x v="0"/>
    <m/>
    <s v="Global"/>
    <s v="AFR"/>
    <s v="Republic of Chad"/>
    <s v="tV0rWhHr9cj"/>
    <x v="8"/>
    <x v="8"/>
    <m/>
    <n v="3"/>
    <n v="880"/>
    <n v="424"/>
    <n v="129"/>
    <n v="73"/>
    <n v="0"/>
    <n v="123"/>
    <n v="1494"/>
    <n v="1044"/>
    <n v="491"/>
    <n v="215"/>
    <n v="0"/>
    <n v="8"/>
    <n v="213"/>
    <n v="287"/>
    <n v="111"/>
    <n v="50"/>
    <n v="0"/>
    <m/>
    <m/>
    <m/>
    <m/>
    <m/>
    <m/>
    <n v="1"/>
    <n v="140"/>
    <n v="42"/>
    <n v="4"/>
    <n v="13"/>
    <n v="5"/>
    <n v="3"/>
    <n v="880"/>
    <n v="424"/>
    <n v="129"/>
    <n v="73"/>
    <n v="0"/>
    <m/>
    <m/>
    <m/>
    <m/>
    <m/>
    <m/>
    <m/>
    <m/>
    <m/>
    <m/>
    <m/>
    <m/>
    <n v="101"/>
    <n v="665"/>
    <n v="460"/>
    <n v="304"/>
    <n v="169"/>
    <n v="0"/>
    <n v="22"/>
    <n v="829"/>
    <n v="584"/>
    <n v="187"/>
    <n v="46"/>
    <n v="0"/>
    <m/>
    <m/>
    <m/>
    <m/>
    <m/>
    <m/>
    <m/>
    <m/>
    <m/>
    <m/>
    <m/>
    <m/>
    <m/>
    <m/>
    <m/>
    <m/>
    <m/>
    <m/>
    <n v="8"/>
    <n v="213"/>
    <n v="287"/>
    <n v="111"/>
    <n v="50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n v="2022"/>
    <x v="0"/>
    <m/>
    <s v="Global"/>
    <s v="AFR"/>
    <s v="Republic of Côte d'Ivoire"/>
    <s v="WXGcnQWJ0Qd"/>
    <x v="9"/>
    <x v="9"/>
    <m/>
    <n v="0"/>
    <n v="920"/>
    <n v="1757"/>
    <n v="1583"/>
    <n v="640"/>
    <n v="29"/>
    <n v="35"/>
    <n v="3771"/>
    <n v="6788"/>
    <n v="3016"/>
    <n v="1366"/>
    <n v="3"/>
    <n v="20"/>
    <n v="2566"/>
    <n v="3905"/>
    <n v="804"/>
    <n v="130"/>
    <n v="0"/>
    <n v="0"/>
    <n v="67"/>
    <n v="145"/>
    <n v="103"/>
    <n v="100"/>
    <n v="3"/>
    <n v="0"/>
    <n v="256"/>
    <n v="539"/>
    <n v="354"/>
    <n v="13"/>
    <n v="0"/>
    <n v="0"/>
    <n v="919"/>
    <n v="1664"/>
    <n v="1293"/>
    <n v="512"/>
    <n v="23"/>
    <n v="0"/>
    <n v="1"/>
    <n v="93"/>
    <n v="290"/>
    <n v="128"/>
    <n v="6"/>
    <m/>
    <m/>
    <m/>
    <m/>
    <m/>
    <m/>
    <m/>
    <m/>
    <m/>
    <m/>
    <m/>
    <m/>
    <n v="35"/>
    <n v="3771"/>
    <n v="6780"/>
    <n v="2984"/>
    <n v="1361"/>
    <n v="3"/>
    <n v="0"/>
    <n v="0"/>
    <n v="8"/>
    <n v="32"/>
    <n v="5"/>
    <n v="0"/>
    <m/>
    <m/>
    <m/>
    <m/>
    <m/>
    <m/>
    <m/>
    <m/>
    <m/>
    <m/>
    <m/>
    <m/>
    <n v="20"/>
    <n v="2566"/>
    <n v="3903"/>
    <n v="804"/>
    <n v="128"/>
    <n v="0"/>
    <n v="0"/>
    <n v="0"/>
    <n v="2"/>
    <n v="0"/>
    <n v="2"/>
    <n v="0"/>
    <m/>
    <m/>
    <m/>
    <m/>
    <m/>
    <m/>
    <m/>
    <m/>
    <m/>
    <m/>
    <m/>
    <m/>
    <m/>
    <m/>
    <m/>
    <m/>
    <m/>
    <m/>
    <m/>
    <m/>
    <m/>
    <m/>
    <m/>
    <m/>
  </r>
  <r>
    <x v="0"/>
    <n v="2022"/>
    <x v="0"/>
    <m/>
    <s v="Global"/>
    <s v="AFR"/>
    <s v="Republic of Ghana"/>
    <s v="WC5rU5fLMzY"/>
    <x v="10"/>
    <x v="10"/>
    <m/>
    <n v="2"/>
    <n v="1715"/>
    <n v="1942"/>
    <n v="512"/>
    <n v="184"/>
    <n v="3"/>
    <n v="39"/>
    <n v="66582"/>
    <n v="30701"/>
    <n v="1561"/>
    <n v="790"/>
    <n v="0"/>
    <n v="12"/>
    <n v="12834"/>
    <n v="9207"/>
    <n v="888"/>
    <n v="375"/>
    <n v="0"/>
    <m/>
    <m/>
    <m/>
    <m/>
    <m/>
    <m/>
    <n v="0"/>
    <n v="431"/>
    <n v="394"/>
    <n v="213"/>
    <n v="99"/>
    <n v="0"/>
    <n v="2"/>
    <n v="1682"/>
    <n v="1122"/>
    <n v="136"/>
    <n v="67"/>
    <n v="1"/>
    <n v="0"/>
    <n v="33"/>
    <n v="820"/>
    <n v="376"/>
    <n v="117"/>
    <n v="2"/>
    <m/>
    <m/>
    <m/>
    <m/>
    <m/>
    <m/>
    <n v="22"/>
    <n v="36856"/>
    <n v="16270"/>
    <n v="365"/>
    <n v="197"/>
    <n v="0"/>
    <n v="17"/>
    <n v="29726"/>
    <n v="14431"/>
    <n v="1196"/>
    <n v="593"/>
    <n v="0"/>
    <m/>
    <m/>
    <m/>
    <m/>
    <m/>
    <m/>
    <m/>
    <m/>
    <m/>
    <m/>
    <m/>
    <m/>
    <m/>
    <m/>
    <m/>
    <m/>
    <m/>
    <m/>
    <n v="12"/>
    <n v="12834"/>
    <n v="9207"/>
    <n v="888"/>
    <n v="375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n v="2022"/>
    <x v="0"/>
    <m/>
    <s v="Global"/>
    <s v="AFR"/>
    <s v="Republic of Guinea-Bissau"/>
    <s v="G9o5ad4oJJX"/>
    <x v="11"/>
    <x v="11"/>
    <m/>
    <n v="0"/>
    <n v="229"/>
    <n v="143"/>
    <n v="41"/>
    <n v="19"/>
    <n v="5"/>
    <n v="0"/>
    <n v="659"/>
    <n v="863"/>
    <n v="209"/>
    <n v="134"/>
    <n v="14"/>
    <n v="0"/>
    <n v="37"/>
    <n v="89"/>
    <n v="54"/>
    <n v="17"/>
    <n v="0"/>
    <n v="0"/>
    <n v="14"/>
    <n v="7"/>
    <n v="0"/>
    <n v="0"/>
    <n v="0"/>
    <n v="0"/>
    <n v="0"/>
    <n v="0"/>
    <n v="0"/>
    <n v="2"/>
    <n v="0"/>
    <n v="0"/>
    <n v="229"/>
    <n v="139"/>
    <n v="36"/>
    <n v="18"/>
    <n v="5"/>
    <n v="0"/>
    <n v="0"/>
    <n v="4"/>
    <n v="5"/>
    <n v="1"/>
    <n v="0"/>
    <n v="0"/>
    <n v="0"/>
    <n v="0"/>
    <n v="0"/>
    <n v="0"/>
    <n v="0"/>
    <n v="0"/>
    <n v="167"/>
    <n v="465"/>
    <n v="152"/>
    <n v="99"/>
    <n v="6"/>
    <n v="0"/>
    <n v="492"/>
    <n v="398"/>
    <n v="57"/>
    <n v="32"/>
    <n v="8"/>
    <n v="0"/>
    <n v="0"/>
    <n v="0"/>
    <n v="0"/>
    <n v="3"/>
    <n v="0"/>
    <m/>
    <m/>
    <m/>
    <m/>
    <m/>
    <m/>
    <m/>
    <m/>
    <m/>
    <m/>
    <m/>
    <m/>
    <n v="0"/>
    <n v="2"/>
    <n v="5"/>
    <n v="14"/>
    <n v="5"/>
    <n v="0"/>
    <n v="0"/>
    <n v="35"/>
    <n v="84"/>
    <n v="40"/>
    <n v="12"/>
    <n v="0"/>
    <n v="0"/>
    <n v="0"/>
    <n v="0"/>
    <n v="0"/>
    <n v="0"/>
    <n v="0"/>
    <n v="0"/>
    <n v="0"/>
    <n v="3"/>
    <n v="1"/>
    <n v="0"/>
    <n v="0"/>
    <n v="0"/>
    <n v="0"/>
    <n v="3"/>
    <n v="2"/>
    <n v="0"/>
    <n v="0"/>
    <n v="0"/>
    <n v="0"/>
    <n v="0"/>
    <n v="0"/>
    <n v="0"/>
    <n v="0"/>
  </r>
  <r>
    <x v="0"/>
    <n v="2022"/>
    <x v="0"/>
    <m/>
    <s v="Global"/>
    <s v="AFR"/>
    <s v="Republic of Kenya"/>
    <s v="HfVjCurKxh2"/>
    <x v="12"/>
    <x v="12"/>
    <m/>
    <n v="5"/>
    <n v="1600"/>
    <n v="2699"/>
    <n v="941"/>
    <n v="243"/>
    <n v="6"/>
    <n v="375"/>
    <n v="11055"/>
    <n v="12233"/>
    <n v="8664"/>
    <n v="3678"/>
    <n v="57"/>
    <n v="21"/>
    <n v="21"/>
    <n v="39"/>
    <n v="52"/>
    <n v="25"/>
    <n v="0"/>
    <n v="22"/>
    <n v="74"/>
    <n v="142"/>
    <n v="42"/>
    <n v="14"/>
    <n v="0"/>
    <n v="21"/>
    <n v="272"/>
    <n v="473"/>
    <n v="129"/>
    <n v="11"/>
    <n v="0"/>
    <n v="4"/>
    <n v="1377"/>
    <n v="1560"/>
    <n v="441"/>
    <n v="137"/>
    <n v="1"/>
    <n v="1"/>
    <n v="223"/>
    <n v="1139"/>
    <n v="500"/>
    <n v="106"/>
    <n v="5"/>
    <m/>
    <m/>
    <m/>
    <m/>
    <m/>
    <m/>
    <m/>
    <m/>
    <m/>
    <m/>
    <m/>
    <m/>
    <n v="375"/>
    <n v="11055"/>
    <n v="12233"/>
    <n v="8664"/>
    <n v="3678"/>
    <n v="57"/>
    <m/>
    <m/>
    <m/>
    <m/>
    <m/>
    <m/>
    <m/>
    <m/>
    <m/>
    <m/>
    <m/>
    <m/>
    <m/>
    <m/>
    <m/>
    <m/>
    <m/>
    <m/>
    <n v="21"/>
    <n v="21"/>
    <n v="39"/>
    <n v="52"/>
    <n v="25"/>
    <n v="0"/>
    <m/>
    <m/>
    <m/>
    <m/>
    <m/>
    <m/>
    <m/>
    <m/>
    <m/>
    <m/>
    <m/>
    <m/>
    <n v="0"/>
    <n v="22"/>
    <n v="168"/>
    <n v="82"/>
    <n v="13"/>
    <n v="0"/>
    <n v="0"/>
    <n v="31"/>
    <n v="120"/>
    <n v="45"/>
    <n v="10"/>
    <n v="2"/>
    <m/>
    <m/>
    <m/>
    <m/>
    <m/>
    <m/>
  </r>
  <r>
    <x v="0"/>
    <n v="2022"/>
    <x v="0"/>
    <m/>
    <s v="Global"/>
    <s v="AFR"/>
    <s v="Republic of Malawi"/>
    <s v="G037PAPU5dO"/>
    <x v="13"/>
    <x v="13"/>
    <m/>
    <n v="61"/>
    <n v="392"/>
    <n v="331"/>
    <n v="213"/>
    <n v="30"/>
    <n v="13"/>
    <n v="310"/>
    <n v="4736"/>
    <n v="2722"/>
    <n v="1613"/>
    <n v="211"/>
    <m/>
    <m/>
    <n v="436"/>
    <n v="155"/>
    <n v="11"/>
    <n v="14"/>
    <m/>
    <m/>
    <n v="5"/>
    <n v="41"/>
    <n v="23"/>
    <n v="25"/>
    <n v="7"/>
    <n v="50"/>
    <n v="25"/>
    <n v="19"/>
    <n v="11"/>
    <n v="6"/>
    <m/>
    <n v="14"/>
    <n v="392"/>
    <n v="284"/>
    <n v="131"/>
    <n v="18"/>
    <n v="4"/>
    <n v="47"/>
    <m/>
    <n v="47"/>
    <n v="71"/>
    <n v="11"/>
    <n v="9"/>
    <m/>
    <m/>
    <m/>
    <n v="11"/>
    <n v="1"/>
    <m/>
    <n v="233"/>
    <n v="3711"/>
    <n v="1488"/>
    <n v="856"/>
    <n v="186"/>
    <m/>
    <n v="77"/>
    <n v="992"/>
    <n v="1143"/>
    <n v="669"/>
    <n v="10"/>
    <m/>
    <m/>
    <n v="33"/>
    <n v="91"/>
    <n v="88"/>
    <n v="15"/>
    <m/>
    <m/>
    <m/>
    <m/>
    <m/>
    <m/>
    <m/>
    <m/>
    <m/>
    <m/>
    <m/>
    <m/>
    <m/>
    <m/>
    <m/>
    <m/>
    <m/>
    <m/>
    <m/>
    <m/>
    <m/>
    <m/>
    <m/>
    <m/>
    <m/>
    <m/>
    <n v="436"/>
    <n v="155"/>
    <n v="11"/>
    <n v="14"/>
    <m/>
    <m/>
    <n v="1"/>
    <n v="13"/>
    <n v="4"/>
    <n v="3"/>
    <m/>
    <m/>
    <n v="4"/>
    <n v="23"/>
    <n v="2"/>
    <n v="1"/>
    <n v="1"/>
    <n v="352"/>
    <n v="1574"/>
    <n v="4840"/>
    <n v="3461"/>
    <n v="520"/>
    <m/>
  </r>
  <r>
    <x v="0"/>
    <n v="2022"/>
    <x v="0"/>
    <m/>
    <s v="Global"/>
    <s v="AFR"/>
    <s v="Republic of Mozambique"/>
    <s v="Gan3VYicAWe"/>
    <x v="14"/>
    <x v="14"/>
    <m/>
    <n v="6"/>
    <n v="784"/>
    <n v="897"/>
    <n v="416"/>
    <n v="193"/>
    <n v="50"/>
    <m/>
    <m/>
    <m/>
    <m/>
    <m/>
    <m/>
    <m/>
    <m/>
    <m/>
    <m/>
    <m/>
    <m/>
    <m/>
    <m/>
    <m/>
    <m/>
    <m/>
    <m/>
    <m/>
    <m/>
    <m/>
    <m/>
    <m/>
    <m/>
    <n v="6"/>
    <n v="758"/>
    <n v="670"/>
    <n v="136"/>
    <n v="16"/>
    <n v="4"/>
    <n v="0"/>
    <n v="26"/>
    <n v="227"/>
    <n v="280"/>
    <n v="177"/>
    <n v="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0"/>
    <n v="2022"/>
    <x v="0"/>
    <m/>
    <s v="Global"/>
    <s v="AFR"/>
    <s v="Republic of Senegal"/>
    <s v="wj7iV08dvFq"/>
    <x v="15"/>
    <x v="15"/>
    <m/>
    <n v="1"/>
    <n v="338"/>
    <n v="247"/>
    <n v="64"/>
    <n v="48"/>
    <n v="5"/>
    <n v="15"/>
    <n v="1113"/>
    <n v="2668"/>
    <n v="709"/>
    <n v="203"/>
    <n v="29"/>
    <n v="7"/>
    <n v="593"/>
    <n v="1719"/>
    <n v="307"/>
    <n v="120"/>
    <n v="5"/>
    <n v="0"/>
    <n v="31"/>
    <n v="63"/>
    <n v="80"/>
    <n v="46"/>
    <n v="2"/>
    <n v="1"/>
    <n v="78"/>
    <n v="151"/>
    <n v="69"/>
    <n v="39"/>
    <m/>
    <n v="1"/>
    <n v="338"/>
    <n v="247"/>
    <n v="64"/>
    <n v="48"/>
    <n v="5"/>
    <m/>
    <m/>
    <m/>
    <m/>
    <m/>
    <m/>
    <m/>
    <m/>
    <m/>
    <m/>
    <m/>
    <m/>
    <n v="10"/>
    <n v="494"/>
    <n v="1142"/>
    <n v="255"/>
    <n v="64"/>
    <n v="3"/>
    <n v="5"/>
    <n v="619"/>
    <n v="1526"/>
    <n v="454"/>
    <n v="139"/>
    <n v="26"/>
    <m/>
    <m/>
    <m/>
    <m/>
    <m/>
    <m/>
    <m/>
    <m/>
    <m/>
    <m/>
    <m/>
    <m/>
    <m/>
    <m/>
    <m/>
    <m/>
    <m/>
    <m/>
    <n v="7"/>
    <n v="593"/>
    <n v="1719"/>
    <n v="307"/>
    <n v="120"/>
    <n v="5"/>
    <m/>
    <m/>
    <m/>
    <m/>
    <m/>
    <m/>
    <m/>
    <m/>
    <m/>
    <m/>
    <m/>
    <m/>
    <n v="0"/>
    <n v="28"/>
    <n v="81"/>
    <n v="29"/>
    <n v="23"/>
    <n v="3"/>
    <n v="0"/>
    <n v="21"/>
    <n v="65"/>
    <n v="43"/>
    <n v="13"/>
    <n v="2"/>
    <m/>
    <m/>
    <m/>
    <m/>
    <m/>
    <m/>
  </r>
  <r>
    <x v="0"/>
    <n v="2022"/>
    <x v="0"/>
    <m/>
    <s v="Global"/>
    <s v="AFR"/>
    <s v="Republic of Seychelles"/>
    <s v="wimH12ukPK5"/>
    <x v="16"/>
    <x v="16"/>
    <m/>
    <m/>
    <n v="9"/>
    <n v="15"/>
    <n v="17"/>
    <n v="9"/>
    <n v="7"/>
    <n v="42"/>
    <n v="256"/>
    <n v="239"/>
    <n v="162"/>
    <n v="168"/>
    <n v="80"/>
    <n v="0"/>
    <n v="0"/>
    <n v="0"/>
    <n v="0"/>
    <n v="0"/>
    <n v="0"/>
    <m/>
    <n v="9"/>
    <n v="12"/>
    <n v="11"/>
    <n v="10"/>
    <n v="2"/>
    <m/>
    <m/>
    <m/>
    <m/>
    <m/>
    <m/>
    <m/>
    <n v="9"/>
    <n v="15"/>
    <n v="17"/>
    <n v="9"/>
    <n v="7"/>
    <m/>
    <m/>
    <m/>
    <m/>
    <m/>
    <m/>
    <m/>
    <m/>
    <m/>
    <m/>
    <m/>
    <m/>
    <n v="0"/>
    <n v="0"/>
    <n v="0"/>
    <n v="0"/>
    <n v="0"/>
    <n v="0"/>
    <n v="42"/>
    <n v="256"/>
    <n v="239"/>
    <n v="162"/>
    <n v="168"/>
    <n v="80"/>
    <n v="0"/>
    <n v="0"/>
    <n v="0"/>
    <n v="0"/>
    <n v="0"/>
    <n v="0"/>
    <m/>
    <m/>
    <m/>
    <m/>
    <m/>
    <m/>
    <m/>
    <m/>
    <m/>
    <m/>
    <m/>
    <m/>
    <n v="0"/>
    <n v="0"/>
    <n v="0"/>
    <n v="0"/>
    <n v="0"/>
    <n v="0"/>
    <m/>
    <m/>
    <m/>
    <m/>
    <m/>
    <m/>
    <m/>
    <m/>
    <m/>
    <m/>
    <m/>
    <m/>
    <m/>
    <m/>
    <n v="2"/>
    <n v="6"/>
    <n v="5"/>
    <n v="3"/>
    <m/>
    <m/>
    <n v="3"/>
    <n v="1"/>
    <n v="6"/>
    <n v="2"/>
    <m/>
    <m/>
    <m/>
    <m/>
    <m/>
    <m/>
  </r>
  <r>
    <x v="0"/>
    <n v="2022"/>
    <x v="0"/>
    <m/>
    <s v="Global"/>
    <s v="AFR"/>
    <s v="Republic of the Congo"/>
    <s v="shRXArPWh8H"/>
    <x v="17"/>
    <x v="17"/>
    <m/>
    <m/>
    <n v="464"/>
    <n v="312"/>
    <n v="121"/>
    <n v="137"/>
    <n v="8"/>
    <n v="75"/>
    <n v="710"/>
    <n v="2588"/>
    <n v="1522"/>
    <n v="675"/>
    <n v="3"/>
    <n v="6"/>
    <n v="59"/>
    <n v="424"/>
    <n v="270"/>
    <n v="147"/>
    <n v="1"/>
    <m/>
    <m/>
    <m/>
    <n v="1"/>
    <n v="8"/>
    <m/>
    <n v="1"/>
    <n v="6"/>
    <n v="9"/>
    <n v="4"/>
    <n v="8"/>
    <m/>
    <m/>
    <n v="457"/>
    <n v="215"/>
    <n v="48"/>
    <n v="62"/>
    <n v="5"/>
    <m/>
    <n v="7"/>
    <n v="97"/>
    <n v="73"/>
    <n v="75"/>
    <n v="3"/>
    <m/>
    <m/>
    <m/>
    <m/>
    <m/>
    <m/>
    <m/>
    <m/>
    <m/>
    <m/>
    <m/>
    <m/>
    <n v="75"/>
    <n v="710"/>
    <n v="2588"/>
    <n v="1522"/>
    <n v="675"/>
    <n v="3"/>
    <m/>
    <m/>
    <m/>
    <m/>
    <m/>
    <m/>
    <m/>
    <m/>
    <m/>
    <m/>
    <m/>
    <m/>
    <m/>
    <m/>
    <m/>
    <m/>
    <m/>
    <m/>
    <n v="6"/>
    <n v="59"/>
    <n v="424"/>
    <n v="270"/>
    <n v="147"/>
    <n v="1"/>
    <m/>
    <m/>
    <m/>
    <m/>
    <m/>
    <m/>
    <m/>
    <m/>
    <m/>
    <m/>
    <m/>
    <m/>
    <m/>
    <m/>
    <n v="12"/>
    <n v="7"/>
    <n v="11"/>
    <n v="1"/>
    <m/>
    <m/>
    <n v="8"/>
    <n v="6"/>
    <n v="10"/>
    <m/>
    <m/>
    <m/>
    <m/>
    <m/>
    <m/>
    <m/>
  </r>
  <r>
    <x v="0"/>
    <n v="2022"/>
    <x v="0"/>
    <m/>
    <s v="Global"/>
    <s v="AFR"/>
    <s v="Republic of Zambia"/>
    <s v="gb7vWtO7Wjp"/>
    <x v="18"/>
    <x v="18"/>
    <m/>
    <n v="22"/>
    <n v="1908"/>
    <n v="1492"/>
    <n v="966"/>
    <n v="555"/>
    <n v="299"/>
    <n v="4545"/>
    <n v="19288"/>
    <n v="7021"/>
    <n v="2197"/>
    <n v="585"/>
    <n v="143"/>
    <n v="889"/>
    <n v="2777"/>
    <n v="2326"/>
    <n v="2029"/>
    <n v="906"/>
    <n v="281"/>
    <n v="3"/>
    <n v="103"/>
    <n v="63"/>
    <n v="55"/>
    <n v="22"/>
    <n v="15"/>
    <n v="7"/>
    <n v="328"/>
    <n v="214"/>
    <n v="58"/>
    <n v="27"/>
    <n v="5"/>
    <n v="22"/>
    <n v="1871"/>
    <n v="1268"/>
    <n v="790"/>
    <n v="488"/>
    <n v="269"/>
    <n v="0"/>
    <n v="37"/>
    <n v="224"/>
    <n v="176"/>
    <n v="67"/>
    <n v="30"/>
    <n v="0"/>
    <n v="0"/>
    <n v="0"/>
    <n v="0"/>
    <n v="0"/>
    <n v="0"/>
    <n v="0"/>
    <n v="0"/>
    <n v="0"/>
    <n v="0"/>
    <n v="0"/>
    <n v="0"/>
    <n v="4545"/>
    <n v="19288"/>
    <n v="7021"/>
    <n v="2197"/>
    <n v="585"/>
    <n v="143"/>
    <n v="0"/>
    <n v="0"/>
    <n v="0"/>
    <n v="0"/>
    <n v="0"/>
    <n v="0"/>
    <m/>
    <m/>
    <m/>
    <m/>
    <m/>
    <m/>
    <m/>
    <m/>
    <m/>
    <m/>
    <m/>
    <m/>
    <n v="889"/>
    <n v="2777"/>
    <n v="2326"/>
    <n v="2029"/>
    <n v="906"/>
    <n v="281"/>
    <m/>
    <m/>
    <m/>
    <m/>
    <m/>
    <m/>
    <m/>
    <m/>
    <m/>
    <m/>
    <m/>
    <m/>
    <n v="0"/>
    <n v="3"/>
    <n v="30"/>
    <n v="37"/>
    <n v="11"/>
    <n v="4"/>
    <n v="0"/>
    <n v="5"/>
    <n v="22"/>
    <n v="22"/>
    <n v="11"/>
    <n v="1"/>
    <n v="57"/>
    <n v="1341"/>
    <n v="873"/>
    <n v="128"/>
    <n v="20"/>
    <n v="2"/>
  </r>
  <r>
    <x v="0"/>
    <n v="2022"/>
    <x v="0"/>
    <m/>
    <s v="Global"/>
    <s v="AFR"/>
    <s v="Republic of Zimbabwe"/>
    <s v="buSEeeViTo3"/>
    <x v="19"/>
    <x v="19"/>
    <m/>
    <n v="0"/>
    <n v="433"/>
    <n v="1110"/>
    <n v="1165"/>
    <n v="0"/>
    <n v="0"/>
    <n v="0"/>
    <n v="13516"/>
    <n v="15126"/>
    <n v="3540"/>
    <n v="0"/>
    <n v="0"/>
    <n v="56"/>
    <n v="867"/>
    <n v="1090"/>
    <n v="783"/>
    <n v="0"/>
    <n v="0"/>
    <n v="456"/>
    <n v="1433"/>
    <n v="378"/>
    <n v="432"/>
    <n v="0"/>
    <n v="0"/>
    <n v="666"/>
    <n v="951"/>
    <n v="114"/>
    <n v="152"/>
    <n v="0"/>
    <n v="0"/>
    <n v="0"/>
    <n v="325"/>
    <n v="833"/>
    <n v="874"/>
    <n v="0"/>
    <n v="0"/>
    <n v="0"/>
    <n v="108"/>
    <n v="277"/>
    <n v="291"/>
    <n v="0"/>
    <n v="0"/>
    <m/>
    <m/>
    <m/>
    <m/>
    <m/>
    <m/>
    <m/>
    <m/>
    <m/>
    <m/>
    <m/>
    <m/>
    <n v="0"/>
    <n v="13516"/>
    <n v="15126"/>
    <n v="3540"/>
    <n v="0"/>
    <n v="0"/>
    <m/>
    <m/>
    <m/>
    <m/>
    <m/>
    <m/>
    <m/>
    <m/>
    <m/>
    <m/>
    <m/>
    <m/>
    <m/>
    <m/>
    <m/>
    <m/>
    <m/>
    <m/>
    <n v="56"/>
    <n v="867"/>
    <n v="1090"/>
    <n v="783"/>
    <n v="0"/>
    <n v="0"/>
    <m/>
    <m/>
    <m/>
    <m/>
    <m/>
    <m/>
    <m/>
    <m/>
    <m/>
    <m/>
    <m/>
    <m/>
    <n v="0"/>
    <n v="23"/>
    <n v="58"/>
    <n v="61"/>
    <n v="0"/>
    <m/>
    <n v="0"/>
    <n v="9"/>
    <n v="23"/>
    <n v="24"/>
    <n v="0"/>
    <n v="0"/>
    <n v="0"/>
    <n v="1183"/>
    <n v="9269"/>
    <n v="9269"/>
    <n v="0"/>
    <n v="0"/>
  </r>
  <r>
    <x v="0"/>
    <n v="2022"/>
    <x v="0"/>
    <m/>
    <s v="Global"/>
    <s v="AFR"/>
    <s v="State of Eritrea"/>
    <s v="vnbnnSZXGTv"/>
    <x v="20"/>
    <x v="20"/>
    <m/>
    <m/>
    <n v="175"/>
    <m/>
    <m/>
    <m/>
    <m/>
    <n v="859"/>
    <n v="2083"/>
    <n v="940"/>
    <n v="916"/>
    <n v="209"/>
    <m/>
    <m/>
    <n v="28"/>
    <n v="32"/>
    <n v="7"/>
    <m/>
    <m/>
    <m/>
    <n v="49"/>
    <n v="7"/>
    <n v="2"/>
    <m/>
    <m/>
    <n v="8"/>
    <n v="161"/>
    <n v="20"/>
    <n v="9"/>
    <n v="1"/>
    <m/>
    <m/>
    <n v="175"/>
    <m/>
    <m/>
    <m/>
    <m/>
    <m/>
    <m/>
    <m/>
    <m/>
    <m/>
    <m/>
    <m/>
    <m/>
    <m/>
    <m/>
    <m/>
    <m/>
    <n v="634"/>
    <n v="1475"/>
    <n v="595"/>
    <n v="576"/>
    <n v="92"/>
    <m/>
    <n v="224"/>
    <n v="563"/>
    <n v="287"/>
    <n v="293"/>
    <n v="80"/>
    <m/>
    <n v="1"/>
    <n v="45"/>
    <n v="58"/>
    <n v="47"/>
    <n v="37"/>
    <m/>
    <m/>
    <m/>
    <m/>
    <m/>
    <m/>
    <m/>
    <m/>
    <m/>
    <m/>
    <m/>
    <m/>
    <m/>
    <m/>
    <n v="28"/>
    <n v="32"/>
    <n v="7"/>
    <m/>
    <m/>
    <m/>
    <m/>
    <m/>
    <m/>
    <m/>
    <m/>
    <m/>
    <m/>
    <m/>
    <m/>
    <m/>
    <m/>
    <m/>
    <m/>
    <n v="2"/>
    <n v="8"/>
    <m/>
    <m/>
    <m/>
    <m/>
    <n v="3"/>
    <n v="7"/>
    <m/>
    <m/>
    <n v="130"/>
    <n v="1031"/>
    <n v="1368"/>
    <n v="97"/>
    <m/>
    <m/>
  </r>
  <r>
    <x v="0"/>
    <n v="2022"/>
    <x v="0"/>
    <m/>
    <s v="Global"/>
    <s v="AFR"/>
    <s v="Togolese Republic"/>
    <s v="WtcZBCTspgM"/>
    <x v="21"/>
    <x v="21"/>
    <m/>
    <n v="3"/>
    <n v="213"/>
    <n v="267"/>
    <n v="155"/>
    <n v="64"/>
    <n v="28"/>
    <n v="121"/>
    <n v="987"/>
    <n v="1001"/>
    <n v="411"/>
    <n v="146"/>
    <n v="4"/>
    <n v="58"/>
    <n v="749"/>
    <n v="740"/>
    <n v="263"/>
    <n v="45"/>
    <n v="9"/>
    <n v="0"/>
    <n v="0"/>
    <n v="8"/>
    <n v="4"/>
    <n v="6"/>
    <n v="0"/>
    <m/>
    <m/>
    <m/>
    <m/>
    <m/>
    <m/>
    <n v="3"/>
    <n v="189"/>
    <n v="79"/>
    <n v="20"/>
    <n v="23"/>
    <n v="17"/>
    <n v="0"/>
    <n v="24"/>
    <n v="188"/>
    <n v="135"/>
    <n v="41"/>
    <n v="11"/>
    <m/>
    <m/>
    <m/>
    <m/>
    <m/>
    <m/>
    <n v="14"/>
    <n v="267"/>
    <n v="410"/>
    <n v="202"/>
    <n v="38"/>
    <n v="0"/>
    <n v="107"/>
    <n v="720"/>
    <n v="591"/>
    <n v="209"/>
    <n v="108"/>
    <n v="4"/>
    <m/>
    <m/>
    <m/>
    <m/>
    <m/>
    <m/>
    <m/>
    <m/>
    <m/>
    <m/>
    <m/>
    <m/>
    <m/>
    <m/>
    <m/>
    <m/>
    <m/>
    <m/>
    <n v="44"/>
    <n v="471"/>
    <n v="365"/>
    <n v="121"/>
    <n v="34"/>
    <n v="8"/>
    <n v="14"/>
    <n v="278"/>
    <n v="375"/>
    <n v="142"/>
    <n v="11"/>
    <n v="1"/>
    <m/>
    <m/>
    <m/>
    <m/>
    <m/>
    <m/>
    <n v="0"/>
    <n v="4"/>
    <n v="14"/>
    <n v="23"/>
    <n v="2"/>
    <n v="0"/>
    <n v="0"/>
    <n v="3"/>
    <n v="15"/>
    <n v="12"/>
    <n v="7"/>
    <n v="0"/>
    <m/>
    <m/>
    <m/>
    <m/>
    <m/>
    <m/>
  </r>
  <r>
    <x v="1"/>
    <n v="2021"/>
    <x v="1"/>
    <m/>
    <s v="Global"/>
    <s v="AFR"/>
    <m/>
    <s v="seHJdofSPcM"/>
    <x v="0"/>
    <x v="0"/>
    <m/>
    <n v="90"/>
    <n v="9897"/>
    <n v="9568"/>
    <n v="3374"/>
    <n v="1376"/>
    <n v="184"/>
    <n v="1597"/>
    <n v="84764"/>
    <n v="63422"/>
    <n v="20981"/>
    <n v="8779"/>
    <n v="342"/>
    <n v="798"/>
    <n v="17671"/>
    <n v="16796"/>
    <n v="4278"/>
    <n v="1282"/>
    <n v="67"/>
    <n v="6"/>
    <n v="482"/>
    <n v="473"/>
    <n v="199"/>
    <n v="80"/>
    <n v="10"/>
    <n v="24"/>
    <n v="1256"/>
    <n v="1740"/>
    <n v="424"/>
    <n v="237"/>
    <n v="12"/>
    <n v="79"/>
    <n v="9124"/>
    <n v="5467"/>
    <n v="1236"/>
    <n v="455"/>
    <n v="36"/>
    <n v="11"/>
    <n v="772"/>
    <n v="4099"/>
    <n v="2138"/>
    <n v="920"/>
    <n v="148"/>
    <n v="0"/>
    <n v="1"/>
    <n v="2"/>
    <n v="0"/>
    <n v="1"/>
    <n v="0"/>
    <n v="598"/>
    <n v="38452"/>
    <n v="23752"/>
    <n v="2365"/>
    <n v="1669"/>
    <n v="184"/>
    <n v="997"/>
    <n v="45909"/>
    <n v="38883"/>
    <n v="17539"/>
    <n v="6685"/>
    <n v="118"/>
    <n v="2"/>
    <n v="403"/>
    <n v="787"/>
    <n v="1077"/>
    <n v="425"/>
    <n v="40"/>
    <n v="14"/>
    <n v="490"/>
    <n v="862"/>
    <n v="169"/>
    <n v="83"/>
    <n v="0"/>
    <n v="0"/>
    <n v="0"/>
    <n v="19"/>
    <n v="48"/>
    <n v="64"/>
    <n v="0"/>
    <n v="213"/>
    <n v="13893"/>
    <n v="13037"/>
    <n v="2460"/>
    <n v="850"/>
    <n v="1"/>
    <n v="585"/>
    <n v="3778"/>
    <n v="3759"/>
    <n v="1818"/>
    <n v="432"/>
    <n v="66"/>
    <n v="0"/>
    <n v="0"/>
    <n v="0"/>
    <n v="0"/>
    <n v="0"/>
    <n v="0"/>
    <n v="1"/>
    <n v="60"/>
    <n v="274"/>
    <n v="185"/>
    <n v="79"/>
    <n v="9"/>
    <n v="0"/>
    <n v="49"/>
    <n v="194"/>
    <n v="144"/>
    <n v="46"/>
    <n v="0"/>
    <n v="16"/>
    <n v="647"/>
    <n v="1553"/>
    <n v="701"/>
    <n v="51"/>
    <n v="0"/>
  </r>
  <r>
    <x v="1"/>
    <n v="2021"/>
    <x v="1"/>
    <m/>
    <s v="Global"/>
    <s v="AFR"/>
    <s v="Burkina Faso"/>
    <s v="hmZE3mVAZFf"/>
    <x v="1"/>
    <x v="1"/>
    <m/>
    <n v="0"/>
    <n v="887"/>
    <n v="881"/>
    <n v="295"/>
    <n v="151"/>
    <n v="2"/>
    <n v="14"/>
    <n v="2863"/>
    <n v="5243"/>
    <n v="3455"/>
    <n v="614"/>
    <n v="0"/>
    <n v="21"/>
    <n v="2241"/>
    <n v="3860"/>
    <n v="1804"/>
    <n v="126"/>
    <n v="0"/>
    <n v="5"/>
    <n v="22"/>
    <n v="21"/>
    <n v="29"/>
    <n v="21"/>
    <n v="10"/>
    <n v="0"/>
    <n v="92"/>
    <n v="190"/>
    <n v="35"/>
    <n v="6"/>
    <n v="1"/>
    <n v="0"/>
    <n v="822"/>
    <n v="352"/>
    <n v="29"/>
    <n v="17"/>
    <n v="0"/>
    <n v="0"/>
    <n v="65"/>
    <n v="529"/>
    <n v="266"/>
    <n v="134"/>
    <n v="2"/>
    <m/>
    <m/>
    <m/>
    <m/>
    <m/>
    <m/>
    <n v="1"/>
    <n v="249"/>
    <n v="662"/>
    <n v="442"/>
    <n v="132"/>
    <n v="0"/>
    <n v="13"/>
    <n v="2614"/>
    <n v="4581"/>
    <n v="3013"/>
    <n v="482"/>
    <n v="0"/>
    <m/>
    <m/>
    <m/>
    <m/>
    <m/>
    <m/>
    <m/>
    <m/>
    <m/>
    <m/>
    <m/>
    <m/>
    <m/>
    <m/>
    <m/>
    <m/>
    <m/>
    <m/>
    <n v="21"/>
    <n v="2033"/>
    <n v="2215"/>
    <n v="663"/>
    <n v="54"/>
    <n v="0"/>
    <n v="0"/>
    <n v="208"/>
    <n v="1645"/>
    <n v="1141"/>
    <n v="72"/>
    <n v="0"/>
    <m/>
    <m/>
    <m/>
    <m/>
    <m/>
    <m/>
    <n v="0"/>
    <n v="2"/>
    <n v="63"/>
    <n v="40"/>
    <n v="20"/>
    <n v="0"/>
    <n v="0"/>
    <n v="5"/>
    <n v="47"/>
    <n v="40"/>
    <n v="13"/>
    <n v="0"/>
    <n v="16"/>
    <n v="634"/>
    <n v="1546"/>
    <n v="700"/>
    <n v="51"/>
    <n v="0"/>
  </r>
  <r>
    <x v="1"/>
    <n v="2021"/>
    <x v="1"/>
    <m/>
    <s v="Global"/>
    <s v="AFR"/>
    <s v="Republic of Benin"/>
    <s v="DzAOqCf0ots"/>
    <x v="22"/>
    <x v="22"/>
    <m/>
    <n v="34"/>
    <n v="1115"/>
    <n v="916"/>
    <n v="458"/>
    <n v="221"/>
    <n v="11"/>
    <n v="206"/>
    <n v="876"/>
    <n v="2422"/>
    <n v="1649"/>
    <n v="289"/>
    <n v="42"/>
    <n v="169"/>
    <n v="527"/>
    <n v="789"/>
    <n v="496"/>
    <n v="106"/>
    <n v="0"/>
    <n v="0"/>
    <n v="10"/>
    <n v="26"/>
    <n v="8"/>
    <n v="6"/>
    <n v="0"/>
    <n v="6"/>
    <n v="233"/>
    <n v="119"/>
    <n v="23"/>
    <n v="17"/>
    <n v="2"/>
    <n v="25"/>
    <n v="994"/>
    <n v="538"/>
    <n v="160"/>
    <n v="77"/>
    <n v="3"/>
    <n v="9"/>
    <n v="121"/>
    <n v="378"/>
    <n v="298"/>
    <n v="144"/>
    <n v="8"/>
    <m/>
    <m/>
    <m/>
    <m/>
    <m/>
    <m/>
    <m/>
    <m/>
    <m/>
    <m/>
    <m/>
    <m/>
    <n v="206"/>
    <n v="876"/>
    <n v="2422"/>
    <n v="1649"/>
    <n v="289"/>
    <n v="42"/>
    <m/>
    <m/>
    <m/>
    <m/>
    <m/>
    <m/>
    <m/>
    <m/>
    <m/>
    <m/>
    <m/>
    <m/>
    <m/>
    <m/>
    <m/>
    <m/>
    <m/>
    <m/>
    <n v="169"/>
    <n v="527"/>
    <n v="789"/>
    <n v="496"/>
    <n v="106"/>
    <n v="0"/>
    <m/>
    <m/>
    <m/>
    <m/>
    <m/>
    <m/>
    <m/>
    <m/>
    <m/>
    <m/>
    <m/>
    <m/>
    <n v="1"/>
    <n v="19"/>
    <n v="65"/>
    <n v="51"/>
    <n v="19"/>
    <n v="2"/>
    <n v="0"/>
    <n v="19"/>
    <n v="44"/>
    <n v="26"/>
    <n v="8"/>
    <n v="0"/>
    <n v="0"/>
    <n v="13"/>
    <n v="7"/>
    <n v="1"/>
    <n v="0"/>
    <m/>
  </r>
  <r>
    <x v="1"/>
    <n v="2021"/>
    <x v="1"/>
    <m/>
    <s v="Global"/>
    <s v="AFR"/>
    <s v="Republic of Botswana"/>
    <s v="c82mDnhUQly"/>
    <x v="5"/>
    <x v="5"/>
    <m/>
    <n v="21"/>
    <n v="531"/>
    <n v="275"/>
    <n v="120"/>
    <n v="53"/>
    <n v="14"/>
    <n v="291"/>
    <n v="3242"/>
    <n v="2418"/>
    <n v="1310"/>
    <n v="616"/>
    <n v="9"/>
    <m/>
    <m/>
    <m/>
    <m/>
    <m/>
    <m/>
    <m/>
    <n v="57"/>
    <n v="27"/>
    <n v="5"/>
    <m/>
    <m/>
    <n v="5"/>
    <n v="48"/>
    <n v="46"/>
    <n v="45"/>
    <n v="14"/>
    <m/>
    <n v="21"/>
    <n v="528"/>
    <n v="213"/>
    <n v="99"/>
    <n v="35"/>
    <n v="4"/>
    <m/>
    <n v="3"/>
    <n v="62"/>
    <n v="21"/>
    <n v="18"/>
    <n v="10"/>
    <m/>
    <m/>
    <m/>
    <m/>
    <m/>
    <m/>
    <m/>
    <m/>
    <m/>
    <m/>
    <m/>
    <m/>
    <n v="291"/>
    <n v="3242"/>
    <n v="2418"/>
    <n v="1310"/>
    <n v="616"/>
    <n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2021"/>
    <x v="1"/>
    <m/>
    <s v="Global"/>
    <s v="AFR"/>
    <s v="Republic of Cameroon"/>
    <s v="VPesUmegQpP"/>
    <x v="7"/>
    <x v="7"/>
    <m/>
    <n v="3"/>
    <n v="1956"/>
    <n v="965"/>
    <n v="356"/>
    <n v="94"/>
    <n v="4"/>
    <n v="1"/>
    <n v="541"/>
    <n v="1717"/>
    <n v="1722"/>
    <n v="521"/>
    <n v="41"/>
    <n v="2"/>
    <n v="461"/>
    <n v="238"/>
    <n v="3"/>
    <n v="0"/>
    <n v="0"/>
    <n v="0"/>
    <n v="110"/>
    <n v="17"/>
    <n v="4"/>
    <n v="2"/>
    <n v="0"/>
    <n v="1"/>
    <n v="190"/>
    <n v="62"/>
    <n v="7"/>
    <n v="3"/>
    <n v="0"/>
    <n v="3"/>
    <n v="1853"/>
    <n v="463"/>
    <n v="124"/>
    <n v="33"/>
    <n v="1"/>
    <n v="0"/>
    <n v="102"/>
    <n v="500"/>
    <n v="232"/>
    <n v="60"/>
    <n v="3"/>
    <n v="0"/>
    <n v="1"/>
    <n v="2"/>
    <n v="0"/>
    <n v="1"/>
    <n v="0"/>
    <n v="0"/>
    <n v="5"/>
    <n v="23"/>
    <n v="11"/>
    <n v="4"/>
    <n v="0"/>
    <n v="1"/>
    <n v="489"/>
    <n v="1492"/>
    <n v="1201"/>
    <n v="335"/>
    <n v="1"/>
    <n v="0"/>
    <n v="47"/>
    <n v="202"/>
    <n v="510"/>
    <n v="182"/>
    <n v="40"/>
    <n v="0"/>
    <n v="0"/>
    <n v="7"/>
    <n v="17"/>
    <n v="13"/>
    <n v="0"/>
    <n v="0"/>
    <n v="0"/>
    <n v="19"/>
    <n v="48"/>
    <n v="64"/>
    <n v="0"/>
    <n v="2"/>
    <n v="461"/>
    <n v="238"/>
    <n v="3"/>
    <n v="0"/>
    <n v="0"/>
    <m/>
    <m/>
    <m/>
    <m/>
    <m/>
    <m/>
    <m/>
    <m/>
    <m/>
    <m/>
    <m/>
    <m/>
    <n v="0"/>
    <n v="12"/>
    <n v="67"/>
    <n v="32"/>
    <n v="14"/>
    <n v="0"/>
    <n v="0"/>
    <n v="5"/>
    <n v="35"/>
    <n v="16"/>
    <n v="3"/>
    <n v="0"/>
    <m/>
    <m/>
    <m/>
    <m/>
    <m/>
    <m/>
  </r>
  <r>
    <x v="1"/>
    <n v="2021"/>
    <x v="1"/>
    <m/>
    <s v="Global"/>
    <s v="AFR"/>
    <s v="Republic of Chad"/>
    <s v="tV0rWhHr9cj"/>
    <x v="8"/>
    <x v="8"/>
    <m/>
    <n v="0"/>
    <n v="420"/>
    <n v="380"/>
    <n v="127"/>
    <n v="73"/>
    <n v="0"/>
    <n v="117"/>
    <n v="1366"/>
    <n v="956"/>
    <n v="486"/>
    <n v="215"/>
    <n v="0"/>
    <n v="12"/>
    <n v="225"/>
    <n v="300"/>
    <n v="131"/>
    <n v="53"/>
    <n v="0"/>
    <m/>
    <m/>
    <m/>
    <m/>
    <m/>
    <m/>
    <n v="1"/>
    <n v="79"/>
    <n v="40"/>
    <n v="4"/>
    <n v="13"/>
    <n v="5"/>
    <n v="0"/>
    <n v="420"/>
    <n v="380"/>
    <n v="127"/>
    <n v="73"/>
    <n v="0"/>
    <m/>
    <m/>
    <m/>
    <m/>
    <m/>
    <m/>
    <m/>
    <m/>
    <m/>
    <m/>
    <m/>
    <m/>
    <n v="101"/>
    <n v="598"/>
    <n v="433"/>
    <n v="302"/>
    <n v="169"/>
    <n v="0"/>
    <n v="16"/>
    <n v="768"/>
    <n v="523"/>
    <n v="184"/>
    <n v="46"/>
    <n v="0"/>
    <m/>
    <m/>
    <m/>
    <m/>
    <m/>
    <m/>
    <m/>
    <m/>
    <m/>
    <m/>
    <m/>
    <m/>
    <m/>
    <m/>
    <m/>
    <m/>
    <m/>
    <m/>
    <n v="6"/>
    <n v="185"/>
    <n v="265"/>
    <n v="111"/>
    <n v="50"/>
    <n v="0"/>
    <n v="6"/>
    <n v="40"/>
    <n v="35"/>
    <n v="20"/>
    <n v="3"/>
    <m/>
    <m/>
    <m/>
    <m/>
    <m/>
    <m/>
    <m/>
    <m/>
    <m/>
    <m/>
    <m/>
    <m/>
    <m/>
    <m/>
    <m/>
    <m/>
    <m/>
    <m/>
    <m/>
    <m/>
    <m/>
    <m/>
    <m/>
    <m/>
    <m/>
  </r>
  <r>
    <x v="1"/>
    <n v="2021"/>
    <x v="1"/>
    <m/>
    <s v="Global"/>
    <s v="AFR"/>
    <s v="Republic of Ghana"/>
    <s v="WC5rU5fLMzY"/>
    <x v="10"/>
    <x v="10"/>
    <m/>
    <n v="0"/>
    <n v="1519"/>
    <n v="2121"/>
    <n v="365"/>
    <n v="161"/>
    <n v="3"/>
    <n v="22"/>
    <n v="57778"/>
    <n v="32711"/>
    <n v="1631"/>
    <n v="1002"/>
    <n v="0"/>
    <n v="5"/>
    <n v="9808"/>
    <n v="7961"/>
    <n v="876"/>
    <n v="491"/>
    <n v="0"/>
    <m/>
    <m/>
    <m/>
    <m/>
    <m/>
    <m/>
    <n v="0"/>
    <n v="342"/>
    <n v="376"/>
    <n v="206"/>
    <n v="112"/>
    <n v="0"/>
    <n v="0"/>
    <n v="1519"/>
    <n v="1316"/>
    <n v="133"/>
    <n v="65"/>
    <n v="1"/>
    <n v="0"/>
    <n v="0"/>
    <n v="805"/>
    <n v="232"/>
    <n v="96"/>
    <n v="2"/>
    <m/>
    <m/>
    <m/>
    <m/>
    <m/>
    <m/>
    <n v="14"/>
    <n v="32653"/>
    <n v="18482"/>
    <n v="427"/>
    <n v="260"/>
    <n v="0"/>
    <n v="8"/>
    <n v="25125"/>
    <n v="14229"/>
    <n v="1204"/>
    <n v="742"/>
    <n v="0"/>
    <m/>
    <m/>
    <m/>
    <m/>
    <m/>
    <m/>
    <m/>
    <m/>
    <m/>
    <m/>
    <m/>
    <m/>
    <m/>
    <m/>
    <m/>
    <m/>
    <m/>
    <m/>
    <n v="5"/>
    <n v="9808"/>
    <n v="7961"/>
    <n v="876"/>
    <n v="491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2021"/>
    <x v="1"/>
    <m/>
    <s v="Global"/>
    <s v="AFR"/>
    <s v="Republic of Guinea-Bissau"/>
    <s v="G9o5ad4oJJX"/>
    <x v="11"/>
    <x v="11"/>
    <m/>
    <n v="0"/>
    <n v="268"/>
    <n v="127"/>
    <n v="34"/>
    <n v="19"/>
    <n v="5"/>
    <n v="4"/>
    <n v="798"/>
    <n v="810"/>
    <n v="180"/>
    <n v="152"/>
    <n v="12"/>
    <n v="0"/>
    <n v="52"/>
    <n v="78"/>
    <n v="60"/>
    <n v="22"/>
    <n v="1"/>
    <m/>
    <m/>
    <m/>
    <m/>
    <m/>
    <m/>
    <n v="0"/>
    <n v="0"/>
    <n v="0"/>
    <n v="0"/>
    <n v="2"/>
    <n v="0"/>
    <n v="0"/>
    <n v="268"/>
    <n v="124"/>
    <n v="29"/>
    <n v="18"/>
    <n v="5"/>
    <n v="0"/>
    <n v="0"/>
    <n v="3"/>
    <n v="5"/>
    <n v="1"/>
    <n v="0"/>
    <n v="0"/>
    <n v="0"/>
    <n v="0"/>
    <n v="0"/>
    <n v="0"/>
    <n v="0"/>
    <n v="3"/>
    <n v="229"/>
    <n v="486"/>
    <n v="122"/>
    <n v="107"/>
    <n v="4"/>
    <n v="1"/>
    <n v="569"/>
    <n v="324"/>
    <n v="58"/>
    <n v="43"/>
    <n v="8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52"/>
    <n v="78"/>
    <n v="60"/>
    <n v="22"/>
    <n v="1"/>
    <n v="0"/>
    <n v="0"/>
    <n v="0"/>
    <n v="0"/>
    <n v="0"/>
    <n v="0"/>
    <n v="0"/>
    <n v="0"/>
    <n v="0"/>
    <n v="0"/>
    <n v="0"/>
    <n v="0"/>
    <n v="0"/>
    <n v="2"/>
    <n v="1"/>
    <n v="1"/>
    <n v="0"/>
    <n v="0"/>
    <n v="0"/>
    <n v="1"/>
    <n v="2"/>
    <n v="2"/>
    <n v="0"/>
    <n v="0"/>
    <n v="0"/>
    <n v="0"/>
    <n v="0"/>
    <n v="0"/>
    <n v="0"/>
    <n v="0"/>
  </r>
  <r>
    <x v="1"/>
    <n v="2021"/>
    <x v="1"/>
    <m/>
    <s v="Global"/>
    <s v="AFR"/>
    <s v="Republic of Kenya"/>
    <s v="HfVjCurKxh2"/>
    <x v="12"/>
    <x v="12"/>
    <m/>
    <n v="15"/>
    <n v="1730"/>
    <n v="2296"/>
    <n v="798"/>
    <n v="230"/>
    <n v="9"/>
    <n v="426"/>
    <n v="11024"/>
    <n v="10575"/>
    <n v="8141"/>
    <n v="3822"/>
    <n v="45"/>
    <m/>
    <m/>
    <m/>
    <m/>
    <m/>
    <m/>
    <n v="0"/>
    <n v="112"/>
    <n v="140"/>
    <n v="63"/>
    <n v="17"/>
    <n v="0"/>
    <n v="6"/>
    <m/>
    <n v="588"/>
    <m/>
    <n v="25"/>
    <n v="1"/>
    <n v="13"/>
    <n v="1511"/>
    <n v="1227"/>
    <n v="316"/>
    <n v="83"/>
    <n v="3"/>
    <n v="2"/>
    <n v="219"/>
    <n v="1069"/>
    <n v="482"/>
    <n v="147"/>
    <n v="6"/>
    <m/>
    <m/>
    <m/>
    <m/>
    <m/>
    <m/>
    <m/>
    <m/>
    <m/>
    <m/>
    <m/>
    <m/>
    <n v="426"/>
    <n v="11024"/>
    <n v="10575"/>
    <n v="8141"/>
    <n v="3822"/>
    <n v="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m/>
    <m/>
    <m/>
    <m/>
    <n v="0"/>
    <n v="0"/>
    <m/>
    <m/>
    <m/>
    <m/>
    <n v="0"/>
    <m/>
    <m/>
    <m/>
    <m/>
    <m/>
    <m/>
  </r>
  <r>
    <x v="1"/>
    <n v="2021"/>
    <x v="1"/>
    <m/>
    <s v="Global"/>
    <s v="AFR"/>
    <s v="Republic of Mozambique"/>
    <s v="Gan3VYicAWe"/>
    <x v="14"/>
    <x v="14"/>
    <m/>
    <n v="17"/>
    <n v="1022"/>
    <n v="916"/>
    <n v="441"/>
    <n v="216"/>
    <n v="133"/>
    <n v="489"/>
    <n v="4602"/>
    <n v="3626"/>
    <n v="1150"/>
    <n v="906"/>
    <n v="193"/>
    <n v="580"/>
    <n v="3532"/>
    <n v="2093"/>
    <n v="658"/>
    <n v="352"/>
    <n v="66"/>
    <n v="1"/>
    <n v="158"/>
    <n v="173"/>
    <n v="23"/>
    <n v="7"/>
    <n v="0"/>
    <n v="5"/>
    <n v="213"/>
    <n v="181"/>
    <n v="49"/>
    <n v="11"/>
    <n v="2"/>
    <n v="17"/>
    <n v="977"/>
    <n v="700"/>
    <n v="158"/>
    <n v="25"/>
    <n v="19"/>
    <n v="0"/>
    <n v="45"/>
    <n v="216"/>
    <n v="283"/>
    <n v="191"/>
    <n v="114"/>
    <m/>
    <m/>
    <m/>
    <m/>
    <m/>
    <m/>
    <n v="464"/>
    <n v="4155"/>
    <n v="2594"/>
    <n v="704"/>
    <n v="706"/>
    <n v="180"/>
    <n v="25"/>
    <n v="447"/>
    <n v="1032"/>
    <n v="446"/>
    <n v="200"/>
    <n v="13"/>
    <m/>
    <m/>
    <m/>
    <m/>
    <m/>
    <m/>
    <m/>
    <m/>
    <m/>
    <m/>
    <m/>
    <m/>
    <m/>
    <m/>
    <m/>
    <m/>
    <m/>
    <m/>
    <n v="1"/>
    <n v="4"/>
    <n v="22"/>
    <n v="13"/>
    <n v="2"/>
    <n v="0"/>
    <n v="579"/>
    <n v="3528"/>
    <n v="2071"/>
    <n v="645"/>
    <n v="350"/>
    <n v="66"/>
    <m/>
    <m/>
    <m/>
    <m/>
    <m/>
    <m/>
    <n v="0"/>
    <n v="3"/>
    <n v="11"/>
    <n v="31"/>
    <n v="11"/>
    <n v="7"/>
    <n v="0"/>
    <n v="0"/>
    <n v="19"/>
    <n v="27"/>
    <n v="15"/>
    <n v="0"/>
    <m/>
    <m/>
    <m/>
    <m/>
    <m/>
    <m/>
  </r>
  <r>
    <x v="1"/>
    <n v="2021"/>
    <x v="1"/>
    <m/>
    <s v="Global"/>
    <s v="AFR"/>
    <s v="Republic of Senegal"/>
    <s v="wj7iV08dvFq"/>
    <x v="15"/>
    <x v="15"/>
    <m/>
    <m/>
    <n v="449"/>
    <n v="691"/>
    <n v="380"/>
    <n v="158"/>
    <n v="3"/>
    <n v="27"/>
    <n v="1674"/>
    <n v="2944"/>
    <n v="1257"/>
    <n v="642"/>
    <m/>
    <n v="9"/>
    <n v="825"/>
    <n v="1477"/>
    <n v="250"/>
    <n v="132"/>
    <m/>
    <m/>
    <n v="13"/>
    <n v="69"/>
    <n v="67"/>
    <n v="27"/>
    <m/>
    <m/>
    <n v="59"/>
    <n v="138"/>
    <n v="55"/>
    <n v="34"/>
    <n v="1"/>
    <m/>
    <n v="232"/>
    <n v="154"/>
    <n v="61"/>
    <n v="29"/>
    <m/>
    <m/>
    <n v="217"/>
    <n v="537"/>
    <n v="319"/>
    <n v="129"/>
    <n v="3"/>
    <m/>
    <m/>
    <m/>
    <m/>
    <m/>
    <m/>
    <n v="15"/>
    <n v="563"/>
    <n v="1072"/>
    <n v="357"/>
    <n v="291"/>
    <m/>
    <n v="10"/>
    <n v="755"/>
    <n v="1287"/>
    <n v="333"/>
    <n v="110"/>
    <m/>
    <n v="2"/>
    <n v="356"/>
    <n v="585"/>
    <n v="567"/>
    <n v="241"/>
    <m/>
    <n v="14"/>
    <n v="490"/>
    <n v="855"/>
    <n v="152"/>
    <n v="70"/>
    <m/>
    <m/>
    <m/>
    <m/>
    <m/>
    <m/>
    <m/>
    <n v="9"/>
    <n v="823"/>
    <n v="1469"/>
    <n v="238"/>
    <n v="125"/>
    <m/>
    <m/>
    <n v="2"/>
    <n v="8"/>
    <n v="12"/>
    <n v="7"/>
    <m/>
    <m/>
    <m/>
    <m/>
    <m/>
    <m/>
    <m/>
    <m/>
    <n v="22"/>
    <n v="67"/>
    <n v="30"/>
    <n v="15"/>
    <m/>
    <m/>
    <n v="19"/>
    <n v="47"/>
    <n v="33"/>
    <n v="7"/>
    <m/>
    <m/>
    <m/>
    <m/>
    <m/>
    <m/>
    <m/>
  </r>
  <r>
    <x v="2"/>
    <n v="2020"/>
    <x v="2"/>
    <m/>
    <s v="Global"/>
    <s v="AFR"/>
    <m/>
    <s v="seHJdofSPcM"/>
    <x v="0"/>
    <x v="0"/>
    <m/>
    <n v="107"/>
    <n v="6414"/>
    <n v="6078"/>
    <n v="2903"/>
    <n v="1381"/>
    <n v="201"/>
    <n v="3787"/>
    <n v="33751"/>
    <n v="34503"/>
    <n v="20747"/>
    <n v="9430"/>
    <n v="391"/>
    <n v="263"/>
    <n v="6847"/>
    <n v="7665"/>
    <n v="3198"/>
    <n v="724"/>
    <n v="76"/>
    <n v="13"/>
    <n v="544"/>
    <n v="402"/>
    <n v="182"/>
    <n v="79"/>
    <n v="15"/>
    <n v="46"/>
    <n v="1011"/>
    <n v="849"/>
    <n v="257"/>
    <n v="74"/>
    <n v="15"/>
    <n v="101"/>
    <n v="5880"/>
    <n v="3812"/>
    <n v="1245"/>
    <n v="495"/>
    <n v="54"/>
    <n v="6"/>
    <n v="534"/>
    <n v="2264"/>
    <n v="1658"/>
    <n v="886"/>
    <n v="147"/>
    <n v="0"/>
    <n v="0"/>
    <n v="2"/>
    <n v="0"/>
    <n v="0"/>
    <n v="0"/>
    <n v="941"/>
    <n v="4750"/>
    <n v="4391"/>
    <n v="2002"/>
    <n v="1040"/>
    <n v="175"/>
    <n v="2838"/>
    <n v="28476"/>
    <n v="29456"/>
    <n v="18434"/>
    <n v="8096"/>
    <n v="214"/>
    <n v="8"/>
    <n v="525"/>
    <n v="656"/>
    <n v="311"/>
    <n v="294"/>
    <n v="2"/>
    <n v="631"/>
    <n v="1843"/>
    <n v="1456"/>
    <n v="499"/>
    <n v="104"/>
    <n v="16"/>
    <n v="379"/>
    <n v="443"/>
    <n v="554"/>
    <n v="437"/>
    <n v="173"/>
    <n v="13"/>
    <n v="259"/>
    <n v="6236"/>
    <n v="5455"/>
    <n v="1702"/>
    <n v="445"/>
    <n v="57"/>
    <n v="4"/>
    <n v="604"/>
    <n v="2201"/>
    <n v="1491"/>
    <n v="279"/>
    <n v="19"/>
    <n v="0"/>
    <n v="7"/>
    <n v="9"/>
    <n v="5"/>
    <n v="0"/>
    <n v="0"/>
    <n v="0"/>
    <n v="61"/>
    <n v="322"/>
    <n v="247"/>
    <n v="139"/>
    <n v="13"/>
    <n v="0"/>
    <n v="52"/>
    <n v="228"/>
    <n v="185"/>
    <n v="87"/>
    <n v="7"/>
    <n v="166"/>
    <n v="2052"/>
    <n v="2594"/>
    <n v="1179"/>
    <n v="137"/>
    <n v="2"/>
  </r>
  <r>
    <x v="2"/>
    <n v="2020"/>
    <x v="2"/>
    <m/>
    <s v="Global"/>
    <s v="AFR"/>
    <s v="Burkina Faso"/>
    <s v="hmZE3mVAZFf"/>
    <x v="1"/>
    <x v="1"/>
    <m/>
    <n v="0"/>
    <n v="726"/>
    <n v="882"/>
    <n v="161"/>
    <n v="27"/>
    <n v="0"/>
    <n v="9"/>
    <n v="2684"/>
    <n v="5189"/>
    <n v="3350"/>
    <n v="642"/>
    <n v="0"/>
    <n v="11"/>
    <n v="2099"/>
    <n v="3783"/>
    <n v="1776"/>
    <n v="74"/>
    <n v="0"/>
    <n v="5"/>
    <n v="19"/>
    <n v="20"/>
    <n v="28"/>
    <n v="21"/>
    <n v="10"/>
    <m/>
    <m/>
    <m/>
    <m/>
    <m/>
    <m/>
    <n v="0"/>
    <n v="677"/>
    <n v="364"/>
    <n v="31"/>
    <n v="17"/>
    <n v="0"/>
    <n v="0"/>
    <n v="49"/>
    <n v="518"/>
    <n v="130"/>
    <n v="10"/>
    <n v="0"/>
    <m/>
    <m/>
    <m/>
    <m/>
    <m/>
    <m/>
    <n v="1"/>
    <n v="283"/>
    <n v="764"/>
    <n v="459"/>
    <n v="139"/>
    <n v="0"/>
    <n v="8"/>
    <n v="2401"/>
    <n v="4425"/>
    <n v="2891"/>
    <n v="503"/>
    <n v="0"/>
    <m/>
    <m/>
    <m/>
    <m/>
    <m/>
    <m/>
    <m/>
    <m/>
    <m/>
    <m/>
    <m/>
    <m/>
    <m/>
    <m/>
    <m/>
    <m/>
    <m/>
    <m/>
    <n v="11"/>
    <n v="1903"/>
    <n v="2192"/>
    <n v="662"/>
    <n v="58"/>
    <n v="0"/>
    <n v="0"/>
    <n v="196"/>
    <n v="1591"/>
    <n v="1114"/>
    <n v="16"/>
    <n v="0"/>
    <m/>
    <m/>
    <m/>
    <m/>
    <m/>
    <m/>
    <n v="0"/>
    <n v="1"/>
    <n v="65"/>
    <n v="40"/>
    <n v="20"/>
    <n v="0"/>
    <n v="0"/>
    <n v="4"/>
    <n v="46"/>
    <n v="39"/>
    <n v="12"/>
    <n v="0"/>
    <n v="15"/>
    <n v="617"/>
    <n v="1526"/>
    <n v="713"/>
    <n v="52"/>
    <n v="0"/>
  </r>
  <r>
    <x v="2"/>
    <n v="2020"/>
    <x v="2"/>
    <m/>
    <s v="Global"/>
    <s v="AFR"/>
    <s v="Gabonese Republic"/>
    <s v="EGLpIMSAWhx"/>
    <x v="3"/>
    <x v="3"/>
    <m/>
    <n v="35"/>
    <n v="226"/>
    <n v="452"/>
    <n v="373"/>
    <n v="234"/>
    <n v="42"/>
    <n v="31"/>
    <n v="881"/>
    <n v="2191"/>
    <n v="1938"/>
    <n v="439"/>
    <n v="1"/>
    <n v="36"/>
    <n v="204"/>
    <n v="153"/>
    <n v="209"/>
    <n v="57"/>
    <n v="3"/>
    <n v="0"/>
    <n v="6"/>
    <n v="8"/>
    <n v="8"/>
    <n v="11"/>
    <n v="1"/>
    <n v="1"/>
    <n v="34"/>
    <n v="38"/>
    <n v="37"/>
    <n v="24"/>
    <n v="5"/>
    <n v="29"/>
    <n v="176"/>
    <n v="198"/>
    <n v="82"/>
    <n v="40"/>
    <n v="1"/>
    <n v="6"/>
    <n v="50"/>
    <n v="253"/>
    <n v="291"/>
    <n v="194"/>
    <n v="41"/>
    <n v="0"/>
    <n v="0"/>
    <n v="1"/>
    <n v="0"/>
    <n v="0"/>
    <n v="0"/>
    <n v="12"/>
    <n v="103"/>
    <n v="259"/>
    <n v="226"/>
    <n v="35"/>
    <n v="0"/>
    <n v="19"/>
    <n v="777"/>
    <n v="1932"/>
    <n v="1711"/>
    <n v="404"/>
    <n v="1"/>
    <n v="0"/>
    <n v="1"/>
    <n v="0"/>
    <n v="1"/>
    <n v="0"/>
    <n v="0"/>
    <n v="0"/>
    <n v="0"/>
    <n v="0"/>
    <n v="0"/>
    <n v="1"/>
    <n v="0"/>
    <n v="0"/>
    <n v="25"/>
    <n v="79"/>
    <n v="80"/>
    <n v="6"/>
    <n v="0"/>
    <n v="36"/>
    <n v="204"/>
    <n v="153"/>
    <n v="209"/>
    <n v="57"/>
    <n v="3"/>
    <n v="0"/>
    <n v="0"/>
    <n v="0"/>
    <n v="0"/>
    <n v="0"/>
    <n v="0"/>
    <n v="0"/>
    <n v="0"/>
    <n v="0"/>
    <n v="0"/>
    <n v="0"/>
    <n v="0"/>
    <n v="0"/>
    <n v="5"/>
    <n v="21"/>
    <n v="39"/>
    <n v="14"/>
    <n v="3"/>
    <n v="0"/>
    <n v="2"/>
    <n v="23"/>
    <n v="22"/>
    <n v="18"/>
    <n v="2"/>
    <n v="1"/>
    <n v="14"/>
    <n v="27"/>
    <n v="50"/>
    <n v="18"/>
    <n v="0"/>
  </r>
  <r>
    <x v="2"/>
    <n v="2020"/>
    <x v="2"/>
    <m/>
    <s v="Global"/>
    <s v="AFR"/>
    <s v="Republic of Botswana"/>
    <s v="c82mDnhUQly"/>
    <x v="5"/>
    <x v="5"/>
    <m/>
    <n v="20"/>
    <n v="498"/>
    <n v="298"/>
    <n v="128"/>
    <n v="61"/>
    <n v="19"/>
    <n v="372"/>
    <n v="3373"/>
    <n v="2293"/>
    <n v="1195"/>
    <n v="537"/>
    <n v="1"/>
    <m/>
    <m/>
    <m/>
    <m/>
    <m/>
    <m/>
    <n v="1"/>
    <n v="58"/>
    <n v="26"/>
    <n v="4"/>
    <m/>
    <m/>
    <n v="4"/>
    <n v="52"/>
    <n v="34"/>
    <n v="43"/>
    <n v="12"/>
    <m/>
    <n v="20"/>
    <n v="498"/>
    <n v="243"/>
    <n v="101"/>
    <n v="33"/>
    <n v="7"/>
    <m/>
    <m/>
    <n v="55"/>
    <n v="27"/>
    <n v="28"/>
    <n v="12"/>
    <m/>
    <m/>
    <m/>
    <m/>
    <m/>
    <m/>
    <m/>
    <m/>
    <m/>
    <m/>
    <m/>
    <m/>
    <n v="372"/>
    <n v="3373"/>
    <n v="2293"/>
    <n v="1195"/>
    <n v="537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2020"/>
    <x v="2"/>
    <m/>
    <s v="Global"/>
    <s v="AFR"/>
    <s v="Republic of Cameroon"/>
    <s v="VPesUmegQpP"/>
    <x v="7"/>
    <x v="7"/>
    <m/>
    <n v="0"/>
    <n v="939"/>
    <n v="874"/>
    <n v="563"/>
    <n v="184"/>
    <n v="0"/>
    <n v="423"/>
    <n v="4283"/>
    <n v="3624"/>
    <n v="1652"/>
    <n v="1463"/>
    <n v="33"/>
    <n v="11"/>
    <n v="691"/>
    <n v="332"/>
    <n v="211"/>
    <n v="13"/>
    <n v="0"/>
    <n v="0"/>
    <n v="132"/>
    <n v="27"/>
    <n v="15"/>
    <n v="5"/>
    <n v="0"/>
    <n v="0"/>
    <n v="234"/>
    <n v="93"/>
    <n v="8"/>
    <n v="2"/>
    <n v="0"/>
    <n v="0"/>
    <n v="859"/>
    <n v="438"/>
    <n v="240"/>
    <n v="103"/>
    <n v="0"/>
    <n v="0"/>
    <n v="80"/>
    <n v="435"/>
    <n v="323"/>
    <n v="81"/>
    <n v="0"/>
    <n v="0"/>
    <n v="0"/>
    <n v="1"/>
    <n v="0"/>
    <n v="0"/>
    <n v="0"/>
    <n v="0"/>
    <n v="600"/>
    <n v="360"/>
    <n v="191"/>
    <n v="51"/>
    <n v="0"/>
    <n v="423"/>
    <n v="3398"/>
    <n v="2688"/>
    <n v="1166"/>
    <n v="1133"/>
    <n v="33"/>
    <n v="0"/>
    <n v="285"/>
    <n v="576"/>
    <n v="295"/>
    <n v="279"/>
    <n v="0"/>
    <n v="0"/>
    <n v="0"/>
    <n v="40"/>
    <n v="138"/>
    <n v="12"/>
    <n v="0"/>
    <n v="0"/>
    <n v="0"/>
    <n v="116"/>
    <n v="58"/>
    <n v="116"/>
    <n v="0"/>
    <n v="11"/>
    <n v="658"/>
    <n v="253"/>
    <n v="73"/>
    <n v="3"/>
    <n v="0"/>
    <n v="0"/>
    <n v="26"/>
    <n v="70"/>
    <n v="133"/>
    <n v="10"/>
    <n v="0"/>
    <n v="0"/>
    <n v="7"/>
    <n v="9"/>
    <n v="5"/>
    <n v="0"/>
    <n v="0"/>
    <n v="0"/>
    <n v="6"/>
    <n v="45"/>
    <n v="32"/>
    <n v="31"/>
    <n v="0"/>
    <n v="0"/>
    <n v="2"/>
    <n v="22"/>
    <n v="16"/>
    <n v="4"/>
    <n v="1"/>
    <n v="9"/>
    <n v="105"/>
    <n v="21"/>
    <n v="18"/>
    <n v="1"/>
    <n v="0"/>
  </r>
  <r>
    <x v="2"/>
    <n v="2020"/>
    <x v="2"/>
    <m/>
    <s v="Global"/>
    <s v="AFR"/>
    <s v="Republic of Chad"/>
    <s v="tV0rWhHr9cj"/>
    <x v="8"/>
    <x v="8"/>
    <m/>
    <n v="0"/>
    <n v="342"/>
    <n v="317"/>
    <n v="88"/>
    <n v="43"/>
    <n v="4"/>
    <n v="50"/>
    <n v="1277"/>
    <n v="917"/>
    <n v="277"/>
    <n v="92"/>
    <n v="0"/>
    <n v="10"/>
    <n v="197"/>
    <n v="312"/>
    <n v="128"/>
    <n v="63"/>
    <n v="0"/>
    <m/>
    <m/>
    <m/>
    <m/>
    <m/>
    <m/>
    <m/>
    <m/>
    <m/>
    <m/>
    <m/>
    <m/>
    <n v="0"/>
    <n v="342"/>
    <n v="317"/>
    <n v="88"/>
    <n v="43"/>
    <n v="4"/>
    <m/>
    <m/>
    <m/>
    <m/>
    <m/>
    <m/>
    <m/>
    <m/>
    <m/>
    <m/>
    <m/>
    <m/>
    <n v="40"/>
    <n v="676"/>
    <n v="100"/>
    <n v="1"/>
    <n v="0"/>
    <n v="0"/>
    <n v="2"/>
    <n v="396"/>
    <n v="768"/>
    <n v="270"/>
    <n v="92"/>
    <n v="0"/>
    <n v="8"/>
    <n v="205"/>
    <n v="49"/>
    <n v="6"/>
    <n v="0"/>
    <m/>
    <m/>
    <m/>
    <m/>
    <m/>
    <m/>
    <m/>
    <m/>
    <m/>
    <m/>
    <m/>
    <m/>
    <m/>
    <n v="10"/>
    <n v="197"/>
    <n v="312"/>
    <n v="128"/>
    <n v="63"/>
    <n v="0"/>
    <m/>
    <m/>
    <m/>
    <m/>
    <m/>
    <m/>
    <m/>
    <m/>
    <m/>
    <m/>
    <m/>
    <m/>
    <n v="0"/>
    <m/>
    <n v="3"/>
    <n v="2"/>
    <m/>
    <m/>
    <m/>
    <m/>
    <m/>
    <m/>
    <m/>
    <m/>
    <n v="4"/>
    <n v="38"/>
    <n v="21"/>
    <n v="7"/>
    <n v="2"/>
    <n v="1"/>
  </r>
  <r>
    <x v="2"/>
    <n v="2020"/>
    <x v="2"/>
    <m/>
    <s v="Global"/>
    <s v="AFR"/>
    <s v="Republic of Guinea-Bissau"/>
    <s v="G9o5ad4oJJX"/>
    <x v="11"/>
    <x v="11"/>
    <m/>
    <n v="0"/>
    <n v="145"/>
    <n v="116"/>
    <n v="47"/>
    <n v="63"/>
    <n v="14"/>
    <n v="12"/>
    <n v="421"/>
    <n v="565"/>
    <n v="204"/>
    <n v="202"/>
    <n v="7"/>
    <n v="1"/>
    <n v="40"/>
    <n v="53"/>
    <n v="59"/>
    <n v="32"/>
    <n v="0"/>
    <n v="0"/>
    <n v="1"/>
    <n v="2"/>
    <n v="2"/>
    <n v="0"/>
    <n v="0"/>
    <n v="0"/>
    <n v="2"/>
    <n v="4"/>
    <n v="5"/>
    <n v="2"/>
    <n v="0"/>
    <n v="0"/>
    <n v="145"/>
    <n v="112"/>
    <n v="41"/>
    <n v="63"/>
    <n v="14"/>
    <n v="0"/>
    <n v="0"/>
    <n v="4"/>
    <n v="6"/>
    <n v="0"/>
    <n v="0"/>
    <m/>
    <m/>
    <m/>
    <m/>
    <m/>
    <m/>
    <n v="11"/>
    <n v="305"/>
    <n v="433"/>
    <n v="113"/>
    <n v="149"/>
    <n v="4"/>
    <n v="1"/>
    <n v="116"/>
    <n v="132"/>
    <n v="91"/>
    <n v="41"/>
    <n v="1"/>
    <n v="0"/>
    <n v="0"/>
    <n v="0"/>
    <n v="0"/>
    <n v="12"/>
    <n v="2"/>
    <m/>
    <m/>
    <m/>
    <m/>
    <m/>
    <m/>
    <n v="0"/>
    <n v="5"/>
    <n v="15"/>
    <n v="18"/>
    <n v="2"/>
    <n v="0"/>
    <n v="1"/>
    <n v="5"/>
    <n v="4"/>
    <n v="8"/>
    <n v="0"/>
    <n v="0"/>
    <n v="0"/>
    <n v="35"/>
    <n v="49"/>
    <n v="51"/>
    <n v="32"/>
    <n v="0"/>
    <m/>
    <m/>
    <m/>
    <m/>
    <m/>
    <m/>
    <n v="0"/>
    <n v="1"/>
    <n v="0"/>
    <n v="1"/>
    <n v="2"/>
    <n v="0"/>
    <n v="0"/>
    <n v="1"/>
    <n v="3"/>
    <n v="2"/>
    <n v="0"/>
    <n v="0"/>
    <m/>
    <m/>
    <m/>
    <m/>
    <m/>
    <m/>
  </r>
  <r>
    <x v="2"/>
    <n v="2020"/>
    <x v="2"/>
    <m/>
    <s v="Global"/>
    <s v="AFR"/>
    <s v="Republic of Kenya"/>
    <s v="HfVjCurKxh2"/>
    <x v="12"/>
    <x v="12"/>
    <m/>
    <n v="22"/>
    <n v="1831"/>
    <n v="1709"/>
    <n v="722"/>
    <n v="240"/>
    <n v="6"/>
    <n v="943"/>
    <n v="11494"/>
    <n v="10769"/>
    <n v="8605"/>
    <n v="4482"/>
    <n v="69"/>
    <m/>
    <m/>
    <m/>
    <m/>
    <m/>
    <m/>
    <n v="5"/>
    <n v="172"/>
    <n v="120"/>
    <n v="70"/>
    <n v="27"/>
    <n v="0"/>
    <n v="8"/>
    <n v="418"/>
    <n v="490"/>
    <n v="111"/>
    <n v="14"/>
    <n v="3"/>
    <n v="22"/>
    <n v="1678"/>
    <n v="1199"/>
    <n v="414"/>
    <n v="110"/>
    <n v="1"/>
    <n v="0"/>
    <n v="153"/>
    <n v="510"/>
    <n v="308"/>
    <n v="130"/>
    <n v="5"/>
    <n v="0"/>
    <n v="0"/>
    <n v="0"/>
    <n v="0"/>
    <n v="0"/>
    <n v="0"/>
    <n v="0"/>
    <n v="0"/>
    <n v="0"/>
    <n v="0"/>
    <n v="0"/>
    <n v="0"/>
    <n v="943"/>
    <n v="11494"/>
    <n v="10769"/>
    <n v="8605"/>
    <n v="4482"/>
    <n v="69"/>
    <m/>
    <m/>
    <m/>
    <m/>
    <m/>
    <m/>
    <m/>
    <m/>
    <m/>
    <m/>
    <m/>
    <m/>
    <n v="0"/>
    <n v="0"/>
    <n v="0"/>
    <n v="0"/>
    <n v="0"/>
    <n v="0"/>
    <m/>
    <m/>
    <m/>
    <m/>
    <m/>
    <m/>
    <m/>
    <m/>
    <m/>
    <m/>
    <m/>
    <m/>
    <m/>
    <m/>
    <m/>
    <m/>
    <m/>
    <m/>
    <n v="0"/>
    <n v="24"/>
    <n v="99"/>
    <n v="66"/>
    <n v="28"/>
    <n v="0"/>
    <n v="0"/>
    <n v="25"/>
    <n v="75"/>
    <n v="31"/>
    <n v="12"/>
    <n v="0"/>
    <n v="137"/>
    <n v="1278"/>
    <n v="999"/>
    <n v="391"/>
    <n v="64"/>
    <n v="1"/>
  </r>
  <r>
    <x v="2"/>
    <n v="2020"/>
    <x v="2"/>
    <m/>
    <s v="Global"/>
    <s v="AFR"/>
    <s v="Republic of Malawi"/>
    <s v="G037PAPU5dO"/>
    <x v="13"/>
    <x v="13"/>
    <m/>
    <n v="29"/>
    <n v="506"/>
    <n v="246"/>
    <n v="125"/>
    <n v="41"/>
    <n v="11"/>
    <n v="1796"/>
    <n v="4745"/>
    <n v="4308"/>
    <n v="2054"/>
    <n v="517"/>
    <n v="144"/>
    <n v="0"/>
    <n v="0"/>
    <n v="0"/>
    <n v="0"/>
    <n v="0"/>
    <n v="0"/>
    <n v="0"/>
    <n v="31"/>
    <n v="69"/>
    <n v="36"/>
    <n v="10"/>
    <n v="3"/>
    <n v="31"/>
    <n v="62"/>
    <n v="39"/>
    <n v="11"/>
    <n v="5"/>
    <n v="3"/>
    <n v="29"/>
    <n v="348"/>
    <n v="165"/>
    <n v="74"/>
    <n v="20"/>
    <n v="3"/>
    <n v="0"/>
    <n v="158"/>
    <n v="81"/>
    <n v="51"/>
    <n v="21"/>
    <n v="8"/>
    <n v="0"/>
    <n v="0"/>
    <n v="0"/>
    <n v="0"/>
    <n v="0"/>
    <n v="0"/>
    <n v="874"/>
    <n v="2364"/>
    <n v="1811"/>
    <n v="691"/>
    <n v="187"/>
    <n v="77"/>
    <n v="922"/>
    <n v="2347"/>
    <n v="2466"/>
    <n v="1354"/>
    <n v="327"/>
    <n v="67"/>
    <n v="0"/>
    <n v="34"/>
    <n v="31"/>
    <n v="9"/>
    <n v="3"/>
    <n v="0"/>
    <n v="631"/>
    <n v="1843"/>
    <n v="1416"/>
    <n v="361"/>
    <n v="91"/>
    <n v="16"/>
    <n v="379"/>
    <n v="413"/>
    <n v="344"/>
    <n v="281"/>
    <n v="4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"/>
    <n v="31"/>
    <n v="9"/>
    <n v="3"/>
    <n v="2"/>
    <n v="0"/>
    <n v="14"/>
    <n v="8"/>
    <n v="5"/>
    <n v="2"/>
    <n v="1"/>
    <n v="0"/>
    <n v="0"/>
    <n v="0"/>
    <n v="0"/>
    <n v="0"/>
    <n v="0"/>
  </r>
  <r>
    <x v="2"/>
    <n v="2020"/>
    <x v="2"/>
    <m/>
    <s v="Global"/>
    <s v="AFR"/>
    <s v="Republic of Mozambique"/>
    <s v="Gan3VYicAWe"/>
    <x v="14"/>
    <x v="14"/>
    <m/>
    <n v="1"/>
    <n v="934"/>
    <n v="819"/>
    <n v="484"/>
    <n v="315"/>
    <n v="105"/>
    <n v="149"/>
    <n v="4077"/>
    <n v="2792"/>
    <n v="911"/>
    <n v="766"/>
    <n v="136"/>
    <n v="193"/>
    <n v="3221"/>
    <n v="1858"/>
    <n v="634"/>
    <n v="345"/>
    <n v="73"/>
    <n v="2"/>
    <n v="125"/>
    <n v="130"/>
    <n v="19"/>
    <n v="5"/>
    <n v="1"/>
    <n v="2"/>
    <n v="209"/>
    <n v="151"/>
    <n v="42"/>
    <n v="15"/>
    <n v="4"/>
    <n v="1"/>
    <n v="913"/>
    <n v="635"/>
    <n v="130"/>
    <n v="37"/>
    <n v="24"/>
    <m/>
    <n v="21"/>
    <n v="184"/>
    <n v="354"/>
    <n v="278"/>
    <n v="81"/>
    <m/>
    <m/>
    <m/>
    <m/>
    <m/>
    <m/>
    <n v="3"/>
    <n v="382"/>
    <n v="515"/>
    <n v="198"/>
    <n v="424"/>
    <n v="94"/>
    <n v="146"/>
    <n v="3695"/>
    <n v="2277"/>
    <n v="713"/>
    <n v="342"/>
    <n v="42"/>
    <m/>
    <m/>
    <m/>
    <m/>
    <m/>
    <m/>
    <m/>
    <m/>
    <m/>
    <m/>
    <m/>
    <m/>
    <m/>
    <m/>
    <m/>
    <m/>
    <m/>
    <m/>
    <n v="189"/>
    <n v="2874"/>
    <n v="1367"/>
    <n v="441"/>
    <n v="124"/>
    <n v="54"/>
    <n v="4"/>
    <n v="347"/>
    <n v="491"/>
    <n v="193"/>
    <n v="221"/>
    <n v="19"/>
    <m/>
    <m/>
    <m/>
    <m/>
    <m/>
    <m/>
    <m/>
    <n v="1"/>
    <n v="7"/>
    <n v="34"/>
    <n v="26"/>
    <n v="8"/>
    <m/>
    <n v="1"/>
    <n v="9"/>
    <n v="32"/>
    <n v="28"/>
    <n v="3"/>
    <m/>
    <m/>
    <m/>
    <m/>
    <m/>
    <m/>
  </r>
  <r>
    <x v="2"/>
    <n v="2020"/>
    <x v="2"/>
    <m/>
    <s v="Global"/>
    <s v="AFR"/>
    <s v="Republic of Senegal"/>
    <s v="wj7iV08dvFq"/>
    <x v="15"/>
    <x v="15"/>
    <m/>
    <m/>
    <n v="117"/>
    <n v="365"/>
    <n v="212"/>
    <n v="173"/>
    <m/>
    <n v="2"/>
    <n v="516"/>
    <n v="1855"/>
    <n v="561"/>
    <n v="290"/>
    <m/>
    <n v="1"/>
    <n v="395"/>
    <n v="1174"/>
    <n v="181"/>
    <n v="140"/>
    <m/>
    <m/>
    <m/>
    <m/>
    <m/>
    <m/>
    <m/>
    <m/>
    <m/>
    <m/>
    <m/>
    <m/>
    <m/>
    <m/>
    <n v="94"/>
    <n v="141"/>
    <n v="44"/>
    <n v="29"/>
    <m/>
    <m/>
    <n v="23"/>
    <n v="224"/>
    <n v="168"/>
    <n v="144"/>
    <m/>
    <m/>
    <m/>
    <m/>
    <m/>
    <m/>
    <m/>
    <m/>
    <n v="37"/>
    <n v="149"/>
    <n v="123"/>
    <n v="55"/>
    <m/>
    <n v="2"/>
    <n v="479"/>
    <n v="1706"/>
    <n v="438"/>
    <n v="235"/>
    <m/>
    <m/>
    <m/>
    <m/>
    <m/>
    <m/>
    <m/>
    <m/>
    <m/>
    <m/>
    <m/>
    <m/>
    <m/>
    <m/>
    <m/>
    <m/>
    <m/>
    <m/>
    <m/>
    <n v="1"/>
    <n v="395"/>
    <n v="1174"/>
    <n v="181"/>
    <n v="140"/>
    <m/>
    <m/>
    <m/>
    <m/>
    <m/>
    <m/>
    <m/>
    <m/>
    <m/>
    <m/>
    <m/>
    <m/>
    <m/>
    <m/>
    <n v="16"/>
    <n v="51"/>
    <n v="24"/>
    <n v="15"/>
    <m/>
    <m/>
    <n v="3"/>
    <n v="42"/>
    <n v="38"/>
    <n v="11"/>
    <m/>
    <m/>
    <m/>
    <m/>
    <m/>
    <m/>
    <m/>
  </r>
  <r>
    <x v="2"/>
    <n v="2020"/>
    <x v="2"/>
    <m/>
    <s v="Global"/>
    <s v="AFR"/>
    <s v="Republic of Sierra Leone"/>
    <s v="qbqrFLCJewu"/>
    <x v="23"/>
    <x v="23"/>
    <m/>
    <m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n v="1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2019"/>
    <x v="3"/>
    <m/>
    <s v="Global"/>
    <s v="AFR"/>
    <m/>
    <s v="seHJdofSPcM"/>
    <x v="0"/>
    <x v="0"/>
    <m/>
    <n v="81"/>
    <n v="4301"/>
    <n v="4354"/>
    <n v="1858"/>
    <n v="902"/>
    <n v="115"/>
    <n v="991"/>
    <n v="60398"/>
    <n v="32796"/>
    <n v="7862"/>
    <n v="4730"/>
    <n v="170"/>
    <n v="527"/>
    <n v="11547"/>
    <n v="7618"/>
    <n v="1845"/>
    <n v="1309"/>
    <n v="55"/>
    <n v="6"/>
    <n v="242"/>
    <n v="118"/>
    <n v="26"/>
    <n v="17"/>
    <n v="1"/>
    <n v="20"/>
    <n v="308"/>
    <n v="187"/>
    <n v="92"/>
    <n v="45"/>
    <n v="6"/>
    <n v="68"/>
    <n v="4113"/>
    <n v="2794"/>
    <n v="618"/>
    <n v="250"/>
    <n v="20"/>
    <n v="13"/>
    <n v="188"/>
    <n v="1559"/>
    <n v="1240"/>
    <n v="652"/>
    <n v="95"/>
    <n v="0"/>
    <n v="0"/>
    <n v="1"/>
    <n v="0"/>
    <n v="0"/>
    <n v="0"/>
    <n v="105"/>
    <n v="31936"/>
    <n v="12028"/>
    <n v="1952"/>
    <n v="1702"/>
    <n v="44"/>
    <n v="886"/>
    <n v="28461"/>
    <n v="20768"/>
    <n v="5909"/>
    <n v="3028"/>
    <n v="126"/>
    <n v="0"/>
    <n v="1"/>
    <n v="0"/>
    <n v="1"/>
    <n v="0"/>
    <n v="0"/>
    <n v="0"/>
    <n v="2"/>
    <n v="7"/>
    <n v="2"/>
    <n v="0"/>
    <n v="0"/>
    <n v="0"/>
    <n v="290"/>
    <n v="319"/>
    <n v="110"/>
    <n v="7"/>
    <n v="0"/>
    <n v="506"/>
    <n v="11348"/>
    <n v="7074"/>
    <n v="1478"/>
    <n v="1056"/>
    <n v="19"/>
    <n v="11"/>
    <n v="76"/>
    <n v="184"/>
    <n v="240"/>
    <n v="190"/>
    <n v="36"/>
    <n v="10"/>
    <n v="123"/>
    <n v="360"/>
    <n v="127"/>
    <n v="63"/>
    <n v="0"/>
    <n v="2"/>
    <n v="23"/>
    <n v="87"/>
    <n v="109"/>
    <n v="44"/>
    <n v="6"/>
    <n v="1"/>
    <n v="18"/>
    <n v="107"/>
    <n v="95"/>
    <n v="38"/>
    <n v="4"/>
    <n v="45"/>
    <n v="323"/>
    <n v="377"/>
    <n v="297"/>
    <n v="134"/>
    <n v="66"/>
  </r>
  <r>
    <x v="3"/>
    <n v="2019"/>
    <x v="3"/>
    <m/>
    <s v="Global"/>
    <s v="AFR"/>
    <s v="Burkina Faso"/>
    <s v="hmZE3mVAZFf"/>
    <x v="1"/>
    <x v="1"/>
    <m/>
    <n v="0"/>
    <n v="719"/>
    <n v="774"/>
    <n v="275"/>
    <n v="136"/>
    <n v="1"/>
    <m/>
    <m/>
    <m/>
    <m/>
    <m/>
    <m/>
    <m/>
    <m/>
    <m/>
    <m/>
    <m/>
    <m/>
    <m/>
    <m/>
    <m/>
    <m/>
    <m/>
    <m/>
    <m/>
    <m/>
    <m/>
    <m/>
    <m/>
    <m/>
    <n v="0"/>
    <n v="660"/>
    <n v="323"/>
    <n v="31"/>
    <n v="12"/>
    <n v="0"/>
    <n v="0"/>
    <n v="59"/>
    <n v="451"/>
    <n v="244"/>
    <n v="124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2019"/>
    <x v="3"/>
    <m/>
    <s v="Global"/>
    <s v="AFR"/>
    <s v="Gabonese Republic"/>
    <s v="EGLpIMSAWhx"/>
    <x v="3"/>
    <x v="3"/>
    <m/>
    <n v="34"/>
    <n v="232"/>
    <n v="456"/>
    <n v="388"/>
    <n v="221"/>
    <n v="37"/>
    <n v="34"/>
    <n v="600"/>
    <n v="1858"/>
    <n v="1775"/>
    <n v="443"/>
    <n v="1"/>
    <n v="39"/>
    <n v="165"/>
    <n v="146"/>
    <n v="200"/>
    <n v="54"/>
    <n v="3"/>
    <n v="0"/>
    <n v="6"/>
    <n v="8"/>
    <n v="8"/>
    <n v="11"/>
    <n v="1"/>
    <n v="2"/>
    <n v="33"/>
    <n v="40"/>
    <n v="34"/>
    <n v="21"/>
    <n v="5"/>
    <n v="28"/>
    <n v="181"/>
    <n v="184"/>
    <n v="80"/>
    <n v="42"/>
    <n v="1"/>
    <n v="6"/>
    <n v="51"/>
    <n v="271"/>
    <n v="308"/>
    <n v="179"/>
    <n v="36"/>
    <n v="0"/>
    <n v="0"/>
    <n v="1"/>
    <n v="0"/>
    <n v="0"/>
    <n v="0"/>
    <n v="17"/>
    <n v="150"/>
    <n v="552"/>
    <n v="561"/>
    <n v="128"/>
    <n v="0"/>
    <n v="17"/>
    <n v="449"/>
    <n v="1306"/>
    <n v="1213"/>
    <n v="315"/>
    <n v="1"/>
    <n v="0"/>
    <n v="1"/>
    <n v="0"/>
    <n v="1"/>
    <n v="0"/>
    <n v="0"/>
    <n v="0"/>
    <n v="2"/>
    <n v="7"/>
    <n v="2"/>
    <n v="0"/>
    <n v="0"/>
    <n v="0"/>
    <n v="290"/>
    <n v="319"/>
    <n v="110"/>
    <n v="7"/>
    <n v="0"/>
    <n v="39"/>
    <n v="165"/>
    <n v="146"/>
    <n v="200"/>
    <n v="54"/>
    <n v="3"/>
    <n v="0"/>
    <n v="0"/>
    <n v="0"/>
    <n v="0"/>
    <n v="0"/>
    <n v="0"/>
    <n v="0"/>
    <n v="0"/>
    <n v="0"/>
    <n v="0"/>
    <n v="0"/>
    <n v="0"/>
    <n v="0"/>
    <n v="5"/>
    <n v="22"/>
    <n v="38"/>
    <n v="11"/>
    <n v="3"/>
    <n v="0"/>
    <n v="1"/>
    <n v="26"/>
    <n v="23"/>
    <n v="16"/>
    <n v="3"/>
    <n v="1"/>
    <n v="14"/>
    <n v="28"/>
    <n v="52"/>
    <n v="22"/>
    <n v="0"/>
  </r>
  <r>
    <x v="3"/>
    <n v="2019"/>
    <x v="3"/>
    <m/>
    <s v="Global"/>
    <s v="AFR"/>
    <s v="Republic of Botswana"/>
    <s v="c82mDnhUQly"/>
    <x v="5"/>
    <x v="5"/>
    <m/>
    <n v="16"/>
    <n v="467"/>
    <n v="262"/>
    <n v="114"/>
    <n v="46"/>
    <n v="15"/>
    <n v="418"/>
    <n v="3483"/>
    <n v="2166"/>
    <n v="1151"/>
    <n v="535"/>
    <n v="10"/>
    <m/>
    <m/>
    <m/>
    <m/>
    <m/>
    <m/>
    <n v="1"/>
    <n v="63"/>
    <n v="22"/>
    <n v="2"/>
    <m/>
    <m/>
    <m/>
    <n v="53"/>
    <n v="35"/>
    <n v="37"/>
    <n v="13"/>
    <m/>
    <n v="16"/>
    <n v="462"/>
    <n v="215"/>
    <n v="89"/>
    <n v="26"/>
    <n v="5"/>
    <m/>
    <n v="5"/>
    <n v="47"/>
    <n v="25"/>
    <n v="20"/>
    <n v="10"/>
    <m/>
    <m/>
    <m/>
    <m/>
    <m/>
    <m/>
    <m/>
    <m/>
    <m/>
    <m/>
    <m/>
    <m/>
    <n v="418"/>
    <n v="3483"/>
    <n v="2166"/>
    <n v="1151"/>
    <n v="535"/>
    <n v="1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2019"/>
    <x v="3"/>
    <m/>
    <s v="Global"/>
    <s v="AFR"/>
    <s v="Republic of Burundi"/>
    <s v="Xz7rnovuiOx"/>
    <x v="24"/>
    <x v="24"/>
    <m/>
    <n v="0"/>
    <n v="149"/>
    <n v="396"/>
    <n v="61"/>
    <n v="19"/>
    <n v="4"/>
    <n v="17"/>
    <n v="2407"/>
    <n v="3522"/>
    <n v="1236"/>
    <n v="292"/>
    <n v="44"/>
    <n v="0"/>
    <n v="48"/>
    <n v="44"/>
    <n v="26"/>
    <n v="6"/>
    <n v="0"/>
    <m/>
    <m/>
    <m/>
    <m/>
    <m/>
    <m/>
    <m/>
    <m/>
    <m/>
    <m/>
    <m/>
    <m/>
    <n v="0"/>
    <n v="149"/>
    <n v="396"/>
    <n v="61"/>
    <n v="19"/>
    <n v="4"/>
    <m/>
    <m/>
    <m/>
    <m/>
    <m/>
    <m/>
    <m/>
    <m/>
    <m/>
    <m/>
    <m/>
    <m/>
    <m/>
    <m/>
    <m/>
    <m/>
    <m/>
    <m/>
    <n v="17"/>
    <n v="2407"/>
    <n v="3522"/>
    <n v="1236"/>
    <n v="292"/>
    <n v="44"/>
    <m/>
    <m/>
    <m/>
    <m/>
    <m/>
    <m/>
    <m/>
    <m/>
    <m/>
    <m/>
    <m/>
    <m/>
    <m/>
    <m/>
    <m/>
    <m/>
    <m/>
    <m/>
    <n v="0"/>
    <n v="48"/>
    <n v="44"/>
    <n v="26"/>
    <n v="6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2019"/>
    <x v="3"/>
    <m/>
    <s v="Global"/>
    <s v="AFR"/>
    <s v="Republic of Chad"/>
    <s v="tV0rWhHr9cj"/>
    <x v="8"/>
    <x v="8"/>
    <m/>
    <m/>
    <n v="216"/>
    <n v="293"/>
    <n v="86"/>
    <n v="43"/>
    <n v="4"/>
    <n v="0"/>
    <n v="178"/>
    <n v="553"/>
    <n v="204"/>
    <n v="92"/>
    <m/>
    <n v="10"/>
    <n v="123"/>
    <n v="360"/>
    <n v="127"/>
    <n v="63"/>
    <m/>
    <m/>
    <m/>
    <m/>
    <m/>
    <m/>
    <m/>
    <m/>
    <m/>
    <m/>
    <m/>
    <m/>
    <m/>
    <m/>
    <n v="216"/>
    <n v="293"/>
    <n v="86"/>
    <n v="43"/>
    <n v="4"/>
    <m/>
    <m/>
    <m/>
    <m/>
    <m/>
    <m/>
    <m/>
    <m/>
    <m/>
    <m/>
    <m/>
    <m/>
    <m/>
    <m/>
    <m/>
    <m/>
    <m/>
    <m/>
    <n v="0"/>
    <n v="178"/>
    <n v="553"/>
    <n v="204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"/>
    <n v="123"/>
    <n v="360"/>
    <n v="127"/>
    <n v="63"/>
    <m/>
    <m/>
    <m/>
    <m/>
    <m/>
    <m/>
    <m/>
    <m/>
    <m/>
    <m/>
    <m/>
    <m/>
    <m/>
    <m/>
    <m/>
    <m/>
    <m/>
    <m/>
    <m/>
  </r>
  <r>
    <x v="3"/>
    <n v="2019"/>
    <x v="3"/>
    <m/>
    <s v="Global"/>
    <s v="AFR"/>
    <s v="Republic of Ghana"/>
    <s v="WC5rU5fLMzY"/>
    <x v="10"/>
    <x v="10"/>
    <m/>
    <n v="1"/>
    <n v="1289"/>
    <n v="1348"/>
    <n v="424"/>
    <n v="174"/>
    <n v="0"/>
    <n v="82"/>
    <n v="48366"/>
    <n v="20816"/>
    <n v="1912"/>
    <n v="2458"/>
    <n v="0"/>
    <n v="3"/>
    <n v="7100"/>
    <n v="4337"/>
    <n v="588"/>
    <n v="645"/>
    <m/>
    <m/>
    <m/>
    <m/>
    <m/>
    <m/>
    <m/>
    <m/>
    <m/>
    <m/>
    <m/>
    <m/>
    <m/>
    <n v="1"/>
    <n v="1262"/>
    <n v="739"/>
    <n v="122"/>
    <n v="57"/>
    <n v="0"/>
    <n v="0"/>
    <n v="27"/>
    <n v="609"/>
    <n v="302"/>
    <n v="117"/>
    <n v="0"/>
    <m/>
    <m/>
    <m/>
    <m/>
    <m/>
    <m/>
    <n v="70"/>
    <n v="31167"/>
    <n v="10408"/>
    <n v="956"/>
    <n v="1229"/>
    <n v="0"/>
    <n v="12"/>
    <n v="17199"/>
    <n v="10408"/>
    <n v="956"/>
    <n v="1229"/>
    <n v="0"/>
    <m/>
    <m/>
    <m/>
    <m/>
    <m/>
    <m/>
    <m/>
    <m/>
    <m/>
    <m/>
    <m/>
    <m/>
    <m/>
    <m/>
    <m/>
    <m/>
    <m/>
    <m/>
    <n v="3"/>
    <n v="7100"/>
    <n v="4337"/>
    <n v="588"/>
    <n v="64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2019"/>
    <x v="3"/>
    <m/>
    <s v="Global"/>
    <s v="AFR"/>
    <s v="Republic of Mozambique"/>
    <s v="Gan3VYicAWe"/>
    <x v="14"/>
    <x v="14"/>
    <m/>
    <n v="25"/>
    <n v="1106"/>
    <n v="697"/>
    <n v="454"/>
    <n v="236"/>
    <n v="52"/>
    <n v="408"/>
    <n v="4199"/>
    <n v="1950"/>
    <n v="950"/>
    <n v="560"/>
    <n v="112"/>
    <n v="449"/>
    <n v="3224"/>
    <n v="1580"/>
    <n v="605"/>
    <n v="294"/>
    <n v="23"/>
    <n v="5"/>
    <n v="173"/>
    <n v="88"/>
    <n v="16"/>
    <n v="6"/>
    <n v="0"/>
    <n v="18"/>
    <n v="222"/>
    <n v="112"/>
    <n v="21"/>
    <n v="11"/>
    <n v="1"/>
    <n v="18"/>
    <n v="1060"/>
    <n v="516"/>
    <n v="93"/>
    <n v="24"/>
    <n v="4"/>
    <n v="7"/>
    <n v="46"/>
    <n v="181"/>
    <n v="361"/>
    <n v="212"/>
    <n v="48"/>
    <m/>
    <m/>
    <m/>
    <m/>
    <m/>
    <m/>
    <n v="0"/>
    <n v="4"/>
    <n v="54"/>
    <n v="119"/>
    <n v="158"/>
    <n v="42"/>
    <n v="408"/>
    <n v="4195"/>
    <n v="1896"/>
    <n v="831"/>
    <n v="402"/>
    <n v="70"/>
    <m/>
    <m/>
    <m/>
    <m/>
    <m/>
    <m/>
    <m/>
    <m/>
    <m/>
    <m/>
    <m/>
    <m/>
    <m/>
    <m/>
    <m/>
    <m/>
    <m/>
    <m/>
    <n v="449"/>
    <n v="3222"/>
    <n v="1528"/>
    <n v="487"/>
    <n v="190"/>
    <n v="13"/>
    <n v="0"/>
    <n v="2"/>
    <n v="52"/>
    <n v="118"/>
    <n v="104"/>
    <n v="10"/>
    <m/>
    <m/>
    <m/>
    <m/>
    <m/>
    <m/>
    <n v="1"/>
    <n v="5"/>
    <n v="9"/>
    <n v="39"/>
    <n v="19"/>
    <n v="3"/>
    <n v="0"/>
    <n v="3"/>
    <n v="12"/>
    <n v="38"/>
    <n v="12"/>
    <n v="1"/>
    <m/>
    <m/>
    <m/>
    <m/>
    <m/>
    <m/>
  </r>
  <r>
    <x v="3"/>
    <n v="2019"/>
    <x v="3"/>
    <m/>
    <s v="Global"/>
    <s v="AFR"/>
    <s v="Republic of Senegal"/>
    <s v="wj7iV08dvFq"/>
    <x v="15"/>
    <x v="15"/>
    <m/>
    <n v="5"/>
    <n v="123"/>
    <n v="128"/>
    <n v="56"/>
    <n v="27"/>
    <n v="2"/>
    <n v="32"/>
    <n v="1165"/>
    <n v="1931"/>
    <n v="634"/>
    <n v="350"/>
    <n v="3"/>
    <n v="26"/>
    <n v="887"/>
    <n v="1151"/>
    <n v="299"/>
    <n v="247"/>
    <n v="29"/>
    <m/>
    <m/>
    <m/>
    <m/>
    <m/>
    <m/>
    <m/>
    <m/>
    <m/>
    <m/>
    <m/>
    <m/>
    <n v="5"/>
    <n v="123"/>
    <n v="128"/>
    <n v="56"/>
    <n v="27"/>
    <n v="2"/>
    <m/>
    <m/>
    <m/>
    <m/>
    <m/>
    <m/>
    <m/>
    <m/>
    <m/>
    <m/>
    <m/>
    <m/>
    <n v="18"/>
    <n v="615"/>
    <n v="1014"/>
    <n v="316"/>
    <n v="187"/>
    <n v="2"/>
    <n v="14"/>
    <n v="550"/>
    <n v="917"/>
    <n v="318"/>
    <n v="163"/>
    <n v="1"/>
    <m/>
    <m/>
    <m/>
    <m/>
    <m/>
    <m/>
    <m/>
    <m/>
    <m/>
    <m/>
    <m/>
    <m/>
    <m/>
    <m/>
    <m/>
    <m/>
    <m/>
    <m/>
    <n v="15"/>
    <n v="813"/>
    <n v="1019"/>
    <n v="177"/>
    <n v="161"/>
    <n v="3"/>
    <n v="11"/>
    <n v="74"/>
    <n v="132"/>
    <n v="122"/>
    <n v="86"/>
    <n v="26"/>
    <m/>
    <m/>
    <m/>
    <m/>
    <m/>
    <m/>
    <n v="1"/>
    <n v="13"/>
    <n v="56"/>
    <n v="32"/>
    <n v="14"/>
    <n v="0"/>
    <n v="1"/>
    <n v="14"/>
    <n v="69"/>
    <n v="34"/>
    <n v="10"/>
    <n v="0"/>
    <n v="44"/>
    <n v="309"/>
    <n v="349"/>
    <n v="245"/>
    <n v="112"/>
    <n v="66"/>
  </r>
  <r>
    <x v="4"/>
    <n v="2018"/>
    <x v="4"/>
    <m/>
    <s v="Global"/>
    <s v="AFR"/>
    <m/>
    <s v="seHJdofSPcM"/>
    <x v="0"/>
    <x v="0"/>
    <m/>
    <n v="6974"/>
    <n v="30821"/>
    <n v="20815"/>
    <n v="13103"/>
    <n v="14213"/>
    <n v="7712"/>
    <n v="23560"/>
    <n v="190733"/>
    <n v="157385"/>
    <n v="132148"/>
    <n v="84727"/>
    <n v="24837"/>
    <n v="1096"/>
    <n v="12881"/>
    <n v="6405"/>
    <n v="2746"/>
    <n v="1738"/>
    <n v="110"/>
    <n v="400"/>
    <n v="5240"/>
    <n v="3682"/>
    <n v="2105"/>
    <n v="3457"/>
    <n v="681"/>
    <n v="542"/>
    <n v="4888"/>
    <n v="5056"/>
    <n v="4353"/>
    <n v="4193"/>
    <n v="702"/>
    <n v="6008"/>
    <n v="7182"/>
    <n v="5883"/>
    <n v="4470"/>
    <n v="8306"/>
    <n v="5955"/>
    <n v="0"/>
    <n v="16603"/>
    <n v="12064"/>
    <n v="6713"/>
    <n v="5190"/>
    <n v="1654"/>
    <n v="966"/>
    <n v="7036"/>
    <n v="2868"/>
    <n v="1920"/>
    <n v="717"/>
    <n v="103"/>
    <n v="2154"/>
    <n v="45621"/>
    <n v="20210"/>
    <n v="22090"/>
    <n v="15436"/>
    <n v="6721"/>
    <n v="10013"/>
    <n v="83529"/>
    <n v="49762"/>
    <n v="34523"/>
    <n v="14093"/>
    <n v="2799"/>
    <n v="11393"/>
    <n v="61583"/>
    <n v="87413"/>
    <n v="75535"/>
    <n v="55198"/>
    <n v="15317"/>
    <n v="273"/>
    <n v="2800"/>
    <n v="124"/>
    <n v="114"/>
    <n v="68"/>
    <n v="13"/>
    <n v="117"/>
    <n v="787"/>
    <n v="323"/>
    <n v="284"/>
    <n v="268"/>
    <n v="80"/>
    <n v="1008"/>
    <n v="12829"/>
    <n v="6040"/>
    <n v="2615"/>
    <n v="1698"/>
    <n v="96"/>
    <n v="10"/>
    <n v="52"/>
    <n v="148"/>
    <n v="94"/>
    <n v="39"/>
    <n v="13"/>
    <n v="78"/>
    <m/>
    <n v="217"/>
    <n v="37"/>
    <n v="1"/>
    <n v="1"/>
    <n v="0"/>
    <n v="1173"/>
    <n v="860"/>
    <n v="531"/>
    <n v="488"/>
    <n v="149"/>
    <n v="0"/>
    <n v="1153"/>
    <n v="904"/>
    <n v="469"/>
    <n v="362"/>
    <n v="124"/>
    <n v="37"/>
    <n v="158"/>
    <n v="16"/>
    <n v="8"/>
    <n v="2"/>
    <m/>
  </r>
  <r>
    <x v="4"/>
    <n v="2018"/>
    <x v="4"/>
    <m/>
    <s v="Global"/>
    <s v="AFR"/>
    <s v="Kingdom of Eswatini"/>
    <s v="G3thRWUQAX9"/>
    <x v="4"/>
    <x v="4"/>
    <m/>
    <m/>
    <m/>
    <m/>
    <m/>
    <m/>
    <m/>
    <n v="201"/>
    <n v="1423"/>
    <n v="1374"/>
    <n v="926"/>
    <n v="487"/>
    <n v="2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"/>
    <n v="263"/>
    <n v="226"/>
    <n v="215"/>
    <n v="203"/>
    <n v="72"/>
    <n v="151"/>
    <n v="1160"/>
    <n v="1148"/>
    <n v="711"/>
    <n v="284"/>
    <n v="22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People's Democratic Republic of Algeria"/>
    <s v="mNa42CHbkO7"/>
    <x v="25"/>
    <x v="25"/>
    <m/>
    <n v="5956"/>
    <n v="21368"/>
    <n v="15146"/>
    <n v="10017"/>
    <n v="12552"/>
    <n v="7565"/>
    <n v="5302"/>
    <n v="16980"/>
    <n v="9040"/>
    <n v="20042"/>
    <n v="4745"/>
    <n v="302"/>
    <n v="183"/>
    <n v="3588"/>
    <n v="2671"/>
    <n v="1815"/>
    <n v="633"/>
    <n v="58"/>
    <n v="400"/>
    <n v="5156"/>
    <n v="3659"/>
    <n v="2096"/>
    <n v="3445"/>
    <n v="681"/>
    <n v="386"/>
    <n v="4842"/>
    <n v="4437"/>
    <n v="4274"/>
    <n v="4167"/>
    <n v="701"/>
    <n v="5956"/>
    <n v="4889"/>
    <n v="3971"/>
    <n v="3996"/>
    <n v="8018"/>
    <n v="5944"/>
    <m/>
    <n v="16479"/>
    <n v="11175"/>
    <n v="6021"/>
    <n v="4534"/>
    <n v="1621"/>
    <m/>
    <m/>
    <m/>
    <m/>
    <m/>
    <m/>
    <n v="48"/>
    <n v="768"/>
    <n v="1710"/>
    <n v="6124"/>
    <n v="2309"/>
    <n v="279"/>
    <n v="5254"/>
    <n v="16212"/>
    <n v="7330"/>
    <n v="13918"/>
    <n v="2436"/>
    <n v="23"/>
    <m/>
    <m/>
    <m/>
    <m/>
    <m/>
    <m/>
    <m/>
    <m/>
    <m/>
    <m/>
    <m/>
    <m/>
    <m/>
    <m/>
    <m/>
    <m/>
    <m/>
    <m/>
    <n v="174"/>
    <n v="3537"/>
    <n v="2614"/>
    <n v="1769"/>
    <n v="600"/>
    <n v="45"/>
    <n v="9"/>
    <n v="51"/>
    <n v="57"/>
    <n v="46"/>
    <n v="33"/>
    <n v="13"/>
    <m/>
    <m/>
    <m/>
    <m/>
    <m/>
    <m/>
    <m/>
    <n v="1165"/>
    <n v="832"/>
    <n v="507"/>
    <n v="462"/>
    <n v="148"/>
    <m/>
    <n v="1146"/>
    <n v="882"/>
    <n v="458"/>
    <n v="350"/>
    <n v="124"/>
    <m/>
    <m/>
    <m/>
    <m/>
    <m/>
    <m/>
  </r>
  <r>
    <x v="4"/>
    <n v="2018"/>
    <x v="4"/>
    <m/>
    <s v="Global"/>
    <s v="AFR"/>
    <s v="Republic of Benin"/>
    <s v="DzAOqCf0ots"/>
    <x v="22"/>
    <x v="22"/>
    <m/>
    <n v="17"/>
    <n v="109"/>
    <n v="266"/>
    <n v="160"/>
    <n v="315"/>
    <m/>
    <n v="11"/>
    <n v="626"/>
    <n v="1546"/>
    <n v="640"/>
    <n v="94"/>
    <m/>
    <n v="83"/>
    <n v="81"/>
    <n v="532"/>
    <n v="185"/>
    <n v="232"/>
    <m/>
    <m/>
    <n v="1"/>
    <n v="1"/>
    <n v="3"/>
    <n v="7"/>
    <m/>
    <m/>
    <m/>
    <m/>
    <m/>
    <m/>
    <m/>
    <n v="17"/>
    <n v="79"/>
    <n v="113"/>
    <n v="48"/>
    <n v="90"/>
    <m/>
    <m/>
    <n v="30"/>
    <n v="153"/>
    <n v="112"/>
    <n v="225"/>
    <m/>
    <m/>
    <m/>
    <m/>
    <m/>
    <m/>
    <m/>
    <m/>
    <m/>
    <m/>
    <m/>
    <m/>
    <m/>
    <n v="11"/>
    <n v="626"/>
    <n v="1546"/>
    <n v="640"/>
    <n v="94"/>
    <m/>
    <m/>
    <m/>
    <m/>
    <m/>
    <m/>
    <m/>
    <m/>
    <m/>
    <m/>
    <m/>
    <m/>
    <m/>
    <m/>
    <m/>
    <m/>
    <m/>
    <m/>
    <m/>
    <n v="83"/>
    <n v="81"/>
    <n v="532"/>
    <n v="185"/>
    <n v="232"/>
    <m/>
    <m/>
    <m/>
    <m/>
    <m/>
    <m/>
    <m/>
    <m/>
    <m/>
    <m/>
    <m/>
    <m/>
    <m/>
    <m/>
    <n v="6"/>
    <n v="26"/>
    <n v="20"/>
    <n v="24"/>
    <m/>
    <m/>
    <n v="4"/>
    <n v="21"/>
    <n v="10"/>
    <n v="11"/>
    <m/>
    <m/>
    <m/>
    <m/>
    <m/>
    <m/>
    <m/>
  </r>
  <r>
    <x v="4"/>
    <n v="2018"/>
    <x v="4"/>
    <m/>
    <s v="Global"/>
    <s v="AFR"/>
    <s v="Republic of Botswana"/>
    <s v="c82mDnhUQly"/>
    <x v="5"/>
    <x v="5"/>
    <m/>
    <n v="17"/>
    <n v="450"/>
    <n v="271"/>
    <n v="115"/>
    <n v="57"/>
    <n v="15"/>
    <n v="457"/>
    <n v="3539"/>
    <n v="1986"/>
    <n v="1132"/>
    <n v="523"/>
    <n v="8"/>
    <m/>
    <m/>
    <m/>
    <m/>
    <m/>
    <m/>
    <m/>
    <n v="76"/>
    <n v="17"/>
    <n v="3"/>
    <m/>
    <m/>
    <n v="6"/>
    <n v="46"/>
    <n v="40"/>
    <n v="45"/>
    <n v="19"/>
    <m/>
    <n v="17"/>
    <n v="438"/>
    <n v="232"/>
    <n v="84"/>
    <n v="31"/>
    <n v="5"/>
    <m/>
    <n v="12"/>
    <n v="39"/>
    <n v="31"/>
    <n v="26"/>
    <n v="10"/>
    <m/>
    <m/>
    <m/>
    <m/>
    <m/>
    <m/>
    <m/>
    <m/>
    <m/>
    <m/>
    <m/>
    <m/>
    <n v="457"/>
    <n v="3539"/>
    <n v="1986"/>
    <n v="1132"/>
    <n v="523"/>
    <n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Cabo Verde"/>
    <s v="bGWaeVBrOcc"/>
    <x v="6"/>
    <x v="6"/>
    <m/>
    <m/>
    <m/>
    <m/>
    <m/>
    <m/>
    <m/>
    <n v="2"/>
    <n v="161"/>
    <n v="222"/>
    <n v="180"/>
    <n v="79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161"/>
    <n v="222"/>
    <n v="180"/>
    <n v="79"/>
    <n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Côte d'Ivoire"/>
    <s v="WXGcnQWJ0Qd"/>
    <x v="9"/>
    <x v="9"/>
    <m/>
    <m/>
    <m/>
    <m/>
    <m/>
    <m/>
    <m/>
    <n v="129"/>
    <n v="4368"/>
    <n v="6875"/>
    <n v="2683"/>
    <n v="110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07"/>
    <n v="1417"/>
    <n v="1579"/>
    <n v="418"/>
    <n v="74"/>
    <m/>
    <n v="22"/>
    <n v="2951"/>
    <n v="5296"/>
    <n v="2265"/>
    <n v="103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Ghana"/>
    <s v="WC5rU5fLMzY"/>
    <x v="10"/>
    <x v="10"/>
    <m/>
    <n v="1"/>
    <n v="1340"/>
    <n v="1027"/>
    <n v="374"/>
    <n v="170"/>
    <n v="2"/>
    <n v="183"/>
    <n v="54029"/>
    <n v="11697"/>
    <n v="2522"/>
    <n v="2657"/>
    <m/>
    <n v="5"/>
    <n v="6803"/>
    <n v="2383"/>
    <n v="559"/>
    <n v="739"/>
    <m/>
    <m/>
    <m/>
    <m/>
    <m/>
    <m/>
    <m/>
    <m/>
    <m/>
    <m/>
    <m/>
    <m/>
    <m/>
    <n v="1"/>
    <n v="1278"/>
    <n v="455"/>
    <n v="118"/>
    <n v="39"/>
    <n v="0"/>
    <n v="0"/>
    <n v="62"/>
    <n v="572"/>
    <n v="256"/>
    <n v="131"/>
    <n v="2"/>
    <m/>
    <m/>
    <m/>
    <m/>
    <m/>
    <m/>
    <n v="153"/>
    <n v="30961"/>
    <n v="5922"/>
    <n v="1096"/>
    <n v="1239"/>
    <m/>
    <n v="30"/>
    <n v="23068"/>
    <n v="5775"/>
    <n v="1426"/>
    <n v="1418"/>
    <m/>
    <m/>
    <m/>
    <m/>
    <m/>
    <m/>
    <m/>
    <m/>
    <m/>
    <m/>
    <m/>
    <m/>
    <m/>
    <m/>
    <m/>
    <m/>
    <m/>
    <m/>
    <m/>
    <n v="5"/>
    <n v="6803"/>
    <n v="2383"/>
    <n v="559"/>
    <n v="739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Kenya"/>
    <s v="HfVjCurKxh2"/>
    <x v="12"/>
    <x v="12"/>
    <m/>
    <m/>
    <m/>
    <m/>
    <m/>
    <m/>
    <m/>
    <n v="3319"/>
    <n v="26974"/>
    <n v="19439"/>
    <n v="20873"/>
    <n v="15224"/>
    <n v="85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29"/>
    <n v="2207"/>
    <n v="5682"/>
    <n v="10997"/>
    <n v="10335"/>
    <n v="6237"/>
    <n v="2890"/>
    <n v="24767"/>
    <n v="13757"/>
    <n v="9876"/>
    <n v="4889"/>
    <n v="235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Madagascar"/>
    <s v="bcy4159FETR"/>
    <x v="26"/>
    <x v="26"/>
    <m/>
    <m/>
    <m/>
    <m/>
    <m/>
    <m/>
    <m/>
    <m/>
    <n v="595"/>
    <n v="1671"/>
    <n v="353"/>
    <n v="841"/>
    <m/>
    <n v="746"/>
    <n v="2405"/>
    <n v="504"/>
    <n v="101"/>
    <n v="126"/>
    <n v="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5"/>
    <n v="1671"/>
    <n v="353"/>
    <n v="841"/>
    <m/>
    <m/>
    <m/>
    <m/>
    <m/>
    <m/>
    <m/>
    <m/>
    <m/>
    <m/>
    <m/>
    <m/>
    <m/>
    <m/>
    <m/>
    <m/>
    <m/>
    <m/>
    <m/>
    <n v="746"/>
    <n v="2405"/>
    <n v="504"/>
    <n v="101"/>
    <n v="126"/>
    <n v="51"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Malawi"/>
    <s v="G037PAPU5dO"/>
    <x v="13"/>
    <x v="13"/>
    <m/>
    <m/>
    <m/>
    <m/>
    <m/>
    <m/>
    <m/>
    <n v="437"/>
    <n v="3253"/>
    <n v="1679"/>
    <n v="917"/>
    <n v="356"/>
    <n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98"/>
    <n v="2366"/>
    <n v="1280"/>
    <n v="624"/>
    <n v="258"/>
    <m/>
    <n v="239"/>
    <n v="887"/>
    <n v="399"/>
    <n v="293"/>
    <n v="98"/>
    <n v="6"/>
    <m/>
    <m/>
    <m/>
    <m/>
    <m/>
    <m/>
    <n v="198"/>
    <n v="236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Mozambique"/>
    <s v="Gan3VYicAWe"/>
    <x v="14"/>
    <x v="14"/>
    <m/>
    <m/>
    <m/>
    <m/>
    <m/>
    <m/>
    <m/>
    <n v="1150"/>
    <n v="7130"/>
    <n v="3284"/>
    <n v="1701"/>
    <n v="778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127"/>
    <n v="6789"/>
    <n v="2873"/>
    <n v="1471"/>
    <n v="738"/>
    <n v="131"/>
    <n v="23"/>
    <n v="341"/>
    <n v="411"/>
    <n v="230"/>
    <n v="4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Seychelles"/>
    <s v="wimH12ukPK5"/>
    <x v="16"/>
    <x v="16"/>
    <m/>
    <n v="1"/>
    <n v="65"/>
    <n v="47"/>
    <n v="75"/>
    <n v="34"/>
    <n v="14"/>
    <n v="41"/>
    <n v="255"/>
    <n v="261"/>
    <n v="152"/>
    <n v="155"/>
    <n v="87"/>
    <n v="0"/>
    <n v="3"/>
    <n v="1"/>
    <n v="0"/>
    <n v="1"/>
    <m/>
    <m/>
    <m/>
    <m/>
    <m/>
    <m/>
    <m/>
    <m/>
    <m/>
    <m/>
    <m/>
    <m/>
    <m/>
    <n v="1"/>
    <n v="55"/>
    <n v="16"/>
    <n v="28"/>
    <n v="16"/>
    <n v="6"/>
    <n v="0"/>
    <n v="10"/>
    <n v="31"/>
    <n v="47"/>
    <n v="18"/>
    <n v="8"/>
    <m/>
    <m/>
    <m/>
    <m/>
    <m/>
    <m/>
    <m/>
    <m/>
    <m/>
    <m/>
    <m/>
    <m/>
    <n v="41"/>
    <n v="255"/>
    <n v="261"/>
    <n v="152"/>
    <n v="155"/>
    <n v="87"/>
    <m/>
    <m/>
    <m/>
    <m/>
    <m/>
    <m/>
    <m/>
    <m/>
    <m/>
    <m/>
    <m/>
    <m/>
    <n v="0"/>
    <n v="12"/>
    <n v="25"/>
    <n v="43"/>
    <n v="176"/>
    <n v="65"/>
    <n v="0"/>
    <n v="3"/>
    <n v="1"/>
    <n v="0"/>
    <n v="1"/>
    <n v="0"/>
    <m/>
    <m/>
    <m/>
    <m/>
    <m/>
    <m/>
    <m/>
    <m/>
    <m/>
    <m/>
    <m/>
    <m/>
    <n v="0"/>
    <n v="2"/>
    <n v="2"/>
    <n v="4"/>
    <n v="2"/>
    <n v="1"/>
    <n v="0"/>
    <n v="3"/>
    <n v="1"/>
    <n v="1"/>
    <n v="1"/>
    <m/>
    <m/>
    <m/>
    <m/>
    <m/>
    <m/>
    <m/>
  </r>
  <r>
    <x v="4"/>
    <n v="2018"/>
    <x v="4"/>
    <m/>
    <s v="Global"/>
    <s v="AFR"/>
    <s v="Republic of Sierra Leone"/>
    <s v="qbqrFLCJewu"/>
    <x v="23"/>
    <x v="23"/>
    <m/>
    <m/>
    <m/>
    <m/>
    <m/>
    <m/>
    <m/>
    <n v="160"/>
    <n v="1152"/>
    <n v="1729"/>
    <n v="2186"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509"/>
    <n v="764"/>
    <n v="1018"/>
    <n v="256"/>
    <n v="0"/>
    <n v="43"/>
    <n v="174"/>
    <n v="261"/>
    <n v="230"/>
    <n v="87"/>
    <n v="0"/>
    <n v="117"/>
    <n v="469"/>
    <n v="704"/>
    <n v="938"/>
    <n v="235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South Africa"/>
    <s v="lVPoUAKCdmU"/>
    <x v="27"/>
    <x v="27"/>
    <m/>
    <m/>
    <m/>
    <m/>
    <m/>
    <m/>
    <m/>
    <n v="597"/>
    <n v="57658"/>
    <n v="84855"/>
    <n v="73364"/>
    <n v="54049"/>
    <n v="15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97"/>
    <n v="57658"/>
    <n v="84855"/>
    <n v="73364"/>
    <n v="54049"/>
    <n v="151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Uganda"/>
    <s v="SnYHrnchKjL"/>
    <x v="28"/>
    <x v="28"/>
    <m/>
    <m/>
    <m/>
    <m/>
    <m/>
    <m/>
    <m/>
    <n v="9938"/>
    <n v="895"/>
    <n v="139"/>
    <n v="102"/>
    <n v="100"/>
    <n v="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9938"/>
    <n v="895"/>
    <n v="139"/>
    <n v="102"/>
    <n v="100"/>
    <n v="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Republic of Zambia"/>
    <s v="gb7vWtO7Wjp"/>
    <x v="18"/>
    <x v="18"/>
    <m/>
    <n v="966"/>
    <n v="7036"/>
    <n v="2868"/>
    <n v="1920"/>
    <n v="717"/>
    <n v="103"/>
    <n v="356"/>
    <n v="2679"/>
    <n v="1243"/>
    <n v="1049"/>
    <n v="578"/>
    <n v="97"/>
    <n v="79"/>
    <n v="1"/>
    <n v="314"/>
    <n v="86"/>
    <n v="7"/>
    <n v="1"/>
    <m/>
    <n v="7"/>
    <n v="5"/>
    <n v="3"/>
    <n v="5"/>
    <m/>
    <n v="150"/>
    <m/>
    <n v="579"/>
    <n v="34"/>
    <n v="7"/>
    <n v="1"/>
    <m/>
    <m/>
    <m/>
    <m/>
    <m/>
    <m/>
    <m/>
    <m/>
    <m/>
    <m/>
    <m/>
    <m/>
    <n v="966"/>
    <n v="7036"/>
    <n v="2868"/>
    <n v="1920"/>
    <n v="717"/>
    <n v="103"/>
    <n v="42"/>
    <n v="341"/>
    <n v="174"/>
    <n v="127"/>
    <n v="24"/>
    <n v="2"/>
    <n v="313"/>
    <n v="2325"/>
    <n v="1052"/>
    <n v="916"/>
    <n v="552"/>
    <n v="92"/>
    <n v="1"/>
    <n v="13"/>
    <n v="17"/>
    <n v="6"/>
    <n v="2"/>
    <n v="3"/>
    <n v="75"/>
    <n v="434"/>
    <n v="124"/>
    <n v="114"/>
    <n v="68"/>
    <n v="13"/>
    <n v="117"/>
    <n v="775"/>
    <n v="298"/>
    <n v="241"/>
    <n v="92"/>
    <n v="15"/>
    <m/>
    <m/>
    <n v="6"/>
    <n v="1"/>
    <m/>
    <m/>
    <n v="1"/>
    <n v="1"/>
    <n v="91"/>
    <n v="48"/>
    <n v="6"/>
    <m/>
    <n v="78"/>
    <m/>
    <n v="217"/>
    <n v="37"/>
    <n v="1"/>
    <n v="1"/>
    <m/>
    <m/>
    <m/>
    <m/>
    <m/>
    <m/>
    <m/>
    <m/>
    <m/>
    <m/>
    <m/>
    <m/>
    <n v="37"/>
    <n v="158"/>
    <n v="16"/>
    <n v="8"/>
    <n v="2"/>
    <m/>
  </r>
  <r>
    <x v="4"/>
    <n v="2018"/>
    <x v="4"/>
    <m/>
    <s v="Global"/>
    <s v="AFR"/>
    <s v="Republic of Zimbabwe"/>
    <s v="buSEeeViTo3"/>
    <x v="19"/>
    <x v="19"/>
    <m/>
    <n v="16"/>
    <n v="453"/>
    <n v="1190"/>
    <n v="442"/>
    <n v="368"/>
    <n v="13"/>
    <n v="539"/>
    <n v="6629"/>
    <n v="8869"/>
    <n v="2381"/>
    <n v="1642"/>
    <n v="2"/>
    <m/>
    <m/>
    <m/>
    <m/>
    <m/>
    <m/>
    <m/>
    <m/>
    <m/>
    <m/>
    <m/>
    <m/>
    <m/>
    <m/>
    <m/>
    <m/>
    <m/>
    <m/>
    <n v="16"/>
    <n v="443"/>
    <n v="1096"/>
    <n v="196"/>
    <n v="112"/>
    <m/>
    <m/>
    <n v="10"/>
    <n v="94"/>
    <n v="246"/>
    <n v="256"/>
    <n v="13"/>
    <m/>
    <m/>
    <m/>
    <m/>
    <m/>
    <m/>
    <m/>
    <m/>
    <m/>
    <m/>
    <m/>
    <m/>
    <n v="539"/>
    <n v="6629"/>
    <n v="8869"/>
    <n v="2381"/>
    <n v="1642"/>
    <n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State of Eritrea"/>
    <s v="vnbnnSZXGTv"/>
    <x v="20"/>
    <x v="20"/>
    <m/>
    <m/>
    <m/>
    <m/>
    <m/>
    <m/>
    <m/>
    <n v="732"/>
    <n v="1952"/>
    <n v="760"/>
    <n v="645"/>
    <n v="658"/>
    <n v="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32"/>
    <n v="1952"/>
    <n v="760"/>
    <n v="645"/>
    <n v="658"/>
    <n v="1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018"/>
    <x v="4"/>
    <m/>
    <s v="Global"/>
    <s v="AFR"/>
    <s v="Togolese Republic"/>
    <s v="WtcZBCTspgM"/>
    <x v="21"/>
    <x v="21"/>
    <m/>
    <m/>
    <m/>
    <m/>
    <m/>
    <m/>
    <m/>
    <n v="6"/>
    <n v="435"/>
    <n v="716"/>
    <n v="300"/>
    <n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"/>
    <n v="435"/>
    <n v="716"/>
    <n v="300"/>
    <n v="7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223468-BCA2-468B-B163-A966EE23FF68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24" firstHeaderRow="0" firstDataRow="1" firstDataCol="1" rowPageCount="1" colPageCount="1"/>
  <pivotFields count="125"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30">
        <item x="0"/>
        <item x="1"/>
        <item x="2"/>
        <item x="3"/>
        <item x="4"/>
        <item x="25"/>
        <item x="22"/>
        <item x="5"/>
        <item x="24"/>
        <item x="6"/>
        <item x="7"/>
        <item x="8"/>
        <item x="9"/>
        <item x="10"/>
        <item x="11"/>
        <item x="12"/>
        <item x="26"/>
        <item x="13"/>
        <item x="14"/>
        <item x="15"/>
        <item x="16"/>
        <item x="23"/>
        <item x="27"/>
        <item x="17"/>
        <item x="28"/>
        <item x="18"/>
        <item x="19"/>
        <item x="20"/>
        <item x="21"/>
        <item t="default"/>
      </items>
    </pivotField>
    <pivotField axis="axisRow" showAll="0">
      <items count="30">
        <item x="0"/>
        <item x="24"/>
        <item x="22"/>
        <item x="1"/>
        <item x="5"/>
        <item x="9"/>
        <item x="7"/>
        <item x="17"/>
        <item x="6"/>
        <item x="25"/>
        <item x="20"/>
        <item x="3"/>
        <item x="10"/>
        <item x="11"/>
        <item x="12"/>
        <item x="26"/>
        <item x="14"/>
        <item x="13"/>
        <item x="2"/>
        <item x="15"/>
        <item x="23"/>
        <item x="4"/>
        <item x="16"/>
        <item x="8"/>
        <item x="21"/>
        <item x="28"/>
        <item x="27"/>
        <item x="18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21">
    <i>
      <x/>
    </i>
    <i>
      <x v="2"/>
    </i>
    <i>
      <x v="4"/>
    </i>
    <i>
      <x v="5"/>
    </i>
    <i>
      <x v="8"/>
    </i>
    <i>
      <x v="9"/>
    </i>
    <i>
      <x v="10"/>
    </i>
    <i>
      <x v="12"/>
    </i>
    <i>
      <x v="14"/>
    </i>
    <i>
      <x v="15"/>
    </i>
    <i>
      <x v="16"/>
    </i>
    <i>
      <x v="17"/>
    </i>
    <i>
      <x v="20"/>
    </i>
    <i>
      <x v="21"/>
    </i>
    <i>
      <x v="22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0" item="0" hier="-1"/>
  </pageFields>
  <dataFields count="6">
    <dataField name="Sum of NHWA_Pharmacists Stock By Age Group &lt; 25 yrs" fld="35" baseField="0" baseItem="0"/>
    <dataField name="Sum of NHWA_Pharmacists Stock By Age Group 25-34 yrs" fld="36" baseField="0" baseItem="0"/>
    <dataField name="Sum of NHWA_Pharmacists Stock By Age Group 35-44 yrs" fld="37" baseField="0" baseItem="0"/>
    <dataField name="Sum of NHWA_Pharmacists Stock By Age Group 45-54 yrs" fld="38" baseField="0" baseItem="0"/>
    <dataField name="Sum of NHWA_Pharmacists Stock By Age Group 55-64 yrs" fld="39" baseField="0" baseItem="0"/>
    <dataField name="Sum of NHWA_Pharmacists Stock By Age Group ≥ 65 yrs" fld="4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78F1B6-2EC9-4794-8315-B94DD1347EA5}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4" firstHeaderRow="0" firstDataRow="1" firstDataCol="0" rowPageCount="1" colPageCount="1"/>
  <pivotFields count="125">
    <pivotField showAll="0"/>
    <pivotField showAll="0"/>
    <pivotField axis="axisPage" showAll="0">
      <items count="6">
        <item x="4"/>
        <item x="3"/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2" item="4" hier="-1"/>
  </pageFields>
  <dataFields count="6">
    <dataField name="Sum of NHWA_Medical Doctors Stock By Age Group &lt; 25 yrs" fld="11" baseField="0" baseItem="0"/>
    <dataField name="Sum of NHWA_Medical Doctors Stock By Age Group 25-34 yrs" fld="12" baseField="0" baseItem="0"/>
    <dataField name="Sum of NHWA_Medical Doctors Stock By Age Group 35-44 yrs" fld="13" baseField="0" baseItem="0"/>
    <dataField name="Sum of NHWA_Medical Doctors Stock By Age Group 45-54 yrs" fld="14" baseField="0" baseItem="0"/>
    <dataField name="Sum of NHWA_Medical Doctors Stock By Age Group 55-64 yrs" fld="15" baseField="0" baseItem="0"/>
    <dataField name="Sum of NHWA_Medical Doctors Stock By Age Group ≥ 65 yrs" fld="1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8A319-D884-48A7-B89F-12947101127E}">
  <dimension ref="A1:G24"/>
  <sheetViews>
    <sheetView workbookViewId="0">
      <selection activeCell="A22" sqref="A22:G22"/>
      <pivotSelection pane="bottomRight" showHeader="1" extendable="1" axis="axisRow" start="18" max="21" activeRow="21" previousRow="21" click="1" r:id="rId1">
        <pivotArea dataOnly="0" fieldPosition="0">
          <references count="2">
            <reference field="0" count="1" selected="0">
              <x v="0"/>
            </reference>
            <reference field="9" count="1">
              <x v="27"/>
            </reference>
          </references>
        </pivotArea>
      </pivotSelection>
    </sheetView>
  </sheetViews>
  <sheetFormatPr defaultRowHeight="12.5"/>
  <cols>
    <col min="1" max="1" width="12.54296875" bestFit="1" customWidth="1"/>
    <col min="2" max="7" width="7.08984375" bestFit="1" customWidth="1"/>
    <col min="8" max="19" width="8" bestFit="1" customWidth="1"/>
    <col min="20" max="25" width="8.26953125" bestFit="1" customWidth="1"/>
    <col min="26" max="37" width="8.453125" bestFit="1" customWidth="1"/>
    <col min="38" max="38" width="8.6328125" bestFit="1" customWidth="1"/>
  </cols>
  <sheetData>
    <row r="1" spans="1:7">
      <c r="A1" s="14" t="s">
        <v>1</v>
      </c>
      <c r="B1" s="30">
        <v>2018</v>
      </c>
    </row>
    <row r="3" spans="1:7" ht="112.5">
      <c r="A3" s="15" t="s">
        <v>213</v>
      </c>
      <c r="B3" s="13" t="s">
        <v>215</v>
      </c>
      <c r="C3" s="26" t="s">
        <v>216</v>
      </c>
      <c r="D3" s="26" t="s">
        <v>217</v>
      </c>
      <c r="E3" s="26" t="s">
        <v>218</v>
      </c>
      <c r="F3" s="26" t="s">
        <v>219</v>
      </c>
      <c r="G3" s="19" t="s">
        <v>220</v>
      </c>
    </row>
    <row r="4" spans="1:7">
      <c r="A4" s="16" t="s">
        <v>127</v>
      </c>
      <c r="B4" s="20">
        <v>542</v>
      </c>
      <c r="C4" s="27">
        <v>4888</v>
      </c>
      <c r="D4" s="27">
        <v>5056</v>
      </c>
      <c r="E4" s="27">
        <v>4353</v>
      </c>
      <c r="F4" s="27">
        <v>4193</v>
      </c>
      <c r="G4" s="21">
        <v>702</v>
      </c>
    </row>
    <row r="5" spans="1:7">
      <c r="A5" s="17" t="s">
        <v>194</v>
      </c>
      <c r="B5" s="22"/>
      <c r="C5" s="28"/>
      <c r="D5" s="28"/>
      <c r="E5" s="28"/>
      <c r="F5" s="28"/>
      <c r="G5" s="23"/>
    </row>
    <row r="6" spans="1:7">
      <c r="A6" s="17" t="s">
        <v>143</v>
      </c>
      <c r="B6" s="22">
        <v>6</v>
      </c>
      <c r="C6" s="28">
        <v>46</v>
      </c>
      <c r="D6" s="28">
        <v>40</v>
      </c>
      <c r="E6" s="28">
        <v>45</v>
      </c>
      <c r="F6" s="28">
        <v>19</v>
      </c>
      <c r="G6" s="23"/>
    </row>
    <row r="7" spans="1:7">
      <c r="A7" s="17" t="s">
        <v>155</v>
      </c>
      <c r="B7" s="22"/>
      <c r="C7" s="28"/>
      <c r="D7" s="28"/>
      <c r="E7" s="28"/>
      <c r="F7" s="28"/>
      <c r="G7" s="23"/>
    </row>
    <row r="8" spans="1:7">
      <c r="A8" s="17" t="s">
        <v>146</v>
      </c>
      <c r="B8" s="22"/>
      <c r="C8" s="28"/>
      <c r="D8" s="28"/>
      <c r="E8" s="28"/>
      <c r="F8" s="28"/>
      <c r="G8" s="23"/>
    </row>
    <row r="9" spans="1:7">
      <c r="A9" s="17" t="s">
        <v>203</v>
      </c>
      <c r="B9" s="22">
        <v>386</v>
      </c>
      <c r="C9" s="28">
        <v>4842</v>
      </c>
      <c r="D9" s="28">
        <v>4437</v>
      </c>
      <c r="E9" s="28">
        <v>4274</v>
      </c>
      <c r="F9" s="28">
        <v>4167</v>
      </c>
      <c r="G9" s="23">
        <v>701</v>
      </c>
    </row>
    <row r="10" spans="1:7">
      <c r="A10" s="17" t="s">
        <v>188</v>
      </c>
      <c r="B10" s="22"/>
      <c r="C10" s="28"/>
      <c r="D10" s="28"/>
      <c r="E10" s="28"/>
      <c r="F10" s="28"/>
      <c r="G10" s="23"/>
    </row>
    <row r="11" spans="1:7">
      <c r="A11" s="17" t="s">
        <v>158</v>
      </c>
      <c r="B11" s="22"/>
      <c r="C11" s="28"/>
      <c r="D11" s="28"/>
      <c r="E11" s="28"/>
      <c r="F11" s="28"/>
      <c r="G11" s="23"/>
    </row>
    <row r="12" spans="1:7">
      <c r="A12" s="17" t="s">
        <v>164</v>
      </c>
      <c r="B12" s="22"/>
      <c r="C12" s="28"/>
      <c r="D12" s="28"/>
      <c r="E12" s="28"/>
      <c r="F12" s="28"/>
      <c r="G12" s="23"/>
    </row>
    <row r="13" spans="1:7">
      <c r="A13" s="17" t="s">
        <v>206</v>
      </c>
      <c r="B13" s="22"/>
      <c r="C13" s="28"/>
      <c r="D13" s="28"/>
      <c r="E13" s="28"/>
      <c r="F13" s="28"/>
      <c r="G13" s="23"/>
    </row>
    <row r="14" spans="1:7">
      <c r="A14" s="17" t="s">
        <v>170</v>
      </c>
      <c r="B14" s="22"/>
      <c r="C14" s="28"/>
      <c r="D14" s="28"/>
      <c r="E14" s="28"/>
      <c r="F14" s="28"/>
      <c r="G14" s="23"/>
    </row>
    <row r="15" spans="1:7">
      <c r="A15" s="17" t="s">
        <v>167</v>
      </c>
      <c r="B15" s="22"/>
      <c r="C15" s="28"/>
      <c r="D15" s="28"/>
      <c r="E15" s="28"/>
      <c r="F15" s="28"/>
      <c r="G15" s="23"/>
    </row>
    <row r="16" spans="1:7">
      <c r="A16" s="17" t="s">
        <v>197</v>
      </c>
      <c r="B16" s="22"/>
      <c r="C16" s="28"/>
      <c r="D16" s="28"/>
      <c r="E16" s="28"/>
      <c r="F16" s="28"/>
      <c r="G16" s="23"/>
    </row>
    <row r="17" spans="1:7">
      <c r="A17" s="17" t="s">
        <v>140</v>
      </c>
      <c r="B17" s="22"/>
      <c r="C17" s="28"/>
      <c r="D17" s="28"/>
      <c r="E17" s="28"/>
      <c r="F17" s="28"/>
      <c r="G17" s="23"/>
    </row>
    <row r="18" spans="1:7">
      <c r="A18" s="17" t="s">
        <v>176</v>
      </c>
      <c r="B18" s="22"/>
      <c r="C18" s="28"/>
      <c r="D18" s="28"/>
      <c r="E18" s="28"/>
      <c r="F18" s="28"/>
      <c r="G18" s="23"/>
    </row>
    <row r="19" spans="1:7">
      <c r="A19" s="17" t="s">
        <v>191</v>
      </c>
      <c r="B19" s="22"/>
      <c r="C19" s="28"/>
      <c r="D19" s="28"/>
      <c r="E19" s="28"/>
      <c r="F19" s="28"/>
      <c r="G19" s="23"/>
    </row>
    <row r="20" spans="1:7">
      <c r="A20" s="17" t="s">
        <v>212</v>
      </c>
      <c r="B20" s="22"/>
      <c r="C20" s="28"/>
      <c r="D20" s="28"/>
      <c r="E20" s="28"/>
      <c r="F20" s="28"/>
      <c r="G20" s="23"/>
    </row>
    <row r="21" spans="1:7">
      <c r="A21" s="17" t="s">
        <v>209</v>
      </c>
      <c r="B21" s="22"/>
      <c r="C21" s="28"/>
      <c r="D21" s="28"/>
      <c r="E21" s="28"/>
      <c r="F21" s="28"/>
      <c r="G21" s="23"/>
    </row>
    <row r="22" spans="1:7">
      <c r="A22" s="17" t="s">
        <v>182</v>
      </c>
      <c r="B22" s="22">
        <v>150</v>
      </c>
      <c r="C22" s="28"/>
      <c r="D22" s="28">
        <v>579</v>
      </c>
      <c r="E22" s="28">
        <v>34</v>
      </c>
      <c r="F22" s="28">
        <v>7</v>
      </c>
      <c r="G22" s="23">
        <v>1</v>
      </c>
    </row>
    <row r="23" spans="1:7">
      <c r="A23" s="17" t="s">
        <v>185</v>
      </c>
      <c r="B23" s="22"/>
      <c r="C23" s="28"/>
      <c r="D23" s="28"/>
      <c r="E23" s="28"/>
      <c r="F23" s="28"/>
      <c r="G23" s="23"/>
    </row>
    <row r="24" spans="1:7">
      <c r="A24" s="18" t="s">
        <v>214</v>
      </c>
      <c r="B24" s="24">
        <v>1084</v>
      </c>
      <c r="C24" s="29">
        <v>9776</v>
      </c>
      <c r="D24" s="29">
        <v>10112</v>
      </c>
      <c r="E24" s="29">
        <v>8706</v>
      </c>
      <c r="F24" s="29">
        <v>8386</v>
      </c>
      <c r="G24" s="25">
        <v>1404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1C7E4-0AF6-4AFF-8A52-2E9E63ECE5DF}">
  <dimension ref="A1:F4"/>
  <sheetViews>
    <sheetView workbookViewId="0">
      <selection activeCell="A3" sqref="A3:F5"/>
    </sheetView>
  </sheetViews>
  <sheetFormatPr defaultRowHeight="12.5"/>
  <cols>
    <col min="2" max="2" width="7.08984375" bestFit="1" customWidth="1"/>
    <col min="3" max="6" width="8.6328125" bestFit="1" customWidth="1"/>
  </cols>
  <sheetData>
    <row r="1" spans="1:6" ht="25">
      <c r="A1" s="14" t="s">
        <v>3</v>
      </c>
      <c r="B1" s="30">
        <v>2022</v>
      </c>
    </row>
    <row r="3" spans="1:6" ht="112.5">
      <c r="A3" s="13" t="s">
        <v>221</v>
      </c>
      <c r="B3" s="26" t="s">
        <v>222</v>
      </c>
      <c r="C3" s="26" t="s">
        <v>223</v>
      </c>
      <c r="D3" s="26" t="s">
        <v>224</v>
      </c>
      <c r="E3" s="26" t="s">
        <v>225</v>
      </c>
      <c r="F3" s="19" t="s">
        <v>226</v>
      </c>
    </row>
    <row r="4" spans="1:6">
      <c r="A4" s="24">
        <v>1978</v>
      </c>
      <c r="B4" s="29">
        <v>71678</v>
      </c>
      <c r="C4" s="29">
        <v>70804</v>
      </c>
      <c r="D4" s="29">
        <v>33872</v>
      </c>
      <c r="E4" s="29">
        <v>13146</v>
      </c>
      <c r="F4" s="25">
        <v>3440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4AE19-081E-4D88-841C-54B1B26016C1}">
  <dimension ref="A1:M2"/>
  <sheetViews>
    <sheetView tabSelected="1" topLeftCell="E1" workbookViewId="0">
      <selection activeCell="L10" sqref="L10"/>
    </sheetView>
  </sheetViews>
  <sheetFormatPr defaultRowHeight="12.5"/>
  <cols>
    <col min="8" max="8" width="11.36328125" bestFit="1" customWidth="1"/>
    <col min="11" max="11" width="11.36328125" bestFit="1" customWidth="1"/>
  </cols>
  <sheetData>
    <row r="1" spans="1:13" ht="100">
      <c r="A1" s="13" t="s">
        <v>221</v>
      </c>
      <c r="B1" s="26" t="s">
        <v>222</v>
      </c>
      <c r="C1" s="26" t="s">
        <v>223</v>
      </c>
      <c r="D1" s="26" t="s">
        <v>224</v>
      </c>
      <c r="E1" s="26" t="s">
        <v>225</v>
      </c>
      <c r="F1" s="19" t="s">
        <v>226</v>
      </c>
      <c r="G1" s="35" t="s">
        <v>227</v>
      </c>
      <c r="H1" s="35" t="s">
        <v>228</v>
      </c>
      <c r="I1" s="35" t="s">
        <v>229</v>
      </c>
      <c r="J1" s="35" t="s">
        <v>230</v>
      </c>
      <c r="K1" s="35" t="s">
        <v>231</v>
      </c>
      <c r="L1" s="35" t="s">
        <v>232</v>
      </c>
      <c r="M1" s="35" t="s">
        <v>233</v>
      </c>
    </row>
    <row r="2" spans="1:13">
      <c r="A2" s="24">
        <v>1978</v>
      </c>
      <c r="B2" s="29">
        <v>71678</v>
      </c>
      <c r="C2" s="29">
        <v>70804</v>
      </c>
      <c r="D2" s="29">
        <v>33872</v>
      </c>
      <c r="E2" s="29">
        <v>13146</v>
      </c>
      <c r="F2" s="25">
        <v>3440</v>
      </c>
      <c r="G2">
        <f>SUM(A2:F2)</f>
        <v>194918</v>
      </c>
      <c r="H2" s="36">
        <f>A2/$G2</f>
        <v>1.0147857047578982E-2</v>
      </c>
      <c r="I2" s="36">
        <f t="shared" ref="I2:M2" si="0">B2/$G2</f>
        <v>0.36773412409320844</v>
      </c>
      <c r="J2" s="36">
        <f t="shared" si="0"/>
        <v>0.36325018725823166</v>
      </c>
      <c r="K2" s="36">
        <f>D2/$G2</f>
        <v>0.1737756389866508</v>
      </c>
      <c r="L2" s="36">
        <f t="shared" si="0"/>
        <v>6.744374557506233E-2</v>
      </c>
      <c r="M2" s="36">
        <f t="shared" si="0"/>
        <v>1.7648447039267795E-2</v>
      </c>
    </row>
  </sheetData>
  <phoneticPr fontId="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U76"/>
  <sheetViews>
    <sheetView showGridLines="0" topLeftCell="A2" workbookViewId="0">
      <selection activeCell="A2" sqref="A2:DU76"/>
    </sheetView>
  </sheetViews>
  <sheetFormatPr defaultColWidth="8.36328125" defaultRowHeight="19.899999999999999" customHeight="1"/>
  <cols>
    <col min="1" max="1" width="8" style="1" customWidth="1"/>
    <col min="2" max="2" width="11" style="1" customWidth="1"/>
    <col min="3" max="3" width="10.453125" style="1" customWidth="1"/>
    <col min="4" max="4" width="15.453125" style="1" customWidth="1"/>
    <col min="5" max="6" width="11.6328125" style="1" customWidth="1"/>
    <col min="7" max="7" width="31.453125" style="1" customWidth="1"/>
    <col min="8" max="8" width="15.81640625" style="1" customWidth="1"/>
    <col min="9" max="9" width="31.453125" style="1" customWidth="1"/>
    <col min="10" max="10" width="18.36328125" style="1" customWidth="1"/>
    <col min="11" max="11" width="23.36328125" style="1" customWidth="1"/>
    <col min="12" max="12" width="43.6328125" style="1" customWidth="1"/>
    <col min="13" max="16" width="44.81640625" style="1" customWidth="1"/>
    <col min="17" max="17" width="43.6328125" style="1" customWidth="1"/>
    <col min="18" max="18" width="46.1796875" style="1" customWidth="1"/>
    <col min="19" max="22" width="47.36328125" style="1" customWidth="1"/>
    <col min="23" max="23" width="46.1796875" style="1" customWidth="1"/>
    <col min="24" max="24" width="46.81640625" style="1" customWidth="1"/>
    <col min="25" max="28" width="47.81640625" style="1" customWidth="1"/>
    <col min="29" max="29" width="46.81640625" style="1" customWidth="1"/>
    <col min="30" max="30" width="37.1796875" style="1" customWidth="1"/>
    <col min="31" max="34" width="38.36328125" style="1" customWidth="1"/>
    <col min="35" max="35" width="37.1796875" style="1" customWidth="1"/>
    <col min="36" max="36" width="40.453125" style="1" customWidth="1"/>
    <col min="37" max="40" width="41.6328125" style="1" customWidth="1"/>
    <col min="41" max="41" width="40.453125" style="1" customWidth="1"/>
    <col min="42" max="42" width="83.81640625" style="1" customWidth="1"/>
    <col min="43" max="46" width="84.81640625" style="1" customWidth="1"/>
    <col min="47" max="47" width="83.81640625" style="1" customWidth="1"/>
    <col min="48" max="48" width="55.81640625" style="1" customWidth="1"/>
    <col min="49" max="52" width="56.81640625" style="1" customWidth="1"/>
    <col min="53" max="53" width="55.81640625" style="1" customWidth="1"/>
    <col min="54" max="54" width="58.81640625" style="1" customWidth="1"/>
    <col min="55" max="58" width="59.81640625" style="1" customWidth="1"/>
    <col min="59" max="59" width="58.81640625" style="1" customWidth="1"/>
    <col min="60" max="60" width="56.36328125" style="1" customWidth="1"/>
    <col min="61" max="64" width="57.453125" style="1" customWidth="1"/>
    <col min="65" max="65" width="56.36328125" style="1" customWidth="1"/>
    <col min="66" max="66" width="48" style="1" customWidth="1"/>
    <col min="67" max="70" width="49.1796875" style="1" customWidth="1"/>
    <col min="71" max="71" width="48" style="1" customWidth="1"/>
    <col min="72" max="72" width="51.453125" style="1" customWidth="1"/>
    <col min="73" max="76" width="52.6328125" style="1" customWidth="1"/>
    <col min="77" max="77" width="51.453125" style="1" customWidth="1"/>
    <col min="78" max="78" width="83.1796875" style="1" customWidth="1"/>
    <col min="79" max="82" width="84.36328125" style="1" customWidth="1"/>
    <col min="83" max="83" width="83.1796875" style="1" customWidth="1"/>
    <col min="84" max="84" width="75" style="1" customWidth="1"/>
    <col min="85" max="88" width="76" style="1" customWidth="1"/>
    <col min="89" max="89" width="75" style="1" customWidth="1"/>
    <col min="90" max="90" width="49.6328125" style="1" customWidth="1"/>
    <col min="91" max="94" width="50.6328125" style="1" customWidth="1"/>
    <col min="95" max="95" width="49.6328125" style="1" customWidth="1"/>
    <col min="96" max="96" width="58" style="1" customWidth="1"/>
    <col min="97" max="100" width="59" style="1" customWidth="1"/>
    <col min="101" max="101" width="58" style="1" customWidth="1"/>
    <col min="102" max="102" width="53.36328125" style="1" customWidth="1"/>
    <col min="103" max="106" width="54.453125" style="1" customWidth="1"/>
    <col min="107" max="107" width="53.36328125" style="1" customWidth="1"/>
    <col min="108" max="108" width="68.1796875" style="1" customWidth="1"/>
    <col min="109" max="112" width="69.1796875" style="1" customWidth="1"/>
    <col min="113" max="113" width="68.1796875" style="1" customWidth="1"/>
    <col min="114" max="114" width="59.36328125" style="1" customWidth="1"/>
    <col min="115" max="118" width="60.36328125" style="1" customWidth="1"/>
    <col min="119" max="119" width="59.36328125" style="1" customWidth="1"/>
    <col min="120" max="120" width="52.453125" style="1" customWidth="1"/>
    <col min="121" max="124" width="53.453125" style="1" customWidth="1"/>
    <col min="125" max="125" width="52.453125" style="1" customWidth="1"/>
    <col min="126" max="126" width="8.36328125" style="1" customWidth="1"/>
    <col min="127" max="16384" width="8.36328125" style="1"/>
  </cols>
  <sheetData>
    <row r="1" spans="1:125" ht="27.65" customHeight="1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  <c r="Z1" s="37"/>
      <c r="AA1" s="37"/>
      <c r="AB1" s="37"/>
      <c r="AC1" s="37"/>
      <c r="AD1" s="37"/>
      <c r="AE1" s="37"/>
      <c r="AF1" s="37"/>
      <c r="AG1" s="37"/>
      <c r="AH1" s="37"/>
      <c r="AI1" s="37"/>
      <c r="AJ1" s="37"/>
      <c r="AK1" s="37"/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37"/>
      <c r="BO1" s="37"/>
      <c r="BP1" s="37"/>
      <c r="BQ1" s="37"/>
      <c r="BR1" s="37"/>
      <c r="BS1" s="37"/>
      <c r="BT1" s="37"/>
      <c r="BU1" s="37"/>
      <c r="BV1" s="37"/>
      <c r="BW1" s="37"/>
      <c r="BX1" s="37"/>
      <c r="BY1" s="37"/>
      <c r="BZ1" s="37"/>
      <c r="CA1" s="37"/>
      <c r="CB1" s="37"/>
      <c r="CC1" s="37"/>
      <c r="CD1" s="37"/>
      <c r="CE1" s="37"/>
      <c r="CF1" s="37"/>
      <c r="CG1" s="37"/>
      <c r="CH1" s="37"/>
      <c r="CI1" s="37"/>
      <c r="CJ1" s="37"/>
      <c r="CK1" s="37"/>
      <c r="CL1" s="37"/>
      <c r="CM1" s="37"/>
      <c r="CN1" s="37"/>
      <c r="CO1" s="37"/>
      <c r="CP1" s="37"/>
      <c r="CQ1" s="37"/>
      <c r="CR1" s="37"/>
      <c r="CS1" s="37"/>
      <c r="CT1" s="37"/>
      <c r="CU1" s="37"/>
      <c r="CV1" s="37"/>
      <c r="CW1" s="37"/>
      <c r="CX1" s="37"/>
      <c r="CY1" s="37"/>
      <c r="CZ1" s="37"/>
      <c r="DA1" s="37"/>
      <c r="DB1" s="37"/>
      <c r="DC1" s="37"/>
      <c r="DD1" s="37"/>
      <c r="DE1" s="37"/>
      <c r="DF1" s="37"/>
      <c r="DG1" s="37"/>
      <c r="DH1" s="37"/>
      <c r="DI1" s="37"/>
      <c r="DJ1" s="37"/>
      <c r="DK1" s="37"/>
      <c r="DL1" s="37"/>
      <c r="DM1" s="37"/>
      <c r="DN1" s="37"/>
      <c r="DO1" s="37"/>
      <c r="DP1" s="37"/>
      <c r="DQ1" s="37"/>
      <c r="DR1" s="37"/>
      <c r="DS1" s="37"/>
      <c r="DT1" s="37"/>
      <c r="DU1" s="37"/>
    </row>
    <row r="2" spans="1:125" ht="20.2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  <c r="BB2" s="2" t="s">
        <v>54</v>
      </c>
      <c r="BC2" s="2" t="s">
        <v>55</v>
      </c>
      <c r="BD2" s="2" t="s">
        <v>56</v>
      </c>
      <c r="BE2" s="2" t="s">
        <v>57</v>
      </c>
      <c r="BF2" s="2" t="s">
        <v>58</v>
      </c>
      <c r="BG2" s="2" t="s">
        <v>59</v>
      </c>
      <c r="BH2" s="2" t="s">
        <v>60</v>
      </c>
      <c r="BI2" s="2" t="s">
        <v>61</v>
      </c>
      <c r="BJ2" s="2" t="s">
        <v>62</v>
      </c>
      <c r="BK2" s="2" t="s">
        <v>63</v>
      </c>
      <c r="BL2" s="2" t="s">
        <v>64</v>
      </c>
      <c r="BM2" s="2" t="s">
        <v>65</v>
      </c>
      <c r="BN2" s="2" t="s">
        <v>66</v>
      </c>
      <c r="BO2" s="2" t="s">
        <v>67</v>
      </c>
      <c r="BP2" s="2" t="s">
        <v>68</v>
      </c>
      <c r="BQ2" s="2" t="s">
        <v>69</v>
      </c>
      <c r="BR2" s="2" t="s">
        <v>70</v>
      </c>
      <c r="BS2" s="2" t="s">
        <v>71</v>
      </c>
      <c r="BT2" s="2" t="s">
        <v>72</v>
      </c>
      <c r="BU2" s="2" t="s">
        <v>73</v>
      </c>
      <c r="BV2" s="2" t="s">
        <v>74</v>
      </c>
      <c r="BW2" s="2" t="s">
        <v>75</v>
      </c>
      <c r="BX2" s="2" t="s">
        <v>76</v>
      </c>
      <c r="BY2" s="2" t="s">
        <v>77</v>
      </c>
      <c r="BZ2" s="2" t="s">
        <v>78</v>
      </c>
      <c r="CA2" s="2" t="s">
        <v>79</v>
      </c>
      <c r="CB2" s="2" t="s">
        <v>80</v>
      </c>
      <c r="CC2" s="2" t="s">
        <v>81</v>
      </c>
      <c r="CD2" s="2" t="s">
        <v>82</v>
      </c>
      <c r="CE2" s="2" t="s">
        <v>83</v>
      </c>
      <c r="CF2" s="2" t="s">
        <v>84</v>
      </c>
      <c r="CG2" s="2" t="s">
        <v>85</v>
      </c>
      <c r="CH2" s="2" t="s">
        <v>86</v>
      </c>
      <c r="CI2" s="2" t="s">
        <v>87</v>
      </c>
      <c r="CJ2" s="2" t="s">
        <v>88</v>
      </c>
      <c r="CK2" s="2" t="s">
        <v>89</v>
      </c>
      <c r="CL2" s="2" t="s">
        <v>90</v>
      </c>
      <c r="CM2" s="2" t="s">
        <v>91</v>
      </c>
      <c r="CN2" s="2" t="s">
        <v>92</v>
      </c>
      <c r="CO2" s="2" t="s">
        <v>93</v>
      </c>
      <c r="CP2" s="2" t="s">
        <v>94</v>
      </c>
      <c r="CQ2" s="2" t="s">
        <v>95</v>
      </c>
      <c r="CR2" s="2" t="s">
        <v>96</v>
      </c>
      <c r="CS2" s="2" t="s">
        <v>97</v>
      </c>
      <c r="CT2" s="2" t="s">
        <v>98</v>
      </c>
      <c r="CU2" s="2" t="s">
        <v>99</v>
      </c>
      <c r="CV2" s="2" t="s">
        <v>100</v>
      </c>
      <c r="CW2" s="2" t="s">
        <v>101</v>
      </c>
      <c r="CX2" s="2" t="s">
        <v>102</v>
      </c>
      <c r="CY2" s="2" t="s">
        <v>103</v>
      </c>
      <c r="CZ2" s="2" t="s">
        <v>104</v>
      </c>
      <c r="DA2" s="2" t="s">
        <v>105</v>
      </c>
      <c r="DB2" s="2" t="s">
        <v>106</v>
      </c>
      <c r="DC2" s="2" t="s">
        <v>107</v>
      </c>
      <c r="DD2" s="2" t="s">
        <v>108</v>
      </c>
      <c r="DE2" s="2" t="s">
        <v>109</v>
      </c>
      <c r="DF2" s="2" t="s">
        <v>110</v>
      </c>
      <c r="DG2" s="2" t="s">
        <v>111</v>
      </c>
      <c r="DH2" s="2" t="s">
        <v>112</v>
      </c>
      <c r="DI2" s="2" t="s">
        <v>113</v>
      </c>
      <c r="DJ2" s="2" t="s">
        <v>114</v>
      </c>
      <c r="DK2" s="2" t="s">
        <v>115</v>
      </c>
      <c r="DL2" s="2" t="s">
        <v>116</v>
      </c>
      <c r="DM2" s="2" t="s">
        <v>117</v>
      </c>
      <c r="DN2" s="2" t="s">
        <v>118</v>
      </c>
      <c r="DO2" s="2" t="s">
        <v>119</v>
      </c>
      <c r="DP2" s="2" t="s">
        <v>120</v>
      </c>
      <c r="DQ2" s="2" t="s">
        <v>121</v>
      </c>
      <c r="DR2" s="2" t="s">
        <v>122</v>
      </c>
      <c r="DS2" s="2" t="s">
        <v>123</v>
      </c>
      <c r="DT2" s="2" t="s">
        <v>124</v>
      </c>
      <c r="DU2" s="2" t="s">
        <v>125</v>
      </c>
    </row>
    <row r="3" spans="1:125" ht="20.25" customHeight="1">
      <c r="A3" s="3">
        <v>2022</v>
      </c>
      <c r="B3" s="4">
        <v>2022</v>
      </c>
      <c r="C3" s="5">
        <v>2022</v>
      </c>
      <c r="D3" s="6"/>
      <c r="E3" s="7" t="s">
        <v>126</v>
      </c>
      <c r="F3" s="7" t="s">
        <v>127</v>
      </c>
      <c r="G3" s="6"/>
      <c r="H3" s="7" t="s">
        <v>128</v>
      </c>
      <c r="I3" s="7" t="s">
        <v>127</v>
      </c>
      <c r="J3" s="7" t="s">
        <v>127</v>
      </c>
      <c r="K3" s="6"/>
      <c r="L3" s="5">
        <v>989</v>
      </c>
      <c r="M3" s="5">
        <v>35839</v>
      </c>
      <c r="N3" s="5">
        <v>35402</v>
      </c>
      <c r="O3" s="5">
        <v>16936</v>
      </c>
      <c r="P3" s="5">
        <v>6573</v>
      </c>
      <c r="Q3" s="5">
        <v>1720</v>
      </c>
      <c r="R3" s="5">
        <v>16244</v>
      </c>
      <c r="S3" s="5">
        <v>245197</v>
      </c>
      <c r="T3" s="5">
        <v>186392</v>
      </c>
      <c r="U3" s="5">
        <v>85142</v>
      </c>
      <c r="V3" s="5">
        <v>42383</v>
      </c>
      <c r="W3" s="5">
        <v>2825</v>
      </c>
      <c r="X3" s="5">
        <v>1154</v>
      </c>
      <c r="Y3" s="5">
        <v>24869</v>
      </c>
      <c r="Z3" s="5">
        <v>24566</v>
      </c>
      <c r="AA3" s="5">
        <v>7546</v>
      </c>
      <c r="AB3" s="5">
        <v>2267</v>
      </c>
      <c r="AC3" s="5">
        <v>317</v>
      </c>
      <c r="AD3" s="5">
        <v>543</v>
      </c>
      <c r="AE3" s="5">
        <v>3220</v>
      </c>
      <c r="AF3" s="5">
        <v>2068</v>
      </c>
      <c r="AG3" s="5">
        <v>806</v>
      </c>
      <c r="AH3" s="5">
        <v>481</v>
      </c>
      <c r="AI3" s="5">
        <v>94</v>
      </c>
      <c r="AJ3" s="5">
        <v>758</v>
      </c>
      <c r="AK3" s="5">
        <v>3188</v>
      </c>
      <c r="AL3" s="5">
        <v>2581</v>
      </c>
      <c r="AM3" s="5">
        <v>1218</v>
      </c>
      <c r="AN3" s="5">
        <v>308</v>
      </c>
      <c r="AO3" s="5">
        <v>27</v>
      </c>
      <c r="AP3" s="5">
        <v>930</v>
      </c>
      <c r="AQ3" s="5">
        <v>34664</v>
      </c>
      <c r="AR3" s="5">
        <v>30033</v>
      </c>
      <c r="AS3" s="5">
        <v>13433</v>
      </c>
      <c r="AT3" s="5">
        <v>5100</v>
      </c>
      <c r="AU3" s="5">
        <v>1453</v>
      </c>
      <c r="AV3" s="5">
        <v>48</v>
      </c>
      <c r="AW3" s="5">
        <v>699</v>
      </c>
      <c r="AX3" s="5">
        <v>4671</v>
      </c>
      <c r="AY3" s="5">
        <v>2869</v>
      </c>
      <c r="AZ3" s="5">
        <v>1053</v>
      </c>
      <c r="BA3" s="5">
        <v>142</v>
      </c>
      <c r="BB3" s="5">
        <v>11</v>
      </c>
      <c r="BC3" s="5">
        <v>476</v>
      </c>
      <c r="BD3" s="5">
        <v>698</v>
      </c>
      <c r="BE3" s="5">
        <v>634</v>
      </c>
      <c r="BF3" s="5">
        <v>420</v>
      </c>
      <c r="BG3" s="5">
        <v>125</v>
      </c>
      <c r="BH3" s="5">
        <v>1166</v>
      </c>
      <c r="BI3" s="5">
        <v>46317</v>
      </c>
      <c r="BJ3" s="5">
        <v>24104</v>
      </c>
      <c r="BK3" s="5">
        <v>4939</v>
      </c>
      <c r="BL3" s="5">
        <v>1384</v>
      </c>
      <c r="BM3" s="5">
        <v>22</v>
      </c>
      <c r="BN3" s="5">
        <v>15034</v>
      </c>
      <c r="BO3" s="5">
        <v>198142</v>
      </c>
      <c r="BP3" s="5">
        <v>161688</v>
      </c>
      <c r="BQ3" s="5">
        <v>79829</v>
      </c>
      <c r="BR3" s="5">
        <v>40859</v>
      </c>
      <c r="BS3" s="5">
        <v>2795</v>
      </c>
      <c r="BT3" s="5">
        <v>44</v>
      </c>
      <c r="BU3" s="5">
        <v>738</v>
      </c>
      <c r="BV3" s="5">
        <v>600</v>
      </c>
      <c r="BW3" s="5">
        <v>374</v>
      </c>
      <c r="BX3" s="5">
        <v>140</v>
      </c>
      <c r="BY3" s="5">
        <v>8</v>
      </c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5">
        <v>1134</v>
      </c>
      <c r="CM3" s="5">
        <v>24075</v>
      </c>
      <c r="CN3" s="5">
        <v>23918</v>
      </c>
      <c r="CO3" s="5">
        <v>7293</v>
      </c>
      <c r="CP3" s="5">
        <v>2223</v>
      </c>
      <c r="CQ3" s="5">
        <v>315</v>
      </c>
      <c r="CR3" s="5">
        <v>20</v>
      </c>
      <c r="CS3" s="5">
        <v>357</v>
      </c>
      <c r="CT3" s="5">
        <v>482</v>
      </c>
      <c r="CU3" s="5">
        <v>230</v>
      </c>
      <c r="CV3" s="5">
        <v>25</v>
      </c>
      <c r="CW3" s="5">
        <v>2</v>
      </c>
      <c r="CX3" s="5">
        <v>0</v>
      </c>
      <c r="CY3" s="5">
        <v>437</v>
      </c>
      <c r="CZ3" s="5">
        <v>166</v>
      </c>
      <c r="DA3" s="5">
        <v>23</v>
      </c>
      <c r="DB3" s="5">
        <v>19</v>
      </c>
      <c r="DC3" s="5">
        <v>0</v>
      </c>
      <c r="DD3" s="5">
        <v>0</v>
      </c>
      <c r="DE3" s="5">
        <v>93</v>
      </c>
      <c r="DF3" s="5">
        <v>504</v>
      </c>
      <c r="DG3" s="5">
        <v>369</v>
      </c>
      <c r="DH3" s="5">
        <v>137</v>
      </c>
      <c r="DI3" s="5">
        <v>16</v>
      </c>
      <c r="DJ3" s="5">
        <v>0</v>
      </c>
      <c r="DK3" s="5">
        <v>79</v>
      </c>
      <c r="DL3" s="5">
        <v>388</v>
      </c>
      <c r="DM3" s="5">
        <v>273</v>
      </c>
      <c r="DN3" s="5">
        <v>102</v>
      </c>
      <c r="DO3" s="5">
        <v>10</v>
      </c>
      <c r="DP3" s="5">
        <v>10828</v>
      </c>
      <c r="DQ3" s="5">
        <v>8190</v>
      </c>
      <c r="DR3" s="5">
        <v>18484</v>
      </c>
      <c r="DS3" s="5">
        <v>14404</v>
      </c>
      <c r="DT3" s="5">
        <v>711</v>
      </c>
      <c r="DU3" s="5">
        <v>85</v>
      </c>
    </row>
    <row r="4" spans="1:125" ht="20" customHeight="1">
      <c r="A4" s="8">
        <v>2022</v>
      </c>
      <c r="B4" s="9">
        <v>2022</v>
      </c>
      <c r="C4" s="10">
        <v>2022</v>
      </c>
      <c r="D4" s="11"/>
      <c r="E4" s="12" t="s">
        <v>126</v>
      </c>
      <c r="F4" s="12" t="s">
        <v>127</v>
      </c>
      <c r="G4" s="12" t="s">
        <v>129</v>
      </c>
      <c r="H4" s="12" t="s">
        <v>130</v>
      </c>
      <c r="I4" s="12" t="s">
        <v>129</v>
      </c>
      <c r="J4" s="12" t="s">
        <v>131</v>
      </c>
      <c r="K4" s="11"/>
      <c r="L4" s="10">
        <v>0</v>
      </c>
      <c r="M4" s="10">
        <v>1138</v>
      </c>
      <c r="N4" s="10">
        <v>1088</v>
      </c>
      <c r="O4" s="10">
        <v>112</v>
      </c>
      <c r="P4" s="10">
        <v>33</v>
      </c>
      <c r="Q4" s="10">
        <v>1</v>
      </c>
      <c r="R4" s="11"/>
      <c r="S4" s="11"/>
      <c r="T4" s="11"/>
      <c r="U4" s="11"/>
      <c r="V4" s="11"/>
      <c r="W4" s="11"/>
      <c r="X4" s="10">
        <v>3</v>
      </c>
      <c r="Y4" s="10">
        <v>1574</v>
      </c>
      <c r="Z4" s="10">
        <v>2916</v>
      </c>
      <c r="AA4" s="10">
        <v>1064</v>
      </c>
      <c r="AB4" s="10">
        <v>129</v>
      </c>
      <c r="AC4" s="10">
        <v>0</v>
      </c>
      <c r="AD4" s="10">
        <v>0</v>
      </c>
      <c r="AE4" s="10">
        <v>22</v>
      </c>
      <c r="AF4" s="10">
        <v>4</v>
      </c>
      <c r="AG4" s="10">
        <v>8</v>
      </c>
      <c r="AH4" s="10">
        <v>4</v>
      </c>
      <c r="AI4" s="10">
        <v>1</v>
      </c>
      <c r="AJ4" s="10">
        <v>0</v>
      </c>
      <c r="AK4" s="10">
        <v>127</v>
      </c>
      <c r="AL4" s="10">
        <v>329</v>
      </c>
      <c r="AM4" s="10">
        <v>108</v>
      </c>
      <c r="AN4" s="10">
        <v>11</v>
      </c>
      <c r="AO4" s="10">
        <v>0</v>
      </c>
      <c r="AP4" s="10">
        <v>0</v>
      </c>
      <c r="AQ4" s="10">
        <v>1138</v>
      </c>
      <c r="AR4" s="10">
        <v>1088</v>
      </c>
      <c r="AS4" s="10">
        <v>112</v>
      </c>
      <c r="AT4" s="10">
        <v>33</v>
      </c>
      <c r="AU4" s="10">
        <v>1</v>
      </c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0">
        <v>3</v>
      </c>
      <c r="CM4" s="10">
        <v>1574</v>
      </c>
      <c r="CN4" s="10">
        <v>2916</v>
      </c>
      <c r="CO4" s="10">
        <v>1064</v>
      </c>
      <c r="CP4" s="10">
        <v>129</v>
      </c>
      <c r="CQ4" s="10">
        <v>0</v>
      </c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0">
        <v>32</v>
      </c>
      <c r="DQ4" s="10">
        <v>490</v>
      </c>
      <c r="DR4" s="10">
        <v>1545</v>
      </c>
      <c r="DS4" s="10">
        <v>1002</v>
      </c>
      <c r="DT4" s="10">
        <v>76</v>
      </c>
      <c r="DU4" s="10">
        <v>0</v>
      </c>
    </row>
    <row r="5" spans="1:125" ht="20" customHeight="1">
      <c r="A5" s="8">
        <v>2022</v>
      </c>
      <c r="B5" s="9">
        <v>2022</v>
      </c>
      <c r="C5" s="10">
        <v>2022</v>
      </c>
      <c r="D5" s="11"/>
      <c r="E5" s="12" t="s">
        <v>126</v>
      </c>
      <c r="F5" s="12" t="s">
        <v>127</v>
      </c>
      <c r="G5" s="12" t="s">
        <v>132</v>
      </c>
      <c r="H5" s="12" t="s">
        <v>133</v>
      </c>
      <c r="I5" s="12" t="s">
        <v>132</v>
      </c>
      <c r="J5" s="12" t="s">
        <v>134</v>
      </c>
      <c r="K5" s="11"/>
      <c r="L5" s="10">
        <v>860</v>
      </c>
      <c r="M5" s="10">
        <v>21366</v>
      </c>
      <c r="N5" s="10">
        <v>19365</v>
      </c>
      <c r="O5" s="10">
        <v>8834</v>
      </c>
      <c r="P5" s="10">
        <v>3461</v>
      </c>
      <c r="Q5" s="10">
        <v>1088</v>
      </c>
      <c r="R5" s="10">
        <v>9026</v>
      </c>
      <c r="S5" s="10">
        <v>106455</v>
      </c>
      <c r="T5" s="10">
        <v>89987</v>
      </c>
      <c r="U5" s="10">
        <v>52923</v>
      </c>
      <c r="V5" s="10">
        <v>31760</v>
      </c>
      <c r="W5" s="10">
        <v>2353</v>
      </c>
      <c r="X5" s="11"/>
      <c r="Y5" s="11"/>
      <c r="Z5" s="11"/>
      <c r="AA5" s="11"/>
      <c r="AB5" s="11"/>
      <c r="AC5" s="11"/>
      <c r="AD5" s="10">
        <v>62</v>
      </c>
      <c r="AE5" s="10">
        <v>1146</v>
      </c>
      <c r="AF5" s="10">
        <v>1086</v>
      </c>
      <c r="AG5" s="11"/>
      <c r="AH5" s="10">
        <v>217</v>
      </c>
      <c r="AI5" s="10">
        <v>62</v>
      </c>
      <c r="AJ5" s="11"/>
      <c r="AK5" s="11"/>
      <c r="AL5" s="11"/>
      <c r="AM5" s="11"/>
      <c r="AN5" s="11"/>
      <c r="AO5" s="11"/>
      <c r="AP5" s="10">
        <v>860</v>
      </c>
      <c r="AQ5" s="10">
        <v>21366</v>
      </c>
      <c r="AR5" s="10">
        <v>19365</v>
      </c>
      <c r="AS5" s="10">
        <v>8834</v>
      </c>
      <c r="AT5" s="10">
        <v>3461</v>
      </c>
      <c r="AU5" s="10">
        <v>1088</v>
      </c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0">
        <v>9026</v>
      </c>
      <c r="BO5" s="10">
        <v>106455</v>
      </c>
      <c r="BP5" s="10">
        <v>89987</v>
      </c>
      <c r="BQ5" s="10">
        <v>52923</v>
      </c>
      <c r="BR5" s="10">
        <v>31760</v>
      </c>
      <c r="BS5" s="10">
        <v>2353</v>
      </c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0">
        <v>10250</v>
      </c>
      <c r="DQ5" s="10">
        <v>2345</v>
      </c>
      <c r="DR5" s="10">
        <v>500</v>
      </c>
      <c r="DS5" s="10">
        <v>400</v>
      </c>
      <c r="DT5" s="10">
        <v>82</v>
      </c>
      <c r="DU5" s="11"/>
    </row>
    <row r="6" spans="1:125" ht="20" customHeight="1">
      <c r="A6" s="8">
        <v>2022</v>
      </c>
      <c r="B6" s="9">
        <v>2022</v>
      </c>
      <c r="C6" s="10">
        <v>2022</v>
      </c>
      <c r="D6" s="11"/>
      <c r="E6" s="12" t="s">
        <v>126</v>
      </c>
      <c r="F6" s="12" t="s">
        <v>127</v>
      </c>
      <c r="G6" s="12" t="s">
        <v>135</v>
      </c>
      <c r="H6" s="12" t="s">
        <v>136</v>
      </c>
      <c r="I6" s="12" t="s">
        <v>135</v>
      </c>
      <c r="J6" s="12" t="s">
        <v>137</v>
      </c>
      <c r="K6" s="11"/>
      <c r="L6" s="10">
        <v>0</v>
      </c>
      <c r="M6" s="10">
        <v>248</v>
      </c>
      <c r="N6" s="10">
        <v>258</v>
      </c>
      <c r="O6" s="10">
        <v>379</v>
      </c>
      <c r="P6" s="10">
        <v>224</v>
      </c>
      <c r="Q6" s="10">
        <v>28</v>
      </c>
      <c r="R6" s="10">
        <v>0</v>
      </c>
      <c r="S6" s="10">
        <v>615</v>
      </c>
      <c r="T6" s="10">
        <v>1660</v>
      </c>
      <c r="U6" s="10">
        <v>1532</v>
      </c>
      <c r="V6" s="10">
        <v>470</v>
      </c>
      <c r="W6" s="10">
        <v>0</v>
      </c>
      <c r="X6" s="10">
        <v>0</v>
      </c>
      <c r="Y6" s="10">
        <v>145</v>
      </c>
      <c r="Z6" s="10">
        <v>401</v>
      </c>
      <c r="AA6" s="10">
        <v>313</v>
      </c>
      <c r="AB6" s="10">
        <v>61</v>
      </c>
      <c r="AC6" s="10">
        <v>0</v>
      </c>
      <c r="AD6" s="10">
        <v>0</v>
      </c>
      <c r="AE6" s="10">
        <v>2</v>
      </c>
      <c r="AF6" s="10">
        <v>4</v>
      </c>
      <c r="AG6" s="10">
        <v>17</v>
      </c>
      <c r="AH6" s="10">
        <v>19</v>
      </c>
      <c r="AI6" s="10">
        <v>2</v>
      </c>
      <c r="AJ6" s="10">
        <v>0</v>
      </c>
      <c r="AK6" s="10">
        <v>17</v>
      </c>
      <c r="AL6" s="10">
        <v>38</v>
      </c>
      <c r="AM6" s="10">
        <v>61</v>
      </c>
      <c r="AN6" s="10">
        <v>45</v>
      </c>
      <c r="AO6" s="10">
        <v>7</v>
      </c>
      <c r="AP6" s="10">
        <v>0</v>
      </c>
      <c r="AQ6" s="10">
        <v>242</v>
      </c>
      <c r="AR6" s="10">
        <v>170</v>
      </c>
      <c r="AS6" s="10">
        <v>141</v>
      </c>
      <c r="AT6" s="10">
        <v>42</v>
      </c>
      <c r="AU6" s="10">
        <v>16</v>
      </c>
      <c r="AV6" s="10">
        <v>0</v>
      </c>
      <c r="AW6" s="10">
        <v>6</v>
      </c>
      <c r="AX6" s="10">
        <v>88</v>
      </c>
      <c r="AY6" s="10">
        <v>238</v>
      </c>
      <c r="AZ6" s="10">
        <v>182</v>
      </c>
      <c r="BA6" s="10">
        <v>12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414</v>
      </c>
      <c r="BJ6" s="10">
        <v>1214</v>
      </c>
      <c r="BK6" s="10">
        <v>1170</v>
      </c>
      <c r="BL6" s="10">
        <v>403</v>
      </c>
      <c r="BM6" s="10">
        <v>0</v>
      </c>
      <c r="BN6" s="10">
        <v>0</v>
      </c>
      <c r="BO6" s="10">
        <v>182</v>
      </c>
      <c r="BP6" s="10">
        <v>407</v>
      </c>
      <c r="BQ6" s="10">
        <v>348</v>
      </c>
      <c r="BR6" s="10">
        <v>55</v>
      </c>
      <c r="BS6" s="10">
        <v>0</v>
      </c>
      <c r="BT6" s="10">
        <v>0</v>
      </c>
      <c r="BU6" s="10">
        <v>19</v>
      </c>
      <c r="BV6" s="10">
        <v>39</v>
      </c>
      <c r="BW6" s="10">
        <v>14</v>
      </c>
      <c r="BX6" s="10">
        <v>12</v>
      </c>
      <c r="BY6" s="10">
        <v>0</v>
      </c>
      <c r="BZ6" s="11"/>
      <c r="CA6" s="11"/>
      <c r="CB6" s="11"/>
      <c r="CC6" s="11"/>
      <c r="CD6" s="11"/>
      <c r="CE6" s="11"/>
      <c r="CF6" s="11"/>
      <c r="CG6" s="11"/>
      <c r="CH6" s="11"/>
      <c r="CI6" s="11"/>
      <c r="CJ6" s="11"/>
      <c r="CK6" s="11"/>
      <c r="CL6" s="10">
        <v>0</v>
      </c>
      <c r="CM6" s="10">
        <v>142</v>
      </c>
      <c r="CN6" s="10">
        <v>391</v>
      </c>
      <c r="CO6" s="10">
        <v>276</v>
      </c>
      <c r="CP6" s="10">
        <v>58</v>
      </c>
      <c r="CQ6" s="10">
        <v>0</v>
      </c>
      <c r="CR6" s="10">
        <v>0</v>
      </c>
      <c r="CS6" s="10">
        <v>2</v>
      </c>
      <c r="CT6" s="10">
        <v>9</v>
      </c>
      <c r="CU6" s="10">
        <v>32</v>
      </c>
      <c r="CV6" s="10">
        <v>0</v>
      </c>
      <c r="CW6" s="10">
        <v>0</v>
      </c>
      <c r="CX6" s="10">
        <v>0</v>
      </c>
      <c r="CY6" s="10">
        <v>1</v>
      </c>
      <c r="CZ6" s="10">
        <v>1</v>
      </c>
      <c r="DA6" s="10">
        <v>5</v>
      </c>
      <c r="DB6" s="10">
        <v>3</v>
      </c>
      <c r="DC6" s="10">
        <v>0</v>
      </c>
      <c r="DD6" s="10">
        <v>0</v>
      </c>
      <c r="DE6" s="10">
        <v>1</v>
      </c>
      <c r="DF6" s="10">
        <v>27</v>
      </c>
      <c r="DG6" s="10">
        <v>56</v>
      </c>
      <c r="DH6" s="10">
        <v>45</v>
      </c>
      <c r="DI6" s="10">
        <v>4</v>
      </c>
      <c r="DJ6" s="10">
        <v>0</v>
      </c>
      <c r="DK6" s="10">
        <v>0</v>
      </c>
      <c r="DL6" s="10">
        <v>47</v>
      </c>
      <c r="DM6" s="10">
        <v>77</v>
      </c>
      <c r="DN6" s="10">
        <v>29</v>
      </c>
      <c r="DO6" s="10">
        <v>1</v>
      </c>
      <c r="DP6" s="11"/>
      <c r="DQ6" s="11"/>
      <c r="DR6" s="11"/>
      <c r="DS6" s="11"/>
      <c r="DT6" s="11"/>
      <c r="DU6" s="11"/>
    </row>
    <row r="7" spans="1:125" ht="20" customHeight="1">
      <c r="A7" s="8">
        <v>2022</v>
      </c>
      <c r="B7" s="9">
        <v>2022</v>
      </c>
      <c r="C7" s="10">
        <v>2022</v>
      </c>
      <c r="D7" s="11"/>
      <c r="E7" s="12" t="s">
        <v>126</v>
      </c>
      <c r="F7" s="12" t="s">
        <v>127</v>
      </c>
      <c r="G7" s="12" t="s">
        <v>138</v>
      </c>
      <c r="H7" s="12" t="s">
        <v>139</v>
      </c>
      <c r="I7" s="12" t="s">
        <v>138</v>
      </c>
      <c r="J7" s="12" t="s">
        <v>140</v>
      </c>
      <c r="K7" s="11"/>
      <c r="L7" s="11"/>
      <c r="M7" s="10">
        <v>116</v>
      </c>
      <c r="N7" s="10">
        <v>691</v>
      </c>
      <c r="O7" s="11"/>
      <c r="P7" s="11"/>
      <c r="Q7" s="11"/>
      <c r="R7" s="10">
        <v>156</v>
      </c>
      <c r="S7" s="10">
        <v>2150</v>
      </c>
      <c r="T7" s="10">
        <v>1684</v>
      </c>
      <c r="U7" s="10">
        <v>1016</v>
      </c>
      <c r="V7" s="10">
        <v>478</v>
      </c>
      <c r="W7" s="10">
        <v>34</v>
      </c>
      <c r="X7" s="10">
        <v>44</v>
      </c>
      <c r="Y7" s="10">
        <v>917</v>
      </c>
      <c r="Z7" s="10">
        <v>730</v>
      </c>
      <c r="AA7" s="10">
        <v>514</v>
      </c>
      <c r="AB7" s="10">
        <v>240</v>
      </c>
      <c r="AC7" s="10">
        <v>20</v>
      </c>
      <c r="AD7" s="11"/>
      <c r="AE7" s="10">
        <v>7</v>
      </c>
      <c r="AF7" s="11"/>
      <c r="AG7" s="10">
        <v>1</v>
      </c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0">
        <v>116</v>
      </c>
      <c r="AX7" s="10">
        <v>691</v>
      </c>
      <c r="AY7" s="11"/>
      <c r="AZ7" s="11"/>
      <c r="BA7" s="11"/>
      <c r="BB7" s="11"/>
      <c r="BC7" s="11"/>
      <c r="BD7" s="11"/>
      <c r="BE7" s="11"/>
      <c r="BF7" s="11"/>
      <c r="BG7" s="11"/>
      <c r="BH7" s="10">
        <v>33</v>
      </c>
      <c r="BI7" s="10">
        <v>244</v>
      </c>
      <c r="BJ7" s="10">
        <v>200</v>
      </c>
      <c r="BK7" s="10">
        <v>112</v>
      </c>
      <c r="BL7" s="10">
        <v>78</v>
      </c>
      <c r="BM7" s="10">
        <v>2</v>
      </c>
      <c r="BN7" s="10">
        <v>87</v>
      </c>
      <c r="BO7" s="10">
        <v>1270</v>
      </c>
      <c r="BP7" s="10">
        <v>1112</v>
      </c>
      <c r="BQ7" s="10">
        <v>725</v>
      </c>
      <c r="BR7" s="10">
        <v>334</v>
      </c>
      <c r="BS7" s="10">
        <v>27</v>
      </c>
      <c r="BT7" s="10">
        <v>36</v>
      </c>
      <c r="BU7" s="10">
        <v>636</v>
      </c>
      <c r="BV7" s="10">
        <v>372</v>
      </c>
      <c r="BW7" s="10">
        <v>179</v>
      </c>
      <c r="BX7" s="10">
        <v>66</v>
      </c>
      <c r="BY7" s="10">
        <v>5</v>
      </c>
      <c r="BZ7" s="11"/>
      <c r="CA7" s="11"/>
      <c r="CB7" s="11"/>
      <c r="CC7" s="11"/>
      <c r="CD7" s="11"/>
      <c r="CE7" s="11"/>
      <c r="CF7" s="11"/>
      <c r="CG7" s="11"/>
      <c r="CH7" s="11"/>
      <c r="CI7" s="11"/>
      <c r="CJ7" s="11"/>
      <c r="CK7" s="11"/>
      <c r="CL7" s="10">
        <v>44</v>
      </c>
      <c r="CM7" s="10">
        <v>917</v>
      </c>
      <c r="CN7" s="10">
        <v>730</v>
      </c>
      <c r="CO7" s="10">
        <v>514</v>
      </c>
      <c r="CP7" s="10">
        <v>240</v>
      </c>
      <c r="CQ7" s="10">
        <v>20</v>
      </c>
      <c r="CR7" s="11"/>
      <c r="CS7" s="11"/>
      <c r="CT7" s="11"/>
      <c r="CU7" s="11"/>
      <c r="CV7" s="11"/>
      <c r="CW7" s="11"/>
      <c r="CX7" s="11"/>
      <c r="CY7" s="11"/>
      <c r="CZ7" s="11"/>
      <c r="DA7" s="11"/>
      <c r="DB7" s="11"/>
      <c r="DC7" s="11"/>
      <c r="DD7" s="11"/>
      <c r="DE7" s="11"/>
      <c r="DF7" s="11"/>
      <c r="DG7" s="11"/>
      <c r="DH7" s="11"/>
      <c r="DI7" s="11"/>
      <c r="DJ7" s="11"/>
      <c r="DK7" s="11"/>
      <c r="DL7" s="11"/>
      <c r="DM7" s="11"/>
      <c r="DN7" s="11"/>
      <c r="DO7" s="11"/>
      <c r="DP7" s="11"/>
      <c r="DQ7" s="11"/>
      <c r="DR7" s="11"/>
      <c r="DS7" s="11"/>
      <c r="DT7" s="11"/>
      <c r="DU7" s="11"/>
    </row>
    <row r="8" spans="1:125" ht="20" customHeight="1">
      <c r="A8" s="8">
        <v>2022</v>
      </c>
      <c r="B8" s="9">
        <v>2022</v>
      </c>
      <c r="C8" s="10">
        <v>2022</v>
      </c>
      <c r="D8" s="11"/>
      <c r="E8" s="12" t="s">
        <v>126</v>
      </c>
      <c r="F8" s="12" t="s">
        <v>127</v>
      </c>
      <c r="G8" s="12" t="s">
        <v>141</v>
      </c>
      <c r="H8" s="12" t="s">
        <v>142</v>
      </c>
      <c r="I8" s="12" t="s">
        <v>141</v>
      </c>
      <c r="J8" s="12" t="s">
        <v>143</v>
      </c>
      <c r="K8" s="11"/>
      <c r="L8" s="11"/>
      <c r="M8" s="10">
        <v>483</v>
      </c>
      <c r="N8" s="10">
        <v>323</v>
      </c>
      <c r="O8" s="10">
        <v>121</v>
      </c>
      <c r="P8" s="10">
        <v>52</v>
      </c>
      <c r="Q8" s="10">
        <v>14</v>
      </c>
      <c r="R8" s="10">
        <v>227</v>
      </c>
      <c r="S8" s="10">
        <v>2959</v>
      </c>
      <c r="T8" s="10">
        <v>2657</v>
      </c>
      <c r="U8" s="10">
        <v>1502</v>
      </c>
      <c r="V8" s="10">
        <v>646</v>
      </c>
      <c r="W8" s="10">
        <v>37</v>
      </c>
      <c r="X8" s="11"/>
      <c r="Y8" s="11"/>
      <c r="Z8" s="11"/>
      <c r="AA8" s="11"/>
      <c r="AB8" s="11"/>
      <c r="AC8" s="11"/>
      <c r="AD8" s="11"/>
      <c r="AE8" s="10">
        <v>28</v>
      </c>
      <c r="AF8" s="10">
        <v>49</v>
      </c>
      <c r="AG8" s="10">
        <v>9</v>
      </c>
      <c r="AH8" s="11"/>
      <c r="AI8" s="11"/>
      <c r="AJ8" s="11"/>
      <c r="AK8" s="10">
        <v>7</v>
      </c>
      <c r="AL8" s="10">
        <v>38</v>
      </c>
      <c r="AM8" s="10">
        <v>38</v>
      </c>
      <c r="AN8" s="10">
        <v>32</v>
      </c>
      <c r="AO8" s="10">
        <v>10</v>
      </c>
      <c r="AP8" s="11"/>
      <c r="AQ8" s="10">
        <v>483</v>
      </c>
      <c r="AR8" s="10">
        <v>273</v>
      </c>
      <c r="AS8" s="10">
        <v>101</v>
      </c>
      <c r="AT8" s="10">
        <v>37</v>
      </c>
      <c r="AU8" s="10">
        <v>5</v>
      </c>
      <c r="AV8" s="11"/>
      <c r="AW8" s="11"/>
      <c r="AX8" s="10">
        <v>50</v>
      </c>
      <c r="AY8" s="10">
        <v>20</v>
      </c>
      <c r="AZ8" s="10">
        <v>15</v>
      </c>
      <c r="BA8" s="10">
        <v>9</v>
      </c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0">
        <v>227</v>
      </c>
      <c r="BO8" s="10">
        <v>2959</v>
      </c>
      <c r="BP8" s="10">
        <v>2657</v>
      </c>
      <c r="BQ8" s="10">
        <v>1502</v>
      </c>
      <c r="BR8" s="10">
        <v>646</v>
      </c>
      <c r="BS8" s="10">
        <v>37</v>
      </c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</row>
    <row r="9" spans="1:125" ht="20" customHeight="1">
      <c r="A9" s="8">
        <v>2022</v>
      </c>
      <c r="B9" s="9">
        <v>2022</v>
      </c>
      <c r="C9" s="10">
        <v>2022</v>
      </c>
      <c r="D9" s="11"/>
      <c r="E9" s="12" t="s">
        <v>126</v>
      </c>
      <c r="F9" s="12" t="s">
        <v>127</v>
      </c>
      <c r="G9" s="12" t="s">
        <v>144</v>
      </c>
      <c r="H9" s="12" t="s">
        <v>145</v>
      </c>
      <c r="I9" s="12" t="s">
        <v>144</v>
      </c>
      <c r="J9" s="12" t="s">
        <v>146</v>
      </c>
      <c r="K9" s="11"/>
      <c r="L9" s="10">
        <v>11</v>
      </c>
      <c r="M9" s="10">
        <v>539</v>
      </c>
      <c r="N9" s="10">
        <v>801</v>
      </c>
      <c r="O9" s="10">
        <v>713</v>
      </c>
      <c r="P9" s="10">
        <v>452</v>
      </c>
      <c r="Q9" s="10">
        <v>128</v>
      </c>
      <c r="R9" s="10">
        <v>0</v>
      </c>
      <c r="S9" s="10">
        <v>253</v>
      </c>
      <c r="T9" s="10">
        <v>249</v>
      </c>
      <c r="U9" s="10">
        <v>262</v>
      </c>
      <c r="V9" s="10">
        <v>128</v>
      </c>
      <c r="W9" s="10">
        <v>49</v>
      </c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0">
        <v>0</v>
      </c>
      <c r="AQ9" s="10">
        <v>61</v>
      </c>
      <c r="AR9" s="10">
        <v>70</v>
      </c>
      <c r="AS9" s="10">
        <v>43</v>
      </c>
      <c r="AT9" s="10">
        <v>12</v>
      </c>
      <c r="AU9" s="10">
        <v>1</v>
      </c>
      <c r="AV9" s="10">
        <v>0</v>
      </c>
      <c r="AW9" s="10">
        <v>2</v>
      </c>
      <c r="AX9" s="10">
        <v>35</v>
      </c>
      <c r="AY9" s="10">
        <v>48</v>
      </c>
      <c r="AZ9" s="10">
        <v>21</v>
      </c>
      <c r="BA9" s="10">
        <v>2</v>
      </c>
      <c r="BB9" s="10">
        <v>11</v>
      </c>
      <c r="BC9" s="10">
        <v>476</v>
      </c>
      <c r="BD9" s="10">
        <v>696</v>
      </c>
      <c r="BE9" s="10">
        <v>622</v>
      </c>
      <c r="BF9" s="10">
        <v>419</v>
      </c>
      <c r="BG9" s="10">
        <v>125</v>
      </c>
      <c r="BH9" s="10">
        <v>0</v>
      </c>
      <c r="BI9" s="10">
        <v>1</v>
      </c>
      <c r="BJ9" s="10">
        <v>11</v>
      </c>
      <c r="BK9" s="10">
        <v>51</v>
      </c>
      <c r="BL9" s="10">
        <v>26</v>
      </c>
      <c r="BM9" s="10">
        <v>6</v>
      </c>
      <c r="BN9" s="10">
        <v>0</v>
      </c>
      <c r="BO9" s="10">
        <v>252</v>
      </c>
      <c r="BP9" s="10">
        <v>238</v>
      </c>
      <c r="BQ9" s="10">
        <v>211</v>
      </c>
      <c r="BR9" s="10">
        <v>102</v>
      </c>
      <c r="BS9" s="10">
        <v>43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1"/>
      <c r="CA9" s="11"/>
      <c r="CB9" s="11"/>
      <c r="CC9" s="11"/>
      <c r="CD9" s="11"/>
      <c r="CE9" s="11"/>
      <c r="CF9" s="11"/>
      <c r="CG9" s="11"/>
      <c r="CH9" s="11"/>
      <c r="CI9" s="11"/>
      <c r="CJ9" s="11"/>
      <c r="CK9" s="11"/>
      <c r="CL9" s="11"/>
      <c r="CM9" s="11"/>
      <c r="CN9" s="11"/>
      <c r="CO9" s="11"/>
      <c r="CP9" s="11"/>
      <c r="CQ9" s="11"/>
      <c r="CR9" s="11"/>
      <c r="CS9" s="11"/>
      <c r="CT9" s="11"/>
      <c r="CU9" s="11"/>
      <c r="CV9" s="11"/>
      <c r="CW9" s="11"/>
      <c r="CX9" s="11"/>
      <c r="CY9" s="11"/>
      <c r="CZ9" s="11"/>
      <c r="DA9" s="11"/>
      <c r="DB9" s="11"/>
      <c r="DC9" s="11"/>
      <c r="DD9" s="10">
        <v>0</v>
      </c>
      <c r="DE9" s="10">
        <v>2</v>
      </c>
      <c r="DF9" s="10">
        <v>13</v>
      </c>
      <c r="DG9" s="10">
        <v>13</v>
      </c>
      <c r="DH9" s="10">
        <v>4</v>
      </c>
      <c r="DI9" s="10">
        <v>1</v>
      </c>
      <c r="DJ9" s="10">
        <v>0</v>
      </c>
      <c r="DK9" s="10">
        <v>0</v>
      </c>
      <c r="DL9" s="10">
        <v>7</v>
      </c>
      <c r="DM9" s="10">
        <v>9</v>
      </c>
      <c r="DN9" s="10">
        <v>6</v>
      </c>
      <c r="DO9" s="10">
        <v>1</v>
      </c>
      <c r="DP9" s="10">
        <v>0</v>
      </c>
      <c r="DQ9" s="10">
        <v>19</v>
      </c>
      <c r="DR9" s="10">
        <v>24</v>
      </c>
      <c r="DS9" s="10">
        <v>20</v>
      </c>
      <c r="DT9" s="10">
        <v>10</v>
      </c>
      <c r="DU9" s="10">
        <v>82</v>
      </c>
    </row>
    <row r="10" spans="1:125" ht="20" customHeight="1">
      <c r="A10" s="8">
        <v>2022</v>
      </c>
      <c r="B10" s="9">
        <v>2022</v>
      </c>
      <c r="C10" s="10">
        <v>2022</v>
      </c>
      <c r="D10" s="11"/>
      <c r="E10" s="12" t="s">
        <v>126</v>
      </c>
      <c r="F10" s="12" t="s">
        <v>127</v>
      </c>
      <c r="G10" s="12" t="s">
        <v>147</v>
      </c>
      <c r="H10" s="12" t="s">
        <v>148</v>
      </c>
      <c r="I10" s="12" t="s">
        <v>147</v>
      </c>
      <c r="J10" s="12" t="s">
        <v>149</v>
      </c>
      <c r="K10" s="11"/>
      <c r="L10" s="10">
        <v>15</v>
      </c>
      <c r="M10" s="10">
        <v>1889</v>
      </c>
      <c r="N10" s="10">
        <v>1240</v>
      </c>
      <c r="O10" s="10">
        <v>454</v>
      </c>
      <c r="P10" s="10">
        <v>156</v>
      </c>
      <c r="Q10" s="10">
        <v>8</v>
      </c>
      <c r="R10" s="10">
        <v>296</v>
      </c>
      <c r="S10" s="10">
        <v>6515</v>
      </c>
      <c r="T10" s="10">
        <v>6221</v>
      </c>
      <c r="U10" s="10">
        <v>2896</v>
      </c>
      <c r="V10" s="10">
        <v>521</v>
      </c>
      <c r="W10" s="10">
        <v>19</v>
      </c>
      <c r="X10" s="10">
        <v>30</v>
      </c>
      <c r="Y10" s="10">
        <v>1053</v>
      </c>
      <c r="Z10" s="10">
        <v>506</v>
      </c>
      <c r="AA10" s="10">
        <v>76</v>
      </c>
      <c r="AB10" s="10">
        <v>8</v>
      </c>
      <c r="AC10" s="10">
        <v>1</v>
      </c>
      <c r="AD10" s="10">
        <v>0</v>
      </c>
      <c r="AE10" s="10">
        <v>230</v>
      </c>
      <c r="AF10" s="10">
        <v>59</v>
      </c>
      <c r="AG10" s="10">
        <v>18</v>
      </c>
      <c r="AH10" s="10">
        <v>10</v>
      </c>
      <c r="AI10" s="10">
        <v>0</v>
      </c>
      <c r="AJ10" s="10">
        <v>3</v>
      </c>
      <c r="AK10" s="10">
        <v>389</v>
      </c>
      <c r="AL10" s="10">
        <v>201</v>
      </c>
      <c r="AM10" s="10">
        <v>8</v>
      </c>
      <c r="AN10" s="10">
        <v>1</v>
      </c>
      <c r="AO10" s="10">
        <v>0</v>
      </c>
      <c r="AP10" s="10">
        <v>15</v>
      </c>
      <c r="AQ10" s="10">
        <v>1773</v>
      </c>
      <c r="AR10" s="10">
        <v>547</v>
      </c>
      <c r="AS10" s="10">
        <v>87</v>
      </c>
      <c r="AT10" s="10">
        <v>44</v>
      </c>
      <c r="AU10" s="10">
        <v>1</v>
      </c>
      <c r="AV10" s="10">
        <v>0</v>
      </c>
      <c r="AW10" s="10">
        <v>116</v>
      </c>
      <c r="AX10" s="10">
        <v>691</v>
      </c>
      <c r="AY10" s="10">
        <v>366</v>
      </c>
      <c r="AZ10" s="10">
        <v>112</v>
      </c>
      <c r="BA10" s="10">
        <v>7</v>
      </c>
      <c r="BB10" s="10">
        <v>0</v>
      </c>
      <c r="BC10" s="10">
        <v>0</v>
      </c>
      <c r="BD10" s="10">
        <v>2</v>
      </c>
      <c r="BE10" s="10">
        <v>1</v>
      </c>
      <c r="BF10" s="10">
        <v>0</v>
      </c>
      <c r="BG10" s="10">
        <v>0</v>
      </c>
      <c r="BH10" s="10">
        <v>119</v>
      </c>
      <c r="BI10" s="10">
        <v>2023</v>
      </c>
      <c r="BJ10" s="10">
        <v>1849</v>
      </c>
      <c r="BK10" s="10">
        <v>896</v>
      </c>
      <c r="BL10" s="10">
        <v>32</v>
      </c>
      <c r="BM10" s="10">
        <v>5</v>
      </c>
      <c r="BN10" s="10">
        <v>170</v>
      </c>
      <c r="BO10" s="10">
        <v>4487</v>
      </c>
      <c r="BP10" s="10">
        <v>4340</v>
      </c>
      <c r="BQ10" s="10">
        <v>1986</v>
      </c>
      <c r="BR10" s="10">
        <v>487</v>
      </c>
      <c r="BS10" s="10">
        <v>11</v>
      </c>
      <c r="BT10" s="10">
        <v>7</v>
      </c>
      <c r="BU10" s="10">
        <v>5</v>
      </c>
      <c r="BV10" s="10">
        <v>32</v>
      </c>
      <c r="BW10" s="10">
        <v>14</v>
      </c>
      <c r="BX10" s="10">
        <v>2</v>
      </c>
      <c r="BY10" s="10">
        <v>3</v>
      </c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0">
        <v>24</v>
      </c>
      <c r="CM10" s="10">
        <v>1011</v>
      </c>
      <c r="CN10" s="10">
        <v>484</v>
      </c>
      <c r="CO10" s="10">
        <v>53</v>
      </c>
      <c r="CP10" s="10">
        <v>6</v>
      </c>
      <c r="CQ10" s="10">
        <v>0</v>
      </c>
      <c r="CR10" s="10">
        <v>6</v>
      </c>
      <c r="CS10" s="10">
        <v>42</v>
      </c>
      <c r="CT10" s="10">
        <v>12</v>
      </c>
      <c r="CU10" s="10">
        <v>16</v>
      </c>
      <c r="CV10" s="10">
        <v>0</v>
      </c>
      <c r="CW10" s="10">
        <v>1</v>
      </c>
      <c r="CX10" s="10">
        <v>0</v>
      </c>
      <c r="CY10" s="10">
        <v>0</v>
      </c>
      <c r="CZ10" s="10">
        <v>10</v>
      </c>
      <c r="DA10" s="10">
        <v>7</v>
      </c>
      <c r="DB10" s="10">
        <v>2</v>
      </c>
      <c r="DC10" s="10">
        <v>0</v>
      </c>
      <c r="DD10" s="10">
        <v>0</v>
      </c>
      <c r="DE10" s="10">
        <v>9</v>
      </c>
      <c r="DF10" s="10">
        <v>81</v>
      </c>
      <c r="DG10" s="10">
        <v>42</v>
      </c>
      <c r="DH10" s="10">
        <v>20</v>
      </c>
      <c r="DI10" s="10">
        <v>0</v>
      </c>
      <c r="DJ10" s="10">
        <v>0</v>
      </c>
      <c r="DK10" s="10">
        <v>6</v>
      </c>
      <c r="DL10" s="10">
        <v>49</v>
      </c>
      <c r="DM10" s="10">
        <v>23</v>
      </c>
      <c r="DN10" s="10">
        <v>9</v>
      </c>
      <c r="DO10" s="10">
        <v>0</v>
      </c>
      <c r="DP10" s="10">
        <v>7</v>
      </c>
      <c r="DQ10" s="10">
        <v>207</v>
      </c>
      <c r="DR10" s="10">
        <v>65</v>
      </c>
      <c r="DS10" s="10">
        <v>27</v>
      </c>
      <c r="DT10" s="10">
        <v>3</v>
      </c>
      <c r="DU10" s="10">
        <v>1</v>
      </c>
    </row>
    <row r="11" spans="1:125" ht="20" customHeight="1">
      <c r="A11" s="8">
        <v>2022</v>
      </c>
      <c r="B11" s="9">
        <v>2022</v>
      </c>
      <c r="C11" s="10">
        <v>2022</v>
      </c>
      <c r="D11" s="11"/>
      <c r="E11" s="12" t="s">
        <v>126</v>
      </c>
      <c r="F11" s="12" t="s">
        <v>127</v>
      </c>
      <c r="G11" s="12" t="s">
        <v>150</v>
      </c>
      <c r="H11" s="12" t="s">
        <v>151</v>
      </c>
      <c r="I11" s="12" t="s">
        <v>150</v>
      </c>
      <c r="J11" s="12" t="s">
        <v>152</v>
      </c>
      <c r="K11" s="11"/>
      <c r="L11" s="10">
        <v>3</v>
      </c>
      <c r="M11" s="10">
        <v>880</v>
      </c>
      <c r="N11" s="10">
        <v>424</v>
      </c>
      <c r="O11" s="10">
        <v>129</v>
      </c>
      <c r="P11" s="10">
        <v>73</v>
      </c>
      <c r="Q11" s="10">
        <v>0</v>
      </c>
      <c r="R11" s="10">
        <v>123</v>
      </c>
      <c r="S11" s="10">
        <v>1494</v>
      </c>
      <c r="T11" s="10">
        <v>1044</v>
      </c>
      <c r="U11" s="10">
        <v>491</v>
      </c>
      <c r="V11" s="10">
        <v>215</v>
      </c>
      <c r="W11" s="10">
        <v>0</v>
      </c>
      <c r="X11" s="10">
        <v>8</v>
      </c>
      <c r="Y11" s="10">
        <v>213</v>
      </c>
      <c r="Z11" s="10">
        <v>287</v>
      </c>
      <c r="AA11" s="10">
        <v>111</v>
      </c>
      <c r="AB11" s="10">
        <v>50</v>
      </c>
      <c r="AC11" s="10">
        <v>0</v>
      </c>
      <c r="AD11" s="11"/>
      <c r="AE11" s="11"/>
      <c r="AF11" s="11"/>
      <c r="AG11" s="11"/>
      <c r="AH11" s="11"/>
      <c r="AI11" s="11"/>
      <c r="AJ11" s="10">
        <v>1</v>
      </c>
      <c r="AK11" s="10">
        <v>140</v>
      </c>
      <c r="AL11" s="10">
        <v>42</v>
      </c>
      <c r="AM11" s="10">
        <v>4</v>
      </c>
      <c r="AN11" s="10">
        <v>13</v>
      </c>
      <c r="AO11" s="10">
        <v>5</v>
      </c>
      <c r="AP11" s="10">
        <v>3</v>
      </c>
      <c r="AQ11" s="10">
        <v>880</v>
      </c>
      <c r="AR11" s="10">
        <v>424</v>
      </c>
      <c r="AS11" s="10">
        <v>129</v>
      </c>
      <c r="AT11" s="10">
        <v>73</v>
      </c>
      <c r="AU11" s="10">
        <v>0</v>
      </c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0">
        <v>101</v>
      </c>
      <c r="BI11" s="10">
        <v>665</v>
      </c>
      <c r="BJ11" s="10">
        <v>460</v>
      </c>
      <c r="BK11" s="10">
        <v>304</v>
      </c>
      <c r="BL11" s="10">
        <v>169</v>
      </c>
      <c r="BM11" s="10">
        <v>0</v>
      </c>
      <c r="BN11" s="10">
        <v>22</v>
      </c>
      <c r="BO11" s="10">
        <v>829</v>
      </c>
      <c r="BP11" s="10">
        <v>584</v>
      </c>
      <c r="BQ11" s="10">
        <v>187</v>
      </c>
      <c r="BR11" s="10">
        <v>46</v>
      </c>
      <c r="BS11" s="10">
        <v>0</v>
      </c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0">
        <v>8</v>
      </c>
      <c r="CM11" s="10">
        <v>213</v>
      </c>
      <c r="CN11" s="10">
        <v>287</v>
      </c>
      <c r="CO11" s="10">
        <v>111</v>
      </c>
      <c r="CP11" s="10">
        <v>50</v>
      </c>
      <c r="CQ11" s="10">
        <v>0</v>
      </c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</row>
    <row r="12" spans="1:125" ht="20" customHeight="1">
      <c r="A12" s="8">
        <v>2022</v>
      </c>
      <c r="B12" s="9">
        <v>2022</v>
      </c>
      <c r="C12" s="10">
        <v>2022</v>
      </c>
      <c r="D12" s="11"/>
      <c r="E12" s="12" t="s">
        <v>126</v>
      </c>
      <c r="F12" s="12" t="s">
        <v>127</v>
      </c>
      <c r="G12" s="12" t="s">
        <v>153</v>
      </c>
      <c r="H12" s="12" t="s">
        <v>154</v>
      </c>
      <c r="I12" s="12" t="s">
        <v>153</v>
      </c>
      <c r="J12" s="12" t="s">
        <v>155</v>
      </c>
      <c r="K12" s="11"/>
      <c r="L12" s="10">
        <v>0</v>
      </c>
      <c r="M12" s="10">
        <v>920</v>
      </c>
      <c r="N12" s="10">
        <v>1757</v>
      </c>
      <c r="O12" s="10">
        <v>1583</v>
      </c>
      <c r="P12" s="10">
        <v>640</v>
      </c>
      <c r="Q12" s="10">
        <v>29</v>
      </c>
      <c r="R12" s="10">
        <v>35</v>
      </c>
      <c r="S12" s="10">
        <v>3771</v>
      </c>
      <c r="T12" s="10">
        <v>6788</v>
      </c>
      <c r="U12" s="10">
        <v>3016</v>
      </c>
      <c r="V12" s="10">
        <v>1366</v>
      </c>
      <c r="W12" s="10">
        <v>3</v>
      </c>
      <c r="X12" s="10">
        <v>20</v>
      </c>
      <c r="Y12" s="10">
        <v>2566</v>
      </c>
      <c r="Z12" s="10">
        <v>3905</v>
      </c>
      <c r="AA12" s="10">
        <v>804</v>
      </c>
      <c r="AB12" s="10">
        <v>130</v>
      </c>
      <c r="AC12" s="10">
        <v>0</v>
      </c>
      <c r="AD12" s="10">
        <v>0</v>
      </c>
      <c r="AE12" s="10">
        <v>67</v>
      </c>
      <c r="AF12" s="10">
        <v>145</v>
      </c>
      <c r="AG12" s="10">
        <v>103</v>
      </c>
      <c r="AH12" s="10">
        <v>100</v>
      </c>
      <c r="AI12" s="10">
        <v>3</v>
      </c>
      <c r="AJ12" s="10">
        <v>0</v>
      </c>
      <c r="AK12" s="10">
        <v>256</v>
      </c>
      <c r="AL12" s="10">
        <v>539</v>
      </c>
      <c r="AM12" s="10">
        <v>354</v>
      </c>
      <c r="AN12" s="10">
        <v>13</v>
      </c>
      <c r="AO12" s="10">
        <v>0</v>
      </c>
      <c r="AP12" s="10">
        <v>0</v>
      </c>
      <c r="AQ12" s="10">
        <v>919</v>
      </c>
      <c r="AR12" s="10">
        <v>1664</v>
      </c>
      <c r="AS12" s="10">
        <v>1293</v>
      </c>
      <c r="AT12" s="10">
        <v>512</v>
      </c>
      <c r="AU12" s="10">
        <v>23</v>
      </c>
      <c r="AV12" s="10">
        <v>0</v>
      </c>
      <c r="AW12" s="10">
        <v>1</v>
      </c>
      <c r="AX12" s="10">
        <v>93</v>
      </c>
      <c r="AY12" s="10">
        <v>290</v>
      </c>
      <c r="AZ12" s="10">
        <v>128</v>
      </c>
      <c r="BA12" s="10">
        <v>6</v>
      </c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0">
        <v>35</v>
      </c>
      <c r="BO12" s="10">
        <v>3771</v>
      </c>
      <c r="BP12" s="10">
        <v>6780</v>
      </c>
      <c r="BQ12" s="10">
        <v>2984</v>
      </c>
      <c r="BR12" s="10">
        <v>1361</v>
      </c>
      <c r="BS12" s="10">
        <v>3</v>
      </c>
      <c r="BT12" s="10">
        <v>0</v>
      </c>
      <c r="BU12" s="10">
        <v>0</v>
      </c>
      <c r="BV12" s="10">
        <v>8</v>
      </c>
      <c r="BW12" s="10">
        <v>32</v>
      </c>
      <c r="BX12" s="10">
        <v>5</v>
      </c>
      <c r="BY12" s="10">
        <v>0</v>
      </c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0">
        <v>20</v>
      </c>
      <c r="CM12" s="10">
        <v>2566</v>
      </c>
      <c r="CN12" s="10">
        <v>3903</v>
      </c>
      <c r="CO12" s="10">
        <v>804</v>
      </c>
      <c r="CP12" s="10">
        <v>128</v>
      </c>
      <c r="CQ12" s="10">
        <v>0</v>
      </c>
      <c r="CR12" s="10">
        <v>0</v>
      </c>
      <c r="CS12" s="10">
        <v>0</v>
      </c>
      <c r="CT12" s="10">
        <v>2</v>
      </c>
      <c r="CU12" s="10">
        <v>0</v>
      </c>
      <c r="CV12" s="10">
        <v>2</v>
      </c>
      <c r="CW12" s="10">
        <v>0</v>
      </c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</row>
    <row r="13" spans="1:125" ht="20" customHeight="1">
      <c r="A13" s="8">
        <v>2022</v>
      </c>
      <c r="B13" s="9">
        <v>2022</v>
      </c>
      <c r="C13" s="10">
        <v>2022</v>
      </c>
      <c r="D13" s="11"/>
      <c r="E13" s="12" t="s">
        <v>126</v>
      </c>
      <c r="F13" s="12" t="s">
        <v>127</v>
      </c>
      <c r="G13" s="12" t="s">
        <v>156</v>
      </c>
      <c r="H13" s="12" t="s">
        <v>157</v>
      </c>
      <c r="I13" s="12" t="s">
        <v>156</v>
      </c>
      <c r="J13" s="12" t="s">
        <v>158</v>
      </c>
      <c r="K13" s="11"/>
      <c r="L13" s="10">
        <v>2</v>
      </c>
      <c r="M13" s="10">
        <v>1715</v>
      </c>
      <c r="N13" s="10">
        <v>1942</v>
      </c>
      <c r="O13" s="10">
        <v>512</v>
      </c>
      <c r="P13" s="10">
        <v>184</v>
      </c>
      <c r="Q13" s="10">
        <v>3</v>
      </c>
      <c r="R13" s="10">
        <v>39</v>
      </c>
      <c r="S13" s="10">
        <v>66582</v>
      </c>
      <c r="T13" s="10">
        <v>30701</v>
      </c>
      <c r="U13" s="10">
        <v>1561</v>
      </c>
      <c r="V13" s="10">
        <v>790</v>
      </c>
      <c r="W13" s="10">
        <v>0</v>
      </c>
      <c r="X13" s="10">
        <v>12</v>
      </c>
      <c r="Y13" s="10">
        <v>12834</v>
      </c>
      <c r="Z13" s="10">
        <v>9207</v>
      </c>
      <c r="AA13" s="10">
        <v>888</v>
      </c>
      <c r="AB13" s="10">
        <v>375</v>
      </c>
      <c r="AC13" s="10">
        <v>0</v>
      </c>
      <c r="AD13" s="11"/>
      <c r="AE13" s="11"/>
      <c r="AF13" s="11"/>
      <c r="AG13" s="11"/>
      <c r="AH13" s="11"/>
      <c r="AI13" s="11"/>
      <c r="AJ13" s="10">
        <v>0</v>
      </c>
      <c r="AK13" s="10">
        <v>431</v>
      </c>
      <c r="AL13" s="10">
        <v>394</v>
      </c>
      <c r="AM13" s="10">
        <v>213</v>
      </c>
      <c r="AN13" s="10">
        <v>99</v>
      </c>
      <c r="AO13" s="10">
        <v>0</v>
      </c>
      <c r="AP13" s="10">
        <v>2</v>
      </c>
      <c r="AQ13" s="10">
        <v>1682</v>
      </c>
      <c r="AR13" s="10">
        <v>1122</v>
      </c>
      <c r="AS13" s="10">
        <v>136</v>
      </c>
      <c r="AT13" s="10">
        <v>67</v>
      </c>
      <c r="AU13" s="10">
        <v>1</v>
      </c>
      <c r="AV13" s="10">
        <v>0</v>
      </c>
      <c r="AW13" s="10">
        <v>33</v>
      </c>
      <c r="AX13" s="10">
        <v>820</v>
      </c>
      <c r="AY13" s="10">
        <v>376</v>
      </c>
      <c r="AZ13" s="10">
        <v>117</v>
      </c>
      <c r="BA13" s="10">
        <v>2</v>
      </c>
      <c r="BB13" s="11"/>
      <c r="BC13" s="11"/>
      <c r="BD13" s="11"/>
      <c r="BE13" s="11"/>
      <c r="BF13" s="11"/>
      <c r="BG13" s="11"/>
      <c r="BH13" s="10">
        <v>22</v>
      </c>
      <c r="BI13" s="10">
        <v>36856</v>
      </c>
      <c r="BJ13" s="10">
        <v>16270</v>
      </c>
      <c r="BK13" s="10">
        <v>365</v>
      </c>
      <c r="BL13" s="10">
        <v>197</v>
      </c>
      <c r="BM13" s="10">
        <v>0</v>
      </c>
      <c r="BN13" s="10">
        <v>17</v>
      </c>
      <c r="BO13" s="10">
        <v>29726</v>
      </c>
      <c r="BP13" s="10">
        <v>14431</v>
      </c>
      <c r="BQ13" s="10">
        <v>1196</v>
      </c>
      <c r="BR13" s="10">
        <v>593</v>
      </c>
      <c r="BS13" s="10">
        <v>0</v>
      </c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0">
        <v>12</v>
      </c>
      <c r="CM13" s="10">
        <v>12834</v>
      </c>
      <c r="CN13" s="10">
        <v>9207</v>
      </c>
      <c r="CO13" s="10">
        <v>888</v>
      </c>
      <c r="CP13" s="10">
        <v>375</v>
      </c>
      <c r="CQ13" s="10">
        <v>0</v>
      </c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11"/>
      <c r="DJ13" s="11"/>
      <c r="DK13" s="11"/>
      <c r="DL13" s="11"/>
      <c r="DM13" s="11"/>
      <c r="DN13" s="11"/>
      <c r="DO13" s="11"/>
      <c r="DP13" s="11"/>
      <c r="DQ13" s="11"/>
      <c r="DR13" s="11"/>
      <c r="DS13" s="11"/>
      <c r="DT13" s="11"/>
      <c r="DU13" s="11"/>
    </row>
    <row r="14" spans="1:125" ht="20" customHeight="1">
      <c r="A14" s="8">
        <v>2022</v>
      </c>
      <c r="B14" s="9">
        <v>2022</v>
      </c>
      <c r="C14" s="10">
        <v>2022</v>
      </c>
      <c r="D14" s="11"/>
      <c r="E14" s="12" t="s">
        <v>126</v>
      </c>
      <c r="F14" s="12" t="s">
        <v>127</v>
      </c>
      <c r="G14" s="12" t="s">
        <v>159</v>
      </c>
      <c r="H14" s="12" t="s">
        <v>160</v>
      </c>
      <c r="I14" s="12" t="s">
        <v>159</v>
      </c>
      <c r="J14" s="12" t="s">
        <v>161</v>
      </c>
      <c r="K14" s="11"/>
      <c r="L14" s="10">
        <v>0</v>
      </c>
      <c r="M14" s="10">
        <v>229</v>
      </c>
      <c r="N14" s="10">
        <v>143</v>
      </c>
      <c r="O14" s="10">
        <v>41</v>
      </c>
      <c r="P14" s="10">
        <v>19</v>
      </c>
      <c r="Q14" s="10">
        <v>5</v>
      </c>
      <c r="R14" s="10">
        <v>0</v>
      </c>
      <c r="S14" s="10">
        <v>659</v>
      </c>
      <c r="T14" s="10">
        <v>863</v>
      </c>
      <c r="U14" s="10">
        <v>209</v>
      </c>
      <c r="V14" s="10">
        <v>134</v>
      </c>
      <c r="W14" s="10">
        <v>14</v>
      </c>
      <c r="X14" s="10">
        <v>0</v>
      </c>
      <c r="Y14" s="10">
        <v>37</v>
      </c>
      <c r="Z14" s="10">
        <v>89</v>
      </c>
      <c r="AA14" s="10">
        <v>54</v>
      </c>
      <c r="AB14" s="10">
        <v>17</v>
      </c>
      <c r="AC14" s="10">
        <v>0</v>
      </c>
      <c r="AD14" s="10">
        <v>0</v>
      </c>
      <c r="AE14" s="10">
        <v>14</v>
      </c>
      <c r="AF14" s="10">
        <v>7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2</v>
      </c>
      <c r="AO14" s="10">
        <v>0</v>
      </c>
      <c r="AP14" s="10">
        <v>0</v>
      </c>
      <c r="AQ14" s="10">
        <v>229</v>
      </c>
      <c r="AR14" s="10">
        <v>139</v>
      </c>
      <c r="AS14" s="10">
        <v>36</v>
      </c>
      <c r="AT14" s="10">
        <v>18</v>
      </c>
      <c r="AU14" s="10">
        <v>5</v>
      </c>
      <c r="AV14" s="10">
        <v>0</v>
      </c>
      <c r="AW14" s="10">
        <v>0</v>
      </c>
      <c r="AX14" s="10">
        <v>4</v>
      </c>
      <c r="AY14" s="10">
        <v>5</v>
      </c>
      <c r="AZ14" s="10">
        <v>1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167</v>
      </c>
      <c r="BJ14" s="10">
        <v>465</v>
      </c>
      <c r="BK14" s="10">
        <v>152</v>
      </c>
      <c r="BL14" s="10">
        <v>99</v>
      </c>
      <c r="BM14" s="10">
        <v>6</v>
      </c>
      <c r="BN14" s="10">
        <v>0</v>
      </c>
      <c r="BO14" s="10">
        <v>492</v>
      </c>
      <c r="BP14" s="10">
        <v>398</v>
      </c>
      <c r="BQ14" s="10">
        <v>57</v>
      </c>
      <c r="BR14" s="10">
        <v>32</v>
      </c>
      <c r="BS14" s="10">
        <v>8</v>
      </c>
      <c r="BT14" s="10">
        <v>0</v>
      </c>
      <c r="BU14" s="10">
        <v>0</v>
      </c>
      <c r="BV14" s="10">
        <v>0</v>
      </c>
      <c r="BW14" s="10">
        <v>0</v>
      </c>
      <c r="BX14" s="10">
        <v>3</v>
      </c>
      <c r="BY14" s="10">
        <v>0</v>
      </c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0">
        <v>0</v>
      </c>
      <c r="CM14" s="10">
        <v>2</v>
      </c>
      <c r="CN14" s="10">
        <v>5</v>
      </c>
      <c r="CO14" s="10">
        <v>14</v>
      </c>
      <c r="CP14" s="10">
        <v>5</v>
      </c>
      <c r="CQ14" s="10">
        <v>0</v>
      </c>
      <c r="CR14" s="10">
        <v>0</v>
      </c>
      <c r="CS14" s="10">
        <v>35</v>
      </c>
      <c r="CT14" s="10">
        <v>84</v>
      </c>
      <c r="CU14" s="10">
        <v>40</v>
      </c>
      <c r="CV14" s="10">
        <v>12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3</v>
      </c>
      <c r="DG14" s="10">
        <v>1</v>
      </c>
      <c r="DH14" s="10">
        <v>0</v>
      </c>
      <c r="DI14" s="10">
        <v>0</v>
      </c>
      <c r="DJ14" s="10">
        <v>0</v>
      </c>
      <c r="DK14" s="10">
        <v>0</v>
      </c>
      <c r="DL14" s="10">
        <v>3</v>
      </c>
      <c r="DM14" s="10">
        <v>2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</row>
    <row r="15" spans="1:125" ht="20" customHeight="1">
      <c r="A15" s="8">
        <v>2022</v>
      </c>
      <c r="B15" s="9">
        <v>2022</v>
      </c>
      <c r="C15" s="10">
        <v>2022</v>
      </c>
      <c r="D15" s="11"/>
      <c r="E15" s="12" t="s">
        <v>126</v>
      </c>
      <c r="F15" s="12" t="s">
        <v>127</v>
      </c>
      <c r="G15" s="12" t="s">
        <v>162</v>
      </c>
      <c r="H15" s="12" t="s">
        <v>163</v>
      </c>
      <c r="I15" s="12" t="s">
        <v>162</v>
      </c>
      <c r="J15" s="12" t="s">
        <v>164</v>
      </c>
      <c r="K15" s="11"/>
      <c r="L15" s="10">
        <v>5</v>
      </c>
      <c r="M15" s="10">
        <v>1600</v>
      </c>
      <c r="N15" s="10">
        <v>2699</v>
      </c>
      <c r="O15" s="10">
        <v>941</v>
      </c>
      <c r="P15" s="10">
        <v>243</v>
      </c>
      <c r="Q15" s="10">
        <v>6</v>
      </c>
      <c r="R15" s="10">
        <v>375</v>
      </c>
      <c r="S15" s="10">
        <v>11055</v>
      </c>
      <c r="T15" s="10">
        <v>12233</v>
      </c>
      <c r="U15" s="10">
        <v>8664</v>
      </c>
      <c r="V15" s="10">
        <v>3678</v>
      </c>
      <c r="W15" s="10">
        <v>57</v>
      </c>
      <c r="X15" s="10">
        <v>21</v>
      </c>
      <c r="Y15" s="10">
        <v>21</v>
      </c>
      <c r="Z15" s="10">
        <v>39</v>
      </c>
      <c r="AA15" s="10">
        <v>52</v>
      </c>
      <c r="AB15" s="10">
        <v>25</v>
      </c>
      <c r="AC15" s="10">
        <v>0</v>
      </c>
      <c r="AD15" s="10">
        <v>22</v>
      </c>
      <c r="AE15" s="10">
        <v>74</v>
      </c>
      <c r="AF15" s="10">
        <v>142</v>
      </c>
      <c r="AG15" s="10">
        <v>42</v>
      </c>
      <c r="AH15" s="10">
        <v>14</v>
      </c>
      <c r="AI15" s="10">
        <v>0</v>
      </c>
      <c r="AJ15" s="10">
        <v>21</v>
      </c>
      <c r="AK15" s="10">
        <v>272</v>
      </c>
      <c r="AL15" s="10">
        <v>473</v>
      </c>
      <c r="AM15" s="10">
        <v>129</v>
      </c>
      <c r="AN15" s="10">
        <v>11</v>
      </c>
      <c r="AO15" s="10">
        <v>0</v>
      </c>
      <c r="AP15" s="10">
        <v>4</v>
      </c>
      <c r="AQ15" s="10">
        <v>1377</v>
      </c>
      <c r="AR15" s="10">
        <v>1560</v>
      </c>
      <c r="AS15" s="10">
        <v>441</v>
      </c>
      <c r="AT15" s="10">
        <v>137</v>
      </c>
      <c r="AU15" s="10">
        <v>1</v>
      </c>
      <c r="AV15" s="10">
        <v>1</v>
      </c>
      <c r="AW15" s="10">
        <v>223</v>
      </c>
      <c r="AX15" s="10">
        <v>1139</v>
      </c>
      <c r="AY15" s="10">
        <v>500</v>
      </c>
      <c r="AZ15" s="10">
        <v>106</v>
      </c>
      <c r="BA15" s="10">
        <v>5</v>
      </c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0">
        <v>375</v>
      </c>
      <c r="BO15" s="10">
        <v>11055</v>
      </c>
      <c r="BP15" s="10">
        <v>12233</v>
      </c>
      <c r="BQ15" s="10">
        <v>8664</v>
      </c>
      <c r="BR15" s="10">
        <v>3678</v>
      </c>
      <c r="BS15" s="10">
        <v>57</v>
      </c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0">
        <v>21</v>
      </c>
      <c r="CM15" s="10">
        <v>21</v>
      </c>
      <c r="CN15" s="10">
        <v>39</v>
      </c>
      <c r="CO15" s="10">
        <v>52</v>
      </c>
      <c r="CP15" s="10">
        <v>25</v>
      </c>
      <c r="CQ15" s="10">
        <v>0</v>
      </c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0">
        <v>0</v>
      </c>
      <c r="DE15" s="10">
        <v>22</v>
      </c>
      <c r="DF15" s="10">
        <v>168</v>
      </c>
      <c r="DG15" s="10">
        <v>82</v>
      </c>
      <c r="DH15" s="10">
        <v>13</v>
      </c>
      <c r="DI15" s="10">
        <v>0</v>
      </c>
      <c r="DJ15" s="10">
        <v>0</v>
      </c>
      <c r="DK15" s="10">
        <v>31</v>
      </c>
      <c r="DL15" s="10">
        <v>120</v>
      </c>
      <c r="DM15" s="10">
        <v>45</v>
      </c>
      <c r="DN15" s="10">
        <v>10</v>
      </c>
      <c r="DO15" s="10">
        <v>2</v>
      </c>
      <c r="DP15" s="11"/>
      <c r="DQ15" s="11"/>
      <c r="DR15" s="11"/>
      <c r="DS15" s="11"/>
      <c r="DT15" s="11"/>
      <c r="DU15" s="11"/>
    </row>
    <row r="16" spans="1:125" ht="20" customHeight="1">
      <c r="A16" s="8">
        <v>2022</v>
      </c>
      <c r="B16" s="9">
        <v>2022</v>
      </c>
      <c r="C16" s="10">
        <v>2022</v>
      </c>
      <c r="D16" s="11"/>
      <c r="E16" s="12" t="s">
        <v>126</v>
      </c>
      <c r="F16" s="12" t="s">
        <v>127</v>
      </c>
      <c r="G16" s="12" t="s">
        <v>165</v>
      </c>
      <c r="H16" s="12" t="s">
        <v>166</v>
      </c>
      <c r="I16" s="12" t="s">
        <v>165</v>
      </c>
      <c r="J16" s="12" t="s">
        <v>167</v>
      </c>
      <c r="K16" s="11"/>
      <c r="L16" s="10">
        <v>61</v>
      </c>
      <c r="M16" s="10">
        <v>392</v>
      </c>
      <c r="N16" s="10">
        <v>331</v>
      </c>
      <c r="O16" s="10">
        <v>213</v>
      </c>
      <c r="P16" s="10">
        <v>30</v>
      </c>
      <c r="Q16" s="10">
        <v>13</v>
      </c>
      <c r="R16" s="10">
        <v>310</v>
      </c>
      <c r="S16" s="10">
        <v>4736</v>
      </c>
      <c r="T16" s="10">
        <v>2722</v>
      </c>
      <c r="U16" s="10">
        <v>1613</v>
      </c>
      <c r="V16" s="10">
        <v>211</v>
      </c>
      <c r="W16" s="11"/>
      <c r="X16" s="11"/>
      <c r="Y16" s="10">
        <v>436</v>
      </c>
      <c r="Z16" s="10">
        <v>155</v>
      </c>
      <c r="AA16" s="10">
        <v>11</v>
      </c>
      <c r="AB16" s="10">
        <v>14</v>
      </c>
      <c r="AC16" s="11"/>
      <c r="AD16" s="11"/>
      <c r="AE16" s="10">
        <v>5</v>
      </c>
      <c r="AF16" s="10">
        <v>41</v>
      </c>
      <c r="AG16" s="10">
        <v>23</v>
      </c>
      <c r="AH16" s="10">
        <v>25</v>
      </c>
      <c r="AI16" s="10">
        <v>7</v>
      </c>
      <c r="AJ16" s="10">
        <v>50</v>
      </c>
      <c r="AK16" s="10">
        <v>25</v>
      </c>
      <c r="AL16" s="10">
        <v>19</v>
      </c>
      <c r="AM16" s="10">
        <v>11</v>
      </c>
      <c r="AN16" s="10">
        <v>6</v>
      </c>
      <c r="AO16" s="11"/>
      <c r="AP16" s="10">
        <v>14</v>
      </c>
      <c r="AQ16" s="10">
        <v>392</v>
      </c>
      <c r="AR16" s="10">
        <v>284</v>
      </c>
      <c r="AS16" s="10">
        <v>131</v>
      </c>
      <c r="AT16" s="10">
        <v>18</v>
      </c>
      <c r="AU16" s="10">
        <v>4</v>
      </c>
      <c r="AV16" s="10">
        <v>47</v>
      </c>
      <c r="AW16" s="11"/>
      <c r="AX16" s="10">
        <v>47</v>
      </c>
      <c r="AY16" s="10">
        <v>71</v>
      </c>
      <c r="AZ16" s="10">
        <v>11</v>
      </c>
      <c r="BA16" s="10">
        <v>9</v>
      </c>
      <c r="BB16" s="11"/>
      <c r="BC16" s="11"/>
      <c r="BD16" s="11"/>
      <c r="BE16" s="10">
        <v>11</v>
      </c>
      <c r="BF16" s="10">
        <v>1</v>
      </c>
      <c r="BG16" s="11"/>
      <c r="BH16" s="10">
        <v>233</v>
      </c>
      <c r="BI16" s="10">
        <v>3711</v>
      </c>
      <c r="BJ16" s="10">
        <v>1488</v>
      </c>
      <c r="BK16" s="10">
        <v>856</v>
      </c>
      <c r="BL16" s="10">
        <v>186</v>
      </c>
      <c r="BM16" s="11"/>
      <c r="BN16" s="10">
        <v>77</v>
      </c>
      <c r="BO16" s="10">
        <v>992</v>
      </c>
      <c r="BP16" s="10">
        <v>1143</v>
      </c>
      <c r="BQ16" s="10">
        <v>669</v>
      </c>
      <c r="BR16" s="10">
        <v>10</v>
      </c>
      <c r="BS16" s="11"/>
      <c r="BT16" s="11"/>
      <c r="BU16" s="10">
        <v>33</v>
      </c>
      <c r="BV16" s="10">
        <v>91</v>
      </c>
      <c r="BW16" s="10">
        <v>88</v>
      </c>
      <c r="BX16" s="10">
        <v>15</v>
      </c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0">
        <v>436</v>
      </c>
      <c r="CZ16" s="10">
        <v>155</v>
      </c>
      <c r="DA16" s="10">
        <v>11</v>
      </c>
      <c r="DB16" s="10">
        <v>14</v>
      </c>
      <c r="DC16" s="11"/>
      <c r="DD16" s="11"/>
      <c r="DE16" s="10">
        <v>1</v>
      </c>
      <c r="DF16" s="10">
        <v>13</v>
      </c>
      <c r="DG16" s="10">
        <v>4</v>
      </c>
      <c r="DH16" s="10">
        <v>3</v>
      </c>
      <c r="DI16" s="11"/>
      <c r="DJ16" s="11"/>
      <c r="DK16" s="10">
        <v>4</v>
      </c>
      <c r="DL16" s="10">
        <v>23</v>
      </c>
      <c r="DM16" s="10">
        <v>2</v>
      </c>
      <c r="DN16" s="10">
        <v>1</v>
      </c>
      <c r="DO16" s="10">
        <v>1</v>
      </c>
      <c r="DP16" s="10">
        <v>352</v>
      </c>
      <c r="DQ16" s="10">
        <v>1574</v>
      </c>
      <c r="DR16" s="10">
        <v>4840</v>
      </c>
      <c r="DS16" s="10">
        <v>3461</v>
      </c>
      <c r="DT16" s="10">
        <v>520</v>
      </c>
      <c r="DU16" s="11"/>
    </row>
    <row r="17" spans="1:125" ht="20" customHeight="1">
      <c r="A17" s="8">
        <v>2022</v>
      </c>
      <c r="B17" s="9">
        <v>2022</v>
      </c>
      <c r="C17" s="10">
        <v>2022</v>
      </c>
      <c r="D17" s="11"/>
      <c r="E17" s="12" t="s">
        <v>126</v>
      </c>
      <c r="F17" s="12" t="s">
        <v>127</v>
      </c>
      <c r="G17" s="12" t="s">
        <v>168</v>
      </c>
      <c r="H17" s="12" t="s">
        <v>169</v>
      </c>
      <c r="I17" s="12" t="s">
        <v>168</v>
      </c>
      <c r="J17" s="12" t="s">
        <v>170</v>
      </c>
      <c r="K17" s="11"/>
      <c r="L17" s="10">
        <v>6</v>
      </c>
      <c r="M17" s="10">
        <v>784</v>
      </c>
      <c r="N17" s="10">
        <v>897</v>
      </c>
      <c r="O17" s="10">
        <v>416</v>
      </c>
      <c r="P17" s="10">
        <v>193</v>
      </c>
      <c r="Q17" s="10">
        <v>50</v>
      </c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0">
        <v>6</v>
      </c>
      <c r="AQ17" s="10">
        <v>758</v>
      </c>
      <c r="AR17" s="10">
        <v>670</v>
      </c>
      <c r="AS17" s="10">
        <v>136</v>
      </c>
      <c r="AT17" s="10">
        <v>16</v>
      </c>
      <c r="AU17" s="10">
        <v>4</v>
      </c>
      <c r="AV17" s="10">
        <v>0</v>
      </c>
      <c r="AW17" s="10">
        <v>26</v>
      </c>
      <c r="AX17" s="10">
        <v>227</v>
      </c>
      <c r="AY17" s="10">
        <v>280</v>
      </c>
      <c r="AZ17" s="10">
        <v>177</v>
      </c>
      <c r="BA17" s="10">
        <v>46</v>
      </c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</row>
    <row r="18" spans="1:125" ht="20" customHeight="1">
      <c r="A18" s="8">
        <v>2022</v>
      </c>
      <c r="B18" s="9">
        <v>2022</v>
      </c>
      <c r="C18" s="10">
        <v>2022</v>
      </c>
      <c r="D18" s="11"/>
      <c r="E18" s="12" t="s">
        <v>126</v>
      </c>
      <c r="F18" s="12" t="s">
        <v>127</v>
      </c>
      <c r="G18" s="12" t="s">
        <v>171</v>
      </c>
      <c r="H18" s="12" t="s">
        <v>172</v>
      </c>
      <c r="I18" s="12" t="s">
        <v>171</v>
      </c>
      <c r="J18" s="12" t="s">
        <v>173</v>
      </c>
      <c r="K18" s="11"/>
      <c r="L18" s="10">
        <v>1</v>
      </c>
      <c r="M18" s="10">
        <v>338</v>
      </c>
      <c r="N18" s="10">
        <v>247</v>
      </c>
      <c r="O18" s="10">
        <v>64</v>
      </c>
      <c r="P18" s="10">
        <v>48</v>
      </c>
      <c r="Q18" s="10">
        <v>5</v>
      </c>
      <c r="R18" s="10">
        <v>15</v>
      </c>
      <c r="S18" s="10">
        <v>1113</v>
      </c>
      <c r="T18" s="10">
        <v>2668</v>
      </c>
      <c r="U18" s="10">
        <v>709</v>
      </c>
      <c r="V18" s="10">
        <v>203</v>
      </c>
      <c r="W18" s="10">
        <v>29</v>
      </c>
      <c r="X18" s="10">
        <v>7</v>
      </c>
      <c r="Y18" s="10">
        <v>593</v>
      </c>
      <c r="Z18" s="10">
        <v>1719</v>
      </c>
      <c r="AA18" s="10">
        <v>307</v>
      </c>
      <c r="AB18" s="10">
        <v>120</v>
      </c>
      <c r="AC18" s="10">
        <v>5</v>
      </c>
      <c r="AD18" s="10">
        <v>0</v>
      </c>
      <c r="AE18" s="10">
        <v>31</v>
      </c>
      <c r="AF18" s="10">
        <v>63</v>
      </c>
      <c r="AG18" s="10">
        <v>80</v>
      </c>
      <c r="AH18" s="10">
        <v>46</v>
      </c>
      <c r="AI18" s="10">
        <v>2</v>
      </c>
      <c r="AJ18" s="10">
        <v>1</v>
      </c>
      <c r="AK18" s="10">
        <v>78</v>
      </c>
      <c r="AL18" s="10">
        <v>151</v>
      </c>
      <c r="AM18" s="10">
        <v>69</v>
      </c>
      <c r="AN18" s="10">
        <v>39</v>
      </c>
      <c r="AO18" s="11"/>
      <c r="AP18" s="10">
        <v>1</v>
      </c>
      <c r="AQ18" s="10">
        <v>338</v>
      </c>
      <c r="AR18" s="10">
        <v>247</v>
      </c>
      <c r="AS18" s="10">
        <v>64</v>
      </c>
      <c r="AT18" s="10">
        <v>48</v>
      </c>
      <c r="AU18" s="10">
        <v>5</v>
      </c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0">
        <v>10</v>
      </c>
      <c r="BI18" s="10">
        <v>494</v>
      </c>
      <c r="BJ18" s="10">
        <v>1142</v>
      </c>
      <c r="BK18" s="10">
        <v>255</v>
      </c>
      <c r="BL18" s="10">
        <v>64</v>
      </c>
      <c r="BM18" s="10">
        <v>3</v>
      </c>
      <c r="BN18" s="10">
        <v>5</v>
      </c>
      <c r="BO18" s="10">
        <v>619</v>
      </c>
      <c r="BP18" s="10">
        <v>1526</v>
      </c>
      <c r="BQ18" s="10">
        <v>454</v>
      </c>
      <c r="BR18" s="10">
        <v>139</v>
      </c>
      <c r="BS18" s="10">
        <v>26</v>
      </c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0">
        <v>7</v>
      </c>
      <c r="CM18" s="10">
        <v>593</v>
      </c>
      <c r="CN18" s="10">
        <v>1719</v>
      </c>
      <c r="CO18" s="10">
        <v>307</v>
      </c>
      <c r="CP18" s="10">
        <v>120</v>
      </c>
      <c r="CQ18" s="10">
        <v>5</v>
      </c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0">
        <v>0</v>
      </c>
      <c r="DE18" s="10">
        <v>28</v>
      </c>
      <c r="DF18" s="10">
        <v>81</v>
      </c>
      <c r="DG18" s="10">
        <v>29</v>
      </c>
      <c r="DH18" s="10">
        <v>23</v>
      </c>
      <c r="DI18" s="10">
        <v>3</v>
      </c>
      <c r="DJ18" s="10">
        <v>0</v>
      </c>
      <c r="DK18" s="10">
        <v>21</v>
      </c>
      <c r="DL18" s="10">
        <v>65</v>
      </c>
      <c r="DM18" s="10">
        <v>43</v>
      </c>
      <c r="DN18" s="10">
        <v>13</v>
      </c>
      <c r="DO18" s="10">
        <v>2</v>
      </c>
      <c r="DP18" s="11"/>
      <c r="DQ18" s="11"/>
      <c r="DR18" s="11"/>
      <c r="DS18" s="11"/>
      <c r="DT18" s="11"/>
      <c r="DU18" s="11"/>
    </row>
    <row r="19" spans="1:125" ht="20" customHeight="1">
      <c r="A19" s="8">
        <v>2022</v>
      </c>
      <c r="B19" s="9">
        <v>2022</v>
      </c>
      <c r="C19" s="10">
        <v>2022</v>
      </c>
      <c r="D19" s="11"/>
      <c r="E19" s="12" t="s">
        <v>126</v>
      </c>
      <c r="F19" s="12" t="s">
        <v>127</v>
      </c>
      <c r="G19" s="12" t="s">
        <v>174</v>
      </c>
      <c r="H19" s="12" t="s">
        <v>175</v>
      </c>
      <c r="I19" s="12" t="s">
        <v>174</v>
      </c>
      <c r="J19" s="12" t="s">
        <v>176</v>
      </c>
      <c r="K19" s="11"/>
      <c r="L19" s="11"/>
      <c r="M19" s="10">
        <v>9</v>
      </c>
      <c r="N19" s="10">
        <v>15</v>
      </c>
      <c r="O19" s="10">
        <v>17</v>
      </c>
      <c r="P19" s="10">
        <v>9</v>
      </c>
      <c r="Q19" s="10">
        <v>7</v>
      </c>
      <c r="R19" s="10">
        <v>42</v>
      </c>
      <c r="S19" s="10">
        <v>256</v>
      </c>
      <c r="T19" s="10">
        <v>239</v>
      </c>
      <c r="U19" s="10">
        <v>162</v>
      </c>
      <c r="V19" s="10">
        <v>168</v>
      </c>
      <c r="W19" s="10">
        <v>80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1"/>
      <c r="AE19" s="10">
        <v>9</v>
      </c>
      <c r="AF19" s="10">
        <v>12</v>
      </c>
      <c r="AG19" s="10">
        <v>11</v>
      </c>
      <c r="AH19" s="10">
        <v>10</v>
      </c>
      <c r="AI19" s="10">
        <v>2</v>
      </c>
      <c r="AJ19" s="11"/>
      <c r="AK19" s="11"/>
      <c r="AL19" s="11"/>
      <c r="AM19" s="11"/>
      <c r="AN19" s="11"/>
      <c r="AO19" s="11"/>
      <c r="AP19" s="11"/>
      <c r="AQ19" s="10">
        <v>9</v>
      </c>
      <c r="AR19" s="10">
        <v>15</v>
      </c>
      <c r="AS19" s="10">
        <v>17</v>
      </c>
      <c r="AT19" s="10">
        <v>9</v>
      </c>
      <c r="AU19" s="10">
        <v>7</v>
      </c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42</v>
      </c>
      <c r="BO19" s="10">
        <v>256</v>
      </c>
      <c r="BP19" s="10">
        <v>239</v>
      </c>
      <c r="BQ19" s="10">
        <v>162</v>
      </c>
      <c r="BR19" s="10">
        <v>168</v>
      </c>
      <c r="BS19" s="10">
        <v>80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0">
        <v>2</v>
      </c>
      <c r="DG19" s="10">
        <v>6</v>
      </c>
      <c r="DH19" s="10">
        <v>5</v>
      </c>
      <c r="DI19" s="10">
        <v>3</v>
      </c>
      <c r="DJ19" s="11"/>
      <c r="DK19" s="11"/>
      <c r="DL19" s="10">
        <v>3</v>
      </c>
      <c r="DM19" s="10">
        <v>1</v>
      </c>
      <c r="DN19" s="10">
        <v>6</v>
      </c>
      <c r="DO19" s="10">
        <v>2</v>
      </c>
      <c r="DP19" s="11"/>
      <c r="DQ19" s="11"/>
      <c r="DR19" s="11"/>
      <c r="DS19" s="11"/>
      <c r="DT19" s="11"/>
      <c r="DU19" s="11"/>
    </row>
    <row r="20" spans="1:125" ht="20" customHeight="1">
      <c r="A20" s="8">
        <v>2022</v>
      </c>
      <c r="B20" s="9">
        <v>2022</v>
      </c>
      <c r="C20" s="10">
        <v>2022</v>
      </c>
      <c r="D20" s="11"/>
      <c r="E20" s="12" t="s">
        <v>126</v>
      </c>
      <c r="F20" s="12" t="s">
        <v>127</v>
      </c>
      <c r="G20" s="12" t="s">
        <v>177</v>
      </c>
      <c r="H20" s="12" t="s">
        <v>178</v>
      </c>
      <c r="I20" s="12" t="s">
        <v>177</v>
      </c>
      <c r="J20" s="12" t="s">
        <v>179</v>
      </c>
      <c r="K20" s="11"/>
      <c r="L20" s="11"/>
      <c r="M20" s="10">
        <v>464</v>
      </c>
      <c r="N20" s="10">
        <v>312</v>
      </c>
      <c r="O20" s="10">
        <v>121</v>
      </c>
      <c r="P20" s="10">
        <v>137</v>
      </c>
      <c r="Q20" s="10">
        <v>8</v>
      </c>
      <c r="R20" s="10">
        <v>75</v>
      </c>
      <c r="S20" s="10">
        <v>710</v>
      </c>
      <c r="T20" s="10">
        <v>2588</v>
      </c>
      <c r="U20" s="10">
        <v>1522</v>
      </c>
      <c r="V20" s="10">
        <v>675</v>
      </c>
      <c r="W20" s="10">
        <v>3</v>
      </c>
      <c r="X20" s="10">
        <v>6</v>
      </c>
      <c r="Y20" s="10">
        <v>59</v>
      </c>
      <c r="Z20" s="10">
        <v>424</v>
      </c>
      <c r="AA20" s="10">
        <v>270</v>
      </c>
      <c r="AB20" s="10">
        <v>147</v>
      </c>
      <c r="AC20" s="10">
        <v>1</v>
      </c>
      <c r="AD20" s="11"/>
      <c r="AE20" s="11"/>
      <c r="AF20" s="11"/>
      <c r="AG20" s="10">
        <v>1</v>
      </c>
      <c r="AH20" s="10">
        <v>8</v>
      </c>
      <c r="AI20" s="11"/>
      <c r="AJ20" s="10">
        <v>1</v>
      </c>
      <c r="AK20" s="10">
        <v>6</v>
      </c>
      <c r="AL20" s="10">
        <v>9</v>
      </c>
      <c r="AM20" s="10">
        <v>4</v>
      </c>
      <c r="AN20" s="10">
        <v>8</v>
      </c>
      <c r="AO20" s="11"/>
      <c r="AP20" s="11"/>
      <c r="AQ20" s="10">
        <v>457</v>
      </c>
      <c r="AR20" s="10">
        <v>215</v>
      </c>
      <c r="AS20" s="10">
        <v>48</v>
      </c>
      <c r="AT20" s="10">
        <v>62</v>
      </c>
      <c r="AU20" s="10">
        <v>5</v>
      </c>
      <c r="AV20" s="11"/>
      <c r="AW20" s="10">
        <v>7</v>
      </c>
      <c r="AX20" s="10">
        <v>97</v>
      </c>
      <c r="AY20" s="10">
        <v>73</v>
      </c>
      <c r="AZ20" s="10">
        <v>75</v>
      </c>
      <c r="BA20" s="10">
        <v>3</v>
      </c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0">
        <v>75</v>
      </c>
      <c r="BO20" s="10">
        <v>710</v>
      </c>
      <c r="BP20" s="10">
        <v>2588</v>
      </c>
      <c r="BQ20" s="10">
        <v>1522</v>
      </c>
      <c r="BR20" s="10">
        <v>675</v>
      </c>
      <c r="BS20" s="10">
        <v>3</v>
      </c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0">
        <v>6</v>
      </c>
      <c r="CM20" s="10">
        <v>59</v>
      </c>
      <c r="CN20" s="10">
        <v>424</v>
      </c>
      <c r="CO20" s="10">
        <v>270</v>
      </c>
      <c r="CP20" s="10">
        <v>147</v>
      </c>
      <c r="CQ20" s="10">
        <v>1</v>
      </c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0">
        <v>12</v>
      </c>
      <c r="DG20" s="10">
        <v>7</v>
      </c>
      <c r="DH20" s="10">
        <v>11</v>
      </c>
      <c r="DI20" s="10">
        <v>1</v>
      </c>
      <c r="DJ20" s="11"/>
      <c r="DK20" s="11"/>
      <c r="DL20" s="10">
        <v>8</v>
      </c>
      <c r="DM20" s="10">
        <v>6</v>
      </c>
      <c r="DN20" s="10">
        <v>10</v>
      </c>
      <c r="DO20" s="11"/>
      <c r="DP20" s="11"/>
      <c r="DQ20" s="11"/>
      <c r="DR20" s="11"/>
      <c r="DS20" s="11"/>
      <c r="DT20" s="11"/>
      <c r="DU20" s="11"/>
    </row>
    <row r="21" spans="1:125" ht="20" customHeight="1">
      <c r="A21" s="8">
        <v>2022</v>
      </c>
      <c r="B21" s="9">
        <v>2022</v>
      </c>
      <c r="C21" s="10">
        <v>2022</v>
      </c>
      <c r="D21" s="11"/>
      <c r="E21" s="12" t="s">
        <v>126</v>
      </c>
      <c r="F21" s="12" t="s">
        <v>127</v>
      </c>
      <c r="G21" s="12" t="s">
        <v>180</v>
      </c>
      <c r="H21" s="12" t="s">
        <v>181</v>
      </c>
      <c r="I21" s="12" t="s">
        <v>180</v>
      </c>
      <c r="J21" s="12" t="s">
        <v>182</v>
      </c>
      <c r="K21" s="11"/>
      <c r="L21" s="10">
        <v>22</v>
      </c>
      <c r="M21" s="10">
        <v>1908</v>
      </c>
      <c r="N21" s="10">
        <v>1492</v>
      </c>
      <c r="O21" s="10">
        <v>966</v>
      </c>
      <c r="P21" s="10">
        <v>555</v>
      </c>
      <c r="Q21" s="10">
        <v>299</v>
      </c>
      <c r="R21" s="10">
        <v>4545</v>
      </c>
      <c r="S21" s="10">
        <v>19288</v>
      </c>
      <c r="T21" s="10">
        <v>7021</v>
      </c>
      <c r="U21" s="10">
        <v>2197</v>
      </c>
      <c r="V21" s="10">
        <v>585</v>
      </c>
      <c r="W21" s="10">
        <v>143</v>
      </c>
      <c r="X21" s="10">
        <v>889</v>
      </c>
      <c r="Y21" s="10">
        <v>2777</v>
      </c>
      <c r="Z21" s="10">
        <v>2326</v>
      </c>
      <c r="AA21" s="10">
        <v>2029</v>
      </c>
      <c r="AB21" s="10">
        <v>906</v>
      </c>
      <c r="AC21" s="10">
        <v>281</v>
      </c>
      <c r="AD21" s="10">
        <v>3</v>
      </c>
      <c r="AE21" s="10">
        <v>103</v>
      </c>
      <c r="AF21" s="10">
        <v>63</v>
      </c>
      <c r="AG21" s="10">
        <v>55</v>
      </c>
      <c r="AH21" s="10">
        <v>22</v>
      </c>
      <c r="AI21" s="10">
        <v>15</v>
      </c>
      <c r="AJ21" s="10">
        <v>7</v>
      </c>
      <c r="AK21" s="10">
        <v>328</v>
      </c>
      <c r="AL21" s="10">
        <v>214</v>
      </c>
      <c r="AM21" s="10">
        <v>58</v>
      </c>
      <c r="AN21" s="10">
        <v>27</v>
      </c>
      <c r="AO21" s="10">
        <v>5</v>
      </c>
      <c r="AP21" s="10">
        <v>22</v>
      </c>
      <c r="AQ21" s="10">
        <v>1871</v>
      </c>
      <c r="AR21" s="10">
        <v>1268</v>
      </c>
      <c r="AS21" s="10">
        <v>790</v>
      </c>
      <c r="AT21" s="10">
        <v>488</v>
      </c>
      <c r="AU21" s="10">
        <v>269</v>
      </c>
      <c r="AV21" s="10">
        <v>0</v>
      </c>
      <c r="AW21" s="10">
        <v>37</v>
      </c>
      <c r="AX21" s="10">
        <v>224</v>
      </c>
      <c r="AY21" s="10">
        <v>176</v>
      </c>
      <c r="AZ21" s="10">
        <v>67</v>
      </c>
      <c r="BA21" s="10">
        <v>30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4545</v>
      </c>
      <c r="BO21" s="10">
        <v>19288</v>
      </c>
      <c r="BP21" s="10">
        <v>7021</v>
      </c>
      <c r="BQ21" s="10">
        <v>2197</v>
      </c>
      <c r="BR21" s="10">
        <v>585</v>
      </c>
      <c r="BS21" s="10">
        <v>143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1"/>
      <c r="CA21" s="11"/>
      <c r="CB21" s="11"/>
      <c r="CC21" s="11"/>
      <c r="CD21" s="11"/>
      <c r="CE21" s="11"/>
      <c r="CF21" s="11"/>
      <c r="CG21" s="11"/>
      <c r="CH21" s="11"/>
      <c r="CI21" s="11"/>
      <c r="CJ21" s="11"/>
      <c r="CK21" s="11"/>
      <c r="CL21" s="10">
        <v>889</v>
      </c>
      <c r="CM21" s="10">
        <v>2777</v>
      </c>
      <c r="CN21" s="10">
        <v>2326</v>
      </c>
      <c r="CO21" s="10">
        <v>2029</v>
      </c>
      <c r="CP21" s="10">
        <v>906</v>
      </c>
      <c r="CQ21" s="10">
        <v>281</v>
      </c>
      <c r="CR21" s="11"/>
      <c r="CS21" s="11"/>
      <c r="CT21" s="11"/>
      <c r="CU21" s="11"/>
      <c r="CV21" s="11"/>
      <c r="CW21" s="11"/>
      <c r="CX21" s="11"/>
      <c r="CY21" s="11"/>
      <c r="CZ21" s="11"/>
      <c r="DA21" s="11"/>
      <c r="DB21" s="11"/>
      <c r="DC21" s="11"/>
      <c r="DD21" s="10">
        <v>0</v>
      </c>
      <c r="DE21" s="10">
        <v>3</v>
      </c>
      <c r="DF21" s="10">
        <v>30</v>
      </c>
      <c r="DG21" s="10">
        <v>37</v>
      </c>
      <c r="DH21" s="10">
        <v>11</v>
      </c>
      <c r="DI21" s="10">
        <v>4</v>
      </c>
      <c r="DJ21" s="10">
        <v>0</v>
      </c>
      <c r="DK21" s="10">
        <v>5</v>
      </c>
      <c r="DL21" s="10">
        <v>22</v>
      </c>
      <c r="DM21" s="10">
        <v>22</v>
      </c>
      <c r="DN21" s="10">
        <v>11</v>
      </c>
      <c r="DO21" s="10">
        <v>1</v>
      </c>
      <c r="DP21" s="10">
        <v>57</v>
      </c>
      <c r="DQ21" s="10">
        <v>1341</v>
      </c>
      <c r="DR21" s="10">
        <v>873</v>
      </c>
      <c r="DS21" s="10">
        <v>128</v>
      </c>
      <c r="DT21" s="10">
        <v>20</v>
      </c>
      <c r="DU21" s="10">
        <v>2</v>
      </c>
    </row>
    <row r="22" spans="1:125" ht="20" customHeight="1">
      <c r="A22" s="8">
        <v>2022</v>
      </c>
      <c r="B22" s="9">
        <v>2022</v>
      </c>
      <c r="C22" s="10">
        <v>2022</v>
      </c>
      <c r="D22" s="11"/>
      <c r="E22" s="12" t="s">
        <v>126</v>
      </c>
      <c r="F22" s="12" t="s">
        <v>127</v>
      </c>
      <c r="G22" s="12" t="s">
        <v>183</v>
      </c>
      <c r="H22" s="12" t="s">
        <v>184</v>
      </c>
      <c r="I22" s="12" t="s">
        <v>183</v>
      </c>
      <c r="J22" s="12" t="s">
        <v>185</v>
      </c>
      <c r="K22" s="11"/>
      <c r="L22" s="10">
        <v>0</v>
      </c>
      <c r="M22" s="10">
        <v>433</v>
      </c>
      <c r="N22" s="10">
        <v>1110</v>
      </c>
      <c r="O22" s="10">
        <v>1165</v>
      </c>
      <c r="P22" s="10">
        <v>0</v>
      </c>
      <c r="Q22" s="10">
        <v>0</v>
      </c>
      <c r="R22" s="10">
        <v>0</v>
      </c>
      <c r="S22" s="10">
        <v>13516</v>
      </c>
      <c r="T22" s="10">
        <v>15126</v>
      </c>
      <c r="U22" s="10">
        <v>3540</v>
      </c>
      <c r="V22" s="10">
        <v>0</v>
      </c>
      <c r="W22" s="10">
        <v>0</v>
      </c>
      <c r="X22" s="10">
        <v>56</v>
      </c>
      <c r="Y22" s="10">
        <v>867</v>
      </c>
      <c r="Z22" s="10">
        <v>1090</v>
      </c>
      <c r="AA22" s="10">
        <v>783</v>
      </c>
      <c r="AB22" s="10">
        <v>0</v>
      </c>
      <c r="AC22" s="10">
        <v>0</v>
      </c>
      <c r="AD22" s="10">
        <v>456</v>
      </c>
      <c r="AE22" s="10">
        <v>1433</v>
      </c>
      <c r="AF22" s="10">
        <v>378</v>
      </c>
      <c r="AG22" s="10">
        <v>432</v>
      </c>
      <c r="AH22" s="10">
        <v>0</v>
      </c>
      <c r="AI22" s="10">
        <v>0</v>
      </c>
      <c r="AJ22" s="10">
        <v>666</v>
      </c>
      <c r="AK22" s="10">
        <v>951</v>
      </c>
      <c r="AL22" s="10">
        <v>114</v>
      </c>
      <c r="AM22" s="10">
        <v>152</v>
      </c>
      <c r="AN22" s="10">
        <v>0</v>
      </c>
      <c r="AO22" s="10">
        <v>0</v>
      </c>
      <c r="AP22" s="10">
        <v>0</v>
      </c>
      <c r="AQ22" s="10">
        <v>325</v>
      </c>
      <c r="AR22" s="10">
        <v>833</v>
      </c>
      <c r="AS22" s="10">
        <v>874</v>
      </c>
      <c r="AT22" s="10">
        <v>0</v>
      </c>
      <c r="AU22" s="10">
        <v>0</v>
      </c>
      <c r="AV22" s="10">
        <v>0</v>
      </c>
      <c r="AW22" s="10">
        <v>108</v>
      </c>
      <c r="AX22" s="10">
        <v>277</v>
      </c>
      <c r="AY22" s="10">
        <v>291</v>
      </c>
      <c r="AZ22" s="10">
        <v>0</v>
      </c>
      <c r="BA22" s="10">
        <v>0</v>
      </c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0">
        <v>0</v>
      </c>
      <c r="BO22" s="10">
        <v>13516</v>
      </c>
      <c r="BP22" s="10">
        <v>15126</v>
      </c>
      <c r="BQ22" s="10">
        <v>3540</v>
      </c>
      <c r="BR22" s="10">
        <v>0</v>
      </c>
      <c r="BS22" s="10">
        <v>0</v>
      </c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0">
        <v>56</v>
      </c>
      <c r="CM22" s="10">
        <v>867</v>
      </c>
      <c r="CN22" s="10">
        <v>1090</v>
      </c>
      <c r="CO22" s="10">
        <v>783</v>
      </c>
      <c r="CP22" s="10">
        <v>0</v>
      </c>
      <c r="CQ22" s="10">
        <v>0</v>
      </c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0">
        <v>0</v>
      </c>
      <c r="DE22" s="10">
        <v>23</v>
      </c>
      <c r="DF22" s="10">
        <v>58</v>
      </c>
      <c r="DG22" s="10">
        <v>61</v>
      </c>
      <c r="DH22" s="10">
        <v>0</v>
      </c>
      <c r="DI22" s="11"/>
      <c r="DJ22" s="10">
        <v>0</v>
      </c>
      <c r="DK22" s="10">
        <v>9</v>
      </c>
      <c r="DL22" s="10">
        <v>23</v>
      </c>
      <c r="DM22" s="10">
        <v>24</v>
      </c>
      <c r="DN22" s="10">
        <v>0</v>
      </c>
      <c r="DO22" s="10">
        <v>0</v>
      </c>
      <c r="DP22" s="10">
        <v>0</v>
      </c>
      <c r="DQ22" s="10">
        <v>1183</v>
      </c>
      <c r="DR22" s="10">
        <v>9269</v>
      </c>
      <c r="DS22" s="10">
        <v>9269</v>
      </c>
      <c r="DT22" s="10">
        <v>0</v>
      </c>
      <c r="DU22" s="10">
        <v>0</v>
      </c>
    </row>
    <row r="23" spans="1:125" ht="20" customHeight="1">
      <c r="A23" s="8">
        <v>2022</v>
      </c>
      <c r="B23" s="9">
        <v>2022</v>
      </c>
      <c r="C23" s="10">
        <v>2022</v>
      </c>
      <c r="D23" s="11"/>
      <c r="E23" s="12" t="s">
        <v>126</v>
      </c>
      <c r="F23" s="12" t="s">
        <v>127</v>
      </c>
      <c r="G23" s="12" t="s">
        <v>186</v>
      </c>
      <c r="H23" s="12" t="s">
        <v>187</v>
      </c>
      <c r="I23" s="12" t="s">
        <v>186</v>
      </c>
      <c r="J23" s="12" t="s">
        <v>188</v>
      </c>
      <c r="K23" s="11"/>
      <c r="L23" s="11"/>
      <c r="M23" s="10">
        <v>175</v>
      </c>
      <c r="N23" s="11"/>
      <c r="O23" s="11"/>
      <c r="P23" s="11"/>
      <c r="Q23" s="11"/>
      <c r="R23" s="10">
        <v>859</v>
      </c>
      <c r="S23" s="10">
        <v>2083</v>
      </c>
      <c r="T23" s="10">
        <v>940</v>
      </c>
      <c r="U23" s="10">
        <v>916</v>
      </c>
      <c r="V23" s="10">
        <v>209</v>
      </c>
      <c r="W23" s="11"/>
      <c r="X23" s="11"/>
      <c r="Y23" s="10">
        <v>28</v>
      </c>
      <c r="Z23" s="10">
        <v>32</v>
      </c>
      <c r="AA23" s="10">
        <v>7</v>
      </c>
      <c r="AB23" s="11"/>
      <c r="AC23" s="11"/>
      <c r="AD23" s="11"/>
      <c r="AE23" s="10">
        <v>49</v>
      </c>
      <c r="AF23" s="10">
        <v>7</v>
      </c>
      <c r="AG23" s="10">
        <v>2</v>
      </c>
      <c r="AH23" s="11"/>
      <c r="AI23" s="11"/>
      <c r="AJ23" s="10">
        <v>8</v>
      </c>
      <c r="AK23" s="10">
        <v>161</v>
      </c>
      <c r="AL23" s="10">
        <v>20</v>
      </c>
      <c r="AM23" s="10">
        <v>9</v>
      </c>
      <c r="AN23" s="10">
        <v>1</v>
      </c>
      <c r="AO23" s="11"/>
      <c r="AP23" s="11"/>
      <c r="AQ23" s="10">
        <v>175</v>
      </c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0">
        <v>634</v>
      </c>
      <c r="BI23" s="10">
        <v>1475</v>
      </c>
      <c r="BJ23" s="10">
        <v>595</v>
      </c>
      <c r="BK23" s="10">
        <v>576</v>
      </c>
      <c r="BL23" s="10">
        <v>92</v>
      </c>
      <c r="BM23" s="11"/>
      <c r="BN23" s="10">
        <v>224</v>
      </c>
      <c r="BO23" s="10">
        <v>563</v>
      </c>
      <c r="BP23" s="10">
        <v>287</v>
      </c>
      <c r="BQ23" s="10">
        <v>293</v>
      </c>
      <c r="BR23" s="10">
        <v>80</v>
      </c>
      <c r="BS23" s="11"/>
      <c r="BT23" s="10">
        <v>1</v>
      </c>
      <c r="BU23" s="10">
        <v>45</v>
      </c>
      <c r="BV23" s="10">
        <v>58</v>
      </c>
      <c r="BW23" s="10">
        <v>47</v>
      </c>
      <c r="BX23" s="10">
        <v>37</v>
      </c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0">
        <v>28</v>
      </c>
      <c r="CN23" s="10">
        <v>32</v>
      </c>
      <c r="CO23" s="10">
        <v>7</v>
      </c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0">
        <v>2</v>
      </c>
      <c r="DG23" s="10">
        <v>8</v>
      </c>
      <c r="DH23" s="11"/>
      <c r="DI23" s="11"/>
      <c r="DJ23" s="11"/>
      <c r="DK23" s="11"/>
      <c r="DL23" s="10">
        <v>3</v>
      </c>
      <c r="DM23" s="10">
        <v>7</v>
      </c>
      <c r="DN23" s="11"/>
      <c r="DO23" s="11"/>
      <c r="DP23" s="10">
        <v>130</v>
      </c>
      <c r="DQ23" s="10">
        <v>1031</v>
      </c>
      <c r="DR23" s="10">
        <v>1368</v>
      </c>
      <c r="DS23" s="10">
        <v>97</v>
      </c>
      <c r="DT23" s="11"/>
      <c r="DU23" s="11"/>
    </row>
    <row r="24" spans="1:125" ht="20" customHeight="1">
      <c r="A24" s="8">
        <v>2022</v>
      </c>
      <c r="B24" s="9">
        <v>2022</v>
      </c>
      <c r="C24" s="10">
        <v>2022</v>
      </c>
      <c r="D24" s="11"/>
      <c r="E24" s="12" t="s">
        <v>126</v>
      </c>
      <c r="F24" s="12" t="s">
        <v>127</v>
      </c>
      <c r="G24" s="12" t="s">
        <v>189</v>
      </c>
      <c r="H24" s="12" t="s">
        <v>190</v>
      </c>
      <c r="I24" s="12" t="s">
        <v>189</v>
      </c>
      <c r="J24" s="12" t="s">
        <v>191</v>
      </c>
      <c r="K24" s="11"/>
      <c r="L24" s="10">
        <v>3</v>
      </c>
      <c r="M24" s="10">
        <v>213</v>
      </c>
      <c r="N24" s="10">
        <v>267</v>
      </c>
      <c r="O24" s="10">
        <v>155</v>
      </c>
      <c r="P24" s="10">
        <v>64</v>
      </c>
      <c r="Q24" s="10">
        <v>28</v>
      </c>
      <c r="R24" s="10">
        <v>121</v>
      </c>
      <c r="S24" s="10">
        <v>987</v>
      </c>
      <c r="T24" s="10">
        <v>1001</v>
      </c>
      <c r="U24" s="10">
        <v>411</v>
      </c>
      <c r="V24" s="10">
        <v>146</v>
      </c>
      <c r="W24" s="10">
        <v>4</v>
      </c>
      <c r="X24" s="10">
        <v>58</v>
      </c>
      <c r="Y24" s="10">
        <v>749</v>
      </c>
      <c r="Z24" s="10">
        <v>740</v>
      </c>
      <c r="AA24" s="10">
        <v>263</v>
      </c>
      <c r="AB24" s="10">
        <v>45</v>
      </c>
      <c r="AC24" s="10">
        <v>9</v>
      </c>
      <c r="AD24" s="10">
        <v>0</v>
      </c>
      <c r="AE24" s="10">
        <v>0</v>
      </c>
      <c r="AF24" s="10">
        <v>8</v>
      </c>
      <c r="AG24" s="10">
        <v>4</v>
      </c>
      <c r="AH24" s="10">
        <v>6</v>
      </c>
      <c r="AI24" s="10">
        <v>0</v>
      </c>
      <c r="AJ24" s="11"/>
      <c r="AK24" s="11"/>
      <c r="AL24" s="11"/>
      <c r="AM24" s="11"/>
      <c r="AN24" s="11"/>
      <c r="AO24" s="11"/>
      <c r="AP24" s="10">
        <v>3</v>
      </c>
      <c r="AQ24" s="10">
        <v>189</v>
      </c>
      <c r="AR24" s="10">
        <v>79</v>
      </c>
      <c r="AS24" s="10">
        <v>20</v>
      </c>
      <c r="AT24" s="10">
        <v>23</v>
      </c>
      <c r="AU24" s="10">
        <v>17</v>
      </c>
      <c r="AV24" s="10">
        <v>0</v>
      </c>
      <c r="AW24" s="10">
        <v>24</v>
      </c>
      <c r="AX24" s="10">
        <v>188</v>
      </c>
      <c r="AY24" s="10">
        <v>135</v>
      </c>
      <c r="AZ24" s="10">
        <v>41</v>
      </c>
      <c r="BA24" s="10">
        <v>11</v>
      </c>
      <c r="BB24" s="11"/>
      <c r="BC24" s="11"/>
      <c r="BD24" s="11"/>
      <c r="BE24" s="11"/>
      <c r="BF24" s="11"/>
      <c r="BG24" s="11"/>
      <c r="BH24" s="10">
        <v>14</v>
      </c>
      <c r="BI24" s="10">
        <v>267</v>
      </c>
      <c r="BJ24" s="10">
        <v>410</v>
      </c>
      <c r="BK24" s="10">
        <v>202</v>
      </c>
      <c r="BL24" s="10">
        <v>38</v>
      </c>
      <c r="BM24" s="10">
        <v>0</v>
      </c>
      <c r="BN24" s="10">
        <v>107</v>
      </c>
      <c r="BO24" s="10">
        <v>720</v>
      </c>
      <c r="BP24" s="10">
        <v>591</v>
      </c>
      <c r="BQ24" s="10">
        <v>209</v>
      </c>
      <c r="BR24" s="10">
        <v>108</v>
      </c>
      <c r="BS24" s="10">
        <v>4</v>
      </c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0">
        <v>44</v>
      </c>
      <c r="CM24" s="10">
        <v>471</v>
      </c>
      <c r="CN24" s="10">
        <v>365</v>
      </c>
      <c r="CO24" s="10">
        <v>121</v>
      </c>
      <c r="CP24" s="10">
        <v>34</v>
      </c>
      <c r="CQ24" s="10">
        <v>8</v>
      </c>
      <c r="CR24" s="10">
        <v>14</v>
      </c>
      <c r="CS24" s="10">
        <v>278</v>
      </c>
      <c r="CT24" s="10">
        <v>375</v>
      </c>
      <c r="CU24" s="10">
        <v>142</v>
      </c>
      <c r="CV24" s="10">
        <v>11</v>
      </c>
      <c r="CW24" s="10">
        <v>1</v>
      </c>
      <c r="CX24" s="11"/>
      <c r="CY24" s="11"/>
      <c r="CZ24" s="11"/>
      <c r="DA24" s="11"/>
      <c r="DB24" s="11"/>
      <c r="DC24" s="11"/>
      <c r="DD24" s="10">
        <v>0</v>
      </c>
      <c r="DE24" s="10">
        <v>4</v>
      </c>
      <c r="DF24" s="10">
        <v>14</v>
      </c>
      <c r="DG24" s="10">
        <v>23</v>
      </c>
      <c r="DH24" s="10">
        <v>2</v>
      </c>
      <c r="DI24" s="10">
        <v>0</v>
      </c>
      <c r="DJ24" s="10">
        <v>0</v>
      </c>
      <c r="DK24" s="10">
        <v>3</v>
      </c>
      <c r="DL24" s="10">
        <v>15</v>
      </c>
      <c r="DM24" s="10">
        <v>12</v>
      </c>
      <c r="DN24" s="10">
        <v>7</v>
      </c>
      <c r="DO24" s="10">
        <v>0</v>
      </c>
      <c r="DP24" s="11"/>
      <c r="DQ24" s="11"/>
      <c r="DR24" s="11"/>
      <c r="DS24" s="11"/>
      <c r="DT24" s="11"/>
      <c r="DU24" s="11"/>
    </row>
    <row r="25" spans="1:125" ht="20" customHeight="1">
      <c r="A25" s="8">
        <v>2021</v>
      </c>
      <c r="B25" s="9">
        <v>2021</v>
      </c>
      <c r="C25" s="10">
        <v>2021</v>
      </c>
      <c r="D25" s="11"/>
      <c r="E25" s="12" t="s">
        <v>126</v>
      </c>
      <c r="F25" s="12" t="s">
        <v>127</v>
      </c>
      <c r="G25" s="11"/>
      <c r="H25" s="12" t="s">
        <v>128</v>
      </c>
      <c r="I25" s="12" t="s">
        <v>127</v>
      </c>
      <c r="J25" s="12" t="s">
        <v>127</v>
      </c>
      <c r="K25" s="11"/>
      <c r="L25" s="10">
        <v>90</v>
      </c>
      <c r="M25" s="10">
        <v>9897</v>
      </c>
      <c r="N25" s="10">
        <v>9568</v>
      </c>
      <c r="O25" s="10">
        <v>3374</v>
      </c>
      <c r="P25" s="10">
        <v>1376</v>
      </c>
      <c r="Q25" s="10">
        <v>184</v>
      </c>
      <c r="R25" s="10">
        <v>1597</v>
      </c>
      <c r="S25" s="10">
        <v>84764</v>
      </c>
      <c r="T25" s="10">
        <v>63422</v>
      </c>
      <c r="U25" s="10">
        <v>20981</v>
      </c>
      <c r="V25" s="10">
        <v>8779</v>
      </c>
      <c r="W25" s="10">
        <v>342</v>
      </c>
      <c r="X25" s="10">
        <v>798</v>
      </c>
      <c r="Y25" s="10">
        <v>17671</v>
      </c>
      <c r="Z25" s="10">
        <v>16796</v>
      </c>
      <c r="AA25" s="10">
        <v>4278</v>
      </c>
      <c r="AB25" s="10">
        <v>1282</v>
      </c>
      <c r="AC25" s="10">
        <v>67</v>
      </c>
      <c r="AD25" s="10">
        <v>6</v>
      </c>
      <c r="AE25" s="10">
        <v>482</v>
      </c>
      <c r="AF25" s="10">
        <v>473</v>
      </c>
      <c r="AG25" s="10">
        <v>199</v>
      </c>
      <c r="AH25" s="10">
        <v>80</v>
      </c>
      <c r="AI25" s="10">
        <v>10</v>
      </c>
      <c r="AJ25" s="10">
        <v>24</v>
      </c>
      <c r="AK25" s="10">
        <v>1256</v>
      </c>
      <c r="AL25" s="10">
        <v>1740</v>
      </c>
      <c r="AM25" s="10">
        <v>424</v>
      </c>
      <c r="AN25" s="10">
        <v>237</v>
      </c>
      <c r="AO25" s="10">
        <v>12</v>
      </c>
      <c r="AP25" s="10">
        <v>79</v>
      </c>
      <c r="AQ25" s="10">
        <v>9124</v>
      </c>
      <c r="AR25" s="10">
        <v>5467</v>
      </c>
      <c r="AS25" s="10">
        <v>1236</v>
      </c>
      <c r="AT25" s="10">
        <v>455</v>
      </c>
      <c r="AU25" s="10">
        <v>36</v>
      </c>
      <c r="AV25" s="10">
        <v>11</v>
      </c>
      <c r="AW25" s="10">
        <v>772</v>
      </c>
      <c r="AX25" s="10">
        <v>4099</v>
      </c>
      <c r="AY25" s="10">
        <v>2138</v>
      </c>
      <c r="AZ25" s="10">
        <v>920</v>
      </c>
      <c r="BA25" s="10">
        <v>148</v>
      </c>
      <c r="BB25" s="10">
        <v>0</v>
      </c>
      <c r="BC25" s="10">
        <v>1</v>
      </c>
      <c r="BD25" s="10">
        <v>2</v>
      </c>
      <c r="BE25" s="10">
        <v>0</v>
      </c>
      <c r="BF25" s="10">
        <v>1</v>
      </c>
      <c r="BG25" s="10">
        <v>0</v>
      </c>
      <c r="BH25" s="10">
        <v>598</v>
      </c>
      <c r="BI25" s="10">
        <v>38452</v>
      </c>
      <c r="BJ25" s="10">
        <v>23752</v>
      </c>
      <c r="BK25" s="10">
        <v>2365</v>
      </c>
      <c r="BL25" s="10">
        <v>1669</v>
      </c>
      <c r="BM25" s="10">
        <v>184</v>
      </c>
      <c r="BN25" s="10">
        <v>997</v>
      </c>
      <c r="BO25" s="10">
        <v>45909</v>
      </c>
      <c r="BP25" s="10">
        <v>38883</v>
      </c>
      <c r="BQ25" s="10">
        <v>17539</v>
      </c>
      <c r="BR25" s="10">
        <v>6685</v>
      </c>
      <c r="BS25" s="10">
        <v>118</v>
      </c>
      <c r="BT25" s="10">
        <v>2</v>
      </c>
      <c r="BU25" s="10">
        <v>403</v>
      </c>
      <c r="BV25" s="10">
        <v>787</v>
      </c>
      <c r="BW25" s="10">
        <v>1077</v>
      </c>
      <c r="BX25" s="10">
        <v>425</v>
      </c>
      <c r="BY25" s="10">
        <v>40</v>
      </c>
      <c r="BZ25" s="10">
        <v>14</v>
      </c>
      <c r="CA25" s="10">
        <v>490</v>
      </c>
      <c r="CB25" s="10">
        <v>862</v>
      </c>
      <c r="CC25" s="10">
        <v>169</v>
      </c>
      <c r="CD25" s="10">
        <v>83</v>
      </c>
      <c r="CE25" s="10">
        <v>0</v>
      </c>
      <c r="CF25" s="10">
        <v>0</v>
      </c>
      <c r="CG25" s="10">
        <v>0</v>
      </c>
      <c r="CH25" s="10">
        <v>19</v>
      </c>
      <c r="CI25" s="10">
        <v>48</v>
      </c>
      <c r="CJ25" s="10">
        <v>64</v>
      </c>
      <c r="CK25" s="10">
        <v>0</v>
      </c>
      <c r="CL25" s="10">
        <v>213</v>
      </c>
      <c r="CM25" s="10">
        <v>13893</v>
      </c>
      <c r="CN25" s="10">
        <v>13037</v>
      </c>
      <c r="CO25" s="10">
        <v>2460</v>
      </c>
      <c r="CP25" s="10">
        <v>850</v>
      </c>
      <c r="CQ25" s="10">
        <v>1</v>
      </c>
      <c r="CR25" s="10">
        <v>585</v>
      </c>
      <c r="CS25" s="10">
        <v>3778</v>
      </c>
      <c r="CT25" s="10">
        <v>3759</v>
      </c>
      <c r="CU25" s="10">
        <v>1818</v>
      </c>
      <c r="CV25" s="10">
        <v>432</v>
      </c>
      <c r="CW25" s="10">
        <v>66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1</v>
      </c>
      <c r="DE25" s="10">
        <v>60</v>
      </c>
      <c r="DF25" s="10">
        <v>274</v>
      </c>
      <c r="DG25" s="10">
        <v>185</v>
      </c>
      <c r="DH25" s="10">
        <v>79</v>
      </c>
      <c r="DI25" s="10">
        <v>9</v>
      </c>
      <c r="DJ25" s="10">
        <v>0</v>
      </c>
      <c r="DK25" s="10">
        <v>49</v>
      </c>
      <c r="DL25" s="10">
        <v>194</v>
      </c>
      <c r="DM25" s="10">
        <v>144</v>
      </c>
      <c r="DN25" s="10">
        <v>46</v>
      </c>
      <c r="DO25" s="10">
        <v>0</v>
      </c>
      <c r="DP25" s="10">
        <v>16</v>
      </c>
      <c r="DQ25" s="10">
        <v>647</v>
      </c>
      <c r="DR25" s="10">
        <v>1553</v>
      </c>
      <c r="DS25" s="10">
        <v>701</v>
      </c>
      <c r="DT25" s="10">
        <v>51</v>
      </c>
      <c r="DU25" s="10">
        <v>0</v>
      </c>
    </row>
    <row r="26" spans="1:125" ht="20" customHeight="1">
      <c r="A26" s="8">
        <v>2021</v>
      </c>
      <c r="B26" s="9">
        <v>2021</v>
      </c>
      <c r="C26" s="10">
        <v>2021</v>
      </c>
      <c r="D26" s="11"/>
      <c r="E26" s="12" t="s">
        <v>126</v>
      </c>
      <c r="F26" s="12" t="s">
        <v>127</v>
      </c>
      <c r="G26" s="12" t="s">
        <v>129</v>
      </c>
      <c r="H26" s="12" t="s">
        <v>130</v>
      </c>
      <c r="I26" s="12" t="s">
        <v>129</v>
      </c>
      <c r="J26" s="12" t="s">
        <v>131</v>
      </c>
      <c r="K26" s="11"/>
      <c r="L26" s="10">
        <v>0</v>
      </c>
      <c r="M26" s="10">
        <v>887</v>
      </c>
      <c r="N26" s="10">
        <v>881</v>
      </c>
      <c r="O26" s="10">
        <v>295</v>
      </c>
      <c r="P26" s="10">
        <v>151</v>
      </c>
      <c r="Q26" s="10">
        <v>2</v>
      </c>
      <c r="R26" s="10">
        <v>14</v>
      </c>
      <c r="S26" s="10">
        <v>2863</v>
      </c>
      <c r="T26" s="10">
        <v>5243</v>
      </c>
      <c r="U26" s="10">
        <v>3455</v>
      </c>
      <c r="V26" s="10">
        <v>614</v>
      </c>
      <c r="W26" s="10">
        <v>0</v>
      </c>
      <c r="X26" s="10">
        <v>21</v>
      </c>
      <c r="Y26" s="10">
        <v>2241</v>
      </c>
      <c r="Z26" s="10">
        <v>3860</v>
      </c>
      <c r="AA26" s="10">
        <v>1804</v>
      </c>
      <c r="AB26" s="10">
        <v>126</v>
      </c>
      <c r="AC26" s="10">
        <v>0</v>
      </c>
      <c r="AD26" s="10">
        <v>5</v>
      </c>
      <c r="AE26" s="10">
        <v>22</v>
      </c>
      <c r="AF26" s="10">
        <v>21</v>
      </c>
      <c r="AG26" s="10">
        <v>29</v>
      </c>
      <c r="AH26" s="10">
        <v>21</v>
      </c>
      <c r="AI26" s="10">
        <v>10</v>
      </c>
      <c r="AJ26" s="10">
        <v>0</v>
      </c>
      <c r="AK26" s="10">
        <v>92</v>
      </c>
      <c r="AL26" s="10">
        <v>190</v>
      </c>
      <c r="AM26" s="10">
        <v>35</v>
      </c>
      <c r="AN26" s="10">
        <v>6</v>
      </c>
      <c r="AO26" s="10">
        <v>1</v>
      </c>
      <c r="AP26" s="10">
        <v>0</v>
      </c>
      <c r="AQ26" s="10">
        <v>822</v>
      </c>
      <c r="AR26" s="10">
        <v>352</v>
      </c>
      <c r="AS26" s="10">
        <v>29</v>
      </c>
      <c r="AT26" s="10">
        <v>17</v>
      </c>
      <c r="AU26" s="10">
        <v>0</v>
      </c>
      <c r="AV26" s="10">
        <v>0</v>
      </c>
      <c r="AW26" s="10">
        <v>65</v>
      </c>
      <c r="AX26" s="10">
        <v>529</v>
      </c>
      <c r="AY26" s="10">
        <v>266</v>
      </c>
      <c r="AZ26" s="10">
        <v>134</v>
      </c>
      <c r="BA26" s="10">
        <v>2</v>
      </c>
      <c r="BB26" s="11"/>
      <c r="BC26" s="11"/>
      <c r="BD26" s="11"/>
      <c r="BE26" s="11"/>
      <c r="BF26" s="11"/>
      <c r="BG26" s="11"/>
      <c r="BH26" s="10">
        <v>1</v>
      </c>
      <c r="BI26" s="10">
        <v>249</v>
      </c>
      <c r="BJ26" s="10">
        <v>662</v>
      </c>
      <c r="BK26" s="10">
        <v>442</v>
      </c>
      <c r="BL26" s="10">
        <v>132</v>
      </c>
      <c r="BM26" s="10">
        <v>0</v>
      </c>
      <c r="BN26" s="10">
        <v>13</v>
      </c>
      <c r="BO26" s="10">
        <v>2614</v>
      </c>
      <c r="BP26" s="10">
        <v>4581</v>
      </c>
      <c r="BQ26" s="10">
        <v>3013</v>
      </c>
      <c r="BR26" s="10">
        <v>482</v>
      </c>
      <c r="BS26" s="10">
        <v>0</v>
      </c>
      <c r="BT26" s="11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1"/>
      <c r="CH26" s="11"/>
      <c r="CI26" s="11"/>
      <c r="CJ26" s="11"/>
      <c r="CK26" s="11"/>
      <c r="CL26" s="10">
        <v>21</v>
      </c>
      <c r="CM26" s="10">
        <v>2033</v>
      </c>
      <c r="CN26" s="10">
        <v>2215</v>
      </c>
      <c r="CO26" s="10">
        <v>663</v>
      </c>
      <c r="CP26" s="10">
        <v>54</v>
      </c>
      <c r="CQ26" s="10">
        <v>0</v>
      </c>
      <c r="CR26" s="10">
        <v>0</v>
      </c>
      <c r="CS26" s="10">
        <v>208</v>
      </c>
      <c r="CT26" s="10">
        <v>1645</v>
      </c>
      <c r="CU26" s="10">
        <v>1141</v>
      </c>
      <c r="CV26" s="10">
        <v>72</v>
      </c>
      <c r="CW26" s="10">
        <v>0</v>
      </c>
      <c r="CX26" s="11"/>
      <c r="CY26" s="11"/>
      <c r="CZ26" s="11"/>
      <c r="DA26" s="11"/>
      <c r="DB26" s="11"/>
      <c r="DC26" s="11"/>
      <c r="DD26" s="10">
        <v>0</v>
      </c>
      <c r="DE26" s="10">
        <v>2</v>
      </c>
      <c r="DF26" s="10">
        <v>63</v>
      </c>
      <c r="DG26" s="10">
        <v>40</v>
      </c>
      <c r="DH26" s="10">
        <v>20</v>
      </c>
      <c r="DI26" s="10">
        <v>0</v>
      </c>
      <c r="DJ26" s="10">
        <v>0</v>
      </c>
      <c r="DK26" s="10">
        <v>5</v>
      </c>
      <c r="DL26" s="10">
        <v>47</v>
      </c>
      <c r="DM26" s="10">
        <v>40</v>
      </c>
      <c r="DN26" s="10">
        <v>13</v>
      </c>
      <c r="DO26" s="10">
        <v>0</v>
      </c>
      <c r="DP26" s="10">
        <v>16</v>
      </c>
      <c r="DQ26" s="10">
        <v>634</v>
      </c>
      <c r="DR26" s="10">
        <v>1546</v>
      </c>
      <c r="DS26" s="10">
        <v>700</v>
      </c>
      <c r="DT26" s="10">
        <v>51</v>
      </c>
      <c r="DU26" s="10">
        <v>0</v>
      </c>
    </row>
    <row r="27" spans="1:125" ht="20" customHeight="1">
      <c r="A27" s="8">
        <v>2021</v>
      </c>
      <c r="B27" s="9">
        <v>2021</v>
      </c>
      <c r="C27" s="10">
        <v>2021</v>
      </c>
      <c r="D27" s="11"/>
      <c r="E27" s="12" t="s">
        <v>126</v>
      </c>
      <c r="F27" s="12" t="s">
        <v>127</v>
      </c>
      <c r="G27" s="12" t="s">
        <v>192</v>
      </c>
      <c r="H27" s="12" t="s">
        <v>193</v>
      </c>
      <c r="I27" s="12" t="s">
        <v>192</v>
      </c>
      <c r="J27" s="12" t="s">
        <v>194</v>
      </c>
      <c r="K27" s="11"/>
      <c r="L27" s="10">
        <v>34</v>
      </c>
      <c r="M27" s="10">
        <v>1115</v>
      </c>
      <c r="N27" s="10">
        <v>916</v>
      </c>
      <c r="O27" s="10">
        <v>458</v>
      </c>
      <c r="P27" s="10">
        <v>221</v>
      </c>
      <c r="Q27" s="10">
        <v>11</v>
      </c>
      <c r="R27" s="10">
        <v>206</v>
      </c>
      <c r="S27" s="10">
        <v>876</v>
      </c>
      <c r="T27" s="10">
        <v>2422</v>
      </c>
      <c r="U27" s="10">
        <v>1649</v>
      </c>
      <c r="V27" s="10">
        <v>289</v>
      </c>
      <c r="W27" s="10">
        <v>42</v>
      </c>
      <c r="X27" s="10">
        <v>169</v>
      </c>
      <c r="Y27" s="10">
        <v>527</v>
      </c>
      <c r="Z27" s="10">
        <v>789</v>
      </c>
      <c r="AA27" s="10">
        <v>496</v>
      </c>
      <c r="AB27" s="10">
        <v>106</v>
      </c>
      <c r="AC27" s="10">
        <v>0</v>
      </c>
      <c r="AD27" s="10">
        <v>0</v>
      </c>
      <c r="AE27" s="10">
        <v>10</v>
      </c>
      <c r="AF27" s="10">
        <v>26</v>
      </c>
      <c r="AG27" s="10">
        <v>8</v>
      </c>
      <c r="AH27" s="10">
        <v>6</v>
      </c>
      <c r="AI27" s="10">
        <v>0</v>
      </c>
      <c r="AJ27" s="10">
        <v>6</v>
      </c>
      <c r="AK27" s="10">
        <v>233</v>
      </c>
      <c r="AL27" s="10">
        <v>119</v>
      </c>
      <c r="AM27" s="10">
        <v>23</v>
      </c>
      <c r="AN27" s="10">
        <v>17</v>
      </c>
      <c r="AO27" s="10">
        <v>2</v>
      </c>
      <c r="AP27" s="10">
        <v>25</v>
      </c>
      <c r="AQ27" s="10">
        <v>994</v>
      </c>
      <c r="AR27" s="10">
        <v>538</v>
      </c>
      <c r="AS27" s="10">
        <v>160</v>
      </c>
      <c r="AT27" s="10">
        <v>77</v>
      </c>
      <c r="AU27" s="10">
        <v>3</v>
      </c>
      <c r="AV27" s="10">
        <v>9</v>
      </c>
      <c r="AW27" s="10">
        <v>121</v>
      </c>
      <c r="AX27" s="10">
        <v>378</v>
      </c>
      <c r="AY27" s="10">
        <v>298</v>
      </c>
      <c r="AZ27" s="10">
        <v>144</v>
      </c>
      <c r="BA27" s="10">
        <v>8</v>
      </c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0">
        <v>206</v>
      </c>
      <c r="BO27" s="10">
        <v>876</v>
      </c>
      <c r="BP27" s="10">
        <v>2422</v>
      </c>
      <c r="BQ27" s="10">
        <v>1649</v>
      </c>
      <c r="BR27" s="10">
        <v>289</v>
      </c>
      <c r="BS27" s="10">
        <v>42</v>
      </c>
      <c r="BT27" s="11"/>
      <c r="BU27" s="11"/>
      <c r="BV27" s="11"/>
      <c r="BW27" s="11"/>
      <c r="BX27" s="11"/>
      <c r="BY27" s="11"/>
      <c r="BZ27" s="11"/>
      <c r="CA27" s="11"/>
      <c r="CB27" s="11"/>
      <c r="CC27" s="11"/>
      <c r="CD27" s="11"/>
      <c r="CE27" s="11"/>
      <c r="CF27" s="11"/>
      <c r="CG27" s="11"/>
      <c r="CH27" s="11"/>
      <c r="CI27" s="11"/>
      <c r="CJ27" s="11"/>
      <c r="CK27" s="11"/>
      <c r="CL27" s="10">
        <v>169</v>
      </c>
      <c r="CM27" s="10">
        <v>527</v>
      </c>
      <c r="CN27" s="10">
        <v>789</v>
      </c>
      <c r="CO27" s="10">
        <v>496</v>
      </c>
      <c r="CP27" s="10">
        <v>106</v>
      </c>
      <c r="CQ27" s="10">
        <v>0</v>
      </c>
      <c r="CR27" s="11"/>
      <c r="CS27" s="11"/>
      <c r="CT27" s="11"/>
      <c r="CU27" s="11"/>
      <c r="CV27" s="11"/>
      <c r="CW27" s="11"/>
      <c r="CX27" s="11"/>
      <c r="CY27" s="11"/>
      <c r="CZ27" s="11"/>
      <c r="DA27" s="11"/>
      <c r="DB27" s="11"/>
      <c r="DC27" s="11"/>
      <c r="DD27" s="10">
        <v>1</v>
      </c>
      <c r="DE27" s="10">
        <v>19</v>
      </c>
      <c r="DF27" s="10">
        <v>65</v>
      </c>
      <c r="DG27" s="10">
        <v>51</v>
      </c>
      <c r="DH27" s="10">
        <v>19</v>
      </c>
      <c r="DI27" s="10">
        <v>2</v>
      </c>
      <c r="DJ27" s="10">
        <v>0</v>
      </c>
      <c r="DK27" s="10">
        <v>19</v>
      </c>
      <c r="DL27" s="10">
        <v>44</v>
      </c>
      <c r="DM27" s="10">
        <v>26</v>
      </c>
      <c r="DN27" s="10">
        <v>8</v>
      </c>
      <c r="DO27" s="10">
        <v>0</v>
      </c>
      <c r="DP27" s="10">
        <v>0</v>
      </c>
      <c r="DQ27" s="10">
        <v>13</v>
      </c>
      <c r="DR27" s="10">
        <v>7</v>
      </c>
      <c r="DS27" s="10">
        <v>1</v>
      </c>
      <c r="DT27" s="10">
        <v>0</v>
      </c>
      <c r="DU27" s="11"/>
    </row>
    <row r="28" spans="1:125" ht="20" customHeight="1">
      <c r="A28" s="8">
        <v>2021</v>
      </c>
      <c r="B28" s="9">
        <v>2021</v>
      </c>
      <c r="C28" s="10">
        <v>2021</v>
      </c>
      <c r="D28" s="11"/>
      <c r="E28" s="12" t="s">
        <v>126</v>
      </c>
      <c r="F28" s="12" t="s">
        <v>127</v>
      </c>
      <c r="G28" s="12" t="s">
        <v>141</v>
      </c>
      <c r="H28" s="12" t="s">
        <v>142</v>
      </c>
      <c r="I28" s="12" t="s">
        <v>141</v>
      </c>
      <c r="J28" s="12" t="s">
        <v>143</v>
      </c>
      <c r="K28" s="11"/>
      <c r="L28" s="10">
        <v>21</v>
      </c>
      <c r="M28" s="10">
        <v>531</v>
      </c>
      <c r="N28" s="10">
        <v>275</v>
      </c>
      <c r="O28" s="10">
        <v>120</v>
      </c>
      <c r="P28" s="10">
        <v>53</v>
      </c>
      <c r="Q28" s="10">
        <v>14</v>
      </c>
      <c r="R28" s="10">
        <v>291</v>
      </c>
      <c r="S28" s="10">
        <v>3242</v>
      </c>
      <c r="T28" s="10">
        <v>2418</v>
      </c>
      <c r="U28" s="10">
        <v>1310</v>
      </c>
      <c r="V28" s="10">
        <v>616</v>
      </c>
      <c r="W28" s="10">
        <v>9</v>
      </c>
      <c r="X28" s="11"/>
      <c r="Y28" s="11"/>
      <c r="Z28" s="11"/>
      <c r="AA28" s="11"/>
      <c r="AB28" s="11"/>
      <c r="AC28" s="11"/>
      <c r="AD28" s="11"/>
      <c r="AE28" s="10">
        <v>57</v>
      </c>
      <c r="AF28" s="10">
        <v>27</v>
      </c>
      <c r="AG28" s="10">
        <v>5</v>
      </c>
      <c r="AH28" s="11"/>
      <c r="AI28" s="11"/>
      <c r="AJ28" s="10">
        <v>5</v>
      </c>
      <c r="AK28" s="10">
        <v>48</v>
      </c>
      <c r="AL28" s="10">
        <v>46</v>
      </c>
      <c r="AM28" s="10">
        <v>45</v>
      </c>
      <c r="AN28" s="10">
        <v>14</v>
      </c>
      <c r="AO28" s="11"/>
      <c r="AP28" s="10">
        <v>21</v>
      </c>
      <c r="AQ28" s="10">
        <v>528</v>
      </c>
      <c r="AR28" s="10">
        <v>213</v>
      </c>
      <c r="AS28" s="10">
        <v>99</v>
      </c>
      <c r="AT28" s="10">
        <v>35</v>
      </c>
      <c r="AU28" s="10">
        <v>4</v>
      </c>
      <c r="AV28" s="11"/>
      <c r="AW28" s="10">
        <v>3</v>
      </c>
      <c r="AX28" s="10">
        <v>62</v>
      </c>
      <c r="AY28" s="10">
        <v>21</v>
      </c>
      <c r="AZ28" s="10">
        <v>18</v>
      </c>
      <c r="BA28" s="10">
        <v>10</v>
      </c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0">
        <v>291</v>
      </c>
      <c r="BO28" s="10">
        <v>3242</v>
      </c>
      <c r="BP28" s="10">
        <v>2418</v>
      </c>
      <c r="BQ28" s="10">
        <v>1310</v>
      </c>
      <c r="BR28" s="10">
        <v>616</v>
      </c>
      <c r="BS28" s="10">
        <v>9</v>
      </c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1"/>
      <c r="CF28" s="11"/>
      <c r="CG28" s="11"/>
      <c r="CH28" s="11"/>
      <c r="CI28" s="11"/>
      <c r="CJ28" s="11"/>
      <c r="CK28" s="11"/>
      <c r="CL28" s="11"/>
      <c r="CM28" s="11"/>
      <c r="CN28" s="11"/>
      <c r="CO28" s="11"/>
      <c r="CP28" s="11"/>
      <c r="CQ28" s="11"/>
      <c r="CR28" s="11"/>
      <c r="CS28" s="11"/>
      <c r="CT28" s="11"/>
      <c r="CU28" s="11"/>
      <c r="CV28" s="11"/>
      <c r="CW28" s="11"/>
      <c r="CX28" s="11"/>
      <c r="CY28" s="11"/>
      <c r="CZ28" s="11"/>
      <c r="DA28" s="11"/>
      <c r="DB28" s="11"/>
      <c r="DC28" s="11"/>
      <c r="DD28" s="11"/>
      <c r="DE28" s="11"/>
      <c r="DF28" s="11"/>
      <c r="DG28" s="11"/>
      <c r="DH28" s="11"/>
      <c r="DI28" s="11"/>
      <c r="DJ28" s="11"/>
      <c r="DK28" s="11"/>
      <c r="DL28" s="11"/>
      <c r="DM28" s="11"/>
      <c r="DN28" s="11"/>
      <c r="DO28" s="11"/>
      <c r="DP28" s="11"/>
      <c r="DQ28" s="11"/>
      <c r="DR28" s="11"/>
      <c r="DS28" s="11"/>
      <c r="DT28" s="11"/>
      <c r="DU28" s="11"/>
    </row>
    <row r="29" spans="1:125" ht="20" customHeight="1">
      <c r="A29" s="8">
        <v>2021</v>
      </c>
      <c r="B29" s="9">
        <v>2021</v>
      </c>
      <c r="C29" s="10">
        <v>2021</v>
      </c>
      <c r="D29" s="11"/>
      <c r="E29" s="12" t="s">
        <v>126</v>
      </c>
      <c r="F29" s="12" t="s">
        <v>127</v>
      </c>
      <c r="G29" s="12" t="s">
        <v>147</v>
      </c>
      <c r="H29" s="12" t="s">
        <v>148</v>
      </c>
      <c r="I29" s="12" t="s">
        <v>147</v>
      </c>
      <c r="J29" s="12" t="s">
        <v>149</v>
      </c>
      <c r="K29" s="11"/>
      <c r="L29" s="10">
        <v>3</v>
      </c>
      <c r="M29" s="10">
        <v>1956</v>
      </c>
      <c r="N29" s="10">
        <v>965</v>
      </c>
      <c r="O29" s="10">
        <v>356</v>
      </c>
      <c r="P29" s="10">
        <v>94</v>
      </c>
      <c r="Q29" s="10">
        <v>4</v>
      </c>
      <c r="R29" s="10">
        <v>1</v>
      </c>
      <c r="S29" s="10">
        <v>541</v>
      </c>
      <c r="T29" s="10">
        <v>1717</v>
      </c>
      <c r="U29" s="10">
        <v>1722</v>
      </c>
      <c r="V29" s="10">
        <v>521</v>
      </c>
      <c r="W29" s="10">
        <v>41</v>
      </c>
      <c r="X29" s="10">
        <v>2</v>
      </c>
      <c r="Y29" s="10">
        <v>461</v>
      </c>
      <c r="Z29" s="10">
        <v>238</v>
      </c>
      <c r="AA29" s="10">
        <v>3</v>
      </c>
      <c r="AB29" s="10">
        <v>0</v>
      </c>
      <c r="AC29" s="10">
        <v>0</v>
      </c>
      <c r="AD29" s="10">
        <v>0</v>
      </c>
      <c r="AE29" s="10">
        <v>110</v>
      </c>
      <c r="AF29" s="10">
        <v>17</v>
      </c>
      <c r="AG29" s="10">
        <v>4</v>
      </c>
      <c r="AH29" s="10">
        <v>2</v>
      </c>
      <c r="AI29" s="10">
        <v>0</v>
      </c>
      <c r="AJ29" s="10">
        <v>1</v>
      </c>
      <c r="AK29" s="10">
        <v>190</v>
      </c>
      <c r="AL29" s="10">
        <v>62</v>
      </c>
      <c r="AM29" s="10">
        <v>7</v>
      </c>
      <c r="AN29" s="10">
        <v>3</v>
      </c>
      <c r="AO29" s="10">
        <v>0</v>
      </c>
      <c r="AP29" s="10">
        <v>3</v>
      </c>
      <c r="AQ29" s="10">
        <v>1853</v>
      </c>
      <c r="AR29" s="10">
        <v>463</v>
      </c>
      <c r="AS29" s="10">
        <v>124</v>
      </c>
      <c r="AT29" s="10">
        <v>33</v>
      </c>
      <c r="AU29" s="10">
        <v>1</v>
      </c>
      <c r="AV29" s="10">
        <v>0</v>
      </c>
      <c r="AW29" s="10">
        <v>102</v>
      </c>
      <c r="AX29" s="10">
        <v>500</v>
      </c>
      <c r="AY29" s="10">
        <v>232</v>
      </c>
      <c r="AZ29" s="10">
        <v>60</v>
      </c>
      <c r="BA29" s="10">
        <v>3</v>
      </c>
      <c r="BB29" s="10">
        <v>0</v>
      </c>
      <c r="BC29" s="10">
        <v>1</v>
      </c>
      <c r="BD29" s="10">
        <v>2</v>
      </c>
      <c r="BE29" s="10">
        <v>0</v>
      </c>
      <c r="BF29" s="10">
        <v>1</v>
      </c>
      <c r="BG29" s="10">
        <v>0</v>
      </c>
      <c r="BH29" s="10">
        <v>0</v>
      </c>
      <c r="BI29" s="10">
        <v>5</v>
      </c>
      <c r="BJ29" s="10">
        <v>23</v>
      </c>
      <c r="BK29" s="10">
        <v>11</v>
      </c>
      <c r="BL29" s="10">
        <v>4</v>
      </c>
      <c r="BM29" s="10">
        <v>0</v>
      </c>
      <c r="BN29" s="10">
        <v>1</v>
      </c>
      <c r="BO29" s="10">
        <v>489</v>
      </c>
      <c r="BP29" s="10">
        <v>1492</v>
      </c>
      <c r="BQ29" s="10">
        <v>1201</v>
      </c>
      <c r="BR29" s="10">
        <v>335</v>
      </c>
      <c r="BS29" s="10">
        <v>1</v>
      </c>
      <c r="BT29" s="10">
        <v>0</v>
      </c>
      <c r="BU29" s="10">
        <v>47</v>
      </c>
      <c r="BV29" s="10">
        <v>202</v>
      </c>
      <c r="BW29" s="10">
        <v>510</v>
      </c>
      <c r="BX29" s="10">
        <v>182</v>
      </c>
      <c r="BY29" s="10">
        <v>40</v>
      </c>
      <c r="BZ29" s="10">
        <v>0</v>
      </c>
      <c r="CA29" s="10">
        <v>0</v>
      </c>
      <c r="CB29" s="10">
        <v>7</v>
      </c>
      <c r="CC29" s="10">
        <v>17</v>
      </c>
      <c r="CD29" s="10">
        <v>13</v>
      </c>
      <c r="CE29" s="10">
        <v>0</v>
      </c>
      <c r="CF29" s="10">
        <v>0</v>
      </c>
      <c r="CG29" s="10">
        <v>0</v>
      </c>
      <c r="CH29" s="10">
        <v>19</v>
      </c>
      <c r="CI29" s="10">
        <v>48</v>
      </c>
      <c r="CJ29" s="10">
        <v>64</v>
      </c>
      <c r="CK29" s="10">
        <v>0</v>
      </c>
      <c r="CL29" s="10">
        <v>2</v>
      </c>
      <c r="CM29" s="10">
        <v>461</v>
      </c>
      <c r="CN29" s="10">
        <v>238</v>
      </c>
      <c r="CO29" s="10">
        <v>3</v>
      </c>
      <c r="CP29" s="10">
        <v>0</v>
      </c>
      <c r="CQ29" s="10">
        <v>0</v>
      </c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0">
        <v>0</v>
      </c>
      <c r="DE29" s="10">
        <v>12</v>
      </c>
      <c r="DF29" s="10">
        <v>67</v>
      </c>
      <c r="DG29" s="10">
        <v>32</v>
      </c>
      <c r="DH29" s="10">
        <v>14</v>
      </c>
      <c r="DI29" s="10">
        <v>0</v>
      </c>
      <c r="DJ29" s="10">
        <v>0</v>
      </c>
      <c r="DK29" s="10">
        <v>5</v>
      </c>
      <c r="DL29" s="10">
        <v>35</v>
      </c>
      <c r="DM29" s="10">
        <v>16</v>
      </c>
      <c r="DN29" s="10">
        <v>3</v>
      </c>
      <c r="DO29" s="10">
        <v>0</v>
      </c>
      <c r="DP29" s="11"/>
      <c r="DQ29" s="11"/>
      <c r="DR29" s="11"/>
      <c r="DS29" s="11"/>
      <c r="DT29" s="11"/>
      <c r="DU29" s="11"/>
    </row>
    <row r="30" spans="1:125" ht="20" customHeight="1">
      <c r="A30" s="8">
        <v>2021</v>
      </c>
      <c r="B30" s="9">
        <v>2021</v>
      </c>
      <c r="C30" s="10">
        <v>2021</v>
      </c>
      <c r="D30" s="11"/>
      <c r="E30" s="12" t="s">
        <v>126</v>
      </c>
      <c r="F30" s="12" t="s">
        <v>127</v>
      </c>
      <c r="G30" s="12" t="s">
        <v>150</v>
      </c>
      <c r="H30" s="12" t="s">
        <v>151</v>
      </c>
      <c r="I30" s="12" t="s">
        <v>150</v>
      </c>
      <c r="J30" s="12" t="s">
        <v>152</v>
      </c>
      <c r="K30" s="11"/>
      <c r="L30" s="10">
        <v>0</v>
      </c>
      <c r="M30" s="10">
        <v>420</v>
      </c>
      <c r="N30" s="10">
        <v>380</v>
      </c>
      <c r="O30" s="10">
        <v>127</v>
      </c>
      <c r="P30" s="10">
        <v>73</v>
      </c>
      <c r="Q30" s="10">
        <v>0</v>
      </c>
      <c r="R30" s="10">
        <v>117</v>
      </c>
      <c r="S30" s="10">
        <v>1366</v>
      </c>
      <c r="T30" s="10">
        <v>956</v>
      </c>
      <c r="U30" s="10">
        <v>486</v>
      </c>
      <c r="V30" s="10">
        <v>215</v>
      </c>
      <c r="W30" s="10">
        <v>0</v>
      </c>
      <c r="X30" s="10">
        <v>12</v>
      </c>
      <c r="Y30" s="10">
        <v>225</v>
      </c>
      <c r="Z30" s="10">
        <v>300</v>
      </c>
      <c r="AA30" s="10">
        <v>131</v>
      </c>
      <c r="AB30" s="10">
        <v>53</v>
      </c>
      <c r="AC30" s="10">
        <v>0</v>
      </c>
      <c r="AD30" s="11"/>
      <c r="AE30" s="11"/>
      <c r="AF30" s="11"/>
      <c r="AG30" s="11"/>
      <c r="AH30" s="11"/>
      <c r="AI30" s="11"/>
      <c r="AJ30" s="10">
        <v>1</v>
      </c>
      <c r="AK30" s="10">
        <v>79</v>
      </c>
      <c r="AL30" s="10">
        <v>40</v>
      </c>
      <c r="AM30" s="10">
        <v>4</v>
      </c>
      <c r="AN30" s="10">
        <v>13</v>
      </c>
      <c r="AO30" s="10">
        <v>5</v>
      </c>
      <c r="AP30" s="10">
        <v>0</v>
      </c>
      <c r="AQ30" s="10">
        <v>420</v>
      </c>
      <c r="AR30" s="10">
        <v>380</v>
      </c>
      <c r="AS30" s="10">
        <v>127</v>
      </c>
      <c r="AT30" s="10">
        <v>73</v>
      </c>
      <c r="AU30" s="10">
        <v>0</v>
      </c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0">
        <v>101</v>
      </c>
      <c r="BI30" s="10">
        <v>598</v>
      </c>
      <c r="BJ30" s="10">
        <v>433</v>
      </c>
      <c r="BK30" s="10">
        <v>302</v>
      </c>
      <c r="BL30" s="10">
        <v>169</v>
      </c>
      <c r="BM30" s="10">
        <v>0</v>
      </c>
      <c r="BN30" s="10">
        <v>16</v>
      </c>
      <c r="BO30" s="10">
        <v>768</v>
      </c>
      <c r="BP30" s="10">
        <v>523</v>
      </c>
      <c r="BQ30" s="10">
        <v>184</v>
      </c>
      <c r="BR30" s="10">
        <v>46</v>
      </c>
      <c r="BS30" s="10">
        <v>0</v>
      </c>
      <c r="BT30" s="11"/>
      <c r="BU30" s="11"/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0">
        <v>6</v>
      </c>
      <c r="CM30" s="10">
        <v>185</v>
      </c>
      <c r="CN30" s="10">
        <v>265</v>
      </c>
      <c r="CO30" s="10">
        <v>111</v>
      </c>
      <c r="CP30" s="10">
        <v>50</v>
      </c>
      <c r="CQ30" s="10">
        <v>0</v>
      </c>
      <c r="CR30" s="10">
        <v>6</v>
      </c>
      <c r="CS30" s="10">
        <v>40</v>
      </c>
      <c r="CT30" s="10">
        <v>35</v>
      </c>
      <c r="CU30" s="10">
        <v>20</v>
      </c>
      <c r="CV30" s="10">
        <v>3</v>
      </c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</row>
    <row r="31" spans="1:125" ht="20" customHeight="1">
      <c r="A31" s="8">
        <v>2021</v>
      </c>
      <c r="B31" s="9">
        <v>2021</v>
      </c>
      <c r="C31" s="10">
        <v>2021</v>
      </c>
      <c r="D31" s="11"/>
      <c r="E31" s="12" t="s">
        <v>126</v>
      </c>
      <c r="F31" s="12" t="s">
        <v>127</v>
      </c>
      <c r="G31" s="12" t="s">
        <v>156</v>
      </c>
      <c r="H31" s="12" t="s">
        <v>157</v>
      </c>
      <c r="I31" s="12" t="s">
        <v>156</v>
      </c>
      <c r="J31" s="12" t="s">
        <v>158</v>
      </c>
      <c r="K31" s="11"/>
      <c r="L31" s="10">
        <v>0</v>
      </c>
      <c r="M31" s="10">
        <v>1519</v>
      </c>
      <c r="N31" s="10">
        <v>2121</v>
      </c>
      <c r="O31" s="10">
        <v>365</v>
      </c>
      <c r="P31" s="10">
        <v>161</v>
      </c>
      <c r="Q31" s="10">
        <v>3</v>
      </c>
      <c r="R31" s="10">
        <v>22</v>
      </c>
      <c r="S31" s="10">
        <v>57778</v>
      </c>
      <c r="T31" s="10">
        <v>32711</v>
      </c>
      <c r="U31" s="10">
        <v>1631</v>
      </c>
      <c r="V31" s="10">
        <v>1002</v>
      </c>
      <c r="W31" s="10">
        <v>0</v>
      </c>
      <c r="X31" s="10">
        <v>5</v>
      </c>
      <c r="Y31" s="10">
        <v>9808</v>
      </c>
      <c r="Z31" s="10">
        <v>7961</v>
      </c>
      <c r="AA31" s="10">
        <v>876</v>
      </c>
      <c r="AB31" s="10">
        <v>491</v>
      </c>
      <c r="AC31" s="10">
        <v>0</v>
      </c>
      <c r="AD31" s="11"/>
      <c r="AE31" s="11"/>
      <c r="AF31" s="11"/>
      <c r="AG31" s="11"/>
      <c r="AH31" s="11"/>
      <c r="AI31" s="11"/>
      <c r="AJ31" s="10">
        <v>0</v>
      </c>
      <c r="AK31" s="10">
        <v>342</v>
      </c>
      <c r="AL31" s="10">
        <v>376</v>
      </c>
      <c r="AM31" s="10">
        <v>206</v>
      </c>
      <c r="AN31" s="10">
        <v>112</v>
      </c>
      <c r="AO31" s="10">
        <v>0</v>
      </c>
      <c r="AP31" s="10">
        <v>0</v>
      </c>
      <c r="AQ31" s="10">
        <v>1519</v>
      </c>
      <c r="AR31" s="10">
        <v>1316</v>
      </c>
      <c r="AS31" s="10">
        <v>133</v>
      </c>
      <c r="AT31" s="10">
        <v>65</v>
      </c>
      <c r="AU31" s="10">
        <v>1</v>
      </c>
      <c r="AV31" s="10">
        <v>0</v>
      </c>
      <c r="AW31" s="10">
        <v>0</v>
      </c>
      <c r="AX31" s="10">
        <v>805</v>
      </c>
      <c r="AY31" s="10">
        <v>232</v>
      </c>
      <c r="AZ31" s="10">
        <v>96</v>
      </c>
      <c r="BA31" s="10">
        <v>2</v>
      </c>
      <c r="BB31" s="11"/>
      <c r="BC31" s="11"/>
      <c r="BD31" s="11"/>
      <c r="BE31" s="11"/>
      <c r="BF31" s="11"/>
      <c r="BG31" s="11"/>
      <c r="BH31" s="10">
        <v>14</v>
      </c>
      <c r="BI31" s="10">
        <v>32653</v>
      </c>
      <c r="BJ31" s="10">
        <v>18482</v>
      </c>
      <c r="BK31" s="10">
        <v>427</v>
      </c>
      <c r="BL31" s="10">
        <v>260</v>
      </c>
      <c r="BM31" s="10">
        <v>0</v>
      </c>
      <c r="BN31" s="10">
        <v>8</v>
      </c>
      <c r="BO31" s="10">
        <v>25125</v>
      </c>
      <c r="BP31" s="10">
        <v>14229</v>
      </c>
      <c r="BQ31" s="10">
        <v>1204</v>
      </c>
      <c r="BR31" s="10">
        <v>742</v>
      </c>
      <c r="BS31" s="10">
        <v>0</v>
      </c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0">
        <v>5</v>
      </c>
      <c r="CM31" s="10">
        <v>9808</v>
      </c>
      <c r="CN31" s="10">
        <v>7961</v>
      </c>
      <c r="CO31" s="10">
        <v>876</v>
      </c>
      <c r="CP31" s="10">
        <v>491</v>
      </c>
      <c r="CQ31" s="10">
        <v>0</v>
      </c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  <c r="DJ31" s="11"/>
      <c r="DK31" s="11"/>
      <c r="DL31" s="11"/>
      <c r="DM31" s="11"/>
      <c r="DN31" s="11"/>
      <c r="DO31" s="11"/>
      <c r="DP31" s="11"/>
      <c r="DQ31" s="11"/>
      <c r="DR31" s="11"/>
      <c r="DS31" s="11"/>
      <c r="DT31" s="11"/>
      <c r="DU31" s="11"/>
    </row>
    <row r="32" spans="1:125" ht="20" customHeight="1">
      <c r="A32" s="8">
        <v>2021</v>
      </c>
      <c r="B32" s="9">
        <v>2021</v>
      </c>
      <c r="C32" s="10">
        <v>2021</v>
      </c>
      <c r="D32" s="11"/>
      <c r="E32" s="12" t="s">
        <v>126</v>
      </c>
      <c r="F32" s="12" t="s">
        <v>127</v>
      </c>
      <c r="G32" s="12" t="s">
        <v>159</v>
      </c>
      <c r="H32" s="12" t="s">
        <v>160</v>
      </c>
      <c r="I32" s="12" t="s">
        <v>159</v>
      </c>
      <c r="J32" s="12" t="s">
        <v>161</v>
      </c>
      <c r="K32" s="11"/>
      <c r="L32" s="10">
        <v>0</v>
      </c>
      <c r="M32" s="10">
        <v>268</v>
      </c>
      <c r="N32" s="10">
        <v>127</v>
      </c>
      <c r="O32" s="10">
        <v>34</v>
      </c>
      <c r="P32" s="10">
        <v>19</v>
      </c>
      <c r="Q32" s="10">
        <v>5</v>
      </c>
      <c r="R32" s="10">
        <v>4</v>
      </c>
      <c r="S32" s="10">
        <v>798</v>
      </c>
      <c r="T32" s="10">
        <v>810</v>
      </c>
      <c r="U32" s="10">
        <v>180</v>
      </c>
      <c r="V32" s="10">
        <v>152</v>
      </c>
      <c r="W32" s="10">
        <v>12</v>
      </c>
      <c r="X32" s="10">
        <v>0</v>
      </c>
      <c r="Y32" s="10">
        <v>52</v>
      </c>
      <c r="Z32" s="10">
        <v>78</v>
      </c>
      <c r="AA32" s="10">
        <v>60</v>
      </c>
      <c r="AB32" s="10">
        <v>22</v>
      </c>
      <c r="AC32" s="10">
        <v>1</v>
      </c>
      <c r="AD32" s="11"/>
      <c r="AE32" s="11"/>
      <c r="AF32" s="11"/>
      <c r="AG32" s="11"/>
      <c r="AH32" s="11"/>
      <c r="AI32" s="11"/>
      <c r="AJ32" s="10">
        <v>0</v>
      </c>
      <c r="AK32" s="10">
        <v>0</v>
      </c>
      <c r="AL32" s="10">
        <v>0</v>
      </c>
      <c r="AM32" s="10">
        <v>0</v>
      </c>
      <c r="AN32" s="10">
        <v>2</v>
      </c>
      <c r="AO32" s="10">
        <v>0</v>
      </c>
      <c r="AP32" s="10">
        <v>0</v>
      </c>
      <c r="AQ32" s="10">
        <v>268</v>
      </c>
      <c r="AR32" s="10">
        <v>124</v>
      </c>
      <c r="AS32" s="10">
        <v>29</v>
      </c>
      <c r="AT32" s="10">
        <v>18</v>
      </c>
      <c r="AU32" s="10">
        <v>5</v>
      </c>
      <c r="AV32" s="10">
        <v>0</v>
      </c>
      <c r="AW32" s="10">
        <v>0</v>
      </c>
      <c r="AX32" s="10">
        <v>3</v>
      </c>
      <c r="AY32" s="10">
        <v>5</v>
      </c>
      <c r="AZ32" s="10">
        <v>1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3</v>
      </c>
      <c r="BI32" s="10">
        <v>229</v>
      </c>
      <c r="BJ32" s="10">
        <v>486</v>
      </c>
      <c r="BK32" s="10">
        <v>122</v>
      </c>
      <c r="BL32" s="10">
        <v>107</v>
      </c>
      <c r="BM32" s="10">
        <v>4</v>
      </c>
      <c r="BN32" s="10">
        <v>1</v>
      </c>
      <c r="BO32" s="10">
        <v>569</v>
      </c>
      <c r="BP32" s="10">
        <v>324</v>
      </c>
      <c r="BQ32" s="10">
        <v>58</v>
      </c>
      <c r="BR32" s="10">
        <v>43</v>
      </c>
      <c r="BS32" s="10">
        <v>8</v>
      </c>
      <c r="BT32" s="10">
        <v>0</v>
      </c>
      <c r="BU32" s="10">
        <v>0</v>
      </c>
      <c r="BV32" s="10">
        <v>0</v>
      </c>
      <c r="BW32" s="10">
        <v>0</v>
      </c>
      <c r="BX32" s="10">
        <v>2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52</v>
      </c>
      <c r="CN32" s="10">
        <v>78</v>
      </c>
      <c r="CO32" s="10">
        <v>60</v>
      </c>
      <c r="CP32" s="10">
        <v>22</v>
      </c>
      <c r="CQ32" s="10">
        <v>1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2</v>
      </c>
      <c r="DF32" s="10">
        <v>1</v>
      </c>
      <c r="DG32" s="10">
        <v>1</v>
      </c>
      <c r="DH32" s="10">
        <v>0</v>
      </c>
      <c r="DI32" s="10">
        <v>0</v>
      </c>
      <c r="DJ32" s="10">
        <v>0</v>
      </c>
      <c r="DK32" s="10">
        <v>1</v>
      </c>
      <c r="DL32" s="10">
        <v>2</v>
      </c>
      <c r="DM32" s="10">
        <v>2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</row>
    <row r="33" spans="1:125" ht="20" customHeight="1">
      <c r="A33" s="8">
        <v>2021</v>
      </c>
      <c r="B33" s="9">
        <v>2021</v>
      </c>
      <c r="C33" s="10">
        <v>2021</v>
      </c>
      <c r="D33" s="11"/>
      <c r="E33" s="12" t="s">
        <v>126</v>
      </c>
      <c r="F33" s="12" t="s">
        <v>127</v>
      </c>
      <c r="G33" s="12" t="s">
        <v>162</v>
      </c>
      <c r="H33" s="12" t="s">
        <v>163</v>
      </c>
      <c r="I33" s="12" t="s">
        <v>162</v>
      </c>
      <c r="J33" s="12" t="s">
        <v>164</v>
      </c>
      <c r="K33" s="11"/>
      <c r="L33" s="10">
        <v>15</v>
      </c>
      <c r="M33" s="10">
        <v>1730</v>
      </c>
      <c r="N33" s="10">
        <v>2296</v>
      </c>
      <c r="O33" s="10">
        <v>798</v>
      </c>
      <c r="P33" s="10">
        <v>230</v>
      </c>
      <c r="Q33" s="10">
        <v>9</v>
      </c>
      <c r="R33" s="10">
        <v>426</v>
      </c>
      <c r="S33" s="10">
        <v>11024</v>
      </c>
      <c r="T33" s="10">
        <v>10575</v>
      </c>
      <c r="U33" s="10">
        <v>8141</v>
      </c>
      <c r="V33" s="10">
        <v>3822</v>
      </c>
      <c r="W33" s="10">
        <v>45</v>
      </c>
      <c r="X33" s="11"/>
      <c r="Y33" s="11"/>
      <c r="Z33" s="11"/>
      <c r="AA33" s="11"/>
      <c r="AB33" s="11"/>
      <c r="AC33" s="11"/>
      <c r="AD33" s="10">
        <v>0</v>
      </c>
      <c r="AE33" s="10">
        <v>112</v>
      </c>
      <c r="AF33" s="10">
        <v>140</v>
      </c>
      <c r="AG33" s="10">
        <v>63</v>
      </c>
      <c r="AH33" s="10">
        <v>17</v>
      </c>
      <c r="AI33" s="10">
        <v>0</v>
      </c>
      <c r="AJ33" s="10">
        <v>6</v>
      </c>
      <c r="AK33" s="11"/>
      <c r="AL33" s="10">
        <v>588</v>
      </c>
      <c r="AM33" s="11"/>
      <c r="AN33" s="10">
        <v>25</v>
      </c>
      <c r="AO33" s="10">
        <v>1</v>
      </c>
      <c r="AP33" s="10">
        <v>13</v>
      </c>
      <c r="AQ33" s="10">
        <v>1511</v>
      </c>
      <c r="AR33" s="10">
        <v>1227</v>
      </c>
      <c r="AS33" s="10">
        <v>316</v>
      </c>
      <c r="AT33" s="10">
        <v>83</v>
      </c>
      <c r="AU33" s="10">
        <v>3</v>
      </c>
      <c r="AV33" s="10">
        <v>2</v>
      </c>
      <c r="AW33" s="10">
        <v>219</v>
      </c>
      <c r="AX33" s="10">
        <v>1069</v>
      </c>
      <c r="AY33" s="10">
        <v>482</v>
      </c>
      <c r="AZ33" s="10">
        <v>147</v>
      </c>
      <c r="BA33" s="10">
        <v>6</v>
      </c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0">
        <v>426</v>
      </c>
      <c r="BO33" s="10">
        <v>11024</v>
      </c>
      <c r="BP33" s="10">
        <v>10575</v>
      </c>
      <c r="BQ33" s="10">
        <v>8141</v>
      </c>
      <c r="BR33" s="10">
        <v>3822</v>
      </c>
      <c r="BS33" s="10">
        <v>45</v>
      </c>
      <c r="BT33" s="11"/>
      <c r="BU33" s="11"/>
      <c r="BV33" s="11"/>
      <c r="BW33" s="11"/>
      <c r="BX33" s="11"/>
      <c r="BY33" s="11"/>
      <c r="BZ33" s="11"/>
      <c r="CA33" s="11"/>
      <c r="CB33" s="11"/>
      <c r="CC33" s="11"/>
      <c r="CD33" s="11"/>
      <c r="CE33" s="11"/>
      <c r="CF33" s="11"/>
      <c r="CG33" s="11"/>
      <c r="CH33" s="11"/>
      <c r="CI33" s="11"/>
      <c r="CJ33" s="11"/>
      <c r="CK33" s="11"/>
      <c r="CL33" s="11"/>
      <c r="CM33" s="11"/>
      <c r="CN33" s="11"/>
      <c r="CO33" s="11"/>
      <c r="CP33" s="11"/>
      <c r="CQ33" s="11"/>
      <c r="CR33" s="11"/>
      <c r="CS33" s="11"/>
      <c r="CT33" s="11"/>
      <c r="CU33" s="11"/>
      <c r="CV33" s="11"/>
      <c r="CW33" s="11"/>
      <c r="CX33" s="11"/>
      <c r="CY33" s="11"/>
      <c r="CZ33" s="11"/>
      <c r="DA33" s="11"/>
      <c r="DB33" s="11"/>
      <c r="DC33" s="11"/>
      <c r="DD33" s="10">
        <v>0</v>
      </c>
      <c r="DE33" s="11"/>
      <c r="DF33" s="11"/>
      <c r="DG33" s="11"/>
      <c r="DH33" s="11"/>
      <c r="DI33" s="10">
        <v>0</v>
      </c>
      <c r="DJ33" s="10">
        <v>0</v>
      </c>
      <c r="DK33" s="11"/>
      <c r="DL33" s="11"/>
      <c r="DM33" s="11"/>
      <c r="DN33" s="11"/>
      <c r="DO33" s="10">
        <v>0</v>
      </c>
      <c r="DP33" s="11"/>
      <c r="DQ33" s="11"/>
      <c r="DR33" s="11"/>
      <c r="DS33" s="11"/>
      <c r="DT33" s="11"/>
      <c r="DU33" s="11"/>
    </row>
    <row r="34" spans="1:125" ht="20" customHeight="1">
      <c r="A34" s="8">
        <v>2021</v>
      </c>
      <c r="B34" s="9">
        <v>2021</v>
      </c>
      <c r="C34" s="10">
        <v>2021</v>
      </c>
      <c r="D34" s="11"/>
      <c r="E34" s="12" t="s">
        <v>126</v>
      </c>
      <c r="F34" s="12" t="s">
        <v>127</v>
      </c>
      <c r="G34" s="12" t="s">
        <v>168</v>
      </c>
      <c r="H34" s="12" t="s">
        <v>169</v>
      </c>
      <c r="I34" s="12" t="s">
        <v>168</v>
      </c>
      <c r="J34" s="12" t="s">
        <v>170</v>
      </c>
      <c r="K34" s="11"/>
      <c r="L34" s="10">
        <v>17</v>
      </c>
      <c r="M34" s="10">
        <v>1022</v>
      </c>
      <c r="N34" s="10">
        <v>916</v>
      </c>
      <c r="O34" s="10">
        <v>441</v>
      </c>
      <c r="P34" s="10">
        <v>216</v>
      </c>
      <c r="Q34" s="10">
        <v>133</v>
      </c>
      <c r="R34" s="10">
        <v>489</v>
      </c>
      <c r="S34" s="10">
        <v>4602</v>
      </c>
      <c r="T34" s="10">
        <v>3626</v>
      </c>
      <c r="U34" s="10">
        <v>1150</v>
      </c>
      <c r="V34" s="10">
        <v>906</v>
      </c>
      <c r="W34" s="10">
        <v>193</v>
      </c>
      <c r="X34" s="10">
        <v>580</v>
      </c>
      <c r="Y34" s="10">
        <v>3532</v>
      </c>
      <c r="Z34" s="10">
        <v>2093</v>
      </c>
      <c r="AA34" s="10">
        <v>658</v>
      </c>
      <c r="AB34" s="10">
        <v>352</v>
      </c>
      <c r="AC34" s="10">
        <v>66</v>
      </c>
      <c r="AD34" s="10">
        <v>1</v>
      </c>
      <c r="AE34" s="10">
        <v>158</v>
      </c>
      <c r="AF34" s="10">
        <v>173</v>
      </c>
      <c r="AG34" s="10">
        <v>23</v>
      </c>
      <c r="AH34" s="10">
        <v>7</v>
      </c>
      <c r="AI34" s="10">
        <v>0</v>
      </c>
      <c r="AJ34" s="10">
        <v>5</v>
      </c>
      <c r="AK34" s="10">
        <v>213</v>
      </c>
      <c r="AL34" s="10">
        <v>181</v>
      </c>
      <c r="AM34" s="10">
        <v>49</v>
      </c>
      <c r="AN34" s="10">
        <v>11</v>
      </c>
      <c r="AO34" s="10">
        <v>2</v>
      </c>
      <c r="AP34" s="10">
        <v>17</v>
      </c>
      <c r="AQ34" s="10">
        <v>977</v>
      </c>
      <c r="AR34" s="10">
        <v>700</v>
      </c>
      <c r="AS34" s="10">
        <v>158</v>
      </c>
      <c r="AT34" s="10">
        <v>25</v>
      </c>
      <c r="AU34" s="10">
        <v>19</v>
      </c>
      <c r="AV34" s="10">
        <v>0</v>
      </c>
      <c r="AW34" s="10">
        <v>45</v>
      </c>
      <c r="AX34" s="10">
        <v>216</v>
      </c>
      <c r="AY34" s="10">
        <v>283</v>
      </c>
      <c r="AZ34" s="10">
        <v>191</v>
      </c>
      <c r="BA34" s="10">
        <v>114</v>
      </c>
      <c r="BB34" s="11"/>
      <c r="BC34" s="11"/>
      <c r="BD34" s="11"/>
      <c r="BE34" s="11"/>
      <c r="BF34" s="11"/>
      <c r="BG34" s="11"/>
      <c r="BH34" s="10">
        <v>464</v>
      </c>
      <c r="BI34" s="10">
        <v>4155</v>
      </c>
      <c r="BJ34" s="10">
        <v>2594</v>
      </c>
      <c r="BK34" s="10">
        <v>704</v>
      </c>
      <c r="BL34" s="10">
        <v>706</v>
      </c>
      <c r="BM34" s="10">
        <v>180</v>
      </c>
      <c r="BN34" s="10">
        <v>25</v>
      </c>
      <c r="BO34" s="10">
        <v>447</v>
      </c>
      <c r="BP34" s="10">
        <v>1032</v>
      </c>
      <c r="BQ34" s="10">
        <v>446</v>
      </c>
      <c r="BR34" s="10">
        <v>200</v>
      </c>
      <c r="BS34" s="10">
        <v>13</v>
      </c>
      <c r="BT34" s="11"/>
      <c r="BU34" s="11"/>
      <c r="BV34" s="11"/>
      <c r="BW34" s="11"/>
      <c r="BX34" s="11"/>
      <c r="BY34" s="11"/>
      <c r="BZ34" s="11"/>
      <c r="CA34" s="11"/>
      <c r="CB34" s="11"/>
      <c r="CC34" s="11"/>
      <c r="CD34" s="11"/>
      <c r="CE34" s="11"/>
      <c r="CF34" s="11"/>
      <c r="CG34" s="11"/>
      <c r="CH34" s="11"/>
      <c r="CI34" s="11"/>
      <c r="CJ34" s="11"/>
      <c r="CK34" s="11"/>
      <c r="CL34" s="10">
        <v>1</v>
      </c>
      <c r="CM34" s="10">
        <v>4</v>
      </c>
      <c r="CN34" s="10">
        <v>22</v>
      </c>
      <c r="CO34" s="10">
        <v>13</v>
      </c>
      <c r="CP34" s="10">
        <v>2</v>
      </c>
      <c r="CQ34" s="10">
        <v>0</v>
      </c>
      <c r="CR34" s="10">
        <v>579</v>
      </c>
      <c r="CS34" s="10">
        <v>3528</v>
      </c>
      <c r="CT34" s="10">
        <v>2071</v>
      </c>
      <c r="CU34" s="10">
        <v>645</v>
      </c>
      <c r="CV34" s="10">
        <v>350</v>
      </c>
      <c r="CW34" s="10">
        <v>66</v>
      </c>
      <c r="CX34" s="11"/>
      <c r="CY34" s="11"/>
      <c r="CZ34" s="11"/>
      <c r="DA34" s="11"/>
      <c r="DB34" s="11"/>
      <c r="DC34" s="11"/>
      <c r="DD34" s="10">
        <v>0</v>
      </c>
      <c r="DE34" s="10">
        <v>3</v>
      </c>
      <c r="DF34" s="10">
        <v>11</v>
      </c>
      <c r="DG34" s="10">
        <v>31</v>
      </c>
      <c r="DH34" s="10">
        <v>11</v>
      </c>
      <c r="DI34" s="10">
        <v>7</v>
      </c>
      <c r="DJ34" s="10">
        <v>0</v>
      </c>
      <c r="DK34" s="10">
        <v>0</v>
      </c>
      <c r="DL34" s="10">
        <v>19</v>
      </c>
      <c r="DM34" s="10">
        <v>27</v>
      </c>
      <c r="DN34" s="10">
        <v>15</v>
      </c>
      <c r="DO34" s="10">
        <v>0</v>
      </c>
      <c r="DP34" s="11"/>
      <c r="DQ34" s="11"/>
      <c r="DR34" s="11"/>
      <c r="DS34" s="11"/>
      <c r="DT34" s="11"/>
      <c r="DU34" s="11"/>
    </row>
    <row r="35" spans="1:125" ht="20" customHeight="1">
      <c r="A35" s="8">
        <v>2021</v>
      </c>
      <c r="B35" s="9">
        <v>2021</v>
      </c>
      <c r="C35" s="10">
        <v>2021</v>
      </c>
      <c r="D35" s="11"/>
      <c r="E35" s="12" t="s">
        <v>126</v>
      </c>
      <c r="F35" s="12" t="s">
        <v>127</v>
      </c>
      <c r="G35" s="12" t="s">
        <v>171</v>
      </c>
      <c r="H35" s="12" t="s">
        <v>172</v>
      </c>
      <c r="I35" s="12" t="s">
        <v>171</v>
      </c>
      <c r="J35" s="12" t="s">
        <v>173</v>
      </c>
      <c r="K35" s="11"/>
      <c r="L35" s="11"/>
      <c r="M35" s="10">
        <v>449</v>
      </c>
      <c r="N35" s="10">
        <v>691</v>
      </c>
      <c r="O35" s="10">
        <v>380</v>
      </c>
      <c r="P35" s="10">
        <v>158</v>
      </c>
      <c r="Q35" s="10">
        <v>3</v>
      </c>
      <c r="R35" s="10">
        <v>27</v>
      </c>
      <c r="S35" s="10">
        <v>1674</v>
      </c>
      <c r="T35" s="10">
        <v>2944</v>
      </c>
      <c r="U35" s="10">
        <v>1257</v>
      </c>
      <c r="V35" s="10">
        <v>642</v>
      </c>
      <c r="W35" s="11"/>
      <c r="X35" s="10">
        <v>9</v>
      </c>
      <c r="Y35" s="10">
        <v>825</v>
      </c>
      <c r="Z35" s="10">
        <v>1477</v>
      </c>
      <c r="AA35" s="10">
        <v>250</v>
      </c>
      <c r="AB35" s="10">
        <v>132</v>
      </c>
      <c r="AC35" s="11"/>
      <c r="AD35" s="11"/>
      <c r="AE35" s="10">
        <v>13</v>
      </c>
      <c r="AF35" s="10">
        <v>69</v>
      </c>
      <c r="AG35" s="10">
        <v>67</v>
      </c>
      <c r="AH35" s="10">
        <v>27</v>
      </c>
      <c r="AI35" s="11"/>
      <c r="AJ35" s="11"/>
      <c r="AK35" s="10">
        <v>59</v>
      </c>
      <c r="AL35" s="10">
        <v>138</v>
      </c>
      <c r="AM35" s="10">
        <v>55</v>
      </c>
      <c r="AN35" s="10">
        <v>34</v>
      </c>
      <c r="AO35" s="10">
        <v>1</v>
      </c>
      <c r="AP35" s="11"/>
      <c r="AQ35" s="10">
        <v>232</v>
      </c>
      <c r="AR35" s="10">
        <v>154</v>
      </c>
      <c r="AS35" s="10">
        <v>61</v>
      </c>
      <c r="AT35" s="10">
        <v>29</v>
      </c>
      <c r="AU35" s="11"/>
      <c r="AV35" s="11"/>
      <c r="AW35" s="10">
        <v>217</v>
      </c>
      <c r="AX35" s="10">
        <v>537</v>
      </c>
      <c r="AY35" s="10">
        <v>319</v>
      </c>
      <c r="AZ35" s="10">
        <v>129</v>
      </c>
      <c r="BA35" s="10">
        <v>3</v>
      </c>
      <c r="BB35" s="11"/>
      <c r="BC35" s="11"/>
      <c r="BD35" s="11"/>
      <c r="BE35" s="11"/>
      <c r="BF35" s="11"/>
      <c r="BG35" s="11"/>
      <c r="BH35" s="10">
        <v>15</v>
      </c>
      <c r="BI35" s="10">
        <v>563</v>
      </c>
      <c r="BJ35" s="10">
        <v>1072</v>
      </c>
      <c r="BK35" s="10">
        <v>357</v>
      </c>
      <c r="BL35" s="10">
        <v>291</v>
      </c>
      <c r="BM35" s="11"/>
      <c r="BN35" s="10">
        <v>10</v>
      </c>
      <c r="BO35" s="10">
        <v>755</v>
      </c>
      <c r="BP35" s="10">
        <v>1287</v>
      </c>
      <c r="BQ35" s="10">
        <v>333</v>
      </c>
      <c r="BR35" s="10">
        <v>110</v>
      </c>
      <c r="BS35" s="11"/>
      <c r="BT35" s="10">
        <v>2</v>
      </c>
      <c r="BU35" s="10">
        <v>356</v>
      </c>
      <c r="BV35" s="10">
        <v>585</v>
      </c>
      <c r="BW35" s="10">
        <v>567</v>
      </c>
      <c r="BX35" s="10">
        <v>241</v>
      </c>
      <c r="BY35" s="11"/>
      <c r="BZ35" s="10">
        <v>14</v>
      </c>
      <c r="CA35" s="10">
        <v>490</v>
      </c>
      <c r="CB35" s="10">
        <v>855</v>
      </c>
      <c r="CC35" s="10">
        <v>152</v>
      </c>
      <c r="CD35" s="10">
        <v>70</v>
      </c>
      <c r="CE35" s="11"/>
      <c r="CF35" s="11"/>
      <c r="CG35" s="11"/>
      <c r="CH35" s="11"/>
      <c r="CI35" s="11"/>
      <c r="CJ35" s="11"/>
      <c r="CK35" s="11"/>
      <c r="CL35" s="10">
        <v>9</v>
      </c>
      <c r="CM35" s="10">
        <v>823</v>
      </c>
      <c r="CN35" s="10">
        <v>1469</v>
      </c>
      <c r="CO35" s="10">
        <v>238</v>
      </c>
      <c r="CP35" s="10">
        <v>125</v>
      </c>
      <c r="CQ35" s="11"/>
      <c r="CR35" s="11"/>
      <c r="CS35" s="10">
        <v>2</v>
      </c>
      <c r="CT35" s="10">
        <v>8</v>
      </c>
      <c r="CU35" s="10">
        <v>12</v>
      </c>
      <c r="CV35" s="10">
        <v>7</v>
      </c>
      <c r="CW35" s="11"/>
      <c r="CX35" s="11"/>
      <c r="CY35" s="11"/>
      <c r="CZ35" s="11"/>
      <c r="DA35" s="11"/>
      <c r="DB35" s="11"/>
      <c r="DC35" s="11"/>
      <c r="DD35" s="11"/>
      <c r="DE35" s="10">
        <v>22</v>
      </c>
      <c r="DF35" s="10">
        <v>67</v>
      </c>
      <c r="DG35" s="10">
        <v>30</v>
      </c>
      <c r="DH35" s="10">
        <v>15</v>
      </c>
      <c r="DI35" s="11"/>
      <c r="DJ35" s="11"/>
      <c r="DK35" s="10">
        <v>19</v>
      </c>
      <c r="DL35" s="10">
        <v>47</v>
      </c>
      <c r="DM35" s="10">
        <v>33</v>
      </c>
      <c r="DN35" s="10">
        <v>7</v>
      </c>
      <c r="DO35" s="11"/>
      <c r="DP35" s="11"/>
      <c r="DQ35" s="11"/>
      <c r="DR35" s="11"/>
      <c r="DS35" s="11"/>
      <c r="DT35" s="11"/>
      <c r="DU35" s="11"/>
    </row>
    <row r="36" spans="1:125" ht="20" customHeight="1">
      <c r="A36" s="8">
        <v>2020</v>
      </c>
      <c r="B36" s="9">
        <v>2020</v>
      </c>
      <c r="C36" s="10">
        <v>2020</v>
      </c>
      <c r="D36" s="11"/>
      <c r="E36" s="12" t="s">
        <v>126</v>
      </c>
      <c r="F36" s="12" t="s">
        <v>127</v>
      </c>
      <c r="G36" s="11"/>
      <c r="H36" s="12" t="s">
        <v>128</v>
      </c>
      <c r="I36" s="12" t="s">
        <v>127</v>
      </c>
      <c r="J36" s="12" t="s">
        <v>127</v>
      </c>
      <c r="K36" s="11"/>
      <c r="L36" s="10">
        <v>107</v>
      </c>
      <c r="M36" s="10">
        <v>6414</v>
      </c>
      <c r="N36" s="10">
        <v>6078</v>
      </c>
      <c r="O36" s="10">
        <v>2903</v>
      </c>
      <c r="P36" s="10">
        <v>1381</v>
      </c>
      <c r="Q36" s="10">
        <v>201</v>
      </c>
      <c r="R36" s="10">
        <v>3787</v>
      </c>
      <c r="S36" s="10">
        <v>33751</v>
      </c>
      <c r="T36" s="10">
        <v>34503</v>
      </c>
      <c r="U36" s="10">
        <v>20747</v>
      </c>
      <c r="V36" s="10">
        <v>9430</v>
      </c>
      <c r="W36" s="10">
        <v>391</v>
      </c>
      <c r="X36" s="10">
        <v>263</v>
      </c>
      <c r="Y36" s="10">
        <v>6847</v>
      </c>
      <c r="Z36" s="10">
        <v>7665</v>
      </c>
      <c r="AA36" s="10">
        <v>3198</v>
      </c>
      <c r="AB36" s="10">
        <v>724</v>
      </c>
      <c r="AC36" s="10">
        <v>76</v>
      </c>
      <c r="AD36" s="10">
        <v>13</v>
      </c>
      <c r="AE36" s="10">
        <v>544</v>
      </c>
      <c r="AF36" s="10">
        <v>402</v>
      </c>
      <c r="AG36" s="10">
        <v>182</v>
      </c>
      <c r="AH36" s="10">
        <v>79</v>
      </c>
      <c r="AI36" s="10">
        <v>15</v>
      </c>
      <c r="AJ36" s="10">
        <v>46</v>
      </c>
      <c r="AK36" s="10">
        <v>1011</v>
      </c>
      <c r="AL36" s="10">
        <v>849</v>
      </c>
      <c r="AM36" s="10">
        <v>257</v>
      </c>
      <c r="AN36" s="10">
        <v>74</v>
      </c>
      <c r="AO36" s="10">
        <v>15</v>
      </c>
      <c r="AP36" s="10">
        <v>101</v>
      </c>
      <c r="AQ36" s="10">
        <v>5880</v>
      </c>
      <c r="AR36" s="10">
        <v>3812</v>
      </c>
      <c r="AS36" s="10">
        <v>1245</v>
      </c>
      <c r="AT36" s="10">
        <v>495</v>
      </c>
      <c r="AU36" s="10">
        <v>54</v>
      </c>
      <c r="AV36" s="10">
        <v>6</v>
      </c>
      <c r="AW36" s="10">
        <v>534</v>
      </c>
      <c r="AX36" s="10">
        <v>2264</v>
      </c>
      <c r="AY36" s="10">
        <v>1658</v>
      </c>
      <c r="AZ36" s="10">
        <v>886</v>
      </c>
      <c r="BA36" s="10">
        <v>147</v>
      </c>
      <c r="BB36" s="10">
        <v>0</v>
      </c>
      <c r="BC36" s="10">
        <v>0</v>
      </c>
      <c r="BD36" s="10">
        <v>2</v>
      </c>
      <c r="BE36" s="10">
        <v>0</v>
      </c>
      <c r="BF36" s="10">
        <v>0</v>
      </c>
      <c r="BG36" s="10">
        <v>0</v>
      </c>
      <c r="BH36" s="10">
        <v>941</v>
      </c>
      <c r="BI36" s="10">
        <v>4750</v>
      </c>
      <c r="BJ36" s="10">
        <v>4391</v>
      </c>
      <c r="BK36" s="10">
        <v>2002</v>
      </c>
      <c r="BL36" s="10">
        <v>1040</v>
      </c>
      <c r="BM36" s="10">
        <v>175</v>
      </c>
      <c r="BN36" s="10">
        <v>2838</v>
      </c>
      <c r="BO36" s="10">
        <v>28476</v>
      </c>
      <c r="BP36" s="10">
        <v>29456</v>
      </c>
      <c r="BQ36" s="10">
        <v>18434</v>
      </c>
      <c r="BR36" s="10">
        <v>8096</v>
      </c>
      <c r="BS36" s="10">
        <v>214</v>
      </c>
      <c r="BT36" s="10">
        <v>8</v>
      </c>
      <c r="BU36" s="10">
        <v>525</v>
      </c>
      <c r="BV36" s="10">
        <v>656</v>
      </c>
      <c r="BW36" s="10">
        <v>311</v>
      </c>
      <c r="BX36" s="10">
        <v>294</v>
      </c>
      <c r="BY36" s="10">
        <v>2</v>
      </c>
      <c r="BZ36" s="10">
        <v>631</v>
      </c>
      <c r="CA36" s="10">
        <v>1843</v>
      </c>
      <c r="CB36" s="10">
        <v>1456</v>
      </c>
      <c r="CC36" s="10">
        <v>499</v>
      </c>
      <c r="CD36" s="10">
        <v>104</v>
      </c>
      <c r="CE36" s="10">
        <v>16</v>
      </c>
      <c r="CF36" s="10">
        <v>379</v>
      </c>
      <c r="CG36" s="10">
        <v>443</v>
      </c>
      <c r="CH36" s="10">
        <v>554</v>
      </c>
      <c r="CI36" s="10">
        <v>437</v>
      </c>
      <c r="CJ36" s="10">
        <v>173</v>
      </c>
      <c r="CK36" s="10">
        <v>13</v>
      </c>
      <c r="CL36" s="10">
        <v>259</v>
      </c>
      <c r="CM36" s="10">
        <v>6236</v>
      </c>
      <c r="CN36" s="10">
        <v>5455</v>
      </c>
      <c r="CO36" s="10">
        <v>1702</v>
      </c>
      <c r="CP36" s="10">
        <v>445</v>
      </c>
      <c r="CQ36" s="10">
        <v>57</v>
      </c>
      <c r="CR36" s="10">
        <v>4</v>
      </c>
      <c r="CS36" s="10">
        <v>604</v>
      </c>
      <c r="CT36" s="10">
        <v>2201</v>
      </c>
      <c r="CU36" s="10">
        <v>1491</v>
      </c>
      <c r="CV36" s="10">
        <v>279</v>
      </c>
      <c r="CW36" s="10">
        <v>19</v>
      </c>
      <c r="CX36" s="10">
        <v>0</v>
      </c>
      <c r="CY36" s="10">
        <v>7</v>
      </c>
      <c r="CZ36" s="10">
        <v>9</v>
      </c>
      <c r="DA36" s="10">
        <v>5</v>
      </c>
      <c r="DB36" s="10">
        <v>0</v>
      </c>
      <c r="DC36" s="10">
        <v>0</v>
      </c>
      <c r="DD36" s="10">
        <v>0</v>
      </c>
      <c r="DE36" s="10">
        <v>61</v>
      </c>
      <c r="DF36" s="10">
        <v>322</v>
      </c>
      <c r="DG36" s="10">
        <v>247</v>
      </c>
      <c r="DH36" s="10">
        <v>139</v>
      </c>
      <c r="DI36" s="10">
        <v>13</v>
      </c>
      <c r="DJ36" s="10">
        <v>0</v>
      </c>
      <c r="DK36" s="10">
        <v>52</v>
      </c>
      <c r="DL36" s="10">
        <v>228</v>
      </c>
      <c r="DM36" s="10">
        <v>185</v>
      </c>
      <c r="DN36" s="10">
        <v>87</v>
      </c>
      <c r="DO36" s="10">
        <v>7</v>
      </c>
      <c r="DP36" s="10">
        <v>166</v>
      </c>
      <c r="DQ36" s="10">
        <v>2052</v>
      </c>
      <c r="DR36" s="10">
        <v>2594</v>
      </c>
      <c r="DS36" s="10">
        <v>1179</v>
      </c>
      <c r="DT36" s="10">
        <v>137</v>
      </c>
      <c r="DU36" s="10">
        <v>2</v>
      </c>
    </row>
    <row r="37" spans="1:125" ht="20" customHeight="1">
      <c r="A37" s="8">
        <v>2020</v>
      </c>
      <c r="B37" s="9">
        <v>2020</v>
      </c>
      <c r="C37" s="10">
        <v>2020</v>
      </c>
      <c r="D37" s="11"/>
      <c r="E37" s="12" t="s">
        <v>126</v>
      </c>
      <c r="F37" s="12" t="s">
        <v>127</v>
      </c>
      <c r="G37" s="12" t="s">
        <v>129</v>
      </c>
      <c r="H37" s="12" t="s">
        <v>130</v>
      </c>
      <c r="I37" s="12" t="s">
        <v>129</v>
      </c>
      <c r="J37" s="12" t="s">
        <v>131</v>
      </c>
      <c r="K37" s="11"/>
      <c r="L37" s="10">
        <v>0</v>
      </c>
      <c r="M37" s="10">
        <v>726</v>
      </c>
      <c r="N37" s="10">
        <v>882</v>
      </c>
      <c r="O37" s="10">
        <v>161</v>
      </c>
      <c r="P37" s="10">
        <v>27</v>
      </c>
      <c r="Q37" s="10">
        <v>0</v>
      </c>
      <c r="R37" s="10">
        <v>9</v>
      </c>
      <c r="S37" s="10">
        <v>2684</v>
      </c>
      <c r="T37" s="10">
        <v>5189</v>
      </c>
      <c r="U37" s="10">
        <v>3350</v>
      </c>
      <c r="V37" s="10">
        <v>642</v>
      </c>
      <c r="W37" s="10">
        <v>0</v>
      </c>
      <c r="X37" s="10">
        <v>11</v>
      </c>
      <c r="Y37" s="10">
        <v>2099</v>
      </c>
      <c r="Z37" s="10">
        <v>3783</v>
      </c>
      <c r="AA37" s="10">
        <v>1776</v>
      </c>
      <c r="AB37" s="10">
        <v>74</v>
      </c>
      <c r="AC37" s="10">
        <v>0</v>
      </c>
      <c r="AD37" s="10">
        <v>5</v>
      </c>
      <c r="AE37" s="10">
        <v>19</v>
      </c>
      <c r="AF37" s="10">
        <v>20</v>
      </c>
      <c r="AG37" s="10">
        <v>28</v>
      </c>
      <c r="AH37" s="10">
        <v>21</v>
      </c>
      <c r="AI37" s="10">
        <v>10</v>
      </c>
      <c r="AJ37" s="11"/>
      <c r="AK37" s="11"/>
      <c r="AL37" s="11"/>
      <c r="AM37" s="11"/>
      <c r="AN37" s="11"/>
      <c r="AO37" s="11"/>
      <c r="AP37" s="10">
        <v>0</v>
      </c>
      <c r="AQ37" s="10">
        <v>677</v>
      </c>
      <c r="AR37" s="10">
        <v>364</v>
      </c>
      <c r="AS37" s="10">
        <v>31</v>
      </c>
      <c r="AT37" s="10">
        <v>17</v>
      </c>
      <c r="AU37" s="10">
        <v>0</v>
      </c>
      <c r="AV37" s="10">
        <v>0</v>
      </c>
      <c r="AW37" s="10">
        <v>49</v>
      </c>
      <c r="AX37" s="10">
        <v>518</v>
      </c>
      <c r="AY37" s="10">
        <v>130</v>
      </c>
      <c r="AZ37" s="10">
        <v>10</v>
      </c>
      <c r="BA37" s="10">
        <v>0</v>
      </c>
      <c r="BB37" s="11"/>
      <c r="BC37" s="11"/>
      <c r="BD37" s="11"/>
      <c r="BE37" s="11"/>
      <c r="BF37" s="11"/>
      <c r="BG37" s="11"/>
      <c r="BH37" s="10">
        <v>1</v>
      </c>
      <c r="BI37" s="10">
        <v>283</v>
      </c>
      <c r="BJ37" s="10">
        <v>764</v>
      </c>
      <c r="BK37" s="10">
        <v>459</v>
      </c>
      <c r="BL37" s="10">
        <v>139</v>
      </c>
      <c r="BM37" s="10">
        <v>0</v>
      </c>
      <c r="BN37" s="10">
        <v>8</v>
      </c>
      <c r="BO37" s="10">
        <v>2401</v>
      </c>
      <c r="BP37" s="10">
        <v>4425</v>
      </c>
      <c r="BQ37" s="10">
        <v>2891</v>
      </c>
      <c r="BR37" s="10">
        <v>503</v>
      </c>
      <c r="BS37" s="10">
        <v>0</v>
      </c>
      <c r="BT37" s="11"/>
      <c r="BU37" s="11"/>
      <c r="BV37" s="11"/>
      <c r="BW37" s="11"/>
      <c r="BX37" s="11"/>
      <c r="BY37" s="11"/>
      <c r="BZ37" s="11"/>
      <c r="CA37" s="11"/>
      <c r="CB37" s="11"/>
      <c r="CC37" s="11"/>
      <c r="CD37" s="11"/>
      <c r="CE37" s="11"/>
      <c r="CF37" s="11"/>
      <c r="CG37" s="11"/>
      <c r="CH37" s="11"/>
      <c r="CI37" s="11"/>
      <c r="CJ37" s="11"/>
      <c r="CK37" s="11"/>
      <c r="CL37" s="10">
        <v>11</v>
      </c>
      <c r="CM37" s="10">
        <v>1903</v>
      </c>
      <c r="CN37" s="10">
        <v>2192</v>
      </c>
      <c r="CO37" s="10">
        <v>662</v>
      </c>
      <c r="CP37" s="10">
        <v>58</v>
      </c>
      <c r="CQ37" s="10">
        <v>0</v>
      </c>
      <c r="CR37" s="10">
        <v>0</v>
      </c>
      <c r="CS37" s="10">
        <v>196</v>
      </c>
      <c r="CT37" s="10">
        <v>1591</v>
      </c>
      <c r="CU37" s="10">
        <v>1114</v>
      </c>
      <c r="CV37" s="10">
        <v>16</v>
      </c>
      <c r="CW37" s="10">
        <v>0</v>
      </c>
      <c r="CX37" s="11"/>
      <c r="CY37" s="11"/>
      <c r="CZ37" s="11"/>
      <c r="DA37" s="11"/>
      <c r="DB37" s="11"/>
      <c r="DC37" s="11"/>
      <c r="DD37" s="10">
        <v>0</v>
      </c>
      <c r="DE37" s="10">
        <v>1</v>
      </c>
      <c r="DF37" s="10">
        <v>65</v>
      </c>
      <c r="DG37" s="10">
        <v>40</v>
      </c>
      <c r="DH37" s="10">
        <v>20</v>
      </c>
      <c r="DI37" s="10">
        <v>0</v>
      </c>
      <c r="DJ37" s="10">
        <v>0</v>
      </c>
      <c r="DK37" s="10">
        <v>4</v>
      </c>
      <c r="DL37" s="10">
        <v>46</v>
      </c>
      <c r="DM37" s="10">
        <v>39</v>
      </c>
      <c r="DN37" s="10">
        <v>12</v>
      </c>
      <c r="DO37" s="10">
        <v>0</v>
      </c>
      <c r="DP37" s="10">
        <v>15</v>
      </c>
      <c r="DQ37" s="10">
        <v>617</v>
      </c>
      <c r="DR37" s="10">
        <v>1526</v>
      </c>
      <c r="DS37" s="10">
        <v>713</v>
      </c>
      <c r="DT37" s="10">
        <v>52</v>
      </c>
      <c r="DU37" s="10">
        <v>0</v>
      </c>
    </row>
    <row r="38" spans="1:125" ht="20" customHeight="1">
      <c r="A38" s="8">
        <v>2020</v>
      </c>
      <c r="B38" s="9">
        <v>2020</v>
      </c>
      <c r="C38" s="10">
        <v>2020</v>
      </c>
      <c r="D38" s="11"/>
      <c r="E38" s="12" t="s">
        <v>126</v>
      </c>
      <c r="F38" s="12" t="s">
        <v>127</v>
      </c>
      <c r="G38" s="12" t="s">
        <v>135</v>
      </c>
      <c r="H38" s="12" t="s">
        <v>136</v>
      </c>
      <c r="I38" s="12" t="s">
        <v>135</v>
      </c>
      <c r="J38" s="12" t="s">
        <v>137</v>
      </c>
      <c r="K38" s="11"/>
      <c r="L38" s="10">
        <v>35</v>
      </c>
      <c r="M38" s="10">
        <v>226</v>
      </c>
      <c r="N38" s="10">
        <v>452</v>
      </c>
      <c r="O38" s="10">
        <v>373</v>
      </c>
      <c r="P38" s="10">
        <v>234</v>
      </c>
      <c r="Q38" s="10">
        <v>42</v>
      </c>
      <c r="R38" s="10">
        <v>31</v>
      </c>
      <c r="S38" s="10">
        <v>881</v>
      </c>
      <c r="T38" s="10">
        <v>2191</v>
      </c>
      <c r="U38" s="10">
        <v>1938</v>
      </c>
      <c r="V38" s="10">
        <v>439</v>
      </c>
      <c r="W38" s="10">
        <v>1</v>
      </c>
      <c r="X38" s="10">
        <v>36</v>
      </c>
      <c r="Y38" s="10">
        <v>204</v>
      </c>
      <c r="Z38" s="10">
        <v>153</v>
      </c>
      <c r="AA38" s="10">
        <v>209</v>
      </c>
      <c r="AB38" s="10">
        <v>57</v>
      </c>
      <c r="AC38" s="10">
        <v>3</v>
      </c>
      <c r="AD38" s="10">
        <v>0</v>
      </c>
      <c r="AE38" s="10">
        <v>6</v>
      </c>
      <c r="AF38" s="10">
        <v>8</v>
      </c>
      <c r="AG38" s="10">
        <v>8</v>
      </c>
      <c r="AH38" s="10">
        <v>11</v>
      </c>
      <c r="AI38" s="10">
        <v>1</v>
      </c>
      <c r="AJ38" s="10">
        <v>1</v>
      </c>
      <c r="AK38" s="10">
        <v>34</v>
      </c>
      <c r="AL38" s="10">
        <v>38</v>
      </c>
      <c r="AM38" s="10">
        <v>37</v>
      </c>
      <c r="AN38" s="10">
        <v>24</v>
      </c>
      <c r="AO38" s="10">
        <v>5</v>
      </c>
      <c r="AP38" s="10">
        <v>29</v>
      </c>
      <c r="AQ38" s="10">
        <v>176</v>
      </c>
      <c r="AR38" s="10">
        <v>198</v>
      </c>
      <c r="AS38" s="10">
        <v>82</v>
      </c>
      <c r="AT38" s="10">
        <v>40</v>
      </c>
      <c r="AU38" s="10">
        <v>1</v>
      </c>
      <c r="AV38" s="10">
        <v>6</v>
      </c>
      <c r="AW38" s="10">
        <v>50</v>
      </c>
      <c r="AX38" s="10">
        <v>253</v>
      </c>
      <c r="AY38" s="10">
        <v>291</v>
      </c>
      <c r="AZ38" s="10">
        <v>194</v>
      </c>
      <c r="BA38" s="10">
        <v>41</v>
      </c>
      <c r="BB38" s="10">
        <v>0</v>
      </c>
      <c r="BC38" s="10">
        <v>0</v>
      </c>
      <c r="BD38" s="10">
        <v>1</v>
      </c>
      <c r="BE38" s="10">
        <v>0</v>
      </c>
      <c r="BF38" s="10">
        <v>0</v>
      </c>
      <c r="BG38" s="10">
        <v>0</v>
      </c>
      <c r="BH38" s="10">
        <v>12</v>
      </c>
      <c r="BI38" s="10">
        <v>103</v>
      </c>
      <c r="BJ38" s="10">
        <v>259</v>
      </c>
      <c r="BK38" s="10">
        <v>226</v>
      </c>
      <c r="BL38" s="10">
        <v>35</v>
      </c>
      <c r="BM38" s="10">
        <v>0</v>
      </c>
      <c r="BN38" s="10">
        <v>19</v>
      </c>
      <c r="BO38" s="10">
        <v>777</v>
      </c>
      <c r="BP38" s="10">
        <v>1932</v>
      </c>
      <c r="BQ38" s="10">
        <v>1711</v>
      </c>
      <c r="BR38" s="10">
        <v>404</v>
      </c>
      <c r="BS38" s="10">
        <v>1</v>
      </c>
      <c r="BT38" s="10">
        <v>0</v>
      </c>
      <c r="BU38" s="10">
        <v>1</v>
      </c>
      <c r="BV38" s="10">
        <v>0</v>
      </c>
      <c r="BW38" s="10">
        <v>1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1</v>
      </c>
      <c r="CE38" s="10">
        <v>0</v>
      </c>
      <c r="CF38" s="10">
        <v>0</v>
      </c>
      <c r="CG38" s="10">
        <v>25</v>
      </c>
      <c r="CH38" s="10">
        <v>79</v>
      </c>
      <c r="CI38" s="10">
        <v>80</v>
      </c>
      <c r="CJ38" s="10">
        <v>6</v>
      </c>
      <c r="CK38" s="10">
        <v>0</v>
      </c>
      <c r="CL38" s="10">
        <v>36</v>
      </c>
      <c r="CM38" s="10">
        <v>204</v>
      </c>
      <c r="CN38" s="10">
        <v>153</v>
      </c>
      <c r="CO38" s="10">
        <v>209</v>
      </c>
      <c r="CP38" s="10">
        <v>57</v>
      </c>
      <c r="CQ38" s="10">
        <v>3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5</v>
      </c>
      <c r="DF38" s="10">
        <v>21</v>
      </c>
      <c r="DG38" s="10">
        <v>39</v>
      </c>
      <c r="DH38" s="10">
        <v>14</v>
      </c>
      <c r="DI38" s="10">
        <v>3</v>
      </c>
      <c r="DJ38" s="10">
        <v>0</v>
      </c>
      <c r="DK38" s="10">
        <v>2</v>
      </c>
      <c r="DL38" s="10">
        <v>23</v>
      </c>
      <c r="DM38" s="10">
        <v>22</v>
      </c>
      <c r="DN38" s="10">
        <v>18</v>
      </c>
      <c r="DO38" s="10">
        <v>2</v>
      </c>
      <c r="DP38" s="10">
        <v>1</v>
      </c>
      <c r="DQ38" s="10">
        <v>14</v>
      </c>
      <c r="DR38" s="10">
        <v>27</v>
      </c>
      <c r="DS38" s="10">
        <v>50</v>
      </c>
      <c r="DT38" s="10">
        <v>18</v>
      </c>
      <c r="DU38" s="10">
        <v>0</v>
      </c>
    </row>
    <row r="39" spans="1:125" ht="20" customHeight="1">
      <c r="A39" s="8">
        <v>2020</v>
      </c>
      <c r="B39" s="9">
        <v>2020</v>
      </c>
      <c r="C39" s="10">
        <v>2020</v>
      </c>
      <c r="D39" s="11"/>
      <c r="E39" s="12" t="s">
        <v>126</v>
      </c>
      <c r="F39" s="12" t="s">
        <v>127</v>
      </c>
      <c r="G39" s="12" t="s">
        <v>141</v>
      </c>
      <c r="H39" s="12" t="s">
        <v>142</v>
      </c>
      <c r="I39" s="12" t="s">
        <v>141</v>
      </c>
      <c r="J39" s="12" t="s">
        <v>143</v>
      </c>
      <c r="K39" s="11"/>
      <c r="L39" s="10">
        <v>20</v>
      </c>
      <c r="M39" s="10">
        <v>498</v>
      </c>
      <c r="N39" s="10">
        <v>298</v>
      </c>
      <c r="O39" s="10">
        <v>128</v>
      </c>
      <c r="P39" s="10">
        <v>61</v>
      </c>
      <c r="Q39" s="10">
        <v>19</v>
      </c>
      <c r="R39" s="10">
        <v>372</v>
      </c>
      <c r="S39" s="10">
        <v>3373</v>
      </c>
      <c r="T39" s="10">
        <v>2293</v>
      </c>
      <c r="U39" s="10">
        <v>1195</v>
      </c>
      <c r="V39" s="10">
        <v>537</v>
      </c>
      <c r="W39" s="10">
        <v>1</v>
      </c>
      <c r="X39" s="11"/>
      <c r="Y39" s="11"/>
      <c r="Z39" s="11"/>
      <c r="AA39" s="11"/>
      <c r="AB39" s="11"/>
      <c r="AC39" s="11"/>
      <c r="AD39" s="10">
        <v>1</v>
      </c>
      <c r="AE39" s="10">
        <v>58</v>
      </c>
      <c r="AF39" s="10">
        <v>26</v>
      </c>
      <c r="AG39" s="10">
        <v>4</v>
      </c>
      <c r="AH39" s="11"/>
      <c r="AI39" s="11"/>
      <c r="AJ39" s="10">
        <v>4</v>
      </c>
      <c r="AK39" s="10">
        <v>52</v>
      </c>
      <c r="AL39" s="10">
        <v>34</v>
      </c>
      <c r="AM39" s="10">
        <v>43</v>
      </c>
      <c r="AN39" s="10">
        <v>12</v>
      </c>
      <c r="AO39" s="11"/>
      <c r="AP39" s="10">
        <v>20</v>
      </c>
      <c r="AQ39" s="10">
        <v>498</v>
      </c>
      <c r="AR39" s="10">
        <v>243</v>
      </c>
      <c r="AS39" s="10">
        <v>101</v>
      </c>
      <c r="AT39" s="10">
        <v>33</v>
      </c>
      <c r="AU39" s="10">
        <v>7</v>
      </c>
      <c r="AV39" s="11"/>
      <c r="AW39" s="11"/>
      <c r="AX39" s="10">
        <v>55</v>
      </c>
      <c r="AY39" s="10">
        <v>27</v>
      </c>
      <c r="AZ39" s="10">
        <v>28</v>
      </c>
      <c r="BA39" s="10">
        <v>12</v>
      </c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0">
        <v>372</v>
      </c>
      <c r="BO39" s="10">
        <v>3373</v>
      </c>
      <c r="BP39" s="10">
        <v>2293</v>
      </c>
      <c r="BQ39" s="10">
        <v>1195</v>
      </c>
      <c r="BR39" s="10">
        <v>537</v>
      </c>
      <c r="BS39" s="10">
        <v>1</v>
      </c>
      <c r="BT39" s="11"/>
      <c r="BU39" s="11"/>
      <c r="BV39" s="11"/>
      <c r="BW39" s="11"/>
      <c r="BX39" s="11"/>
      <c r="BY39" s="11"/>
      <c r="BZ39" s="11"/>
      <c r="CA39" s="11"/>
      <c r="CB39" s="11"/>
      <c r="CC39" s="11"/>
      <c r="CD39" s="11"/>
      <c r="CE39" s="11"/>
      <c r="CF39" s="11"/>
      <c r="CG39" s="11"/>
      <c r="CH39" s="11"/>
      <c r="CI39" s="11"/>
      <c r="CJ39" s="11"/>
      <c r="CK39" s="11"/>
      <c r="CL39" s="11"/>
      <c r="CM39" s="11"/>
      <c r="CN39" s="11"/>
      <c r="CO39" s="11"/>
      <c r="CP39" s="11"/>
      <c r="CQ39" s="11"/>
      <c r="CR39" s="11"/>
      <c r="CS39" s="11"/>
      <c r="CT39" s="11"/>
      <c r="CU39" s="11"/>
      <c r="CV39" s="11"/>
      <c r="CW39" s="11"/>
      <c r="CX39" s="11"/>
      <c r="CY39" s="11"/>
      <c r="CZ39" s="11"/>
      <c r="DA39" s="11"/>
      <c r="DB39" s="11"/>
      <c r="DC39" s="11"/>
      <c r="DD39" s="11"/>
      <c r="DE39" s="11"/>
      <c r="DF39" s="11"/>
      <c r="DG39" s="11"/>
      <c r="DH39" s="11"/>
      <c r="DI39" s="11"/>
      <c r="DJ39" s="11"/>
      <c r="DK39" s="11"/>
      <c r="DL39" s="11"/>
      <c r="DM39" s="11"/>
      <c r="DN39" s="11"/>
      <c r="DO39" s="11"/>
      <c r="DP39" s="11"/>
      <c r="DQ39" s="11"/>
      <c r="DR39" s="11"/>
      <c r="DS39" s="11"/>
      <c r="DT39" s="11"/>
      <c r="DU39" s="11"/>
    </row>
    <row r="40" spans="1:125" ht="20" customHeight="1">
      <c r="A40" s="8">
        <v>2020</v>
      </c>
      <c r="B40" s="9">
        <v>2020</v>
      </c>
      <c r="C40" s="10">
        <v>2020</v>
      </c>
      <c r="D40" s="11"/>
      <c r="E40" s="12" t="s">
        <v>126</v>
      </c>
      <c r="F40" s="12" t="s">
        <v>127</v>
      </c>
      <c r="G40" s="12" t="s">
        <v>147</v>
      </c>
      <c r="H40" s="12" t="s">
        <v>148</v>
      </c>
      <c r="I40" s="12" t="s">
        <v>147</v>
      </c>
      <c r="J40" s="12" t="s">
        <v>149</v>
      </c>
      <c r="K40" s="11"/>
      <c r="L40" s="10">
        <v>0</v>
      </c>
      <c r="M40" s="10">
        <v>939</v>
      </c>
      <c r="N40" s="10">
        <v>874</v>
      </c>
      <c r="O40" s="10">
        <v>563</v>
      </c>
      <c r="P40" s="10">
        <v>184</v>
      </c>
      <c r="Q40" s="10">
        <v>0</v>
      </c>
      <c r="R40" s="10">
        <v>423</v>
      </c>
      <c r="S40" s="10">
        <v>4283</v>
      </c>
      <c r="T40" s="10">
        <v>3624</v>
      </c>
      <c r="U40" s="10">
        <v>1652</v>
      </c>
      <c r="V40" s="10">
        <v>1463</v>
      </c>
      <c r="W40" s="10">
        <v>33</v>
      </c>
      <c r="X40" s="10">
        <v>11</v>
      </c>
      <c r="Y40" s="10">
        <v>691</v>
      </c>
      <c r="Z40" s="10">
        <v>332</v>
      </c>
      <c r="AA40" s="10">
        <v>211</v>
      </c>
      <c r="AB40" s="10">
        <v>13</v>
      </c>
      <c r="AC40" s="10">
        <v>0</v>
      </c>
      <c r="AD40" s="10">
        <v>0</v>
      </c>
      <c r="AE40" s="10">
        <v>132</v>
      </c>
      <c r="AF40" s="10">
        <v>27</v>
      </c>
      <c r="AG40" s="10">
        <v>15</v>
      </c>
      <c r="AH40" s="10">
        <v>5</v>
      </c>
      <c r="AI40" s="10">
        <v>0</v>
      </c>
      <c r="AJ40" s="10">
        <v>0</v>
      </c>
      <c r="AK40" s="10">
        <v>234</v>
      </c>
      <c r="AL40" s="10">
        <v>93</v>
      </c>
      <c r="AM40" s="10">
        <v>8</v>
      </c>
      <c r="AN40" s="10">
        <v>2</v>
      </c>
      <c r="AO40" s="10">
        <v>0</v>
      </c>
      <c r="AP40" s="10">
        <v>0</v>
      </c>
      <c r="AQ40" s="10">
        <v>859</v>
      </c>
      <c r="AR40" s="10">
        <v>438</v>
      </c>
      <c r="AS40" s="10">
        <v>240</v>
      </c>
      <c r="AT40" s="10">
        <v>103</v>
      </c>
      <c r="AU40" s="10">
        <v>0</v>
      </c>
      <c r="AV40" s="10">
        <v>0</v>
      </c>
      <c r="AW40" s="10">
        <v>80</v>
      </c>
      <c r="AX40" s="10">
        <v>435</v>
      </c>
      <c r="AY40" s="10">
        <v>323</v>
      </c>
      <c r="AZ40" s="10">
        <v>81</v>
      </c>
      <c r="BA40" s="10">
        <v>0</v>
      </c>
      <c r="BB40" s="10">
        <v>0</v>
      </c>
      <c r="BC40" s="10">
        <v>0</v>
      </c>
      <c r="BD40" s="10">
        <v>1</v>
      </c>
      <c r="BE40" s="10">
        <v>0</v>
      </c>
      <c r="BF40" s="10">
        <v>0</v>
      </c>
      <c r="BG40" s="10">
        <v>0</v>
      </c>
      <c r="BH40" s="10">
        <v>0</v>
      </c>
      <c r="BI40" s="10">
        <v>600</v>
      </c>
      <c r="BJ40" s="10">
        <v>360</v>
      </c>
      <c r="BK40" s="10">
        <v>191</v>
      </c>
      <c r="BL40" s="10">
        <v>51</v>
      </c>
      <c r="BM40" s="10">
        <v>0</v>
      </c>
      <c r="BN40" s="10">
        <v>423</v>
      </c>
      <c r="BO40" s="10">
        <v>3398</v>
      </c>
      <c r="BP40" s="10">
        <v>2688</v>
      </c>
      <c r="BQ40" s="10">
        <v>1166</v>
      </c>
      <c r="BR40" s="10">
        <v>1133</v>
      </c>
      <c r="BS40" s="10">
        <v>33</v>
      </c>
      <c r="BT40" s="10">
        <v>0</v>
      </c>
      <c r="BU40" s="10">
        <v>285</v>
      </c>
      <c r="BV40" s="10">
        <v>576</v>
      </c>
      <c r="BW40" s="10">
        <v>295</v>
      </c>
      <c r="BX40" s="10">
        <v>279</v>
      </c>
      <c r="BY40" s="10">
        <v>0</v>
      </c>
      <c r="BZ40" s="10">
        <v>0</v>
      </c>
      <c r="CA40" s="10">
        <v>0</v>
      </c>
      <c r="CB40" s="10">
        <v>40</v>
      </c>
      <c r="CC40" s="10">
        <v>138</v>
      </c>
      <c r="CD40" s="10">
        <v>12</v>
      </c>
      <c r="CE40" s="10">
        <v>0</v>
      </c>
      <c r="CF40" s="10">
        <v>0</v>
      </c>
      <c r="CG40" s="10">
        <v>0</v>
      </c>
      <c r="CH40" s="10">
        <v>116</v>
      </c>
      <c r="CI40" s="10">
        <v>58</v>
      </c>
      <c r="CJ40" s="10">
        <v>116</v>
      </c>
      <c r="CK40" s="10">
        <v>0</v>
      </c>
      <c r="CL40" s="10">
        <v>11</v>
      </c>
      <c r="CM40" s="10">
        <v>658</v>
      </c>
      <c r="CN40" s="10">
        <v>253</v>
      </c>
      <c r="CO40" s="10">
        <v>73</v>
      </c>
      <c r="CP40" s="10">
        <v>3</v>
      </c>
      <c r="CQ40" s="10">
        <v>0</v>
      </c>
      <c r="CR40" s="10">
        <v>0</v>
      </c>
      <c r="CS40" s="10">
        <v>26</v>
      </c>
      <c r="CT40" s="10">
        <v>70</v>
      </c>
      <c r="CU40" s="10">
        <v>133</v>
      </c>
      <c r="CV40" s="10">
        <v>10</v>
      </c>
      <c r="CW40" s="10">
        <v>0</v>
      </c>
      <c r="CX40" s="10">
        <v>0</v>
      </c>
      <c r="CY40" s="10">
        <v>7</v>
      </c>
      <c r="CZ40" s="10">
        <v>9</v>
      </c>
      <c r="DA40" s="10">
        <v>5</v>
      </c>
      <c r="DB40" s="10">
        <v>0</v>
      </c>
      <c r="DC40" s="10">
        <v>0</v>
      </c>
      <c r="DD40" s="10">
        <v>0</v>
      </c>
      <c r="DE40" s="10">
        <v>6</v>
      </c>
      <c r="DF40" s="10">
        <v>45</v>
      </c>
      <c r="DG40" s="10">
        <v>32</v>
      </c>
      <c r="DH40" s="10">
        <v>31</v>
      </c>
      <c r="DI40" s="10">
        <v>0</v>
      </c>
      <c r="DJ40" s="10">
        <v>0</v>
      </c>
      <c r="DK40" s="10">
        <v>2</v>
      </c>
      <c r="DL40" s="10">
        <v>22</v>
      </c>
      <c r="DM40" s="10">
        <v>16</v>
      </c>
      <c r="DN40" s="10">
        <v>4</v>
      </c>
      <c r="DO40" s="10">
        <v>1</v>
      </c>
      <c r="DP40" s="10">
        <v>9</v>
      </c>
      <c r="DQ40" s="10">
        <v>105</v>
      </c>
      <c r="DR40" s="10">
        <v>21</v>
      </c>
      <c r="DS40" s="10">
        <v>18</v>
      </c>
      <c r="DT40" s="10">
        <v>1</v>
      </c>
      <c r="DU40" s="10">
        <v>0</v>
      </c>
    </row>
    <row r="41" spans="1:125" ht="20" customHeight="1">
      <c r="A41" s="8">
        <v>2020</v>
      </c>
      <c r="B41" s="9">
        <v>2020</v>
      </c>
      <c r="C41" s="10">
        <v>2020</v>
      </c>
      <c r="D41" s="11"/>
      <c r="E41" s="12" t="s">
        <v>126</v>
      </c>
      <c r="F41" s="12" t="s">
        <v>127</v>
      </c>
      <c r="G41" s="12" t="s">
        <v>150</v>
      </c>
      <c r="H41" s="12" t="s">
        <v>151</v>
      </c>
      <c r="I41" s="12" t="s">
        <v>150</v>
      </c>
      <c r="J41" s="12" t="s">
        <v>152</v>
      </c>
      <c r="K41" s="11"/>
      <c r="L41" s="10">
        <v>0</v>
      </c>
      <c r="M41" s="10">
        <v>342</v>
      </c>
      <c r="N41" s="10">
        <v>317</v>
      </c>
      <c r="O41" s="10">
        <v>88</v>
      </c>
      <c r="P41" s="10">
        <v>43</v>
      </c>
      <c r="Q41" s="10">
        <v>4</v>
      </c>
      <c r="R41" s="10">
        <v>50</v>
      </c>
      <c r="S41" s="10">
        <v>1277</v>
      </c>
      <c r="T41" s="10">
        <v>917</v>
      </c>
      <c r="U41" s="10">
        <v>277</v>
      </c>
      <c r="V41" s="10">
        <v>92</v>
      </c>
      <c r="W41" s="10">
        <v>0</v>
      </c>
      <c r="X41" s="10">
        <v>10</v>
      </c>
      <c r="Y41" s="10">
        <v>197</v>
      </c>
      <c r="Z41" s="10">
        <v>312</v>
      </c>
      <c r="AA41" s="10">
        <v>128</v>
      </c>
      <c r="AB41" s="10">
        <v>63</v>
      </c>
      <c r="AC41" s="10">
        <v>0</v>
      </c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0">
        <v>0</v>
      </c>
      <c r="AQ41" s="10">
        <v>342</v>
      </c>
      <c r="AR41" s="10">
        <v>317</v>
      </c>
      <c r="AS41" s="10">
        <v>88</v>
      </c>
      <c r="AT41" s="10">
        <v>43</v>
      </c>
      <c r="AU41" s="10">
        <v>4</v>
      </c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0">
        <v>40</v>
      </c>
      <c r="BI41" s="10">
        <v>676</v>
      </c>
      <c r="BJ41" s="10">
        <v>100</v>
      </c>
      <c r="BK41" s="10">
        <v>1</v>
      </c>
      <c r="BL41" s="10">
        <v>0</v>
      </c>
      <c r="BM41" s="10">
        <v>0</v>
      </c>
      <c r="BN41" s="10">
        <v>2</v>
      </c>
      <c r="BO41" s="10">
        <v>396</v>
      </c>
      <c r="BP41" s="10">
        <v>768</v>
      </c>
      <c r="BQ41" s="10">
        <v>270</v>
      </c>
      <c r="BR41" s="10">
        <v>92</v>
      </c>
      <c r="BS41" s="10">
        <v>0</v>
      </c>
      <c r="BT41" s="10">
        <v>8</v>
      </c>
      <c r="BU41" s="10">
        <v>205</v>
      </c>
      <c r="BV41" s="10">
        <v>49</v>
      </c>
      <c r="BW41" s="10">
        <v>6</v>
      </c>
      <c r="BX41" s="10">
        <v>0</v>
      </c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0">
        <v>10</v>
      </c>
      <c r="CM41" s="10">
        <v>197</v>
      </c>
      <c r="CN41" s="10">
        <v>312</v>
      </c>
      <c r="CO41" s="10">
        <v>128</v>
      </c>
      <c r="CP41" s="10">
        <v>63</v>
      </c>
      <c r="CQ41" s="10">
        <v>0</v>
      </c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0">
        <v>0</v>
      </c>
      <c r="DE41" s="11"/>
      <c r="DF41" s="10">
        <v>3</v>
      </c>
      <c r="DG41" s="10">
        <v>2</v>
      </c>
      <c r="DH41" s="11"/>
      <c r="DI41" s="11"/>
      <c r="DJ41" s="11"/>
      <c r="DK41" s="11"/>
      <c r="DL41" s="11"/>
      <c r="DM41" s="11"/>
      <c r="DN41" s="11"/>
      <c r="DO41" s="11"/>
      <c r="DP41" s="10">
        <v>4</v>
      </c>
      <c r="DQ41" s="10">
        <v>38</v>
      </c>
      <c r="DR41" s="10">
        <v>21</v>
      </c>
      <c r="DS41" s="10">
        <v>7</v>
      </c>
      <c r="DT41" s="10">
        <v>2</v>
      </c>
      <c r="DU41" s="10">
        <v>1</v>
      </c>
    </row>
    <row r="42" spans="1:125" ht="20" customHeight="1">
      <c r="A42" s="8">
        <v>2020</v>
      </c>
      <c r="B42" s="9">
        <v>2020</v>
      </c>
      <c r="C42" s="10">
        <v>2020</v>
      </c>
      <c r="D42" s="11"/>
      <c r="E42" s="12" t="s">
        <v>126</v>
      </c>
      <c r="F42" s="12" t="s">
        <v>127</v>
      </c>
      <c r="G42" s="12" t="s">
        <v>159</v>
      </c>
      <c r="H42" s="12" t="s">
        <v>160</v>
      </c>
      <c r="I42" s="12" t="s">
        <v>159</v>
      </c>
      <c r="J42" s="12" t="s">
        <v>161</v>
      </c>
      <c r="K42" s="11"/>
      <c r="L42" s="10">
        <v>0</v>
      </c>
      <c r="M42" s="10">
        <v>145</v>
      </c>
      <c r="N42" s="10">
        <v>116</v>
      </c>
      <c r="O42" s="10">
        <v>47</v>
      </c>
      <c r="P42" s="10">
        <v>63</v>
      </c>
      <c r="Q42" s="10">
        <v>14</v>
      </c>
      <c r="R42" s="10">
        <v>12</v>
      </c>
      <c r="S42" s="10">
        <v>421</v>
      </c>
      <c r="T42" s="10">
        <v>565</v>
      </c>
      <c r="U42" s="10">
        <v>204</v>
      </c>
      <c r="V42" s="10">
        <v>202</v>
      </c>
      <c r="W42" s="10">
        <v>7</v>
      </c>
      <c r="X42" s="10">
        <v>1</v>
      </c>
      <c r="Y42" s="10">
        <v>40</v>
      </c>
      <c r="Z42" s="10">
        <v>53</v>
      </c>
      <c r="AA42" s="10">
        <v>59</v>
      </c>
      <c r="AB42" s="10">
        <v>32</v>
      </c>
      <c r="AC42" s="10">
        <v>0</v>
      </c>
      <c r="AD42" s="10">
        <v>0</v>
      </c>
      <c r="AE42" s="10">
        <v>1</v>
      </c>
      <c r="AF42" s="10">
        <v>2</v>
      </c>
      <c r="AG42" s="10">
        <v>2</v>
      </c>
      <c r="AH42" s="10">
        <v>0</v>
      </c>
      <c r="AI42" s="10">
        <v>0</v>
      </c>
      <c r="AJ42" s="10">
        <v>0</v>
      </c>
      <c r="AK42" s="10">
        <v>2</v>
      </c>
      <c r="AL42" s="10">
        <v>4</v>
      </c>
      <c r="AM42" s="10">
        <v>5</v>
      </c>
      <c r="AN42" s="10">
        <v>2</v>
      </c>
      <c r="AO42" s="10">
        <v>0</v>
      </c>
      <c r="AP42" s="10">
        <v>0</v>
      </c>
      <c r="AQ42" s="10">
        <v>145</v>
      </c>
      <c r="AR42" s="10">
        <v>112</v>
      </c>
      <c r="AS42" s="10">
        <v>41</v>
      </c>
      <c r="AT42" s="10">
        <v>63</v>
      </c>
      <c r="AU42" s="10">
        <v>14</v>
      </c>
      <c r="AV42" s="10">
        <v>0</v>
      </c>
      <c r="AW42" s="10">
        <v>0</v>
      </c>
      <c r="AX42" s="10">
        <v>4</v>
      </c>
      <c r="AY42" s="10">
        <v>6</v>
      </c>
      <c r="AZ42" s="10">
        <v>0</v>
      </c>
      <c r="BA42" s="10">
        <v>0</v>
      </c>
      <c r="BB42" s="11"/>
      <c r="BC42" s="11"/>
      <c r="BD42" s="11"/>
      <c r="BE42" s="11"/>
      <c r="BF42" s="11"/>
      <c r="BG42" s="11"/>
      <c r="BH42" s="10">
        <v>11</v>
      </c>
      <c r="BI42" s="10">
        <v>305</v>
      </c>
      <c r="BJ42" s="10">
        <v>433</v>
      </c>
      <c r="BK42" s="10">
        <v>113</v>
      </c>
      <c r="BL42" s="10">
        <v>149</v>
      </c>
      <c r="BM42" s="10">
        <v>4</v>
      </c>
      <c r="BN42" s="10">
        <v>1</v>
      </c>
      <c r="BO42" s="10">
        <v>116</v>
      </c>
      <c r="BP42" s="10">
        <v>132</v>
      </c>
      <c r="BQ42" s="10">
        <v>91</v>
      </c>
      <c r="BR42" s="10">
        <v>41</v>
      </c>
      <c r="BS42" s="10">
        <v>1</v>
      </c>
      <c r="BT42" s="10">
        <v>0</v>
      </c>
      <c r="BU42" s="10">
        <v>0</v>
      </c>
      <c r="BV42" s="10">
        <v>0</v>
      </c>
      <c r="BW42" s="10">
        <v>0</v>
      </c>
      <c r="BX42" s="10">
        <v>12</v>
      </c>
      <c r="BY42" s="10">
        <v>2</v>
      </c>
      <c r="BZ42" s="11"/>
      <c r="CA42" s="11"/>
      <c r="CB42" s="11"/>
      <c r="CC42" s="11"/>
      <c r="CD42" s="11"/>
      <c r="CE42" s="11"/>
      <c r="CF42" s="10">
        <v>0</v>
      </c>
      <c r="CG42" s="10">
        <v>5</v>
      </c>
      <c r="CH42" s="10">
        <v>15</v>
      </c>
      <c r="CI42" s="10">
        <v>18</v>
      </c>
      <c r="CJ42" s="10">
        <v>2</v>
      </c>
      <c r="CK42" s="10">
        <v>0</v>
      </c>
      <c r="CL42" s="10">
        <v>1</v>
      </c>
      <c r="CM42" s="10">
        <v>5</v>
      </c>
      <c r="CN42" s="10">
        <v>4</v>
      </c>
      <c r="CO42" s="10">
        <v>8</v>
      </c>
      <c r="CP42" s="10">
        <v>0</v>
      </c>
      <c r="CQ42" s="10">
        <v>0</v>
      </c>
      <c r="CR42" s="10">
        <v>0</v>
      </c>
      <c r="CS42" s="10">
        <v>35</v>
      </c>
      <c r="CT42" s="10">
        <v>49</v>
      </c>
      <c r="CU42" s="10">
        <v>51</v>
      </c>
      <c r="CV42" s="10">
        <v>32</v>
      </c>
      <c r="CW42" s="10">
        <v>0</v>
      </c>
      <c r="CX42" s="11"/>
      <c r="CY42" s="11"/>
      <c r="CZ42" s="11"/>
      <c r="DA42" s="11"/>
      <c r="DB42" s="11"/>
      <c r="DC42" s="11"/>
      <c r="DD42" s="10">
        <v>0</v>
      </c>
      <c r="DE42" s="10">
        <v>1</v>
      </c>
      <c r="DF42" s="10">
        <v>0</v>
      </c>
      <c r="DG42" s="10">
        <v>1</v>
      </c>
      <c r="DH42" s="10">
        <v>2</v>
      </c>
      <c r="DI42" s="10">
        <v>0</v>
      </c>
      <c r="DJ42" s="10">
        <v>0</v>
      </c>
      <c r="DK42" s="10">
        <v>1</v>
      </c>
      <c r="DL42" s="10">
        <v>3</v>
      </c>
      <c r="DM42" s="10">
        <v>2</v>
      </c>
      <c r="DN42" s="10">
        <v>0</v>
      </c>
      <c r="DO42" s="10">
        <v>0</v>
      </c>
      <c r="DP42" s="11"/>
      <c r="DQ42" s="11"/>
      <c r="DR42" s="11"/>
      <c r="DS42" s="11"/>
      <c r="DT42" s="11"/>
      <c r="DU42" s="11"/>
    </row>
    <row r="43" spans="1:125" ht="20" customHeight="1">
      <c r="A43" s="8">
        <v>2020</v>
      </c>
      <c r="B43" s="9">
        <v>2020</v>
      </c>
      <c r="C43" s="10">
        <v>2020</v>
      </c>
      <c r="D43" s="11"/>
      <c r="E43" s="12" t="s">
        <v>126</v>
      </c>
      <c r="F43" s="12" t="s">
        <v>127</v>
      </c>
      <c r="G43" s="12" t="s">
        <v>162</v>
      </c>
      <c r="H43" s="12" t="s">
        <v>163</v>
      </c>
      <c r="I43" s="12" t="s">
        <v>162</v>
      </c>
      <c r="J43" s="12" t="s">
        <v>164</v>
      </c>
      <c r="K43" s="11"/>
      <c r="L43" s="10">
        <v>22</v>
      </c>
      <c r="M43" s="10">
        <v>1831</v>
      </c>
      <c r="N43" s="10">
        <v>1709</v>
      </c>
      <c r="O43" s="10">
        <v>722</v>
      </c>
      <c r="P43" s="10">
        <v>240</v>
      </c>
      <c r="Q43" s="10">
        <v>6</v>
      </c>
      <c r="R43" s="10">
        <v>943</v>
      </c>
      <c r="S43" s="10">
        <v>11494</v>
      </c>
      <c r="T43" s="10">
        <v>10769</v>
      </c>
      <c r="U43" s="10">
        <v>8605</v>
      </c>
      <c r="V43" s="10">
        <v>4482</v>
      </c>
      <c r="W43" s="10">
        <v>69</v>
      </c>
      <c r="X43" s="11"/>
      <c r="Y43" s="11"/>
      <c r="Z43" s="11"/>
      <c r="AA43" s="11"/>
      <c r="AB43" s="11"/>
      <c r="AC43" s="11"/>
      <c r="AD43" s="10">
        <v>5</v>
      </c>
      <c r="AE43" s="10">
        <v>172</v>
      </c>
      <c r="AF43" s="10">
        <v>120</v>
      </c>
      <c r="AG43" s="10">
        <v>70</v>
      </c>
      <c r="AH43" s="10">
        <v>27</v>
      </c>
      <c r="AI43" s="10">
        <v>0</v>
      </c>
      <c r="AJ43" s="10">
        <v>8</v>
      </c>
      <c r="AK43" s="10">
        <v>418</v>
      </c>
      <c r="AL43" s="10">
        <v>490</v>
      </c>
      <c r="AM43" s="10">
        <v>111</v>
      </c>
      <c r="AN43" s="10">
        <v>14</v>
      </c>
      <c r="AO43" s="10">
        <v>3</v>
      </c>
      <c r="AP43" s="10">
        <v>22</v>
      </c>
      <c r="AQ43" s="10">
        <v>1678</v>
      </c>
      <c r="AR43" s="10">
        <v>1199</v>
      </c>
      <c r="AS43" s="10">
        <v>414</v>
      </c>
      <c r="AT43" s="10">
        <v>110</v>
      </c>
      <c r="AU43" s="10">
        <v>1</v>
      </c>
      <c r="AV43" s="10">
        <v>0</v>
      </c>
      <c r="AW43" s="10">
        <v>153</v>
      </c>
      <c r="AX43" s="10">
        <v>510</v>
      </c>
      <c r="AY43" s="10">
        <v>308</v>
      </c>
      <c r="AZ43" s="10">
        <v>130</v>
      </c>
      <c r="BA43" s="10">
        <v>5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943</v>
      </c>
      <c r="BO43" s="10">
        <v>11494</v>
      </c>
      <c r="BP43" s="10">
        <v>10769</v>
      </c>
      <c r="BQ43" s="10">
        <v>8605</v>
      </c>
      <c r="BR43" s="10">
        <v>4482</v>
      </c>
      <c r="BS43" s="10">
        <v>69</v>
      </c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0">
        <v>0</v>
      </c>
      <c r="DE43" s="10">
        <v>24</v>
      </c>
      <c r="DF43" s="10">
        <v>99</v>
      </c>
      <c r="DG43" s="10">
        <v>66</v>
      </c>
      <c r="DH43" s="10">
        <v>28</v>
      </c>
      <c r="DI43" s="10">
        <v>0</v>
      </c>
      <c r="DJ43" s="10">
        <v>0</v>
      </c>
      <c r="DK43" s="10">
        <v>25</v>
      </c>
      <c r="DL43" s="10">
        <v>75</v>
      </c>
      <c r="DM43" s="10">
        <v>31</v>
      </c>
      <c r="DN43" s="10">
        <v>12</v>
      </c>
      <c r="DO43" s="10">
        <v>0</v>
      </c>
      <c r="DP43" s="10">
        <v>137</v>
      </c>
      <c r="DQ43" s="10">
        <v>1278</v>
      </c>
      <c r="DR43" s="10">
        <v>999</v>
      </c>
      <c r="DS43" s="10">
        <v>391</v>
      </c>
      <c r="DT43" s="10">
        <v>64</v>
      </c>
      <c r="DU43" s="10">
        <v>1</v>
      </c>
    </row>
    <row r="44" spans="1:125" ht="20" customHeight="1">
      <c r="A44" s="8">
        <v>2020</v>
      </c>
      <c r="B44" s="9">
        <v>2020</v>
      </c>
      <c r="C44" s="10">
        <v>2020</v>
      </c>
      <c r="D44" s="11"/>
      <c r="E44" s="12" t="s">
        <v>126</v>
      </c>
      <c r="F44" s="12" t="s">
        <v>127</v>
      </c>
      <c r="G44" s="12" t="s">
        <v>165</v>
      </c>
      <c r="H44" s="12" t="s">
        <v>166</v>
      </c>
      <c r="I44" s="12" t="s">
        <v>165</v>
      </c>
      <c r="J44" s="12" t="s">
        <v>167</v>
      </c>
      <c r="K44" s="11"/>
      <c r="L44" s="10">
        <v>29</v>
      </c>
      <c r="M44" s="10">
        <v>506</v>
      </c>
      <c r="N44" s="10">
        <v>246</v>
      </c>
      <c r="O44" s="10">
        <v>125</v>
      </c>
      <c r="P44" s="10">
        <v>41</v>
      </c>
      <c r="Q44" s="10">
        <v>11</v>
      </c>
      <c r="R44" s="10">
        <v>1796</v>
      </c>
      <c r="S44" s="10">
        <v>4745</v>
      </c>
      <c r="T44" s="10">
        <v>4308</v>
      </c>
      <c r="U44" s="10">
        <v>2054</v>
      </c>
      <c r="V44" s="10">
        <v>517</v>
      </c>
      <c r="W44" s="10">
        <v>144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31</v>
      </c>
      <c r="AF44" s="10">
        <v>69</v>
      </c>
      <c r="AG44" s="10">
        <v>36</v>
      </c>
      <c r="AH44" s="10">
        <v>10</v>
      </c>
      <c r="AI44" s="10">
        <v>3</v>
      </c>
      <c r="AJ44" s="10">
        <v>31</v>
      </c>
      <c r="AK44" s="10">
        <v>62</v>
      </c>
      <c r="AL44" s="10">
        <v>39</v>
      </c>
      <c r="AM44" s="10">
        <v>11</v>
      </c>
      <c r="AN44" s="10">
        <v>5</v>
      </c>
      <c r="AO44" s="10">
        <v>3</v>
      </c>
      <c r="AP44" s="10">
        <v>29</v>
      </c>
      <c r="AQ44" s="10">
        <v>348</v>
      </c>
      <c r="AR44" s="10">
        <v>165</v>
      </c>
      <c r="AS44" s="10">
        <v>74</v>
      </c>
      <c r="AT44" s="10">
        <v>20</v>
      </c>
      <c r="AU44" s="10">
        <v>3</v>
      </c>
      <c r="AV44" s="10">
        <v>0</v>
      </c>
      <c r="AW44" s="10">
        <v>158</v>
      </c>
      <c r="AX44" s="10">
        <v>81</v>
      </c>
      <c r="AY44" s="10">
        <v>51</v>
      </c>
      <c r="AZ44" s="10">
        <v>21</v>
      </c>
      <c r="BA44" s="10">
        <v>8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874</v>
      </c>
      <c r="BI44" s="10">
        <v>2364</v>
      </c>
      <c r="BJ44" s="10">
        <v>1811</v>
      </c>
      <c r="BK44" s="10">
        <v>691</v>
      </c>
      <c r="BL44" s="10">
        <v>187</v>
      </c>
      <c r="BM44" s="10">
        <v>77</v>
      </c>
      <c r="BN44" s="10">
        <v>922</v>
      </c>
      <c r="BO44" s="10">
        <v>2347</v>
      </c>
      <c r="BP44" s="10">
        <v>2466</v>
      </c>
      <c r="BQ44" s="10">
        <v>1354</v>
      </c>
      <c r="BR44" s="10">
        <v>327</v>
      </c>
      <c r="BS44" s="10">
        <v>67</v>
      </c>
      <c r="BT44" s="10">
        <v>0</v>
      </c>
      <c r="BU44" s="10">
        <v>34</v>
      </c>
      <c r="BV44" s="10">
        <v>31</v>
      </c>
      <c r="BW44" s="10">
        <v>9</v>
      </c>
      <c r="BX44" s="10">
        <v>3</v>
      </c>
      <c r="BY44" s="10">
        <v>0</v>
      </c>
      <c r="BZ44" s="10">
        <v>631</v>
      </c>
      <c r="CA44" s="10">
        <v>1843</v>
      </c>
      <c r="CB44" s="10">
        <v>1416</v>
      </c>
      <c r="CC44" s="10">
        <v>361</v>
      </c>
      <c r="CD44" s="10">
        <v>91</v>
      </c>
      <c r="CE44" s="10">
        <v>16</v>
      </c>
      <c r="CF44" s="10">
        <v>379</v>
      </c>
      <c r="CG44" s="10">
        <v>413</v>
      </c>
      <c r="CH44" s="10">
        <v>344</v>
      </c>
      <c r="CI44" s="10">
        <v>281</v>
      </c>
      <c r="CJ44" s="10">
        <v>49</v>
      </c>
      <c r="CK44" s="10">
        <v>13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7</v>
      </c>
      <c r="DF44" s="10">
        <v>31</v>
      </c>
      <c r="DG44" s="10">
        <v>9</v>
      </c>
      <c r="DH44" s="10">
        <v>3</v>
      </c>
      <c r="DI44" s="10">
        <v>2</v>
      </c>
      <c r="DJ44" s="10">
        <v>0</v>
      </c>
      <c r="DK44" s="10">
        <v>14</v>
      </c>
      <c r="DL44" s="10">
        <v>8</v>
      </c>
      <c r="DM44" s="10">
        <v>5</v>
      </c>
      <c r="DN44" s="10">
        <v>2</v>
      </c>
      <c r="DO44" s="10">
        <v>1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</row>
    <row r="45" spans="1:125" ht="20" customHeight="1">
      <c r="A45" s="8">
        <v>2020</v>
      </c>
      <c r="B45" s="9">
        <v>2020</v>
      </c>
      <c r="C45" s="10">
        <v>2020</v>
      </c>
      <c r="D45" s="11"/>
      <c r="E45" s="12" t="s">
        <v>126</v>
      </c>
      <c r="F45" s="12" t="s">
        <v>127</v>
      </c>
      <c r="G45" s="12" t="s">
        <v>168</v>
      </c>
      <c r="H45" s="12" t="s">
        <v>169</v>
      </c>
      <c r="I45" s="12" t="s">
        <v>168</v>
      </c>
      <c r="J45" s="12" t="s">
        <v>170</v>
      </c>
      <c r="K45" s="11"/>
      <c r="L45" s="10">
        <v>1</v>
      </c>
      <c r="M45" s="10">
        <v>934</v>
      </c>
      <c r="N45" s="10">
        <v>819</v>
      </c>
      <c r="O45" s="10">
        <v>484</v>
      </c>
      <c r="P45" s="10">
        <v>315</v>
      </c>
      <c r="Q45" s="10">
        <v>105</v>
      </c>
      <c r="R45" s="10">
        <v>149</v>
      </c>
      <c r="S45" s="10">
        <v>4077</v>
      </c>
      <c r="T45" s="10">
        <v>2792</v>
      </c>
      <c r="U45" s="10">
        <v>911</v>
      </c>
      <c r="V45" s="10">
        <v>766</v>
      </c>
      <c r="W45" s="10">
        <v>136</v>
      </c>
      <c r="X45" s="10">
        <v>193</v>
      </c>
      <c r="Y45" s="10">
        <v>3221</v>
      </c>
      <c r="Z45" s="10">
        <v>1858</v>
      </c>
      <c r="AA45" s="10">
        <v>634</v>
      </c>
      <c r="AB45" s="10">
        <v>345</v>
      </c>
      <c r="AC45" s="10">
        <v>73</v>
      </c>
      <c r="AD45" s="10">
        <v>2</v>
      </c>
      <c r="AE45" s="10">
        <v>125</v>
      </c>
      <c r="AF45" s="10">
        <v>130</v>
      </c>
      <c r="AG45" s="10">
        <v>19</v>
      </c>
      <c r="AH45" s="10">
        <v>5</v>
      </c>
      <c r="AI45" s="10">
        <v>1</v>
      </c>
      <c r="AJ45" s="10">
        <v>2</v>
      </c>
      <c r="AK45" s="10">
        <v>209</v>
      </c>
      <c r="AL45" s="10">
        <v>151</v>
      </c>
      <c r="AM45" s="10">
        <v>42</v>
      </c>
      <c r="AN45" s="10">
        <v>15</v>
      </c>
      <c r="AO45" s="10">
        <v>4</v>
      </c>
      <c r="AP45" s="10">
        <v>1</v>
      </c>
      <c r="AQ45" s="10">
        <v>913</v>
      </c>
      <c r="AR45" s="10">
        <v>635</v>
      </c>
      <c r="AS45" s="10">
        <v>130</v>
      </c>
      <c r="AT45" s="10">
        <v>37</v>
      </c>
      <c r="AU45" s="10">
        <v>24</v>
      </c>
      <c r="AV45" s="11"/>
      <c r="AW45" s="10">
        <v>21</v>
      </c>
      <c r="AX45" s="10">
        <v>184</v>
      </c>
      <c r="AY45" s="10">
        <v>354</v>
      </c>
      <c r="AZ45" s="10">
        <v>278</v>
      </c>
      <c r="BA45" s="10">
        <v>81</v>
      </c>
      <c r="BB45" s="11"/>
      <c r="BC45" s="11"/>
      <c r="BD45" s="11"/>
      <c r="BE45" s="11"/>
      <c r="BF45" s="11"/>
      <c r="BG45" s="11"/>
      <c r="BH45" s="10">
        <v>3</v>
      </c>
      <c r="BI45" s="10">
        <v>382</v>
      </c>
      <c r="BJ45" s="10">
        <v>515</v>
      </c>
      <c r="BK45" s="10">
        <v>198</v>
      </c>
      <c r="BL45" s="10">
        <v>424</v>
      </c>
      <c r="BM45" s="10">
        <v>94</v>
      </c>
      <c r="BN45" s="10">
        <v>146</v>
      </c>
      <c r="BO45" s="10">
        <v>3695</v>
      </c>
      <c r="BP45" s="10">
        <v>2277</v>
      </c>
      <c r="BQ45" s="10">
        <v>713</v>
      </c>
      <c r="BR45" s="10">
        <v>342</v>
      </c>
      <c r="BS45" s="10">
        <v>42</v>
      </c>
      <c r="BT45" s="11"/>
      <c r="BU45" s="11"/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1"/>
      <c r="CH45" s="11"/>
      <c r="CI45" s="11"/>
      <c r="CJ45" s="11"/>
      <c r="CK45" s="11"/>
      <c r="CL45" s="10">
        <v>189</v>
      </c>
      <c r="CM45" s="10">
        <v>2874</v>
      </c>
      <c r="CN45" s="10">
        <v>1367</v>
      </c>
      <c r="CO45" s="10">
        <v>441</v>
      </c>
      <c r="CP45" s="10">
        <v>124</v>
      </c>
      <c r="CQ45" s="10">
        <v>54</v>
      </c>
      <c r="CR45" s="10">
        <v>4</v>
      </c>
      <c r="CS45" s="10">
        <v>347</v>
      </c>
      <c r="CT45" s="10">
        <v>491</v>
      </c>
      <c r="CU45" s="10">
        <v>193</v>
      </c>
      <c r="CV45" s="10">
        <v>221</v>
      </c>
      <c r="CW45" s="10">
        <v>19</v>
      </c>
      <c r="CX45" s="11"/>
      <c r="CY45" s="11"/>
      <c r="CZ45" s="11"/>
      <c r="DA45" s="11"/>
      <c r="DB45" s="11"/>
      <c r="DC45" s="11"/>
      <c r="DD45" s="11"/>
      <c r="DE45" s="10">
        <v>1</v>
      </c>
      <c r="DF45" s="10">
        <v>7</v>
      </c>
      <c r="DG45" s="10">
        <v>34</v>
      </c>
      <c r="DH45" s="10">
        <v>26</v>
      </c>
      <c r="DI45" s="10">
        <v>8</v>
      </c>
      <c r="DJ45" s="11"/>
      <c r="DK45" s="10">
        <v>1</v>
      </c>
      <c r="DL45" s="10">
        <v>9</v>
      </c>
      <c r="DM45" s="10">
        <v>32</v>
      </c>
      <c r="DN45" s="10">
        <v>28</v>
      </c>
      <c r="DO45" s="10">
        <v>3</v>
      </c>
      <c r="DP45" s="11"/>
      <c r="DQ45" s="11"/>
      <c r="DR45" s="11"/>
      <c r="DS45" s="11"/>
      <c r="DT45" s="11"/>
      <c r="DU45" s="11"/>
    </row>
    <row r="46" spans="1:125" ht="20" customHeight="1">
      <c r="A46" s="8">
        <v>2020</v>
      </c>
      <c r="B46" s="9">
        <v>2020</v>
      </c>
      <c r="C46" s="10">
        <v>2020</v>
      </c>
      <c r="D46" s="11"/>
      <c r="E46" s="12" t="s">
        <v>126</v>
      </c>
      <c r="F46" s="12" t="s">
        <v>127</v>
      </c>
      <c r="G46" s="12" t="s">
        <v>171</v>
      </c>
      <c r="H46" s="12" t="s">
        <v>172</v>
      </c>
      <c r="I46" s="12" t="s">
        <v>171</v>
      </c>
      <c r="J46" s="12" t="s">
        <v>173</v>
      </c>
      <c r="K46" s="11"/>
      <c r="L46" s="11"/>
      <c r="M46" s="10">
        <v>117</v>
      </c>
      <c r="N46" s="10">
        <v>365</v>
      </c>
      <c r="O46" s="10">
        <v>212</v>
      </c>
      <c r="P46" s="10">
        <v>173</v>
      </c>
      <c r="Q46" s="11"/>
      <c r="R46" s="10">
        <v>2</v>
      </c>
      <c r="S46" s="10">
        <v>516</v>
      </c>
      <c r="T46" s="10">
        <v>1855</v>
      </c>
      <c r="U46" s="10">
        <v>561</v>
      </c>
      <c r="V46" s="10">
        <v>290</v>
      </c>
      <c r="W46" s="11"/>
      <c r="X46" s="10">
        <v>1</v>
      </c>
      <c r="Y46" s="10">
        <v>395</v>
      </c>
      <c r="Z46" s="10">
        <v>1174</v>
      </c>
      <c r="AA46" s="10">
        <v>181</v>
      </c>
      <c r="AB46" s="10">
        <v>140</v>
      </c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0">
        <v>94</v>
      </c>
      <c r="AR46" s="10">
        <v>141</v>
      </c>
      <c r="AS46" s="10">
        <v>44</v>
      </c>
      <c r="AT46" s="10">
        <v>29</v>
      </c>
      <c r="AU46" s="11"/>
      <c r="AV46" s="11"/>
      <c r="AW46" s="10">
        <v>23</v>
      </c>
      <c r="AX46" s="10">
        <v>224</v>
      </c>
      <c r="AY46" s="10">
        <v>168</v>
      </c>
      <c r="AZ46" s="10">
        <v>144</v>
      </c>
      <c r="BA46" s="11"/>
      <c r="BB46" s="11"/>
      <c r="BC46" s="11"/>
      <c r="BD46" s="11"/>
      <c r="BE46" s="11"/>
      <c r="BF46" s="11"/>
      <c r="BG46" s="11"/>
      <c r="BH46" s="11"/>
      <c r="BI46" s="10">
        <v>37</v>
      </c>
      <c r="BJ46" s="10">
        <v>149</v>
      </c>
      <c r="BK46" s="10">
        <v>123</v>
      </c>
      <c r="BL46" s="10">
        <v>55</v>
      </c>
      <c r="BM46" s="11"/>
      <c r="BN46" s="10">
        <v>2</v>
      </c>
      <c r="BO46" s="10">
        <v>479</v>
      </c>
      <c r="BP46" s="10">
        <v>1706</v>
      </c>
      <c r="BQ46" s="10">
        <v>438</v>
      </c>
      <c r="BR46" s="10">
        <v>235</v>
      </c>
      <c r="BS46" s="11"/>
      <c r="BT46" s="11"/>
      <c r="BU46" s="11"/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1"/>
      <c r="CH46" s="11"/>
      <c r="CI46" s="11"/>
      <c r="CJ46" s="11"/>
      <c r="CK46" s="11"/>
      <c r="CL46" s="10">
        <v>1</v>
      </c>
      <c r="CM46" s="10">
        <v>395</v>
      </c>
      <c r="CN46" s="10">
        <v>1174</v>
      </c>
      <c r="CO46" s="10">
        <v>181</v>
      </c>
      <c r="CP46" s="10">
        <v>140</v>
      </c>
      <c r="CQ46" s="11"/>
      <c r="CR46" s="11"/>
      <c r="CS46" s="11"/>
      <c r="CT46" s="11"/>
      <c r="CU46" s="11"/>
      <c r="CV46" s="11"/>
      <c r="CW46" s="11"/>
      <c r="CX46" s="11"/>
      <c r="CY46" s="11"/>
      <c r="CZ46" s="11"/>
      <c r="DA46" s="11"/>
      <c r="DB46" s="11"/>
      <c r="DC46" s="11"/>
      <c r="DD46" s="11"/>
      <c r="DE46" s="10">
        <v>16</v>
      </c>
      <c r="DF46" s="10">
        <v>51</v>
      </c>
      <c r="DG46" s="10">
        <v>24</v>
      </c>
      <c r="DH46" s="10">
        <v>15</v>
      </c>
      <c r="DI46" s="11"/>
      <c r="DJ46" s="11"/>
      <c r="DK46" s="10">
        <v>3</v>
      </c>
      <c r="DL46" s="10">
        <v>42</v>
      </c>
      <c r="DM46" s="10">
        <v>38</v>
      </c>
      <c r="DN46" s="10">
        <v>11</v>
      </c>
      <c r="DO46" s="11"/>
      <c r="DP46" s="11"/>
      <c r="DQ46" s="11"/>
      <c r="DR46" s="11"/>
      <c r="DS46" s="11"/>
      <c r="DT46" s="11"/>
      <c r="DU46" s="11"/>
    </row>
    <row r="47" spans="1:125" ht="20" customHeight="1">
      <c r="A47" s="8">
        <v>2020</v>
      </c>
      <c r="B47" s="9">
        <v>2020</v>
      </c>
      <c r="C47" s="10">
        <v>2020</v>
      </c>
      <c r="D47" s="11"/>
      <c r="E47" s="12" t="s">
        <v>126</v>
      </c>
      <c r="F47" s="12" t="s">
        <v>127</v>
      </c>
      <c r="G47" s="12" t="s">
        <v>195</v>
      </c>
      <c r="H47" s="12" t="s">
        <v>196</v>
      </c>
      <c r="I47" s="12" t="s">
        <v>195</v>
      </c>
      <c r="J47" s="12" t="s">
        <v>197</v>
      </c>
      <c r="K47" s="11"/>
      <c r="L47" s="11"/>
      <c r="M47" s="10">
        <v>150</v>
      </c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0">
        <v>150</v>
      </c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</row>
    <row r="48" spans="1:125" ht="20" customHeight="1">
      <c r="A48" s="8">
        <v>2019</v>
      </c>
      <c r="B48" s="9">
        <v>2019</v>
      </c>
      <c r="C48" s="10">
        <v>2019</v>
      </c>
      <c r="D48" s="11"/>
      <c r="E48" s="12" t="s">
        <v>126</v>
      </c>
      <c r="F48" s="12" t="s">
        <v>127</v>
      </c>
      <c r="G48" s="11"/>
      <c r="H48" s="12" t="s">
        <v>128</v>
      </c>
      <c r="I48" s="12" t="s">
        <v>127</v>
      </c>
      <c r="J48" s="12" t="s">
        <v>127</v>
      </c>
      <c r="K48" s="11"/>
      <c r="L48" s="10">
        <v>81</v>
      </c>
      <c r="M48" s="10">
        <v>4301</v>
      </c>
      <c r="N48" s="10">
        <v>4354</v>
      </c>
      <c r="O48" s="10">
        <v>1858</v>
      </c>
      <c r="P48" s="10">
        <v>902</v>
      </c>
      <c r="Q48" s="10">
        <v>115</v>
      </c>
      <c r="R48" s="10">
        <v>991</v>
      </c>
      <c r="S48" s="10">
        <v>60398</v>
      </c>
      <c r="T48" s="10">
        <v>32796</v>
      </c>
      <c r="U48" s="10">
        <v>7862</v>
      </c>
      <c r="V48" s="10">
        <v>4730</v>
      </c>
      <c r="W48" s="10">
        <v>170</v>
      </c>
      <c r="X48" s="10">
        <v>527</v>
      </c>
      <c r="Y48" s="10">
        <v>11547</v>
      </c>
      <c r="Z48" s="10">
        <v>7618</v>
      </c>
      <c r="AA48" s="10">
        <v>1845</v>
      </c>
      <c r="AB48" s="10">
        <v>1309</v>
      </c>
      <c r="AC48" s="10">
        <v>55</v>
      </c>
      <c r="AD48" s="10">
        <v>6</v>
      </c>
      <c r="AE48" s="10">
        <v>242</v>
      </c>
      <c r="AF48" s="10">
        <v>118</v>
      </c>
      <c r="AG48" s="10">
        <v>26</v>
      </c>
      <c r="AH48" s="10">
        <v>17</v>
      </c>
      <c r="AI48" s="10">
        <v>1</v>
      </c>
      <c r="AJ48" s="10">
        <v>20</v>
      </c>
      <c r="AK48" s="10">
        <v>308</v>
      </c>
      <c r="AL48" s="10">
        <v>187</v>
      </c>
      <c r="AM48" s="10">
        <v>92</v>
      </c>
      <c r="AN48" s="10">
        <v>45</v>
      </c>
      <c r="AO48" s="10">
        <v>6</v>
      </c>
      <c r="AP48" s="10">
        <v>68</v>
      </c>
      <c r="AQ48" s="10">
        <v>4113</v>
      </c>
      <c r="AR48" s="10">
        <v>2794</v>
      </c>
      <c r="AS48" s="10">
        <v>618</v>
      </c>
      <c r="AT48" s="10">
        <v>250</v>
      </c>
      <c r="AU48" s="10">
        <v>20</v>
      </c>
      <c r="AV48" s="10">
        <v>13</v>
      </c>
      <c r="AW48" s="10">
        <v>188</v>
      </c>
      <c r="AX48" s="10">
        <v>1559</v>
      </c>
      <c r="AY48" s="10">
        <v>1240</v>
      </c>
      <c r="AZ48" s="10">
        <v>652</v>
      </c>
      <c r="BA48" s="10">
        <v>95</v>
      </c>
      <c r="BB48" s="10">
        <v>0</v>
      </c>
      <c r="BC48" s="10">
        <v>0</v>
      </c>
      <c r="BD48" s="10">
        <v>1</v>
      </c>
      <c r="BE48" s="10">
        <v>0</v>
      </c>
      <c r="BF48" s="10">
        <v>0</v>
      </c>
      <c r="BG48" s="10">
        <v>0</v>
      </c>
      <c r="BH48" s="10">
        <v>105</v>
      </c>
      <c r="BI48" s="10">
        <v>31936</v>
      </c>
      <c r="BJ48" s="10">
        <v>12028</v>
      </c>
      <c r="BK48" s="10">
        <v>1952</v>
      </c>
      <c r="BL48" s="10">
        <v>1702</v>
      </c>
      <c r="BM48" s="10">
        <v>44</v>
      </c>
      <c r="BN48" s="10">
        <v>886</v>
      </c>
      <c r="BO48" s="10">
        <v>28461</v>
      </c>
      <c r="BP48" s="10">
        <v>20768</v>
      </c>
      <c r="BQ48" s="10">
        <v>5909</v>
      </c>
      <c r="BR48" s="10">
        <v>3028</v>
      </c>
      <c r="BS48" s="10">
        <v>126</v>
      </c>
      <c r="BT48" s="10">
        <v>0</v>
      </c>
      <c r="BU48" s="10">
        <v>1</v>
      </c>
      <c r="BV48" s="10">
        <v>0</v>
      </c>
      <c r="BW48" s="10">
        <v>1</v>
      </c>
      <c r="BX48" s="10">
        <v>0</v>
      </c>
      <c r="BY48" s="10">
        <v>0</v>
      </c>
      <c r="BZ48" s="10">
        <v>0</v>
      </c>
      <c r="CA48" s="10">
        <v>2</v>
      </c>
      <c r="CB48" s="10">
        <v>7</v>
      </c>
      <c r="CC48" s="10">
        <v>2</v>
      </c>
      <c r="CD48" s="10">
        <v>0</v>
      </c>
      <c r="CE48" s="10">
        <v>0</v>
      </c>
      <c r="CF48" s="10">
        <v>0</v>
      </c>
      <c r="CG48" s="10">
        <v>290</v>
      </c>
      <c r="CH48" s="10">
        <v>319</v>
      </c>
      <c r="CI48" s="10">
        <v>110</v>
      </c>
      <c r="CJ48" s="10">
        <v>7</v>
      </c>
      <c r="CK48" s="10">
        <v>0</v>
      </c>
      <c r="CL48" s="10">
        <v>506</v>
      </c>
      <c r="CM48" s="10">
        <v>11348</v>
      </c>
      <c r="CN48" s="10">
        <v>7074</v>
      </c>
      <c r="CO48" s="10">
        <v>1478</v>
      </c>
      <c r="CP48" s="10">
        <v>1056</v>
      </c>
      <c r="CQ48" s="10">
        <v>19</v>
      </c>
      <c r="CR48" s="10">
        <v>11</v>
      </c>
      <c r="CS48" s="10">
        <v>76</v>
      </c>
      <c r="CT48" s="10">
        <v>184</v>
      </c>
      <c r="CU48" s="10">
        <v>240</v>
      </c>
      <c r="CV48" s="10">
        <v>190</v>
      </c>
      <c r="CW48" s="10">
        <v>36</v>
      </c>
      <c r="CX48" s="10">
        <v>10</v>
      </c>
      <c r="CY48" s="10">
        <v>123</v>
      </c>
      <c r="CZ48" s="10">
        <v>360</v>
      </c>
      <c r="DA48" s="10">
        <v>127</v>
      </c>
      <c r="DB48" s="10">
        <v>63</v>
      </c>
      <c r="DC48" s="10">
        <v>0</v>
      </c>
      <c r="DD48" s="10">
        <v>2</v>
      </c>
      <c r="DE48" s="10">
        <v>23</v>
      </c>
      <c r="DF48" s="10">
        <v>87</v>
      </c>
      <c r="DG48" s="10">
        <v>109</v>
      </c>
      <c r="DH48" s="10">
        <v>44</v>
      </c>
      <c r="DI48" s="10">
        <v>6</v>
      </c>
      <c r="DJ48" s="10">
        <v>1</v>
      </c>
      <c r="DK48" s="10">
        <v>18</v>
      </c>
      <c r="DL48" s="10">
        <v>107</v>
      </c>
      <c r="DM48" s="10">
        <v>95</v>
      </c>
      <c r="DN48" s="10">
        <v>38</v>
      </c>
      <c r="DO48" s="10">
        <v>4</v>
      </c>
      <c r="DP48" s="10">
        <v>45</v>
      </c>
      <c r="DQ48" s="10">
        <v>323</v>
      </c>
      <c r="DR48" s="10">
        <v>377</v>
      </c>
      <c r="DS48" s="10">
        <v>297</v>
      </c>
      <c r="DT48" s="10">
        <v>134</v>
      </c>
      <c r="DU48" s="10">
        <v>66</v>
      </c>
    </row>
    <row r="49" spans="1:125" ht="20" customHeight="1">
      <c r="A49" s="8">
        <v>2019</v>
      </c>
      <c r="B49" s="9">
        <v>2019</v>
      </c>
      <c r="C49" s="10">
        <v>2019</v>
      </c>
      <c r="D49" s="11"/>
      <c r="E49" s="12" t="s">
        <v>126</v>
      </c>
      <c r="F49" s="12" t="s">
        <v>127</v>
      </c>
      <c r="G49" s="12" t="s">
        <v>129</v>
      </c>
      <c r="H49" s="12" t="s">
        <v>130</v>
      </c>
      <c r="I49" s="12" t="s">
        <v>129</v>
      </c>
      <c r="J49" s="12" t="s">
        <v>131</v>
      </c>
      <c r="K49" s="11"/>
      <c r="L49" s="10">
        <v>0</v>
      </c>
      <c r="M49" s="10">
        <v>719</v>
      </c>
      <c r="N49" s="10">
        <v>774</v>
      </c>
      <c r="O49" s="10">
        <v>275</v>
      </c>
      <c r="P49" s="10">
        <v>136</v>
      </c>
      <c r="Q49" s="10">
        <v>1</v>
      </c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0">
        <v>0</v>
      </c>
      <c r="AQ49" s="10">
        <v>660</v>
      </c>
      <c r="AR49" s="10">
        <v>323</v>
      </c>
      <c r="AS49" s="10">
        <v>31</v>
      </c>
      <c r="AT49" s="10">
        <v>12</v>
      </c>
      <c r="AU49" s="10">
        <v>0</v>
      </c>
      <c r="AV49" s="10">
        <v>0</v>
      </c>
      <c r="AW49" s="10">
        <v>59</v>
      </c>
      <c r="AX49" s="10">
        <v>451</v>
      </c>
      <c r="AY49" s="10">
        <v>244</v>
      </c>
      <c r="AZ49" s="10">
        <v>124</v>
      </c>
      <c r="BA49" s="10">
        <v>1</v>
      </c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</row>
    <row r="50" spans="1:125" ht="20" customHeight="1">
      <c r="A50" s="8">
        <v>2019</v>
      </c>
      <c r="B50" s="9">
        <v>2019</v>
      </c>
      <c r="C50" s="10">
        <v>2019</v>
      </c>
      <c r="D50" s="11"/>
      <c r="E50" s="12" t="s">
        <v>126</v>
      </c>
      <c r="F50" s="12" t="s">
        <v>127</v>
      </c>
      <c r="G50" s="12" t="s">
        <v>135</v>
      </c>
      <c r="H50" s="12" t="s">
        <v>136</v>
      </c>
      <c r="I50" s="12" t="s">
        <v>135</v>
      </c>
      <c r="J50" s="12" t="s">
        <v>137</v>
      </c>
      <c r="K50" s="11"/>
      <c r="L50" s="10">
        <v>34</v>
      </c>
      <c r="M50" s="10">
        <v>232</v>
      </c>
      <c r="N50" s="10">
        <v>456</v>
      </c>
      <c r="O50" s="10">
        <v>388</v>
      </c>
      <c r="P50" s="10">
        <v>221</v>
      </c>
      <c r="Q50" s="10">
        <v>37</v>
      </c>
      <c r="R50" s="10">
        <v>34</v>
      </c>
      <c r="S50" s="10">
        <v>600</v>
      </c>
      <c r="T50" s="10">
        <v>1858</v>
      </c>
      <c r="U50" s="10">
        <v>1775</v>
      </c>
      <c r="V50" s="10">
        <v>443</v>
      </c>
      <c r="W50" s="10">
        <v>1</v>
      </c>
      <c r="X50" s="10">
        <v>39</v>
      </c>
      <c r="Y50" s="10">
        <v>165</v>
      </c>
      <c r="Z50" s="10">
        <v>146</v>
      </c>
      <c r="AA50" s="10">
        <v>200</v>
      </c>
      <c r="AB50" s="10">
        <v>54</v>
      </c>
      <c r="AC50" s="10">
        <v>3</v>
      </c>
      <c r="AD50" s="10">
        <v>0</v>
      </c>
      <c r="AE50" s="10">
        <v>6</v>
      </c>
      <c r="AF50" s="10">
        <v>8</v>
      </c>
      <c r="AG50" s="10">
        <v>8</v>
      </c>
      <c r="AH50" s="10">
        <v>11</v>
      </c>
      <c r="AI50" s="10">
        <v>1</v>
      </c>
      <c r="AJ50" s="10">
        <v>2</v>
      </c>
      <c r="AK50" s="10">
        <v>33</v>
      </c>
      <c r="AL50" s="10">
        <v>40</v>
      </c>
      <c r="AM50" s="10">
        <v>34</v>
      </c>
      <c r="AN50" s="10">
        <v>21</v>
      </c>
      <c r="AO50" s="10">
        <v>5</v>
      </c>
      <c r="AP50" s="10">
        <v>28</v>
      </c>
      <c r="AQ50" s="10">
        <v>181</v>
      </c>
      <c r="AR50" s="10">
        <v>184</v>
      </c>
      <c r="AS50" s="10">
        <v>80</v>
      </c>
      <c r="AT50" s="10">
        <v>42</v>
      </c>
      <c r="AU50" s="10">
        <v>1</v>
      </c>
      <c r="AV50" s="10">
        <v>6</v>
      </c>
      <c r="AW50" s="10">
        <v>51</v>
      </c>
      <c r="AX50" s="10">
        <v>271</v>
      </c>
      <c r="AY50" s="10">
        <v>308</v>
      </c>
      <c r="AZ50" s="10">
        <v>179</v>
      </c>
      <c r="BA50" s="10">
        <v>36</v>
      </c>
      <c r="BB50" s="10">
        <v>0</v>
      </c>
      <c r="BC50" s="10">
        <v>0</v>
      </c>
      <c r="BD50" s="10">
        <v>1</v>
      </c>
      <c r="BE50" s="10">
        <v>0</v>
      </c>
      <c r="BF50" s="10">
        <v>0</v>
      </c>
      <c r="BG50" s="10">
        <v>0</v>
      </c>
      <c r="BH50" s="10">
        <v>17</v>
      </c>
      <c r="BI50" s="10">
        <v>150</v>
      </c>
      <c r="BJ50" s="10">
        <v>552</v>
      </c>
      <c r="BK50" s="10">
        <v>561</v>
      </c>
      <c r="BL50" s="10">
        <v>128</v>
      </c>
      <c r="BM50" s="10">
        <v>0</v>
      </c>
      <c r="BN50" s="10">
        <v>17</v>
      </c>
      <c r="BO50" s="10">
        <v>449</v>
      </c>
      <c r="BP50" s="10">
        <v>1306</v>
      </c>
      <c r="BQ50" s="10">
        <v>1213</v>
      </c>
      <c r="BR50" s="10">
        <v>315</v>
      </c>
      <c r="BS50" s="10">
        <v>1</v>
      </c>
      <c r="BT50" s="10">
        <v>0</v>
      </c>
      <c r="BU50" s="10">
        <v>1</v>
      </c>
      <c r="BV50" s="10">
        <v>0</v>
      </c>
      <c r="BW50" s="10">
        <v>1</v>
      </c>
      <c r="BX50" s="10">
        <v>0</v>
      </c>
      <c r="BY50" s="10">
        <v>0</v>
      </c>
      <c r="BZ50" s="10">
        <v>0</v>
      </c>
      <c r="CA50" s="10">
        <v>2</v>
      </c>
      <c r="CB50" s="10">
        <v>7</v>
      </c>
      <c r="CC50" s="10">
        <v>2</v>
      </c>
      <c r="CD50" s="10">
        <v>0</v>
      </c>
      <c r="CE50" s="10">
        <v>0</v>
      </c>
      <c r="CF50" s="10">
        <v>0</v>
      </c>
      <c r="CG50" s="10">
        <v>290</v>
      </c>
      <c r="CH50" s="10">
        <v>319</v>
      </c>
      <c r="CI50" s="10">
        <v>110</v>
      </c>
      <c r="CJ50" s="10">
        <v>7</v>
      </c>
      <c r="CK50" s="10">
        <v>0</v>
      </c>
      <c r="CL50" s="10">
        <v>39</v>
      </c>
      <c r="CM50" s="10">
        <v>165</v>
      </c>
      <c r="CN50" s="10">
        <v>146</v>
      </c>
      <c r="CO50" s="10">
        <v>200</v>
      </c>
      <c r="CP50" s="10">
        <v>54</v>
      </c>
      <c r="CQ50" s="10">
        <v>3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5</v>
      </c>
      <c r="DF50" s="10">
        <v>22</v>
      </c>
      <c r="DG50" s="10">
        <v>38</v>
      </c>
      <c r="DH50" s="10">
        <v>11</v>
      </c>
      <c r="DI50" s="10">
        <v>3</v>
      </c>
      <c r="DJ50" s="10">
        <v>0</v>
      </c>
      <c r="DK50" s="10">
        <v>1</v>
      </c>
      <c r="DL50" s="10">
        <v>26</v>
      </c>
      <c r="DM50" s="10">
        <v>23</v>
      </c>
      <c r="DN50" s="10">
        <v>16</v>
      </c>
      <c r="DO50" s="10">
        <v>3</v>
      </c>
      <c r="DP50" s="10">
        <v>1</v>
      </c>
      <c r="DQ50" s="10">
        <v>14</v>
      </c>
      <c r="DR50" s="10">
        <v>28</v>
      </c>
      <c r="DS50" s="10">
        <v>52</v>
      </c>
      <c r="DT50" s="10">
        <v>22</v>
      </c>
      <c r="DU50" s="10">
        <v>0</v>
      </c>
    </row>
    <row r="51" spans="1:125" ht="20" customHeight="1">
      <c r="A51" s="8">
        <v>2019</v>
      </c>
      <c r="B51" s="9">
        <v>2019</v>
      </c>
      <c r="C51" s="10">
        <v>2019</v>
      </c>
      <c r="D51" s="11"/>
      <c r="E51" s="12" t="s">
        <v>126</v>
      </c>
      <c r="F51" s="12" t="s">
        <v>127</v>
      </c>
      <c r="G51" s="12" t="s">
        <v>141</v>
      </c>
      <c r="H51" s="12" t="s">
        <v>142</v>
      </c>
      <c r="I51" s="12" t="s">
        <v>141</v>
      </c>
      <c r="J51" s="12" t="s">
        <v>143</v>
      </c>
      <c r="K51" s="11"/>
      <c r="L51" s="10">
        <v>16</v>
      </c>
      <c r="M51" s="10">
        <v>467</v>
      </c>
      <c r="N51" s="10">
        <v>262</v>
      </c>
      <c r="O51" s="10">
        <v>114</v>
      </c>
      <c r="P51" s="10">
        <v>46</v>
      </c>
      <c r="Q51" s="10">
        <v>15</v>
      </c>
      <c r="R51" s="10">
        <v>418</v>
      </c>
      <c r="S51" s="10">
        <v>3483</v>
      </c>
      <c r="T51" s="10">
        <v>2166</v>
      </c>
      <c r="U51" s="10">
        <v>1151</v>
      </c>
      <c r="V51" s="10">
        <v>535</v>
      </c>
      <c r="W51" s="10">
        <v>10</v>
      </c>
      <c r="X51" s="11"/>
      <c r="Y51" s="11"/>
      <c r="Z51" s="11"/>
      <c r="AA51" s="11"/>
      <c r="AB51" s="11"/>
      <c r="AC51" s="11"/>
      <c r="AD51" s="10">
        <v>1</v>
      </c>
      <c r="AE51" s="10">
        <v>63</v>
      </c>
      <c r="AF51" s="10">
        <v>22</v>
      </c>
      <c r="AG51" s="10">
        <v>2</v>
      </c>
      <c r="AH51" s="11"/>
      <c r="AI51" s="11"/>
      <c r="AJ51" s="11"/>
      <c r="AK51" s="10">
        <v>53</v>
      </c>
      <c r="AL51" s="10">
        <v>35</v>
      </c>
      <c r="AM51" s="10">
        <v>37</v>
      </c>
      <c r="AN51" s="10">
        <v>13</v>
      </c>
      <c r="AO51" s="11"/>
      <c r="AP51" s="10">
        <v>16</v>
      </c>
      <c r="AQ51" s="10">
        <v>462</v>
      </c>
      <c r="AR51" s="10">
        <v>215</v>
      </c>
      <c r="AS51" s="10">
        <v>89</v>
      </c>
      <c r="AT51" s="10">
        <v>26</v>
      </c>
      <c r="AU51" s="10">
        <v>5</v>
      </c>
      <c r="AV51" s="11"/>
      <c r="AW51" s="10">
        <v>5</v>
      </c>
      <c r="AX51" s="10">
        <v>47</v>
      </c>
      <c r="AY51" s="10">
        <v>25</v>
      </c>
      <c r="AZ51" s="10">
        <v>20</v>
      </c>
      <c r="BA51" s="10">
        <v>10</v>
      </c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0">
        <v>418</v>
      </c>
      <c r="BO51" s="10">
        <v>3483</v>
      </c>
      <c r="BP51" s="10">
        <v>2166</v>
      </c>
      <c r="BQ51" s="10">
        <v>1151</v>
      </c>
      <c r="BR51" s="10">
        <v>535</v>
      </c>
      <c r="BS51" s="10">
        <v>10</v>
      </c>
      <c r="BT51" s="11"/>
      <c r="BU51" s="11"/>
      <c r="BV51" s="11"/>
      <c r="BW51" s="11"/>
      <c r="BX51" s="11"/>
      <c r="BY51" s="11"/>
      <c r="BZ51" s="11"/>
      <c r="CA51" s="11"/>
      <c r="CB51" s="11"/>
      <c r="CC51" s="11"/>
      <c r="CD51" s="11"/>
      <c r="CE51" s="11"/>
      <c r="CF51" s="11"/>
      <c r="CG51" s="11"/>
      <c r="CH51" s="11"/>
      <c r="CI51" s="11"/>
      <c r="CJ51" s="11"/>
      <c r="CK51" s="11"/>
      <c r="CL51" s="11"/>
      <c r="CM51" s="11"/>
      <c r="CN51" s="11"/>
      <c r="CO51" s="11"/>
      <c r="CP51" s="11"/>
      <c r="CQ51" s="11"/>
      <c r="CR51" s="11"/>
      <c r="CS51" s="11"/>
      <c r="CT51" s="11"/>
      <c r="CU51" s="11"/>
      <c r="CV51" s="11"/>
      <c r="CW51" s="11"/>
      <c r="CX51" s="11"/>
      <c r="CY51" s="11"/>
      <c r="CZ51" s="11"/>
      <c r="DA51" s="11"/>
      <c r="DB51" s="11"/>
      <c r="DC51" s="11"/>
      <c r="DD51" s="11"/>
      <c r="DE51" s="11"/>
      <c r="DF51" s="11"/>
      <c r="DG51" s="11"/>
      <c r="DH51" s="11"/>
      <c r="DI51" s="11"/>
      <c r="DJ51" s="11"/>
      <c r="DK51" s="11"/>
      <c r="DL51" s="11"/>
      <c r="DM51" s="11"/>
      <c r="DN51" s="11"/>
      <c r="DO51" s="11"/>
      <c r="DP51" s="11"/>
      <c r="DQ51" s="11"/>
      <c r="DR51" s="11"/>
      <c r="DS51" s="11"/>
      <c r="DT51" s="11"/>
      <c r="DU51" s="11"/>
    </row>
    <row r="52" spans="1:125" ht="20" customHeight="1">
      <c r="A52" s="8">
        <v>2019</v>
      </c>
      <c r="B52" s="9">
        <v>2019</v>
      </c>
      <c r="C52" s="10">
        <v>2019</v>
      </c>
      <c r="D52" s="11"/>
      <c r="E52" s="12" t="s">
        <v>126</v>
      </c>
      <c r="F52" s="12" t="s">
        <v>127</v>
      </c>
      <c r="G52" s="12" t="s">
        <v>198</v>
      </c>
      <c r="H52" s="12" t="s">
        <v>199</v>
      </c>
      <c r="I52" s="12" t="s">
        <v>198</v>
      </c>
      <c r="J52" s="12" t="s">
        <v>200</v>
      </c>
      <c r="K52" s="11"/>
      <c r="L52" s="10">
        <v>0</v>
      </c>
      <c r="M52" s="10">
        <v>149</v>
      </c>
      <c r="N52" s="10">
        <v>396</v>
      </c>
      <c r="O52" s="10">
        <v>61</v>
      </c>
      <c r="P52" s="10">
        <v>19</v>
      </c>
      <c r="Q52" s="10">
        <v>4</v>
      </c>
      <c r="R52" s="10">
        <v>17</v>
      </c>
      <c r="S52" s="10">
        <v>2407</v>
      </c>
      <c r="T52" s="10">
        <v>3522</v>
      </c>
      <c r="U52" s="10">
        <v>1236</v>
      </c>
      <c r="V52" s="10">
        <v>292</v>
      </c>
      <c r="W52" s="10">
        <v>44</v>
      </c>
      <c r="X52" s="10">
        <v>0</v>
      </c>
      <c r="Y52" s="10">
        <v>48</v>
      </c>
      <c r="Z52" s="10">
        <v>44</v>
      </c>
      <c r="AA52" s="10">
        <v>26</v>
      </c>
      <c r="AB52" s="10">
        <v>6</v>
      </c>
      <c r="AC52" s="10">
        <v>0</v>
      </c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0">
        <v>0</v>
      </c>
      <c r="AQ52" s="10">
        <v>149</v>
      </c>
      <c r="AR52" s="10">
        <v>396</v>
      </c>
      <c r="AS52" s="10">
        <v>61</v>
      </c>
      <c r="AT52" s="10">
        <v>19</v>
      </c>
      <c r="AU52" s="10">
        <v>4</v>
      </c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0">
        <v>17</v>
      </c>
      <c r="BO52" s="10">
        <v>2407</v>
      </c>
      <c r="BP52" s="10">
        <v>3522</v>
      </c>
      <c r="BQ52" s="10">
        <v>1236</v>
      </c>
      <c r="BR52" s="10">
        <v>292</v>
      </c>
      <c r="BS52" s="10">
        <v>44</v>
      </c>
      <c r="BT52" s="11"/>
      <c r="BU52" s="11"/>
      <c r="BV52" s="11"/>
      <c r="BW52" s="11"/>
      <c r="BX52" s="11"/>
      <c r="BY52" s="11"/>
      <c r="BZ52" s="11"/>
      <c r="CA52" s="11"/>
      <c r="CB52" s="11"/>
      <c r="CC52" s="11"/>
      <c r="CD52" s="11"/>
      <c r="CE52" s="11"/>
      <c r="CF52" s="11"/>
      <c r="CG52" s="11"/>
      <c r="CH52" s="11"/>
      <c r="CI52" s="11"/>
      <c r="CJ52" s="11"/>
      <c r="CK52" s="11"/>
      <c r="CL52" s="10">
        <v>0</v>
      </c>
      <c r="CM52" s="10">
        <v>48</v>
      </c>
      <c r="CN52" s="10">
        <v>44</v>
      </c>
      <c r="CO52" s="10">
        <v>26</v>
      </c>
      <c r="CP52" s="10">
        <v>6</v>
      </c>
      <c r="CQ52" s="10">
        <v>0</v>
      </c>
      <c r="CR52" s="11"/>
      <c r="CS52" s="11"/>
      <c r="CT52" s="11"/>
      <c r="CU52" s="11"/>
      <c r="CV52" s="11"/>
      <c r="CW52" s="11"/>
      <c r="CX52" s="11"/>
      <c r="CY52" s="11"/>
      <c r="CZ52" s="11"/>
      <c r="DA52" s="11"/>
      <c r="DB52" s="11"/>
      <c r="DC52" s="11"/>
      <c r="DD52" s="11"/>
      <c r="DE52" s="11"/>
      <c r="DF52" s="11"/>
      <c r="DG52" s="11"/>
      <c r="DH52" s="11"/>
      <c r="DI52" s="11"/>
      <c r="DJ52" s="11"/>
      <c r="DK52" s="11"/>
      <c r="DL52" s="11"/>
      <c r="DM52" s="11"/>
      <c r="DN52" s="11"/>
      <c r="DO52" s="11"/>
      <c r="DP52" s="11"/>
      <c r="DQ52" s="11"/>
      <c r="DR52" s="11"/>
      <c r="DS52" s="11"/>
      <c r="DT52" s="11"/>
      <c r="DU52" s="11"/>
    </row>
    <row r="53" spans="1:125" ht="20" customHeight="1">
      <c r="A53" s="8">
        <v>2019</v>
      </c>
      <c r="B53" s="9">
        <v>2019</v>
      </c>
      <c r="C53" s="10">
        <v>2019</v>
      </c>
      <c r="D53" s="11"/>
      <c r="E53" s="12" t="s">
        <v>126</v>
      </c>
      <c r="F53" s="12" t="s">
        <v>127</v>
      </c>
      <c r="G53" s="12" t="s">
        <v>150</v>
      </c>
      <c r="H53" s="12" t="s">
        <v>151</v>
      </c>
      <c r="I53" s="12" t="s">
        <v>150</v>
      </c>
      <c r="J53" s="12" t="s">
        <v>152</v>
      </c>
      <c r="K53" s="11"/>
      <c r="L53" s="11"/>
      <c r="M53" s="10">
        <v>216</v>
      </c>
      <c r="N53" s="10">
        <v>293</v>
      </c>
      <c r="O53" s="10">
        <v>86</v>
      </c>
      <c r="P53" s="10">
        <v>43</v>
      </c>
      <c r="Q53" s="10">
        <v>4</v>
      </c>
      <c r="R53" s="10">
        <v>0</v>
      </c>
      <c r="S53" s="10">
        <v>178</v>
      </c>
      <c r="T53" s="10">
        <v>553</v>
      </c>
      <c r="U53" s="10">
        <v>204</v>
      </c>
      <c r="V53" s="10">
        <v>92</v>
      </c>
      <c r="W53" s="11"/>
      <c r="X53" s="10">
        <v>10</v>
      </c>
      <c r="Y53" s="10">
        <v>123</v>
      </c>
      <c r="Z53" s="10">
        <v>360</v>
      </c>
      <c r="AA53" s="10">
        <v>127</v>
      </c>
      <c r="AB53" s="10">
        <v>63</v>
      </c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0">
        <v>216</v>
      </c>
      <c r="AR53" s="10">
        <v>293</v>
      </c>
      <c r="AS53" s="10">
        <v>86</v>
      </c>
      <c r="AT53" s="10">
        <v>43</v>
      </c>
      <c r="AU53" s="10">
        <v>4</v>
      </c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0">
        <v>0</v>
      </c>
      <c r="BO53" s="10">
        <v>178</v>
      </c>
      <c r="BP53" s="10">
        <v>553</v>
      </c>
      <c r="BQ53" s="10">
        <v>204</v>
      </c>
      <c r="BR53" s="10">
        <v>92</v>
      </c>
      <c r="BS53" s="11"/>
      <c r="BT53" s="11"/>
      <c r="BU53" s="11"/>
      <c r="BV53" s="11"/>
      <c r="BW53" s="11"/>
      <c r="BX53" s="11"/>
      <c r="BY53" s="11"/>
      <c r="BZ53" s="11"/>
      <c r="CA53" s="11"/>
      <c r="CB53" s="11"/>
      <c r="CC53" s="11"/>
      <c r="CD53" s="11"/>
      <c r="CE53" s="11"/>
      <c r="CF53" s="11"/>
      <c r="CG53" s="11"/>
      <c r="CH53" s="11"/>
      <c r="CI53" s="11"/>
      <c r="CJ53" s="11"/>
      <c r="CK53" s="11"/>
      <c r="CL53" s="11"/>
      <c r="CM53" s="11"/>
      <c r="CN53" s="11"/>
      <c r="CO53" s="11"/>
      <c r="CP53" s="11"/>
      <c r="CQ53" s="11"/>
      <c r="CR53" s="11"/>
      <c r="CS53" s="11"/>
      <c r="CT53" s="11"/>
      <c r="CU53" s="11"/>
      <c r="CV53" s="11"/>
      <c r="CW53" s="11"/>
      <c r="CX53" s="10">
        <v>10</v>
      </c>
      <c r="CY53" s="10">
        <v>123</v>
      </c>
      <c r="CZ53" s="10">
        <v>360</v>
      </c>
      <c r="DA53" s="10">
        <v>127</v>
      </c>
      <c r="DB53" s="10">
        <v>63</v>
      </c>
      <c r="DC53" s="11"/>
      <c r="DD53" s="11"/>
      <c r="DE53" s="11"/>
      <c r="DF53" s="11"/>
      <c r="DG53" s="11"/>
      <c r="DH53" s="11"/>
      <c r="DI53" s="11"/>
      <c r="DJ53" s="11"/>
      <c r="DK53" s="11"/>
      <c r="DL53" s="11"/>
      <c r="DM53" s="11"/>
      <c r="DN53" s="11"/>
      <c r="DO53" s="11"/>
      <c r="DP53" s="11"/>
      <c r="DQ53" s="11"/>
      <c r="DR53" s="11"/>
      <c r="DS53" s="11"/>
      <c r="DT53" s="11"/>
      <c r="DU53" s="11"/>
    </row>
    <row r="54" spans="1:125" ht="20" customHeight="1">
      <c r="A54" s="8">
        <v>2019</v>
      </c>
      <c r="B54" s="9">
        <v>2019</v>
      </c>
      <c r="C54" s="10">
        <v>2019</v>
      </c>
      <c r="D54" s="11"/>
      <c r="E54" s="12" t="s">
        <v>126</v>
      </c>
      <c r="F54" s="12" t="s">
        <v>127</v>
      </c>
      <c r="G54" s="12" t="s">
        <v>156</v>
      </c>
      <c r="H54" s="12" t="s">
        <v>157</v>
      </c>
      <c r="I54" s="12" t="s">
        <v>156</v>
      </c>
      <c r="J54" s="12" t="s">
        <v>158</v>
      </c>
      <c r="K54" s="11"/>
      <c r="L54" s="10">
        <v>1</v>
      </c>
      <c r="M54" s="10">
        <v>1289</v>
      </c>
      <c r="N54" s="10">
        <v>1348</v>
      </c>
      <c r="O54" s="10">
        <v>424</v>
      </c>
      <c r="P54" s="10">
        <v>174</v>
      </c>
      <c r="Q54" s="10">
        <v>0</v>
      </c>
      <c r="R54" s="10">
        <v>82</v>
      </c>
      <c r="S54" s="10">
        <v>48366</v>
      </c>
      <c r="T54" s="10">
        <v>20816</v>
      </c>
      <c r="U54" s="10">
        <v>1912</v>
      </c>
      <c r="V54" s="10">
        <v>2458</v>
      </c>
      <c r="W54" s="10">
        <v>0</v>
      </c>
      <c r="X54" s="10">
        <v>3</v>
      </c>
      <c r="Y54" s="10">
        <v>7100</v>
      </c>
      <c r="Z54" s="10">
        <v>4337</v>
      </c>
      <c r="AA54" s="10">
        <v>588</v>
      </c>
      <c r="AB54" s="10">
        <v>645</v>
      </c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0">
        <v>1</v>
      </c>
      <c r="AQ54" s="10">
        <v>1262</v>
      </c>
      <c r="AR54" s="10">
        <v>739</v>
      </c>
      <c r="AS54" s="10">
        <v>122</v>
      </c>
      <c r="AT54" s="10">
        <v>57</v>
      </c>
      <c r="AU54" s="10">
        <v>0</v>
      </c>
      <c r="AV54" s="10">
        <v>0</v>
      </c>
      <c r="AW54" s="10">
        <v>27</v>
      </c>
      <c r="AX54" s="10">
        <v>609</v>
      </c>
      <c r="AY54" s="10">
        <v>302</v>
      </c>
      <c r="AZ54" s="10">
        <v>117</v>
      </c>
      <c r="BA54" s="10">
        <v>0</v>
      </c>
      <c r="BB54" s="11"/>
      <c r="BC54" s="11"/>
      <c r="BD54" s="11"/>
      <c r="BE54" s="11"/>
      <c r="BF54" s="11"/>
      <c r="BG54" s="11"/>
      <c r="BH54" s="10">
        <v>70</v>
      </c>
      <c r="BI54" s="10">
        <v>31167</v>
      </c>
      <c r="BJ54" s="10">
        <v>10408</v>
      </c>
      <c r="BK54" s="10">
        <v>956</v>
      </c>
      <c r="BL54" s="10">
        <v>1229</v>
      </c>
      <c r="BM54" s="10">
        <v>0</v>
      </c>
      <c r="BN54" s="10">
        <v>12</v>
      </c>
      <c r="BO54" s="10">
        <v>17199</v>
      </c>
      <c r="BP54" s="10">
        <v>10408</v>
      </c>
      <c r="BQ54" s="10">
        <v>956</v>
      </c>
      <c r="BR54" s="10">
        <v>1229</v>
      </c>
      <c r="BS54" s="10">
        <v>0</v>
      </c>
      <c r="BT54" s="11"/>
      <c r="BU54" s="11"/>
      <c r="BV54" s="11"/>
      <c r="BW54" s="11"/>
      <c r="BX54" s="11"/>
      <c r="BY54" s="11"/>
      <c r="BZ54" s="11"/>
      <c r="CA54" s="11"/>
      <c r="CB54" s="11"/>
      <c r="CC54" s="11"/>
      <c r="CD54" s="11"/>
      <c r="CE54" s="11"/>
      <c r="CF54" s="11"/>
      <c r="CG54" s="11"/>
      <c r="CH54" s="11"/>
      <c r="CI54" s="11"/>
      <c r="CJ54" s="11"/>
      <c r="CK54" s="11"/>
      <c r="CL54" s="10">
        <v>3</v>
      </c>
      <c r="CM54" s="10">
        <v>7100</v>
      </c>
      <c r="CN54" s="10">
        <v>4337</v>
      </c>
      <c r="CO54" s="10">
        <v>588</v>
      </c>
      <c r="CP54" s="10">
        <v>645</v>
      </c>
      <c r="CQ54" s="11"/>
      <c r="CR54" s="11"/>
      <c r="CS54" s="11"/>
      <c r="CT54" s="11"/>
      <c r="CU54" s="11"/>
      <c r="CV54" s="11"/>
      <c r="CW54" s="11"/>
      <c r="CX54" s="11"/>
      <c r="CY54" s="11"/>
      <c r="CZ54" s="11"/>
      <c r="DA54" s="11"/>
      <c r="DB54" s="11"/>
      <c r="DC54" s="11"/>
      <c r="DD54" s="11"/>
      <c r="DE54" s="11"/>
      <c r="DF54" s="11"/>
      <c r="DG54" s="11"/>
      <c r="DH54" s="11"/>
      <c r="DI54" s="11"/>
      <c r="DJ54" s="11"/>
      <c r="DK54" s="11"/>
      <c r="DL54" s="11"/>
      <c r="DM54" s="11"/>
      <c r="DN54" s="11"/>
      <c r="DO54" s="11"/>
      <c r="DP54" s="11"/>
      <c r="DQ54" s="11"/>
      <c r="DR54" s="11"/>
      <c r="DS54" s="11"/>
      <c r="DT54" s="11"/>
      <c r="DU54" s="11"/>
    </row>
    <row r="55" spans="1:125" ht="20" customHeight="1">
      <c r="A55" s="8">
        <v>2019</v>
      </c>
      <c r="B55" s="9">
        <v>2019</v>
      </c>
      <c r="C55" s="10">
        <v>2019</v>
      </c>
      <c r="D55" s="11"/>
      <c r="E55" s="12" t="s">
        <v>126</v>
      </c>
      <c r="F55" s="12" t="s">
        <v>127</v>
      </c>
      <c r="G55" s="12" t="s">
        <v>168</v>
      </c>
      <c r="H55" s="12" t="s">
        <v>169</v>
      </c>
      <c r="I55" s="12" t="s">
        <v>168</v>
      </c>
      <c r="J55" s="12" t="s">
        <v>170</v>
      </c>
      <c r="K55" s="11"/>
      <c r="L55" s="10">
        <v>25</v>
      </c>
      <c r="M55" s="10">
        <v>1106</v>
      </c>
      <c r="N55" s="10">
        <v>697</v>
      </c>
      <c r="O55" s="10">
        <v>454</v>
      </c>
      <c r="P55" s="10">
        <v>236</v>
      </c>
      <c r="Q55" s="10">
        <v>52</v>
      </c>
      <c r="R55" s="10">
        <v>408</v>
      </c>
      <c r="S55" s="10">
        <v>4199</v>
      </c>
      <c r="T55" s="10">
        <v>1950</v>
      </c>
      <c r="U55" s="10">
        <v>950</v>
      </c>
      <c r="V55" s="10">
        <v>560</v>
      </c>
      <c r="W55" s="10">
        <v>112</v>
      </c>
      <c r="X55" s="10">
        <v>449</v>
      </c>
      <c r="Y55" s="10">
        <v>3224</v>
      </c>
      <c r="Z55" s="10">
        <v>1580</v>
      </c>
      <c r="AA55" s="10">
        <v>605</v>
      </c>
      <c r="AB55" s="10">
        <v>294</v>
      </c>
      <c r="AC55" s="10">
        <v>23</v>
      </c>
      <c r="AD55" s="10">
        <v>5</v>
      </c>
      <c r="AE55" s="10">
        <v>173</v>
      </c>
      <c r="AF55" s="10">
        <v>88</v>
      </c>
      <c r="AG55" s="10">
        <v>16</v>
      </c>
      <c r="AH55" s="10">
        <v>6</v>
      </c>
      <c r="AI55" s="10">
        <v>0</v>
      </c>
      <c r="AJ55" s="10">
        <v>18</v>
      </c>
      <c r="AK55" s="10">
        <v>222</v>
      </c>
      <c r="AL55" s="10">
        <v>112</v>
      </c>
      <c r="AM55" s="10">
        <v>21</v>
      </c>
      <c r="AN55" s="10">
        <v>11</v>
      </c>
      <c r="AO55" s="10">
        <v>1</v>
      </c>
      <c r="AP55" s="10">
        <v>18</v>
      </c>
      <c r="AQ55" s="10">
        <v>1060</v>
      </c>
      <c r="AR55" s="10">
        <v>516</v>
      </c>
      <c r="AS55" s="10">
        <v>93</v>
      </c>
      <c r="AT55" s="10">
        <v>24</v>
      </c>
      <c r="AU55" s="10">
        <v>4</v>
      </c>
      <c r="AV55" s="10">
        <v>7</v>
      </c>
      <c r="AW55" s="10">
        <v>46</v>
      </c>
      <c r="AX55" s="10">
        <v>181</v>
      </c>
      <c r="AY55" s="10">
        <v>361</v>
      </c>
      <c r="AZ55" s="10">
        <v>212</v>
      </c>
      <c r="BA55" s="10">
        <v>48</v>
      </c>
      <c r="BB55" s="11"/>
      <c r="BC55" s="11"/>
      <c r="BD55" s="11"/>
      <c r="BE55" s="11"/>
      <c r="BF55" s="11"/>
      <c r="BG55" s="11"/>
      <c r="BH55" s="10">
        <v>0</v>
      </c>
      <c r="BI55" s="10">
        <v>4</v>
      </c>
      <c r="BJ55" s="10">
        <v>54</v>
      </c>
      <c r="BK55" s="10">
        <v>119</v>
      </c>
      <c r="BL55" s="10">
        <v>158</v>
      </c>
      <c r="BM55" s="10">
        <v>42</v>
      </c>
      <c r="BN55" s="10">
        <v>408</v>
      </c>
      <c r="BO55" s="10">
        <v>4195</v>
      </c>
      <c r="BP55" s="10">
        <v>1896</v>
      </c>
      <c r="BQ55" s="10">
        <v>831</v>
      </c>
      <c r="BR55" s="10">
        <v>402</v>
      </c>
      <c r="BS55" s="10">
        <v>70</v>
      </c>
      <c r="BT55" s="11"/>
      <c r="BU55" s="11"/>
      <c r="BV55" s="11"/>
      <c r="BW55" s="11"/>
      <c r="BX55" s="11"/>
      <c r="BY55" s="11"/>
      <c r="BZ55" s="11"/>
      <c r="CA55" s="11"/>
      <c r="CB55" s="11"/>
      <c r="CC55" s="11"/>
      <c r="CD55" s="11"/>
      <c r="CE55" s="11"/>
      <c r="CF55" s="11"/>
      <c r="CG55" s="11"/>
      <c r="CH55" s="11"/>
      <c r="CI55" s="11"/>
      <c r="CJ55" s="11"/>
      <c r="CK55" s="11"/>
      <c r="CL55" s="10">
        <v>449</v>
      </c>
      <c r="CM55" s="10">
        <v>3222</v>
      </c>
      <c r="CN55" s="10">
        <v>1528</v>
      </c>
      <c r="CO55" s="10">
        <v>487</v>
      </c>
      <c r="CP55" s="10">
        <v>190</v>
      </c>
      <c r="CQ55" s="10">
        <v>13</v>
      </c>
      <c r="CR55" s="10">
        <v>0</v>
      </c>
      <c r="CS55" s="10">
        <v>2</v>
      </c>
      <c r="CT55" s="10">
        <v>52</v>
      </c>
      <c r="CU55" s="10">
        <v>118</v>
      </c>
      <c r="CV55" s="10">
        <v>104</v>
      </c>
      <c r="CW55" s="10">
        <v>10</v>
      </c>
      <c r="CX55" s="11"/>
      <c r="CY55" s="11"/>
      <c r="CZ55" s="11"/>
      <c r="DA55" s="11"/>
      <c r="DB55" s="11"/>
      <c r="DC55" s="11"/>
      <c r="DD55" s="10">
        <v>1</v>
      </c>
      <c r="DE55" s="10">
        <v>5</v>
      </c>
      <c r="DF55" s="10">
        <v>9</v>
      </c>
      <c r="DG55" s="10">
        <v>39</v>
      </c>
      <c r="DH55" s="10">
        <v>19</v>
      </c>
      <c r="DI55" s="10">
        <v>3</v>
      </c>
      <c r="DJ55" s="10">
        <v>0</v>
      </c>
      <c r="DK55" s="10">
        <v>3</v>
      </c>
      <c r="DL55" s="10">
        <v>12</v>
      </c>
      <c r="DM55" s="10">
        <v>38</v>
      </c>
      <c r="DN55" s="10">
        <v>12</v>
      </c>
      <c r="DO55" s="10">
        <v>1</v>
      </c>
      <c r="DP55" s="11"/>
      <c r="DQ55" s="11"/>
      <c r="DR55" s="11"/>
      <c r="DS55" s="11"/>
      <c r="DT55" s="11"/>
      <c r="DU55" s="11"/>
    </row>
    <row r="56" spans="1:125" ht="20" customHeight="1">
      <c r="A56" s="8">
        <v>2019</v>
      </c>
      <c r="B56" s="9">
        <v>2019</v>
      </c>
      <c r="C56" s="10">
        <v>2019</v>
      </c>
      <c r="D56" s="11"/>
      <c r="E56" s="12" t="s">
        <v>126</v>
      </c>
      <c r="F56" s="12" t="s">
        <v>127</v>
      </c>
      <c r="G56" s="12" t="s">
        <v>171</v>
      </c>
      <c r="H56" s="12" t="s">
        <v>172</v>
      </c>
      <c r="I56" s="12" t="s">
        <v>171</v>
      </c>
      <c r="J56" s="12" t="s">
        <v>173</v>
      </c>
      <c r="K56" s="11"/>
      <c r="L56" s="10">
        <v>5</v>
      </c>
      <c r="M56" s="10">
        <v>123</v>
      </c>
      <c r="N56" s="10">
        <v>128</v>
      </c>
      <c r="O56" s="10">
        <v>56</v>
      </c>
      <c r="P56" s="10">
        <v>27</v>
      </c>
      <c r="Q56" s="10">
        <v>2</v>
      </c>
      <c r="R56" s="10">
        <v>32</v>
      </c>
      <c r="S56" s="10">
        <v>1165</v>
      </c>
      <c r="T56" s="10">
        <v>1931</v>
      </c>
      <c r="U56" s="10">
        <v>634</v>
      </c>
      <c r="V56" s="10">
        <v>350</v>
      </c>
      <c r="W56" s="10">
        <v>3</v>
      </c>
      <c r="X56" s="10">
        <v>26</v>
      </c>
      <c r="Y56" s="10">
        <v>887</v>
      </c>
      <c r="Z56" s="10">
        <v>1151</v>
      </c>
      <c r="AA56" s="10">
        <v>299</v>
      </c>
      <c r="AB56" s="10">
        <v>247</v>
      </c>
      <c r="AC56" s="10">
        <v>29</v>
      </c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0">
        <v>5</v>
      </c>
      <c r="AQ56" s="10">
        <v>123</v>
      </c>
      <c r="AR56" s="10">
        <v>128</v>
      </c>
      <c r="AS56" s="10">
        <v>56</v>
      </c>
      <c r="AT56" s="10">
        <v>27</v>
      </c>
      <c r="AU56" s="10">
        <v>2</v>
      </c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0">
        <v>18</v>
      </c>
      <c r="BI56" s="10">
        <v>615</v>
      </c>
      <c r="BJ56" s="10">
        <v>1014</v>
      </c>
      <c r="BK56" s="10">
        <v>316</v>
      </c>
      <c r="BL56" s="10">
        <v>187</v>
      </c>
      <c r="BM56" s="10">
        <v>2</v>
      </c>
      <c r="BN56" s="10">
        <v>14</v>
      </c>
      <c r="BO56" s="10">
        <v>550</v>
      </c>
      <c r="BP56" s="10">
        <v>917</v>
      </c>
      <c r="BQ56" s="10">
        <v>318</v>
      </c>
      <c r="BR56" s="10">
        <v>163</v>
      </c>
      <c r="BS56" s="10">
        <v>1</v>
      </c>
      <c r="BT56" s="11"/>
      <c r="BU56" s="11"/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1"/>
      <c r="CH56" s="11"/>
      <c r="CI56" s="11"/>
      <c r="CJ56" s="11"/>
      <c r="CK56" s="11"/>
      <c r="CL56" s="10">
        <v>15</v>
      </c>
      <c r="CM56" s="10">
        <v>813</v>
      </c>
      <c r="CN56" s="10">
        <v>1019</v>
      </c>
      <c r="CO56" s="10">
        <v>177</v>
      </c>
      <c r="CP56" s="10">
        <v>161</v>
      </c>
      <c r="CQ56" s="10">
        <v>3</v>
      </c>
      <c r="CR56" s="10">
        <v>11</v>
      </c>
      <c r="CS56" s="10">
        <v>74</v>
      </c>
      <c r="CT56" s="10">
        <v>132</v>
      </c>
      <c r="CU56" s="10">
        <v>122</v>
      </c>
      <c r="CV56" s="10">
        <v>86</v>
      </c>
      <c r="CW56" s="10">
        <v>26</v>
      </c>
      <c r="CX56" s="11"/>
      <c r="CY56" s="11"/>
      <c r="CZ56" s="11"/>
      <c r="DA56" s="11"/>
      <c r="DB56" s="11"/>
      <c r="DC56" s="11"/>
      <c r="DD56" s="10">
        <v>1</v>
      </c>
      <c r="DE56" s="10">
        <v>13</v>
      </c>
      <c r="DF56" s="10">
        <v>56</v>
      </c>
      <c r="DG56" s="10">
        <v>32</v>
      </c>
      <c r="DH56" s="10">
        <v>14</v>
      </c>
      <c r="DI56" s="10">
        <v>0</v>
      </c>
      <c r="DJ56" s="10">
        <v>1</v>
      </c>
      <c r="DK56" s="10">
        <v>14</v>
      </c>
      <c r="DL56" s="10">
        <v>69</v>
      </c>
      <c r="DM56" s="10">
        <v>34</v>
      </c>
      <c r="DN56" s="10">
        <v>10</v>
      </c>
      <c r="DO56" s="10">
        <v>0</v>
      </c>
      <c r="DP56" s="10">
        <v>44</v>
      </c>
      <c r="DQ56" s="10">
        <v>309</v>
      </c>
      <c r="DR56" s="10">
        <v>349</v>
      </c>
      <c r="DS56" s="10">
        <v>245</v>
      </c>
      <c r="DT56" s="10">
        <v>112</v>
      </c>
      <c r="DU56" s="10">
        <v>66</v>
      </c>
    </row>
    <row r="57" spans="1:125" ht="20" customHeight="1">
      <c r="A57" s="8">
        <v>2018</v>
      </c>
      <c r="B57" s="9">
        <v>2018</v>
      </c>
      <c r="C57" s="10">
        <v>2018</v>
      </c>
      <c r="D57" s="11"/>
      <c r="E57" s="12" t="s">
        <v>126</v>
      </c>
      <c r="F57" s="12" t="s">
        <v>127</v>
      </c>
      <c r="G57" s="11"/>
      <c r="H57" s="12" t="s">
        <v>128</v>
      </c>
      <c r="I57" s="12" t="s">
        <v>127</v>
      </c>
      <c r="J57" s="12" t="s">
        <v>127</v>
      </c>
      <c r="K57" s="11"/>
      <c r="L57" s="10">
        <v>6974</v>
      </c>
      <c r="M57" s="10">
        <v>30821</v>
      </c>
      <c r="N57" s="10">
        <v>20815</v>
      </c>
      <c r="O57" s="10">
        <v>13103</v>
      </c>
      <c r="P57" s="10">
        <v>14213</v>
      </c>
      <c r="Q57" s="10">
        <v>7712</v>
      </c>
      <c r="R57" s="10">
        <v>23560</v>
      </c>
      <c r="S57" s="10">
        <v>190733</v>
      </c>
      <c r="T57" s="10">
        <v>157385</v>
      </c>
      <c r="U57" s="10">
        <v>132148</v>
      </c>
      <c r="V57" s="10">
        <v>84727</v>
      </c>
      <c r="W57" s="10">
        <v>24837</v>
      </c>
      <c r="X57" s="10">
        <v>1096</v>
      </c>
      <c r="Y57" s="10">
        <v>12881</v>
      </c>
      <c r="Z57" s="10">
        <v>6405</v>
      </c>
      <c r="AA57" s="10">
        <v>2746</v>
      </c>
      <c r="AB57" s="10">
        <v>1738</v>
      </c>
      <c r="AC57" s="10">
        <v>110</v>
      </c>
      <c r="AD57" s="10">
        <v>400</v>
      </c>
      <c r="AE57" s="10">
        <v>5240</v>
      </c>
      <c r="AF57" s="10">
        <v>3682</v>
      </c>
      <c r="AG57" s="10">
        <v>2105</v>
      </c>
      <c r="AH57" s="10">
        <v>3457</v>
      </c>
      <c r="AI57" s="10">
        <v>681</v>
      </c>
      <c r="AJ57" s="10">
        <v>542</v>
      </c>
      <c r="AK57" s="10">
        <v>4888</v>
      </c>
      <c r="AL57" s="10">
        <v>5056</v>
      </c>
      <c r="AM57" s="10">
        <v>4353</v>
      </c>
      <c r="AN57" s="10">
        <v>4193</v>
      </c>
      <c r="AO57" s="10">
        <v>702</v>
      </c>
      <c r="AP57" s="10">
        <v>6008</v>
      </c>
      <c r="AQ57" s="10">
        <v>7182</v>
      </c>
      <c r="AR57" s="10">
        <v>5883</v>
      </c>
      <c r="AS57" s="10">
        <v>4470</v>
      </c>
      <c r="AT57" s="10">
        <v>8306</v>
      </c>
      <c r="AU57" s="10">
        <v>5955</v>
      </c>
      <c r="AV57" s="10">
        <v>0</v>
      </c>
      <c r="AW57" s="10">
        <v>16603</v>
      </c>
      <c r="AX57" s="10">
        <v>12064</v>
      </c>
      <c r="AY57" s="10">
        <v>6713</v>
      </c>
      <c r="AZ57" s="10">
        <v>5190</v>
      </c>
      <c r="BA57" s="10">
        <v>1654</v>
      </c>
      <c r="BB57" s="10">
        <v>966</v>
      </c>
      <c r="BC57" s="10">
        <v>7036</v>
      </c>
      <c r="BD57" s="10">
        <v>2868</v>
      </c>
      <c r="BE57" s="10">
        <v>1920</v>
      </c>
      <c r="BF57" s="10">
        <v>717</v>
      </c>
      <c r="BG57" s="10">
        <v>103</v>
      </c>
      <c r="BH57" s="10">
        <v>2154</v>
      </c>
      <c r="BI57" s="10">
        <v>45621</v>
      </c>
      <c r="BJ57" s="10">
        <v>20210</v>
      </c>
      <c r="BK57" s="10">
        <v>22090</v>
      </c>
      <c r="BL57" s="10">
        <v>15436</v>
      </c>
      <c r="BM57" s="10">
        <v>6721</v>
      </c>
      <c r="BN57" s="10">
        <v>10013</v>
      </c>
      <c r="BO57" s="10">
        <v>83529</v>
      </c>
      <c r="BP57" s="10">
        <v>49762</v>
      </c>
      <c r="BQ57" s="10">
        <v>34523</v>
      </c>
      <c r="BR57" s="10">
        <v>14093</v>
      </c>
      <c r="BS57" s="10">
        <v>2799</v>
      </c>
      <c r="BT57" s="10">
        <v>11393</v>
      </c>
      <c r="BU57" s="10">
        <v>61583</v>
      </c>
      <c r="BV57" s="10">
        <v>87413</v>
      </c>
      <c r="BW57" s="10">
        <v>75535</v>
      </c>
      <c r="BX57" s="10">
        <v>55198</v>
      </c>
      <c r="BY57" s="10">
        <v>15317</v>
      </c>
      <c r="BZ57" s="10">
        <v>273</v>
      </c>
      <c r="CA57" s="10">
        <v>2800</v>
      </c>
      <c r="CB57" s="10">
        <v>124</v>
      </c>
      <c r="CC57" s="10">
        <v>114</v>
      </c>
      <c r="CD57" s="10">
        <v>68</v>
      </c>
      <c r="CE57" s="10">
        <v>13</v>
      </c>
      <c r="CF57" s="10">
        <v>117</v>
      </c>
      <c r="CG57" s="10">
        <v>787</v>
      </c>
      <c r="CH57" s="10">
        <v>323</v>
      </c>
      <c r="CI57" s="10">
        <v>284</v>
      </c>
      <c r="CJ57" s="10">
        <v>268</v>
      </c>
      <c r="CK57" s="10">
        <v>80</v>
      </c>
      <c r="CL57" s="10">
        <v>1008</v>
      </c>
      <c r="CM57" s="10">
        <v>12829</v>
      </c>
      <c r="CN57" s="10">
        <v>6040</v>
      </c>
      <c r="CO57" s="10">
        <v>2615</v>
      </c>
      <c r="CP57" s="10">
        <v>1698</v>
      </c>
      <c r="CQ57" s="10">
        <v>96</v>
      </c>
      <c r="CR57" s="10">
        <v>10</v>
      </c>
      <c r="CS57" s="10">
        <v>52</v>
      </c>
      <c r="CT57" s="10">
        <v>148</v>
      </c>
      <c r="CU57" s="10">
        <v>94</v>
      </c>
      <c r="CV57" s="10">
        <v>39</v>
      </c>
      <c r="CW57" s="10">
        <v>13</v>
      </c>
      <c r="CX57" s="10">
        <v>78</v>
      </c>
      <c r="CY57" s="11"/>
      <c r="CZ57" s="10">
        <v>217</v>
      </c>
      <c r="DA57" s="10">
        <v>37</v>
      </c>
      <c r="DB57" s="10">
        <v>1</v>
      </c>
      <c r="DC57" s="10">
        <v>1</v>
      </c>
      <c r="DD57" s="10">
        <v>0</v>
      </c>
      <c r="DE57" s="10">
        <v>1173</v>
      </c>
      <c r="DF57" s="10">
        <v>860</v>
      </c>
      <c r="DG57" s="10">
        <v>531</v>
      </c>
      <c r="DH57" s="10">
        <v>488</v>
      </c>
      <c r="DI57" s="10">
        <v>149</v>
      </c>
      <c r="DJ57" s="10">
        <v>0</v>
      </c>
      <c r="DK57" s="10">
        <v>1153</v>
      </c>
      <c r="DL57" s="10">
        <v>904</v>
      </c>
      <c r="DM57" s="10">
        <v>469</v>
      </c>
      <c r="DN57" s="10">
        <v>362</v>
      </c>
      <c r="DO57" s="10">
        <v>124</v>
      </c>
      <c r="DP57" s="10">
        <v>37</v>
      </c>
      <c r="DQ57" s="10">
        <v>158</v>
      </c>
      <c r="DR57" s="10">
        <v>16</v>
      </c>
      <c r="DS57" s="10">
        <v>8</v>
      </c>
      <c r="DT57" s="10">
        <v>2</v>
      </c>
      <c r="DU57" s="11"/>
    </row>
    <row r="58" spans="1:125" ht="20" customHeight="1">
      <c r="A58" s="8">
        <v>2018</v>
      </c>
      <c r="B58" s="9">
        <v>2018</v>
      </c>
      <c r="C58" s="10">
        <v>2018</v>
      </c>
      <c r="D58" s="11"/>
      <c r="E58" s="12" t="s">
        <v>126</v>
      </c>
      <c r="F58" s="12" t="s">
        <v>127</v>
      </c>
      <c r="G58" s="12" t="s">
        <v>138</v>
      </c>
      <c r="H58" s="12" t="s">
        <v>139</v>
      </c>
      <c r="I58" s="12" t="s">
        <v>138</v>
      </c>
      <c r="J58" s="12" t="s">
        <v>140</v>
      </c>
      <c r="K58" s="11"/>
      <c r="L58" s="11"/>
      <c r="M58" s="11"/>
      <c r="N58" s="11"/>
      <c r="O58" s="11"/>
      <c r="P58" s="11"/>
      <c r="Q58" s="11"/>
      <c r="R58" s="10">
        <v>201</v>
      </c>
      <c r="S58" s="10">
        <v>1423</v>
      </c>
      <c r="T58" s="10">
        <v>1374</v>
      </c>
      <c r="U58" s="10">
        <v>926</v>
      </c>
      <c r="V58" s="10">
        <v>487</v>
      </c>
      <c r="W58" s="10">
        <v>295</v>
      </c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0">
        <v>50</v>
      </c>
      <c r="BI58" s="10">
        <v>263</v>
      </c>
      <c r="BJ58" s="10">
        <v>226</v>
      </c>
      <c r="BK58" s="10">
        <v>215</v>
      </c>
      <c r="BL58" s="10">
        <v>203</v>
      </c>
      <c r="BM58" s="10">
        <v>72</v>
      </c>
      <c r="BN58" s="10">
        <v>151</v>
      </c>
      <c r="BO58" s="10">
        <v>1160</v>
      </c>
      <c r="BP58" s="10">
        <v>1148</v>
      </c>
      <c r="BQ58" s="10">
        <v>711</v>
      </c>
      <c r="BR58" s="10">
        <v>284</v>
      </c>
      <c r="BS58" s="10">
        <v>223</v>
      </c>
      <c r="BT58" s="11"/>
      <c r="BU58" s="11"/>
      <c r="BV58" s="11"/>
      <c r="BW58" s="11"/>
      <c r="BX58" s="11"/>
      <c r="BY58" s="11"/>
      <c r="BZ58" s="11"/>
      <c r="CA58" s="11"/>
      <c r="CB58" s="11"/>
      <c r="CC58" s="11"/>
      <c r="CD58" s="11"/>
      <c r="CE58" s="11"/>
      <c r="CF58" s="11"/>
      <c r="CG58" s="11"/>
      <c r="CH58" s="11"/>
      <c r="CI58" s="11"/>
      <c r="CJ58" s="11"/>
      <c r="CK58" s="11"/>
      <c r="CL58" s="11"/>
      <c r="CM58" s="11"/>
      <c r="CN58" s="11"/>
      <c r="CO58" s="11"/>
      <c r="CP58" s="11"/>
      <c r="CQ58" s="11"/>
      <c r="CR58" s="11"/>
      <c r="CS58" s="11"/>
      <c r="CT58" s="11"/>
      <c r="CU58" s="11"/>
      <c r="CV58" s="11"/>
      <c r="CW58" s="11"/>
      <c r="CX58" s="11"/>
      <c r="CY58" s="11"/>
      <c r="CZ58" s="11"/>
      <c r="DA58" s="11"/>
      <c r="DB58" s="11"/>
      <c r="DC58" s="11"/>
      <c r="DD58" s="11"/>
      <c r="DE58" s="11"/>
      <c r="DF58" s="11"/>
      <c r="DG58" s="11"/>
      <c r="DH58" s="11"/>
      <c r="DI58" s="11"/>
      <c r="DJ58" s="11"/>
      <c r="DK58" s="11"/>
      <c r="DL58" s="11"/>
      <c r="DM58" s="11"/>
      <c r="DN58" s="11"/>
      <c r="DO58" s="11"/>
      <c r="DP58" s="11"/>
      <c r="DQ58" s="11"/>
      <c r="DR58" s="11"/>
      <c r="DS58" s="11"/>
      <c r="DT58" s="11"/>
      <c r="DU58" s="11"/>
    </row>
    <row r="59" spans="1:125" ht="20" customHeight="1">
      <c r="A59" s="8">
        <v>2018</v>
      </c>
      <c r="B59" s="9">
        <v>2018</v>
      </c>
      <c r="C59" s="10">
        <v>2018</v>
      </c>
      <c r="D59" s="11"/>
      <c r="E59" s="12" t="s">
        <v>126</v>
      </c>
      <c r="F59" s="12" t="s">
        <v>127</v>
      </c>
      <c r="G59" s="12" t="s">
        <v>201</v>
      </c>
      <c r="H59" s="12" t="s">
        <v>202</v>
      </c>
      <c r="I59" s="12" t="s">
        <v>201</v>
      </c>
      <c r="J59" s="12" t="s">
        <v>203</v>
      </c>
      <c r="K59" s="11"/>
      <c r="L59" s="10">
        <v>5956</v>
      </c>
      <c r="M59" s="10">
        <v>21368</v>
      </c>
      <c r="N59" s="10">
        <v>15146</v>
      </c>
      <c r="O59" s="10">
        <v>10017</v>
      </c>
      <c r="P59" s="10">
        <v>12552</v>
      </c>
      <c r="Q59" s="10">
        <v>7565</v>
      </c>
      <c r="R59" s="10">
        <v>5302</v>
      </c>
      <c r="S59" s="10">
        <v>16980</v>
      </c>
      <c r="T59" s="10">
        <v>9040</v>
      </c>
      <c r="U59" s="10">
        <v>20042</v>
      </c>
      <c r="V59" s="10">
        <v>4745</v>
      </c>
      <c r="W59" s="10">
        <v>302</v>
      </c>
      <c r="X59" s="10">
        <v>183</v>
      </c>
      <c r="Y59" s="10">
        <v>3588</v>
      </c>
      <c r="Z59" s="10">
        <v>2671</v>
      </c>
      <c r="AA59" s="10">
        <v>1815</v>
      </c>
      <c r="AB59" s="10">
        <v>633</v>
      </c>
      <c r="AC59" s="10">
        <v>58</v>
      </c>
      <c r="AD59" s="10">
        <v>400</v>
      </c>
      <c r="AE59" s="10">
        <v>5156</v>
      </c>
      <c r="AF59" s="10">
        <v>3659</v>
      </c>
      <c r="AG59" s="10">
        <v>2096</v>
      </c>
      <c r="AH59" s="10">
        <v>3445</v>
      </c>
      <c r="AI59" s="10">
        <v>681</v>
      </c>
      <c r="AJ59" s="10">
        <v>386</v>
      </c>
      <c r="AK59" s="10">
        <v>4842</v>
      </c>
      <c r="AL59" s="10">
        <v>4437</v>
      </c>
      <c r="AM59" s="10">
        <v>4274</v>
      </c>
      <c r="AN59" s="10">
        <v>4167</v>
      </c>
      <c r="AO59" s="10">
        <v>701</v>
      </c>
      <c r="AP59" s="10">
        <v>5956</v>
      </c>
      <c r="AQ59" s="10">
        <v>4889</v>
      </c>
      <c r="AR59" s="10">
        <v>3971</v>
      </c>
      <c r="AS59" s="10">
        <v>3996</v>
      </c>
      <c r="AT59" s="10">
        <v>8018</v>
      </c>
      <c r="AU59" s="10">
        <v>5944</v>
      </c>
      <c r="AV59" s="11"/>
      <c r="AW59" s="10">
        <v>16479</v>
      </c>
      <c r="AX59" s="10">
        <v>11175</v>
      </c>
      <c r="AY59" s="10">
        <v>6021</v>
      </c>
      <c r="AZ59" s="10">
        <v>4534</v>
      </c>
      <c r="BA59" s="10">
        <v>1621</v>
      </c>
      <c r="BB59" s="11"/>
      <c r="BC59" s="11"/>
      <c r="BD59" s="11"/>
      <c r="BE59" s="11"/>
      <c r="BF59" s="11"/>
      <c r="BG59" s="11"/>
      <c r="BH59" s="10">
        <v>48</v>
      </c>
      <c r="BI59" s="10">
        <v>768</v>
      </c>
      <c r="BJ59" s="10">
        <v>1710</v>
      </c>
      <c r="BK59" s="10">
        <v>6124</v>
      </c>
      <c r="BL59" s="10">
        <v>2309</v>
      </c>
      <c r="BM59" s="10">
        <v>279</v>
      </c>
      <c r="BN59" s="10">
        <v>5254</v>
      </c>
      <c r="BO59" s="10">
        <v>16212</v>
      </c>
      <c r="BP59" s="10">
        <v>7330</v>
      </c>
      <c r="BQ59" s="10">
        <v>13918</v>
      </c>
      <c r="BR59" s="10">
        <v>2436</v>
      </c>
      <c r="BS59" s="10">
        <v>23</v>
      </c>
      <c r="BT59" s="11"/>
      <c r="BU59" s="11"/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1"/>
      <c r="CH59" s="11"/>
      <c r="CI59" s="11"/>
      <c r="CJ59" s="11"/>
      <c r="CK59" s="11"/>
      <c r="CL59" s="10">
        <v>174</v>
      </c>
      <c r="CM59" s="10">
        <v>3537</v>
      </c>
      <c r="CN59" s="10">
        <v>2614</v>
      </c>
      <c r="CO59" s="10">
        <v>1769</v>
      </c>
      <c r="CP59" s="10">
        <v>600</v>
      </c>
      <c r="CQ59" s="10">
        <v>45</v>
      </c>
      <c r="CR59" s="10">
        <v>9</v>
      </c>
      <c r="CS59" s="10">
        <v>51</v>
      </c>
      <c r="CT59" s="10">
        <v>57</v>
      </c>
      <c r="CU59" s="10">
        <v>46</v>
      </c>
      <c r="CV59" s="10">
        <v>33</v>
      </c>
      <c r="CW59" s="10">
        <v>13</v>
      </c>
      <c r="CX59" s="11"/>
      <c r="CY59" s="11"/>
      <c r="CZ59" s="11"/>
      <c r="DA59" s="11"/>
      <c r="DB59" s="11"/>
      <c r="DC59" s="11"/>
      <c r="DD59" s="11"/>
      <c r="DE59" s="10">
        <v>1165</v>
      </c>
      <c r="DF59" s="10">
        <v>832</v>
      </c>
      <c r="DG59" s="10">
        <v>507</v>
      </c>
      <c r="DH59" s="10">
        <v>462</v>
      </c>
      <c r="DI59" s="10">
        <v>148</v>
      </c>
      <c r="DJ59" s="11"/>
      <c r="DK59" s="10">
        <v>1146</v>
      </c>
      <c r="DL59" s="10">
        <v>882</v>
      </c>
      <c r="DM59" s="10">
        <v>458</v>
      </c>
      <c r="DN59" s="10">
        <v>350</v>
      </c>
      <c r="DO59" s="10">
        <v>124</v>
      </c>
      <c r="DP59" s="11"/>
      <c r="DQ59" s="11"/>
      <c r="DR59" s="11"/>
      <c r="DS59" s="11"/>
      <c r="DT59" s="11"/>
      <c r="DU59" s="11"/>
    </row>
    <row r="60" spans="1:125" ht="20" customHeight="1">
      <c r="A60" s="8">
        <v>2018</v>
      </c>
      <c r="B60" s="9">
        <v>2018</v>
      </c>
      <c r="C60" s="10">
        <v>2018</v>
      </c>
      <c r="D60" s="11"/>
      <c r="E60" s="12" t="s">
        <v>126</v>
      </c>
      <c r="F60" s="12" t="s">
        <v>127</v>
      </c>
      <c r="G60" s="12" t="s">
        <v>192</v>
      </c>
      <c r="H60" s="12" t="s">
        <v>193</v>
      </c>
      <c r="I60" s="12" t="s">
        <v>192</v>
      </c>
      <c r="J60" s="12" t="s">
        <v>194</v>
      </c>
      <c r="K60" s="11"/>
      <c r="L60" s="10">
        <v>17</v>
      </c>
      <c r="M60" s="10">
        <v>109</v>
      </c>
      <c r="N60" s="10">
        <v>266</v>
      </c>
      <c r="O60" s="10">
        <v>160</v>
      </c>
      <c r="P60" s="10">
        <v>315</v>
      </c>
      <c r="Q60" s="11"/>
      <c r="R60" s="10">
        <v>11</v>
      </c>
      <c r="S60" s="10">
        <v>626</v>
      </c>
      <c r="T60" s="10">
        <v>1546</v>
      </c>
      <c r="U60" s="10">
        <v>640</v>
      </c>
      <c r="V60" s="10">
        <v>94</v>
      </c>
      <c r="W60" s="11"/>
      <c r="X60" s="10">
        <v>83</v>
      </c>
      <c r="Y60" s="10">
        <v>81</v>
      </c>
      <c r="Z60" s="10">
        <v>532</v>
      </c>
      <c r="AA60" s="10">
        <v>185</v>
      </c>
      <c r="AB60" s="10">
        <v>232</v>
      </c>
      <c r="AC60" s="11"/>
      <c r="AD60" s="11"/>
      <c r="AE60" s="10">
        <v>1</v>
      </c>
      <c r="AF60" s="10">
        <v>1</v>
      </c>
      <c r="AG60" s="10">
        <v>3</v>
      </c>
      <c r="AH60" s="10">
        <v>7</v>
      </c>
      <c r="AI60" s="11"/>
      <c r="AJ60" s="11"/>
      <c r="AK60" s="11"/>
      <c r="AL60" s="11"/>
      <c r="AM60" s="11"/>
      <c r="AN60" s="11"/>
      <c r="AO60" s="11"/>
      <c r="AP60" s="10">
        <v>17</v>
      </c>
      <c r="AQ60" s="10">
        <v>79</v>
      </c>
      <c r="AR60" s="10">
        <v>113</v>
      </c>
      <c r="AS60" s="10">
        <v>48</v>
      </c>
      <c r="AT60" s="10">
        <v>90</v>
      </c>
      <c r="AU60" s="11"/>
      <c r="AV60" s="11"/>
      <c r="AW60" s="10">
        <v>30</v>
      </c>
      <c r="AX60" s="10">
        <v>153</v>
      </c>
      <c r="AY60" s="10">
        <v>112</v>
      </c>
      <c r="AZ60" s="10">
        <v>225</v>
      </c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0">
        <v>11</v>
      </c>
      <c r="BO60" s="10">
        <v>626</v>
      </c>
      <c r="BP60" s="10">
        <v>1546</v>
      </c>
      <c r="BQ60" s="10">
        <v>640</v>
      </c>
      <c r="BR60" s="10">
        <v>94</v>
      </c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0">
        <v>83</v>
      </c>
      <c r="CM60" s="10">
        <v>81</v>
      </c>
      <c r="CN60" s="10">
        <v>532</v>
      </c>
      <c r="CO60" s="10">
        <v>185</v>
      </c>
      <c r="CP60" s="10">
        <v>232</v>
      </c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0">
        <v>6</v>
      </c>
      <c r="DF60" s="10">
        <v>26</v>
      </c>
      <c r="DG60" s="10">
        <v>20</v>
      </c>
      <c r="DH60" s="10">
        <v>24</v>
      </c>
      <c r="DI60" s="11"/>
      <c r="DJ60" s="11"/>
      <c r="DK60" s="10">
        <v>4</v>
      </c>
      <c r="DL60" s="10">
        <v>21</v>
      </c>
      <c r="DM60" s="10">
        <v>10</v>
      </c>
      <c r="DN60" s="10">
        <v>11</v>
      </c>
      <c r="DO60" s="11"/>
      <c r="DP60" s="11"/>
      <c r="DQ60" s="11"/>
      <c r="DR60" s="11"/>
      <c r="DS60" s="11"/>
      <c r="DT60" s="11"/>
      <c r="DU60" s="11"/>
    </row>
    <row r="61" spans="1:125" ht="20" customHeight="1">
      <c r="A61" s="8">
        <v>2018</v>
      </c>
      <c r="B61" s="9">
        <v>2018</v>
      </c>
      <c r="C61" s="10">
        <v>2018</v>
      </c>
      <c r="D61" s="11"/>
      <c r="E61" s="12" t="s">
        <v>126</v>
      </c>
      <c r="F61" s="12" t="s">
        <v>127</v>
      </c>
      <c r="G61" s="12" t="s">
        <v>141</v>
      </c>
      <c r="H61" s="12" t="s">
        <v>142</v>
      </c>
      <c r="I61" s="12" t="s">
        <v>141</v>
      </c>
      <c r="J61" s="12" t="s">
        <v>143</v>
      </c>
      <c r="K61" s="11"/>
      <c r="L61" s="10">
        <v>17</v>
      </c>
      <c r="M61" s="10">
        <v>450</v>
      </c>
      <c r="N61" s="10">
        <v>271</v>
      </c>
      <c r="O61" s="10">
        <v>115</v>
      </c>
      <c r="P61" s="10">
        <v>57</v>
      </c>
      <c r="Q61" s="10">
        <v>15</v>
      </c>
      <c r="R61" s="10">
        <v>457</v>
      </c>
      <c r="S61" s="10">
        <v>3539</v>
      </c>
      <c r="T61" s="10">
        <v>1986</v>
      </c>
      <c r="U61" s="10">
        <v>1132</v>
      </c>
      <c r="V61" s="10">
        <v>523</v>
      </c>
      <c r="W61" s="10">
        <v>8</v>
      </c>
      <c r="X61" s="11"/>
      <c r="Y61" s="11"/>
      <c r="Z61" s="11"/>
      <c r="AA61" s="11"/>
      <c r="AB61" s="11"/>
      <c r="AC61" s="11"/>
      <c r="AD61" s="11"/>
      <c r="AE61" s="10">
        <v>76</v>
      </c>
      <c r="AF61" s="10">
        <v>17</v>
      </c>
      <c r="AG61" s="10">
        <v>3</v>
      </c>
      <c r="AH61" s="11"/>
      <c r="AI61" s="11"/>
      <c r="AJ61" s="10">
        <v>6</v>
      </c>
      <c r="AK61" s="10">
        <v>46</v>
      </c>
      <c r="AL61" s="10">
        <v>40</v>
      </c>
      <c r="AM61" s="10">
        <v>45</v>
      </c>
      <c r="AN61" s="10">
        <v>19</v>
      </c>
      <c r="AO61" s="11"/>
      <c r="AP61" s="10">
        <v>17</v>
      </c>
      <c r="AQ61" s="10">
        <v>438</v>
      </c>
      <c r="AR61" s="10">
        <v>232</v>
      </c>
      <c r="AS61" s="10">
        <v>84</v>
      </c>
      <c r="AT61" s="10">
        <v>31</v>
      </c>
      <c r="AU61" s="10">
        <v>5</v>
      </c>
      <c r="AV61" s="11"/>
      <c r="AW61" s="10">
        <v>12</v>
      </c>
      <c r="AX61" s="10">
        <v>39</v>
      </c>
      <c r="AY61" s="10">
        <v>31</v>
      </c>
      <c r="AZ61" s="10">
        <v>26</v>
      </c>
      <c r="BA61" s="10">
        <v>10</v>
      </c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0">
        <v>457</v>
      </c>
      <c r="BO61" s="10">
        <v>3539</v>
      </c>
      <c r="BP61" s="10">
        <v>1986</v>
      </c>
      <c r="BQ61" s="10">
        <v>1132</v>
      </c>
      <c r="BR61" s="10">
        <v>523</v>
      </c>
      <c r="BS61" s="10">
        <v>8</v>
      </c>
      <c r="BT61" s="11"/>
      <c r="BU61" s="11"/>
      <c r="BV61" s="11"/>
      <c r="BW61" s="11"/>
      <c r="BX61" s="11"/>
      <c r="BY61" s="11"/>
      <c r="BZ61" s="11"/>
      <c r="CA61" s="11"/>
      <c r="CB61" s="11"/>
      <c r="CC61" s="11"/>
      <c r="CD61" s="11"/>
      <c r="CE61" s="11"/>
      <c r="CF61" s="11"/>
      <c r="CG61" s="11"/>
      <c r="CH61" s="11"/>
      <c r="CI61" s="11"/>
      <c r="CJ61" s="11"/>
      <c r="CK61" s="11"/>
      <c r="CL61" s="11"/>
      <c r="CM61" s="11"/>
      <c r="CN61" s="11"/>
      <c r="CO61" s="11"/>
      <c r="CP61" s="11"/>
      <c r="CQ61" s="11"/>
      <c r="CR61" s="11"/>
      <c r="CS61" s="11"/>
      <c r="CT61" s="11"/>
      <c r="CU61" s="11"/>
      <c r="CV61" s="11"/>
      <c r="CW61" s="11"/>
      <c r="CX61" s="11"/>
      <c r="CY61" s="11"/>
      <c r="CZ61" s="11"/>
      <c r="DA61" s="11"/>
      <c r="DB61" s="11"/>
      <c r="DC61" s="11"/>
      <c r="DD61" s="11"/>
      <c r="DE61" s="11"/>
      <c r="DF61" s="11"/>
      <c r="DG61" s="11"/>
      <c r="DH61" s="11"/>
      <c r="DI61" s="11"/>
      <c r="DJ61" s="11"/>
      <c r="DK61" s="11"/>
      <c r="DL61" s="11"/>
      <c r="DM61" s="11"/>
      <c r="DN61" s="11"/>
      <c r="DO61" s="11"/>
      <c r="DP61" s="11"/>
      <c r="DQ61" s="11"/>
      <c r="DR61" s="11"/>
      <c r="DS61" s="11"/>
      <c r="DT61" s="11"/>
      <c r="DU61" s="11"/>
    </row>
    <row r="62" spans="1:125" ht="20" customHeight="1">
      <c r="A62" s="8">
        <v>2018</v>
      </c>
      <c r="B62" s="9">
        <v>2018</v>
      </c>
      <c r="C62" s="10">
        <v>2018</v>
      </c>
      <c r="D62" s="11"/>
      <c r="E62" s="12" t="s">
        <v>126</v>
      </c>
      <c r="F62" s="12" t="s">
        <v>127</v>
      </c>
      <c r="G62" s="12" t="s">
        <v>144</v>
      </c>
      <c r="H62" s="12" t="s">
        <v>145</v>
      </c>
      <c r="I62" s="12" t="s">
        <v>144</v>
      </c>
      <c r="J62" s="12" t="s">
        <v>146</v>
      </c>
      <c r="K62" s="11"/>
      <c r="L62" s="11"/>
      <c r="M62" s="11"/>
      <c r="N62" s="11"/>
      <c r="O62" s="11"/>
      <c r="P62" s="11"/>
      <c r="Q62" s="11"/>
      <c r="R62" s="10">
        <v>2</v>
      </c>
      <c r="S62" s="10">
        <v>161</v>
      </c>
      <c r="T62" s="10">
        <v>222</v>
      </c>
      <c r="U62" s="10">
        <v>180</v>
      </c>
      <c r="V62" s="10">
        <v>79</v>
      </c>
      <c r="W62" s="10">
        <v>3</v>
      </c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0">
        <v>2</v>
      </c>
      <c r="BU62" s="10">
        <v>161</v>
      </c>
      <c r="BV62" s="10">
        <v>222</v>
      </c>
      <c r="BW62" s="10">
        <v>180</v>
      </c>
      <c r="BX62" s="10">
        <v>79</v>
      </c>
      <c r="BY62" s="10">
        <v>3</v>
      </c>
      <c r="BZ62" s="11"/>
      <c r="CA62" s="11"/>
      <c r="CB62" s="11"/>
      <c r="CC62" s="11"/>
      <c r="CD62" s="11"/>
      <c r="CE62" s="11"/>
      <c r="CF62" s="11"/>
      <c r="CG62" s="11"/>
      <c r="CH62" s="11"/>
      <c r="CI62" s="11"/>
      <c r="CJ62" s="11"/>
      <c r="CK62" s="11"/>
      <c r="CL62" s="11"/>
      <c r="CM62" s="11"/>
      <c r="CN62" s="11"/>
      <c r="CO62" s="11"/>
      <c r="CP62" s="11"/>
      <c r="CQ62" s="11"/>
      <c r="CR62" s="11"/>
      <c r="CS62" s="11"/>
      <c r="CT62" s="11"/>
      <c r="CU62" s="11"/>
      <c r="CV62" s="11"/>
      <c r="CW62" s="11"/>
      <c r="CX62" s="11"/>
      <c r="CY62" s="11"/>
      <c r="CZ62" s="11"/>
      <c r="DA62" s="11"/>
      <c r="DB62" s="11"/>
      <c r="DC62" s="11"/>
      <c r="DD62" s="11"/>
      <c r="DE62" s="11"/>
      <c r="DF62" s="11"/>
      <c r="DG62" s="11"/>
      <c r="DH62" s="11"/>
      <c r="DI62" s="11"/>
      <c r="DJ62" s="11"/>
      <c r="DK62" s="11"/>
      <c r="DL62" s="11"/>
      <c r="DM62" s="11"/>
      <c r="DN62" s="11"/>
      <c r="DO62" s="11"/>
      <c r="DP62" s="11"/>
      <c r="DQ62" s="11"/>
      <c r="DR62" s="11"/>
      <c r="DS62" s="11"/>
      <c r="DT62" s="11"/>
      <c r="DU62" s="11"/>
    </row>
    <row r="63" spans="1:125" ht="20" customHeight="1">
      <c r="A63" s="8">
        <v>2018</v>
      </c>
      <c r="B63" s="9">
        <v>2018</v>
      </c>
      <c r="C63" s="10">
        <v>2018</v>
      </c>
      <c r="D63" s="11"/>
      <c r="E63" s="12" t="s">
        <v>126</v>
      </c>
      <c r="F63" s="12" t="s">
        <v>127</v>
      </c>
      <c r="G63" s="12" t="s">
        <v>153</v>
      </c>
      <c r="H63" s="12" t="s">
        <v>154</v>
      </c>
      <c r="I63" s="12" t="s">
        <v>153</v>
      </c>
      <c r="J63" s="12" t="s">
        <v>155</v>
      </c>
      <c r="K63" s="11"/>
      <c r="L63" s="11"/>
      <c r="M63" s="11"/>
      <c r="N63" s="11"/>
      <c r="O63" s="11"/>
      <c r="P63" s="11"/>
      <c r="Q63" s="11"/>
      <c r="R63" s="10">
        <v>129</v>
      </c>
      <c r="S63" s="10">
        <v>4368</v>
      </c>
      <c r="T63" s="10">
        <v>6875</v>
      </c>
      <c r="U63" s="10">
        <v>2683</v>
      </c>
      <c r="V63" s="10">
        <v>1108</v>
      </c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0">
        <v>107</v>
      </c>
      <c r="BI63" s="10">
        <v>1417</v>
      </c>
      <c r="BJ63" s="10">
        <v>1579</v>
      </c>
      <c r="BK63" s="10">
        <v>418</v>
      </c>
      <c r="BL63" s="10">
        <v>74</v>
      </c>
      <c r="BM63" s="11"/>
      <c r="BN63" s="10">
        <v>22</v>
      </c>
      <c r="BO63" s="10">
        <v>2951</v>
      </c>
      <c r="BP63" s="10">
        <v>5296</v>
      </c>
      <c r="BQ63" s="10">
        <v>2265</v>
      </c>
      <c r="BR63" s="10">
        <v>1034</v>
      </c>
      <c r="BS63" s="11"/>
      <c r="BT63" s="11"/>
      <c r="BU63" s="11"/>
      <c r="BV63" s="11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</row>
    <row r="64" spans="1:125" ht="20" customHeight="1">
      <c r="A64" s="8">
        <v>2018</v>
      </c>
      <c r="B64" s="9">
        <v>2018</v>
      </c>
      <c r="C64" s="10">
        <v>2018</v>
      </c>
      <c r="D64" s="11"/>
      <c r="E64" s="12" t="s">
        <v>126</v>
      </c>
      <c r="F64" s="12" t="s">
        <v>127</v>
      </c>
      <c r="G64" s="12" t="s">
        <v>156</v>
      </c>
      <c r="H64" s="12" t="s">
        <v>157</v>
      </c>
      <c r="I64" s="12" t="s">
        <v>156</v>
      </c>
      <c r="J64" s="12" t="s">
        <v>158</v>
      </c>
      <c r="K64" s="11"/>
      <c r="L64" s="10">
        <v>1</v>
      </c>
      <c r="M64" s="10">
        <v>1340</v>
      </c>
      <c r="N64" s="10">
        <v>1027</v>
      </c>
      <c r="O64" s="10">
        <v>374</v>
      </c>
      <c r="P64" s="10">
        <v>170</v>
      </c>
      <c r="Q64" s="10">
        <v>2</v>
      </c>
      <c r="R64" s="10">
        <v>183</v>
      </c>
      <c r="S64" s="10">
        <v>54029</v>
      </c>
      <c r="T64" s="10">
        <v>11697</v>
      </c>
      <c r="U64" s="10">
        <v>2522</v>
      </c>
      <c r="V64" s="10">
        <v>2657</v>
      </c>
      <c r="W64" s="11"/>
      <c r="X64" s="10">
        <v>5</v>
      </c>
      <c r="Y64" s="10">
        <v>6803</v>
      </c>
      <c r="Z64" s="10">
        <v>2383</v>
      </c>
      <c r="AA64" s="10">
        <v>559</v>
      </c>
      <c r="AB64" s="10">
        <v>739</v>
      </c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0">
        <v>1</v>
      </c>
      <c r="AQ64" s="10">
        <v>1278</v>
      </c>
      <c r="AR64" s="10">
        <v>455</v>
      </c>
      <c r="AS64" s="10">
        <v>118</v>
      </c>
      <c r="AT64" s="10">
        <v>39</v>
      </c>
      <c r="AU64" s="10">
        <v>0</v>
      </c>
      <c r="AV64" s="10">
        <v>0</v>
      </c>
      <c r="AW64" s="10">
        <v>62</v>
      </c>
      <c r="AX64" s="10">
        <v>572</v>
      </c>
      <c r="AY64" s="10">
        <v>256</v>
      </c>
      <c r="AZ64" s="10">
        <v>131</v>
      </c>
      <c r="BA64" s="10">
        <v>2</v>
      </c>
      <c r="BB64" s="11"/>
      <c r="BC64" s="11"/>
      <c r="BD64" s="11"/>
      <c r="BE64" s="11"/>
      <c r="BF64" s="11"/>
      <c r="BG64" s="11"/>
      <c r="BH64" s="10">
        <v>153</v>
      </c>
      <c r="BI64" s="10">
        <v>30961</v>
      </c>
      <c r="BJ64" s="10">
        <v>5922</v>
      </c>
      <c r="BK64" s="10">
        <v>1096</v>
      </c>
      <c r="BL64" s="10">
        <v>1239</v>
      </c>
      <c r="BM64" s="11"/>
      <c r="BN64" s="10">
        <v>30</v>
      </c>
      <c r="BO64" s="10">
        <v>23068</v>
      </c>
      <c r="BP64" s="10">
        <v>5775</v>
      </c>
      <c r="BQ64" s="10">
        <v>1426</v>
      </c>
      <c r="BR64" s="10">
        <v>1418</v>
      </c>
      <c r="BS64" s="11"/>
      <c r="BT64" s="11"/>
      <c r="BU64" s="11"/>
      <c r="BV64" s="11"/>
      <c r="BW64" s="11"/>
      <c r="BX64" s="11"/>
      <c r="BY64" s="11"/>
      <c r="BZ64" s="11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0">
        <v>5</v>
      </c>
      <c r="CM64" s="10">
        <v>6803</v>
      </c>
      <c r="CN64" s="10">
        <v>2383</v>
      </c>
      <c r="CO64" s="10">
        <v>559</v>
      </c>
      <c r="CP64" s="10">
        <v>739</v>
      </c>
      <c r="CQ64" s="10">
        <v>0</v>
      </c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</row>
    <row r="65" spans="1:125" ht="20" customHeight="1">
      <c r="A65" s="8">
        <v>2018</v>
      </c>
      <c r="B65" s="9">
        <v>2018</v>
      </c>
      <c r="C65" s="10">
        <v>2018</v>
      </c>
      <c r="D65" s="11"/>
      <c r="E65" s="12" t="s">
        <v>126</v>
      </c>
      <c r="F65" s="12" t="s">
        <v>127</v>
      </c>
      <c r="G65" s="12" t="s">
        <v>162</v>
      </c>
      <c r="H65" s="12" t="s">
        <v>163</v>
      </c>
      <c r="I65" s="12" t="s">
        <v>162</v>
      </c>
      <c r="J65" s="12" t="s">
        <v>164</v>
      </c>
      <c r="K65" s="11"/>
      <c r="L65" s="11"/>
      <c r="M65" s="11"/>
      <c r="N65" s="11"/>
      <c r="O65" s="11"/>
      <c r="P65" s="11"/>
      <c r="Q65" s="11"/>
      <c r="R65" s="10">
        <v>3319</v>
      </c>
      <c r="S65" s="10">
        <v>26974</v>
      </c>
      <c r="T65" s="10">
        <v>19439</v>
      </c>
      <c r="U65" s="10">
        <v>20873</v>
      </c>
      <c r="V65" s="10">
        <v>15224</v>
      </c>
      <c r="W65" s="10">
        <v>8595</v>
      </c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0">
        <v>429</v>
      </c>
      <c r="BI65" s="10">
        <v>2207</v>
      </c>
      <c r="BJ65" s="10">
        <v>5682</v>
      </c>
      <c r="BK65" s="10">
        <v>10997</v>
      </c>
      <c r="BL65" s="10">
        <v>10335</v>
      </c>
      <c r="BM65" s="10">
        <v>6237</v>
      </c>
      <c r="BN65" s="10">
        <v>2890</v>
      </c>
      <c r="BO65" s="10">
        <v>24767</v>
      </c>
      <c r="BP65" s="10">
        <v>13757</v>
      </c>
      <c r="BQ65" s="10">
        <v>9876</v>
      </c>
      <c r="BR65" s="10">
        <v>4889</v>
      </c>
      <c r="BS65" s="10">
        <v>2358</v>
      </c>
      <c r="BT65" s="11"/>
      <c r="BU65" s="11"/>
      <c r="BV65" s="11"/>
      <c r="BW65" s="11"/>
      <c r="BX65" s="11"/>
      <c r="BY65" s="11"/>
      <c r="BZ65" s="11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</row>
    <row r="66" spans="1:125" ht="20" customHeight="1">
      <c r="A66" s="8">
        <v>2018</v>
      </c>
      <c r="B66" s="9">
        <v>2018</v>
      </c>
      <c r="C66" s="10">
        <v>2018</v>
      </c>
      <c r="D66" s="11"/>
      <c r="E66" s="12" t="s">
        <v>126</v>
      </c>
      <c r="F66" s="12" t="s">
        <v>127</v>
      </c>
      <c r="G66" s="12" t="s">
        <v>204</v>
      </c>
      <c r="H66" s="12" t="s">
        <v>205</v>
      </c>
      <c r="I66" s="12" t="s">
        <v>204</v>
      </c>
      <c r="J66" s="12" t="s">
        <v>206</v>
      </c>
      <c r="K66" s="11"/>
      <c r="L66" s="11"/>
      <c r="M66" s="11"/>
      <c r="N66" s="11"/>
      <c r="O66" s="11"/>
      <c r="P66" s="11"/>
      <c r="Q66" s="11"/>
      <c r="R66" s="11"/>
      <c r="S66" s="10">
        <v>595</v>
      </c>
      <c r="T66" s="10">
        <v>1671</v>
      </c>
      <c r="U66" s="10">
        <v>353</v>
      </c>
      <c r="V66" s="10">
        <v>841</v>
      </c>
      <c r="W66" s="11"/>
      <c r="X66" s="10">
        <v>746</v>
      </c>
      <c r="Y66" s="10">
        <v>2405</v>
      </c>
      <c r="Z66" s="10">
        <v>504</v>
      </c>
      <c r="AA66" s="10">
        <v>101</v>
      </c>
      <c r="AB66" s="10">
        <v>126</v>
      </c>
      <c r="AC66" s="10">
        <v>51</v>
      </c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0">
        <v>595</v>
      </c>
      <c r="BP66" s="10">
        <v>1671</v>
      </c>
      <c r="BQ66" s="10">
        <v>353</v>
      </c>
      <c r="BR66" s="10">
        <v>841</v>
      </c>
      <c r="BS66" s="11"/>
      <c r="BT66" s="11"/>
      <c r="BU66" s="11"/>
      <c r="BV66" s="11"/>
      <c r="BW66" s="11"/>
      <c r="BX66" s="11"/>
      <c r="BY66" s="11"/>
      <c r="BZ66" s="11"/>
      <c r="CA66" s="11"/>
      <c r="CB66" s="11"/>
      <c r="CC66" s="11"/>
      <c r="CD66" s="11"/>
      <c r="CE66" s="11"/>
      <c r="CF66" s="11"/>
      <c r="CG66" s="11"/>
      <c r="CH66" s="11"/>
      <c r="CI66" s="11"/>
      <c r="CJ66" s="11"/>
      <c r="CK66" s="11"/>
      <c r="CL66" s="10">
        <v>746</v>
      </c>
      <c r="CM66" s="10">
        <v>2405</v>
      </c>
      <c r="CN66" s="10">
        <v>504</v>
      </c>
      <c r="CO66" s="10">
        <v>101</v>
      </c>
      <c r="CP66" s="10">
        <v>126</v>
      </c>
      <c r="CQ66" s="10">
        <v>51</v>
      </c>
      <c r="CR66" s="11"/>
      <c r="CS66" s="11"/>
      <c r="CT66" s="11"/>
      <c r="CU66" s="11"/>
      <c r="CV66" s="11"/>
      <c r="CW66" s="11"/>
      <c r="CX66" s="11"/>
      <c r="CY66" s="11"/>
      <c r="CZ66" s="11"/>
      <c r="DA66" s="11"/>
      <c r="DB66" s="11"/>
      <c r="DC66" s="11"/>
      <c r="DD66" s="11"/>
      <c r="DE66" s="11"/>
      <c r="DF66" s="11"/>
      <c r="DG66" s="11"/>
      <c r="DH66" s="11"/>
      <c r="DI66" s="11"/>
      <c r="DJ66" s="11"/>
      <c r="DK66" s="11"/>
      <c r="DL66" s="11"/>
      <c r="DM66" s="11"/>
      <c r="DN66" s="11"/>
      <c r="DO66" s="11"/>
      <c r="DP66" s="11"/>
      <c r="DQ66" s="11"/>
      <c r="DR66" s="11"/>
      <c r="DS66" s="11"/>
      <c r="DT66" s="11"/>
      <c r="DU66" s="11"/>
    </row>
    <row r="67" spans="1:125" ht="20" customHeight="1">
      <c r="A67" s="8">
        <v>2018</v>
      </c>
      <c r="B67" s="9">
        <v>2018</v>
      </c>
      <c r="C67" s="10">
        <v>2018</v>
      </c>
      <c r="D67" s="11"/>
      <c r="E67" s="12" t="s">
        <v>126</v>
      </c>
      <c r="F67" s="12" t="s">
        <v>127</v>
      </c>
      <c r="G67" s="12" t="s">
        <v>165</v>
      </c>
      <c r="H67" s="12" t="s">
        <v>166</v>
      </c>
      <c r="I67" s="12" t="s">
        <v>165</v>
      </c>
      <c r="J67" s="12" t="s">
        <v>167</v>
      </c>
      <c r="K67" s="11"/>
      <c r="L67" s="11"/>
      <c r="M67" s="11"/>
      <c r="N67" s="11"/>
      <c r="O67" s="11"/>
      <c r="P67" s="11"/>
      <c r="Q67" s="11"/>
      <c r="R67" s="10">
        <v>437</v>
      </c>
      <c r="S67" s="10">
        <v>3253</v>
      </c>
      <c r="T67" s="10">
        <v>1679</v>
      </c>
      <c r="U67" s="10">
        <v>917</v>
      </c>
      <c r="V67" s="10">
        <v>356</v>
      </c>
      <c r="W67" s="10">
        <v>6</v>
      </c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0">
        <v>198</v>
      </c>
      <c r="BI67" s="10">
        <v>2366</v>
      </c>
      <c r="BJ67" s="10">
        <v>1280</v>
      </c>
      <c r="BK67" s="10">
        <v>624</v>
      </c>
      <c r="BL67" s="10">
        <v>258</v>
      </c>
      <c r="BM67" s="11"/>
      <c r="BN67" s="10">
        <v>239</v>
      </c>
      <c r="BO67" s="10">
        <v>887</v>
      </c>
      <c r="BP67" s="10">
        <v>399</v>
      </c>
      <c r="BQ67" s="10">
        <v>293</v>
      </c>
      <c r="BR67" s="10">
        <v>98</v>
      </c>
      <c r="BS67" s="10">
        <v>6</v>
      </c>
      <c r="BT67" s="11"/>
      <c r="BU67" s="11"/>
      <c r="BV67" s="11"/>
      <c r="BW67" s="11"/>
      <c r="BX67" s="11"/>
      <c r="BY67" s="11"/>
      <c r="BZ67" s="10">
        <v>198</v>
      </c>
      <c r="CA67" s="10">
        <v>2366</v>
      </c>
      <c r="CB67" s="11"/>
      <c r="CC67" s="11"/>
      <c r="CD67" s="11"/>
      <c r="CE67" s="11"/>
      <c r="CF67" s="11"/>
      <c r="CG67" s="11"/>
      <c r="CH67" s="11"/>
      <c r="CI67" s="11"/>
      <c r="CJ67" s="11"/>
      <c r="CK67" s="11"/>
      <c r="CL67" s="11"/>
      <c r="CM67" s="11"/>
      <c r="CN67" s="11"/>
      <c r="CO67" s="11"/>
      <c r="CP67" s="11"/>
      <c r="CQ67" s="11"/>
      <c r="CR67" s="11"/>
      <c r="CS67" s="11"/>
      <c r="CT67" s="11"/>
      <c r="CU67" s="11"/>
      <c r="CV67" s="11"/>
      <c r="CW67" s="11"/>
      <c r="CX67" s="11"/>
      <c r="CY67" s="11"/>
      <c r="CZ67" s="11"/>
      <c r="DA67" s="11"/>
      <c r="DB67" s="11"/>
      <c r="DC67" s="11"/>
      <c r="DD67" s="11"/>
      <c r="DE67" s="11"/>
      <c r="DF67" s="11"/>
      <c r="DG67" s="11"/>
      <c r="DH67" s="11"/>
      <c r="DI67" s="11"/>
      <c r="DJ67" s="11"/>
      <c r="DK67" s="11"/>
      <c r="DL67" s="11"/>
      <c r="DM67" s="11"/>
      <c r="DN67" s="11"/>
      <c r="DO67" s="11"/>
      <c r="DP67" s="11"/>
      <c r="DQ67" s="11"/>
      <c r="DR67" s="11"/>
      <c r="DS67" s="11"/>
      <c r="DT67" s="11"/>
      <c r="DU67" s="11"/>
    </row>
    <row r="68" spans="1:125" ht="20" customHeight="1">
      <c r="A68" s="8">
        <v>2018</v>
      </c>
      <c r="B68" s="9">
        <v>2018</v>
      </c>
      <c r="C68" s="10">
        <v>2018</v>
      </c>
      <c r="D68" s="11"/>
      <c r="E68" s="12" t="s">
        <v>126</v>
      </c>
      <c r="F68" s="12" t="s">
        <v>127</v>
      </c>
      <c r="G68" s="12" t="s">
        <v>168</v>
      </c>
      <c r="H68" s="12" t="s">
        <v>169</v>
      </c>
      <c r="I68" s="12" t="s">
        <v>168</v>
      </c>
      <c r="J68" s="12" t="s">
        <v>170</v>
      </c>
      <c r="K68" s="11"/>
      <c r="L68" s="11"/>
      <c r="M68" s="11"/>
      <c r="N68" s="11"/>
      <c r="O68" s="11"/>
      <c r="P68" s="11"/>
      <c r="Q68" s="11"/>
      <c r="R68" s="10">
        <v>1150</v>
      </c>
      <c r="S68" s="10">
        <v>7130</v>
      </c>
      <c r="T68" s="10">
        <v>3284</v>
      </c>
      <c r="U68" s="10">
        <v>1701</v>
      </c>
      <c r="V68" s="10">
        <v>778</v>
      </c>
      <c r="W68" s="10">
        <v>131</v>
      </c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0">
        <v>1127</v>
      </c>
      <c r="BI68" s="10">
        <v>6789</v>
      </c>
      <c r="BJ68" s="10">
        <v>2873</v>
      </c>
      <c r="BK68" s="10">
        <v>1471</v>
      </c>
      <c r="BL68" s="10">
        <v>738</v>
      </c>
      <c r="BM68" s="10">
        <v>131</v>
      </c>
      <c r="BN68" s="10">
        <v>23</v>
      </c>
      <c r="BO68" s="10">
        <v>341</v>
      </c>
      <c r="BP68" s="10">
        <v>411</v>
      </c>
      <c r="BQ68" s="10">
        <v>230</v>
      </c>
      <c r="BR68" s="10">
        <v>40</v>
      </c>
      <c r="BS68" s="11"/>
      <c r="BT68" s="11"/>
      <c r="BU68" s="11"/>
      <c r="BV68" s="11"/>
      <c r="BW68" s="11"/>
      <c r="BX68" s="11"/>
      <c r="BY68" s="11"/>
      <c r="BZ68" s="11"/>
      <c r="CA68" s="11"/>
      <c r="CB68" s="11"/>
      <c r="CC68" s="11"/>
      <c r="CD68" s="11"/>
      <c r="CE68" s="11"/>
      <c r="CF68" s="11"/>
      <c r="CG68" s="11"/>
      <c r="CH68" s="11"/>
      <c r="CI68" s="11"/>
      <c r="CJ68" s="11"/>
      <c r="CK68" s="11"/>
      <c r="CL68" s="11"/>
      <c r="CM68" s="11"/>
      <c r="CN68" s="11"/>
      <c r="CO68" s="11"/>
      <c r="CP68" s="11"/>
      <c r="CQ68" s="11"/>
      <c r="CR68" s="11"/>
      <c r="CS68" s="11"/>
      <c r="CT68" s="11"/>
      <c r="CU68" s="11"/>
      <c r="CV68" s="11"/>
      <c r="CW68" s="11"/>
      <c r="CX68" s="11"/>
      <c r="CY68" s="11"/>
      <c r="CZ68" s="11"/>
      <c r="DA68" s="11"/>
      <c r="DB68" s="11"/>
      <c r="DC68" s="11"/>
      <c r="DD68" s="11"/>
      <c r="DE68" s="11"/>
      <c r="DF68" s="11"/>
      <c r="DG68" s="11"/>
      <c r="DH68" s="11"/>
      <c r="DI68" s="11"/>
      <c r="DJ68" s="11"/>
      <c r="DK68" s="11"/>
      <c r="DL68" s="11"/>
      <c r="DM68" s="11"/>
      <c r="DN68" s="11"/>
      <c r="DO68" s="11"/>
      <c r="DP68" s="11"/>
      <c r="DQ68" s="11"/>
      <c r="DR68" s="11"/>
      <c r="DS68" s="11"/>
      <c r="DT68" s="11"/>
      <c r="DU68" s="11"/>
    </row>
    <row r="69" spans="1:125" ht="20" customHeight="1">
      <c r="A69" s="8">
        <v>2018</v>
      </c>
      <c r="B69" s="9">
        <v>2018</v>
      </c>
      <c r="C69" s="10">
        <v>2018</v>
      </c>
      <c r="D69" s="11"/>
      <c r="E69" s="12" t="s">
        <v>126</v>
      </c>
      <c r="F69" s="12" t="s">
        <v>127</v>
      </c>
      <c r="G69" s="12" t="s">
        <v>174</v>
      </c>
      <c r="H69" s="12" t="s">
        <v>175</v>
      </c>
      <c r="I69" s="12" t="s">
        <v>174</v>
      </c>
      <c r="J69" s="12" t="s">
        <v>176</v>
      </c>
      <c r="K69" s="11"/>
      <c r="L69" s="10">
        <v>1</v>
      </c>
      <c r="M69" s="10">
        <v>65</v>
      </c>
      <c r="N69" s="10">
        <v>47</v>
      </c>
      <c r="O69" s="10">
        <v>75</v>
      </c>
      <c r="P69" s="10">
        <v>34</v>
      </c>
      <c r="Q69" s="10">
        <v>14</v>
      </c>
      <c r="R69" s="10">
        <v>41</v>
      </c>
      <c r="S69" s="10">
        <v>255</v>
      </c>
      <c r="T69" s="10">
        <v>261</v>
      </c>
      <c r="U69" s="10">
        <v>152</v>
      </c>
      <c r="V69" s="10">
        <v>155</v>
      </c>
      <c r="W69" s="10">
        <v>87</v>
      </c>
      <c r="X69" s="10">
        <v>0</v>
      </c>
      <c r="Y69" s="10">
        <v>3</v>
      </c>
      <c r="Z69" s="10">
        <v>1</v>
      </c>
      <c r="AA69" s="10">
        <v>0</v>
      </c>
      <c r="AB69" s="10">
        <v>1</v>
      </c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0">
        <v>1</v>
      </c>
      <c r="AQ69" s="10">
        <v>55</v>
      </c>
      <c r="AR69" s="10">
        <v>16</v>
      </c>
      <c r="AS69" s="10">
        <v>28</v>
      </c>
      <c r="AT69" s="10">
        <v>16</v>
      </c>
      <c r="AU69" s="10">
        <v>6</v>
      </c>
      <c r="AV69" s="10">
        <v>0</v>
      </c>
      <c r="AW69" s="10">
        <v>10</v>
      </c>
      <c r="AX69" s="10">
        <v>31</v>
      </c>
      <c r="AY69" s="10">
        <v>47</v>
      </c>
      <c r="AZ69" s="10">
        <v>18</v>
      </c>
      <c r="BA69" s="10">
        <v>8</v>
      </c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0">
        <v>41</v>
      </c>
      <c r="BO69" s="10">
        <v>255</v>
      </c>
      <c r="BP69" s="10">
        <v>261</v>
      </c>
      <c r="BQ69" s="10">
        <v>152</v>
      </c>
      <c r="BR69" s="10">
        <v>155</v>
      </c>
      <c r="BS69" s="10">
        <v>87</v>
      </c>
      <c r="BT69" s="11"/>
      <c r="BU69" s="11"/>
      <c r="BV69" s="11"/>
      <c r="BW69" s="11"/>
      <c r="BX69" s="11"/>
      <c r="BY69" s="11"/>
      <c r="BZ69" s="11"/>
      <c r="CA69" s="11"/>
      <c r="CB69" s="11"/>
      <c r="CC69" s="11"/>
      <c r="CD69" s="11"/>
      <c r="CE69" s="11"/>
      <c r="CF69" s="10">
        <v>0</v>
      </c>
      <c r="CG69" s="10">
        <v>12</v>
      </c>
      <c r="CH69" s="10">
        <v>25</v>
      </c>
      <c r="CI69" s="10">
        <v>43</v>
      </c>
      <c r="CJ69" s="10">
        <v>176</v>
      </c>
      <c r="CK69" s="10">
        <v>65</v>
      </c>
      <c r="CL69" s="10">
        <v>0</v>
      </c>
      <c r="CM69" s="10">
        <v>3</v>
      </c>
      <c r="CN69" s="10">
        <v>1</v>
      </c>
      <c r="CO69" s="10">
        <v>0</v>
      </c>
      <c r="CP69" s="10">
        <v>1</v>
      </c>
      <c r="CQ69" s="10">
        <v>0</v>
      </c>
      <c r="CR69" s="11"/>
      <c r="CS69" s="11"/>
      <c r="CT69" s="11"/>
      <c r="CU69" s="11"/>
      <c r="CV69" s="11"/>
      <c r="CW69" s="11"/>
      <c r="CX69" s="11"/>
      <c r="CY69" s="11"/>
      <c r="CZ69" s="11"/>
      <c r="DA69" s="11"/>
      <c r="DB69" s="11"/>
      <c r="DC69" s="11"/>
      <c r="DD69" s="10">
        <v>0</v>
      </c>
      <c r="DE69" s="10">
        <v>2</v>
      </c>
      <c r="DF69" s="10">
        <v>2</v>
      </c>
      <c r="DG69" s="10">
        <v>4</v>
      </c>
      <c r="DH69" s="10">
        <v>2</v>
      </c>
      <c r="DI69" s="10">
        <v>1</v>
      </c>
      <c r="DJ69" s="10">
        <v>0</v>
      </c>
      <c r="DK69" s="10">
        <v>3</v>
      </c>
      <c r="DL69" s="10">
        <v>1</v>
      </c>
      <c r="DM69" s="10">
        <v>1</v>
      </c>
      <c r="DN69" s="10">
        <v>1</v>
      </c>
      <c r="DO69" s="11"/>
      <c r="DP69" s="11"/>
      <c r="DQ69" s="11"/>
      <c r="DR69" s="11"/>
      <c r="DS69" s="11"/>
      <c r="DT69" s="11"/>
      <c r="DU69" s="11"/>
    </row>
    <row r="70" spans="1:125" ht="20" customHeight="1">
      <c r="A70" s="8">
        <v>2018</v>
      </c>
      <c r="B70" s="9">
        <v>2018</v>
      </c>
      <c r="C70" s="10">
        <v>2018</v>
      </c>
      <c r="D70" s="11"/>
      <c r="E70" s="12" t="s">
        <v>126</v>
      </c>
      <c r="F70" s="12" t="s">
        <v>127</v>
      </c>
      <c r="G70" s="12" t="s">
        <v>195</v>
      </c>
      <c r="H70" s="12" t="s">
        <v>196</v>
      </c>
      <c r="I70" s="12" t="s">
        <v>195</v>
      </c>
      <c r="J70" s="12" t="s">
        <v>197</v>
      </c>
      <c r="K70" s="11"/>
      <c r="L70" s="11"/>
      <c r="M70" s="11"/>
      <c r="N70" s="11"/>
      <c r="O70" s="11"/>
      <c r="P70" s="11"/>
      <c r="Q70" s="11"/>
      <c r="R70" s="10">
        <v>160</v>
      </c>
      <c r="S70" s="10">
        <v>1152</v>
      </c>
      <c r="T70" s="10">
        <v>1729</v>
      </c>
      <c r="U70" s="10">
        <v>2186</v>
      </c>
      <c r="V70" s="10">
        <v>578</v>
      </c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0">
        <v>0</v>
      </c>
      <c r="BI70" s="10">
        <v>509</v>
      </c>
      <c r="BJ70" s="10">
        <v>764</v>
      </c>
      <c r="BK70" s="10">
        <v>1018</v>
      </c>
      <c r="BL70" s="10">
        <v>256</v>
      </c>
      <c r="BM70" s="10">
        <v>0</v>
      </c>
      <c r="BN70" s="10">
        <v>43</v>
      </c>
      <c r="BO70" s="10">
        <v>174</v>
      </c>
      <c r="BP70" s="10">
        <v>261</v>
      </c>
      <c r="BQ70" s="10">
        <v>230</v>
      </c>
      <c r="BR70" s="10">
        <v>87</v>
      </c>
      <c r="BS70" s="10">
        <v>0</v>
      </c>
      <c r="BT70" s="10">
        <v>117</v>
      </c>
      <c r="BU70" s="10">
        <v>469</v>
      </c>
      <c r="BV70" s="10">
        <v>704</v>
      </c>
      <c r="BW70" s="10">
        <v>938</v>
      </c>
      <c r="BX70" s="10">
        <v>235</v>
      </c>
      <c r="BY70" s="10">
        <v>0</v>
      </c>
      <c r="BZ70" s="11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</row>
    <row r="71" spans="1:125" ht="20" customHeight="1">
      <c r="A71" s="8">
        <v>2018</v>
      </c>
      <c r="B71" s="9">
        <v>2018</v>
      </c>
      <c r="C71" s="10">
        <v>2018</v>
      </c>
      <c r="D71" s="11"/>
      <c r="E71" s="12" t="s">
        <v>126</v>
      </c>
      <c r="F71" s="12" t="s">
        <v>127</v>
      </c>
      <c r="G71" s="12" t="s">
        <v>207</v>
      </c>
      <c r="H71" s="12" t="s">
        <v>208</v>
      </c>
      <c r="I71" s="12" t="s">
        <v>207</v>
      </c>
      <c r="J71" s="12" t="s">
        <v>209</v>
      </c>
      <c r="K71" s="11"/>
      <c r="L71" s="11"/>
      <c r="M71" s="11"/>
      <c r="N71" s="11"/>
      <c r="O71" s="11"/>
      <c r="P71" s="11"/>
      <c r="Q71" s="11"/>
      <c r="R71" s="10">
        <v>597</v>
      </c>
      <c r="S71" s="10">
        <v>57658</v>
      </c>
      <c r="T71" s="10">
        <v>84855</v>
      </c>
      <c r="U71" s="10">
        <v>73364</v>
      </c>
      <c r="V71" s="10">
        <v>54049</v>
      </c>
      <c r="W71" s="10">
        <v>15146</v>
      </c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0">
        <v>597</v>
      </c>
      <c r="BU71" s="10">
        <v>57658</v>
      </c>
      <c r="BV71" s="10">
        <v>84855</v>
      </c>
      <c r="BW71" s="10">
        <v>73364</v>
      </c>
      <c r="BX71" s="10">
        <v>54049</v>
      </c>
      <c r="BY71" s="10">
        <v>15146</v>
      </c>
      <c r="BZ71" s="11"/>
      <c r="CA71" s="11"/>
      <c r="CB71" s="11"/>
      <c r="CC71" s="11"/>
      <c r="CD71" s="11"/>
      <c r="CE71" s="11"/>
      <c r="CF71" s="11"/>
      <c r="CG71" s="11"/>
      <c r="CH71" s="11"/>
      <c r="CI71" s="11"/>
      <c r="CJ71" s="11"/>
      <c r="CK71" s="11"/>
      <c r="CL71" s="11"/>
      <c r="CM71" s="11"/>
      <c r="CN71" s="11"/>
      <c r="CO71" s="11"/>
      <c r="CP71" s="11"/>
      <c r="CQ71" s="11"/>
      <c r="CR71" s="11"/>
      <c r="CS71" s="11"/>
      <c r="CT71" s="11"/>
      <c r="CU71" s="11"/>
      <c r="CV71" s="11"/>
      <c r="CW71" s="11"/>
      <c r="CX71" s="11"/>
      <c r="CY71" s="11"/>
      <c r="CZ71" s="11"/>
      <c r="DA71" s="11"/>
      <c r="DB71" s="11"/>
      <c r="DC71" s="11"/>
      <c r="DD71" s="11"/>
      <c r="DE71" s="11"/>
      <c r="DF71" s="11"/>
      <c r="DG71" s="11"/>
      <c r="DH71" s="11"/>
      <c r="DI71" s="11"/>
      <c r="DJ71" s="11"/>
      <c r="DK71" s="11"/>
      <c r="DL71" s="11"/>
      <c r="DM71" s="11"/>
      <c r="DN71" s="11"/>
      <c r="DO71" s="11"/>
      <c r="DP71" s="11"/>
      <c r="DQ71" s="11"/>
      <c r="DR71" s="11"/>
      <c r="DS71" s="11"/>
      <c r="DT71" s="11"/>
      <c r="DU71" s="11"/>
    </row>
    <row r="72" spans="1:125" ht="20" customHeight="1">
      <c r="A72" s="8">
        <v>2018</v>
      </c>
      <c r="B72" s="9">
        <v>2018</v>
      </c>
      <c r="C72" s="10">
        <v>2018</v>
      </c>
      <c r="D72" s="11"/>
      <c r="E72" s="12" t="s">
        <v>126</v>
      </c>
      <c r="F72" s="12" t="s">
        <v>127</v>
      </c>
      <c r="G72" s="12" t="s">
        <v>210</v>
      </c>
      <c r="H72" s="12" t="s">
        <v>211</v>
      </c>
      <c r="I72" s="12" t="s">
        <v>210</v>
      </c>
      <c r="J72" s="12" t="s">
        <v>212</v>
      </c>
      <c r="K72" s="11"/>
      <c r="L72" s="11"/>
      <c r="M72" s="11"/>
      <c r="N72" s="11"/>
      <c r="O72" s="11"/>
      <c r="P72" s="11"/>
      <c r="Q72" s="11"/>
      <c r="R72" s="10">
        <v>9938</v>
      </c>
      <c r="S72" s="10">
        <v>895</v>
      </c>
      <c r="T72" s="10">
        <v>139</v>
      </c>
      <c r="U72" s="10">
        <v>102</v>
      </c>
      <c r="V72" s="10">
        <v>100</v>
      </c>
      <c r="W72" s="10">
        <v>48</v>
      </c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0">
        <v>9938</v>
      </c>
      <c r="BU72" s="10">
        <v>895</v>
      </c>
      <c r="BV72" s="10">
        <v>139</v>
      </c>
      <c r="BW72" s="10">
        <v>102</v>
      </c>
      <c r="BX72" s="10">
        <v>100</v>
      </c>
      <c r="BY72" s="10">
        <v>48</v>
      </c>
      <c r="BZ72" s="11"/>
      <c r="CA72" s="11"/>
      <c r="CB72" s="11"/>
      <c r="CC72" s="11"/>
      <c r="CD72" s="11"/>
      <c r="CE72" s="11"/>
      <c r="CF72" s="11"/>
      <c r="CG72" s="11"/>
      <c r="CH72" s="11"/>
      <c r="CI72" s="11"/>
      <c r="CJ72" s="11"/>
      <c r="CK72" s="11"/>
      <c r="CL72" s="11"/>
      <c r="CM72" s="11"/>
      <c r="CN72" s="11"/>
      <c r="CO72" s="11"/>
      <c r="CP72" s="11"/>
      <c r="CQ72" s="11"/>
      <c r="CR72" s="11"/>
      <c r="CS72" s="11"/>
      <c r="CT72" s="11"/>
      <c r="CU72" s="11"/>
      <c r="CV72" s="11"/>
      <c r="CW72" s="11"/>
      <c r="CX72" s="11"/>
      <c r="CY72" s="11"/>
      <c r="CZ72" s="11"/>
      <c r="DA72" s="11"/>
      <c r="DB72" s="11"/>
      <c r="DC72" s="11"/>
      <c r="DD72" s="11"/>
      <c r="DE72" s="11"/>
      <c r="DF72" s="11"/>
      <c r="DG72" s="11"/>
      <c r="DH72" s="11"/>
      <c r="DI72" s="11"/>
      <c r="DJ72" s="11"/>
      <c r="DK72" s="11"/>
      <c r="DL72" s="11"/>
      <c r="DM72" s="11"/>
      <c r="DN72" s="11"/>
      <c r="DO72" s="11"/>
      <c r="DP72" s="11"/>
      <c r="DQ72" s="11"/>
      <c r="DR72" s="11"/>
      <c r="DS72" s="11"/>
      <c r="DT72" s="11"/>
      <c r="DU72" s="11"/>
    </row>
    <row r="73" spans="1:125" ht="20" customHeight="1">
      <c r="A73" s="8">
        <v>2018</v>
      </c>
      <c r="B73" s="9">
        <v>2018</v>
      </c>
      <c r="C73" s="10">
        <v>2018</v>
      </c>
      <c r="D73" s="11"/>
      <c r="E73" s="12" t="s">
        <v>126</v>
      </c>
      <c r="F73" s="12" t="s">
        <v>127</v>
      </c>
      <c r="G73" s="12" t="s">
        <v>180</v>
      </c>
      <c r="H73" s="12" t="s">
        <v>181</v>
      </c>
      <c r="I73" s="12" t="s">
        <v>180</v>
      </c>
      <c r="J73" s="12" t="s">
        <v>182</v>
      </c>
      <c r="K73" s="11"/>
      <c r="L73" s="10">
        <v>966</v>
      </c>
      <c r="M73" s="10">
        <v>7036</v>
      </c>
      <c r="N73" s="10">
        <v>2868</v>
      </c>
      <c r="O73" s="10">
        <v>1920</v>
      </c>
      <c r="P73" s="10">
        <v>717</v>
      </c>
      <c r="Q73" s="10">
        <v>103</v>
      </c>
      <c r="R73" s="10">
        <v>356</v>
      </c>
      <c r="S73" s="10">
        <v>2679</v>
      </c>
      <c r="T73" s="10">
        <v>1243</v>
      </c>
      <c r="U73" s="10">
        <v>1049</v>
      </c>
      <c r="V73" s="10">
        <v>578</v>
      </c>
      <c r="W73" s="10">
        <v>97</v>
      </c>
      <c r="X73" s="10">
        <v>79</v>
      </c>
      <c r="Y73" s="10">
        <v>1</v>
      </c>
      <c r="Z73" s="10">
        <v>314</v>
      </c>
      <c r="AA73" s="10">
        <v>86</v>
      </c>
      <c r="AB73" s="10">
        <v>7</v>
      </c>
      <c r="AC73" s="10">
        <v>1</v>
      </c>
      <c r="AD73" s="11"/>
      <c r="AE73" s="10">
        <v>7</v>
      </c>
      <c r="AF73" s="10">
        <v>5</v>
      </c>
      <c r="AG73" s="10">
        <v>3</v>
      </c>
      <c r="AH73" s="10">
        <v>5</v>
      </c>
      <c r="AI73" s="11"/>
      <c r="AJ73" s="10">
        <v>150</v>
      </c>
      <c r="AK73" s="11"/>
      <c r="AL73" s="10">
        <v>579</v>
      </c>
      <c r="AM73" s="10">
        <v>34</v>
      </c>
      <c r="AN73" s="10">
        <v>7</v>
      </c>
      <c r="AO73" s="10">
        <v>1</v>
      </c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0">
        <v>966</v>
      </c>
      <c r="BC73" s="10">
        <v>7036</v>
      </c>
      <c r="BD73" s="10">
        <v>2868</v>
      </c>
      <c r="BE73" s="10">
        <v>1920</v>
      </c>
      <c r="BF73" s="10">
        <v>717</v>
      </c>
      <c r="BG73" s="10">
        <v>103</v>
      </c>
      <c r="BH73" s="10">
        <v>42</v>
      </c>
      <c r="BI73" s="10">
        <v>341</v>
      </c>
      <c r="BJ73" s="10">
        <v>174</v>
      </c>
      <c r="BK73" s="10">
        <v>127</v>
      </c>
      <c r="BL73" s="10">
        <v>24</v>
      </c>
      <c r="BM73" s="10">
        <v>2</v>
      </c>
      <c r="BN73" s="10">
        <v>313</v>
      </c>
      <c r="BO73" s="10">
        <v>2325</v>
      </c>
      <c r="BP73" s="10">
        <v>1052</v>
      </c>
      <c r="BQ73" s="10">
        <v>916</v>
      </c>
      <c r="BR73" s="10">
        <v>552</v>
      </c>
      <c r="BS73" s="10">
        <v>92</v>
      </c>
      <c r="BT73" s="10">
        <v>1</v>
      </c>
      <c r="BU73" s="10">
        <v>13</v>
      </c>
      <c r="BV73" s="10">
        <v>17</v>
      </c>
      <c r="BW73" s="10">
        <v>6</v>
      </c>
      <c r="BX73" s="10">
        <v>2</v>
      </c>
      <c r="BY73" s="10">
        <v>3</v>
      </c>
      <c r="BZ73" s="10">
        <v>75</v>
      </c>
      <c r="CA73" s="10">
        <v>434</v>
      </c>
      <c r="CB73" s="10">
        <v>124</v>
      </c>
      <c r="CC73" s="10">
        <v>114</v>
      </c>
      <c r="CD73" s="10">
        <v>68</v>
      </c>
      <c r="CE73" s="10">
        <v>13</v>
      </c>
      <c r="CF73" s="10">
        <v>117</v>
      </c>
      <c r="CG73" s="10">
        <v>775</v>
      </c>
      <c r="CH73" s="10">
        <v>298</v>
      </c>
      <c r="CI73" s="10">
        <v>241</v>
      </c>
      <c r="CJ73" s="10">
        <v>92</v>
      </c>
      <c r="CK73" s="10">
        <v>15</v>
      </c>
      <c r="CL73" s="11"/>
      <c r="CM73" s="11"/>
      <c r="CN73" s="10">
        <v>6</v>
      </c>
      <c r="CO73" s="10">
        <v>1</v>
      </c>
      <c r="CP73" s="11"/>
      <c r="CQ73" s="11"/>
      <c r="CR73" s="10">
        <v>1</v>
      </c>
      <c r="CS73" s="10">
        <v>1</v>
      </c>
      <c r="CT73" s="10">
        <v>91</v>
      </c>
      <c r="CU73" s="10">
        <v>48</v>
      </c>
      <c r="CV73" s="10">
        <v>6</v>
      </c>
      <c r="CW73" s="11"/>
      <c r="CX73" s="10">
        <v>78</v>
      </c>
      <c r="CY73" s="11"/>
      <c r="CZ73" s="10">
        <v>217</v>
      </c>
      <c r="DA73" s="10">
        <v>37</v>
      </c>
      <c r="DB73" s="10">
        <v>1</v>
      </c>
      <c r="DC73" s="10">
        <v>1</v>
      </c>
      <c r="DD73" s="11"/>
      <c r="DE73" s="11"/>
      <c r="DF73" s="11"/>
      <c r="DG73" s="11"/>
      <c r="DH73" s="11"/>
      <c r="DI73" s="11"/>
      <c r="DJ73" s="11"/>
      <c r="DK73" s="11"/>
      <c r="DL73" s="11"/>
      <c r="DM73" s="11"/>
      <c r="DN73" s="11"/>
      <c r="DO73" s="11"/>
      <c r="DP73" s="10">
        <v>37</v>
      </c>
      <c r="DQ73" s="10">
        <v>158</v>
      </c>
      <c r="DR73" s="10">
        <v>16</v>
      </c>
      <c r="DS73" s="10">
        <v>8</v>
      </c>
      <c r="DT73" s="10">
        <v>2</v>
      </c>
      <c r="DU73" s="11"/>
    </row>
    <row r="74" spans="1:125" ht="20" customHeight="1">
      <c r="A74" s="8">
        <v>2018</v>
      </c>
      <c r="B74" s="9">
        <v>2018</v>
      </c>
      <c r="C74" s="10">
        <v>2018</v>
      </c>
      <c r="D74" s="11"/>
      <c r="E74" s="12" t="s">
        <v>126</v>
      </c>
      <c r="F74" s="12" t="s">
        <v>127</v>
      </c>
      <c r="G74" s="12" t="s">
        <v>183</v>
      </c>
      <c r="H74" s="12" t="s">
        <v>184</v>
      </c>
      <c r="I74" s="12" t="s">
        <v>183</v>
      </c>
      <c r="J74" s="12" t="s">
        <v>185</v>
      </c>
      <c r="K74" s="11"/>
      <c r="L74" s="10">
        <v>16</v>
      </c>
      <c r="M74" s="10">
        <v>453</v>
      </c>
      <c r="N74" s="10">
        <v>1190</v>
      </c>
      <c r="O74" s="10">
        <v>442</v>
      </c>
      <c r="P74" s="10">
        <v>368</v>
      </c>
      <c r="Q74" s="10">
        <v>13</v>
      </c>
      <c r="R74" s="10">
        <v>539</v>
      </c>
      <c r="S74" s="10">
        <v>6629</v>
      </c>
      <c r="T74" s="10">
        <v>8869</v>
      </c>
      <c r="U74" s="10">
        <v>2381</v>
      </c>
      <c r="V74" s="10">
        <v>1642</v>
      </c>
      <c r="W74" s="10">
        <v>2</v>
      </c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0">
        <v>16</v>
      </c>
      <c r="AQ74" s="10">
        <v>443</v>
      </c>
      <c r="AR74" s="10">
        <v>1096</v>
      </c>
      <c r="AS74" s="10">
        <v>196</v>
      </c>
      <c r="AT74" s="10">
        <v>112</v>
      </c>
      <c r="AU74" s="11"/>
      <c r="AV74" s="11"/>
      <c r="AW74" s="10">
        <v>10</v>
      </c>
      <c r="AX74" s="10">
        <v>94</v>
      </c>
      <c r="AY74" s="10">
        <v>246</v>
      </c>
      <c r="AZ74" s="10">
        <v>256</v>
      </c>
      <c r="BA74" s="10">
        <v>13</v>
      </c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0">
        <v>539</v>
      </c>
      <c r="BO74" s="10">
        <v>6629</v>
      </c>
      <c r="BP74" s="10">
        <v>8869</v>
      </c>
      <c r="BQ74" s="10">
        <v>2381</v>
      </c>
      <c r="BR74" s="10">
        <v>1642</v>
      </c>
      <c r="BS74" s="10">
        <v>2</v>
      </c>
      <c r="BT74" s="11"/>
      <c r="BU74" s="11"/>
      <c r="BV74" s="11"/>
      <c r="BW74" s="11"/>
      <c r="BX74" s="11"/>
      <c r="BY74" s="11"/>
      <c r="BZ74" s="11"/>
      <c r="CA74" s="11"/>
      <c r="CB74" s="11"/>
      <c r="CC74" s="11"/>
      <c r="CD74" s="11"/>
      <c r="CE74" s="11"/>
      <c r="CF74" s="11"/>
      <c r="CG74" s="11"/>
      <c r="CH74" s="11"/>
      <c r="CI74" s="11"/>
      <c r="CJ74" s="11"/>
      <c r="CK74" s="11"/>
      <c r="CL74" s="11"/>
      <c r="CM74" s="11"/>
      <c r="CN74" s="11"/>
      <c r="CO74" s="11"/>
      <c r="CP74" s="11"/>
      <c r="CQ74" s="11"/>
      <c r="CR74" s="11"/>
      <c r="CS74" s="11"/>
      <c r="CT74" s="11"/>
      <c r="CU74" s="11"/>
      <c r="CV74" s="11"/>
      <c r="CW74" s="11"/>
      <c r="CX74" s="11"/>
      <c r="CY74" s="11"/>
      <c r="CZ74" s="11"/>
      <c r="DA74" s="11"/>
      <c r="DB74" s="11"/>
      <c r="DC74" s="11"/>
      <c r="DD74" s="11"/>
      <c r="DE74" s="11"/>
      <c r="DF74" s="11"/>
      <c r="DG74" s="11"/>
      <c r="DH74" s="11"/>
      <c r="DI74" s="11"/>
      <c r="DJ74" s="11"/>
      <c r="DK74" s="11"/>
      <c r="DL74" s="11"/>
      <c r="DM74" s="11"/>
      <c r="DN74" s="11"/>
      <c r="DO74" s="11"/>
      <c r="DP74" s="11"/>
      <c r="DQ74" s="11"/>
      <c r="DR74" s="11"/>
      <c r="DS74" s="11"/>
      <c r="DT74" s="11"/>
      <c r="DU74" s="11"/>
    </row>
    <row r="75" spans="1:125" ht="20" customHeight="1">
      <c r="A75" s="8">
        <v>2018</v>
      </c>
      <c r="B75" s="9">
        <v>2018</v>
      </c>
      <c r="C75" s="10">
        <v>2018</v>
      </c>
      <c r="D75" s="11"/>
      <c r="E75" s="12" t="s">
        <v>126</v>
      </c>
      <c r="F75" s="12" t="s">
        <v>127</v>
      </c>
      <c r="G75" s="12" t="s">
        <v>186</v>
      </c>
      <c r="H75" s="12" t="s">
        <v>187</v>
      </c>
      <c r="I75" s="12" t="s">
        <v>186</v>
      </c>
      <c r="J75" s="12" t="s">
        <v>188</v>
      </c>
      <c r="K75" s="11"/>
      <c r="L75" s="11"/>
      <c r="M75" s="11"/>
      <c r="N75" s="11"/>
      <c r="O75" s="11"/>
      <c r="P75" s="11"/>
      <c r="Q75" s="11"/>
      <c r="R75" s="10">
        <v>732</v>
      </c>
      <c r="S75" s="10">
        <v>1952</v>
      </c>
      <c r="T75" s="10">
        <v>760</v>
      </c>
      <c r="U75" s="10">
        <v>645</v>
      </c>
      <c r="V75" s="10">
        <v>658</v>
      </c>
      <c r="W75" s="10">
        <v>117</v>
      </c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0">
        <v>732</v>
      </c>
      <c r="BU75" s="10">
        <v>1952</v>
      </c>
      <c r="BV75" s="10">
        <v>760</v>
      </c>
      <c r="BW75" s="10">
        <v>645</v>
      </c>
      <c r="BX75" s="10">
        <v>658</v>
      </c>
      <c r="BY75" s="10">
        <v>117</v>
      </c>
      <c r="BZ75" s="11"/>
      <c r="CA75" s="11"/>
      <c r="CB75" s="11"/>
      <c r="CC75" s="11"/>
      <c r="CD75" s="11"/>
      <c r="CE75" s="11"/>
      <c r="CF75" s="11"/>
      <c r="CG75" s="11"/>
      <c r="CH75" s="11"/>
      <c r="CI75" s="11"/>
      <c r="CJ75" s="11"/>
      <c r="CK75" s="11"/>
      <c r="CL75" s="11"/>
      <c r="CM75" s="11"/>
      <c r="CN75" s="11"/>
      <c r="CO75" s="11"/>
      <c r="CP75" s="11"/>
      <c r="CQ75" s="11"/>
      <c r="CR75" s="11"/>
      <c r="CS75" s="11"/>
      <c r="CT75" s="11"/>
      <c r="CU75" s="11"/>
      <c r="CV75" s="11"/>
      <c r="CW75" s="11"/>
      <c r="CX75" s="11"/>
      <c r="CY75" s="11"/>
      <c r="CZ75" s="11"/>
      <c r="DA75" s="11"/>
      <c r="DB75" s="11"/>
      <c r="DC75" s="11"/>
      <c r="DD75" s="11"/>
      <c r="DE75" s="11"/>
      <c r="DF75" s="11"/>
      <c r="DG75" s="11"/>
      <c r="DH75" s="11"/>
      <c r="DI75" s="11"/>
      <c r="DJ75" s="11"/>
      <c r="DK75" s="11"/>
      <c r="DL75" s="11"/>
      <c r="DM75" s="11"/>
      <c r="DN75" s="11"/>
      <c r="DO75" s="11"/>
      <c r="DP75" s="11"/>
      <c r="DQ75" s="11"/>
      <c r="DR75" s="11"/>
      <c r="DS75" s="11"/>
      <c r="DT75" s="11"/>
      <c r="DU75" s="11"/>
    </row>
    <row r="76" spans="1:125" ht="20" customHeight="1">
      <c r="A76" s="8">
        <v>2018</v>
      </c>
      <c r="B76" s="9">
        <v>2018</v>
      </c>
      <c r="C76" s="10">
        <v>2018</v>
      </c>
      <c r="D76" s="11"/>
      <c r="E76" s="12" t="s">
        <v>126</v>
      </c>
      <c r="F76" s="12" t="s">
        <v>127</v>
      </c>
      <c r="G76" s="12" t="s">
        <v>189</v>
      </c>
      <c r="H76" s="12" t="s">
        <v>190</v>
      </c>
      <c r="I76" s="12" t="s">
        <v>189</v>
      </c>
      <c r="J76" s="12" t="s">
        <v>191</v>
      </c>
      <c r="K76" s="11"/>
      <c r="L76" s="11"/>
      <c r="M76" s="11"/>
      <c r="N76" s="11"/>
      <c r="O76" s="11"/>
      <c r="P76" s="11"/>
      <c r="Q76" s="11"/>
      <c r="R76" s="10">
        <v>6</v>
      </c>
      <c r="S76" s="10">
        <v>435</v>
      </c>
      <c r="T76" s="10">
        <v>716</v>
      </c>
      <c r="U76" s="10">
        <v>300</v>
      </c>
      <c r="V76" s="10">
        <v>75</v>
      </c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0">
        <v>6</v>
      </c>
      <c r="BU76" s="10">
        <v>435</v>
      </c>
      <c r="BV76" s="10">
        <v>716</v>
      </c>
      <c r="BW76" s="10">
        <v>300</v>
      </c>
      <c r="BX76" s="10">
        <v>75</v>
      </c>
      <c r="BY76" s="11"/>
      <c r="BZ76" s="11"/>
      <c r="CA76" s="11"/>
      <c r="CB76" s="11"/>
      <c r="CC76" s="11"/>
      <c r="CD76" s="11"/>
      <c r="CE76" s="11"/>
      <c r="CF76" s="11"/>
      <c r="CG76" s="11"/>
      <c r="CH76" s="11"/>
      <c r="CI76" s="11"/>
      <c r="CJ76" s="11"/>
      <c r="CK76" s="11"/>
      <c r="CL76" s="11"/>
      <c r="CM76" s="11"/>
      <c r="CN76" s="11"/>
      <c r="CO76" s="11"/>
      <c r="CP76" s="11"/>
      <c r="CQ76" s="11"/>
      <c r="CR76" s="11"/>
      <c r="CS76" s="11"/>
      <c r="CT76" s="11"/>
      <c r="CU76" s="11"/>
      <c r="CV76" s="11"/>
      <c r="CW76" s="11"/>
      <c r="CX76" s="11"/>
      <c r="CY76" s="11"/>
      <c r="CZ76" s="11"/>
      <c r="DA76" s="11"/>
      <c r="DB76" s="11"/>
      <c r="DC76" s="11"/>
      <c r="DD76" s="11"/>
      <c r="DE76" s="11"/>
      <c r="DF76" s="11"/>
      <c r="DG76" s="11"/>
      <c r="DH76" s="11"/>
      <c r="DI76" s="11"/>
      <c r="DJ76" s="11"/>
      <c r="DK76" s="11"/>
      <c r="DL76" s="11"/>
      <c r="DM76" s="11"/>
      <c r="DN76" s="11"/>
      <c r="DO76" s="11"/>
      <c r="DP76" s="11"/>
      <c r="DQ76" s="11"/>
      <c r="DR76" s="11"/>
      <c r="DS76" s="11"/>
      <c r="DT76" s="11"/>
      <c r="DU76" s="11"/>
    </row>
  </sheetData>
  <autoFilter ref="A2:DU76" xr:uid="{00000000-0001-0000-0000-000000000000}"/>
  <mergeCells count="1">
    <mergeCell ref="A1:DU1"/>
  </mergeCells>
  <pageMargins left="1" right="1" top="1" bottom="1" header="0.25" footer="0.25"/>
  <pageSetup scale="10" orientation="portrait" r:id="rId1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4E80B-A7CF-4081-A610-2CEDA36656D1}">
  <dimension ref="A1:A117"/>
  <sheetViews>
    <sheetView topLeftCell="A16" workbookViewId="0">
      <selection activeCell="F116" sqref="F116"/>
    </sheetView>
  </sheetViews>
  <sheetFormatPr defaultRowHeight="12.5"/>
  <cols>
    <col min="1" max="1" width="93.08984375" style="32" bestFit="1" customWidth="1"/>
    <col min="2" max="16384" width="8.7265625" style="32"/>
  </cols>
  <sheetData>
    <row r="1" spans="1:1">
      <c r="A1" s="31" t="s">
        <v>9</v>
      </c>
    </row>
    <row r="2" spans="1:1">
      <c r="A2" s="31" t="s">
        <v>10</v>
      </c>
    </row>
    <row r="3" spans="1:1">
      <c r="A3" s="31" t="s">
        <v>11</v>
      </c>
    </row>
    <row r="4" spans="1:1" s="34" customFormat="1">
      <c r="A4" s="33" t="s">
        <v>12</v>
      </c>
    </row>
    <row r="5" spans="1:1" s="34" customFormat="1">
      <c r="A5" s="33" t="s">
        <v>13</v>
      </c>
    </row>
    <row r="6" spans="1:1" s="34" customFormat="1">
      <c r="A6" s="33" t="s">
        <v>14</v>
      </c>
    </row>
    <row r="7" spans="1:1" s="34" customFormat="1">
      <c r="A7" s="33" t="s">
        <v>15</v>
      </c>
    </row>
    <row r="8" spans="1:1" s="34" customFormat="1">
      <c r="A8" s="33" t="s">
        <v>16</v>
      </c>
    </row>
    <row r="9" spans="1:1" s="34" customFormat="1">
      <c r="A9" s="33" t="s">
        <v>17</v>
      </c>
    </row>
    <row r="10" spans="1:1" s="34" customFormat="1">
      <c r="A10" s="33" t="s">
        <v>18</v>
      </c>
    </row>
    <row r="11" spans="1:1" s="34" customFormat="1">
      <c r="A11" s="33" t="s">
        <v>19</v>
      </c>
    </row>
    <row r="12" spans="1:1" s="34" customFormat="1">
      <c r="A12" s="33" t="s">
        <v>20</v>
      </c>
    </row>
    <row r="13" spans="1:1" s="34" customFormat="1">
      <c r="A13" s="33" t="s">
        <v>21</v>
      </c>
    </row>
    <row r="14" spans="1:1" s="34" customFormat="1">
      <c r="A14" s="33" t="s">
        <v>22</v>
      </c>
    </row>
    <row r="15" spans="1:1" s="34" customFormat="1">
      <c r="A15" s="33" t="s">
        <v>23</v>
      </c>
    </row>
    <row r="16" spans="1:1">
      <c r="A16" s="31" t="s">
        <v>24</v>
      </c>
    </row>
    <row r="17" spans="1:1">
      <c r="A17" s="31" t="s">
        <v>25</v>
      </c>
    </row>
    <row r="18" spans="1:1">
      <c r="A18" s="31" t="s">
        <v>26</v>
      </c>
    </row>
    <row r="19" spans="1:1">
      <c r="A19" s="31" t="s">
        <v>27</v>
      </c>
    </row>
    <row r="20" spans="1:1">
      <c r="A20" s="31" t="s">
        <v>28</v>
      </c>
    </row>
    <row r="21" spans="1:1">
      <c r="A21" s="31" t="s">
        <v>29</v>
      </c>
    </row>
    <row r="22" spans="1:1">
      <c r="A22" s="31" t="s">
        <v>30</v>
      </c>
    </row>
    <row r="23" spans="1:1">
      <c r="A23" s="31" t="s">
        <v>31</v>
      </c>
    </row>
    <row r="24" spans="1:1">
      <c r="A24" s="31" t="s">
        <v>32</v>
      </c>
    </row>
    <row r="25" spans="1:1">
      <c r="A25" s="31" t="s">
        <v>33</v>
      </c>
    </row>
    <row r="26" spans="1:1">
      <c r="A26" s="31" t="s">
        <v>34</v>
      </c>
    </row>
    <row r="27" spans="1:1">
      <c r="A27" s="31" t="s">
        <v>35</v>
      </c>
    </row>
    <row r="28" spans="1:1">
      <c r="A28" s="31" t="s">
        <v>36</v>
      </c>
    </row>
    <row r="29" spans="1:1">
      <c r="A29" s="31" t="s">
        <v>37</v>
      </c>
    </row>
    <row r="30" spans="1:1">
      <c r="A30" s="31" t="s">
        <v>38</v>
      </c>
    </row>
    <row r="31" spans="1:1">
      <c r="A31" s="31" t="s">
        <v>39</v>
      </c>
    </row>
    <row r="32" spans="1:1">
      <c r="A32" s="31" t="s">
        <v>40</v>
      </c>
    </row>
    <row r="33" spans="1:1">
      <c r="A33" s="31" t="s">
        <v>41</v>
      </c>
    </row>
    <row r="34" spans="1:1">
      <c r="A34" s="31" t="s">
        <v>42</v>
      </c>
    </row>
    <row r="35" spans="1:1">
      <c r="A35" s="31" t="s">
        <v>43</v>
      </c>
    </row>
    <row r="36" spans="1:1">
      <c r="A36" s="31" t="s">
        <v>44</v>
      </c>
    </row>
    <row r="37" spans="1:1">
      <c r="A37" s="31" t="s">
        <v>45</v>
      </c>
    </row>
    <row r="38" spans="1:1">
      <c r="A38" s="31" t="s">
        <v>46</v>
      </c>
    </row>
    <row r="39" spans="1:1">
      <c r="A39" s="31" t="s">
        <v>47</v>
      </c>
    </row>
    <row r="40" spans="1:1">
      <c r="A40" s="31" t="s">
        <v>48</v>
      </c>
    </row>
    <row r="41" spans="1:1">
      <c r="A41" s="31" t="s">
        <v>49</v>
      </c>
    </row>
    <row r="42" spans="1:1">
      <c r="A42" s="31" t="s">
        <v>50</v>
      </c>
    </row>
    <row r="43" spans="1:1">
      <c r="A43" s="31" t="s">
        <v>51</v>
      </c>
    </row>
    <row r="44" spans="1:1">
      <c r="A44" s="31" t="s">
        <v>52</v>
      </c>
    </row>
    <row r="45" spans="1:1">
      <c r="A45" s="31" t="s">
        <v>53</v>
      </c>
    </row>
    <row r="46" spans="1:1">
      <c r="A46" s="31" t="s">
        <v>54</v>
      </c>
    </row>
    <row r="47" spans="1:1">
      <c r="A47" s="31" t="s">
        <v>55</v>
      </c>
    </row>
    <row r="48" spans="1:1">
      <c r="A48" s="31" t="s">
        <v>56</v>
      </c>
    </row>
    <row r="49" spans="1:1">
      <c r="A49" s="31" t="s">
        <v>57</v>
      </c>
    </row>
    <row r="50" spans="1:1">
      <c r="A50" s="31" t="s">
        <v>58</v>
      </c>
    </row>
    <row r="51" spans="1:1">
      <c r="A51" s="31" t="s">
        <v>59</v>
      </c>
    </row>
    <row r="52" spans="1:1">
      <c r="A52" s="31" t="s">
        <v>60</v>
      </c>
    </row>
    <row r="53" spans="1:1">
      <c r="A53" s="31" t="s">
        <v>61</v>
      </c>
    </row>
    <row r="54" spans="1:1">
      <c r="A54" s="31" t="s">
        <v>62</v>
      </c>
    </row>
    <row r="55" spans="1:1">
      <c r="A55" s="31" t="s">
        <v>63</v>
      </c>
    </row>
    <row r="56" spans="1:1">
      <c r="A56" s="31" t="s">
        <v>64</v>
      </c>
    </row>
    <row r="57" spans="1:1">
      <c r="A57" s="31" t="s">
        <v>65</v>
      </c>
    </row>
    <row r="58" spans="1:1">
      <c r="A58" s="31" t="s">
        <v>66</v>
      </c>
    </row>
    <row r="59" spans="1:1">
      <c r="A59" s="31" t="s">
        <v>67</v>
      </c>
    </row>
    <row r="60" spans="1:1">
      <c r="A60" s="31" t="s">
        <v>68</v>
      </c>
    </row>
    <row r="61" spans="1:1">
      <c r="A61" s="31" t="s">
        <v>69</v>
      </c>
    </row>
    <row r="62" spans="1:1">
      <c r="A62" s="31" t="s">
        <v>70</v>
      </c>
    </row>
    <row r="63" spans="1:1">
      <c r="A63" s="31" t="s">
        <v>71</v>
      </c>
    </row>
    <row r="64" spans="1:1">
      <c r="A64" s="31" t="s">
        <v>72</v>
      </c>
    </row>
    <row r="65" spans="1:1">
      <c r="A65" s="31" t="s">
        <v>73</v>
      </c>
    </row>
    <row r="66" spans="1:1">
      <c r="A66" s="31" t="s">
        <v>74</v>
      </c>
    </row>
    <row r="67" spans="1:1">
      <c r="A67" s="31" t="s">
        <v>75</v>
      </c>
    </row>
    <row r="68" spans="1:1">
      <c r="A68" s="31" t="s">
        <v>76</v>
      </c>
    </row>
    <row r="69" spans="1:1">
      <c r="A69" s="31" t="s">
        <v>77</v>
      </c>
    </row>
    <row r="70" spans="1:1">
      <c r="A70" s="31" t="s">
        <v>78</v>
      </c>
    </row>
    <row r="71" spans="1:1">
      <c r="A71" s="31" t="s">
        <v>79</v>
      </c>
    </row>
    <row r="72" spans="1:1">
      <c r="A72" s="31" t="s">
        <v>80</v>
      </c>
    </row>
    <row r="73" spans="1:1">
      <c r="A73" s="31" t="s">
        <v>81</v>
      </c>
    </row>
    <row r="74" spans="1:1">
      <c r="A74" s="31" t="s">
        <v>82</v>
      </c>
    </row>
    <row r="75" spans="1:1">
      <c r="A75" s="31" t="s">
        <v>83</v>
      </c>
    </row>
    <row r="76" spans="1:1">
      <c r="A76" s="31" t="s">
        <v>84</v>
      </c>
    </row>
    <row r="77" spans="1:1">
      <c r="A77" s="31" t="s">
        <v>85</v>
      </c>
    </row>
    <row r="78" spans="1:1">
      <c r="A78" s="31" t="s">
        <v>86</v>
      </c>
    </row>
    <row r="79" spans="1:1">
      <c r="A79" s="31" t="s">
        <v>87</v>
      </c>
    </row>
    <row r="80" spans="1:1">
      <c r="A80" s="31" t="s">
        <v>88</v>
      </c>
    </row>
    <row r="81" spans="1:1">
      <c r="A81" s="31" t="s">
        <v>89</v>
      </c>
    </row>
    <row r="82" spans="1:1">
      <c r="A82" s="31" t="s">
        <v>90</v>
      </c>
    </row>
    <row r="83" spans="1:1">
      <c r="A83" s="31" t="s">
        <v>91</v>
      </c>
    </row>
    <row r="84" spans="1:1">
      <c r="A84" s="31" t="s">
        <v>92</v>
      </c>
    </row>
    <row r="85" spans="1:1">
      <c r="A85" s="31" t="s">
        <v>93</v>
      </c>
    </row>
    <row r="86" spans="1:1">
      <c r="A86" s="31" t="s">
        <v>94</v>
      </c>
    </row>
    <row r="87" spans="1:1">
      <c r="A87" s="31" t="s">
        <v>95</v>
      </c>
    </row>
    <row r="88" spans="1:1">
      <c r="A88" s="31" t="s">
        <v>96</v>
      </c>
    </row>
    <row r="89" spans="1:1">
      <c r="A89" s="31" t="s">
        <v>97</v>
      </c>
    </row>
    <row r="90" spans="1:1">
      <c r="A90" s="31" t="s">
        <v>98</v>
      </c>
    </row>
    <row r="91" spans="1:1">
      <c r="A91" s="31" t="s">
        <v>99</v>
      </c>
    </row>
    <row r="92" spans="1:1">
      <c r="A92" s="31" t="s">
        <v>100</v>
      </c>
    </row>
    <row r="93" spans="1:1">
      <c r="A93" s="31" t="s">
        <v>101</v>
      </c>
    </row>
    <row r="94" spans="1:1">
      <c r="A94" s="31" t="s">
        <v>102</v>
      </c>
    </row>
    <row r="95" spans="1:1">
      <c r="A95" s="31" t="s">
        <v>103</v>
      </c>
    </row>
    <row r="96" spans="1:1">
      <c r="A96" s="31" t="s">
        <v>104</v>
      </c>
    </row>
    <row r="97" spans="1:1">
      <c r="A97" s="31" t="s">
        <v>105</v>
      </c>
    </row>
    <row r="98" spans="1:1">
      <c r="A98" s="31" t="s">
        <v>106</v>
      </c>
    </row>
    <row r="99" spans="1:1">
      <c r="A99" s="31" t="s">
        <v>107</v>
      </c>
    </row>
    <row r="100" spans="1:1">
      <c r="A100" s="31" t="s">
        <v>108</v>
      </c>
    </row>
    <row r="101" spans="1:1">
      <c r="A101" s="31" t="s">
        <v>109</v>
      </c>
    </row>
    <row r="102" spans="1:1">
      <c r="A102" s="31" t="s">
        <v>110</v>
      </c>
    </row>
    <row r="103" spans="1:1">
      <c r="A103" s="31" t="s">
        <v>111</v>
      </c>
    </row>
    <row r="104" spans="1:1">
      <c r="A104" s="31" t="s">
        <v>112</v>
      </c>
    </row>
    <row r="105" spans="1:1">
      <c r="A105" s="31" t="s">
        <v>113</v>
      </c>
    </row>
    <row r="106" spans="1:1">
      <c r="A106" s="31" t="s">
        <v>114</v>
      </c>
    </row>
    <row r="107" spans="1:1">
      <c r="A107" s="31" t="s">
        <v>115</v>
      </c>
    </row>
    <row r="108" spans="1:1">
      <c r="A108" s="31" t="s">
        <v>116</v>
      </c>
    </row>
    <row r="109" spans="1:1">
      <c r="A109" s="31" t="s">
        <v>117</v>
      </c>
    </row>
    <row r="110" spans="1:1">
      <c r="A110" s="31" t="s">
        <v>118</v>
      </c>
    </row>
    <row r="111" spans="1:1">
      <c r="A111" s="31" t="s">
        <v>119</v>
      </c>
    </row>
    <row r="112" spans="1:1">
      <c r="A112" s="31" t="s">
        <v>120</v>
      </c>
    </row>
    <row r="113" spans="1:1">
      <c r="A113" s="31" t="s">
        <v>121</v>
      </c>
    </row>
    <row r="114" spans="1:1">
      <c r="A114" s="31" t="s">
        <v>122</v>
      </c>
    </row>
    <row r="115" spans="1:1">
      <c r="A115" s="31" t="s">
        <v>123</v>
      </c>
    </row>
    <row r="116" spans="1:1">
      <c r="A116" s="31" t="s">
        <v>124</v>
      </c>
    </row>
    <row r="117" spans="1:1">
      <c r="A117" s="31" t="s">
        <v>125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Sheet3</vt:lpstr>
      <vt:lpstr>Sheet4</vt:lpstr>
      <vt:lpstr>Sheet 1 - AFRO Age 20240123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Mung'atu</cp:lastModifiedBy>
  <dcterms:modified xsi:type="dcterms:W3CDTF">2024-03-13T11:13:16Z</dcterms:modified>
</cp:coreProperties>
</file>