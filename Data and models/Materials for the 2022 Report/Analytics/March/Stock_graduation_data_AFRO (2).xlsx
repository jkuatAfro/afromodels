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March\"/>
    </mc:Choice>
  </mc:AlternateContent>
  <xr:revisionPtr revIDLastSave="0" documentId="13_ncr:1_{A7090772-F282-4B4F-8B15-ACFA8968FE82}" xr6:coauthVersionLast="47" xr6:coauthVersionMax="47" xr10:uidLastSave="{00000000-0000-0000-0000-000000000000}"/>
  <bookViews>
    <workbookView xWindow="-110" yWindow="-110" windowWidth="19420" windowHeight="10300" firstSheet="22" activeTab="24" xr2:uid="{DBE6EC53-E42B-4499-838D-152297B7C724}"/>
  </bookViews>
  <sheets>
    <sheet name="Stock grad Doctors" sheetId="1" r:id="rId1"/>
    <sheet name="Sheet2" sheetId="2" r:id="rId2"/>
    <sheet name="Nurses" sheetId="3" r:id="rId3"/>
    <sheet name="DoctNurses" sheetId="4" r:id="rId4"/>
    <sheet name="All workforce stock" sheetId="5" r:id="rId5"/>
    <sheet name="All workforce density " sheetId="6" r:id="rId6"/>
    <sheet name="Education capacity" sheetId="7" r:id="rId7"/>
    <sheet name="Combined density-grad-stock" sheetId="8" r:id="rId8"/>
    <sheet name="Sheet4" sheetId="10" r:id="rId9"/>
    <sheet name="Combined density-grad-stock (2)" sheetId="11" r:id="rId10"/>
    <sheet name="Sheet6" sheetId="20" r:id="rId11"/>
    <sheet name="Scatter_plot" sheetId="12" r:id="rId12"/>
    <sheet name="Graph" sheetId="14" r:id="rId13"/>
    <sheet name="Sheet1" sheetId="15" r:id="rId14"/>
    <sheet name="Density_Weighted_Stock_Unw" sheetId="22" r:id="rId15"/>
    <sheet name="Scatter_plot (2)" sheetId="19" r:id="rId16"/>
    <sheet name="Quadrans" sheetId="16" r:id="rId17"/>
    <sheet name="Quadrans (2)" sheetId="17" r:id="rId18"/>
    <sheet name="Sheet10" sheetId="24" r:id="rId19"/>
    <sheet name="Sheet5" sheetId="18" r:id="rId20"/>
    <sheet name="Quadrans (3)" sheetId="21" r:id="rId21"/>
    <sheet name="Density vs graduate Stock G (2)" sheetId="31" r:id="rId22"/>
    <sheet name="Density vs graduate Stock Graph" sheetId="13" r:id="rId23"/>
    <sheet name="Sheet7" sheetId="26" r:id="rId24"/>
    <sheet name="Sheet9" sheetId="28" r:id="rId25"/>
    <sheet name="Summaries" sheetId="25" r:id="rId26"/>
    <sheet name="Density_Weighted_Stock_Weig" sheetId="23" r:id="rId27"/>
    <sheet name="Sheet8" sheetId="27" r:id="rId28"/>
    <sheet name="Sheet11" sheetId="29" r:id="rId29"/>
    <sheet name="Sheet12" sheetId="30" r:id="rId30"/>
  </sheets>
  <definedNames>
    <definedName name="_xlnm._FilterDatabase" localSheetId="21" hidden="1">'Density vs graduate Stock G (2)'!$Y$1:$AN$51</definedName>
    <definedName name="_xlnm._FilterDatabase" localSheetId="22" hidden="1">'Density vs graduate Stock Graph'!$X$1:$AM$51</definedName>
    <definedName name="_xlnm._FilterDatabase" localSheetId="26" hidden="1">Density_Weighted_Stock_Weig!$K$1:$R$49</definedName>
    <definedName name="_xlnm._FilterDatabase" localSheetId="3" hidden="1">DoctNurses!$A$1:$H$48</definedName>
    <definedName name="_xlnm._FilterDatabase" localSheetId="16" hidden="1">Quadrans!$A$1:$H$51</definedName>
    <definedName name="_xlnm._FilterDatabase" localSheetId="20" hidden="1">'Quadrans (3)'!$A$1:$H$51</definedName>
    <definedName name="_xlnm._FilterDatabase" localSheetId="25" hidden="1">Summaries!$A$1:$N$48</definedName>
    <definedName name="_xlchart.v1.0" hidden="1">'Combined density-grad-stock'!$F$1</definedName>
    <definedName name="_xlchart.v1.1" hidden="1">'Combined density-grad-stock'!$F$2:$F$48</definedName>
    <definedName name="_xlchart.v1.2" hidden="1">'Combined density-grad-stock'!$I$2:$I$48</definedName>
    <definedName name="_xlchart.v1.3" hidden="1">'Combined density-grad-stock (2)'!$F$1</definedName>
    <definedName name="_xlchart.v1.4" hidden="1">'Combined density-grad-stock (2)'!$F$2:$F$48</definedName>
    <definedName name="_xlchart.v1.5" hidden="1">'Combined density-grad-stock (2)'!$I$2:$I$48</definedName>
    <definedName name="Stock_grad_ratio" localSheetId="21">'Density vs graduate Stock G (2)'!$AB$49</definedName>
    <definedName name="Stock_grad_ratio">'Density vs graduate Stock Graph'!$AA$49</definedName>
    <definedName name="Weighted_average" localSheetId="21">'Density vs graduate Stock G (2)'!$AA$49</definedName>
    <definedName name="Weighted_average">'Density vs graduate Stock Graph'!$Z$49</definedName>
  </definedNames>
  <calcPr calcId="191029"/>
  <pivotCaches>
    <pivotCache cacheId="7" r:id="rId31"/>
    <pivotCache cacheId="21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8" l="1"/>
  <c r="L3" i="28"/>
  <c r="V2" i="31" l="1"/>
  <c r="AA3" i="31"/>
  <c r="AA4" i="31"/>
  <c r="AA5" i="31"/>
  <c r="AA6" i="31"/>
  <c r="AA7" i="31"/>
  <c r="AA8" i="31"/>
  <c r="AA9" i="31"/>
  <c r="AA10" i="31"/>
  <c r="AA49" i="31" s="1"/>
  <c r="AA11" i="31"/>
  <c r="AA12" i="31"/>
  <c r="AA13" i="31"/>
  <c r="AA14" i="31"/>
  <c r="AA15" i="31"/>
  <c r="AA16" i="31"/>
  <c r="AA17" i="31"/>
  <c r="AA18" i="31"/>
  <c r="AA19" i="31"/>
  <c r="AA20" i="31"/>
  <c r="AA21" i="31"/>
  <c r="AA22" i="31"/>
  <c r="AA23" i="31"/>
  <c r="AA24" i="31"/>
  <c r="AA25" i="31"/>
  <c r="AA26" i="31"/>
  <c r="AA27" i="31"/>
  <c r="AA28" i="31"/>
  <c r="AA29" i="31"/>
  <c r="AA30" i="31"/>
  <c r="AA31" i="31"/>
  <c r="AA32" i="31"/>
  <c r="AA33" i="31"/>
  <c r="AA34" i="31"/>
  <c r="AA35" i="31"/>
  <c r="AA36" i="31"/>
  <c r="AA37" i="31"/>
  <c r="AA38" i="31"/>
  <c r="AA39" i="31"/>
  <c r="AA40" i="31"/>
  <c r="AA41" i="31"/>
  <c r="AA42" i="31"/>
  <c r="AA43" i="31"/>
  <c r="AA44" i="31"/>
  <c r="AA45" i="31"/>
  <c r="AA46" i="31"/>
  <c r="AA47" i="31"/>
  <c r="AA48" i="31"/>
  <c r="AA50" i="31"/>
  <c r="AA2" i="31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2" i="28"/>
  <c r="N2" i="28" s="1"/>
  <c r="AB2" i="31"/>
  <c r="W3" i="31"/>
  <c r="W4" i="31"/>
  <c r="W5" i="31"/>
  <c r="W6" i="31"/>
  <c r="W7" i="31"/>
  <c r="W8" i="31"/>
  <c r="W9" i="31"/>
  <c r="W10" i="31"/>
  <c r="W11" i="31"/>
  <c r="W1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5" i="31"/>
  <c r="W26" i="31"/>
  <c r="W27" i="31"/>
  <c r="W28" i="31"/>
  <c r="W29" i="31"/>
  <c r="W30" i="31"/>
  <c r="W31" i="31"/>
  <c r="W32" i="31"/>
  <c r="W33" i="31"/>
  <c r="W34" i="31"/>
  <c r="W35" i="31"/>
  <c r="W36" i="31"/>
  <c r="W37" i="31"/>
  <c r="W38" i="31"/>
  <c r="W39" i="31"/>
  <c r="W40" i="31"/>
  <c r="W41" i="31"/>
  <c r="W42" i="31"/>
  <c r="V42" i="31" s="1"/>
  <c r="W43" i="31"/>
  <c r="W44" i="31"/>
  <c r="W45" i="31"/>
  <c r="W46" i="31"/>
  <c r="W47" i="31"/>
  <c r="W48" i="31"/>
  <c r="W2" i="31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I49" i="28"/>
  <c r="BH51" i="31"/>
  <c r="AM51" i="31"/>
  <c r="S51" i="31"/>
  <c r="R51" i="31"/>
  <c r="N51" i="31"/>
  <c r="M51" i="31"/>
  <c r="L51" i="31"/>
  <c r="K51" i="31"/>
  <c r="BH50" i="31"/>
  <c r="AM50" i="31"/>
  <c r="S50" i="31"/>
  <c r="R50" i="31"/>
  <c r="N50" i="31"/>
  <c r="M50" i="31"/>
  <c r="L50" i="31"/>
  <c r="K50" i="31"/>
  <c r="D50" i="31"/>
  <c r="C50" i="31"/>
  <c r="BH49" i="31"/>
  <c r="BJ49" i="31" s="1"/>
  <c r="BG49" i="31"/>
  <c r="BI35" i="31" s="1"/>
  <c r="AM49" i="31"/>
  <c r="S49" i="31"/>
  <c r="R49" i="31"/>
  <c r="L49" i="31"/>
  <c r="K49" i="31"/>
  <c r="D49" i="31"/>
  <c r="C49" i="31"/>
  <c r="AC48" i="31"/>
  <c r="AB48" i="31"/>
  <c r="N48" i="31"/>
  <c r="M48" i="31"/>
  <c r="BJ47" i="31"/>
  <c r="AC47" i="31"/>
  <c r="AB47" i="31"/>
  <c r="N47" i="31"/>
  <c r="M47" i="31"/>
  <c r="AC46" i="31"/>
  <c r="AB46" i="31"/>
  <c r="N46" i="31"/>
  <c r="M46" i="31"/>
  <c r="AC45" i="31"/>
  <c r="AB45" i="31"/>
  <c r="N45" i="31"/>
  <c r="M45" i="31"/>
  <c r="AC44" i="31"/>
  <c r="AB44" i="31"/>
  <c r="N44" i="31"/>
  <c r="M44" i="31"/>
  <c r="BJ43" i="31"/>
  <c r="AC43" i="31"/>
  <c r="AB43" i="31"/>
  <c r="N43" i="31"/>
  <c r="M43" i="31"/>
  <c r="BJ42" i="31"/>
  <c r="AC42" i="31"/>
  <c r="AB42" i="31"/>
  <c r="N42" i="31"/>
  <c r="M42" i="31"/>
  <c r="AC41" i="31"/>
  <c r="AB41" i="31"/>
  <c r="N41" i="31"/>
  <c r="M41" i="31"/>
  <c r="AC40" i="31"/>
  <c r="AB40" i="31"/>
  <c r="N40" i="31"/>
  <c r="M40" i="31"/>
  <c r="BJ39" i="31"/>
  <c r="AC39" i="31"/>
  <c r="AB39" i="31"/>
  <c r="N39" i="31"/>
  <c r="M39" i="31"/>
  <c r="BJ38" i="31"/>
  <c r="AC38" i="31"/>
  <c r="AB38" i="31"/>
  <c r="N38" i="31"/>
  <c r="M38" i="31"/>
  <c r="BJ37" i="31"/>
  <c r="AC37" i="31"/>
  <c r="AB37" i="31"/>
  <c r="N37" i="31"/>
  <c r="M37" i="31"/>
  <c r="BJ36" i="31"/>
  <c r="AC36" i="31"/>
  <c r="AB36" i="31"/>
  <c r="N36" i="31"/>
  <c r="M36" i="31"/>
  <c r="BJ35" i="31"/>
  <c r="AC35" i="31"/>
  <c r="AB35" i="31"/>
  <c r="N35" i="31"/>
  <c r="M35" i="31"/>
  <c r="BJ34" i="31"/>
  <c r="AC34" i="31"/>
  <c r="AB34" i="31"/>
  <c r="N34" i="31"/>
  <c r="M34" i="31"/>
  <c r="BJ33" i="31"/>
  <c r="AC33" i="31"/>
  <c r="AB33" i="31"/>
  <c r="N33" i="31"/>
  <c r="M33" i="31"/>
  <c r="BJ32" i="31"/>
  <c r="AC32" i="31"/>
  <c r="AB32" i="31"/>
  <c r="N32" i="31"/>
  <c r="M32" i="31"/>
  <c r="BJ31" i="31"/>
  <c r="AC31" i="31"/>
  <c r="AB31" i="31"/>
  <c r="N31" i="31"/>
  <c r="M31" i="31"/>
  <c r="BJ30" i="31"/>
  <c r="AC30" i="31"/>
  <c r="AB30" i="31"/>
  <c r="N30" i="31"/>
  <c r="M30" i="31"/>
  <c r="BJ29" i="31"/>
  <c r="AC29" i="31"/>
  <c r="AB29" i="31"/>
  <c r="N29" i="31"/>
  <c r="M29" i="31"/>
  <c r="BJ28" i="31"/>
  <c r="AC28" i="31"/>
  <c r="AB28" i="31"/>
  <c r="N28" i="31"/>
  <c r="M28" i="31"/>
  <c r="BJ27" i="31"/>
  <c r="AC27" i="31"/>
  <c r="AB27" i="31"/>
  <c r="N27" i="31"/>
  <c r="M27" i="31"/>
  <c r="BJ26" i="31"/>
  <c r="AC26" i="31"/>
  <c r="AB26" i="31"/>
  <c r="N26" i="31"/>
  <c r="M26" i="31"/>
  <c r="BJ25" i="31"/>
  <c r="AC25" i="31"/>
  <c r="AB25" i="31"/>
  <c r="N25" i="31"/>
  <c r="M25" i="31"/>
  <c r="BJ24" i="31"/>
  <c r="AC24" i="31"/>
  <c r="AB24" i="31"/>
  <c r="N24" i="31"/>
  <c r="M24" i="31"/>
  <c r="BJ23" i="31"/>
  <c r="AC23" i="31"/>
  <c r="AB23" i="31"/>
  <c r="N23" i="31"/>
  <c r="M23" i="31"/>
  <c r="BJ22" i="31"/>
  <c r="AC22" i="31"/>
  <c r="AB22" i="31"/>
  <c r="N22" i="31"/>
  <c r="M22" i="31"/>
  <c r="BJ21" i="31"/>
  <c r="AC21" i="31"/>
  <c r="AB21" i="31"/>
  <c r="N21" i="31"/>
  <c r="M21" i="31"/>
  <c r="BJ20" i="31"/>
  <c r="AC20" i="31"/>
  <c r="AB20" i="31"/>
  <c r="N20" i="31"/>
  <c r="M20" i="31"/>
  <c r="BJ19" i="31"/>
  <c r="AC19" i="31"/>
  <c r="AB19" i="31"/>
  <c r="N19" i="31"/>
  <c r="M19" i="31"/>
  <c r="BJ18" i="31"/>
  <c r="AC18" i="31"/>
  <c r="AB18" i="31"/>
  <c r="N18" i="31"/>
  <c r="M18" i="31"/>
  <c r="BJ17" i="31"/>
  <c r="AC17" i="31"/>
  <c r="AB17" i="31"/>
  <c r="N17" i="31"/>
  <c r="M17" i="31"/>
  <c r="BJ16" i="31"/>
  <c r="AC16" i="31"/>
  <c r="AB16" i="31"/>
  <c r="N16" i="31"/>
  <c r="M16" i="31"/>
  <c r="BJ15" i="31"/>
  <c r="AC15" i="31"/>
  <c r="AB15" i="31"/>
  <c r="N15" i="31"/>
  <c r="M15" i="31"/>
  <c r="BJ14" i="31"/>
  <c r="AC14" i="31"/>
  <c r="AB14" i="31"/>
  <c r="N14" i="31"/>
  <c r="M14" i="31"/>
  <c r="BJ13" i="31"/>
  <c r="AC13" i="31"/>
  <c r="AB13" i="31"/>
  <c r="N13" i="31"/>
  <c r="M13" i="31"/>
  <c r="BJ12" i="31"/>
  <c r="AC12" i="31"/>
  <c r="AB12" i="31"/>
  <c r="N12" i="31"/>
  <c r="M12" i="31"/>
  <c r="BJ11" i="31"/>
  <c r="AC11" i="31"/>
  <c r="AB11" i="31"/>
  <c r="N11" i="31"/>
  <c r="M11" i="31"/>
  <c r="BJ10" i="31"/>
  <c r="AC10" i="31"/>
  <c r="AB10" i="31"/>
  <c r="N10" i="31"/>
  <c r="M10" i="31"/>
  <c r="BJ9" i="31"/>
  <c r="AC9" i="31"/>
  <c r="AB9" i="31"/>
  <c r="N9" i="31"/>
  <c r="M9" i="31"/>
  <c r="BJ8" i="31"/>
  <c r="AC8" i="31"/>
  <c r="AB8" i="31"/>
  <c r="N8" i="31"/>
  <c r="M8" i="31"/>
  <c r="BJ7" i="31"/>
  <c r="AC7" i="31"/>
  <c r="AB7" i="31"/>
  <c r="N7" i="31"/>
  <c r="M7" i="31"/>
  <c r="BJ6" i="31"/>
  <c r="AC6" i="31"/>
  <c r="AB6" i="31"/>
  <c r="N6" i="31"/>
  <c r="M6" i="31"/>
  <c r="BJ5" i="31"/>
  <c r="AC5" i="31"/>
  <c r="AB5" i="31"/>
  <c r="N5" i="31"/>
  <c r="M5" i="31"/>
  <c r="BJ4" i="31"/>
  <c r="AC4" i="31"/>
  <c r="AB4" i="31"/>
  <c r="N4" i="31"/>
  <c r="M4" i="31"/>
  <c r="BJ3" i="31"/>
  <c r="AC3" i="31"/>
  <c r="AB3" i="31"/>
  <c r="N3" i="31"/>
  <c r="M3" i="31"/>
  <c r="BJ2" i="31"/>
  <c r="AC2" i="31"/>
  <c r="N2" i="31"/>
  <c r="M2" i="31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2" i="28"/>
  <c r="V41" i="31" l="1"/>
  <c r="V34" i="31"/>
  <c r="V26" i="31"/>
  <c r="V18" i="31"/>
  <c r="V33" i="31"/>
  <c r="V25" i="31"/>
  <c r="V17" i="31"/>
  <c r="V9" i="31"/>
  <c r="V44" i="31"/>
  <c r="V36" i="31"/>
  <c r="V20" i="31"/>
  <c r="V28" i="31"/>
  <c r="V12" i="31"/>
  <c r="V4" i="31"/>
  <c r="V43" i="31"/>
  <c r="V35" i="31"/>
  <c r="V27" i="31"/>
  <c r="V19" i="31"/>
  <c r="V11" i="31"/>
  <c r="V3" i="31"/>
  <c r="BI20" i="31"/>
  <c r="BK20" i="31" s="1" a="1"/>
  <c r="BK20" i="31" s="1"/>
  <c r="BI12" i="31"/>
  <c r="BK12" i="31" s="1" a="1"/>
  <c r="BK12" i="31" s="1"/>
  <c r="V10" i="31"/>
  <c r="V48" i="31"/>
  <c r="V40" i="31"/>
  <c r="V32" i="31"/>
  <c r="V24" i="31"/>
  <c r="V16" i="31"/>
  <c r="V8" i="31"/>
  <c r="BI2" i="31"/>
  <c r="BK2" i="31" s="1" a="1"/>
  <c r="BK2" i="31" s="1"/>
  <c r="BI46" i="31"/>
  <c r="V47" i="31"/>
  <c r="V39" i="31"/>
  <c r="V31" i="31"/>
  <c r="V23" i="31"/>
  <c r="V15" i="31"/>
  <c r="V7" i="31"/>
  <c r="V46" i="31"/>
  <c r="V38" i="31"/>
  <c r="V30" i="31"/>
  <c r="V22" i="31"/>
  <c r="V14" i="31"/>
  <c r="V6" i="31"/>
  <c r="V45" i="31"/>
  <c r="V37" i="31"/>
  <c r="V29" i="31"/>
  <c r="V21" i="31"/>
  <c r="V13" i="31"/>
  <c r="V5" i="31"/>
  <c r="BJ46" i="31"/>
  <c r="BJ50" i="31"/>
  <c r="BJ41" i="31"/>
  <c r="BJ40" i="31"/>
  <c r="BJ44" i="31"/>
  <c r="BJ48" i="31"/>
  <c r="BK35" i="31" a="1"/>
  <c r="BK35" i="31" s="1"/>
  <c r="BI11" i="31"/>
  <c r="BK11" i="31" s="1" a="1"/>
  <c r="BK11" i="31" s="1"/>
  <c r="BI19" i="31"/>
  <c r="BK19" i="31" s="1" a="1"/>
  <c r="BK19" i="31" s="1"/>
  <c r="BI32" i="31"/>
  <c r="BK32" i="31" s="1" a="1"/>
  <c r="BK32" i="31" s="1"/>
  <c r="BI33" i="31"/>
  <c r="BK33" i="31" s="1" a="1"/>
  <c r="BK33" i="31" s="1"/>
  <c r="BI34" i="31"/>
  <c r="BK34" i="31" s="1" a="1"/>
  <c r="BK34" i="31" s="1"/>
  <c r="BI10" i="31"/>
  <c r="BK10" i="31" s="1" a="1"/>
  <c r="BK10" i="31" s="1"/>
  <c r="BI18" i="31"/>
  <c r="BK18" i="31" s="1" a="1"/>
  <c r="BK18" i="31" s="1"/>
  <c r="BI31" i="31"/>
  <c r="BK31" i="31" s="1" a="1"/>
  <c r="BK31" i="31" s="1"/>
  <c r="BI44" i="31"/>
  <c r="BI45" i="31"/>
  <c r="BI49" i="31"/>
  <c r="BK49" i="31" s="1" a="1"/>
  <c r="BK49" i="31" s="1"/>
  <c r="BI8" i="31"/>
  <c r="BK8" i="31" s="1" a="1"/>
  <c r="BK8" i="31" s="1"/>
  <c r="BI9" i="31"/>
  <c r="BK9" i="31" s="1" a="1"/>
  <c r="BK9" i="31" s="1"/>
  <c r="BI17" i="31"/>
  <c r="BK17" i="31" s="1" a="1"/>
  <c r="BK17" i="31" s="1"/>
  <c r="BI28" i="31"/>
  <c r="BK28" i="31" s="1" a="1"/>
  <c r="BK28" i="31" s="1"/>
  <c r="BI29" i="31"/>
  <c r="BK29" i="31" s="1" a="1"/>
  <c r="BK29" i="31" s="1"/>
  <c r="BI30" i="31"/>
  <c r="BK30" i="31" s="1" a="1"/>
  <c r="BK30" i="31" s="1"/>
  <c r="BI43" i="31"/>
  <c r="BK43" i="31" s="1" a="1"/>
  <c r="BK43" i="31" s="1"/>
  <c r="M49" i="31"/>
  <c r="BI7" i="31"/>
  <c r="BK7" i="31" s="1" a="1"/>
  <c r="BK7" i="31" s="1"/>
  <c r="BI16" i="31"/>
  <c r="BK16" i="31" s="1" a="1"/>
  <c r="BK16" i="31" s="1"/>
  <c r="BI27" i="31"/>
  <c r="BK27" i="31" s="1" a="1"/>
  <c r="BK27" i="31" s="1"/>
  <c r="BI40" i="31"/>
  <c r="BK40" i="31" s="1" a="1"/>
  <c r="BK40" i="31" s="1"/>
  <c r="BI41" i="31"/>
  <c r="BI42" i="31"/>
  <c r="BK42" i="31" s="1" a="1"/>
  <c r="BK42" i="31" s="1"/>
  <c r="BG50" i="31"/>
  <c r="BI50" i="31" s="1"/>
  <c r="BI6" i="31"/>
  <c r="BK6" i="31" s="1" a="1"/>
  <c r="BK6" i="31" s="1"/>
  <c r="BI15" i="31"/>
  <c r="BK15" i="31" s="1" a="1"/>
  <c r="BK15" i="31" s="1"/>
  <c r="BI24" i="31"/>
  <c r="BK24" i="31" s="1" a="1"/>
  <c r="BK24" i="31" s="1"/>
  <c r="BI25" i="31"/>
  <c r="BK25" i="31" s="1" a="1"/>
  <c r="BK25" i="31" s="1"/>
  <c r="BI26" i="31"/>
  <c r="BK26" i="31" s="1" a="1"/>
  <c r="BK26" i="31" s="1"/>
  <c r="BI39" i="31"/>
  <c r="BK39" i="31" s="1" a="1"/>
  <c r="BK39" i="31" s="1"/>
  <c r="BI4" i="31"/>
  <c r="BK4" i="31" s="1" a="1"/>
  <c r="BK4" i="31" s="1"/>
  <c r="BI5" i="31"/>
  <c r="BK5" i="31" s="1" a="1"/>
  <c r="BK5" i="31" s="1"/>
  <c r="BI14" i="31"/>
  <c r="BK14" i="31" s="1" a="1"/>
  <c r="BK14" i="31" s="1"/>
  <c r="BI23" i="31"/>
  <c r="BK23" i="31" s="1" a="1"/>
  <c r="BK23" i="31" s="1"/>
  <c r="BI37" i="31"/>
  <c r="BK37" i="31" s="1" a="1"/>
  <c r="BK37" i="31" s="1"/>
  <c r="BI38" i="31"/>
  <c r="BK38" i="31" s="1" a="1"/>
  <c r="BK38" i="31" s="1"/>
  <c r="BI48" i="31"/>
  <c r="BI3" i="31"/>
  <c r="BK3" i="31" s="1" a="1"/>
  <c r="BK3" i="31" s="1"/>
  <c r="BI13" i="31"/>
  <c r="BK13" i="31" s="1" a="1"/>
  <c r="BK13" i="31" s="1"/>
  <c r="BI21" i="31"/>
  <c r="BK21" i="31" s="1" a="1"/>
  <c r="BK21" i="31" s="1"/>
  <c r="BI22" i="31"/>
  <c r="BK22" i="31" s="1" a="1"/>
  <c r="BK22" i="31" s="1"/>
  <c r="BI36" i="31"/>
  <c r="BK36" i="31" s="1" a="1"/>
  <c r="BK36" i="31" s="1"/>
  <c r="BI47" i="31"/>
  <c r="BK47" i="31" s="1" a="1"/>
  <c r="BK47" i="31" s="1"/>
  <c r="AG18" i="31"/>
  <c r="AK9" i="31"/>
  <c r="N49" i="31"/>
  <c r="BJ45" i="31"/>
  <c r="BJ51" i="31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2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2" i="28"/>
  <c r="BK45" i="31" l="1" a="1"/>
  <c r="BK45" i="31" s="1"/>
  <c r="BK50" i="31" a="1"/>
  <c r="BK50" i="31" s="1"/>
  <c r="BK48" i="31" a="1"/>
  <c r="BK48" i="31" s="1"/>
  <c r="BK46" i="31" a="1"/>
  <c r="BK46" i="31" s="1"/>
  <c r="AG16" i="31"/>
  <c r="AG44" i="31"/>
  <c r="AG29" i="31"/>
  <c r="AG25" i="31"/>
  <c r="AG45" i="31"/>
  <c r="AG21" i="31"/>
  <c r="BK44" i="31" a="1"/>
  <c r="BK44" i="31" s="1"/>
  <c r="AG12" i="31"/>
  <c r="AG31" i="31"/>
  <c r="AG23" i="31"/>
  <c r="AG11" i="31"/>
  <c r="AG43" i="31"/>
  <c r="BK41" i="31" a="1"/>
  <c r="BK41" i="31" s="1"/>
  <c r="AG35" i="31"/>
  <c r="BG51" i="31"/>
  <c r="BI51" i="31" s="1"/>
  <c r="BK51" i="31" s="1" a="1"/>
  <c r="BK51" i="31" s="1"/>
  <c r="AG32" i="31"/>
  <c r="AG27" i="31"/>
  <c r="AG41" i="31"/>
  <c r="AG19" i="31"/>
  <c r="AG8" i="31"/>
  <c r="AG39" i="31"/>
  <c r="AG37" i="31"/>
  <c r="AG15" i="31"/>
  <c r="AG36" i="31"/>
  <c r="AK47" i="31"/>
  <c r="AK19" i="31"/>
  <c r="AK15" i="31"/>
  <c r="AK11" i="31"/>
  <c r="AK24" i="31"/>
  <c r="AK3" i="31"/>
  <c r="AD26" i="31"/>
  <c r="AD45" i="31"/>
  <c r="AK43" i="31"/>
  <c r="AD43" i="31"/>
  <c r="AD27" i="31"/>
  <c r="AK36" i="31"/>
  <c r="AD19" i="31"/>
  <c r="AD15" i="31"/>
  <c r="AD11" i="31"/>
  <c r="AG24" i="31"/>
  <c r="AD25" i="31"/>
  <c r="AD23" i="31"/>
  <c r="AK37" i="31"/>
  <c r="AK33" i="31"/>
  <c r="AK29" i="31"/>
  <c r="AK25" i="31"/>
  <c r="AK38" i="31"/>
  <c r="AK34" i="31"/>
  <c r="AK30" i="31"/>
  <c r="AD36" i="31"/>
  <c r="AK16" i="31"/>
  <c r="AK12" i="31"/>
  <c r="AK10" i="31"/>
  <c r="AD5" i="31"/>
  <c r="AD2" i="31"/>
  <c r="AD16" i="31"/>
  <c r="AD24" i="31"/>
  <c r="AK21" i="31"/>
  <c r="AK6" i="31"/>
  <c r="AK2" i="31"/>
  <c r="AD12" i="31"/>
  <c r="AD6" i="31"/>
  <c r="AK8" i="31"/>
  <c r="AD48" i="31"/>
  <c r="AD40" i="31"/>
  <c r="AK22" i="31"/>
  <c r="AD20" i="31"/>
  <c r="AD4" i="31"/>
  <c r="AK26" i="31"/>
  <c r="AD8" i="31"/>
  <c r="AK5" i="31"/>
  <c r="AD32" i="31"/>
  <c r="AD44" i="31"/>
  <c r="AK35" i="31"/>
  <c r="AD39" i="31"/>
  <c r="AK18" i="31"/>
  <c r="AK14" i="31"/>
  <c r="AD37" i="31"/>
  <c r="AK46" i="31"/>
  <c r="AD3" i="31"/>
  <c r="AG26" i="31"/>
  <c r="AG4" i="31"/>
  <c r="AG34" i="31"/>
  <c r="AG2" i="31"/>
  <c r="AG42" i="31"/>
  <c r="AG9" i="31"/>
  <c r="AG46" i="31"/>
  <c r="AG38" i="31"/>
  <c r="AG22" i="31"/>
  <c r="AG5" i="31"/>
  <c r="AG30" i="31"/>
  <c r="AG6" i="31"/>
  <c r="AK45" i="31"/>
  <c r="AG10" i="31"/>
  <c r="AK39" i="31"/>
  <c r="AD10" i="31"/>
  <c r="AK4" i="31"/>
  <c r="AK31" i="31"/>
  <c r="AK48" i="31"/>
  <c r="AD18" i="31"/>
  <c r="AD14" i="31"/>
  <c r="AD30" i="31"/>
  <c r="AK42" i="31"/>
  <c r="AK41" i="31"/>
  <c r="AD7" i="31"/>
  <c r="AG48" i="31"/>
  <c r="AK28" i="31"/>
  <c r="AK23" i="31"/>
  <c r="AD33" i="31"/>
  <c r="AD46" i="31"/>
  <c r="AK27" i="31"/>
  <c r="AD35" i="31"/>
  <c r="AK17" i="31"/>
  <c r="AK13" i="31"/>
  <c r="AD34" i="31"/>
  <c r="AG47" i="31"/>
  <c r="AG28" i="31"/>
  <c r="AG3" i="31"/>
  <c r="AG7" i="31"/>
  <c r="AG33" i="31"/>
  <c r="AD21" i="31"/>
  <c r="AG17" i="31"/>
  <c r="AG13" i="31"/>
  <c r="AD22" i="31"/>
  <c r="AD9" i="31"/>
  <c r="AD29" i="31"/>
  <c r="AD38" i="31"/>
  <c r="AK40" i="31"/>
  <c r="AD41" i="31"/>
  <c r="AK32" i="31"/>
  <c r="AD42" i="31"/>
  <c r="AD47" i="31"/>
  <c r="AD31" i="31"/>
  <c r="AK44" i="31"/>
  <c r="AK20" i="31"/>
  <c r="AD17" i="31"/>
  <c r="AD13" i="31"/>
  <c r="AG20" i="31"/>
  <c r="AK7" i="31"/>
  <c r="AD28" i="31"/>
  <c r="AG40" i="31"/>
  <c r="AG14" i="31"/>
  <c r="AA50" i="13"/>
  <c r="D3" i="30" l="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2" i="30"/>
  <c r="AL49" i="13"/>
  <c r="AL50" i="13"/>
  <c r="AL51" i="13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2" i="13"/>
  <c r="R2" i="23" a="1"/>
  <c r="R2" i="23" s="1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3" i="27"/>
  <c r="M3" i="25"/>
  <c r="N3" i="25" s="1"/>
  <c r="M4" i="25"/>
  <c r="N4" i="25" s="1"/>
  <c r="M5" i="25"/>
  <c r="N5" i="25" s="1"/>
  <c r="M6" i="25"/>
  <c r="N6" i="25" s="1"/>
  <c r="M7" i="25"/>
  <c r="N7" i="25" s="1"/>
  <c r="M8" i="25"/>
  <c r="N8" i="25" s="1"/>
  <c r="M9" i="25"/>
  <c r="N9" i="25" s="1"/>
  <c r="M10" i="25"/>
  <c r="N10" i="25" s="1"/>
  <c r="M11" i="25"/>
  <c r="N11" i="25" s="1"/>
  <c r="M12" i="25"/>
  <c r="N12" i="25" s="1"/>
  <c r="M13" i="25"/>
  <c r="N13" i="25" s="1"/>
  <c r="M14" i="25"/>
  <c r="N14" i="25" s="1"/>
  <c r="M15" i="25"/>
  <c r="N15" i="25" s="1"/>
  <c r="M16" i="25"/>
  <c r="N16" i="25" s="1"/>
  <c r="M17" i="25"/>
  <c r="N17" i="25" s="1"/>
  <c r="M18" i="25"/>
  <c r="N18" i="25" s="1"/>
  <c r="M19" i="25"/>
  <c r="N19" i="25" s="1"/>
  <c r="M20" i="25"/>
  <c r="N20" i="25" s="1"/>
  <c r="M21" i="25"/>
  <c r="N21" i="25" s="1"/>
  <c r="M22" i="25"/>
  <c r="N22" i="25" s="1"/>
  <c r="M23" i="25"/>
  <c r="N23" i="25" s="1"/>
  <c r="M24" i="25"/>
  <c r="N24" i="25" s="1"/>
  <c r="M25" i="25"/>
  <c r="N25" i="25" s="1"/>
  <c r="M26" i="25"/>
  <c r="N26" i="25" s="1"/>
  <c r="M27" i="25"/>
  <c r="N27" i="25" s="1"/>
  <c r="M28" i="25"/>
  <c r="N28" i="25" s="1"/>
  <c r="M29" i="25"/>
  <c r="N29" i="25" s="1"/>
  <c r="M30" i="25"/>
  <c r="N30" i="25" s="1"/>
  <c r="M31" i="25"/>
  <c r="N31" i="25" s="1"/>
  <c r="M32" i="25"/>
  <c r="N32" i="25" s="1"/>
  <c r="M33" i="25"/>
  <c r="N33" i="25" s="1"/>
  <c r="M34" i="25"/>
  <c r="N34" i="25" s="1"/>
  <c r="M35" i="25"/>
  <c r="N35" i="25" s="1"/>
  <c r="M36" i="25"/>
  <c r="N36" i="25" s="1"/>
  <c r="M37" i="25"/>
  <c r="N37" i="25" s="1"/>
  <c r="M38" i="25"/>
  <c r="N38" i="25" s="1"/>
  <c r="M39" i="25"/>
  <c r="N39" i="25" s="1"/>
  <c r="M40" i="25"/>
  <c r="N40" i="25" s="1"/>
  <c r="M41" i="25"/>
  <c r="N41" i="25" s="1"/>
  <c r="M42" i="25"/>
  <c r="N42" i="25" s="1"/>
  <c r="M43" i="25"/>
  <c r="N43" i="25" s="1"/>
  <c r="M44" i="25"/>
  <c r="N44" i="25" s="1"/>
  <c r="M45" i="25"/>
  <c r="N45" i="25" s="1"/>
  <c r="M46" i="25"/>
  <c r="N46" i="25" s="1"/>
  <c r="M47" i="25"/>
  <c r="N47" i="25" s="1"/>
  <c r="M48" i="25"/>
  <c r="N48" i="25" s="1"/>
  <c r="M2" i="25"/>
  <c r="N2" i="25" s="1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2" i="25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2" i="13"/>
  <c r="O2" i="23"/>
  <c r="F49" i="19"/>
  <c r="F51" i="19"/>
  <c r="E49" i="19"/>
  <c r="E51" i="19"/>
  <c r="P48" i="23"/>
  <c r="O48" i="23"/>
  <c r="P25" i="23"/>
  <c r="O25" i="23"/>
  <c r="P20" i="23"/>
  <c r="P7" i="23"/>
  <c r="P4" i="23"/>
  <c r="P3" i="22" a="1"/>
  <c r="P3" i="22" s="1"/>
  <c r="P4" i="22" a="1"/>
  <c r="P4" i="22"/>
  <c r="P5" i="22" a="1"/>
  <c r="P5" i="22" s="1"/>
  <c r="P6" i="22" a="1"/>
  <c r="P6" i="22"/>
  <c r="P7" i="22" a="1"/>
  <c r="P7" i="22" s="1"/>
  <c r="P8" i="22" a="1"/>
  <c r="P8" i="22"/>
  <c r="P9" i="22" a="1"/>
  <c r="P9" i="22" s="1"/>
  <c r="P10" i="22" a="1"/>
  <c r="P10" i="22"/>
  <c r="P11" i="22" a="1"/>
  <c r="P11" i="22" s="1"/>
  <c r="P12" i="22" a="1"/>
  <c r="P12" i="22"/>
  <c r="P13" i="22" a="1"/>
  <c r="P13" i="22" s="1"/>
  <c r="P14" i="22" a="1"/>
  <c r="P14" i="22"/>
  <c r="P15" i="22" a="1"/>
  <c r="P15" i="22" s="1"/>
  <c r="P16" i="22" a="1"/>
  <c r="P16" i="22"/>
  <c r="P17" i="22" a="1"/>
  <c r="P17" i="22" s="1"/>
  <c r="P18" i="22" a="1"/>
  <c r="P18" i="22"/>
  <c r="P19" i="22" a="1"/>
  <c r="P19" i="22" s="1"/>
  <c r="P20" i="22" a="1"/>
  <c r="P20" i="22"/>
  <c r="P21" i="22" a="1"/>
  <c r="P21" i="22" s="1"/>
  <c r="P22" i="22" a="1"/>
  <c r="P22" i="22"/>
  <c r="P23" i="22" a="1"/>
  <c r="P23" i="22" s="1"/>
  <c r="P24" i="22" a="1"/>
  <c r="P24" i="22"/>
  <c r="P25" i="22" a="1"/>
  <c r="P25" i="22" s="1"/>
  <c r="P26" i="22" a="1"/>
  <c r="P26" i="22"/>
  <c r="P27" i="22" a="1"/>
  <c r="P27" i="22" s="1"/>
  <c r="P28" i="22" a="1"/>
  <c r="P28" i="22"/>
  <c r="P29" i="22" a="1"/>
  <c r="P29" i="22" s="1"/>
  <c r="P30" i="22" a="1"/>
  <c r="P30" i="22"/>
  <c r="P31" i="22" a="1"/>
  <c r="P31" i="22" s="1"/>
  <c r="P32" i="22" a="1"/>
  <c r="P32" i="22"/>
  <c r="P33" i="22" a="1"/>
  <c r="P33" i="22" s="1"/>
  <c r="P34" i="22" a="1"/>
  <c r="P34" i="22"/>
  <c r="P35" i="22" a="1"/>
  <c r="P35" i="22" s="1"/>
  <c r="P36" i="22" a="1"/>
  <c r="P36" i="22"/>
  <c r="P37" i="22" a="1"/>
  <c r="P37" i="22" s="1"/>
  <c r="P38" i="22" a="1"/>
  <c r="P38" i="22"/>
  <c r="P39" i="22" a="1"/>
  <c r="P39" i="22" s="1"/>
  <c r="P40" i="22" a="1"/>
  <c r="P40" i="22"/>
  <c r="P41" i="22" a="1"/>
  <c r="P41" i="22" s="1"/>
  <c r="P42" i="22" a="1"/>
  <c r="P42" i="22"/>
  <c r="P43" i="22" a="1"/>
  <c r="P43" i="22" s="1"/>
  <c r="P44" i="22" a="1"/>
  <c r="P44" i="22"/>
  <c r="P45" i="22" a="1"/>
  <c r="P45" i="22" s="1"/>
  <c r="P46" i="22" a="1"/>
  <c r="P46" i="22"/>
  <c r="P47" i="22" a="1"/>
  <c r="P47" i="22" s="1"/>
  <c r="P48" i="22" a="1"/>
  <c r="P48" i="22"/>
  <c r="P2" i="22" a="1"/>
  <c r="P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2" i="22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2" i="22"/>
  <c r="M49" i="22"/>
  <c r="L49" i="22"/>
  <c r="L51" i="21"/>
  <c r="K51" i="21"/>
  <c r="D51" i="21"/>
  <c r="C51" i="21"/>
  <c r="L50" i="21"/>
  <c r="K50" i="21"/>
  <c r="D50" i="21"/>
  <c r="C50" i="21"/>
  <c r="T49" i="21"/>
  <c r="L49" i="21"/>
  <c r="K49" i="21"/>
  <c r="D49" i="21"/>
  <c r="C49" i="21"/>
  <c r="N48" i="21"/>
  <c r="M48" i="21"/>
  <c r="O48" i="21" s="1" a="1"/>
  <c r="O48" i="21" s="1"/>
  <c r="P48" i="21" s="1" a="1"/>
  <c r="P48" i="21" s="1"/>
  <c r="G48" i="21"/>
  <c r="H48" i="21" s="1" a="1"/>
  <c r="H48" i="21" s="1"/>
  <c r="G48" i="21" a="1"/>
  <c r="F48" i="21"/>
  <c r="E48" i="21"/>
  <c r="N47" i="21"/>
  <c r="M47" i="21"/>
  <c r="G47" i="21"/>
  <c r="H47" i="21" s="1" a="1"/>
  <c r="H47" i="21" s="1"/>
  <c r="G47" i="21" a="1"/>
  <c r="F47" i="21"/>
  <c r="E47" i="21"/>
  <c r="N46" i="21"/>
  <c r="M46" i="21"/>
  <c r="G46" i="21"/>
  <c r="H46" i="21" s="1" a="1"/>
  <c r="H46" i="21" s="1"/>
  <c r="G46" i="21" a="1"/>
  <c r="F46" i="21"/>
  <c r="E46" i="21"/>
  <c r="N45" i="21"/>
  <c r="M45" i="21"/>
  <c r="O45" i="21" s="1" a="1"/>
  <c r="O45" i="21" s="1"/>
  <c r="P45" i="21" s="1" a="1"/>
  <c r="P45" i="21" s="1"/>
  <c r="G45" i="21"/>
  <c r="H45" i="21" s="1" a="1"/>
  <c r="H45" i="21" s="1"/>
  <c r="G45" i="21" a="1"/>
  <c r="F45" i="21"/>
  <c r="E45" i="21"/>
  <c r="N44" i="21"/>
  <c r="M44" i="21"/>
  <c r="O44" i="21" s="1" a="1"/>
  <c r="O44" i="21" s="1"/>
  <c r="P44" i="21" s="1" a="1"/>
  <c r="P44" i="21" s="1"/>
  <c r="G44" i="21"/>
  <c r="H44" i="21" s="1" a="1"/>
  <c r="H44" i="21" s="1"/>
  <c r="G44" i="21" a="1"/>
  <c r="F44" i="21"/>
  <c r="E44" i="21"/>
  <c r="P43" i="21"/>
  <c r="N43" i="21"/>
  <c r="M43" i="21"/>
  <c r="O43" i="21" s="1" a="1"/>
  <c r="O43" i="21" s="1"/>
  <c r="P43" i="21" s="1" a="1"/>
  <c r="G43" i="21"/>
  <c r="H43" i="21" s="1" a="1"/>
  <c r="H43" i="21" s="1"/>
  <c r="G43" i="21" a="1"/>
  <c r="F43" i="21"/>
  <c r="E43" i="21"/>
  <c r="N42" i="21"/>
  <c r="M42" i="21"/>
  <c r="G42" i="21"/>
  <c r="H42" i="21" s="1" a="1"/>
  <c r="H42" i="21" s="1"/>
  <c r="G42" i="21" a="1"/>
  <c r="F42" i="21"/>
  <c r="E42" i="21"/>
  <c r="N41" i="21"/>
  <c r="M41" i="21"/>
  <c r="O41" i="21" s="1" a="1"/>
  <c r="O41" i="21" s="1"/>
  <c r="P41" i="21" s="1" a="1"/>
  <c r="P41" i="21" s="1"/>
  <c r="G41" i="21"/>
  <c r="H41" i="21" s="1" a="1"/>
  <c r="H41" i="21" s="1"/>
  <c r="G41" i="21" a="1"/>
  <c r="F41" i="21"/>
  <c r="E41" i="21"/>
  <c r="N40" i="21"/>
  <c r="M40" i="21"/>
  <c r="O40" i="21" s="1" a="1"/>
  <c r="O40" i="21" s="1"/>
  <c r="P40" i="21" s="1" a="1"/>
  <c r="P40" i="21" s="1"/>
  <c r="G40" i="21" a="1"/>
  <c r="G40" i="21" s="1"/>
  <c r="H40" i="21" s="1" a="1"/>
  <c r="H40" i="21" s="1"/>
  <c r="F40" i="21"/>
  <c r="E40" i="21"/>
  <c r="N39" i="21"/>
  <c r="M39" i="21"/>
  <c r="O39" i="21" s="1" a="1"/>
  <c r="O39" i="21" s="1"/>
  <c r="P39" i="21" s="1" a="1"/>
  <c r="P39" i="21" s="1"/>
  <c r="G39" i="21" a="1"/>
  <c r="G39" i="21" s="1"/>
  <c r="H39" i="21" s="1" a="1"/>
  <c r="H39" i="21" s="1"/>
  <c r="F39" i="21"/>
  <c r="E39" i="21"/>
  <c r="N38" i="21"/>
  <c r="M38" i="21"/>
  <c r="O38" i="21" s="1" a="1"/>
  <c r="O38" i="21" s="1"/>
  <c r="P38" i="21" s="1" a="1"/>
  <c r="P38" i="21" s="1"/>
  <c r="G38" i="21" a="1"/>
  <c r="G38" i="21" s="1"/>
  <c r="H38" i="21" s="1" a="1"/>
  <c r="H38" i="21" s="1"/>
  <c r="F38" i="21"/>
  <c r="E38" i="21"/>
  <c r="N37" i="21"/>
  <c r="M37" i="21"/>
  <c r="O37" i="21" s="1" a="1"/>
  <c r="O37" i="21" s="1"/>
  <c r="P37" i="21" s="1" a="1"/>
  <c r="P37" i="21" s="1"/>
  <c r="G37" i="21" a="1"/>
  <c r="G37" i="21" s="1"/>
  <c r="H37" i="21" s="1" a="1"/>
  <c r="H37" i="21" s="1"/>
  <c r="F37" i="21"/>
  <c r="E37" i="21"/>
  <c r="N36" i="21"/>
  <c r="M36" i="21"/>
  <c r="O36" i="21" s="1" a="1"/>
  <c r="O36" i="21" s="1"/>
  <c r="P36" i="21" s="1" a="1"/>
  <c r="P36" i="21" s="1"/>
  <c r="G36" i="21" a="1"/>
  <c r="G36" i="21" s="1"/>
  <c r="H36" i="21" s="1" a="1"/>
  <c r="H36" i="21" s="1"/>
  <c r="F36" i="21"/>
  <c r="E36" i="21"/>
  <c r="N35" i="21"/>
  <c r="M35" i="21"/>
  <c r="O35" i="21" s="1" a="1"/>
  <c r="O35" i="21" s="1"/>
  <c r="P35" i="21" s="1" a="1"/>
  <c r="P35" i="21" s="1"/>
  <c r="G35" i="21" a="1"/>
  <c r="G35" i="21" s="1"/>
  <c r="H35" i="21" s="1" a="1"/>
  <c r="H35" i="21" s="1"/>
  <c r="F35" i="21"/>
  <c r="E35" i="21"/>
  <c r="N34" i="21"/>
  <c r="M34" i="21"/>
  <c r="O34" i="21" s="1" a="1"/>
  <c r="O34" i="21" s="1"/>
  <c r="P34" i="21" s="1" a="1"/>
  <c r="P34" i="21" s="1"/>
  <c r="G34" i="21" a="1"/>
  <c r="G34" i="21" s="1"/>
  <c r="H34" i="21" s="1" a="1"/>
  <c r="H34" i="21" s="1"/>
  <c r="F34" i="21"/>
  <c r="E34" i="21"/>
  <c r="N33" i="21"/>
  <c r="M33" i="21"/>
  <c r="O33" i="21" s="1" a="1"/>
  <c r="O33" i="21" s="1"/>
  <c r="P33" i="21" s="1" a="1"/>
  <c r="P33" i="21" s="1"/>
  <c r="G33" i="21" a="1"/>
  <c r="G33" i="21" s="1"/>
  <c r="H33" i="21" s="1" a="1"/>
  <c r="H33" i="21" s="1"/>
  <c r="F33" i="21"/>
  <c r="E33" i="21"/>
  <c r="N32" i="21"/>
  <c r="M32" i="21"/>
  <c r="O32" i="21" s="1" a="1"/>
  <c r="O32" i="21" s="1"/>
  <c r="P32" i="21" s="1" a="1"/>
  <c r="P32" i="21" s="1"/>
  <c r="G32" i="21" a="1"/>
  <c r="G32" i="21" s="1"/>
  <c r="H32" i="21" s="1" a="1"/>
  <c r="H32" i="21" s="1"/>
  <c r="F32" i="21"/>
  <c r="E32" i="21"/>
  <c r="N31" i="21"/>
  <c r="M31" i="21"/>
  <c r="O31" i="21" s="1" a="1"/>
  <c r="O31" i="21" s="1"/>
  <c r="P31" i="21" s="1" a="1"/>
  <c r="P31" i="21" s="1"/>
  <c r="G31" i="21" a="1"/>
  <c r="G31" i="21" s="1"/>
  <c r="H31" i="21" s="1" a="1"/>
  <c r="H31" i="21" s="1"/>
  <c r="F31" i="21"/>
  <c r="E31" i="21"/>
  <c r="N30" i="21"/>
  <c r="M30" i="21"/>
  <c r="O30" i="21" s="1" a="1"/>
  <c r="O30" i="21" s="1"/>
  <c r="P30" i="21" s="1" a="1"/>
  <c r="P30" i="21" s="1"/>
  <c r="G30" i="21" a="1"/>
  <c r="G30" i="21" s="1"/>
  <c r="H30" i="21" s="1" a="1"/>
  <c r="H30" i="21" s="1"/>
  <c r="F30" i="21"/>
  <c r="E30" i="21"/>
  <c r="N29" i="21"/>
  <c r="M29" i="21"/>
  <c r="O29" i="21" s="1" a="1"/>
  <c r="O29" i="21" s="1"/>
  <c r="P29" i="21" s="1" a="1"/>
  <c r="P29" i="21" s="1"/>
  <c r="G29" i="21" a="1"/>
  <c r="G29" i="21" s="1"/>
  <c r="H29" i="21" s="1" a="1"/>
  <c r="H29" i="21" s="1"/>
  <c r="F29" i="21"/>
  <c r="E29" i="21"/>
  <c r="N28" i="21"/>
  <c r="M28" i="21"/>
  <c r="O28" i="21" s="1" a="1"/>
  <c r="O28" i="21" s="1"/>
  <c r="P28" i="21" s="1" a="1"/>
  <c r="P28" i="21" s="1"/>
  <c r="G28" i="21" a="1"/>
  <c r="G28" i="21" s="1"/>
  <c r="H28" i="21" s="1" a="1"/>
  <c r="H28" i="21" s="1"/>
  <c r="F28" i="21"/>
  <c r="E28" i="21"/>
  <c r="N27" i="21"/>
  <c r="M27" i="21"/>
  <c r="O27" i="21" s="1" a="1"/>
  <c r="O27" i="21" s="1"/>
  <c r="P27" i="21" s="1" a="1"/>
  <c r="P27" i="21" s="1"/>
  <c r="G27" i="21" a="1"/>
  <c r="G27" i="21" s="1"/>
  <c r="H27" i="21" s="1" a="1"/>
  <c r="H27" i="21" s="1"/>
  <c r="F27" i="21"/>
  <c r="E27" i="21"/>
  <c r="N26" i="21"/>
  <c r="M26" i="21"/>
  <c r="O26" i="21" s="1" a="1"/>
  <c r="O26" i="21" s="1"/>
  <c r="P26" i="21" s="1" a="1"/>
  <c r="P26" i="21" s="1"/>
  <c r="G26" i="21" a="1"/>
  <c r="G26" i="21" s="1"/>
  <c r="H26" i="21" s="1" a="1"/>
  <c r="H26" i="21" s="1"/>
  <c r="F26" i="21"/>
  <c r="E26" i="21"/>
  <c r="N25" i="21"/>
  <c r="M25" i="21"/>
  <c r="O25" i="21" s="1" a="1"/>
  <c r="O25" i="21" s="1"/>
  <c r="P25" i="21" s="1" a="1"/>
  <c r="P25" i="21" s="1"/>
  <c r="G25" i="21" a="1"/>
  <c r="G25" i="21" s="1"/>
  <c r="H25" i="21" s="1" a="1"/>
  <c r="H25" i="21" s="1"/>
  <c r="F25" i="21"/>
  <c r="E25" i="21"/>
  <c r="N24" i="21"/>
  <c r="M24" i="21"/>
  <c r="O24" i="21" s="1" a="1"/>
  <c r="O24" i="21" s="1"/>
  <c r="P24" i="21" s="1" a="1"/>
  <c r="P24" i="21" s="1"/>
  <c r="G24" i="21" a="1"/>
  <c r="G24" i="21" s="1"/>
  <c r="H24" i="21" s="1" a="1"/>
  <c r="H24" i="21" s="1"/>
  <c r="F24" i="21"/>
  <c r="E24" i="21"/>
  <c r="N23" i="21"/>
  <c r="M23" i="21"/>
  <c r="O23" i="21" s="1" a="1"/>
  <c r="O23" i="21" s="1"/>
  <c r="P23" i="21" s="1" a="1"/>
  <c r="P23" i="21" s="1"/>
  <c r="G23" i="21" a="1"/>
  <c r="G23" i="21" s="1"/>
  <c r="H23" i="21" s="1" a="1"/>
  <c r="H23" i="21" s="1"/>
  <c r="F23" i="21"/>
  <c r="E23" i="21"/>
  <c r="N22" i="21"/>
  <c r="M22" i="21"/>
  <c r="O22" i="21" s="1" a="1"/>
  <c r="O22" i="21" s="1"/>
  <c r="P22" i="21" s="1" a="1"/>
  <c r="P22" i="21" s="1"/>
  <c r="G22" i="21" a="1"/>
  <c r="G22" i="21" s="1"/>
  <c r="H22" i="21" s="1" a="1"/>
  <c r="H22" i="21" s="1"/>
  <c r="F22" i="21"/>
  <c r="E22" i="21"/>
  <c r="N21" i="21"/>
  <c r="M21" i="21"/>
  <c r="O21" i="21" s="1" a="1"/>
  <c r="O21" i="21" s="1"/>
  <c r="P21" i="21" s="1" a="1"/>
  <c r="P21" i="21" s="1"/>
  <c r="G21" i="21" a="1"/>
  <c r="G21" i="21" s="1"/>
  <c r="H21" i="21" s="1" a="1"/>
  <c r="H21" i="21" s="1"/>
  <c r="F21" i="21"/>
  <c r="E21" i="21"/>
  <c r="N20" i="21"/>
  <c r="M20" i="21"/>
  <c r="O20" i="21" s="1" a="1"/>
  <c r="O20" i="21" s="1"/>
  <c r="P20" i="21" s="1" a="1"/>
  <c r="P20" i="21" s="1"/>
  <c r="G20" i="21" a="1"/>
  <c r="G20" i="21" s="1"/>
  <c r="H20" i="21" s="1" a="1"/>
  <c r="H20" i="21" s="1"/>
  <c r="F20" i="21"/>
  <c r="E20" i="21"/>
  <c r="N19" i="21"/>
  <c r="M19" i="21"/>
  <c r="O19" i="21" s="1" a="1"/>
  <c r="O19" i="21" s="1"/>
  <c r="P19" i="21" s="1" a="1"/>
  <c r="P19" i="21" s="1"/>
  <c r="G19" i="21" a="1"/>
  <c r="G19" i="21" s="1"/>
  <c r="H19" i="21" s="1" a="1"/>
  <c r="H19" i="21" s="1"/>
  <c r="F19" i="21"/>
  <c r="E19" i="21"/>
  <c r="N18" i="21"/>
  <c r="M18" i="21"/>
  <c r="O18" i="21" s="1" a="1"/>
  <c r="O18" i="21" s="1"/>
  <c r="P18" i="21" s="1" a="1"/>
  <c r="P18" i="21" s="1"/>
  <c r="G18" i="21" a="1"/>
  <c r="G18" i="21" s="1"/>
  <c r="H18" i="21" s="1" a="1"/>
  <c r="H18" i="21" s="1"/>
  <c r="F18" i="21"/>
  <c r="E18" i="21"/>
  <c r="N17" i="21"/>
  <c r="M17" i="21"/>
  <c r="O17" i="21" s="1" a="1"/>
  <c r="O17" i="21" s="1"/>
  <c r="P17" i="21" s="1" a="1"/>
  <c r="P17" i="21" s="1"/>
  <c r="G17" i="21" a="1"/>
  <c r="G17" i="21" s="1"/>
  <c r="H17" i="21" s="1" a="1"/>
  <c r="H17" i="21" s="1"/>
  <c r="F17" i="21"/>
  <c r="E17" i="21"/>
  <c r="N16" i="21"/>
  <c r="M16" i="21"/>
  <c r="O16" i="21" s="1" a="1"/>
  <c r="O16" i="21" s="1"/>
  <c r="P16" i="21" s="1" a="1"/>
  <c r="P16" i="21" s="1"/>
  <c r="G16" i="21"/>
  <c r="H16" i="21" s="1" a="1"/>
  <c r="H16" i="21" s="1"/>
  <c r="G16" i="21" a="1"/>
  <c r="F16" i="21"/>
  <c r="E16" i="21"/>
  <c r="O15" i="21" a="1"/>
  <c r="O15" i="21" s="1"/>
  <c r="P15" i="21" s="1" a="1"/>
  <c r="P15" i="21" s="1"/>
  <c r="N15" i="21"/>
  <c r="M15" i="21"/>
  <c r="F15" i="21"/>
  <c r="E15" i="21"/>
  <c r="G15" i="21" s="1" a="1"/>
  <c r="G15" i="21" s="1"/>
  <c r="H15" i="21" s="1" a="1"/>
  <c r="H15" i="21" s="1"/>
  <c r="P14" i="21"/>
  <c r="N14" i="21"/>
  <c r="M14" i="21"/>
  <c r="O14" i="21" s="1" a="1"/>
  <c r="O14" i="21" s="1"/>
  <c r="P14" i="21" s="1" a="1"/>
  <c r="G14" i="21"/>
  <c r="H14" i="21" s="1" a="1"/>
  <c r="H14" i="21" s="1"/>
  <c r="G14" i="21" a="1"/>
  <c r="F14" i="21"/>
  <c r="E14" i="21"/>
  <c r="O13" i="21" a="1"/>
  <c r="O13" i="21" s="1"/>
  <c r="P13" i="21" s="1" a="1"/>
  <c r="P13" i="21" s="1"/>
  <c r="N13" i="21"/>
  <c r="M13" i="21"/>
  <c r="F13" i="21"/>
  <c r="E13" i="21"/>
  <c r="G13" i="21" s="1" a="1"/>
  <c r="G13" i="21" s="1"/>
  <c r="H13" i="21" s="1" a="1"/>
  <c r="H13" i="21" s="1"/>
  <c r="N12" i="21"/>
  <c r="M12" i="21"/>
  <c r="O12" i="21" s="1" a="1"/>
  <c r="O12" i="21" s="1"/>
  <c r="P12" i="21" s="1" a="1"/>
  <c r="P12" i="21" s="1"/>
  <c r="G12" i="21"/>
  <c r="H12" i="21" s="1" a="1"/>
  <c r="H12" i="21" s="1"/>
  <c r="G12" i="21" a="1"/>
  <c r="F12" i="21"/>
  <c r="E12" i="21"/>
  <c r="O11" i="21" a="1"/>
  <c r="O11" i="21" s="1"/>
  <c r="P11" i="21" s="1" a="1"/>
  <c r="P11" i="21" s="1"/>
  <c r="N11" i="21"/>
  <c r="M11" i="21"/>
  <c r="G11" i="21"/>
  <c r="H11" i="21" s="1" a="1"/>
  <c r="H11" i="21" s="1"/>
  <c r="F11" i="21"/>
  <c r="E11" i="21"/>
  <c r="G11" i="21" s="1" a="1"/>
  <c r="N10" i="21"/>
  <c r="M10" i="21"/>
  <c r="O10" i="21" s="1" a="1"/>
  <c r="O10" i="21" s="1"/>
  <c r="P10" i="21" s="1" a="1"/>
  <c r="P10" i="21" s="1"/>
  <c r="G10" i="21"/>
  <c r="H10" i="21" s="1" a="1"/>
  <c r="H10" i="21" s="1"/>
  <c r="G10" i="21" a="1"/>
  <c r="F10" i="21"/>
  <c r="E10" i="21"/>
  <c r="O9" i="21" a="1"/>
  <c r="O9" i="21" s="1"/>
  <c r="P9" i="21" s="1" a="1"/>
  <c r="P9" i="21" s="1"/>
  <c r="N9" i="21"/>
  <c r="M9" i="21"/>
  <c r="F9" i="21"/>
  <c r="E9" i="21"/>
  <c r="G9" i="21" s="1" a="1"/>
  <c r="G9" i="21" s="1"/>
  <c r="H9" i="21" s="1" a="1"/>
  <c r="H9" i="21" s="1"/>
  <c r="N8" i="21"/>
  <c r="M8" i="21"/>
  <c r="O8" i="21" s="1" a="1"/>
  <c r="O8" i="21" s="1"/>
  <c r="P8" i="21" s="1" a="1"/>
  <c r="P8" i="21" s="1"/>
  <c r="G8" i="21"/>
  <c r="H8" i="21" s="1" a="1"/>
  <c r="H8" i="21" s="1"/>
  <c r="G8" i="21" a="1"/>
  <c r="F8" i="21"/>
  <c r="E8" i="21"/>
  <c r="N7" i="21"/>
  <c r="M7" i="21"/>
  <c r="O7" i="21" s="1" a="1"/>
  <c r="O7" i="21" s="1"/>
  <c r="P7" i="21" s="1" a="1"/>
  <c r="P7" i="21" s="1"/>
  <c r="G7" i="21"/>
  <c r="H7" i="21" s="1" a="1"/>
  <c r="H7" i="21" s="1"/>
  <c r="F7" i="21"/>
  <c r="E7" i="21"/>
  <c r="G7" i="21" s="1" a="1"/>
  <c r="O6" i="21" a="1"/>
  <c r="O6" i="21" s="1"/>
  <c r="P6" i="21" s="1" a="1"/>
  <c r="P6" i="21" s="1"/>
  <c r="N6" i="21"/>
  <c r="M6" i="21"/>
  <c r="G6" i="21" a="1"/>
  <c r="G6" i="21" s="1"/>
  <c r="H6" i="21" s="1" a="1"/>
  <c r="H6" i="21" s="1"/>
  <c r="F6" i="21"/>
  <c r="E6" i="21"/>
  <c r="O5" i="21" a="1"/>
  <c r="O5" i="21" s="1"/>
  <c r="P5" i="21" s="1" a="1"/>
  <c r="P5" i="21" s="1"/>
  <c r="N5" i="21"/>
  <c r="M5" i="21"/>
  <c r="G5" i="21" a="1"/>
  <c r="G5" i="21" s="1"/>
  <c r="H5" i="21" s="1" a="1"/>
  <c r="H5" i="21" s="1"/>
  <c r="F5" i="21"/>
  <c r="E5" i="21"/>
  <c r="O4" i="21" a="1"/>
  <c r="O4" i="21" s="1"/>
  <c r="P4" i="21" s="1" a="1"/>
  <c r="P4" i="21" s="1"/>
  <c r="N4" i="21"/>
  <c r="M4" i="21"/>
  <c r="G4" i="21" a="1"/>
  <c r="G4" i="21" s="1"/>
  <c r="H4" i="21" s="1" a="1"/>
  <c r="H4" i="21" s="1"/>
  <c r="F4" i="21"/>
  <c r="E4" i="21"/>
  <c r="O3" i="21" a="1"/>
  <c r="O3" i="21" s="1"/>
  <c r="P3" i="21" s="1" a="1"/>
  <c r="P3" i="21" s="1"/>
  <c r="N3" i="21"/>
  <c r="M3" i="21"/>
  <c r="G3" i="21" a="1"/>
  <c r="G3" i="21" s="1"/>
  <c r="H3" i="21" s="1" a="1"/>
  <c r="H3" i="21" s="1"/>
  <c r="F3" i="21"/>
  <c r="E3" i="21"/>
  <c r="O2" i="21" a="1"/>
  <c r="O2" i="21" s="1"/>
  <c r="P2" i="21" s="1" a="1"/>
  <c r="P2" i="21" s="1"/>
  <c r="N2" i="21"/>
  <c r="M2" i="21"/>
  <c r="G2" i="21" a="1"/>
  <c r="G2" i="21" s="1"/>
  <c r="H2" i="21" s="1" a="1"/>
  <c r="H2" i="21" s="1"/>
  <c r="F2" i="21"/>
  <c r="E2" i="21"/>
  <c r="T49" i="19"/>
  <c r="Z49" i="19"/>
  <c r="Y49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2" i="19"/>
  <c r="T51" i="19"/>
  <c r="S51" i="19"/>
  <c r="T50" i="19"/>
  <c r="S50" i="19"/>
  <c r="D50" i="19"/>
  <c r="C50" i="19"/>
  <c r="S49" i="19"/>
  <c r="D49" i="19"/>
  <c r="C49" i="19"/>
  <c r="L51" i="17"/>
  <c r="K51" i="17"/>
  <c r="D51" i="17"/>
  <c r="C51" i="17"/>
  <c r="L50" i="17"/>
  <c r="K50" i="17"/>
  <c r="D50" i="17"/>
  <c r="C50" i="17"/>
  <c r="T49" i="17"/>
  <c r="L49" i="17"/>
  <c r="N47" i="17" s="1"/>
  <c r="K49" i="17"/>
  <c r="M38" i="17" s="1"/>
  <c r="D49" i="17"/>
  <c r="F10" i="17" s="1"/>
  <c r="C49" i="17"/>
  <c r="E46" i="17" s="1"/>
  <c r="N48" i="17"/>
  <c r="M48" i="17"/>
  <c r="E48" i="17"/>
  <c r="M47" i="17"/>
  <c r="E47" i="17"/>
  <c r="N46" i="17"/>
  <c r="M46" i="17"/>
  <c r="N45" i="17"/>
  <c r="M45" i="17"/>
  <c r="N44" i="17"/>
  <c r="M44" i="17"/>
  <c r="E44" i="17"/>
  <c r="M43" i="17"/>
  <c r="E43" i="17"/>
  <c r="M42" i="17"/>
  <c r="E42" i="17"/>
  <c r="N41" i="17"/>
  <c r="M41" i="17"/>
  <c r="F41" i="17"/>
  <c r="E41" i="17"/>
  <c r="N40" i="17"/>
  <c r="M40" i="17"/>
  <c r="E40" i="17"/>
  <c r="N39" i="17"/>
  <c r="M39" i="17"/>
  <c r="E39" i="17"/>
  <c r="N38" i="17"/>
  <c r="E38" i="17"/>
  <c r="E37" i="17"/>
  <c r="N36" i="17"/>
  <c r="M36" i="17"/>
  <c r="O36" i="17" s="1" a="1"/>
  <c r="O36" i="17" s="1"/>
  <c r="P36" i="17" s="1" a="1"/>
  <c r="P36" i="17" s="1"/>
  <c r="E36" i="17"/>
  <c r="N35" i="17"/>
  <c r="M35" i="17"/>
  <c r="E35" i="17"/>
  <c r="E34" i="17"/>
  <c r="N33" i="17"/>
  <c r="E33" i="17"/>
  <c r="N32" i="17"/>
  <c r="M32" i="17"/>
  <c r="O32" i="17" s="1" a="1"/>
  <c r="O32" i="17" s="1"/>
  <c r="P32" i="17" s="1" a="1"/>
  <c r="P32" i="17" s="1"/>
  <c r="E32" i="17"/>
  <c r="N31" i="17"/>
  <c r="M31" i="17"/>
  <c r="E31" i="17"/>
  <c r="N30" i="17"/>
  <c r="E30" i="17"/>
  <c r="N29" i="17"/>
  <c r="E29" i="17"/>
  <c r="N28" i="17"/>
  <c r="M28" i="17"/>
  <c r="O28" i="17" s="1" a="1"/>
  <c r="O28" i="17" s="1"/>
  <c r="P28" i="17" s="1" a="1"/>
  <c r="P28" i="17" s="1"/>
  <c r="E28" i="17"/>
  <c r="N27" i="17"/>
  <c r="M27" i="17"/>
  <c r="E27" i="17"/>
  <c r="N26" i="17"/>
  <c r="M26" i="17"/>
  <c r="O26" i="17" s="1" a="1"/>
  <c r="O26" i="17" s="1"/>
  <c r="P26" i="17" s="1" a="1"/>
  <c r="P26" i="17" s="1"/>
  <c r="E26" i="17"/>
  <c r="N25" i="17"/>
  <c r="M25" i="17"/>
  <c r="E25" i="17"/>
  <c r="N24" i="17"/>
  <c r="M24" i="17"/>
  <c r="O24" i="17" s="1" a="1"/>
  <c r="O24" i="17" s="1"/>
  <c r="P24" i="17" s="1" a="1"/>
  <c r="P24" i="17" s="1"/>
  <c r="E24" i="17"/>
  <c r="N23" i="17"/>
  <c r="M23" i="17"/>
  <c r="E23" i="17"/>
  <c r="N22" i="17"/>
  <c r="M22" i="17"/>
  <c r="O22" i="17" s="1" a="1"/>
  <c r="O22" i="17" s="1"/>
  <c r="P22" i="17" s="1" a="1"/>
  <c r="P22" i="17" s="1"/>
  <c r="E22" i="17"/>
  <c r="N21" i="17"/>
  <c r="M21" i="17"/>
  <c r="E21" i="17"/>
  <c r="N20" i="17"/>
  <c r="M20" i="17"/>
  <c r="O20" i="17" s="1" a="1"/>
  <c r="O20" i="17" s="1"/>
  <c r="P20" i="17" s="1" a="1"/>
  <c r="P20" i="17" s="1"/>
  <c r="E20" i="17"/>
  <c r="N19" i="17"/>
  <c r="M19" i="17"/>
  <c r="E19" i="17"/>
  <c r="N18" i="17"/>
  <c r="M18" i="17"/>
  <c r="O18" i="17" s="1" a="1"/>
  <c r="O18" i="17" s="1"/>
  <c r="P18" i="17" s="1" a="1"/>
  <c r="P18" i="17" s="1"/>
  <c r="E18" i="17"/>
  <c r="N17" i="17"/>
  <c r="M17" i="17"/>
  <c r="E17" i="17"/>
  <c r="N16" i="17"/>
  <c r="M16" i="17"/>
  <c r="O16" i="17" s="1" a="1"/>
  <c r="O16" i="17" s="1"/>
  <c r="P16" i="17" s="1" a="1"/>
  <c r="P16" i="17" s="1"/>
  <c r="E16" i="17"/>
  <c r="N15" i="17"/>
  <c r="M15" i="17"/>
  <c r="E15" i="17"/>
  <c r="N14" i="17"/>
  <c r="M14" i="17"/>
  <c r="O14" i="17" s="1" a="1"/>
  <c r="O14" i="17" s="1"/>
  <c r="P14" i="17" s="1" a="1"/>
  <c r="P14" i="17" s="1"/>
  <c r="E14" i="17"/>
  <c r="N13" i="17"/>
  <c r="M13" i="17"/>
  <c r="E13" i="17"/>
  <c r="N12" i="17"/>
  <c r="M12" i="17"/>
  <c r="O12" i="17" s="1" a="1"/>
  <c r="O12" i="17" s="1"/>
  <c r="P12" i="17" s="1" a="1"/>
  <c r="P12" i="17" s="1"/>
  <c r="E12" i="17"/>
  <c r="N11" i="17"/>
  <c r="M11" i="17"/>
  <c r="E11" i="17"/>
  <c r="N10" i="17"/>
  <c r="E10" i="17"/>
  <c r="N9" i="17"/>
  <c r="M9" i="17"/>
  <c r="O9" i="17" s="1" a="1"/>
  <c r="O9" i="17" s="1"/>
  <c r="P9" i="17" s="1" a="1"/>
  <c r="P9" i="17" s="1"/>
  <c r="E9" i="17"/>
  <c r="N8" i="17"/>
  <c r="M8" i="17"/>
  <c r="E8" i="17"/>
  <c r="N7" i="17"/>
  <c r="M7" i="17"/>
  <c r="O7" i="17" s="1" a="1"/>
  <c r="O7" i="17" s="1"/>
  <c r="P7" i="17" s="1" a="1"/>
  <c r="P7" i="17" s="1"/>
  <c r="E7" i="17"/>
  <c r="N6" i="17"/>
  <c r="E6" i="17"/>
  <c r="N5" i="17"/>
  <c r="E5" i="17"/>
  <c r="N4" i="17"/>
  <c r="E4" i="17"/>
  <c r="N3" i="17"/>
  <c r="M3" i="17"/>
  <c r="E3" i="17"/>
  <c r="N2" i="17"/>
  <c r="M2" i="17"/>
  <c r="O2" i="17" s="1" a="1"/>
  <c r="O2" i="17" s="1"/>
  <c r="P2" i="17" s="1" a="1"/>
  <c r="P2" i="17" s="1"/>
  <c r="E2" i="17"/>
  <c r="L51" i="16"/>
  <c r="K51" i="16"/>
  <c r="L50" i="16"/>
  <c r="K50" i="16"/>
  <c r="L49" i="16"/>
  <c r="N3" i="16" s="1"/>
  <c r="K49" i="16"/>
  <c r="M3" i="16" s="1"/>
  <c r="T49" i="16"/>
  <c r="D51" i="16"/>
  <c r="D50" i="16"/>
  <c r="C51" i="16"/>
  <c r="C50" i="16"/>
  <c r="D49" i="16"/>
  <c r="F4" i="16" s="1"/>
  <c r="C49" i="16"/>
  <c r="E5" i="16" s="1"/>
  <c r="Z49" i="13" l="1"/>
  <c r="AJ4" i="13" s="1"/>
  <c r="Z50" i="13"/>
  <c r="AG14" i="13"/>
  <c r="P15" i="23"/>
  <c r="P47" i="23"/>
  <c r="O20" i="23"/>
  <c r="R20" i="23" s="1" a="1"/>
  <c r="R20" i="23" s="1"/>
  <c r="U20" i="23" s="1"/>
  <c r="O9" i="23"/>
  <c r="O31" i="23"/>
  <c r="O4" i="23"/>
  <c r="R4" i="23" s="1" a="1"/>
  <c r="R4" i="23" s="1"/>
  <c r="U4" i="23" s="1"/>
  <c r="P9" i="23"/>
  <c r="P23" i="23"/>
  <c r="P37" i="23"/>
  <c r="P33" i="23"/>
  <c r="P5" i="23"/>
  <c r="P14" i="23"/>
  <c r="P21" i="23"/>
  <c r="P29" i="23"/>
  <c r="P39" i="23"/>
  <c r="O17" i="23"/>
  <c r="O43" i="23"/>
  <c r="P2" i="23"/>
  <c r="P6" i="23"/>
  <c r="P11" i="23"/>
  <c r="P18" i="23"/>
  <c r="P22" i="23"/>
  <c r="P27" i="23"/>
  <c r="P35" i="23"/>
  <c r="P45" i="23"/>
  <c r="O12" i="23"/>
  <c r="O15" i="23"/>
  <c r="O18" i="23"/>
  <c r="O28" i="23"/>
  <c r="O33" i="23"/>
  <c r="R33" i="23" s="1" a="1"/>
  <c r="R33" i="23" s="1"/>
  <c r="U33" i="23" s="1"/>
  <c r="O36" i="23"/>
  <c r="O40" i="23"/>
  <c r="O45" i="23"/>
  <c r="R45" i="23" s="1" a="1"/>
  <c r="R45" i="23" s="1"/>
  <c r="U45" i="23" s="1"/>
  <c r="O8" i="23"/>
  <c r="O10" i="23"/>
  <c r="O13" i="23"/>
  <c r="O24" i="23"/>
  <c r="O26" i="23"/>
  <c r="O42" i="23"/>
  <c r="O3" i="23"/>
  <c r="O6" i="23"/>
  <c r="P8" i="23"/>
  <c r="O11" i="23"/>
  <c r="P13" i="23"/>
  <c r="P16" i="23"/>
  <c r="O19" i="23"/>
  <c r="O22" i="23"/>
  <c r="P24" i="23"/>
  <c r="O27" i="23"/>
  <c r="P30" i="23"/>
  <c r="O34" i="23"/>
  <c r="P38" i="23"/>
  <c r="P42" i="23"/>
  <c r="P46" i="23"/>
  <c r="R15" i="23" a="1"/>
  <c r="R15" i="23" s="1"/>
  <c r="U15" i="23" s="1"/>
  <c r="O29" i="23"/>
  <c r="P31" i="23"/>
  <c r="O35" i="23"/>
  <c r="O38" i="23"/>
  <c r="O41" i="23"/>
  <c r="O44" i="23"/>
  <c r="O47" i="23"/>
  <c r="R47" i="23" s="1" a="1"/>
  <c r="R47" i="23" s="1"/>
  <c r="U47" i="23" s="1"/>
  <c r="P3" i="23"/>
  <c r="O5" i="23"/>
  <c r="O7" i="23"/>
  <c r="R7" i="23" s="1" a="1"/>
  <c r="R7" i="23" s="1"/>
  <c r="U7" i="23" s="1"/>
  <c r="P10" i="23"/>
  <c r="P12" i="23"/>
  <c r="O14" i="23"/>
  <c r="O16" i="23"/>
  <c r="P17" i="23"/>
  <c r="P19" i="23"/>
  <c r="O21" i="23"/>
  <c r="O23" i="23"/>
  <c r="P26" i="23"/>
  <c r="P28" i="23"/>
  <c r="O30" i="23"/>
  <c r="O32" i="23"/>
  <c r="P34" i="23"/>
  <c r="O37" i="23"/>
  <c r="R37" i="23" s="1" a="1"/>
  <c r="R37" i="23" s="1"/>
  <c r="U37" i="23" s="1"/>
  <c r="O39" i="23"/>
  <c r="P41" i="23"/>
  <c r="P43" i="23"/>
  <c r="O46" i="23"/>
  <c r="R25" i="23" a="1"/>
  <c r="R25" i="23" s="1"/>
  <c r="U25" i="23" s="1"/>
  <c r="R48" i="23" a="1"/>
  <c r="R48" i="23" s="1"/>
  <c r="U48" i="23" s="1"/>
  <c r="P32" i="23"/>
  <c r="P36" i="23"/>
  <c r="P40" i="23"/>
  <c r="P44" i="23"/>
  <c r="O47" i="21" a="1"/>
  <c r="O47" i="21" s="1"/>
  <c r="P47" i="21" s="1" a="1"/>
  <c r="P47" i="21" s="1"/>
  <c r="O42" i="21" a="1"/>
  <c r="O42" i="21" s="1"/>
  <c r="P42" i="21" s="1" a="1"/>
  <c r="P42" i="21" s="1"/>
  <c r="O46" i="21" a="1"/>
  <c r="O46" i="21" s="1"/>
  <c r="P46" i="21" s="1" a="1"/>
  <c r="P46" i="21" s="1"/>
  <c r="G49" i="19"/>
  <c r="K2" i="19" s="1"/>
  <c r="U2" i="19" s="1"/>
  <c r="E32" i="16"/>
  <c r="E12" i="16"/>
  <c r="E48" i="16"/>
  <c r="E28" i="16"/>
  <c r="E4" i="16"/>
  <c r="G4" i="16" s="1" a="1"/>
  <c r="G4" i="16" s="1"/>
  <c r="E44" i="16"/>
  <c r="E24" i="16"/>
  <c r="O3" i="16" a="1"/>
  <c r="O3" i="16" s="1"/>
  <c r="P3" i="16" s="1" a="1"/>
  <c r="P3" i="16" s="1"/>
  <c r="E40" i="16"/>
  <c r="E16" i="16"/>
  <c r="N43" i="16"/>
  <c r="N23" i="16"/>
  <c r="E36" i="16"/>
  <c r="E20" i="16"/>
  <c r="E47" i="16"/>
  <c r="E43" i="16"/>
  <c r="E39" i="16"/>
  <c r="E35" i="16"/>
  <c r="E31" i="16"/>
  <c r="E27" i="16"/>
  <c r="E23" i="16"/>
  <c r="E19" i="16"/>
  <c r="E15" i="16"/>
  <c r="E11" i="16"/>
  <c r="E7" i="16"/>
  <c r="E3" i="16"/>
  <c r="E8" i="16"/>
  <c r="E2" i="16"/>
  <c r="E46" i="16"/>
  <c r="E42" i="16"/>
  <c r="E38" i="16"/>
  <c r="E34" i="16"/>
  <c r="E30" i="16"/>
  <c r="E26" i="16"/>
  <c r="E22" i="16"/>
  <c r="E18" i="16"/>
  <c r="E14" i="16"/>
  <c r="E10" i="16"/>
  <c r="E6" i="16"/>
  <c r="E45" i="16"/>
  <c r="E41" i="16"/>
  <c r="E37" i="16"/>
  <c r="E33" i="16"/>
  <c r="E29" i="16"/>
  <c r="E25" i="16"/>
  <c r="E21" i="16"/>
  <c r="E17" i="16"/>
  <c r="E13" i="16"/>
  <c r="E9" i="16"/>
  <c r="F47" i="16"/>
  <c r="F45" i="16"/>
  <c r="F43" i="16"/>
  <c r="G43" i="16" s="1" a="1"/>
  <c r="G43" i="16" s="1"/>
  <c r="H43" i="16" s="1" a="1"/>
  <c r="H43" i="16" s="1"/>
  <c r="F41" i="16"/>
  <c r="G41" i="16" s="1" a="1"/>
  <c r="G41" i="16" s="1"/>
  <c r="F39" i="16"/>
  <c r="F37" i="16"/>
  <c r="F35" i="16"/>
  <c r="F33" i="16"/>
  <c r="F31" i="16"/>
  <c r="F29" i="16"/>
  <c r="F27" i="16"/>
  <c r="G27" i="16" s="1" a="1"/>
  <c r="G27" i="16" s="1"/>
  <c r="F25" i="16"/>
  <c r="G25" i="16" s="1" a="1"/>
  <c r="G25" i="16" s="1"/>
  <c r="F23" i="16"/>
  <c r="F21" i="16"/>
  <c r="F19" i="16"/>
  <c r="F17" i="16"/>
  <c r="F15" i="16"/>
  <c r="F13" i="16"/>
  <c r="F11" i="16"/>
  <c r="G11" i="16" s="1" a="1"/>
  <c r="G11" i="16" s="1"/>
  <c r="F9" i="16"/>
  <c r="G9" i="16" s="1" a="1"/>
  <c r="G9" i="16" s="1"/>
  <c r="F7" i="16"/>
  <c r="F5" i="16"/>
  <c r="G5" i="16" s="1" a="1"/>
  <c r="G5" i="16" s="1"/>
  <c r="H5" i="16" s="1" a="1"/>
  <c r="H5" i="16" s="1"/>
  <c r="F3" i="16"/>
  <c r="F2" i="16"/>
  <c r="F48" i="16"/>
  <c r="F46" i="16"/>
  <c r="F44" i="16"/>
  <c r="F42" i="16"/>
  <c r="F40" i="16"/>
  <c r="F38" i="16"/>
  <c r="G38" i="16" s="1" a="1"/>
  <c r="G38" i="16" s="1"/>
  <c r="F36" i="16"/>
  <c r="F34" i="16"/>
  <c r="F32" i="16"/>
  <c r="G32" i="16" s="1" a="1"/>
  <c r="G32" i="16" s="1"/>
  <c r="F30" i="16"/>
  <c r="F28" i="16"/>
  <c r="G28" i="16" s="1" a="1"/>
  <c r="G28" i="16" s="1"/>
  <c r="F26" i="16"/>
  <c r="F24" i="16"/>
  <c r="F22" i="16"/>
  <c r="G22" i="16" s="1" a="1"/>
  <c r="G22" i="16" s="1"/>
  <c r="H22" i="16" s="1" a="1"/>
  <c r="H22" i="16" s="1"/>
  <c r="F20" i="16"/>
  <c r="F18" i="16"/>
  <c r="F16" i="16"/>
  <c r="G16" i="16" s="1" a="1"/>
  <c r="G16" i="16" s="1"/>
  <c r="F14" i="16"/>
  <c r="F12" i="16"/>
  <c r="G12" i="16" s="1" a="1"/>
  <c r="G12" i="16" s="1"/>
  <c r="F10" i="16"/>
  <c r="F8" i="16"/>
  <c r="F6" i="16"/>
  <c r="G6" i="16" s="1" a="1"/>
  <c r="G6" i="16" s="1"/>
  <c r="H6" i="16" s="1" a="1"/>
  <c r="H6" i="16" s="1"/>
  <c r="G10" i="17" a="1"/>
  <c r="G10" i="17" s="1"/>
  <c r="H10" i="17" s="1" a="1"/>
  <c r="H10" i="17" s="1"/>
  <c r="O13" i="17" a="1"/>
  <c r="O13" i="17" s="1"/>
  <c r="P13" i="17" s="1" a="1"/>
  <c r="P13" i="17" s="1"/>
  <c r="O17" i="17" a="1"/>
  <c r="O17" i="17" s="1"/>
  <c r="P17" i="17" s="1" a="1"/>
  <c r="P17" i="17" s="1"/>
  <c r="O21" i="17" a="1"/>
  <c r="O21" i="17" s="1"/>
  <c r="P21" i="17" s="1" a="1"/>
  <c r="P21" i="17" s="1"/>
  <c r="O25" i="17" a="1"/>
  <c r="O25" i="17" s="1"/>
  <c r="P25" i="17" s="1" a="1"/>
  <c r="P25" i="17" s="1"/>
  <c r="O31" i="17" a="1"/>
  <c r="O31" i="17" s="1"/>
  <c r="P31" i="17" s="1" a="1"/>
  <c r="P31" i="17" s="1"/>
  <c r="N34" i="17"/>
  <c r="N37" i="17"/>
  <c r="F39" i="17"/>
  <c r="N42" i="17"/>
  <c r="N43" i="17"/>
  <c r="E45" i="17"/>
  <c r="F47" i="17"/>
  <c r="O48" i="17" a="1"/>
  <c r="O48" i="17" s="1"/>
  <c r="P48" i="17" s="1" a="1"/>
  <c r="P48" i="17" s="1"/>
  <c r="O38" i="17" a="1"/>
  <c r="O38" i="17" s="1"/>
  <c r="P38" i="17" s="1" a="1"/>
  <c r="P38" i="17" s="1"/>
  <c r="F45" i="17"/>
  <c r="O47" i="17" a="1"/>
  <c r="O47" i="17" s="1"/>
  <c r="P47" i="17" s="1" a="1"/>
  <c r="P47" i="17" s="1"/>
  <c r="O3" i="17" a="1"/>
  <c r="O3" i="17" s="1"/>
  <c r="P3" i="17" s="1" a="1"/>
  <c r="P3" i="17" s="1"/>
  <c r="O8" i="17" a="1"/>
  <c r="O8" i="17" s="1"/>
  <c r="P8" i="17" s="1" a="1"/>
  <c r="P8" i="17" s="1"/>
  <c r="O11" i="17" a="1"/>
  <c r="O11" i="17" s="1"/>
  <c r="P11" i="17" s="1" a="1"/>
  <c r="P11" i="17" s="1"/>
  <c r="O15" i="17" a="1"/>
  <c r="O15" i="17" s="1"/>
  <c r="P15" i="17" s="1" a="1"/>
  <c r="P15" i="17" s="1"/>
  <c r="O19" i="17" a="1"/>
  <c r="O19" i="17" s="1"/>
  <c r="P19" i="17" s="1" a="1"/>
  <c r="P19" i="17" s="1"/>
  <c r="O23" i="17" a="1"/>
  <c r="O23" i="17" s="1"/>
  <c r="P23" i="17" s="1" a="1"/>
  <c r="P23" i="17" s="1"/>
  <c r="O27" i="17" a="1"/>
  <c r="O27" i="17" s="1"/>
  <c r="P27" i="17" s="1" a="1"/>
  <c r="P27" i="17" s="1"/>
  <c r="O35" i="17" a="1"/>
  <c r="O35" i="17" s="1"/>
  <c r="P35" i="17" s="1" a="1"/>
  <c r="P35" i="17" s="1"/>
  <c r="F43" i="17"/>
  <c r="M5" i="17"/>
  <c r="O5" i="17" s="1" a="1"/>
  <c r="O5" i="17" s="1"/>
  <c r="P5" i="17" s="1" a="1"/>
  <c r="P5" i="17" s="1"/>
  <c r="M6" i="17"/>
  <c r="O6" i="17" s="1" a="1"/>
  <c r="O6" i="17" s="1"/>
  <c r="P6" i="17" s="1" a="1"/>
  <c r="P6" i="17" s="1"/>
  <c r="M10" i="17"/>
  <c r="O10" i="17" s="1" a="1"/>
  <c r="O10" i="17" s="1"/>
  <c r="P10" i="17" s="1" a="1"/>
  <c r="P10" i="17" s="1"/>
  <c r="M29" i="17"/>
  <c r="O29" i="17" s="1" a="1"/>
  <c r="O29" i="17" s="1"/>
  <c r="P29" i="17" s="1" a="1"/>
  <c r="P29" i="17" s="1"/>
  <c r="M33" i="17"/>
  <c r="O33" i="17" s="1" a="1"/>
  <c r="O33" i="17" s="1"/>
  <c r="P33" i="17" s="1" a="1"/>
  <c r="P33" i="17" s="1"/>
  <c r="M37" i="17"/>
  <c r="O37" i="17" s="1" a="1"/>
  <c r="O37" i="17" s="1"/>
  <c r="P37" i="17" s="1" a="1"/>
  <c r="P37" i="17" s="1"/>
  <c r="O39" i="17" a="1"/>
  <c r="O39" i="17" s="1"/>
  <c r="P39" i="17" s="1" a="1"/>
  <c r="P39" i="17" s="1"/>
  <c r="O40" i="17" a="1"/>
  <c r="O40" i="17" s="1"/>
  <c r="P40" i="17" s="1" a="1"/>
  <c r="P40" i="17" s="1"/>
  <c r="O41" i="17" a="1"/>
  <c r="O41" i="17" s="1"/>
  <c r="P41" i="17" s="1" a="1"/>
  <c r="P41" i="17" s="1"/>
  <c r="O42" i="17" a="1"/>
  <c r="O42" i="17" s="1"/>
  <c r="P42" i="17" s="1" a="1"/>
  <c r="P42" i="17" s="1"/>
  <c r="O43" i="17" a="1"/>
  <c r="O43" i="17" s="1"/>
  <c r="P43" i="17" s="1" a="1"/>
  <c r="P43" i="17" s="1"/>
  <c r="O44" i="17" a="1"/>
  <c r="O44" i="17" s="1"/>
  <c r="P44" i="17" s="1" a="1"/>
  <c r="P44" i="17" s="1"/>
  <c r="O45" i="17" a="1"/>
  <c r="O45" i="17" s="1"/>
  <c r="P45" i="17" s="1" a="1"/>
  <c r="P45" i="17" s="1"/>
  <c r="O46" i="17" a="1"/>
  <c r="O46" i="17" s="1"/>
  <c r="P46" i="17" s="1" a="1"/>
  <c r="P46" i="17" s="1"/>
  <c r="M4" i="17"/>
  <c r="O4" i="17" s="1" a="1"/>
  <c r="O4" i="17" s="1"/>
  <c r="P4" i="17" s="1" a="1"/>
  <c r="P4" i="17" s="1"/>
  <c r="M30" i="17"/>
  <c r="O30" i="17" s="1" a="1"/>
  <c r="O30" i="17" s="1"/>
  <c r="P30" i="17" s="1" a="1"/>
  <c r="P30" i="17" s="1"/>
  <c r="M34" i="17"/>
  <c r="O34" i="17" s="1" a="1"/>
  <c r="O34" i="17" s="1"/>
  <c r="P34" i="17" s="1" a="1"/>
  <c r="P34" i="17" s="1"/>
  <c r="F36" i="17"/>
  <c r="F6" i="17"/>
  <c r="G6" i="17" s="1" a="1"/>
  <c r="G6" i="17" s="1"/>
  <c r="H6" i="17" s="1" a="1"/>
  <c r="H6" i="17" s="1"/>
  <c r="F5" i="17"/>
  <c r="G5" i="17" s="1" a="1"/>
  <c r="G5" i="17" s="1"/>
  <c r="H5" i="17" s="1" a="1"/>
  <c r="H5" i="17" s="1"/>
  <c r="F4" i="17"/>
  <c r="G4" i="17" s="1" a="1"/>
  <c r="G4" i="17" s="1"/>
  <c r="H4" i="17" s="1" a="1"/>
  <c r="H4" i="17" s="1"/>
  <c r="F3" i="17"/>
  <c r="G3" i="17" s="1" a="1"/>
  <c r="G3" i="17" s="1"/>
  <c r="H3" i="17" s="1" a="1"/>
  <c r="H3" i="17" s="1"/>
  <c r="F2" i="17"/>
  <c r="G2" i="17" s="1" a="1"/>
  <c r="G2" i="17" s="1"/>
  <c r="H2" i="17" s="1" a="1"/>
  <c r="H2" i="17" s="1"/>
  <c r="F9" i="17"/>
  <c r="G9" i="17" s="1" a="1"/>
  <c r="G9" i="17" s="1"/>
  <c r="H9" i="17" s="1" a="1"/>
  <c r="H9" i="17" s="1"/>
  <c r="F48" i="17"/>
  <c r="F46" i="17"/>
  <c r="G46" i="17" s="1" a="1"/>
  <c r="G46" i="17" s="1"/>
  <c r="H46" i="17" s="1" a="1"/>
  <c r="H46" i="17" s="1"/>
  <c r="F44" i="17"/>
  <c r="G44" i="17" s="1" a="1"/>
  <c r="G44" i="17" s="1"/>
  <c r="H44" i="17" s="1" a="1"/>
  <c r="H44" i="17" s="1"/>
  <c r="F42" i="17"/>
  <c r="F40" i="17"/>
  <c r="F37" i="17"/>
  <c r="G37" i="17" s="1" a="1"/>
  <c r="G37" i="17" s="1"/>
  <c r="H37" i="17" s="1" a="1"/>
  <c r="H37" i="17" s="1"/>
  <c r="F11" i="17"/>
  <c r="G11" i="17" s="1" a="1"/>
  <c r="G11" i="17" s="1"/>
  <c r="H11" i="17" s="1" a="1"/>
  <c r="H11" i="17" s="1"/>
  <c r="F7" i="17"/>
  <c r="G7" i="17" s="1" a="1"/>
  <c r="G7" i="17" s="1"/>
  <c r="H7" i="17" s="1" a="1"/>
  <c r="H7" i="17" s="1"/>
  <c r="F38" i="17"/>
  <c r="F34" i="17"/>
  <c r="G34" i="17" s="1" a="1"/>
  <c r="G34" i="17" s="1"/>
  <c r="H34" i="17" s="1" a="1"/>
  <c r="H34" i="17" s="1"/>
  <c r="F33" i="17"/>
  <c r="G33" i="17" s="1" a="1"/>
  <c r="G33" i="17" s="1"/>
  <c r="H33" i="17" s="1" a="1"/>
  <c r="H33" i="17" s="1"/>
  <c r="F32" i="17"/>
  <c r="G32" i="17" s="1" a="1"/>
  <c r="G32" i="17" s="1"/>
  <c r="H32" i="17" s="1" a="1"/>
  <c r="H32" i="17" s="1"/>
  <c r="F31" i="17"/>
  <c r="F30" i="17"/>
  <c r="G30" i="17" s="1" a="1"/>
  <c r="G30" i="17" s="1"/>
  <c r="H30" i="17" s="1" a="1"/>
  <c r="H30" i="17" s="1"/>
  <c r="F29" i="17"/>
  <c r="G29" i="17" s="1" a="1"/>
  <c r="G29" i="17" s="1"/>
  <c r="H29" i="17" s="1" a="1"/>
  <c r="H29" i="17" s="1"/>
  <c r="F28" i="17"/>
  <c r="G28" i="17" s="1" a="1"/>
  <c r="G28" i="17" s="1"/>
  <c r="H28" i="17" s="1" a="1"/>
  <c r="H28" i="17" s="1"/>
  <c r="F27" i="17"/>
  <c r="F26" i="17"/>
  <c r="G26" i="17" s="1" a="1"/>
  <c r="G26" i="17" s="1"/>
  <c r="H26" i="17" s="1" a="1"/>
  <c r="H26" i="17" s="1"/>
  <c r="F25" i="17"/>
  <c r="F24" i="17"/>
  <c r="G24" i="17" s="1" a="1"/>
  <c r="G24" i="17" s="1"/>
  <c r="H24" i="17" s="1" a="1"/>
  <c r="H24" i="17" s="1"/>
  <c r="F23" i="17"/>
  <c r="F22" i="17"/>
  <c r="G22" i="17" s="1" a="1"/>
  <c r="G22" i="17" s="1"/>
  <c r="H22" i="17" s="1" a="1"/>
  <c r="H22" i="17" s="1"/>
  <c r="F21" i="17"/>
  <c r="F20" i="17"/>
  <c r="G20" i="17" s="1" a="1"/>
  <c r="G20" i="17" s="1"/>
  <c r="H20" i="17" s="1" a="1"/>
  <c r="H20" i="17" s="1"/>
  <c r="F19" i="17"/>
  <c r="F18" i="17"/>
  <c r="F17" i="17"/>
  <c r="G17" i="17" s="1" a="1"/>
  <c r="G17" i="17" s="1"/>
  <c r="H17" i="17" s="1" a="1"/>
  <c r="H17" i="17" s="1"/>
  <c r="F16" i="17"/>
  <c r="G16" i="17" s="1" a="1"/>
  <c r="G16" i="17" s="1"/>
  <c r="H16" i="17" s="1" a="1"/>
  <c r="H16" i="17" s="1"/>
  <c r="F15" i="17"/>
  <c r="F14" i="17"/>
  <c r="G14" i="17" s="1" a="1"/>
  <c r="G14" i="17" s="1"/>
  <c r="H14" i="17" s="1" a="1"/>
  <c r="H14" i="17" s="1"/>
  <c r="F13" i="17"/>
  <c r="G13" i="17" s="1" a="1"/>
  <c r="G13" i="17" s="1"/>
  <c r="H13" i="17" s="1" a="1"/>
  <c r="H13" i="17" s="1"/>
  <c r="G31" i="17" a="1"/>
  <c r="G31" i="17" s="1"/>
  <c r="H31" i="17" s="1" a="1"/>
  <c r="H31" i="17" s="1"/>
  <c r="F8" i="17"/>
  <c r="G8" i="17" s="1" a="1"/>
  <c r="G8" i="17" s="1"/>
  <c r="H8" i="17" s="1" a="1"/>
  <c r="H8" i="17" s="1"/>
  <c r="G18" i="17" a="1"/>
  <c r="G18" i="17" s="1"/>
  <c r="H18" i="17" s="1" a="1"/>
  <c r="H18" i="17" s="1"/>
  <c r="G23" i="17" a="1"/>
  <c r="G23" i="17" s="1"/>
  <c r="H23" i="17" s="1" a="1"/>
  <c r="H23" i="17" s="1"/>
  <c r="G27" i="17" a="1"/>
  <c r="G27" i="17" s="1"/>
  <c r="H27" i="17" s="1" a="1"/>
  <c r="H27" i="17" s="1"/>
  <c r="F35" i="17"/>
  <c r="G38" i="17" a="1"/>
  <c r="G38" i="17" s="1"/>
  <c r="H38" i="17" s="1" a="1"/>
  <c r="H38" i="17" s="1"/>
  <c r="F12" i="17"/>
  <c r="G12" i="17" s="1" a="1"/>
  <c r="G12" i="17" s="1"/>
  <c r="H12" i="17" s="1" a="1"/>
  <c r="H12" i="17" s="1"/>
  <c r="G15" i="17" a="1"/>
  <c r="G15" i="17" s="1"/>
  <c r="H15" i="17" s="1" a="1"/>
  <c r="H15" i="17" s="1"/>
  <c r="G19" i="17" a="1"/>
  <c r="G19" i="17" s="1"/>
  <c r="H19" i="17" s="1" a="1"/>
  <c r="H19" i="17" s="1"/>
  <c r="G21" i="17" a="1"/>
  <c r="G21" i="17" s="1"/>
  <c r="H21" i="17" s="1" a="1"/>
  <c r="H21" i="17" s="1"/>
  <c r="G25" i="17" a="1"/>
  <c r="G25" i="17" s="1"/>
  <c r="H25" i="17" s="1" a="1"/>
  <c r="H25" i="17" s="1"/>
  <c r="G40" i="17" a="1"/>
  <c r="G40" i="17" s="1"/>
  <c r="H40" i="17" s="1" a="1"/>
  <c r="H40" i="17" s="1"/>
  <c r="G42" i="17" a="1"/>
  <c r="G42" i="17" s="1"/>
  <c r="H42" i="17" s="1" a="1"/>
  <c r="H42" i="17" s="1"/>
  <c r="G48" i="17" a="1"/>
  <c r="G48" i="17" s="1"/>
  <c r="H48" i="17" s="1" a="1"/>
  <c r="H48" i="17" s="1"/>
  <c r="G36" i="17" a="1"/>
  <c r="G36" i="17" s="1"/>
  <c r="H36" i="17" s="1" a="1"/>
  <c r="H36" i="17" s="1"/>
  <c r="G35" i="17" a="1"/>
  <c r="G35" i="17" s="1"/>
  <c r="H35" i="17" s="1" a="1"/>
  <c r="H35" i="17" s="1"/>
  <c r="G39" i="17" a="1"/>
  <c r="G39" i="17" s="1"/>
  <c r="H39" i="17" s="1" a="1"/>
  <c r="H39" i="17" s="1"/>
  <c r="G41" i="17" a="1"/>
  <c r="G41" i="17" s="1"/>
  <c r="H41" i="17" s="1" a="1"/>
  <c r="H41" i="17" s="1"/>
  <c r="G43" i="17" a="1"/>
  <c r="G43" i="17" s="1"/>
  <c r="H43" i="17" s="1" a="1"/>
  <c r="H43" i="17" s="1"/>
  <c r="G45" i="17" a="1"/>
  <c r="G45" i="17" s="1"/>
  <c r="H45" i="17" s="1" a="1"/>
  <c r="H45" i="17" s="1"/>
  <c r="G47" i="17" a="1"/>
  <c r="G47" i="17" s="1"/>
  <c r="H47" i="17" s="1" a="1"/>
  <c r="H47" i="17" s="1"/>
  <c r="N39" i="16"/>
  <c r="N15" i="16"/>
  <c r="N31" i="16"/>
  <c r="N11" i="16"/>
  <c r="N47" i="16"/>
  <c r="N27" i="16"/>
  <c r="N7" i="16"/>
  <c r="N35" i="16"/>
  <c r="N19" i="16"/>
  <c r="N46" i="16"/>
  <c r="N42" i="16"/>
  <c r="N38" i="16"/>
  <c r="N34" i="16"/>
  <c r="N30" i="16"/>
  <c r="N26" i="16"/>
  <c r="N22" i="16"/>
  <c r="N18" i="16"/>
  <c r="N14" i="16"/>
  <c r="N10" i="16"/>
  <c r="N6" i="16"/>
  <c r="N2" i="16"/>
  <c r="N45" i="16"/>
  <c r="N41" i="16"/>
  <c r="N37" i="16"/>
  <c r="N33" i="16"/>
  <c r="N29" i="16"/>
  <c r="N25" i="16"/>
  <c r="N21" i="16"/>
  <c r="N17" i="16"/>
  <c r="N13" i="16"/>
  <c r="N9" i="16"/>
  <c r="N5" i="16"/>
  <c r="N48" i="16"/>
  <c r="N44" i="16"/>
  <c r="N40" i="16"/>
  <c r="N36" i="16"/>
  <c r="N32" i="16"/>
  <c r="N28" i="16"/>
  <c r="N24" i="16"/>
  <c r="N20" i="16"/>
  <c r="N16" i="16"/>
  <c r="N12" i="16"/>
  <c r="N8" i="16"/>
  <c r="N4" i="16"/>
  <c r="M48" i="16"/>
  <c r="O48" i="16" s="1" a="1"/>
  <c r="O48" i="16" s="1"/>
  <c r="M46" i="16"/>
  <c r="M44" i="16"/>
  <c r="M42" i="16"/>
  <c r="M40" i="16"/>
  <c r="M38" i="16"/>
  <c r="M36" i="16"/>
  <c r="M34" i="16"/>
  <c r="M32" i="16"/>
  <c r="O32" i="16" s="1" a="1"/>
  <c r="O32" i="16" s="1"/>
  <c r="M30" i="16"/>
  <c r="M28" i="16"/>
  <c r="M26" i="16"/>
  <c r="M24" i="16"/>
  <c r="M22" i="16"/>
  <c r="M20" i="16"/>
  <c r="M18" i="16"/>
  <c r="M16" i="16"/>
  <c r="O16" i="16" s="1" a="1"/>
  <c r="O16" i="16" s="1"/>
  <c r="M14" i="16"/>
  <c r="M12" i="16"/>
  <c r="M10" i="16"/>
  <c r="M8" i="16"/>
  <c r="M6" i="16"/>
  <c r="M4" i="16"/>
  <c r="M2" i="16"/>
  <c r="M47" i="16"/>
  <c r="M45" i="16"/>
  <c r="M43" i="16"/>
  <c r="M41" i="16"/>
  <c r="M39" i="16"/>
  <c r="M37" i="16"/>
  <c r="M35" i="16"/>
  <c r="M33" i="16"/>
  <c r="M31" i="16"/>
  <c r="M29" i="16"/>
  <c r="M27" i="16"/>
  <c r="M25" i="16"/>
  <c r="M23" i="16"/>
  <c r="M21" i="16"/>
  <c r="M19" i="16"/>
  <c r="M17" i="16"/>
  <c r="M15" i="16"/>
  <c r="M13" i="16"/>
  <c r="M11" i="16"/>
  <c r="M9" i="16"/>
  <c r="M7" i="16"/>
  <c r="M5" i="16"/>
  <c r="H32" i="16" a="1"/>
  <c r="H32" i="16" s="1"/>
  <c r="BG51" i="13"/>
  <c r="BG50" i="13"/>
  <c r="BG49" i="13"/>
  <c r="BF49" i="13"/>
  <c r="R50" i="13"/>
  <c r="S50" i="13"/>
  <c r="S51" i="13"/>
  <c r="R51" i="13"/>
  <c r="R49" i="13"/>
  <c r="S49" i="13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3" i="15"/>
  <c r="AJ39" i="13" l="1"/>
  <c r="AJ31" i="13"/>
  <c r="AJ33" i="13"/>
  <c r="AJ9" i="13"/>
  <c r="AJ2" i="13"/>
  <c r="AJ35" i="13"/>
  <c r="AJ43" i="13"/>
  <c r="AJ23" i="13"/>
  <c r="AC47" i="13"/>
  <c r="AJ10" i="13"/>
  <c r="AJ18" i="13"/>
  <c r="AJ26" i="13"/>
  <c r="AJ34" i="13"/>
  <c r="AJ42" i="13"/>
  <c r="AJ8" i="13"/>
  <c r="AJ16" i="13"/>
  <c r="AJ24" i="13"/>
  <c r="AJ32" i="13"/>
  <c r="AJ5" i="13"/>
  <c r="AJ13" i="13"/>
  <c r="AJ21" i="13"/>
  <c r="AJ29" i="13"/>
  <c r="AJ37" i="13"/>
  <c r="AJ45" i="13"/>
  <c r="AJ6" i="13"/>
  <c r="AJ14" i="13"/>
  <c r="AJ22" i="13"/>
  <c r="AJ30" i="13"/>
  <c r="AJ38" i="13"/>
  <c r="AJ46" i="13"/>
  <c r="AJ47" i="13"/>
  <c r="AJ41" i="13"/>
  <c r="AJ12" i="13"/>
  <c r="AC10" i="13"/>
  <c r="AJ40" i="13"/>
  <c r="AJ3" i="13"/>
  <c r="AJ20" i="13"/>
  <c r="AJ48" i="13"/>
  <c r="AJ11" i="13"/>
  <c r="AJ28" i="13"/>
  <c r="AJ7" i="13"/>
  <c r="AJ17" i="13"/>
  <c r="AJ19" i="13"/>
  <c r="AJ36" i="13"/>
  <c r="AJ15" i="13"/>
  <c r="AJ25" i="13"/>
  <c r="AJ27" i="13"/>
  <c r="AJ44" i="13"/>
  <c r="AD20" i="13"/>
  <c r="AK9" i="13"/>
  <c r="AK17" i="13"/>
  <c r="AK25" i="13"/>
  <c r="AK33" i="13"/>
  <c r="AK41" i="13"/>
  <c r="AK2" i="13"/>
  <c r="AK40" i="13"/>
  <c r="AK10" i="13"/>
  <c r="AK18" i="13"/>
  <c r="AK26" i="13"/>
  <c r="AK34" i="13"/>
  <c r="AK42" i="13"/>
  <c r="AK8" i="13"/>
  <c r="AK3" i="13"/>
  <c r="AK11" i="13"/>
  <c r="AK19" i="13"/>
  <c r="AK27" i="13"/>
  <c r="AK35" i="13"/>
  <c r="AK43" i="13"/>
  <c r="AK24" i="13"/>
  <c r="AK4" i="13"/>
  <c r="AL4" i="13" s="1"/>
  <c r="AM4" i="13" s="1"/>
  <c r="AK12" i="13"/>
  <c r="AK20" i="13"/>
  <c r="AK28" i="13"/>
  <c r="AK36" i="13"/>
  <c r="AK44" i="13"/>
  <c r="AK5" i="13"/>
  <c r="AK13" i="13"/>
  <c r="AK21" i="13"/>
  <c r="AK29" i="13"/>
  <c r="AK37" i="13"/>
  <c r="AK45" i="13"/>
  <c r="AK6" i="13"/>
  <c r="AK14" i="13"/>
  <c r="AK22" i="13"/>
  <c r="AK30" i="13"/>
  <c r="AK38" i="13"/>
  <c r="AK46" i="13"/>
  <c r="AK16" i="13"/>
  <c r="AK48" i="13"/>
  <c r="AK7" i="13"/>
  <c r="AK15" i="13"/>
  <c r="AK23" i="13"/>
  <c r="AK31" i="13"/>
  <c r="AK39" i="13"/>
  <c r="AK47" i="13"/>
  <c r="AK32" i="13"/>
  <c r="AD4" i="13"/>
  <c r="AC40" i="13"/>
  <c r="AD45" i="13"/>
  <c r="AD14" i="13"/>
  <c r="AC45" i="13"/>
  <c r="AD39" i="13"/>
  <c r="AC37" i="13"/>
  <c r="AC38" i="13"/>
  <c r="AC15" i="13"/>
  <c r="AD27" i="13"/>
  <c r="AC48" i="13"/>
  <c r="AC21" i="13"/>
  <c r="AD22" i="13"/>
  <c r="AD9" i="13"/>
  <c r="AD47" i="13"/>
  <c r="AD17" i="13"/>
  <c r="AC46" i="13"/>
  <c r="AC23" i="13"/>
  <c r="AD35" i="13"/>
  <c r="AD30" i="13"/>
  <c r="AD25" i="13"/>
  <c r="AC4" i="13"/>
  <c r="AD33" i="13"/>
  <c r="AD10" i="13"/>
  <c r="AC31" i="13"/>
  <c r="AD43" i="13"/>
  <c r="AD5" i="13"/>
  <c r="AC18" i="13"/>
  <c r="AD41" i="13"/>
  <c r="AC20" i="13"/>
  <c r="AD2" i="13"/>
  <c r="AD18" i="13"/>
  <c r="AD12" i="13"/>
  <c r="AC8" i="13"/>
  <c r="AD13" i="13"/>
  <c r="AC26" i="13"/>
  <c r="AD46" i="13"/>
  <c r="AD7" i="13"/>
  <c r="AC28" i="13"/>
  <c r="AC6" i="13"/>
  <c r="AD26" i="13"/>
  <c r="AD40" i="13"/>
  <c r="AD48" i="13"/>
  <c r="AD32" i="13"/>
  <c r="AD16" i="13"/>
  <c r="AD24" i="13"/>
  <c r="AD8" i="13"/>
  <c r="AC17" i="13"/>
  <c r="AC41" i="13"/>
  <c r="AC9" i="13"/>
  <c r="AC25" i="13"/>
  <c r="AC2" i="13"/>
  <c r="AC33" i="13"/>
  <c r="AC3" i="13"/>
  <c r="AC11" i="13"/>
  <c r="AC19" i="13"/>
  <c r="AC27" i="13"/>
  <c r="AC35" i="13"/>
  <c r="AC43" i="13"/>
  <c r="AD38" i="13"/>
  <c r="AC39" i="13"/>
  <c r="AC16" i="13"/>
  <c r="AD21" i="13"/>
  <c r="AC34" i="13"/>
  <c r="AC12" i="13"/>
  <c r="AD15" i="13"/>
  <c r="AC36" i="13"/>
  <c r="AC14" i="13"/>
  <c r="AD34" i="13"/>
  <c r="AD3" i="13"/>
  <c r="AD28" i="13"/>
  <c r="AC24" i="13"/>
  <c r="AD29" i="13"/>
  <c r="AC42" i="13"/>
  <c r="AC44" i="13"/>
  <c r="AD23" i="13"/>
  <c r="AC5" i="13"/>
  <c r="AC22" i="13"/>
  <c r="AD42" i="13"/>
  <c r="AD11" i="13"/>
  <c r="AD36" i="13"/>
  <c r="AC32" i="13"/>
  <c r="AD37" i="13"/>
  <c r="AD6" i="13"/>
  <c r="AC13" i="13"/>
  <c r="AD31" i="13"/>
  <c r="AC29" i="13"/>
  <c r="AC30" i="13"/>
  <c r="AC7" i="13"/>
  <c r="AD19" i="13"/>
  <c r="AD44" i="13"/>
  <c r="AG9" i="13"/>
  <c r="AG35" i="13"/>
  <c r="AG31" i="13"/>
  <c r="AG48" i="13"/>
  <c r="AG47" i="13"/>
  <c r="AG26" i="13"/>
  <c r="AG25" i="13"/>
  <c r="AG6" i="13"/>
  <c r="AG8" i="13"/>
  <c r="AG42" i="13"/>
  <c r="AG33" i="13"/>
  <c r="AG36" i="13"/>
  <c r="AG21" i="13"/>
  <c r="AG12" i="13"/>
  <c r="AG44" i="13"/>
  <c r="AG5" i="13"/>
  <c r="AG13" i="13"/>
  <c r="AG37" i="13"/>
  <c r="AG20" i="13"/>
  <c r="AG29" i="13"/>
  <c r="AG4" i="13"/>
  <c r="AG28" i="13"/>
  <c r="AG45" i="13"/>
  <c r="AG17" i="13"/>
  <c r="AG22" i="13"/>
  <c r="AG7" i="13"/>
  <c r="AG24" i="13"/>
  <c r="AG19" i="13"/>
  <c r="AG2" i="13"/>
  <c r="AG30" i="13"/>
  <c r="AG39" i="13"/>
  <c r="AG10" i="13"/>
  <c r="AG18" i="13"/>
  <c r="AG41" i="13"/>
  <c r="AG15" i="13"/>
  <c r="AG32" i="13"/>
  <c r="AG27" i="13"/>
  <c r="AG34" i="13"/>
  <c r="AG38" i="13"/>
  <c r="AG16" i="13"/>
  <c r="AG3" i="13"/>
  <c r="AG23" i="13"/>
  <c r="AG40" i="13"/>
  <c r="AG43" i="13"/>
  <c r="AG11" i="13"/>
  <c r="AG46" i="13"/>
  <c r="AF5" i="13"/>
  <c r="AF13" i="13"/>
  <c r="AF21" i="13"/>
  <c r="AF29" i="13"/>
  <c r="AF37" i="13"/>
  <c r="AF45" i="13"/>
  <c r="AF6" i="13"/>
  <c r="AF14" i="13"/>
  <c r="AH14" i="13" s="1" a="1"/>
  <c r="AH14" i="13" s="1"/>
  <c r="AF22" i="13"/>
  <c r="AF30" i="13"/>
  <c r="AF38" i="13"/>
  <c r="AF46" i="13"/>
  <c r="AF7" i="13"/>
  <c r="AF15" i="13"/>
  <c r="AF23" i="13"/>
  <c r="AF31" i="13"/>
  <c r="AF39" i="13"/>
  <c r="AF47" i="13"/>
  <c r="AF8" i="13"/>
  <c r="AF16" i="13"/>
  <c r="AF24" i="13"/>
  <c r="AF32" i="13"/>
  <c r="AF40" i="13"/>
  <c r="AF48" i="13"/>
  <c r="AF9" i="13"/>
  <c r="AF17" i="13"/>
  <c r="AF25" i="13"/>
  <c r="AF33" i="13"/>
  <c r="AF41" i="13"/>
  <c r="AF2" i="13"/>
  <c r="AF10" i="13"/>
  <c r="AF18" i="13"/>
  <c r="AF26" i="13"/>
  <c r="AF34" i="13"/>
  <c r="AF42" i="13"/>
  <c r="AF3" i="13"/>
  <c r="AF11" i="13"/>
  <c r="AF19" i="13"/>
  <c r="AF27" i="13"/>
  <c r="AF35" i="13"/>
  <c r="AF43" i="13"/>
  <c r="AF4" i="13"/>
  <c r="AF12" i="13"/>
  <c r="AF20" i="13"/>
  <c r="AF28" i="13"/>
  <c r="AF36" i="13"/>
  <c r="AF44" i="13"/>
  <c r="BF50" i="13"/>
  <c r="BH50" i="13" s="1"/>
  <c r="R5" i="23" a="1"/>
  <c r="R5" i="23" s="1"/>
  <c r="U5" i="23" s="1"/>
  <c r="R9" i="23" a="1"/>
  <c r="R9" i="23" s="1"/>
  <c r="U9" i="23" s="1"/>
  <c r="L2" i="19"/>
  <c r="R23" i="23" a="1"/>
  <c r="R23" i="23" s="1"/>
  <c r="U23" i="23" s="1"/>
  <c r="R32" i="23" a="1"/>
  <c r="R32" i="23" s="1"/>
  <c r="U32" i="23" s="1"/>
  <c r="R29" i="23" a="1"/>
  <c r="R29" i="23" s="1"/>
  <c r="U29" i="23" s="1"/>
  <c r="R18" i="23" a="1"/>
  <c r="R18" i="23" s="1"/>
  <c r="U18" i="23" s="1"/>
  <c r="R11" i="23" a="1"/>
  <c r="R11" i="23" s="1"/>
  <c r="U11" i="23" s="1"/>
  <c r="U2" i="23"/>
  <c r="R17" i="23" a="1"/>
  <c r="R17" i="23" s="1"/>
  <c r="U17" i="23" s="1"/>
  <c r="R10" i="23" a="1"/>
  <c r="R10" i="23" s="1"/>
  <c r="U10" i="23" s="1"/>
  <c r="R35" i="23" a="1"/>
  <c r="R35" i="23" s="1"/>
  <c r="U35" i="23" s="1"/>
  <c r="R31" i="23" a="1"/>
  <c r="R31" i="23" s="1"/>
  <c r="U31" i="23" s="1"/>
  <c r="R27" i="23" a="1"/>
  <c r="R27" i="23" s="1"/>
  <c r="U27" i="23" s="1"/>
  <c r="R6" i="23" a="1"/>
  <c r="R6" i="23" s="1"/>
  <c r="U6" i="23" s="1"/>
  <c r="R22" i="23" a="1"/>
  <c r="R22" i="23" s="1"/>
  <c r="U22" i="23" s="1"/>
  <c r="R44" i="23" a="1"/>
  <c r="R44" i="23" s="1"/>
  <c r="U44" i="23" s="1"/>
  <c r="R39" i="23" a="1"/>
  <c r="R39" i="23" s="1"/>
  <c r="U39" i="23" s="1"/>
  <c r="R21" i="23" a="1"/>
  <c r="R21" i="23" s="1"/>
  <c r="U21" i="23" s="1"/>
  <c r="R14" i="23" a="1"/>
  <c r="R14" i="23" s="1"/>
  <c r="U14" i="23" s="1"/>
  <c r="R12" i="23" a="1"/>
  <c r="R12" i="23" s="1"/>
  <c r="U12" i="23" s="1"/>
  <c r="R24" i="23" a="1"/>
  <c r="R24" i="23" s="1"/>
  <c r="U24" i="23" s="1"/>
  <c r="R26" i="23" a="1"/>
  <c r="R26" i="23" s="1"/>
  <c r="U26" i="23" s="1"/>
  <c r="R13" i="23" a="1"/>
  <c r="R13" i="23" s="1"/>
  <c r="U13" i="23" s="1"/>
  <c r="R16" i="23" a="1"/>
  <c r="R16" i="23" s="1"/>
  <c r="U16" i="23" s="1"/>
  <c r="R42" i="23" a="1"/>
  <c r="R42" i="23" s="1"/>
  <c r="U42" i="23" s="1"/>
  <c r="R28" i="23" a="1"/>
  <c r="R28" i="23" s="1"/>
  <c r="U28" i="23" s="1"/>
  <c r="R3" i="23" a="1"/>
  <c r="R3" i="23" s="1"/>
  <c r="U3" i="23" s="1"/>
  <c r="R43" i="23" a="1"/>
  <c r="R43" i="23" s="1"/>
  <c r="U43" i="23" s="1"/>
  <c r="R34" i="23" a="1"/>
  <c r="R34" i="23" s="1"/>
  <c r="U34" i="23" s="1"/>
  <c r="R30" i="23" a="1"/>
  <c r="R30" i="23" s="1"/>
  <c r="U30" i="23" s="1"/>
  <c r="R38" i="23" a="1"/>
  <c r="R38" i="23" s="1"/>
  <c r="U38" i="23" s="1"/>
  <c r="R40" i="23" a="1"/>
  <c r="R40" i="23" s="1"/>
  <c r="U40" i="23" s="1"/>
  <c r="R8" i="23" a="1"/>
  <c r="R8" i="23" s="1"/>
  <c r="U8" i="23" s="1"/>
  <c r="R36" i="23" a="1"/>
  <c r="R36" i="23" s="1"/>
  <c r="U36" i="23" s="1"/>
  <c r="R46" i="23" a="1"/>
  <c r="R46" i="23" s="1"/>
  <c r="U46" i="23" s="1"/>
  <c r="R19" i="23" a="1"/>
  <c r="R19" i="23" s="1"/>
  <c r="U19" i="23" s="1"/>
  <c r="R41" i="23" a="1"/>
  <c r="R41" i="23" s="1"/>
  <c r="U41" i="23" s="1"/>
  <c r="K37" i="19"/>
  <c r="K3" i="19"/>
  <c r="K20" i="19"/>
  <c r="K13" i="19"/>
  <c r="K7" i="19"/>
  <c r="K27" i="19"/>
  <c r="K4" i="19"/>
  <c r="K24" i="19"/>
  <c r="K44" i="19"/>
  <c r="K21" i="19"/>
  <c r="K41" i="19"/>
  <c r="K23" i="19"/>
  <c r="K43" i="19"/>
  <c r="K40" i="19"/>
  <c r="K11" i="19"/>
  <c r="K35" i="19"/>
  <c r="K8" i="19"/>
  <c r="K28" i="19"/>
  <c r="K5" i="19"/>
  <c r="K25" i="19"/>
  <c r="K45" i="19"/>
  <c r="K19" i="19"/>
  <c r="K39" i="19"/>
  <c r="K12" i="19"/>
  <c r="K36" i="19"/>
  <c r="K9" i="19"/>
  <c r="K29" i="19"/>
  <c r="K49" i="19"/>
  <c r="L49" i="19" s="1"/>
  <c r="K6" i="19"/>
  <c r="K10" i="19"/>
  <c r="K14" i="19"/>
  <c r="K18" i="19"/>
  <c r="K22" i="19"/>
  <c r="K26" i="19"/>
  <c r="K30" i="19"/>
  <c r="K34" i="19"/>
  <c r="K38" i="19"/>
  <c r="K42" i="19"/>
  <c r="K46" i="19"/>
  <c r="K15" i="19"/>
  <c r="K31" i="19"/>
  <c r="K47" i="19"/>
  <c r="K16" i="19"/>
  <c r="K32" i="19"/>
  <c r="K48" i="19"/>
  <c r="K17" i="19"/>
  <c r="K33" i="19"/>
  <c r="K50" i="19"/>
  <c r="O17" i="16" a="1"/>
  <c r="O17" i="16" s="1"/>
  <c r="P17" i="16" s="1" a="1"/>
  <c r="P17" i="16" s="1"/>
  <c r="O33" i="16" a="1"/>
  <c r="O33" i="16" s="1"/>
  <c r="P33" i="16" s="1" a="1"/>
  <c r="P33" i="16" s="1"/>
  <c r="O2" i="16" a="1"/>
  <c r="O2" i="16" s="1"/>
  <c r="O18" i="16" a="1"/>
  <c r="O18" i="16" s="1"/>
  <c r="P18" i="16" s="1" a="1"/>
  <c r="P18" i="16" s="1"/>
  <c r="O34" i="16" a="1"/>
  <c r="O34" i="16" s="1"/>
  <c r="P34" i="16" s="1" a="1"/>
  <c r="P34" i="16" s="1"/>
  <c r="O4" i="16" a="1"/>
  <c r="O4" i="16" s="1"/>
  <c r="P4" i="16" s="1" a="1"/>
  <c r="P4" i="16" s="1"/>
  <c r="O36" i="16" a="1"/>
  <c r="O36" i="16" s="1"/>
  <c r="G8" i="16" a="1"/>
  <c r="G8" i="16" s="1"/>
  <c r="H8" i="16" s="1" a="1"/>
  <c r="H8" i="16" s="1"/>
  <c r="G24" i="16" a="1"/>
  <c r="G24" i="16" s="1"/>
  <c r="H24" i="16" s="1" a="1"/>
  <c r="H24" i="16" s="1"/>
  <c r="G48" i="16" a="1"/>
  <c r="G48" i="16" s="1"/>
  <c r="G15" i="16" a="1"/>
  <c r="G15" i="16" s="1"/>
  <c r="G31" i="16" a="1"/>
  <c r="G31" i="16" s="1"/>
  <c r="H31" i="16" s="1" a="1"/>
  <c r="H31" i="16" s="1"/>
  <c r="O5" i="16" a="1"/>
  <c r="O5" i="16" s="1"/>
  <c r="O21" i="16" a="1"/>
  <c r="O21" i="16" s="1"/>
  <c r="P21" i="16" s="1" a="1"/>
  <c r="P21" i="16" s="1"/>
  <c r="O37" i="16" a="1"/>
  <c r="O37" i="16" s="1"/>
  <c r="G17" i="16" a="1"/>
  <c r="G17" i="16" s="1"/>
  <c r="H17" i="16" s="1" a="1"/>
  <c r="H17" i="16" s="1"/>
  <c r="G33" i="16" a="1"/>
  <c r="G33" i="16" s="1"/>
  <c r="H33" i="16" s="1" a="1"/>
  <c r="H33" i="16" s="1"/>
  <c r="G13" i="16" a="1"/>
  <c r="G13" i="16" s="1"/>
  <c r="H13" i="16" s="1" a="1"/>
  <c r="H13" i="16" s="1"/>
  <c r="G29" i="16" a="1"/>
  <c r="G29" i="16" s="1"/>
  <c r="H29" i="16" s="1" a="1"/>
  <c r="H29" i="16" s="1"/>
  <c r="G45" i="16" a="1"/>
  <c r="G45" i="16" s="1"/>
  <c r="H45" i="16" s="1" a="1"/>
  <c r="H45" i="16" s="1"/>
  <c r="G18" i="16" a="1"/>
  <c r="G18" i="16" s="1"/>
  <c r="H18" i="16" s="1" a="1"/>
  <c r="H18" i="16" s="1"/>
  <c r="G34" i="16" a="1"/>
  <c r="G34" i="16" s="1"/>
  <c r="G2" i="16" a="1"/>
  <c r="G2" i="16" s="1"/>
  <c r="H2" i="16" s="1" a="1"/>
  <c r="H2" i="16" s="1"/>
  <c r="G36" i="16" a="1"/>
  <c r="G36" i="16" s="1"/>
  <c r="H36" i="16" s="1" a="1"/>
  <c r="H36" i="16" s="1"/>
  <c r="G44" i="16" a="1"/>
  <c r="G44" i="16" s="1"/>
  <c r="H44" i="16" s="1" a="1"/>
  <c r="H44" i="16" s="1"/>
  <c r="G14" i="16" a="1"/>
  <c r="G14" i="16" s="1"/>
  <c r="H14" i="16" s="1" a="1"/>
  <c r="H14" i="16" s="1"/>
  <c r="G30" i="16" a="1"/>
  <c r="G30" i="16" s="1"/>
  <c r="H30" i="16" s="1" a="1"/>
  <c r="H30" i="16" s="1"/>
  <c r="G46" i="16" a="1"/>
  <c r="G46" i="16" s="1"/>
  <c r="H46" i="16" s="1" a="1"/>
  <c r="H46" i="16" s="1"/>
  <c r="G40" i="16" a="1"/>
  <c r="G40" i="16" s="1"/>
  <c r="H40" i="16" s="1" a="1"/>
  <c r="H40" i="16" s="1"/>
  <c r="G7" i="16" a="1"/>
  <c r="G7" i="16" s="1"/>
  <c r="H7" i="16" s="1" a="1"/>
  <c r="H7" i="16" s="1"/>
  <c r="G23" i="16" a="1"/>
  <c r="G23" i="16" s="1"/>
  <c r="H23" i="16" s="1" a="1"/>
  <c r="H23" i="16" s="1"/>
  <c r="G39" i="16" a="1"/>
  <c r="G39" i="16" s="1"/>
  <c r="H39" i="16" s="1" a="1"/>
  <c r="H39" i="16" s="1"/>
  <c r="G47" i="16" a="1"/>
  <c r="G47" i="16" s="1"/>
  <c r="H47" i="16" s="1" a="1"/>
  <c r="H47" i="16" s="1"/>
  <c r="O19" i="16" a="1"/>
  <c r="O19" i="16" s="1"/>
  <c r="P19" i="16" s="1" a="1"/>
  <c r="P19" i="16" s="1"/>
  <c r="O35" i="16" a="1"/>
  <c r="O35" i="16" s="1"/>
  <c r="P35" i="16" s="1" a="1"/>
  <c r="P35" i="16" s="1"/>
  <c r="O43" i="16" a="1"/>
  <c r="O43" i="16" s="1"/>
  <c r="P43" i="16" s="1" a="1"/>
  <c r="P43" i="16" s="1"/>
  <c r="O12" i="16" a="1"/>
  <c r="O12" i="16" s="1"/>
  <c r="P12" i="16" s="1" a="1"/>
  <c r="P12" i="16" s="1"/>
  <c r="O28" i="16" a="1"/>
  <c r="O28" i="16" s="1"/>
  <c r="P28" i="16" s="1" a="1"/>
  <c r="P28" i="16" s="1"/>
  <c r="O44" i="16" a="1"/>
  <c r="O44" i="16" s="1"/>
  <c r="P44" i="16" s="1" a="1"/>
  <c r="P44" i="16" s="1"/>
  <c r="O13" i="16" a="1"/>
  <c r="O13" i="16" s="1"/>
  <c r="P13" i="16" s="1" a="1"/>
  <c r="P13" i="16" s="1"/>
  <c r="O29" i="16" a="1"/>
  <c r="O29" i="16" s="1"/>
  <c r="P29" i="16" s="1" a="1"/>
  <c r="P29" i="16" s="1"/>
  <c r="O45" i="16" a="1"/>
  <c r="O45" i="16" s="1"/>
  <c r="P45" i="16" s="1" a="1"/>
  <c r="P45" i="16" s="1"/>
  <c r="O6" i="16" a="1"/>
  <c r="O6" i="16" s="1"/>
  <c r="P6" i="16" s="1" a="1"/>
  <c r="P6" i="16" s="1"/>
  <c r="O14" i="16" a="1"/>
  <c r="O14" i="16" s="1"/>
  <c r="P14" i="16" s="1" a="1"/>
  <c r="P14" i="16" s="1"/>
  <c r="O22" i="16" a="1"/>
  <c r="O22" i="16" s="1"/>
  <c r="P22" i="16" s="1" a="1"/>
  <c r="P22" i="16" s="1"/>
  <c r="O30" i="16" a="1"/>
  <c r="O30" i="16" s="1"/>
  <c r="P30" i="16" s="1" a="1"/>
  <c r="P30" i="16" s="1"/>
  <c r="O38" i="16" a="1"/>
  <c r="O38" i="16" s="1"/>
  <c r="P38" i="16" s="1" a="1"/>
  <c r="P38" i="16" s="1"/>
  <c r="O46" i="16" a="1"/>
  <c r="O46" i="16" s="1"/>
  <c r="P46" i="16" s="1" a="1"/>
  <c r="P46" i="16" s="1"/>
  <c r="O20" i="16" a="1"/>
  <c r="O20" i="16" s="1"/>
  <c r="P20" i="16" s="1" a="1"/>
  <c r="P20" i="16" s="1"/>
  <c r="O7" i="16" a="1"/>
  <c r="O7" i="16" s="1"/>
  <c r="P7" i="16" s="1" a="1"/>
  <c r="P7" i="16" s="1"/>
  <c r="O15" i="16" a="1"/>
  <c r="O15" i="16" s="1"/>
  <c r="P15" i="16" s="1" a="1"/>
  <c r="P15" i="16" s="1"/>
  <c r="O23" i="16" a="1"/>
  <c r="O23" i="16" s="1"/>
  <c r="P23" i="16" s="1" a="1"/>
  <c r="P23" i="16" s="1"/>
  <c r="O31" i="16" a="1"/>
  <c r="O31" i="16" s="1"/>
  <c r="P31" i="16" s="1" a="1"/>
  <c r="P31" i="16" s="1"/>
  <c r="O39" i="16" a="1"/>
  <c r="O39" i="16" s="1"/>
  <c r="P39" i="16" s="1" a="1"/>
  <c r="P39" i="16" s="1"/>
  <c r="O47" i="16" a="1"/>
  <c r="O47" i="16" s="1"/>
  <c r="P47" i="16" s="1" a="1"/>
  <c r="P47" i="16" s="1"/>
  <c r="O8" i="16" a="1"/>
  <c r="O8" i="16" s="1"/>
  <c r="P8" i="16" s="1" a="1"/>
  <c r="P8" i="16" s="1"/>
  <c r="O24" i="16" a="1"/>
  <c r="O24" i="16" s="1"/>
  <c r="P24" i="16" s="1" a="1"/>
  <c r="P24" i="16" s="1"/>
  <c r="O40" i="16" a="1"/>
  <c r="O40" i="16" s="1"/>
  <c r="P40" i="16" s="1" a="1"/>
  <c r="P40" i="16" s="1"/>
  <c r="G20" i="16" a="1"/>
  <c r="G20" i="16" s="1"/>
  <c r="H20" i="16" s="1" a="1"/>
  <c r="H20" i="16" s="1"/>
  <c r="O11" i="16" a="1"/>
  <c r="O11" i="16" s="1"/>
  <c r="P11" i="16" s="1" a="1"/>
  <c r="P11" i="16" s="1"/>
  <c r="O27" i="16" a="1"/>
  <c r="O27" i="16" s="1"/>
  <c r="P27" i="16" s="1" a="1"/>
  <c r="P27" i="16" s="1"/>
  <c r="O9" i="16" a="1"/>
  <c r="O9" i="16" s="1"/>
  <c r="P9" i="16" s="1" a="1"/>
  <c r="P9" i="16" s="1"/>
  <c r="O25" i="16" a="1"/>
  <c r="O25" i="16" s="1"/>
  <c r="P25" i="16" s="1" a="1"/>
  <c r="P25" i="16" s="1"/>
  <c r="O41" i="16" a="1"/>
  <c r="O41" i="16" s="1"/>
  <c r="P41" i="16" s="1" a="1"/>
  <c r="P41" i="16" s="1"/>
  <c r="O10" i="16" a="1"/>
  <c r="O10" i="16" s="1"/>
  <c r="P10" i="16" s="1" a="1"/>
  <c r="P10" i="16" s="1"/>
  <c r="O26" i="16" a="1"/>
  <c r="O26" i="16" s="1"/>
  <c r="O42" i="16" a="1"/>
  <c r="O42" i="16" s="1"/>
  <c r="G10" i="16" a="1"/>
  <c r="G10" i="16" s="1"/>
  <c r="H10" i="16" s="1" a="1"/>
  <c r="H10" i="16" s="1"/>
  <c r="G26" i="16" a="1"/>
  <c r="G26" i="16" s="1"/>
  <c r="H26" i="16" s="1" a="1"/>
  <c r="H26" i="16" s="1"/>
  <c r="G42" i="16" a="1"/>
  <c r="G42" i="16" s="1"/>
  <c r="H42" i="16" s="1" a="1"/>
  <c r="H42" i="16" s="1"/>
  <c r="G3" i="16" a="1"/>
  <c r="G3" i="16" s="1"/>
  <c r="H3" i="16" s="1" a="1"/>
  <c r="H3" i="16" s="1"/>
  <c r="G19" i="16" a="1"/>
  <c r="G19" i="16" s="1"/>
  <c r="H19" i="16" s="1" a="1"/>
  <c r="H19" i="16" s="1"/>
  <c r="G35" i="16" a="1"/>
  <c r="G35" i="16" s="1"/>
  <c r="H35" i="16" s="1" a="1"/>
  <c r="H35" i="16" s="1"/>
  <c r="G21" i="16" a="1"/>
  <c r="G21" i="16" s="1"/>
  <c r="H21" i="16" s="1" a="1"/>
  <c r="H21" i="16" s="1"/>
  <c r="G37" i="16" a="1"/>
  <c r="G37" i="16" s="1"/>
  <c r="H37" i="16" s="1" a="1"/>
  <c r="H37" i="16" s="1"/>
  <c r="P26" i="16" a="1"/>
  <c r="P26" i="16" s="1"/>
  <c r="P42" i="16" a="1"/>
  <c r="P42" i="16" s="1"/>
  <c r="P36" i="16" a="1"/>
  <c r="P36" i="16" s="1"/>
  <c r="P5" i="16" a="1"/>
  <c r="P5" i="16" s="1"/>
  <c r="P2" i="16" a="1"/>
  <c r="P2" i="16" s="1"/>
  <c r="P16" i="16" a="1"/>
  <c r="P16" i="16" s="1"/>
  <c r="P32" i="16" a="1"/>
  <c r="P32" i="16" s="1"/>
  <c r="P48" i="16" a="1"/>
  <c r="P48" i="16" s="1"/>
  <c r="P37" i="16" a="1"/>
  <c r="P37" i="16" s="1"/>
  <c r="H11" i="16" a="1"/>
  <c r="H11" i="16" s="1"/>
  <c r="H41" i="16" a="1"/>
  <c r="H41" i="16" s="1"/>
  <c r="H25" i="16" a="1"/>
  <c r="H25" i="16" s="1"/>
  <c r="H38" i="16" a="1"/>
  <c r="H38" i="16" s="1"/>
  <c r="H28" i="16" a="1"/>
  <c r="H28" i="16" s="1"/>
  <c r="H4" i="16" a="1"/>
  <c r="H4" i="16" s="1"/>
  <c r="H34" i="16" a="1"/>
  <c r="H34" i="16" s="1"/>
  <c r="H12" i="16" a="1"/>
  <c r="H12" i="16" s="1"/>
  <c r="H9" i="16" a="1"/>
  <c r="H9" i="16" s="1"/>
  <c r="H48" i="16" a="1"/>
  <c r="H48" i="16" s="1"/>
  <c r="H16" i="16" a="1"/>
  <c r="H16" i="16" s="1"/>
  <c r="H15" i="16" a="1"/>
  <c r="H15" i="16" s="1"/>
  <c r="H27" i="16" a="1"/>
  <c r="H27" i="16" s="1"/>
  <c r="BI50" i="13"/>
  <c r="BH4" i="13"/>
  <c r="BH8" i="13"/>
  <c r="BH12" i="13"/>
  <c r="BH16" i="13"/>
  <c r="BH20" i="13"/>
  <c r="BH24" i="13"/>
  <c r="BH28" i="13"/>
  <c r="BH32" i="13"/>
  <c r="BH36" i="13"/>
  <c r="BH40" i="13"/>
  <c r="BH44" i="13"/>
  <c r="BH48" i="13"/>
  <c r="BH5" i="13"/>
  <c r="BH9" i="13"/>
  <c r="BH13" i="13"/>
  <c r="BH17" i="13"/>
  <c r="BH21" i="13"/>
  <c r="BH25" i="13"/>
  <c r="BH29" i="13"/>
  <c r="BH33" i="13"/>
  <c r="BH37" i="13"/>
  <c r="BH41" i="13"/>
  <c r="BH45" i="13"/>
  <c r="BH49" i="13"/>
  <c r="BH2" i="13"/>
  <c r="BH6" i="13"/>
  <c r="BH10" i="13"/>
  <c r="BH14" i="13"/>
  <c r="BH18" i="13"/>
  <c r="BH22" i="13"/>
  <c r="BH26" i="13"/>
  <c r="BH30" i="13"/>
  <c r="BH34" i="13"/>
  <c r="BH38" i="13"/>
  <c r="BH42" i="13"/>
  <c r="BH46" i="13"/>
  <c r="BH11" i="13"/>
  <c r="BH27" i="13"/>
  <c r="BH43" i="13"/>
  <c r="BH15" i="13"/>
  <c r="BH31" i="13"/>
  <c r="BH47" i="13"/>
  <c r="BH3" i="13"/>
  <c r="BH19" i="13"/>
  <c r="BH35" i="13"/>
  <c r="BH7" i="13"/>
  <c r="BH23" i="13"/>
  <c r="BH39" i="13"/>
  <c r="BI3" i="13"/>
  <c r="BI7" i="13"/>
  <c r="BI11" i="13"/>
  <c r="BI15" i="13"/>
  <c r="BI19" i="13"/>
  <c r="BI23" i="13"/>
  <c r="BI27" i="13"/>
  <c r="BI31" i="13"/>
  <c r="BI35" i="13"/>
  <c r="BI39" i="13"/>
  <c r="BI43" i="13"/>
  <c r="BI47" i="13"/>
  <c r="BI4" i="13"/>
  <c r="BI8" i="13"/>
  <c r="BI12" i="13"/>
  <c r="BI16" i="13"/>
  <c r="BI20" i="13"/>
  <c r="BI24" i="13"/>
  <c r="BI28" i="13"/>
  <c r="BI32" i="13"/>
  <c r="BI36" i="13"/>
  <c r="BI40" i="13"/>
  <c r="BI44" i="13"/>
  <c r="BI48" i="13"/>
  <c r="BI2" i="13"/>
  <c r="BI5" i="13"/>
  <c r="BI9" i="13"/>
  <c r="BI13" i="13"/>
  <c r="BI17" i="13"/>
  <c r="BI21" i="13"/>
  <c r="BI25" i="13"/>
  <c r="BI29" i="13"/>
  <c r="BI33" i="13"/>
  <c r="BI37" i="13"/>
  <c r="BI41" i="13"/>
  <c r="BI45" i="13"/>
  <c r="BI49" i="13"/>
  <c r="BI6" i="13"/>
  <c r="BI10" i="13"/>
  <c r="BI14" i="13"/>
  <c r="BI18" i="13"/>
  <c r="BI22" i="13"/>
  <c r="BI26" i="13"/>
  <c r="BI30" i="13"/>
  <c r="BI34" i="13"/>
  <c r="BI38" i="13"/>
  <c r="BI42" i="13"/>
  <c r="BI46" i="13"/>
  <c r="BI51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2" i="13"/>
  <c r="M50" i="13"/>
  <c r="N50" i="13"/>
  <c r="M51" i="13"/>
  <c r="N51" i="13"/>
  <c r="L51" i="13"/>
  <c r="K51" i="13"/>
  <c r="L50" i="13"/>
  <c r="K50" i="13"/>
  <c r="D50" i="13"/>
  <c r="C50" i="13"/>
  <c r="L49" i="13"/>
  <c r="K49" i="13"/>
  <c r="D49" i="13"/>
  <c r="C49" i="13"/>
  <c r="L51" i="12"/>
  <c r="K51" i="12"/>
  <c r="L50" i="12"/>
  <c r="K50" i="12"/>
  <c r="L49" i="12"/>
  <c r="K49" i="12"/>
  <c r="AL39" i="13" l="1"/>
  <c r="AM39" i="13" s="1"/>
  <c r="AL37" i="13"/>
  <c r="AM37" i="13" s="1"/>
  <c r="AL11" i="13"/>
  <c r="AM11" i="13" s="1"/>
  <c r="AL21" i="13"/>
  <c r="AM21" i="13" s="1"/>
  <c r="AL47" i="13"/>
  <c r="AM47" i="13" s="1"/>
  <c r="AL14" i="13"/>
  <c r="AM14" i="13" s="1"/>
  <c r="AL17" i="13"/>
  <c r="AM17" i="13" s="1"/>
  <c r="AH32" i="13" a="1"/>
  <c r="AH32" i="13" s="1"/>
  <c r="AE34" i="13" a="1"/>
  <c r="AE34" i="13" s="1"/>
  <c r="AL20" i="13"/>
  <c r="AM20" i="13" s="1"/>
  <c r="AL29" i="13"/>
  <c r="AM29" i="13" s="1"/>
  <c r="AL2" i="13"/>
  <c r="AM2" i="13" s="1"/>
  <c r="AL31" i="13"/>
  <c r="AM31" i="13" s="1"/>
  <c r="AL33" i="13"/>
  <c r="AM33" i="13" s="1"/>
  <c r="AL22" i="13"/>
  <c r="AM22" i="13" s="1"/>
  <c r="AL5" i="13"/>
  <c r="AM5" i="13" s="1"/>
  <c r="AE14" i="13" a="1"/>
  <c r="AE14" i="13" s="1"/>
  <c r="AI14" i="13" s="1"/>
  <c r="AL46" i="13"/>
  <c r="AM46" i="13" s="1"/>
  <c r="AL15" i="13"/>
  <c r="AM15" i="13" s="1"/>
  <c r="AL38" i="13"/>
  <c r="AM38" i="13" s="1"/>
  <c r="AL42" i="13"/>
  <c r="AM42" i="13" s="1"/>
  <c r="AH42" i="13" a="1"/>
  <c r="AH42" i="13" s="1"/>
  <c r="AL23" i="13"/>
  <c r="AM23" i="13" s="1"/>
  <c r="AL43" i="13"/>
  <c r="AM43" i="13" s="1"/>
  <c r="AL34" i="13"/>
  <c r="AM34" i="13" s="1"/>
  <c r="AL35" i="13"/>
  <c r="AM35" i="13" s="1"/>
  <c r="AL9" i="13"/>
  <c r="AM9" i="13" s="1"/>
  <c r="AL16" i="13"/>
  <c r="AM16" i="13" s="1"/>
  <c r="AL48" i="13"/>
  <c r="AM48" i="13" s="1"/>
  <c r="AE27" i="13" a="1"/>
  <c r="AE27" i="13" s="1"/>
  <c r="AL45" i="13"/>
  <c r="AM45" i="13" s="1"/>
  <c r="AL28" i="13"/>
  <c r="AM28" i="13" s="1"/>
  <c r="AL19" i="13"/>
  <c r="AM19" i="13" s="1"/>
  <c r="AL10" i="13"/>
  <c r="AM10" i="13" s="1"/>
  <c r="AL3" i="13"/>
  <c r="AM3" i="13" s="1"/>
  <c r="AL32" i="13"/>
  <c r="AM32" i="13" s="1"/>
  <c r="AL26" i="13"/>
  <c r="AM26" i="13" s="1"/>
  <c r="AL36" i="13"/>
  <c r="AM36" i="13" s="1"/>
  <c r="AL18" i="13"/>
  <c r="AM18" i="13" s="1"/>
  <c r="AL40" i="13"/>
  <c r="AM40" i="13" s="1"/>
  <c r="AL30" i="13"/>
  <c r="AM30" i="13" s="1"/>
  <c r="AL13" i="13"/>
  <c r="AM13" i="13" s="1"/>
  <c r="AL8" i="13"/>
  <c r="AM8" i="13" s="1"/>
  <c r="AL41" i="13"/>
  <c r="AM41" i="13" s="1"/>
  <c r="AL12" i="13"/>
  <c r="AM12" i="13" s="1"/>
  <c r="AL24" i="13"/>
  <c r="AM24" i="13" s="1"/>
  <c r="AL25" i="13"/>
  <c r="AM25" i="13" s="1"/>
  <c r="AL44" i="13"/>
  <c r="AM44" i="13" s="1"/>
  <c r="AH12" i="13" a="1"/>
  <c r="AH12" i="13" s="1"/>
  <c r="AL7" i="13"/>
  <c r="AM7" i="13" s="1"/>
  <c r="AL6" i="13"/>
  <c r="AM6" i="13" s="1"/>
  <c r="AL27" i="13"/>
  <c r="AM27" i="13" s="1"/>
  <c r="AE22" i="13" a="1"/>
  <c r="AE22" i="13" s="1"/>
  <c r="AE3" i="13" a="1"/>
  <c r="AE3" i="13" s="1"/>
  <c r="AH27" i="13" a="1"/>
  <c r="AH27" i="13" s="1"/>
  <c r="AH40" i="13" a="1"/>
  <c r="AH40" i="13" s="1"/>
  <c r="AE28" i="13" a="1"/>
  <c r="AE28" i="13" s="1"/>
  <c r="AE26" i="13" a="1"/>
  <c r="AE26" i="13" s="1"/>
  <c r="AE37" i="13" a="1"/>
  <c r="AE37" i="13" s="1"/>
  <c r="AH20" i="13" a="1"/>
  <c r="AH20" i="13" s="1"/>
  <c r="AH35" i="13" a="1"/>
  <c r="AH35" i="13" s="1"/>
  <c r="AH33" i="13" a="1"/>
  <c r="AH33" i="13" s="1"/>
  <c r="AH25" i="13" a="1"/>
  <c r="AH25" i="13" s="1"/>
  <c r="AE2" i="13" a="1"/>
  <c r="AE2" i="13" s="1"/>
  <c r="AH36" i="13" a="1"/>
  <c r="AH36" i="13" s="1"/>
  <c r="AH29" i="13" a="1"/>
  <c r="AH29" i="13" s="1"/>
  <c r="AE48" i="13" a="1"/>
  <c r="AE48" i="13" s="1"/>
  <c r="AH43" i="13" a="1"/>
  <c r="AH43" i="13" s="1"/>
  <c r="AH9" i="13" a="1"/>
  <c r="AH9" i="13" s="1"/>
  <c r="AH48" i="13" a="1"/>
  <c r="AH48" i="13" s="1"/>
  <c r="AE18" i="13" a="1"/>
  <c r="AE18" i="13" s="1"/>
  <c r="AE17" i="13" a="1"/>
  <c r="AE17" i="13" s="1"/>
  <c r="AH38" i="13" a="1"/>
  <c r="AH38" i="13" s="1"/>
  <c r="AH21" i="13" a="1"/>
  <c r="AH21" i="13" s="1"/>
  <c r="AH4" i="13" a="1"/>
  <c r="AH4" i="13" s="1"/>
  <c r="AH34" i="13" a="1"/>
  <c r="AH34" i="13" s="1"/>
  <c r="AH31" i="13" a="1"/>
  <c r="AH31" i="13" s="1"/>
  <c r="AH10" i="13" a="1"/>
  <c r="AH10" i="13" s="1"/>
  <c r="AH23" i="13" a="1"/>
  <c r="AH23" i="13" s="1"/>
  <c r="AE16" i="13" a="1"/>
  <c r="AE16" i="13" s="1"/>
  <c r="AE21" i="13" a="1"/>
  <c r="AE21" i="13" s="1"/>
  <c r="AH7" i="13" a="1"/>
  <c r="AH7" i="13" s="1"/>
  <c r="AH37" i="13" a="1"/>
  <c r="AH37" i="13" s="1"/>
  <c r="AE39" i="13" a="1"/>
  <c r="AE39" i="13" s="1"/>
  <c r="AE29" i="13" a="1"/>
  <c r="AE29" i="13" s="1"/>
  <c r="AH8" i="13" a="1"/>
  <c r="AH8" i="13" s="1"/>
  <c r="AE30" i="13" a="1"/>
  <c r="AE30" i="13" s="1"/>
  <c r="AH17" i="13" a="1"/>
  <c r="AH17" i="13" s="1"/>
  <c r="AH47" i="13" a="1"/>
  <c r="AH47" i="13" s="1"/>
  <c r="AH30" i="13" a="1"/>
  <c r="AH30" i="13" s="1"/>
  <c r="AH13" i="13" a="1"/>
  <c r="AH13" i="13" s="1"/>
  <c r="AE24" i="13" a="1"/>
  <c r="AE24" i="13" s="1"/>
  <c r="AH26" i="13" a="1"/>
  <c r="AH26" i="13" s="1"/>
  <c r="AH39" i="13" a="1"/>
  <c r="AH39" i="13" s="1"/>
  <c r="AH22" i="13" a="1"/>
  <c r="AH22" i="13" s="1"/>
  <c r="AH5" i="13" a="1"/>
  <c r="AH5" i="13" s="1"/>
  <c r="AE41" i="13" a="1"/>
  <c r="AE41" i="13" s="1"/>
  <c r="AE7" i="13" a="1"/>
  <c r="AE7" i="13" s="1"/>
  <c r="AH18" i="13" a="1"/>
  <c r="AH18" i="13" s="1"/>
  <c r="AE44" i="13" a="1"/>
  <c r="AE44" i="13" s="1"/>
  <c r="AE25" i="13" a="1"/>
  <c r="AE25" i="13" s="1"/>
  <c r="AE10" i="13" a="1"/>
  <c r="AE10" i="13" s="1"/>
  <c r="AE9" i="13" a="1"/>
  <c r="AE9" i="13" s="1"/>
  <c r="AE33" i="13" a="1"/>
  <c r="AE33" i="13" s="1"/>
  <c r="AH15" i="13" a="1"/>
  <c r="AH15" i="13" s="1"/>
  <c r="AE13" i="13" a="1"/>
  <c r="AE13" i="13" s="1"/>
  <c r="AE12" i="13" a="1"/>
  <c r="AE12" i="13" s="1"/>
  <c r="AH44" i="13" a="1"/>
  <c r="AH44" i="13" s="1"/>
  <c r="AH6" i="13" a="1"/>
  <c r="AH6" i="13" s="1"/>
  <c r="AE31" i="13" a="1"/>
  <c r="AE31" i="13" s="1"/>
  <c r="AH19" i="13" a="1"/>
  <c r="AH19" i="13" s="1"/>
  <c r="AH2" i="13" a="1"/>
  <c r="AH2" i="13" s="1"/>
  <c r="AH45" i="13" a="1"/>
  <c r="AH45" i="13" s="1"/>
  <c r="AE43" i="13" a="1"/>
  <c r="AE43" i="13" s="1"/>
  <c r="AE32" i="13" a="1"/>
  <c r="AE32" i="13" s="1"/>
  <c r="AE4" i="13" a="1"/>
  <c r="AE4" i="13" s="1"/>
  <c r="AE5" i="13" a="1"/>
  <c r="AE5" i="13" s="1"/>
  <c r="AH28" i="13" a="1"/>
  <c r="AH28" i="13" s="1"/>
  <c r="AH11" i="13" a="1"/>
  <c r="AH11" i="13" s="1"/>
  <c r="AH41" i="13" a="1"/>
  <c r="AH41" i="13" s="1"/>
  <c r="AH24" i="13" a="1"/>
  <c r="AH24" i="13" s="1"/>
  <c r="AE46" i="13" a="1"/>
  <c r="AE46" i="13" s="1"/>
  <c r="AE19" i="13" a="1"/>
  <c r="AE19" i="13" s="1"/>
  <c r="AE8" i="13" a="1"/>
  <c r="AE8" i="13" s="1"/>
  <c r="AH3" i="13" a="1"/>
  <c r="AH3" i="13" s="1"/>
  <c r="AH16" i="13" a="1"/>
  <c r="AH16" i="13" s="1"/>
  <c r="AH46" i="13" a="1"/>
  <c r="AH46" i="13" s="1"/>
  <c r="AE45" i="13" a="1"/>
  <c r="AE45" i="13" s="1"/>
  <c r="AE23" i="13" a="1"/>
  <c r="AE23" i="13" s="1"/>
  <c r="AE6" i="13" a="1"/>
  <c r="AE6" i="13" s="1"/>
  <c r="AE42" i="13" a="1"/>
  <c r="AE42" i="13" s="1"/>
  <c r="AE15" i="13" a="1"/>
  <c r="AE15" i="13" s="1"/>
  <c r="AE11" i="13" a="1"/>
  <c r="AE11" i="13" s="1"/>
  <c r="AE20" i="13" a="1"/>
  <c r="AE20" i="13" s="1"/>
  <c r="AE47" i="13" a="1"/>
  <c r="AE47" i="13" s="1"/>
  <c r="AE36" i="13" a="1"/>
  <c r="AE36" i="13" s="1"/>
  <c r="AE40" i="13" a="1"/>
  <c r="AE40" i="13" s="1"/>
  <c r="AE38" i="13" a="1"/>
  <c r="AE38" i="13" s="1"/>
  <c r="AE35" i="13" a="1"/>
  <c r="AE35" i="13" s="1"/>
  <c r="BF51" i="13"/>
  <c r="BH51" i="13" s="1"/>
  <c r="BJ51" i="13" s="1" a="1"/>
  <c r="BJ51" i="13" s="1"/>
  <c r="BJ39" i="13" a="1"/>
  <c r="BJ39" i="13" s="1"/>
  <c r="BJ19" i="13" a="1"/>
  <c r="BJ19" i="13" s="1"/>
  <c r="BJ15" i="13" a="1"/>
  <c r="BJ15" i="13" s="1"/>
  <c r="BJ46" i="13" a="1"/>
  <c r="BJ46" i="13" s="1"/>
  <c r="BJ30" i="13" a="1"/>
  <c r="BJ30" i="13" s="1"/>
  <c r="BJ14" i="13" a="1"/>
  <c r="BJ14" i="13" s="1"/>
  <c r="BJ49" i="13" a="1"/>
  <c r="BJ49" i="13" s="1"/>
  <c r="BJ33" i="13" a="1"/>
  <c r="BJ33" i="13" s="1"/>
  <c r="BJ17" i="13" a="1"/>
  <c r="BJ17" i="13" s="1"/>
  <c r="BJ48" i="13" a="1"/>
  <c r="BJ48" i="13" s="1"/>
  <c r="BJ32" i="13" a="1"/>
  <c r="BJ32" i="13" s="1"/>
  <c r="BJ16" i="13" a="1"/>
  <c r="BJ16" i="13" s="1"/>
  <c r="BJ3" i="13" a="1"/>
  <c r="BJ3" i="13" s="1"/>
  <c r="BJ45" i="13" a="1"/>
  <c r="BJ45" i="13" s="1"/>
  <c r="BJ29" i="13" a="1"/>
  <c r="BJ29" i="13" s="1"/>
  <c r="BJ13" i="13" a="1"/>
  <c r="BJ13" i="13" s="1"/>
  <c r="BJ7" i="13" a="1"/>
  <c r="BJ7" i="13" s="1"/>
  <c r="BJ47" i="13" a="1"/>
  <c r="BJ47" i="13" s="1"/>
  <c r="BJ27" i="13" a="1"/>
  <c r="BJ27" i="13" s="1"/>
  <c r="BJ38" i="13" a="1"/>
  <c r="BJ38" i="13" s="1"/>
  <c r="BJ22" i="13" a="1"/>
  <c r="BJ22" i="13" s="1"/>
  <c r="BJ6" i="13" a="1"/>
  <c r="BJ6" i="13" s="1"/>
  <c r="BJ41" i="13" a="1"/>
  <c r="BJ41" i="13" s="1"/>
  <c r="BJ25" i="13" a="1"/>
  <c r="BJ25" i="13" s="1"/>
  <c r="BJ9" i="13" a="1"/>
  <c r="BJ9" i="13" s="1"/>
  <c r="BJ40" i="13" a="1"/>
  <c r="BJ40" i="13" s="1"/>
  <c r="BJ24" i="13" a="1"/>
  <c r="BJ24" i="13" s="1"/>
  <c r="BJ8" i="13" a="1"/>
  <c r="BJ8" i="13" s="1"/>
  <c r="BJ35" i="13" a="1"/>
  <c r="BJ35" i="13" s="1"/>
  <c r="BJ31" i="13" a="1"/>
  <c r="BJ31" i="13" s="1"/>
  <c r="BJ11" i="13" a="1"/>
  <c r="BJ11" i="13" s="1"/>
  <c r="BJ34" i="13" a="1"/>
  <c r="BJ34" i="13" s="1"/>
  <c r="BJ18" i="13" a="1"/>
  <c r="BJ18" i="13" s="1"/>
  <c r="BJ2" i="13" a="1"/>
  <c r="BJ2" i="13" s="1"/>
  <c r="BJ37" i="13" a="1"/>
  <c r="BJ37" i="13" s="1"/>
  <c r="BJ21" i="13" a="1"/>
  <c r="BJ21" i="13" s="1"/>
  <c r="BJ5" i="13" a="1"/>
  <c r="BJ5" i="13" s="1"/>
  <c r="BJ36" i="13" a="1"/>
  <c r="BJ36" i="13" s="1"/>
  <c r="BJ20" i="13" a="1"/>
  <c r="BJ20" i="13" s="1"/>
  <c r="BJ4" i="13" a="1"/>
  <c r="BJ4" i="13" s="1"/>
  <c r="BJ23" i="13" a="1"/>
  <c r="BJ23" i="13" s="1"/>
  <c r="BJ43" i="13" a="1"/>
  <c r="BJ43" i="13" s="1"/>
  <c r="BJ42" i="13" a="1"/>
  <c r="BJ42" i="13" s="1"/>
  <c r="BJ26" i="13" a="1"/>
  <c r="BJ26" i="13" s="1"/>
  <c r="BJ10" i="13" a="1"/>
  <c r="BJ10" i="13" s="1"/>
  <c r="BJ44" i="13" a="1"/>
  <c r="BJ44" i="13" s="1"/>
  <c r="BJ28" i="13" a="1"/>
  <c r="BJ28" i="13" s="1"/>
  <c r="BJ12" i="13" a="1"/>
  <c r="BJ12" i="13" s="1"/>
  <c r="BJ50" i="13" a="1"/>
  <c r="BJ50" i="13" s="1"/>
  <c r="L48" i="19"/>
  <c r="U48" i="19"/>
  <c r="L31" i="19"/>
  <c r="U31" i="19"/>
  <c r="L38" i="19"/>
  <c r="U38" i="19"/>
  <c r="L22" i="19"/>
  <c r="U22" i="19"/>
  <c r="L6" i="19"/>
  <c r="U6" i="19"/>
  <c r="L36" i="19"/>
  <c r="U36" i="19"/>
  <c r="L45" i="19"/>
  <c r="U45" i="19"/>
  <c r="L8" i="19"/>
  <c r="U8" i="19"/>
  <c r="L43" i="19"/>
  <c r="U43" i="19"/>
  <c r="L44" i="19"/>
  <c r="U44" i="19"/>
  <c r="L7" i="19"/>
  <c r="U7" i="19"/>
  <c r="L37" i="19"/>
  <c r="U37" i="19"/>
  <c r="L50" i="19"/>
  <c r="U50" i="19"/>
  <c r="L25" i="19"/>
  <c r="U25" i="19"/>
  <c r="L23" i="19"/>
  <c r="U23" i="19"/>
  <c r="L13" i="19"/>
  <c r="U13" i="19"/>
  <c r="L33" i="19"/>
  <c r="U33" i="19"/>
  <c r="L16" i="19"/>
  <c r="U16" i="19"/>
  <c r="L46" i="19"/>
  <c r="U46" i="19"/>
  <c r="L30" i="19"/>
  <c r="U30" i="19"/>
  <c r="L14" i="19"/>
  <c r="U14" i="19"/>
  <c r="L29" i="19"/>
  <c r="U29" i="19"/>
  <c r="L39" i="19"/>
  <c r="U39" i="19"/>
  <c r="L5" i="19"/>
  <c r="U5" i="19"/>
  <c r="L11" i="19"/>
  <c r="U11" i="19"/>
  <c r="L41" i="19"/>
  <c r="U41" i="19"/>
  <c r="L4" i="19"/>
  <c r="U4" i="19"/>
  <c r="L20" i="19"/>
  <c r="U20" i="19"/>
  <c r="L32" i="19"/>
  <c r="U32" i="19"/>
  <c r="L15" i="19"/>
  <c r="U15" i="19"/>
  <c r="L34" i="19"/>
  <c r="U34" i="19"/>
  <c r="L18" i="19"/>
  <c r="U18" i="19"/>
  <c r="L12" i="19"/>
  <c r="U12" i="19"/>
  <c r="L35" i="19"/>
  <c r="U35" i="19"/>
  <c r="L24" i="19"/>
  <c r="U24" i="19"/>
  <c r="L17" i="19"/>
  <c r="U17" i="19"/>
  <c r="L47" i="19"/>
  <c r="U47" i="19"/>
  <c r="L42" i="19"/>
  <c r="U42" i="19"/>
  <c r="L26" i="19"/>
  <c r="U26" i="19"/>
  <c r="L10" i="19"/>
  <c r="U10" i="19"/>
  <c r="L9" i="19"/>
  <c r="U9" i="19"/>
  <c r="L19" i="19"/>
  <c r="U19" i="19"/>
  <c r="L28" i="19"/>
  <c r="U28" i="19"/>
  <c r="L40" i="19"/>
  <c r="U40" i="19"/>
  <c r="L21" i="19"/>
  <c r="U21" i="19"/>
  <c r="L27" i="19"/>
  <c r="U27" i="19"/>
  <c r="L3" i="19"/>
  <c r="U3" i="19"/>
  <c r="U49" i="19" s="1"/>
  <c r="N49" i="13"/>
  <c r="M49" i="13"/>
  <c r="D50" i="12"/>
  <c r="C50" i="12"/>
  <c r="D49" i="12"/>
  <c r="C49" i="12"/>
  <c r="AI32" i="13" l="1"/>
  <c r="AI17" i="13"/>
  <c r="AI3" i="13"/>
  <c r="AI34" i="13"/>
  <c r="AI40" i="13"/>
  <c r="AI42" i="13"/>
  <c r="AI27" i="13"/>
  <c r="AI12" i="13"/>
  <c r="AI22" i="13"/>
  <c r="AI20" i="13"/>
  <c r="AI26" i="13"/>
  <c r="AI44" i="13"/>
  <c r="AI2" i="13"/>
  <c r="AI28" i="13"/>
  <c r="AI37" i="13"/>
  <c r="AI48" i="13"/>
  <c r="AI18" i="13"/>
  <c r="AI41" i="13"/>
  <c r="AI46" i="13"/>
  <c r="AI19" i="13"/>
  <c r="AI16" i="13"/>
  <c r="AI6" i="13"/>
  <c r="AI31" i="13"/>
  <c r="AI9" i="13"/>
  <c r="AI35" i="13"/>
  <c r="AI43" i="13"/>
  <c r="AI13" i="13"/>
  <c r="AI4" i="13"/>
  <c r="AI30" i="13"/>
  <c r="AI7" i="13"/>
  <c r="AI21" i="13"/>
  <c r="AI29" i="13"/>
  <c r="AI24" i="13"/>
  <c r="AI45" i="13"/>
  <c r="AI15" i="13"/>
  <c r="AI47" i="13"/>
  <c r="AI38" i="13"/>
  <c r="AI36" i="13"/>
  <c r="AI5" i="13"/>
  <c r="AI11" i="13"/>
  <c r="AI23" i="13"/>
  <c r="AI25" i="13"/>
  <c r="AI39" i="13"/>
  <c r="AI8" i="13"/>
  <c r="AI10" i="13"/>
  <c r="AI33" i="13"/>
  <c r="M56" i="11"/>
  <c r="N56" i="11" s="1"/>
  <c r="O56" i="11" s="1"/>
  <c r="P56" i="11" s="1"/>
  <c r="Q56" i="11" s="1"/>
  <c r="R56" i="11" s="1"/>
  <c r="S56" i="11" s="1"/>
  <c r="T56" i="11" s="1"/>
  <c r="U56" i="11" s="1"/>
  <c r="V56" i="11" s="1"/>
  <c r="W56" i="11" s="1"/>
  <c r="X56" i="11" s="1"/>
  <c r="Y56" i="11" s="1"/>
  <c r="Z56" i="11" s="1"/>
  <c r="AA56" i="11" s="1"/>
  <c r="AB56" i="11" s="1"/>
  <c r="AC56" i="11" s="1"/>
  <c r="AD56" i="11" s="1"/>
  <c r="AE56" i="11" s="1"/>
  <c r="AF56" i="11" s="1"/>
  <c r="Q55" i="11"/>
  <c r="R55" i="11" s="1"/>
  <c r="S55" i="11" s="1"/>
  <c r="T55" i="11" s="1"/>
  <c r="U55" i="11" s="1"/>
  <c r="V55" i="11" s="1"/>
  <c r="W55" i="11" s="1"/>
  <c r="X55" i="11" s="1"/>
  <c r="Y55" i="11" s="1"/>
  <c r="Z55" i="11" s="1"/>
  <c r="AA55" i="11" s="1"/>
  <c r="AB55" i="11" s="1"/>
  <c r="AC55" i="11" s="1"/>
  <c r="AD55" i="11" s="1"/>
  <c r="AE55" i="11" s="1"/>
  <c r="AF55" i="11" s="1"/>
  <c r="M55" i="11"/>
  <c r="N55" i="11" s="1"/>
  <c r="O55" i="11" s="1"/>
  <c r="P55" i="11" s="1"/>
  <c r="M54" i="1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X54" i="11" s="1"/>
  <c r="Y54" i="11" s="1"/>
  <c r="Z54" i="11" s="1"/>
  <c r="AA54" i="11" s="1"/>
  <c r="AB54" i="11" s="1"/>
  <c r="AC54" i="11" s="1"/>
  <c r="AD54" i="11" s="1"/>
  <c r="AE54" i="11" s="1"/>
  <c r="AF54" i="11" s="1"/>
  <c r="I48" i="11"/>
  <c r="J48" i="11" s="1"/>
  <c r="K47" i="11"/>
  <c r="J47" i="11"/>
  <c r="I47" i="11"/>
  <c r="J46" i="11"/>
  <c r="I46" i="11"/>
  <c r="I45" i="11"/>
  <c r="J45" i="11" s="1"/>
  <c r="I44" i="11"/>
  <c r="J44" i="11" s="1"/>
  <c r="J43" i="11"/>
  <c r="I43" i="11"/>
  <c r="J42" i="11"/>
  <c r="I42" i="11"/>
  <c r="I41" i="11"/>
  <c r="J41" i="11" s="1"/>
  <c r="I40" i="11"/>
  <c r="J40" i="11" s="1"/>
  <c r="J39" i="11"/>
  <c r="I39" i="11"/>
  <c r="J38" i="11"/>
  <c r="I38" i="11"/>
  <c r="I37" i="11"/>
  <c r="J37" i="11" s="1"/>
  <c r="I36" i="11"/>
  <c r="J36" i="11" s="1"/>
  <c r="J35" i="11"/>
  <c r="I35" i="11"/>
  <c r="J34" i="11"/>
  <c r="I34" i="11"/>
  <c r="I33" i="11"/>
  <c r="J33" i="11" s="1"/>
  <c r="I32" i="11"/>
  <c r="J32" i="11" s="1"/>
  <c r="K31" i="11"/>
  <c r="J31" i="11"/>
  <c r="I31" i="11"/>
  <c r="J30" i="11"/>
  <c r="I30" i="11"/>
  <c r="I29" i="11"/>
  <c r="J29" i="11" s="1"/>
  <c r="I28" i="11"/>
  <c r="J28" i="11" s="1"/>
  <c r="J27" i="11"/>
  <c r="I27" i="11"/>
  <c r="J26" i="11"/>
  <c r="I26" i="11"/>
  <c r="I25" i="11"/>
  <c r="J25" i="11" s="1"/>
  <c r="I24" i="11"/>
  <c r="J24" i="11" s="1"/>
  <c r="J23" i="11"/>
  <c r="I23" i="11"/>
  <c r="J22" i="11"/>
  <c r="I22" i="11"/>
  <c r="I21" i="11"/>
  <c r="J21" i="11" s="1"/>
  <c r="I20" i="11"/>
  <c r="J20" i="11" s="1"/>
  <c r="J19" i="11"/>
  <c r="I19" i="11"/>
  <c r="J18" i="11"/>
  <c r="I18" i="11"/>
  <c r="I17" i="11"/>
  <c r="J17" i="11" s="1"/>
  <c r="I16" i="11"/>
  <c r="J16" i="11" s="1"/>
  <c r="K15" i="11"/>
  <c r="J15" i="11"/>
  <c r="I15" i="11"/>
  <c r="J14" i="11"/>
  <c r="I14" i="11"/>
  <c r="I13" i="11"/>
  <c r="J13" i="11" s="1"/>
  <c r="I12" i="11"/>
  <c r="J12" i="11" s="1"/>
  <c r="J11" i="11"/>
  <c r="I11" i="11"/>
  <c r="I10" i="11"/>
  <c r="J10" i="11" s="1"/>
  <c r="I9" i="11"/>
  <c r="J9" i="11" s="1"/>
  <c r="I8" i="11"/>
  <c r="J8" i="11" s="1"/>
  <c r="J7" i="11"/>
  <c r="I7" i="11"/>
  <c r="I6" i="11"/>
  <c r="J6" i="11" s="1"/>
  <c r="I5" i="11"/>
  <c r="J5" i="11" s="1"/>
  <c r="D5" i="11"/>
  <c r="I4" i="11"/>
  <c r="J4" i="11" s="1"/>
  <c r="D4" i="11"/>
  <c r="I3" i="11"/>
  <c r="J3" i="11" s="1"/>
  <c r="D3" i="11"/>
  <c r="K39" i="11" s="1"/>
  <c r="I2" i="11"/>
  <c r="J2" i="11" s="1"/>
  <c r="J7" i="8"/>
  <c r="J12" i="8"/>
  <c r="J13" i="8"/>
  <c r="J14" i="8"/>
  <c r="J19" i="8"/>
  <c r="J20" i="8"/>
  <c r="J24" i="8"/>
  <c r="J25" i="8"/>
  <c r="J26" i="8"/>
  <c r="J31" i="8"/>
  <c r="J32" i="8"/>
  <c r="J36" i="8"/>
  <c r="J37" i="8"/>
  <c r="J38" i="8"/>
  <c r="J43" i="8"/>
  <c r="J44" i="8"/>
  <c r="J48" i="8"/>
  <c r="M55" i="8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M56" i="8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M54" i="8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I9" i="8"/>
  <c r="J9" i="8" s="1"/>
  <c r="I10" i="8"/>
  <c r="J10" i="8" s="1"/>
  <c r="I11" i="8"/>
  <c r="J11" i="8" s="1"/>
  <c r="I12" i="8"/>
  <c r="I13" i="8"/>
  <c r="I14" i="8"/>
  <c r="I15" i="8"/>
  <c r="J15" i="8" s="1"/>
  <c r="I16" i="8"/>
  <c r="J16" i="8" s="1"/>
  <c r="I17" i="8"/>
  <c r="J17" i="8" s="1"/>
  <c r="I18" i="8"/>
  <c r="J18" i="8" s="1"/>
  <c r="I19" i="8"/>
  <c r="I20" i="8"/>
  <c r="I21" i="8"/>
  <c r="J21" i="8" s="1"/>
  <c r="I22" i="8"/>
  <c r="J22" i="8" s="1"/>
  <c r="I23" i="8"/>
  <c r="J23" i="8" s="1"/>
  <c r="I24" i="8"/>
  <c r="I25" i="8"/>
  <c r="I26" i="8"/>
  <c r="I27" i="8"/>
  <c r="J27" i="8" s="1"/>
  <c r="I28" i="8"/>
  <c r="J28" i="8" s="1"/>
  <c r="I29" i="8"/>
  <c r="J29" i="8" s="1"/>
  <c r="I30" i="8"/>
  <c r="J30" i="8" s="1"/>
  <c r="I31" i="8"/>
  <c r="I32" i="8"/>
  <c r="I33" i="8"/>
  <c r="J33" i="8" s="1"/>
  <c r="I34" i="8"/>
  <c r="J34" i="8" s="1"/>
  <c r="I35" i="8"/>
  <c r="J35" i="8" s="1"/>
  <c r="I36" i="8"/>
  <c r="I37" i="8"/>
  <c r="I38" i="8"/>
  <c r="I39" i="8"/>
  <c r="J39" i="8" s="1"/>
  <c r="I40" i="8"/>
  <c r="J40" i="8" s="1"/>
  <c r="I41" i="8"/>
  <c r="J41" i="8" s="1"/>
  <c r="I42" i="8"/>
  <c r="J42" i="8" s="1"/>
  <c r="I43" i="8"/>
  <c r="I44" i="8"/>
  <c r="I45" i="8"/>
  <c r="J45" i="8" s="1"/>
  <c r="I46" i="8"/>
  <c r="J46" i="8" s="1"/>
  <c r="I47" i="8"/>
  <c r="J47" i="8" s="1"/>
  <c r="I48" i="8"/>
  <c r="I3" i="8"/>
  <c r="J3" i="8" s="1"/>
  <c r="I4" i="8"/>
  <c r="J4" i="8" s="1"/>
  <c r="I5" i="8"/>
  <c r="J5" i="8" s="1"/>
  <c r="I6" i="8"/>
  <c r="J6" i="8" s="1"/>
  <c r="I7" i="8"/>
  <c r="I8" i="8"/>
  <c r="J8" i="8" s="1"/>
  <c r="I2" i="8"/>
  <c r="J2" i="8" s="1"/>
  <c r="K7" i="11" l="1"/>
  <c r="K11" i="11"/>
  <c r="K27" i="11"/>
  <c r="K43" i="11"/>
  <c r="K23" i="11"/>
  <c r="K48" i="11"/>
  <c r="K44" i="11"/>
  <c r="K40" i="11"/>
  <c r="K36" i="11"/>
  <c r="K32" i="11"/>
  <c r="K28" i="11"/>
  <c r="K24" i="11"/>
  <c r="K20" i="11"/>
  <c r="K16" i="11"/>
  <c r="K12" i="11"/>
  <c r="K45" i="11"/>
  <c r="K41" i="11"/>
  <c r="K37" i="11"/>
  <c r="K33" i="11"/>
  <c r="K29" i="11"/>
  <c r="K25" i="11"/>
  <c r="K21" i="11"/>
  <c r="K17" i="11"/>
  <c r="K13" i="11"/>
  <c r="K9" i="11"/>
  <c r="K5" i="11"/>
  <c r="K4" i="11"/>
  <c r="K3" i="11"/>
  <c r="K2" i="11"/>
  <c r="K46" i="11"/>
  <c r="K42" i="11"/>
  <c r="K38" i="11"/>
  <c r="K34" i="11"/>
  <c r="K30" i="11"/>
  <c r="K26" i="11"/>
  <c r="K22" i="11"/>
  <c r="K18" i="11"/>
  <c r="K14" i="11"/>
  <c r="K10" i="11"/>
  <c r="K6" i="11"/>
  <c r="K8" i="11"/>
  <c r="K19" i="11"/>
  <c r="K35" i="11"/>
  <c r="D5" i="8"/>
  <c r="D4" i="8"/>
  <c r="D3" i="8"/>
  <c r="I56" i="7"/>
  <c r="B56" i="7"/>
  <c r="B52" i="7"/>
  <c r="L49" i="7"/>
  <c r="K49" i="7"/>
  <c r="J49" i="7"/>
  <c r="H49" i="7"/>
  <c r="G49" i="7"/>
  <c r="F49" i="7"/>
  <c r="E49" i="7"/>
  <c r="D49" i="7"/>
  <c r="C49" i="7"/>
  <c r="M48" i="7"/>
  <c r="M47" i="7"/>
  <c r="M46" i="7"/>
  <c r="M45" i="7"/>
  <c r="M44" i="7"/>
  <c r="M43" i="7"/>
  <c r="M42" i="7"/>
  <c r="M41" i="7"/>
  <c r="M40" i="7"/>
  <c r="I39" i="7"/>
  <c r="I49" i="7" s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4" i="7"/>
  <c r="M13" i="7"/>
  <c r="M12" i="7"/>
  <c r="M11" i="7"/>
  <c r="M10" i="7"/>
  <c r="M9" i="7"/>
  <c r="M8" i="7"/>
  <c r="M7" i="7"/>
  <c r="M6" i="7"/>
  <c r="M5" i="7"/>
  <c r="M4" i="7"/>
  <c r="M3" i="7"/>
  <c r="B49" i="7"/>
  <c r="H3" i="4"/>
  <c r="H4" i="4"/>
  <c r="H5" i="4"/>
  <c r="H6" i="4"/>
  <c r="H7" i="4"/>
  <c r="H8" i="4"/>
  <c r="H11" i="4"/>
  <c r="H13" i="4"/>
  <c r="H14" i="4"/>
  <c r="H15" i="4"/>
  <c r="H16" i="4"/>
  <c r="H19" i="4"/>
  <c r="H20" i="4"/>
  <c r="H21" i="4"/>
  <c r="H22" i="4"/>
  <c r="H23" i="4"/>
  <c r="H25" i="4"/>
  <c r="H26" i="4"/>
  <c r="H27" i="4"/>
  <c r="H28" i="4"/>
  <c r="H29" i="4"/>
  <c r="H32" i="4"/>
  <c r="H33" i="4"/>
  <c r="H34" i="4"/>
  <c r="H35" i="4"/>
  <c r="H36" i="4"/>
  <c r="H37" i="4"/>
  <c r="H39" i="4"/>
  <c r="H40" i="4"/>
  <c r="H41" i="4"/>
  <c r="H42" i="4"/>
  <c r="H44" i="4"/>
  <c r="H45" i="4"/>
  <c r="H46" i="4"/>
  <c r="H47" i="4"/>
  <c r="H48" i="4"/>
  <c r="G3" i="4"/>
  <c r="G4" i="4"/>
  <c r="G5" i="4"/>
  <c r="G6" i="4"/>
  <c r="G7" i="4"/>
  <c r="G8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5" i="4"/>
  <c r="G26" i="4"/>
  <c r="G27" i="4"/>
  <c r="G28" i="4"/>
  <c r="G29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2" i="4"/>
  <c r="K3" i="8" l="1"/>
  <c r="K9" i="8"/>
  <c r="K15" i="8"/>
  <c r="K21" i="8"/>
  <c r="K27" i="8"/>
  <c r="K33" i="8"/>
  <c r="K39" i="8"/>
  <c r="K45" i="8"/>
  <c r="K4" i="8"/>
  <c r="K10" i="8"/>
  <c r="K16" i="8"/>
  <c r="K22" i="8"/>
  <c r="K28" i="8"/>
  <c r="K34" i="8"/>
  <c r="K40" i="8"/>
  <c r="K46" i="8"/>
  <c r="K2" i="8"/>
  <c r="K5" i="8"/>
  <c r="K11" i="8"/>
  <c r="K17" i="8"/>
  <c r="K23" i="8"/>
  <c r="K29" i="8"/>
  <c r="K35" i="8"/>
  <c r="K41" i="8"/>
  <c r="K47" i="8"/>
  <c r="K6" i="8"/>
  <c r="K12" i="8"/>
  <c r="K18" i="8"/>
  <c r="K24" i="8"/>
  <c r="K30" i="8"/>
  <c r="K36" i="8"/>
  <c r="K42" i="8"/>
  <c r="K48" i="8"/>
  <c r="K7" i="8"/>
  <c r="K13" i="8"/>
  <c r="K19" i="8"/>
  <c r="K25" i="8"/>
  <c r="K31" i="8"/>
  <c r="K37" i="8"/>
  <c r="K43" i="8"/>
  <c r="K8" i="8"/>
  <c r="K14" i="8"/>
  <c r="K20" i="8"/>
  <c r="K26" i="8"/>
  <c r="K32" i="8"/>
  <c r="K38" i="8"/>
  <c r="K44" i="8"/>
  <c r="M49" i="7"/>
  <c r="M50" i="7" s="1"/>
  <c r="H52" i="7" s="1"/>
  <c r="I54" i="7"/>
  <c r="M2" i="7"/>
  <c r="M39" i="7"/>
  <c r="C52" i="7" l="1"/>
  <c r="B51" i="7"/>
  <c r="M51" i="7"/>
  <c r="I52" i="7"/>
  <c r="L50" i="7"/>
  <c r="J53" i="7"/>
  <c r="AL40" i="31" l="1"/>
  <c r="AM40" i="31" s="1"/>
  <c r="AN40" i="31" s="1"/>
  <c r="AL32" i="31"/>
  <c r="AM32" i="31" s="1"/>
  <c r="AN32" i="31" s="1"/>
  <c r="AL24" i="31"/>
  <c r="AM24" i="31" s="1"/>
  <c r="AN24" i="31" s="1"/>
  <c r="AL18" i="31"/>
  <c r="AM18" i="31" s="1"/>
  <c r="AN18" i="31" s="1"/>
  <c r="AL29" i="31"/>
  <c r="AM29" i="31" s="1"/>
  <c r="AN29" i="31" s="1"/>
  <c r="AL45" i="31"/>
  <c r="AM45" i="31" s="1"/>
  <c r="AN45" i="31" s="1"/>
  <c r="AE22" i="31"/>
  <c r="AF22" i="31" s="1" a="1"/>
  <c r="AF22" i="31" s="1"/>
  <c r="AE42" i="31"/>
  <c r="AF42" i="31" s="1" a="1"/>
  <c r="AF42" i="31" s="1"/>
  <c r="AE3" i="31"/>
  <c r="AF3" i="31" s="1" a="1"/>
  <c r="AF3" i="31" s="1"/>
  <c r="AL41" i="31"/>
  <c r="AM41" i="31" s="1"/>
  <c r="AN41" i="31" s="1"/>
  <c r="AL35" i="31"/>
  <c r="AM35" i="31" s="1"/>
  <c r="AN35" i="31" s="1"/>
  <c r="AL10" i="31"/>
  <c r="AM10" i="31" s="1"/>
  <c r="AN10" i="31" s="1"/>
  <c r="AL16" i="31"/>
  <c r="AM16" i="31" s="1"/>
  <c r="AN16" i="31" s="1"/>
  <c r="AE20" i="31"/>
  <c r="AF20" i="31" s="1" a="1"/>
  <c r="AF20" i="31" s="1"/>
  <c r="AE5" i="31"/>
  <c r="AF5" i="31" s="1" a="1"/>
  <c r="AF5" i="31" s="1"/>
  <c r="AE34" i="31" l="1"/>
  <c r="AF34" i="31" s="1" a="1"/>
  <c r="AF34" i="31" s="1"/>
  <c r="AL43" i="31"/>
  <c r="AM43" i="31" s="1"/>
  <c r="AN43" i="31" s="1"/>
  <c r="AE17" i="31"/>
  <c r="AF17" i="31" s="1" a="1"/>
  <c r="AF17" i="31" s="1"/>
  <c r="AL21" i="31"/>
  <c r="AM21" i="31" s="1"/>
  <c r="AN21" i="31" s="1"/>
  <c r="AL3" i="31"/>
  <c r="AM3" i="31" s="1"/>
  <c r="AN3" i="31" s="1"/>
  <c r="AL26" i="31"/>
  <c r="AM26" i="31" s="1"/>
  <c r="AN26" i="31" s="1"/>
  <c r="AL25" i="31"/>
  <c r="AM25" i="31" s="1"/>
  <c r="AN25" i="31" s="1"/>
  <c r="AE32" i="31"/>
  <c r="AF32" i="31" s="1" a="1"/>
  <c r="AF32" i="31" s="1"/>
  <c r="AE4" i="31"/>
  <c r="AF4" i="31" s="1" a="1"/>
  <c r="AF4" i="31" s="1"/>
  <c r="AE28" i="31"/>
  <c r="AF28" i="31" s="1" a="1"/>
  <c r="AF28" i="31" s="1"/>
  <c r="AL28" i="31"/>
  <c r="AM28" i="31" s="1"/>
  <c r="AN28" i="31" s="1"/>
  <c r="AE21" i="31"/>
  <c r="AF21" i="31" s="1" a="1"/>
  <c r="AF21" i="31" s="1"/>
  <c r="AE45" i="31"/>
  <c r="AF45" i="31" s="1" a="1"/>
  <c r="AF45" i="31" s="1"/>
  <c r="AE27" i="31"/>
  <c r="AF27" i="31" s="1" a="1"/>
  <c r="AF27" i="31" s="1"/>
  <c r="AL27" i="31"/>
  <c r="AM27" i="31" s="1"/>
  <c r="AN27" i="31" s="1"/>
  <c r="AE7" i="31"/>
  <c r="AF7" i="31" s="1" a="1"/>
  <c r="AF7" i="31" s="1"/>
  <c r="AL14" i="31"/>
  <c r="AM14" i="31" s="1"/>
  <c r="AN14" i="31" s="1"/>
  <c r="AE33" i="31"/>
  <c r="AF33" i="31" s="1" a="1"/>
  <c r="AF33" i="31" s="1"/>
  <c r="AE6" i="31"/>
  <c r="AF6" i="31" s="1" a="1"/>
  <c r="AF6" i="31" s="1"/>
  <c r="AE19" i="31"/>
  <c r="AF19" i="31" s="1" a="1"/>
  <c r="AF19" i="31" s="1"/>
  <c r="AE11" i="31"/>
  <c r="AF11" i="31" s="1" a="1"/>
  <c r="AF11" i="31" s="1"/>
  <c r="AL47" i="31"/>
  <c r="AM47" i="31" s="1"/>
  <c r="AN47" i="31" s="1"/>
  <c r="AL5" i="31"/>
  <c r="AM5" i="31" s="1"/>
  <c r="AN5" i="31" s="1"/>
  <c r="AE43" i="31"/>
  <c r="AF43" i="31" s="1" a="1"/>
  <c r="AF43" i="31" s="1"/>
  <c r="AE29" i="31"/>
  <c r="AF29" i="31" s="1" a="1"/>
  <c r="AF29" i="31" s="1"/>
  <c r="AE44" i="31"/>
  <c r="AF44" i="31" s="1" a="1"/>
  <c r="AF44" i="31" s="1"/>
  <c r="AE24" i="31"/>
  <c r="AF24" i="31" s="1" a="1"/>
  <c r="AF24" i="31" s="1"/>
  <c r="AE38" i="31"/>
  <c r="AF38" i="31" s="1" a="1"/>
  <c r="AF38" i="31" s="1"/>
  <c r="AE47" i="31"/>
  <c r="AF47" i="31" s="1" a="1"/>
  <c r="AF47" i="31" s="1"/>
  <c r="AL8" i="31"/>
  <c r="AM8" i="31" s="1"/>
  <c r="AN8" i="31" s="1"/>
  <c r="AL31" i="31"/>
  <c r="AM31" i="31" s="1"/>
  <c r="AN31" i="31" s="1"/>
  <c r="AE15" i="31"/>
  <c r="AF15" i="31" s="1" a="1"/>
  <c r="AF15" i="31" s="1"/>
  <c r="AL11" i="31"/>
  <c r="AM11" i="31" s="1"/>
  <c r="AN11" i="31" s="1"/>
  <c r="AE10" i="31"/>
  <c r="AF10" i="31" s="1" a="1"/>
  <c r="AF10" i="31" s="1"/>
  <c r="AE35" i="31"/>
  <c r="AF35" i="31" s="1" a="1"/>
  <c r="AF35" i="31" s="1"/>
  <c r="AE13" i="31"/>
  <c r="AF13" i="31" s="1" a="1"/>
  <c r="AF13" i="31" s="1"/>
  <c r="AL15" i="31"/>
  <c r="AM15" i="31" s="1"/>
  <c r="AN15" i="31" s="1"/>
  <c r="AE8" i="31"/>
  <c r="AF8" i="31" s="1" a="1"/>
  <c r="AF8" i="31" s="1"/>
  <c r="AE46" i="31"/>
  <c r="AF46" i="31" s="1" a="1"/>
  <c r="AF46" i="31" s="1"/>
  <c r="AL17" i="31"/>
  <c r="AM17" i="31" s="1"/>
  <c r="AN17" i="31" s="1"/>
  <c r="AE16" i="31"/>
  <c r="AF16" i="31" s="1" a="1"/>
  <c r="AF16" i="31" s="1"/>
  <c r="AL9" i="31"/>
  <c r="AM9" i="31" s="1"/>
  <c r="AN9" i="31" s="1"/>
  <c r="AL48" i="31"/>
  <c r="AM48" i="31" s="1"/>
  <c r="AN48" i="31" s="1"/>
  <c r="AL22" i="31"/>
  <c r="AM22" i="31" s="1"/>
  <c r="AN22" i="31" s="1"/>
  <c r="AE36" i="31"/>
  <c r="AF36" i="31" s="1" a="1"/>
  <c r="AF36" i="31" s="1"/>
  <c r="AE25" i="31"/>
  <c r="AF25" i="31" s="1" a="1"/>
  <c r="AF25" i="31" s="1"/>
  <c r="AE23" i="31"/>
  <c r="AF23" i="31" s="1" a="1"/>
  <c r="AF23" i="31" s="1"/>
  <c r="AE39" i="31"/>
  <c r="AF39" i="31" s="1" a="1"/>
  <c r="AF39" i="31" s="1"/>
  <c r="AE31" i="31"/>
  <c r="AF31" i="31" s="1" a="1"/>
  <c r="AF31" i="31" s="1"/>
  <c r="AL44" i="31"/>
  <c r="AM44" i="31" s="1"/>
  <c r="AN44" i="31" s="1"/>
  <c r="AL36" i="31"/>
  <c r="AM36" i="31" s="1"/>
  <c r="AN36" i="31" s="1"/>
  <c r="AE41" i="31"/>
  <c r="AF41" i="31" s="1" a="1"/>
  <c r="AF41" i="31" s="1"/>
  <c r="AE48" i="31"/>
  <c r="AF48" i="31" s="1" a="1"/>
  <c r="AF48" i="31" s="1"/>
  <c r="AL37" i="31"/>
  <c r="AM37" i="31" s="1"/>
  <c r="AN37" i="31" s="1"/>
  <c r="AL19" i="31"/>
  <c r="AM19" i="31" s="1"/>
  <c r="AN19" i="31" s="1"/>
  <c r="AL13" i="31"/>
  <c r="AM13" i="31" s="1"/>
  <c r="AN13" i="31" s="1"/>
  <c r="AL46" i="31"/>
  <c r="AM46" i="31" s="1"/>
  <c r="AN46" i="31" s="1"/>
  <c r="AE37" i="31"/>
  <c r="AF37" i="31" s="1" a="1"/>
  <c r="AF37" i="31" s="1"/>
  <c r="AL33" i="31"/>
  <c r="AM33" i="31" s="1"/>
  <c r="AN33" i="31" s="1"/>
  <c r="AE40" i="31"/>
  <c r="AF40" i="31" s="1" a="1"/>
  <c r="AF40" i="31" s="1"/>
  <c r="AL30" i="31"/>
  <c r="AM30" i="31" s="1"/>
  <c r="AN30" i="31" s="1"/>
  <c r="AL20" i="31"/>
  <c r="AM20" i="31" s="1"/>
  <c r="AN20" i="31" s="1"/>
  <c r="AE26" i="31"/>
  <c r="AF26" i="31" s="1" a="1"/>
  <c r="AF26" i="31" s="1"/>
  <c r="AE14" i="31"/>
  <c r="AF14" i="31" s="1" a="1"/>
  <c r="AF14" i="31" s="1"/>
  <c r="AL42" i="31"/>
  <c r="AM42" i="31" s="1"/>
  <c r="AN42" i="31" s="1"/>
  <c r="AL34" i="31"/>
  <c r="AM34" i="31" s="1"/>
  <c r="AN34" i="31" s="1"/>
  <c r="AL23" i="31"/>
  <c r="AM23" i="31" s="1"/>
  <c r="AN23" i="31" s="1"/>
  <c r="AL7" i="31"/>
  <c r="AM7" i="31" s="1"/>
  <c r="AN7" i="31" s="1"/>
  <c r="AE9" i="31"/>
  <c r="AF9" i="31" s="1" a="1"/>
  <c r="AF9" i="31" s="1"/>
  <c r="AL6" i="31"/>
  <c r="AM6" i="31" s="1"/>
  <c r="AN6" i="31" s="1"/>
  <c r="AE18" i="31"/>
  <c r="AF18" i="31" s="1" a="1"/>
  <c r="AF18" i="31" s="1"/>
  <c r="AL38" i="31"/>
  <c r="AM38" i="31" s="1"/>
  <c r="AN38" i="31" s="1"/>
  <c r="AL4" i="31"/>
  <c r="AM4" i="31" s="1"/>
  <c r="AN4" i="31" s="1"/>
  <c r="AL39" i="31"/>
  <c r="AM39" i="31" s="1"/>
  <c r="AN39" i="31" s="1"/>
  <c r="AE30" i="31"/>
  <c r="AF30" i="31" s="1" a="1"/>
  <c r="AF30" i="31" s="1"/>
  <c r="AL12" i="31"/>
  <c r="AM12" i="31" s="1"/>
  <c r="AN12" i="31" s="1"/>
  <c r="AE12" i="31"/>
  <c r="AF12" i="31" s="1" a="1"/>
  <c r="AF12" i="31" s="1"/>
  <c r="AB50" i="31"/>
  <c r="X36" i="31"/>
  <c r="X27" i="31"/>
  <c r="X44" i="31"/>
  <c r="X6" i="31"/>
  <c r="X15" i="31"/>
  <c r="X16" i="31"/>
  <c r="AE2" i="31"/>
  <c r="AF2" i="31" s="1" a="1"/>
  <c r="AF2" i="31" s="1"/>
  <c r="X7" i="31"/>
  <c r="X18" i="31"/>
  <c r="X24" i="31"/>
  <c r="X26" i="31"/>
  <c r="X43" i="31"/>
  <c r="X13" i="31"/>
  <c r="X22" i="31"/>
  <c r="X31" i="31"/>
  <c r="X32" i="31"/>
  <c r="X8" i="31"/>
  <c r="X35" i="31"/>
  <c r="X34" i="31"/>
  <c r="X30" i="31"/>
  <c r="X40" i="31"/>
  <c r="X19" i="31"/>
  <c r="X5" i="31"/>
  <c r="X48" i="31"/>
  <c r="AL2" i="31"/>
  <c r="AM2" i="31" s="1"/>
  <c r="AN2" i="31" s="1"/>
  <c r="X10" i="31"/>
  <c r="X23" i="31"/>
  <c r="X4" i="31"/>
  <c r="X42" i="31"/>
  <c r="X2" i="31"/>
  <c r="X17" i="31"/>
  <c r="X14" i="31"/>
  <c r="X21" i="31"/>
  <c r="X39" i="31"/>
  <c r="X12" i="31"/>
  <c r="X29" i="31"/>
  <c r="X38" i="31"/>
  <c r="X47" i="31"/>
  <c r="X3" i="31"/>
  <c r="X20" i="31"/>
  <c r="X37" i="31"/>
  <c r="X46" i="31"/>
  <c r="X9" i="31"/>
  <c r="X11" i="31"/>
  <c r="X28" i="31"/>
  <c r="X45" i="31"/>
  <c r="X33" i="31"/>
  <c r="X41" i="31"/>
  <c r="X25" i="31"/>
  <c r="V49" i="31"/>
  <c r="AH12" i="31" l="1"/>
  <c r="AI12" i="31" s="1" a="1"/>
  <c r="AI12" i="31" s="1"/>
  <c r="AJ12" i="31" s="1"/>
  <c r="AB51" i="31"/>
  <c r="AH18" i="31"/>
  <c r="AI18" i="31" s="1" a="1"/>
  <c r="AI18" i="31" s="1"/>
  <c r="AJ18" i="31" s="1"/>
  <c r="AH33" i="31"/>
  <c r="AI33" i="31" s="1" a="1"/>
  <c r="AI33" i="31" s="1"/>
  <c r="AJ33" i="31" s="1"/>
  <c r="AH11" i="31"/>
  <c r="AI11" i="31" s="1" a="1"/>
  <c r="AI11" i="31" s="1"/>
  <c r="AJ11" i="31" s="1"/>
  <c r="AH23" i="31"/>
  <c r="AI23" i="31" s="1" a="1"/>
  <c r="AI23" i="31" s="1"/>
  <c r="AJ23" i="31" s="1"/>
  <c r="AH13" i="31"/>
  <c r="AI13" i="31" s="1" a="1"/>
  <c r="AI13" i="31" s="1"/>
  <c r="AJ13" i="31" s="1"/>
  <c r="AH7" i="31"/>
  <c r="AI7" i="31" s="1" a="1"/>
  <c r="AI7" i="31" s="1"/>
  <c r="AJ7" i="31" s="1"/>
  <c r="AH4" i="31"/>
  <c r="AI4" i="31" s="1" a="1"/>
  <c r="AI4" i="31" s="1"/>
  <c r="AJ4" i="31" s="1"/>
  <c r="AH19" i="31"/>
  <c r="AI19" i="31" s="1" a="1"/>
  <c r="AI19" i="31" s="1"/>
  <c r="AJ19" i="31" s="1"/>
  <c r="AH46" i="31"/>
  <c r="AI46" i="31" s="1" a="1"/>
  <c r="AI46" i="31" s="1"/>
  <c r="AJ46" i="31" s="1"/>
  <c r="AH25" i="31"/>
  <c r="AI25" i="31" s="1" a="1"/>
  <c r="AI25" i="31" s="1"/>
  <c r="AJ25" i="31" s="1"/>
  <c r="AH2" i="31"/>
  <c r="AI2" i="31" s="1" a="1"/>
  <c r="AI2" i="31" s="1"/>
  <c r="AJ2" i="31" s="1"/>
  <c r="AH45" i="31"/>
  <c r="AI45" i="31" s="1" a="1"/>
  <c r="AI45" i="31" s="1"/>
  <c r="AJ45" i="31" s="1"/>
  <c r="AH24" i="31"/>
  <c r="AI24" i="31" s="1" a="1"/>
  <c r="AI24" i="31" s="1"/>
  <c r="AJ24" i="31" s="1"/>
  <c r="AH31" i="31"/>
  <c r="AI31" i="31" s="1" a="1"/>
  <c r="AI31" i="31" s="1"/>
  <c r="AJ31" i="31" s="1"/>
  <c r="AH37" i="31"/>
  <c r="AI37" i="31" s="1" a="1"/>
  <c r="AI37" i="31" s="1"/>
  <c r="AJ37" i="31" s="1"/>
  <c r="AH16" i="31"/>
  <c r="AI16" i="31" s="1" a="1"/>
  <c r="AI16" i="31" s="1"/>
  <c r="AJ16" i="31" s="1"/>
  <c r="AH9" i="31"/>
  <c r="AI9" i="31" s="1" a="1"/>
  <c r="AI9" i="31" s="1"/>
  <c r="AJ9" i="31" s="1"/>
  <c r="AH17" i="31"/>
  <c r="AI17" i="31" s="1" a="1"/>
  <c r="AI17" i="31" s="1"/>
  <c r="AJ17" i="31" s="1"/>
  <c r="AH39" i="31"/>
  <c r="AI39" i="31" s="1" a="1"/>
  <c r="AI39" i="31" s="1"/>
  <c r="AJ39" i="31" s="1"/>
  <c r="AH20" i="31"/>
  <c r="AI20" i="31" s="1" a="1"/>
  <c r="AI20" i="31" s="1"/>
  <c r="AJ20" i="31" s="1"/>
  <c r="AH44" i="31"/>
  <c r="AI44" i="31" s="1" a="1"/>
  <c r="AI44" i="31" s="1"/>
  <c r="AJ44" i="31" s="1"/>
  <c r="AH29" i="31"/>
  <c r="AI29" i="31" s="1" a="1"/>
  <c r="AI29" i="31" s="1"/>
  <c r="AJ29" i="31" s="1"/>
  <c r="AH6" i="31"/>
  <c r="AI6" i="31" s="1" a="1"/>
  <c r="AI6" i="31" s="1"/>
  <c r="AJ6" i="31" s="1"/>
  <c r="AH38" i="31"/>
  <c r="AI38" i="31" s="1" a="1"/>
  <c r="AI38" i="31" s="1"/>
  <c r="AJ38" i="31" s="1"/>
  <c r="AH43" i="31"/>
  <c r="AI43" i="31" s="1" a="1"/>
  <c r="AI43" i="31" s="1"/>
  <c r="AJ43" i="31" s="1"/>
  <c r="AH8" i="31"/>
  <c r="AI8" i="31" s="1" a="1"/>
  <c r="AI8" i="31" s="1"/>
  <c r="AJ8" i="31" s="1"/>
  <c r="AH3" i="31"/>
  <c r="AI3" i="31" s="1" a="1"/>
  <c r="AI3" i="31" s="1"/>
  <c r="AJ3" i="31" s="1"/>
  <c r="AH41" i="31"/>
  <c r="AI41" i="31" s="1" a="1"/>
  <c r="AI41" i="31" s="1"/>
  <c r="AJ41" i="31" s="1"/>
  <c r="AH42" i="31"/>
  <c r="AI42" i="31" s="1" a="1"/>
  <c r="AI42" i="31" s="1"/>
  <c r="AJ42" i="31" s="1"/>
  <c r="AH27" i="31"/>
  <c r="AI27" i="31" s="1" a="1"/>
  <c r="AI27" i="31" s="1"/>
  <c r="AJ27" i="31" s="1"/>
  <c r="AH30" i="31"/>
  <c r="AI30" i="31" s="1" a="1"/>
  <c r="AI30" i="31" s="1"/>
  <c r="AJ30" i="31" s="1"/>
  <c r="AH15" i="31"/>
  <c r="AI15" i="31" s="1" a="1"/>
  <c r="AI15" i="31" s="1"/>
  <c r="AJ15" i="31" s="1"/>
  <c r="AH22" i="31"/>
  <c r="AI22" i="31" s="1" a="1"/>
  <c r="AI22" i="31" s="1"/>
  <c r="AJ22" i="31" s="1"/>
  <c r="AH28" i="31"/>
  <c r="AI28" i="31" s="1" a="1"/>
  <c r="AI28" i="31" s="1"/>
  <c r="AJ28" i="31" s="1"/>
  <c r="AH21" i="31"/>
  <c r="AI21" i="31" s="1" a="1"/>
  <c r="AI21" i="31" s="1"/>
  <c r="AJ21" i="31" s="1"/>
  <c r="AH5" i="31"/>
  <c r="AI5" i="31" s="1" a="1"/>
  <c r="AI5" i="31" s="1"/>
  <c r="AJ5" i="31" s="1"/>
  <c r="AH26" i="31"/>
  <c r="AI26" i="31" s="1" a="1"/>
  <c r="AI26" i="31" s="1"/>
  <c r="AJ26" i="31" s="1"/>
  <c r="AH32" i="31"/>
  <c r="AI32" i="31" s="1" a="1"/>
  <c r="AI32" i="31" s="1"/>
  <c r="AJ32" i="31" s="1"/>
  <c r="AH40" i="31"/>
  <c r="AI40" i="31" s="1" a="1"/>
  <c r="AI40" i="31" s="1"/>
  <c r="AJ40" i="31" s="1"/>
  <c r="AH34" i="31"/>
  <c r="AI34" i="31" s="1" a="1"/>
  <c r="AI34" i="31" s="1"/>
  <c r="AJ34" i="31" s="1"/>
  <c r="AH47" i="31"/>
  <c r="AI47" i="31" s="1" a="1"/>
  <c r="AI47" i="31" s="1"/>
  <c r="AJ47" i="31" s="1"/>
  <c r="AH35" i="31"/>
  <c r="AI35" i="31" s="1" a="1"/>
  <c r="AI35" i="31" s="1"/>
  <c r="AJ35" i="31" s="1"/>
  <c r="AH14" i="31"/>
  <c r="AI14" i="31" s="1" a="1"/>
  <c r="AI14" i="31" s="1"/>
  <c r="AJ14" i="31" s="1"/>
  <c r="AH10" i="31"/>
  <c r="AI10" i="31" s="1" a="1"/>
  <c r="AI10" i="31" s="1"/>
  <c r="AJ10" i="31" s="1"/>
  <c r="AH48" i="31"/>
  <c r="AI48" i="31" s="1" a="1"/>
  <c r="AI48" i="31" s="1"/>
  <c r="AJ48" i="31" s="1"/>
  <c r="AH36" i="31"/>
  <c r="AI36" i="31" s="1" a="1"/>
  <c r="AI36" i="31" s="1"/>
  <c r="AJ36" i="3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<sst xmlns="http://schemas.openxmlformats.org/spreadsheetml/2006/main" count="14329" uniqueCount="311">
  <si>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</si>
  <si>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</si>
  <si>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</si>
  <si>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</si>
  <si>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</si>
  <si>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</si>
  <si>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</si>
  <si>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</si>
  <si>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</si>
  <si>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</si>
  <si>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</si>
  <si>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</si>
  <si>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</si>
  <si>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</si>
  <si>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</si>
  <si>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</si>
  <si>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</si>
  <si>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</si>
  <si>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</si>
  <si>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</si>
  <si>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</si>
  <si>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</si>
  <si>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</si>
  <si>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</si>
  <si>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</si>
  <si>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</si>
  <si>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</si>
  <si>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</si>
  <si>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</si>
  <si>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</si>
  <si>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</si>
  <si>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</si>
  <si>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</si>
  <si>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</si>
  <si>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</si>
  <si>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</si>
  <si>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</si>
  <si>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</si>
  <si>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</si>
  <si>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</si>
  <si>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</si>
  <si>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</si>
  <si>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</si>
  <si>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</si>
  <si>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</si>
  <si>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</si>
  <si>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</si>
  <si>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Doctors stock 2022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</si>
  <si>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</si>
  <si>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</si>
  <si>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</si>
  <si>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</si>
  <si>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</si>
  <si>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</si>
  <si>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</si>
  <si>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</si>
  <si>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</si>
  <si>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</si>
  <si>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</si>
  <si>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Total</t>
  </si>
  <si>
    <t>Cabo Verde</t>
  </si>
  <si>
    <t>Doctors graduates</t>
  </si>
  <si>
    <t>Nurses Stock 2022</t>
  </si>
  <si>
    <t>Nurses Graduates</t>
  </si>
  <si>
    <t>Doctors and Nurses Stock 2022</t>
  </si>
  <si>
    <t>Doctors and Nurses graduates</t>
  </si>
  <si>
    <t>Core health workforce*</t>
  </si>
  <si>
    <t>Other workers</t>
  </si>
  <si>
    <t>S No</t>
  </si>
  <si>
    <t>Adjusted 2022</t>
  </si>
  <si>
    <t>Cape-Verde</t>
  </si>
  <si>
    <t>AFRO</t>
  </si>
  <si>
    <t xml:space="preserve"> Density per 10,000 (2013)</t>
  </si>
  <si>
    <t xml:space="preserve"> Density per 10,000 (2018)</t>
  </si>
  <si>
    <t xml:space="preserve"> Density per 10,000 (2022)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</si>
  <si>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</si>
  <si>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</si>
  <si>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</si>
  <si>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</si>
  <si>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</si>
  <si>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</si>
  <si>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</si>
  <si>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</si>
  <si>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</si>
  <si>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</si>
  <si>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</si>
  <si>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</si>
  <si>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</si>
  <si>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</si>
  <si>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</si>
  <si>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</si>
  <si>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</si>
  <si>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</si>
  <si>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</si>
  <si>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</si>
  <si>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</si>
  <si>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Total (row)</t>
  </si>
  <si>
    <t>Total (column)</t>
  </si>
  <si>
    <t>FORBIDDEN CELL FOR JAMES</t>
  </si>
  <si>
    <t>Median</t>
  </si>
  <si>
    <t>Q1</t>
  </si>
  <si>
    <t>Q3</t>
  </si>
  <si>
    <t>Ratio stock to graduates</t>
  </si>
  <si>
    <t>Average</t>
  </si>
  <si>
    <t>categories</t>
  </si>
  <si>
    <t xml:space="preserve">Assuming a </t>
  </si>
  <si>
    <t>years of full time work on average (30-65)</t>
  </si>
  <si>
    <t>Very rapid education production (less than 9 years to double stock)</t>
  </si>
  <si>
    <t>Rapid education production (9-16 years to double stock)</t>
  </si>
  <si>
    <t>Slow education production (16-23 years to double stock)</t>
  </si>
  <si>
    <t>Very slow education production (more than 23 years to double stock)</t>
  </si>
  <si>
    <t>Density quartile</t>
  </si>
  <si>
    <t>Density quartiles</t>
  </si>
  <si>
    <t>Count of Country</t>
  </si>
  <si>
    <t>Row Labels</t>
  </si>
  <si>
    <t>Rapid education production - 10 to 20 stock to grad</t>
  </si>
  <si>
    <t>Slow education production - 20 to 30 stock to grad</t>
  </si>
  <si>
    <t>Very rapid education production - Less than 10 stock to grad</t>
  </si>
  <si>
    <t>Very slow education production - 30 stock to grad and more</t>
  </si>
  <si>
    <t>Grand Total</t>
  </si>
  <si>
    <t>Column Labels</t>
  </si>
  <si>
    <t>&lt;Q1 density</t>
  </si>
  <si>
    <t>&gt;Q3 density</t>
  </si>
  <si>
    <t>Median-Q3 density</t>
  </si>
  <si>
    <t>Q1-Median density</t>
  </si>
  <si>
    <t>2. Slow education production - 20 to 30 stock to grad</t>
  </si>
  <si>
    <t>4. &gt;Q3 density</t>
  </si>
  <si>
    <t>3. Median-Q3 density</t>
  </si>
  <si>
    <t>4. Very rapid education production - Less than 10 stock to grad</t>
  </si>
  <si>
    <t>1. &lt;Q1 density</t>
  </si>
  <si>
    <t>3. Rapid education production - 10 to 20 stock to grad</t>
  </si>
  <si>
    <t>1. Very slow education production - 30 stock to grad and more</t>
  </si>
  <si>
    <t>2. Q1-Median density</t>
  </si>
  <si>
    <t>Fiscal space</t>
  </si>
  <si>
    <t>GGHE-D as % GGE</t>
  </si>
  <si>
    <t>% of health budget spent on HWF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</si>
  <si>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</si>
  <si>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</si>
  <si>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</si>
  <si>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</si>
  <si>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</si>
  <si>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</si>
  <si>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</si>
  <si>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</si>
  <si>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</si>
  <si>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</si>
  <si>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</si>
  <si>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Republic of Congo</t>
  </si>
  <si>
    <t>COG</t>
  </si>
  <si>
    <t>Côte d'Ivoire</t>
  </si>
  <si>
    <t>CIV</t>
  </si>
  <si>
    <t>COD</t>
  </si>
  <si>
    <t>GNQ</t>
  </si>
  <si>
    <t>ERI</t>
  </si>
  <si>
    <t>SWZ</t>
  </si>
  <si>
    <t>ETH</t>
  </si>
  <si>
    <t>GAB</t>
  </si>
  <si>
    <t>The Gambia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</si>
  <si>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</si>
  <si>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</si>
  <si>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</si>
  <si>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</si>
  <si>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</si>
  <si>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</si>
  <si>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</si>
  <si>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</si>
  <si>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</si>
  <si>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</si>
  <si>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</si>
  <si>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</si>
  <si>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</si>
  <si>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</si>
  <si>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</si>
  <si>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</si>
  <si>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RWA</t>
  </si>
  <si>
    <t>São Tomé and Príncipe</t>
  </si>
  <si>
    <t>STP</t>
  </si>
  <si>
    <t>SEN</t>
  </si>
  <si>
    <t>SYC</t>
  </si>
  <si>
    <t>SLE</t>
  </si>
  <si>
    <t>ZAF</t>
  </si>
  <si>
    <t>SSD</t>
  </si>
  <si>
    <t>TGO</t>
  </si>
  <si>
    <t>UGA</t>
  </si>
  <si>
    <t>TZA</t>
  </si>
  <si>
    <t>ZMB</t>
  </si>
  <si>
    <t>ZWE</t>
  </si>
  <si>
    <t>Country_ISCO</t>
  </si>
  <si>
    <t xml:space="preserve"> Density per 10,000 (2022)_log</t>
  </si>
  <si>
    <t>Ratio stock to graduates_Log</t>
  </si>
  <si>
    <t>Min</t>
  </si>
  <si>
    <t>Max</t>
  </si>
  <si>
    <t>Ratio stock to graduates_log</t>
  </si>
  <si>
    <t xml:space="preserve"> Nurse, Midwife density per 10,000 (2022)</t>
  </si>
  <si>
    <t xml:space="preserve"> Doctor density per 10,000 (2022)</t>
  </si>
  <si>
    <t>No</t>
  </si>
  <si>
    <t>Doctor, Nurse, Midwife Density per 10,000 (2022)</t>
  </si>
  <si>
    <t>Upper Quartile (Ratio stock to graduate)</t>
  </si>
  <si>
    <t>Upper Quartile (Density DNM)</t>
  </si>
  <si>
    <t>Quadran [Ratio Stock to graduates VS Doctor, Nurse, Midwife Density per 10,000 (2022)]</t>
  </si>
  <si>
    <t>VRT Ratio stock to graduates</t>
  </si>
  <si>
    <t>HZT Doctor, Nurse, Midwife Density per 10,000 (2022)</t>
  </si>
  <si>
    <t>HZT GGHE-D as % GGE</t>
  </si>
  <si>
    <t>VRT % of health budget spent on HWF</t>
  </si>
  <si>
    <t>Quadrant [Ratio Stock to graduates VS Doctor, Nurse, Midwife Density per 10,000 (2022)]</t>
  </si>
  <si>
    <t>Quadrant [% of health budget spent on HWF VS GGHE-D as % GGE]</t>
  </si>
  <si>
    <t>Q4</t>
  </si>
  <si>
    <t>Q2</t>
  </si>
  <si>
    <t>Population Size</t>
  </si>
  <si>
    <t>Country name</t>
  </si>
  <si>
    <t>Cadre</t>
  </si>
  <si>
    <t>Pop 2013</t>
  </si>
  <si>
    <t>Pop 2018</t>
  </si>
  <si>
    <t>Pop 2022</t>
  </si>
  <si>
    <t>2013 or latest</t>
  </si>
  <si>
    <t>Data year</t>
  </si>
  <si>
    <t>2018 or latest</t>
  </si>
  <si>
    <t>Data year1</t>
  </si>
  <si>
    <t>2022 or latest</t>
  </si>
  <si>
    <t>Data year2</t>
  </si>
  <si>
    <t>Need for adjustment</t>
  </si>
  <si>
    <t>Density per 10,000 (2013)</t>
  </si>
  <si>
    <t>Density per 10,000 (2018)</t>
  </si>
  <si>
    <t>Density per 10,000 (2022)</t>
  </si>
  <si>
    <t xml:space="preserve">Community Health Workers </t>
  </si>
  <si>
    <t/>
  </si>
  <si>
    <t>Adjust</t>
  </si>
  <si>
    <t>Dieticians and nutritionists</t>
  </si>
  <si>
    <t>Environmental and occupational health &amp; hygiene workers</t>
  </si>
  <si>
    <t>2018 (triag)</t>
  </si>
  <si>
    <t>Personal care workers in health service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</si>
  <si>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</si>
  <si>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</si>
  <si>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</si>
  <si>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</si>
  <si>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</si>
  <si>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</si>
  <si>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</si>
  <si>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</si>
  <si>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</si>
  <si>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Medical and Pathology Laboratory Technicians </t>
  </si>
  <si>
    <t xml:space="preserve">Paramedical Practitioners </t>
  </si>
  <si>
    <t>Physiotherapists and physiotherapy assistants</t>
  </si>
  <si>
    <t>Social workers</t>
  </si>
  <si>
    <t xml:space="preserve">Audiologists and Speech Therapists </t>
  </si>
  <si>
    <t>Traditional and complementary medicine practitioners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</si>
  <si>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</si>
  <si>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</si>
  <si>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</si>
  <si>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</si>
  <si>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</si>
  <si>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</si>
  <si>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</si>
  <si>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</si>
  <si>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</si>
  <si>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Pharmacists1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</si>
  <si>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</si>
  <si>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</si>
  <si>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</si>
  <si>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</si>
  <si>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>Pop_weight</t>
  </si>
  <si>
    <t>Weighted HWF Density</t>
  </si>
  <si>
    <t>Position</t>
  </si>
  <si>
    <t>4</t>
  </si>
  <si>
    <t>3</t>
  </si>
  <si>
    <t>1</t>
  </si>
  <si>
    <t>2</t>
  </si>
  <si>
    <t>Ratio_Stock-Weighted</t>
  </si>
  <si>
    <t>Position stock unweighted</t>
  </si>
  <si>
    <t>Cond</t>
  </si>
  <si>
    <t>Weughted avearge</t>
  </si>
  <si>
    <t>Population</t>
  </si>
  <si>
    <t>Weighted Average</t>
  </si>
  <si>
    <t>WEIGHTED</t>
  </si>
  <si>
    <t>WEIGHTED QUADRANT</t>
  </si>
  <si>
    <t>Above Weighted Average</t>
  </si>
  <si>
    <t>Above Non Weighted Average</t>
  </si>
  <si>
    <t>Below Weighted Average</t>
  </si>
  <si>
    <t>Below Non Weighted Average</t>
  </si>
  <si>
    <t>Not weight</t>
  </si>
  <si>
    <t>Not WEIGHTED QUADRANT</t>
  </si>
  <si>
    <t>Change</t>
  </si>
  <si>
    <t>Weighed density unweighted stock</t>
  </si>
  <si>
    <t>Change1</t>
  </si>
  <si>
    <t>Country code</t>
  </si>
  <si>
    <t>Code</t>
  </si>
  <si>
    <t>Condition</t>
  </si>
  <si>
    <t xml:space="preserve">Densty </t>
  </si>
  <si>
    <t>Stock to graduate ratio</t>
  </si>
  <si>
    <t>Concat</t>
  </si>
  <si>
    <t>BelowBelow</t>
  </si>
  <si>
    <t>BelowAbove</t>
  </si>
  <si>
    <t>AboveBelow</t>
  </si>
  <si>
    <t>AboveAbove</t>
  </si>
  <si>
    <t>Quadrant</t>
  </si>
  <si>
    <t>Doctors and nurses density</t>
  </si>
  <si>
    <t>Codes</t>
  </si>
  <si>
    <t>Doctors and Nurses Density per 10,000 (2022)</t>
  </si>
  <si>
    <t>income level</t>
  </si>
  <si>
    <t>Lower-Middle-Income Economies</t>
  </si>
  <si>
    <t>High/Upper-Middle-Income Economies </t>
  </si>
  <si>
    <t>Low-Income Economies</t>
  </si>
  <si>
    <t>Estimated graduates Doctors</t>
  </si>
  <si>
    <t>Adjusted 2022 Nurses</t>
  </si>
  <si>
    <t>Adjusted 2022 Doctors</t>
  </si>
  <si>
    <t>Estimated annual graduates Nurses</t>
  </si>
  <si>
    <t>Doctors and Nurses</t>
  </si>
  <si>
    <t>Stock ratio (doctors to nurses)</t>
  </si>
  <si>
    <t>Graduates (doctors and nurses)</t>
  </si>
  <si>
    <t>Contribution of doctors and nurses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</si>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</sst>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"/>
    <numFmt numFmtId="168" formatCode="0.0%"/>
    <numFmt numFmtId="169" formatCode="_-* #,##0_-;\-* #,##0_-;_-* &quot;-&quot;??_-;_-@_-"/>
    <numFmt numFmtId="170" formatCode="0.000"/>
    <numFmt numFmtId="171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7030A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Garamond"/>
      <family val="1"/>
    </font>
    <font>
      <sz val="11"/>
      <name val="Garamond"/>
      <family val="1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color rgb="FF0070C0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59996337778862885"/>
      </left>
      <right style="thin">
        <color theme="9" tint="0.59996337778862885"/>
      </right>
      <top style="double">
        <color theme="9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" fontId="0" fillId="3" borderId="1" xfId="0" applyNumberFormat="1" applyFill="1" applyBorder="1"/>
    <xf numFmtId="2" fontId="0" fillId="3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165" fontId="3" fillId="0" borderId="0" xfId="3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4" fillId="4" borderId="0" xfId="0" applyFont="1" applyFill="1"/>
    <xf numFmtId="0" fontId="4" fillId="0" borderId="0" xfId="0" applyFont="1"/>
    <xf numFmtId="165" fontId="4" fillId="0" borderId="0" xfId="3" applyNumberFormat="1" applyFont="1" applyFill="1" applyAlignment="1"/>
    <xf numFmtId="0" fontId="5" fillId="0" borderId="0" xfId="0" applyFont="1"/>
    <xf numFmtId="0" fontId="6" fillId="0" borderId="0" xfId="0" applyFont="1" applyAlignment="1">
      <alignment horizontal="left"/>
    </xf>
    <xf numFmtId="165" fontId="4" fillId="2" borderId="0" xfId="3" applyNumberFormat="1" applyFont="1" applyFill="1" applyAlignment="1"/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3" applyNumberFormat="1" applyFont="1" applyFill="1" applyAlignment="1"/>
    <xf numFmtId="0" fontId="8" fillId="0" borderId="0" xfId="0" applyFont="1" applyAlignment="1">
      <alignment horizontal="center"/>
    </xf>
    <xf numFmtId="0" fontId="8" fillId="0" borderId="0" xfId="0" applyFont="1"/>
    <xf numFmtId="165" fontId="4" fillId="0" borderId="0" xfId="3" applyNumberFormat="1" applyFont="1" applyFill="1" applyAlignment="1">
      <alignment horizontal="left"/>
    </xf>
    <xf numFmtId="3" fontId="3" fillId="0" borderId="0" xfId="3" applyNumberFormat="1" applyFont="1" applyFill="1" applyAlignment="1"/>
    <xf numFmtId="3" fontId="5" fillId="0" borderId="0" xfId="3" applyNumberFormat="1" applyFont="1" applyFill="1" applyAlignment="1"/>
    <xf numFmtId="165" fontId="3" fillId="0" borderId="0" xfId="3" applyNumberFormat="1" applyFont="1" applyFill="1" applyAlignment="1">
      <alignment horizontal="left"/>
    </xf>
    <xf numFmtId="165" fontId="0" fillId="0" borderId="0" xfId="3" applyNumberFormat="1" applyFont="1" applyFill="1" applyAlignment="1">
      <alignment horizontal="center"/>
    </xf>
    <xf numFmtId="165" fontId="0" fillId="0" borderId="0" xfId="3" applyNumberFormat="1" applyFont="1" applyFill="1"/>
    <xf numFmtId="0" fontId="9" fillId="0" borderId="0" xfId="0" applyFont="1" applyAlignment="1">
      <alignment horizontal="left"/>
    </xf>
    <xf numFmtId="9" fontId="4" fillId="0" borderId="0" xfId="0" applyNumberFormat="1" applyFont="1"/>
    <xf numFmtId="3" fontId="10" fillId="0" borderId="0" xfId="0" applyNumberFormat="1" applyFont="1"/>
    <xf numFmtId="0" fontId="2" fillId="0" borderId="0" xfId="0" applyFont="1" applyAlignment="1">
      <alignment horizontal="left"/>
    </xf>
    <xf numFmtId="9" fontId="0" fillId="0" borderId="0" xfId="1" applyFont="1"/>
    <xf numFmtId="165" fontId="0" fillId="0" borderId="0" xfId="3" applyNumberFormat="1" applyFont="1" applyAlignment="1"/>
    <xf numFmtId="166" fontId="0" fillId="0" borderId="0" xfId="3" applyNumberFormat="1" applyFont="1"/>
    <xf numFmtId="9" fontId="0" fillId="0" borderId="0" xfId="1" applyFont="1" applyAlignment="1"/>
    <xf numFmtId="166" fontId="0" fillId="0" borderId="0" xfId="3" applyNumberFormat="1" applyFont="1" applyAlignment="1"/>
    <xf numFmtId="167" fontId="0" fillId="0" borderId="0" xfId="0" applyNumberFormat="1"/>
    <xf numFmtId="0" fontId="0" fillId="0" borderId="0" xfId="0" pivotButton="1"/>
    <xf numFmtId="0" fontId="11" fillId="0" borderId="0" xfId="0" applyFont="1"/>
    <xf numFmtId="0" fontId="0" fillId="2" borderId="0" xfId="0" applyFill="1"/>
    <xf numFmtId="3" fontId="13" fillId="7" borderId="6" xfId="2" applyNumberFormat="1" applyFont="1" applyFill="1" applyBorder="1" applyAlignment="1">
      <alignment horizontal="left" vertical="center" wrapText="1"/>
    </xf>
    <xf numFmtId="168" fontId="0" fillId="0" borderId="0" xfId="1" applyNumberFormat="1" applyFont="1"/>
    <xf numFmtId="0" fontId="9" fillId="7" borderId="0" xfId="2" applyFont="1" applyFill="1" applyProtection="1">
      <protection locked="0"/>
    </xf>
    <xf numFmtId="9" fontId="2" fillId="0" borderId="0" xfId="0" applyNumberFormat="1" applyFont="1"/>
    <xf numFmtId="0" fontId="4" fillId="7" borderId="0" xfId="2" applyFont="1" applyFill="1" applyProtection="1">
      <protection locked="0"/>
    </xf>
    <xf numFmtId="0" fontId="9" fillId="8" borderId="0" xfId="2" applyFont="1" applyFill="1" applyProtection="1">
      <protection locked="0"/>
    </xf>
    <xf numFmtId="9" fontId="2" fillId="8" borderId="0" xfId="0" applyNumberFormat="1" applyFont="1" applyFill="1"/>
    <xf numFmtId="0" fontId="1" fillId="7" borderId="0" xfId="2" applyFill="1" applyProtection="1">
      <protection locked="0"/>
    </xf>
    <xf numFmtId="0" fontId="12" fillId="6" borderId="5" xfId="2" applyFont="1" applyFill="1" applyBorder="1" applyAlignment="1" applyProtection="1">
      <alignment horizontal="center" vertical="center" wrapText="1"/>
      <protection locked="0"/>
    </xf>
    <xf numFmtId="0" fontId="12" fillId="6" borderId="0" xfId="2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69" fontId="2" fillId="0" borderId="0" xfId="4" applyNumberFormat="1" applyFont="1"/>
    <xf numFmtId="169" fontId="2" fillId="8" borderId="0" xfId="4" applyNumberFormat="1" applyFont="1" applyFill="1"/>
    <xf numFmtId="3" fontId="13" fillId="7" borderId="6" xfId="2" applyNumberFormat="1" applyFont="1" applyFill="1" applyBorder="1" applyAlignment="1">
      <alignment horizontal="right" vertical="center" wrapText="1"/>
    </xf>
    <xf numFmtId="3" fontId="13" fillId="7" borderId="0" xfId="2" applyNumberFormat="1" applyFont="1" applyFill="1" applyAlignment="1">
      <alignment horizontal="right" vertical="center" wrapText="1"/>
    </xf>
    <xf numFmtId="3" fontId="13" fillId="7" borderId="7" xfId="2" applyNumberFormat="1" applyFont="1" applyFill="1" applyBorder="1" applyAlignment="1">
      <alignment horizontal="right" vertical="center" wrapText="1"/>
    </xf>
    <xf numFmtId="43" fontId="0" fillId="0" borderId="0" xfId="4" applyFont="1"/>
    <xf numFmtId="170" fontId="0" fillId="0" borderId="0" xfId="0" applyNumberFormat="1"/>
    <xf numFmtId="170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167" fontId="2" fillId="0" borderId="0" xfId="0" applyNumberFormat="1" applyFont="1"/>
    <xf numFmtId="0" fontId="12" fillId="9" borderId="0" xfId="2" applyFont="1" applyFill="1" applyAlignment="1" applyProtection="1">
      <alignment horizontal="center" vertical="center" wrapText="1"/>
      <protection locked="0"/>
    </xf>
    <xf numFmtId="0" fontId="0" fillId="10" borderId="0" xfId="0" applyFill="1"/>
    <xf numFmtId="167" fontId="0" fillId="0" borderId="0" xfId="0" applyNumberFormat="1" applyAlignment="1">
      <alignment horizontal="center" vertical="center"/>
    </xf>
    <xf numFmtId="0" fontId="9" fillId="2" borderId="0" xfId="2" applyFont="1" applyFill="1" applyProtection="1">
      <protection locked="0"/>
    </xf>
    <xf numFmtId="167" fontId="0" fillId="2" borderId="0" xfId="0" applyNumberFormat="1" applyFill="1"/>
    <xf numFmtId="167" fontId="0" fillId="2" borderId="0" xfId="0" applyNumberFormat="1" applyFill="1" applyAlignment="1">
      <alignment horizontal="center" vertical="center"/>
    </xf>
    <xf numFmtId="0" fontId="4" fillId="2" borderId="0" xfId="2" applyFont="1" applyFill="1" applyProtection="1">
      <protection locked="0"/>
    </xf>
    <xf numFmtId="0" fontId="1" fillId="2" borderId="0" xfId="2" applyFill="1" applyProtection="1">
      <protection locked="0"/>
    </xf>
    <xf numFmtId="9" fontId="2" fillId="2" borderId="0" xfId="1" applyFont="1" applyFill="1"/>
    <xf numFmtId="168" fontId="2" fillId="2" borderId="0" xfId="1" applyNumberFormat="1" applyFont="1" applyFill="1"/>
    <xf numFmtId="0" fontId="9" fillId="2" borderId="0" xfId="2" applyFont="1" applyFill="1" applyAlignment="1" applyProtection="1">
      <alignment horizontal="right"/>
      <protection locked="0"/>
    </xf>
    <xf numFmtId="0" fontId="2" fillId="2" borderId="0" xfId="0" applyFont="1" applyFill="1" applyAlignment="1">
      <alignment horizontal="right"/>
    </xf>
    <xf numFmtId="170" fontId="2" fillId="2" borderId="0" xfId="0" applyNumberFormat="1" applyFont="1" applyFill="1" applyAlignment="1">
      <alignment horizontal="right"/>
    </xf>
    <xf numFmtId="1" fontId="0" fillId="11" borderId="0" xfId="0" applyNumberFormat="1" applyFill="1"/>
    <xf numFmtId="1" fontId="0" fillId="12" borderId="0" xfId="0" applyNumberFormat="1" applyFill="1"/>
    <xf numFmtId="1" fontId="0" fillId="13" borderId="0" xfId="0" applyNumberFormat="1" applyFill="1"/>
    <xf numFmtId="1" fontId="0" fillId="14" borderId="0" xfId="0" applyNumberFormat="1" applyFill="1"/>
    <xf numFmtId="1" fontId="0" fillId="15" borderId="0" xfId="0" applyNumberFormat="1" applyFill="1"/>
    <xf numFmtId="1" fontId="0" fillId="11" borderId="0" xfId="0" applyNumberFormat="1" applyFill="1" applyAlignment="1">
      <alignment horizontal="center" vertical="center"/>
    </xf>
    <xf numFmtId="1" fontId="0" fillId="14" borderId="0" xfId="0" applyNumberFormat="1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0" fontId="14" fillId="16" borderId="1" xfId="0" applyFont="1" applyFill="1" applyBorder="1" applyAlignment="1">
      <alignment wrapText="1"/>
    </xf>
    <xf numFmtId="169" fontId="14" fillId="16" borderId="1" xfId="4" applyNumberFormat="1" applyFont="1" applyFill="1" applyBorder="1" applyAlignment="1">
      <alignment wrapText="1"/>
    </xf>
    <xf numFmtId="0" fontId="2" fillId="16" borderId="0" xfId="0" applyFont="1" applyFill="1" applyAlignment="1">
      <alignment wrapText="1"/>
    </xf>
    <xf numFmtId="0" fontId="15" fillId="0" borderId="1" xfId="0" applyFont="1" applyBorder="1"/>
    <xf numFmtId="169" fontId="15" fillId="0" borderId="1" xfId="4" applyNumberFormat="1" applyFont="1" applyBorder="1"/>
    <xf numFmtId="2" fontId="15" fillId="0" borderId="1" xfId="0" applyNumberFormat="1" applyFont="1" applyBorder="1"/>
    <xf numFmtId="169" fontId="0" fillId="0" borderId="0" xfId="4" applyNumberFormat="1" applyFont="1"/>
    <xf numFmtId="0" fontId="0" fillId="17" borderId="0" xfId="0" applyFill="1" applyAlignment="1">
      <alignment horizontal="center" vertical="center" wrapText="1"/>
    </xf>
    <xf numFmtId="0" fontId="12" fillId="17" borderId="0" xfId="2" applyFont="1" applyFill="1" applyAlignment="1" applyProtection="1">
      <alignment horizontal="center" vertical="center" wrapText="1"/>
      <protection locked="0"/>
    </xf>
    <xf numFmtId="0" fontId="2" fillId="17" borderId="0" xfId="0" applyFont="1" applyFill="1"/>
    <xf numFmtId="170" fontId="2" fillId="17" borderId="0" xfId="0" applyNumberFormat="1" applyFont="1" applyFill="1"/>
    <xf numFmtId="0" fontId="0" fillId="3" borderId="0" xfId="0" applyFill="1" applyAlignment="1">
      <alignment horizontal="center" vertical="center" wrapText="1"/>
    </xf>
    <xf numFmtId="0" fontId="12" fillId="3" borderId="0" xfId="2" applyFont="1" applyFill="1" applyAlignment="1" applyProtection="1">
      <alignment horizontal="center" vertical="center" wrapText="1"/>
      <protection locked="0"/>
    </xf>
    <xf numFmtId="169" fontId="0" fillId="3" borderId="0" xfId="4" applyNumberFormat="1" applyFont="1" applyFill="1"/>
    <xf numFmtId="9" fontId="2" fillId="0" borderId="0" xfId="1" applyFont="1"/>
    <xf numFmtId="43" fontId="2" fillId="0" borderId="0" xfId="4" applyFont="1"/>
    <xf numFmtId="0" fontId="2" fillId="3" borderId="0" xfId="2" applyFont="1" applyFill="1" applyProtection="1">
      <protection locked="0"/>
    </xf>
    <xf numFmtId="0" fontId="2" fillId="3" borderId="0" xfId="0" applyFont="1" applyFill="1"/>
    <xf numFmtId="9" fontId="2" fillId="3" borderId="0" xfId="1" applyFont="1" applyFill="1"/>
    <xf numFmtId="43" fontId="2" fillId="3" borderId="0" xfId="0" applyNumberFormat="1" applyFont="1" applyFill="1"/>
    <xf numFmtId="43" fontId="0" fillId="3" borderId="0" xfId="0" applyNumberFormat="1" applyFill="1"/>
    <xf numFmtId="171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18" borderId="1" xfId="0" applyFont="1" applyFill="1" applyBorder="1" applyAlignment="1">
      <alignment wrapText="1"/>
    </xf>
    <xf numFmtId="0" fontId="14" fillId="19" borderId="1" xfId="0" applyFont="1" applyFill="1" applyBorder="1" applyAlignment="1">
      <alignment wrapText="1"/>
    </xf>
    <xf numFmtId="0" fontId="15" fillId="0" borderId="1" xfId="0" applyFont="1" applyBorder="1" applyAlignment="1">
      <alignment horizontal="left"/>
    </xf>
    <xf numFmtId="43" fontId="15" fillId="0" borderId="1" xfId="0" applyNumberFormat="1" applyFont="1" applyBorder="1"/>
    <xf numFmtId="43" fontId="16" fillId="0" borderId="1" xfId="0" applyNumberFormat="1" applyFont="1" applyBorder="1"/>
    <xf numFmtId="0" fontId="17" fillId="0" borderId="1" xfId="0" applyFont="1" applyBorder="1" applyAlignment="1">
      <alignment horizontal="left"/>
    </xf>
    <xf numFmtId="0" fontId="14" fillId="19" borderId="8" xfId="0" applyFont="1" applyFill="1" applyBorder="1" applyAlignment="1">
      <alignment wrapText="1"/>
    </xf>
    <xf numFmtId="43" fontId="2" fillId="0" borderId="0" xfId="0" applyNumberFormat="1" applyFont="1"/>
    <xf numFmtId="43" fontId="0" fillId="0" borderId="0" xfId="0" applyNumberFormat="1"/>
  </cellXfs>
  <cellStyles count="5">
    <cellStyle name="Comma" xfId="4" builtinId="3"/>
    <cellStyle name="Comma 2 2" xfId="3" xr:uid="{AD25DB30-904A-44E1-A32A-903196E680BA}"/>
    <cellStyle name="Normal" xfId="0" builtinId="0"/>
    <cellStyle name="Normal 2" xfId="2" xr:uid="{A82D89D0-6203-4ADA-9611-248E5C93EF5B}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034284938251745E-2"/>
          <c:y val="7.5443675626293533E-2"/>
          <c:w val="0.91627310898811032"/>
          <c:h val="0.902181548641993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Scatter_plot!$L$1</c:f>
              <c:strCache>
                <c:ptCount val="1"/>
                <c:pt idx="0">
                  <c:v>Ratio stock to graduates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931989514649362E-2"/>
                  <c:y val="-1.6272564168518456E-2"/>
                </c:manualLayout>
              </c:layout>
              <c:tx>
                <c:rich>
                  <a:bodyPr/>
                  <a:lstStyle/>
                  <a:p>
                    <a:fld id="{777AF6AA-5CD9-43ED-B26D-9B9F4922622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81-474B-B80F-78D0014ACB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B53E41-E5E0-40BD-80F4-B3438E82735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F81-474B-B80F-78D0014ACBF0}"/>
                </c:ext>
              </c:extLst>
            </c:dLbl>
            <c:dLbl>
              <c:idx val="2"/>
              <c:layout>
                <c:manualLayout>
                  <c:x val="-3.5832579868361823E-2"/>
                  <c:y val="-1.0482176585647342E-2"/>
                </c:manualLayout>
              </c:layout>
              <c:tx>
                <c:rich>
                  <a:bodyPr/>
                  <a:lstStyle/>
                  <a:p>
                    <a:fld id="{8741469C-28ED-4221-9B93-69A86F6959A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81-474B-B80F-78D0014ACB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3B2FE9-2239-4F23-AD78-709312436D5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F81-474B-B80F-78D0014ACB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8ACF25-54EF-4C2E-A3D5-A280262550D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F81-474B-B80F-78D0014ACB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01098FB-3E4D-4678-8830-45806EEAEB6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F81-474B-B80F-78D0014ACBF0}"/>
                </c:ext>
              </c:extLst>
            </c:dLbl>
            <c:dLbl>
              <c:idx val="6"/>
              <c:layout>
                <c:manualLayout>
                  <c:x val="-1.2832853398089057E-3"/>
                  <c:y val="2.2374775731712749E-2"/>
                </c:manualLayout>
              </c:layout>
              <c:tx>
                <c:rich>
                  <a:bodyPr/>
                  <a:lstStyle/>
                  <a:p>
                    <a:fld id="{3D36800F-F279-4F0F-9CB8-D109FFB7DCC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F81-474B-B80F-78D0014ACB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3E42942-84BF-4F0E-9A94-5303D122B56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F81-474B-B80F-78D0014ACB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5253082-1654-4FF2-B935-182ABAEB835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F81-474B-B80F-78D0014ACB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7EBF2BE-4C6A-49FA-B8D2-D05786B566E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F81-474B-B80F-78D0014ACB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3933FC4-D24B-46F1-A0F4-94DE8C4F47E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F81-474B-B80F-78D0014ACB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2B9A934-1739-4144-91BD-D54C869FD62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F81-474B-B80F-78D0014ACB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C4D6063-F788-4283-9735-F8116B3A7EC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F81-474B-B80F-78D0014ACB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FBB57ED-C925-4D5A-9A58-BEC26D12AF2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F81-474B-B80F-78D0014ACB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F2E6CED-427F-463D-968D-7BA621059E1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F81-474B-B80F-78D0014ACB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DAD7610-BD4E-4F61-94F3-696782F6425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F81-474B-B80F-78D0014ACB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7C45E3-3929-4ABB-B11A-08144E63A1C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F81-474B-B80F-78D0014ACB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20BD3EF-4234-4C23-BF65-B898A3A81BC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F81-474B-B80F-78D0014ACBF0}"/>
                </c:ext>
              </c:extLst>
            </c:dLbl>
            <c:dLbl>
              <c:idx val="18"/>
              <c:layout>
                <c:manualLayout>
                  <c:x val="-1.7244298065153544E-2"/>
                  <c:y val="-2.4833089908658856E-2"/>
                </c:manualLayout>
              </c:layout>
              <c:tx>
                <c:rich>
                  <a:bodyPr/>
                  <a:lstStyle/>
                  <a:p>
                    <a:fld id="{B0D577BC-4F96-4934-8E82-471F821EA7C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F81-474B-B80F-78D0014ACBF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42C5513-73BF-4B85-89F1-768DB877321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F81-474B-B80F-78D0014ACBF0}"/>
                </c:ext>
              </c:extLst>
            </c:dLbl>
            <c:dLbl>
              <c:idx val="20"/>
              <c:layout>
                <c:manualLayout>
                  <c:x val="-1.2832853398088116E-3"/>
                  <c:y val="-2.2374775731712825E-2"/>
                </c:manualLayout>
              </c:layout>
              <c:tx>
                <c:rich>
                  <a:bodyPr/>
                  <a:lstStyle/>
                  <a:p>
                    <a:fld id="{B6D9F567-8C85-4579-809D-7D1A465FDC2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F81-474B-B80F-78D0014ACBF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4AF094F-EA72-4F41-80B7-ED344621BFD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F81-474B-B80F-78D0014ACBF0}"/>
                </c:ext>
              </c:extLst>
            </c:dLbl>
            <c:dLbl>
              <c:idx val="22"/>
              <c:layout>
                <c:manualLayout>
                  <c:x val="-6.1427279774334551E-3"/>
                  <c:y val="-1.6471991777445932E-2"/>
                </c:manualLayout>
              </c:layout>
              <c:tx>
                <c:rich>
                  <a:bodyPr/>
                  <a:lstStyle/>
                  <a:p>
                    <a:fld id="{2BBBF9FC-B8CB-455E-8163-AB0A2073239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EF81-474B-B80F-78D0014ACBF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8C5BD76-E853-4EC5-BA3F-A893339E1E0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F81-474B-B80F-78D0014ACBF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79D6640-6D20-420B-BC6A-E8FDCBC5381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F81-474B-B80F-78D0014ACBF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E2A220A-A0E6-4D2F-882A-B37664061A6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F81-474B-B80F-78D0014ACBF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8CC9E4F-CF57-473B-87C5-A1B2F1AB667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F81-474B-B80F-78D0014ACBF0}"/>
                </c:ext>
              </c:extLst>
            </c:dLbl>
            <c:dLbl>
              <c:idx val="27"/>
              <c:layout>
                <c:manualLayout>
                  <c:x val="-2.8232277475796021E-2"/>
                  <c:y val="2.6442916773842428E-2"/>
                </c:manualLayout>
              </c:layout>
              <c:tx>
                <c:rich>
                  <a:bodyPr/>
                  <a:lstStyle/>
                  <a:p>
                    <a:fld id="{01951376-207D-4537-845C-2154A304E8E7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EF81-474B-B80F-78D0014ACBF0}"/>
                </c:ext>
              </c:extLst>
            </c:dLbl>
            <c:dLbl>
              <c:idx val="28"/>
              <c:layout>
                <c:manualLayout>
                  <c:x val="-3.7215274854458268E-2"/>
                  <c:y val="8.1362820842591343E-3"/>
                </c:manualLayout>
              </c:layout>
              <c:tx>
                <c:rich>
                  <a:bodyPr/>
                  <a:lstStyle/>
                  <a:p>
                    <a:fld id="{E3F43E38-0F00-4941-A589-6C50B9D7FF0C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EF81-474B-B80F-78D0014ACBF0}"/>
                </c:ext>
              </c:extLst>
            </c:dLbl>
            <c:dLbl>
              <c:idx val="29"/>
              <c:layout>
                <c:manualLayout>
                  <c:x val="-3.5832579868361823E-2"/>
                  <c:y val="-5.9898151917984806E-3"/>
                </c:manualLayout>
              </c:layout>
              <c:tx>
                <c:rich>
                  <a:bodyPr/>
                  <a:lstStyle/>
                  <a:p>
                    <a:fld id="{E00405F3-EC9F-40D4-939C-B97B65739D9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EF81-474B-B80F-78D0014ACBF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42EA303-7CD6-4C4A-85E7-259FD98C633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F81-474B-B80F-78D0014ACBF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ACBB555A-753A-466A-93C5-55EF2523D8A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F81-474B-B80F-78D0014ACBF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A47D91F-CC6C-48D0-929D-0005C7F73AE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F81-474B-B80F-78D0014ACBF0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0267134-7F72-4851-B35F-F2DF708AC36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F81-474B-B80F-78D0014ACBF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3C69223-00C3-4FF6-9529-82C9FFD113D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F81-474B-B80F-78D0014ACBF0}"/>
                </c:ext>
              </c:extLst>
            </c:dLbl>
            <c:dLbl>
              <c:idx val="35"/>
              <c:layout>
                <c:manualLayout>
                  <c:x val="-1.2832853398089998E-3"/>
                  <c:y val="-1.2204423126388813E-2"/>
                </c:manualLayout>
              </c:layout>
              <c:tx>
                <c:rich>
                  <a:bodyPr/>
                  <a:lstStyle/>
                  <a:p>
                    <a:fld id="{A482A149-157E-4DA0-BB82-1C284588F6EE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EF81-474B-B80F-78D0014ACBF0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DF3837E6-9BF7-45E7-ACCD-4013C86741D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F81-474B-B80F-78D0014ACBF0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E54C6AB-B8DC-4445-A23A-5E5FB844088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F81-474B-B80F-78D0014ACBF0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B1E02D1-6352-4BC7-A63C-255F70E24BC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F81-474B-B80F-78D0014ACBF0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DF019CD-45CE-46BA-9F63-9DF96980223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F81-474B-B80F-78D0014ACBF0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6E56FF6-8F16-4B22-A347-C0A814F50E3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F81-474B-B80F-78D0014ACBF0}"/>
                </c:ext>
              </c:extLst>
            </c:dLbl>
            <c:dLbl>
              <c:idx val="41"/>
              <c:layout>
                <c:manualLayout>
                  <c:x val="-3.8498560194267172E-3"/>
                  <c:y val="-2.2374775731712825E-2"/>
                </c:manualLayout>
              </c:layout>
              <c:tx>
                <c:rich>
                  <a:bodyPr/>
                  <a:lstStyle/>
                  <a:p>
                    <a:fld id="{FE434BA6-9CC6-4858-A965-A79A1C01A76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EF81-474B-B80F-78D0014ACBF0}"/>
                </c:ext>
              </c:extLst>
            </c:dLbl>
            <c:dLbl>
              <c:idx val="42"/>
              <c:layout>
                <c:manualLayout>
                  <c:x val="-4.61840438690738E-2"/>
                  <c:y val="-5.2283540400537053E-3"/>
                </c:manualLayout>
              </c:layout>
              <c:tx>
                <c:rich>
                  <a:bodyPr/>
                  <a:lstStyle/>
                  <a:p>
                    <a:fld id="{EA95E493-F4A5-4333-9141-BDEA8D05E3B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EF81-474B-B80F-78D0014ACBF0}"/>
                </c:ext>
              </c:extLst>
            </c:dLbl>
            <c:dLbl>
              <c:idx val="43"/>
              <c:layout>
                <c:manualLayout>
                  <c:x val="-1.2832853398089056E-2"/>
                  <c:y val="2.2374775731712825E-2"/>
                </c:manualLayout>
              </c:layout>
              <c:tx>
                <c:rich>
                  <a:bodyPr/>
                  <a:lstStyle/>
                  <a:p>
                    <a:fld id="{4000E4F8-7F6E-4C1D-AE85-46CBFBFCE5A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EF81-474B-B80F-78D0014ACBF0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1D80DF1-A998-458E-AE77-AEEC489E49C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F81-474B-B80F-78D0014ACBF0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7D7DC04-4C9B-4141-9FE3-A29D43D1B64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F81-474B-B80F-78D0014ACBF0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A2EFDAC-0ABC-4604-8FE6-36065993C58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F81-474B-B80F-78D0014AC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Scatter_plot!$K$2:$K$48</c:f>
              <c:numCache>
                <c:formatCode>0.0</c:formatCode>
                <c:ptCount val="47"/>
                <c:pt idx="0">
                  <c:v>98.058568574484738</c:v>
                </c:pt>
                <c:pt idx="1">
                  <c:v>38.456345697593264</c:v>
                </c:pt>
                <c:pt idx="2">
                  <c:v>18.729624018891407</c:v>
                </c:pt>
                <c:pt idx="3">
                  <c:v>68.115844081394968</c:v>
                </c:pt>
                <c:pt idx="4">
                  <c:v>16.827323041243478</c:v>
                </c:pt>
                <c:pt idx="5">
                  <c:v>40.986337247671983</c:v>
                </c:pt>
                <c:pt idx="6">
                  <c:v>104.36309518407614</c:v>
                </c:pt>
                <c:pt idx="7">
                  <c:v>11.326441981493597</c:v>
                </c:pt>
                <c:pt idx="8">
                  <c:v>10.210731090719779</c:v>
                </c:pt>
                <c:pt idx="9">
                  <c:v>22.710971898965504</c:v>
                </c:pt>
                <c:pt idx="10">
                  <c:v>31.333794542132008</c:v>
                </c:pt>
                <c:pt idx="11">
                  <c:v>20.330016447381468</c:v>
                </c:pt>
                <c:pt idx="12">
                  <c:v>25.91975377602575</c:v>
                </c:pt>
                <c:pt idx="13">
                  <c:v>15.888047021793218</c:v>
                </c:pt>
                <c:pt idx="14">
                  <c:v>27.930586305707227</c:v>
                </c:pt>
                <c:pt idx="15">
                  <c:v>38.107951184321514</c:v>
                </c:pt>
                <c:pt idx="16">
                  <c:v>140.19826135915432</c:v>
                </c:pt>
                <c:pt idx="17">
                  <c:v>33.829583652601642</c:v>
                </c:pt>
                <c:pt idx="18">
                  <c:v>57.112151673993168</c:v>
                </c:pt>
                <c:pt idx="19">
                  <c:v>34.171087572485987</c:v>
                </c:pt>
                <c:pt idx="20">
                  <c:v>70.640914271306528</c:v>
                </c:pt>
                <c:pt idx="21">
                  <c:v>17.813553305551778</c:v>
                </c:pt>
                <c:pt idx="22">
                  <c:v>43.637164811660909</c:v>
                </c:pt>
                <c:pt idx="23">
                  <c:v>52.761765904512501</c:v>
                </c:pt>
                <c:pt idx="24">
                  <c:v>125.68172362603974</c:v>
                </c:pt>
                <c:pt idx="25">
                  <c:v>57.003752262980719</c:v>
                </c:pt>
                <c:pt idx="26">
                  <c:v>21.968767905514429</c:v>
                </c:pt>
                <c:pt idx="27">
                  <c:v>18.931285154211427</c:v>
                </c:pt>
                <c:pt idx="28">
                  <c:v>16.946843842481947</c:v>
                </c:pt>
                <c:pt idx="29">
                  <c:v>43.978835355257424</c:v>
                </c:pt>
                <c:pt idx="30">
                  <c:v>117.20284698003086</c:v>
                </c:pt>
                <c:pt idx="31">
                  <c:v>54.608508445493854</c:v>
                </c:pt>
                <c:pt idx="32">
                  <c:v>105.35216319078796</c:v>
                </c:pt>
                <c:pt idx="33">
                  <c:v>4.955848322257995</c:v>
                </c:pt>
                <c:pt idx="34">
                  <c:v>36.583982353138666</c:v>
                </c:pt>
                <c:pt idx="35">
                  <c:v>59.624042517676429</c:v>
                </c:pt>
                <c:pt idx="36">
                  <c:v>63.393220513883151</c:v>
                </c:pt>
                <c:pt idx="37">
                  <c:v>23.796885847380697</c:v>
                </c:pt>
                <c:pt idx="38">
                  <c:v>296.4662893379861</c:v>
                </c:pt>
                <c:pt idx="39">
                  <c:v>45.477301239981145</c:v>
                </c:pt>
                <c:pt idx="40">
                  <c:v>110.14054068074168</c:v>
                </c:pt>
                <c:pt idx="41">
                  <c:v>19.70458233636975</c:v>
                </c:pt>
                <c:pt idx="42">
                  <c:v>30.235229462209936</c:v>
                </c:pt>
                <c:pt idx="43">
                  <c:v>70.939806529751905</c:v>
                </c:pt>
                <c:pt idx="44">
                  <c:v>28.683351968574311</c:v>
                </c:pt>
                <c:pt idx="45">
                  <c:v>55.939473332937403</c:v>
                </c:pt>
                <c:pt idx="46">
                  <c:v>64.042986580794391</c:v>
                </c:pt>
              </c:numCache>
            </c:numRef>
          </c:xVal>
          <c:yVal>
            <c:numRef>
              <c:f>Scatter_plot!$L$2:$L$48</c:f>
              <c:numCache>
                <c:formatCode>_(* #,##0.00_);_(* \(#,##0.00\);_(* "-"??_);_(@_)</c:formatCode>
                <c:ptCount val="47"/>
                <c:pt idx="0">
                  <c:v>22.857935830441416</c:v>
                </c:pt>
                <c:pt idx="1">
                  <c:v>21.176735134619424</c:v>
                </c:pt>
                <c:pt idx="2">
                  <c:v>8.1976856316297013</c:v>
                </c:pt>
                <c:pt idx="3">
                  <c:v>16.399999999999999</c:v>
                </c:pt>
                <c:pt idx="4">
                  <c:v>6.4928625093914354</c:v>
                </c:pt>
                <c:pt idx="5">
                  <c:v>5.7962394193302087</c:v>
                </c:pt>
                <c:pt idx="6">
                  <c:v>22.857935830441416</c:v>
                </c:pt>
                <c:pt idx="7">
                  <c:v>5.8473988439306357</c:v>
                </c:pt>
                <c:pt idx="8">
                  <c:v>44.159429280397021</c:v>
                </c:pt>
                <c:pt idx="9">
                  <c:v>1.5058928414930488</c:v>
                </c:pt>
                <c:pt idx="10">
                  <c:v>28.47427435177109</c:v>
                </c:pt>
                <c:pt idx="11">
                  <c:v>55.125</c:v>
                </c:pt>
                <c:pt idx="12">
                  <c:v>20.263906002583152</c:v>
                </c:pt>
                <c:pt idx="13">
                  <c:v>4.5412705268813731</c:v>
                </c:pt>
                <c:pt idx="14">
                  <c:v>0.95412514516632685</c:v>
                </c:pt>
                <c:pt idx="15">
                  <c:v>13.264544118808269</c:v>
                </c:pt>
                <c:pt idx="16">
                  <c:v>37.056249999999999</c:v>
                </c:pt>
                <c:pt idx="17">
                  <c:v>16.468657033574161</c:v>
                </c:pt>
                <c:pt idx="18">
                  <c:v>42.673685800866124</c:v>
                </c:pt>
                <c:pt idx="19">
                  <c:v>10.645443106523956</c:v>
                </c:pt>
                <c:pt idx="20">
                  <c:v>5.6456748687645337</c:v>
                </c:pt>
                <c:pt idx="21">
                  <c:v>3.096666017972511</c:v>
                </c:pt>
                <c:pt idx="22">
                  <c:v>22.857935830441416</c:v>
                </c:pt>
                <c:pt idx="23">
                  <c:v>75.215601965601962</c:v>
                </c:pt>
                <c:pt idx="24">
                  <c:v>4.6148174783924176</c:v>
                </c:pt>
                <c:pt idx="25">
                  <c:v>58.454296612863345</c:v>
                </c:pt>
                <c:pt idx="26">
                  <c:v>3.4278711484593836</c:v>
                </c:pt>
                <c:pt idx="27">
                  <c:v>21.348430688993169</c:v>
                </c:pt>
                <c:pt idx="28">
                  <c:v>22.857935830441416</c:v>
                </c:pt>
                <c:pt idx="29">
                  <c:v>68.81446632132112</c:v>
                </c:pt>
                <c:pt idx="30">
                  <c:v>10.597255752844539</c:v>
                </c:pt>
                <c:pt idx="31">
                  <c:v>16.359542530378842</c:v>
                </c:pt>
                <c:pt idx="32">
                  <c:v>25.415291442768822</c:v>
                </c:pt>
                <c:pt idx="33">
                  <c:v>7.8083990631299782</c:v>
                </c:pt>
                <c:pt idx="34">
                  <c:v>17.866783114992721</c:v>
                </c:pt>
                <c:pt idx="35">
                  <c:v>41.391365435291313</c:v>
                </c:pt>
                <c:pt idx="36">
                  <c:v>22.857935830441416</c:v>
                </c:pt>
                <c:pt idx="37">
                  <c:v>7.1829353403866092</c:v>
                </c:pt>
                <c:pt idx="38">
                  <c:v>42.1</c:v>
                </c:pt>
                <c:pt idx="39">
                  <c:v>8.5050709939148081</c:v>
                </c:pt>
                <c:pt idx="40">
                  <c:v>107.24524316516025</c:v>
                </c:pt>
                <c:pt idx="41">
                  <c:v>20.688796680497926</c:v>
                </c:pt>
                <c:pt idx="42">
                  <c:v>10.599369085173501</c:v>
                </c:pt>
                <c:pt idx="43">
                  <c:v>5.2036992954099146</c:v>
                </c:pt>
                <c:pt idx="44">
                  <c:v>12.502461538461539</c:v>
                </c:pt>
                <c:pt idx="45">
                  <c:v>10.51861504095309</c:v>
                </c:pt>
                <c:pt idx="46">
                  <c:v>36.387251549841309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Scatter_plot!$H$2:$H$48</c15:f>
                <c15:dlblRangeCache>
                  <c:ptCount val="47"/>
                  <c:pt idx="0">
                    <c:v>DZA</c:v>
                  </c:pt>
                  <c:pt idx="1">
                    <c:v>AGO</c:v>
                  </c:pt>
                  <c:pt idx="2">
                    <c:v>BEN</c:v>
                  </c:pt>
                  <c:pt idx="3">
                    <c:v>BWA</c:v>
                  </c:pt>
                  <c:pt idx="4">
                    <c:v>BFA</c:v>
                  </c:pt>
                  <c:pt idx="5">
                    <c:v>BDI</c:v>
                  </c:pt>
                  <c:pt idx="6">
                    <c:v>CPV</c:v>
                  </c:pt>
                  <c:pt idx="7">
                    <c:v>CMR</c:v>
                  </c:pt>
                  <c:pt idx="8">
                    <c:v>CAF</c:v>
                  </c:pt>
                  <c:pt idx="9">
                    <c:v>TCD</c:v>
                  </c:pt>
                  <c:pt idx="10">
                    <c:v>COM</c:v>
                  </c:pt>
                  <c:pt idx="11">
                    <c:v>COG</c:v>
                  </c:pt>
                  <c:pt idx="12">
                    <c:v>CIV</c:v>
                  </c:pt>
                  <c:pt idx="13">
                    <c:v>COD</c:v>
                  </c:pt>
                  <c:pt idx="14">
                    <c:v>GNQ</c:v>
                  </c:pt>
                  <c:pt idx="15">
                    <c:v>ERI</c:v>
                  </c:pt>
                  <c:pt idx="16">
                    <c:v>SWZ</c:v>
                  </c:pt>
                  <c:pt idx="17">
                    <c:v>ETH</c:v>
                  </c:pt>
                  <c:pt idx="18">
                    <c:v>GAB</c:v>
                  </c:pt>
                  <c:pt idx="19">
                    <c:v>GMB</c:v>
                  </c:pt>
                  <c:pt idx="20">
                    <c:v>GHA</c:v>
                  </c:pt>
                  <c:pt idx="21">
                    <c:v>GIN</c:v>
                  </c:pt>
                  <c:pt idx="22">
                    <c:v>GNB</c:v>
                  </c:pt>
                  <c:pt idx="23">
                    <c:v>KEN</c:v>
                  </c:pt>
                  <c:pt idx="24">
                    <c:v>LSO</c:v>
                  </c:pt>
                  <c:pt idx="25">
                    <c:v>LBR</c:v>
                  </c:pt>
                  <c:pt idx="26">
                    <c:v>MDG</c:v>
                  </c:pt>
                  <c:pt idx="27">
                    <c:v>MWI</c:v>
                  </c:pt>
                  <c:pt idx="28">
                    <c:v>MLI</c:v>
                  </c:pt>
                  <c:pt idx="29">
                    <c:v>MRT</c:v>
                  </c:pt>
                  <c:pt idx="30">
                    <c:v>MUS</c:v>
                  </c:pt>
                  <c:pt idx="31">
                    <c:v>MOZ</c:v>
                  </c:pt>
                  <c:pt idx="32">
                    <c:v>NAM</c:v>
                  </c:pt>
                  <c:pt idx="33">
                    <c:v>NER</c:v>
                  </c:pt>
                  <c:pt idx="34">
                    <c:v>NGA</c:v>
                  </c:pt>
                  <c:pt idx="35">
                    <c:v>RWA</c:v>
                  </c:pt>
                  <c:pt idx="36">
                    <c:v>STP</c:v>
                  </c:pt>
                  <c:pt idx="37">
                    <c:v>SEN</c:v>
                  </c:pt>
                  <c:pt idx="38">
                    <c:v>SYC</c:v>
                  </c:pt>
                  <c:pt idx="39">
                    <c:v>SLE</c:v>
                  </c:pt>
                  <c:pt idx="40">
                    <c:v>ZAF</c:v>
                  </c:pt>
                  <c:pt idx="41">
                    <c:v>SSD</c:v>
                  </c:pt>
                  <c:pt idx="42">
                    <c:v>TGO</c:v>
                  </c:pt>
                  <c:pt idx="43">
                    <c:v>UGA</c:v>
                  </c:pt>
                  <c:pt idx="44">
                    <c:v>TZA</c:v>
                  </c:pt>
                  <c:pt idx="45">
                    <c:v>ZMB</c:v>
                  </c:pt>
                  <c:pt idx="46">
                    <c:v>ZWE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F81-474B-B80F-78D0014AC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648912"/>
        <c:axId val="1422631632"/>
      </c:scatterChart>
      <c:valAx>
        <c:axId val="1422648912"/>
        <c:scaling>
          <c:orientation val="minMax"/>
          <c:max val="30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Density per 10,000 (2022)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22631632"/>
        <c:crossesAt val="1"/>
        <c:crossBetween val="midCat"/>
        <c:majorUnit val="25"/>
      </c:valAx>
      <c:valAx>
        <c:axId val="1422631632"/>
        <c:scaling>
          <c:orientation val="minMax"/>
          <c:max val="1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stock to graduates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22648912"/>
        <c:crossesAt val="4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084665289827269E-2"/>
          <c:y val="7.5443644875274538E-2"/>
          <c:w val="0.91627310898811032"/>
          <c:h val="0.902181548641993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Scatter_plot!$L$1</c:f>
              <c:strCache>
                <c:ptCount val="1"/>
                <c:pt idx="0">
                  <c:v>Ratio stock to graduates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5931989514649362E-2"/>
                  <c:y val="-1.6272564168518456E-2"/>
                </c:manualLayout>
              </c:layout>
              <c:tx>
                <c:rich>
                  <a:bodyPr/>
                  <a:lstStyle/>
                  <a:p>
                    <a:fld id="{F3FE9749-4B7C-4E3F-8635-5270AFC6A7D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BC-498F-88D9-4A57D04A34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8B012F-2753-4FC8-8ECE-627C129FE6C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BC-498F-88D9-4A57D04A3496}"/>
                </c:ext>
              </c:extLst>
            </c:dLbl>
            <c:dLbl>
              <c:idx val="2"/>
              <c:layout>
                <c:manualLayout>
                  <c:x val="-3.5832579868361823E-2"/>
                  <c:y val="-1.0482176585647342E-2"/>
                </c:manualLayout>
              </c:layout>
              <c:tx>
                <c:rich>
                  <a:bodyPr/>
                  <a:lstStyle/>
                  <a:p>
                    <a:fld id="{A8FA8E0B-75DC-4E60-BB1D-F42655D4D84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3BC-498F-88D9-4A57D04A34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CCE1C8-77B1-4F2D-96BB-74A64E11E4C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BC-498F-88D9-4A57D04A34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E99C0E1-CB49-4704-932D-BBB59786C4A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BC-498F-88D9-4A57D04A349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5D1EF5-D5E9-4F24-B1DB-306B50529E4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BC-498F-88D9-4A57D04A3496}"/>
                </c:ext>
              </c:extLst>
            </c:dLbl>
            <c:dLbl>
              <c:idx val="6"/>
              <c:layout>
                <c:manualLayout>
                  <c:x val="-1.2832853398089057E-3"/>
                  <c:y val="2.2374775731712749E-2"/>
                </c:manualLayout>
              </c:layout>
              <c:tx>
                <c:rich>
                  <a:bodyPr/>
                  <a:lstStyle/>
                  <a:p>
                    <a:fld id="{65327B88-435F-49FB-9CD2-E99AC556A877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3BC-498F-88D9-4A57D04A349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FA3BB6-2FB7-464F-8185-FD9D6782AC1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BC-498F-88D9-4A57D04A349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E25A533-A6CD-41C9-BDE6-6DF8CD73A38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BC-498F-88D9-4A57D04A349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726E41-EFB4-437F-A0EB-132DD5F9B11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BC-498F-88D9-4A57D04A349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F713A4D-EB79-416B-96E8-84DA2320F0E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BC-498F-88D9-4A57D04A349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0B2CC8A-793E-4D9C-94FD-975EFCDA7CC1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BC-498F-88D9-4A57D04A349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00F106-6350-4B5A-BB11-1296FA7C884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BC-498F-88D9-4A57D04A349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6510488-41F2-4F77-A757-FE3529FBAFA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BC-498F-88D9-4A57D04A349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398DBF6-E00E-4AD7-9140-0A06309D5071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BC-498F-88D9-4A57D04A349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AE143E9-0C60-4BA7-A6B8-2F47363E66B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BC-498F-88D9-4A57D04A349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530E84-E532-47A0-919E-10E7DEE64BF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BC-498F-88D9-4A57D04A349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648E83-1022-4635-84D1-92A7E8D7B82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BC-498F-88D9-4A57D04A3496}"/>
                </c:ext>
              </c:extLst>
            </c:dLbl>
            <c:dLbl>
              <c:idx val="18"/>
              <c:layout>
                <c:manualLayout>
                  <c:x val="-1.7244298065153544E-2"/>
                  <c:y val="-2.4833089908658856E-2"/>
                </c:manualLayout>
              </c:layout>
              <c:tx>
                <c:rich>
                  <a:bodyPr/>
                  <a:lstStyle/>
                  <a:p>
                    <a:fld id="{BFAFC2B5-1DAD-446B-95F6-69823B3D12B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3BC-498F-88D9-4A57D04A349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D70B22-3434-43F0-BE3D-065ABDF1776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BC-498F-88D9-4A57D04A3496}"/>
                </c:ext>
              </c:extLst>
            </c:dLbl>
            <c:dLbl>
              <c:idx val="20"/>
              <c:layout>
                <c:manualLayout>
                  <c:x val="-1.2832853398088116E-3"/>
                  <c:y val="-2.2374775731712825E-2"/>
                </c:manualLayout>
              </c:layout>
              <c:tx>
                <c:rich>
                  <a:bodyPr/>
                  <a:lstStyle/>
                  <a:p>
                    <a:fld id="{7E56BFC2-2754-4EBC-903B-D634B7588CA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3BC-498F-88D9-4A57D04A349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A3D030C-CE66-440B-9EC6-7DEDD56E35F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BC-498F-88D9-4A57D04A3496}"/>
                </c:ext>
              </c:extLst>
            </c:dLbl>
            <c:dLbl>
              <c:idx val="22"/>
              <c:layout>
                <c:manualLayout>
                  <c:x val="-6.1427279774334551E-3"/>
                  <c:y val="-1.6471991777445932E-2"/>
                </c:manualLayout>
              </c:layout>
              <c:tx>
                <c:rich>
                  <a:bodyPr/>
                  <a:lstStyle/>
                  <a:p>
                    <a:fld id="{3990B565-BC88-4EBF-9F6A-6781F9A8B333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83BC-498F-88D9-4A57D04A349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23265FE-DB45-4C8A-AEBC-5D2F9E3F8A2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BC-498F-88D9-4A57D04A349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2284E3B-1C32-4901-89FA-395ED2C5B16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BC-498F-88D9-4A57D04A349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76BB049-7829-4EA0-99A1-045EF272A2F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BC-498F-88D9-4A57D04A349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F2F46C7-BCC4-436E-9F7F-4CB4B45066E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BC-498F-88D9-4A57D04A3496}"/>
                </c:ext>
              </c:extLst>
            </c:dLbl>
            <c:dLbl>
              <c:idx val="27"/>
              <c:layout>
                <c:manualLayout>
                  <c:x val="-2.8232277475796021E-2"/>
                  <c:y val="2.6442916773842428E-2"/>
                </c:manualLayout>
              </c:layout>
              <c:tx>
                <c:rich>
                  <a:bodyPr/>
                  <a:lstStyle/>
                  <a:p>
                    <a:fld id="{D175C1E4-BF4F-45F2-A0F8-A516DC2D069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83BC-498F-88D9-4A57D04A3496}"/>
                </c:ext>
              </c:extLst>
            </c:dLbl>
            <c:dLbl>
              <c:idx val="28"/>
              <c:layout>
                <c:manualLayout>
                  <c:x val="-3.7215274854458268E-2"/>
                  <c:y val="8.1362820842591343E-3"/>
                </c:manualLayout>
              </c:layout>
              <c:tx>
                <c:rich>
                  <a:bodyPr/>
                  <a:lstStyle/>
                  <a:p>
                    <a:fld id="{79F273AC-0481-4BD3-ADFA-7C7705D314CE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83BC-498F-88D9-4A57D04A3496}"/>
                </c:ext>
              </c:extLst>
            </c:dLbl>
            <c:dLbl>
              <c:idx val="29"/>
              <c:layout>
                <c:manualLayout>
                  <c:x val="-3.5832579868361823E-2"/>
                  <c:y val="-5.9898151917984806E-3"/>
                </c:manualLayout>
              </c:layout>
              <c:tx>
                <c:rich>
                  <a:bodyPr/>
                  <a:lstStyle/>
                  <a:p>
                    <a:fld id="{3868B3C0-7594-4F66-ACCC-2BBB7AAD631C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83BC-498F-88D9-4A57D04A349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D7A5D7D-B2E5-4F21-99E7-9341124AF8F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BC-498F-88D9-4A57D04A349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2307879-8845-4A1A-AD07-D8719473D5B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BC-498F-88D9-4A57D04A349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0E48286-79C3-4A53-A2B8-D555A8D73CD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BC-498F-88D9-4A57D04A349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8358B38-6E6E-4BFC-9654-F628702707F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BC-498F-88D9-4A57D04A349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7C30816-36A3-4796-8BA6-72DD552EA91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BC-498F-88D9-4A57D04A3496}"/>
                </c:ext>
              </c:extLst>
            </c:dLbl>
            <c:dLbl>
              <c:idx val="35"/>
              <c:layout>
                <c:manualLayout>
                  <c:x val="-1.2832853398089998E-3"/>
                  <c:y val="-1.2204423126388813E-2"/>
                </c:manualLayout>
              </c:layout>
              <c:tx>
                <c:rich>
                  <a:bodyPr/>
                  <a:lstStyle/>
                  <a:p>
                    <a:fld id="{564D75B6-E85A-49CB-BF56-2496BFBCB21E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83BC-498F-88D9-4A57D04A349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9BBA9B3-C77A-4B4C-93CC-20BAB736E85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BC-498F-88D9-4A57D04A349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FE6660D-0405-41CE-97C3-23F5A2BB660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3BC-498F-88D9-4A57D04A349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1CF62BE-5DDE-4CD9-853C-56740BBC846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3BC-498F-88D9-4A57D04A349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F60FC1B-413C-461E-A3A6-6CBD2B81320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3BC-498F-88D9-4A57D04A349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BC2BA59-5598-4D94-9998-DBC9063F6BC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3BC-498F-88D9-4A57D04A3496}"/>
                </c:ext>
              </c:extLst>
            </c:dLbl>
            <c:dLbl>
              <c:idx val="41"/>
              <c:layout>
                <c:manualLayout>
                  <c:x val="-3.8498560194267172E-3"/>
                  <c:y val="-2.2374775731712825E-2"/>
                </c:manualLayout>
              </c:layout>
              <c:tx>
                <c:rich>
                  <a:bodyPr/>
                  <a:lstStyle/>
                  <a:p>
                    <a:fld id="{E688027D-7938-42DE-8600-B477F589C07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83BC-498F-88D9-4A57D04A3496}"/>
                </c:ext>
              </c:extLst>
            </c:dLbl>
            <c:dLbl>
              <c:idx val="42"/>
              <c:layout>
                <c:manualLayout>
                  <c:x val="-4.61840438690738E-2"/>
                  <c:y val="-5.2283540400537053E-3"/>
                </c:manualLayout>
              </c:layout>
              <c:tx>
                <c:rich>
                  <a:bodyPr/>
                  <a:lstStyle/>
                  <a:p>
                    <a:fld id="{AB65652C-7776-4FDF-A426-87E974F925A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3BC-498F-88D9-4A57D04A3496}"/>
                </c:ext>
              </c:extLst>
            </c:dLbl>
            <c:dLbl>
              <c:idx val="43"/>
              <c:layout>
                <c:manualLayout>
                  <c:x val="-1.2832853398089056E-2"/>
                  <c:y val="2.2374775731712825E-2"/>
                </c:manualLayout>
              </c:layout>
              <c:tx>
                <c:rich>
                  <a:bodyPr/>
                  <a:lstStyle/>
                  <a:p>
                    <a:fld id="{78054298-F45C-4B31-936C-6F892E760AF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3BC-498F-88D9-4A57D04A349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03FF1A4E-1A29-47E2-AF2F-CC518008A83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3BC-498F-88D9-4A57D04A349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608B81C-160C-4FA2-B3A3-7D71097ACA9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3BC-498F-88D9-4A57D04A349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2332EA7-B36D-480E-A80F-38018287347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3BC-498F-88D9-4A57D04A3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Scatter_plot!$K$2:$K$48</c:f>
              <c:numCache>
                <c:formatCode>0.0</c:formatCode>
                <c:ptCount val="47"/>
                <c:pt idx="0">
                  <c:v>98.058568574484738</c:v>
                </c:pt>
                <c:pt idx="1">
                  <c:v>38.456345697593264</c:v>
                </c:pt>
                <c:pt idx="2">
                  <c:v>18.729624018891407</c:v>
                </c:pt>
                <c:pt idx="3">
                  <c:v>68.115844081394968</c:v>
                </c:pt>
                <c:pt idx="4">
                  <c:v>16.827323041243478</c:v>
                </c:pt>
                <c:pt idx="5">
                  <c:v>40.986337247671983</c:v>
                </c:pt>
                <c:pt idx="6">
                  <c:v>104.36309518407614</c:v>
                </c:pt>
                <c:pt idx="7">
                  <c:v>11.326441981493597</c:v>
                </c:pt>
                <c:pt idx="8">
                  <c:v>10.210731090719779</c:v>
                </c:pt>
                <c:pt idx="9">
                  <c:v>22.710971898965504</c:v>
                </c:pt>
                <c:pt idx="10">
                  <c:v>31.333794542132008</c:v>
                </c:pt>
                <c:pt idx="11">
                  <c:v>20.330016447381468</c:v>
                </c:pt>
                <c:pt idx="12">
                  <c:v>25.91975377602575</c:v>
                </c:pt>
                <c:pt idx="13">
                  <c:v>15.888047021793218</c:v>
                </c:pt>
                <c:pt idx="14">
                  <c:v>27.930586305707227</c:v>
                </c:pt>
                <c:pt idx="15">
                  <c:v>38.107951184321514</c:v>
                </c:pt>
                <c:pt idx="16">
                  <c:v>140.19826135915432</c:v>
                </c:pt>
                <c:pt idx="17">
                  <c:v>33.829583652601642</c:v>
                </c:pt>
                <c:pt idx="18">
                  <c:v>57.112151673993168</c:v>
                </c:pt>
                <c:pt idx="19">
                  <c:v>34.171087572485987</c:v>
                </c:pt>
                <c:pt idx="20">
                  <c:v>70.640914271306528</c:v>
                </c:pt>
                <c:pt idx="21">
                  <c:v>17.813553305551778</c:v>
                </c:pt>
                <c:pt idx="22">
                  <c:v>43.637164811660909</c:v>
                </c:pt>
                <c:pt idx="23">
                  <c:v>52.761765904512501</c:v>
                </c:pt>
                <c:pt idx="24">
                  <c:v>125.68172362603974</c:v>
                </c:pt>
                <c:pt idx="25">
                  <c:v>57.003752262980719</c:v>
                </c:pt>
                <c:pt idx="26">
                  <c:v>21.968767905514429</c:v>
                </c:pt>
                <c:pt idx="27">
                  <c:v>18.931285154211427</c:v>
                </c:pt>
                <c:pt idx="28">
                  <c:v>16.946843842481947</c:v>
                </c:pt>
                <c:pt idx="29">
                  <c:v>43.978835355257424</c:v>
                </c:pt>
                <c:pt idx="30">
                  <c:v>117.20284698003086</c:v>
                </c:pt>
                <c:pt idx="31">
                  <c:v>54.608508445493854</c:v>
                </c:pt>
                <c:pt idx="32">
                  <c:v>105.35216319078796</c:v>
                </c:pt>
                <c:pt idx="33">
                  <c:v>4.955848322257995</c:v>
                </c:pt>
                <c:pt idx="34">
                  <c:v>36.583982353138666</c:v>
                </c:pt>
                <c:pt idx="35">
                  <c:v>59.624042517676429</c:v>
                </c:pt>
                <c:pt idx="36">
                  <c:v>63.393220513883151</c:v>
                </c:pt>
                <c:pt idx="37">
                  <c:v>23.796885847380697</c:v>
                </c:pt>
                <c:pt idx="38">
                  <c:v>296.4662893379861</c:v>
                </c:pt>
                <c:pt idx="39">
                  <c:v>45.477301239981145</c:v>
                </c:pt>
                <c:pt idx="40">
                  <c:v>110.14054068074168</c:v>
                </c:pt>
                <c:pt idx="41">
                  <c:v>19.70458233636975</c:v>
                </c:pt>
                <c:pt idx="42">
                  <c:v>30.235229462209936</c:v>
                </c:pt>
                <c:pt idx="43">
                  <c:v>70.939806529751905</c:v>
                </c:pt>
                <c:pt idx="44">
                  <c:v>28.683351968574311</c:v>
                </c:pt>
                <c:pt idx="45">
                  <c:v>55.939473332937403</c:v>
                </c:pt>
                <c:pt idx="46">
                  <c:v>64.042986580794391</c:v>
                </c:pt>
              </c:numCache>
            </c:numRef>
          </c:xVal>
          <c:yVal>
            <c:numRef>
              <c:f>Scatter_plot!$L$2:$L$48</c:f>
              <c:numCache>
                <c:formatCode>_(* #,##0.00_);_(* \(#,##0.00\);_(* "-"??_);_(@_)</c:formatCode>
                <c:ptCount val="47"/>
                <c:pt idx="0">
                  <c:v>22.857935830441416</c:v>
                </c:pt>
                <c:pt idx="1">
                  <c:v>21.176735134619424</c:v>
                </c:pt>
                <c:pt idx="2">
                  <c:v>8.1976856316297013</c:v>
                </c:pt>
                <c:pt idx="3">
                  <c:v>16.399999999999999</c:v>
                </c:pt>
                <c:pt idx="4">
                  <c:v>6.4928625093914354</c:v>
                </c:pt>
                <c:pt idx="5">
                  <c:v>5.7962394193302087</c:v>
                </c:pt>
                <c:pt idx="6">
                  <c:v>22.857935830441416</c:v>
                </c:pt>
                <c:pt idx="7">
                  <c:v>5.8473988439306357</c:v>
                </c:pt>
                <c:pt idx="8">
                  <c:v>44.159429280397021</c:v>
                </c:pt>
                <c:pt idx="9">
                  <c:v>1.5058928414930488</c:v>
                </c:pt>
                <c:pt idx="10">
                  <c:v>28.47427435177109</c:v>
                </c:pt>
                <c:pt idx="11">
                  <c:v>55.125</c:v>
                </c:pt>
                <c:pt idx="12">
                  <c:v>20.263906002583152</c:v>
                </c:pt>
                <c:pt idx="13">
                  <c:v>4.5412705268813731</c:v>
                </c:pt>
                <c:pt idx="14">
                  <c:v>0.95412514516632685</c:v>
                </c:pt>
                <c:pt idx="15">
                  <c:v>13.264544118808269</c:v>
                </c:pt>
                <c:pt idx="16">
                  <c:v>37.056249999999999</c:v>
                </c:pt>
                <c:pt idx="17">
                  <c:v>16.468657033574161</c:v>
                </c:pt>
                <c:pt idx="18">
                  <c:v>42.673685800866124</c:v>
                </c:pt>
                <c:pt idx="19">
                  <c:v>10.645443106523956</c:v>
                </c:pt>
                <c:pt idx="20">
                  <c:v>5.6456748687645337</c:v>
                </c:pt>
                <c:pt idx="21">
                  <c:v>3.096666017972511</c:v>
                </c:pt>
                <c:pt idx="22">
                  <c:v>22.857935830441416</c:v>
                </c:pt>
                <c:pt idx="23">
                  <c:v>75.215601965601962</c:v>
                </c:pt>
                <c:pt idx="24">
                  <c:v>4.6148174783924176</c:v>
                </c:pt>
                <c:pt idx="25">
                  <c:v>58.454296612863345</c:v>
                </c:pt>
                <c:pt idx="26">
                  <c:v>3.4278711484593836</c:v>
                </c:pt>
                <c:pt idx="27">
                  <c:v>21.348430688993169</c:v>
                </c:pt>
                <c:pt idx="28">
                  <c:v>22.857935830441416</c:v>
                </c:pt>
                <c:pt idx="29">
                  <c:v>68.81446632132112</c:v>
                </c:pt>
                <c:pt idx="30">
                  <c:v>10.597255752844539</c:v>
                </c:pt>
                <c:pt idx="31">
                  <c:v>16.359542530378842</c:v>
                </c:pt>
                <c:pt idx="32">
                  <c:v>25.415291442768822</c:v>
                </c:pt>
                <c:pt idx="33">
                  <c:v>7.8083990631299782</c:v>
                </c:pt>
                <c:pt idx="34">
                  <c:v>17.866783114992721</c:v>
                </c:pt>
                <c:pt idx="35">
                  <c:v>41.391365435291313</c:v>
                </c:pt>
                <c:pt idx="36">
                  <c:v>22.857935830441416</c:v>
                </c:pt>
                <c:pt idx="37">
                  <c:v>7.1829353403866092</c:v>
                </c:pt>
                <c:pt idx="38">
                  <c:v>42.1</c:v>
                </c:pt>
                <c:pt idx="39">
                  <c:v>8.5050709939148081</c:v>
                </c:pt>
                <c:pt idx="40">
                  <c:v>107.24524316516025</c:v>
                </c:pt>
                <c:pt idx="41">
                  <c:v>20.688796680497926</c:v>
                </c:pt>
                <c:pt idx="42">
                  <c:v>10.599369085173501</c:v>
                </c:pt>
                <c:pt idx="43">
                  <c:v>5.2036992954099146</c:v>
                </c:pt>
                <c:pt idx="44">
                  <c:v>12.502461538461539</c:v>
                </c:pt>
                <c:pt idx="45">
                  <c:v>10.51861504095309</c:v>
                </c:pt>
                <c:pt idx="46">
                  <c:v>36.387251549841309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Scatter_plot!$H$2:$H$48</c15:f>
                <c15:dlblRangeCache>
                  <c:ptCount val="47"/>
                  <c:pt idx="0">
                    <c:v>DZA</c:v>
                  </c:pt>
                  <c:pt idx="1">
                    <c:v>AGO</c:v>
                  </c:pt>
                  <c:pt idx="2">
                    <c:v>BEN</c:v>
                  </c:pt>
                  <c:pt idx="3">
                    <c:v>BWA</c:v>
                  </c:pt>
                  <c:pt idx="4">
                    <c:v>BFA</c:v>
                  </c:pt>
                  <c:pt idx="5">
                    <c:v>BDI</c:v>
                  </c:pt>
                  <c:pt idx="6">
                    <c:v>CPV</c:v>
                  </c:pt>
                  <c:pt idx="7">
                    <c:v>CMR</c:v>
                  </c:pt>
                  <c:pt idx="8">
                    <c:v>CAF</c:v>
                  </c:pt>
                  <c:pt idx="9">
                    <c:v>TCD</c:v>
                  </c:pt>
                  <c:pt idx="10">
                    <c:v>COM</c:v>
                  </c:pt>
                  <c:pt idx="11">
                    <c:v>COG</c:v>
                  </c:pt>
                  <c:pt idx="12">
                    <c:v>CIV</c:v>
                  </c:pt>
                  <c:pt idx="13">
                    <c:v>COD</c:v>
                  </c:pt>
                  <c:pt idx="14">
                    <c:v>GNQ</c:v>
                  </c:pt>
                  <c:pt idx="15">
                    <c:v>ERI</c:v>
                  </c:pt>
                  <c:pt idx="16">
                    <c:v>SWZ</c:v>
                  </c:pt>
                  <c:pt idx="17">
                    <c:v>ETH</c:v>
                  </c:pt>
                  <c:pt idx="18">
                    <c:v>GAB</c:v>
                  </c:pt>
                  <c:pt idx="19">
                    <c:v>GMB</c:v>
                  </c:pt>
                  <c:pt idx="20">
                    <c:v>GHA</c:v>
                  </c:pt>
                  <c:pt idx="21">
                    <c:v>GIN</c:v>
                  </c:pt>
                  <c:pt idx="22">
                    <c:v>GNB</c:v>
                  </c:pt>
                  <c:pt idx="23">
                    <c:v>KEN</c:v>
                  </c:pt>
                  <c:pt idx="24">
                    <c:v>LSO</c:v>
                  </c:pt>
                  <c:pt idx="25">
                    <c:v>LBR</c:v>
                  </c:pt>
                  <c:pt idx="26">
                    <c:v>MDG</c:v>
                  </c:pt>
                  <c:pt idx="27">
                    <c:v>MWI</c:v>
                  </c:pt>
                  <c:pt idx="28">
                    <c:v>MLI</c:v>
                  </c:pt>
                  <c:pt idx="29">
                    <c:v>MRT</c:v>
                  </c:pt>
                  <c:pt idx="30">
                    <c:v>MUS</c:v>
                  </c:pt>
                  <c:pt idx="31">
                    <c:v>MOZ</c:v>
                  </c:pt>
                  <c:pt idx="32">
                    <c:v>NAM</c:v>
                  </c:pt>
                  <c:pt idx="33">
                    <c:v>NER</c:v>
                  </c:pt>
                  <c:pt idx="34">
                    <c:v>NGA</c:v>
                  </c:pt>
                  <c:pt idx="35">
                    <c:v>RWA</c:v>
                  </c:pt>
                  <c:pt idx="36">
                    <c:v>STP</c:v>
                  </c:pt>
                  <c:pt idx="37">
                    <c:v>SEN</c:v>
                  </c:pt>
                  <c:pt idx="38">
                    <c:v>SYC</c:v>
                  </c:pt>
                  <c:pt idx="39">
                    <c:v>SLE</c:v>
                  </c:pt>
                  <c:pt idx="40">
                    <c:v>ZAF</c:v>
                  </c:pt>
                  <c:pt idx="41">
                    <c:v>SSD</c:v>
                  </c:pt>
                  <c:pt idx="42">
                    <c:v>TGO</c:v>
                  </c:pt>
                  <c:pt idx="43">
                    <c:v>UGA</c:v>
                  </c:pt>
                  <c:pt idx="44">
                    <c:v>TZA</c:v>
                  </c:pt>
                  <c:pt idx="45">
                    <c:v>ZMB</c:v>
                  </c:pt>
                  <c:pt idx="46">
                    <c:v>ZWE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F-83BC-498F-88D9-4A57D04A3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648912"/>
        <c:axId val="1422631632"/>
      </c:scatterChart>
      <c:valAx>
        <c:axId val="1422648912"/>
        <c:scaling>
          <c:orientation val="minMax"/>
          <c:max val="1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Density per 10,000 (2022)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22631632"/>
        <c:crossesAt val="1"/>
        <c:crossBetween val="midCat"/>
        <c:majorUnit val="25"/>
      </c:valAx>
      <c:valAx>
        <c:axId val="1422631632"/>
        <c:scaling>
          <c:orientation val="minMax"/>
          <c:max val="1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stock to graduates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22648912"/>
        <c:crossesAt val="4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'Density vs graduate Stock Graph'!$N$1</c:f>
              <c:strCache>
                <c:ptCount val="1"/>
                <c:pt idx="0">
                  <c:v>Ratio stock to graduates_log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647771962907929E-2"/>
                  <c:y val="1.9116576083014928E-2"/>
                </c:manualLayout>
              </c:layout>
              <c:tx>
                <c:rich>
                  <a:bodyPr/>
                  <a:lstStyle/>
                  <a:p>
                    <a:fld id="{38F31AB3-D50A-4CFD-81A7-DEFEAEE53F93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028-40A8-B985-314906A18166}"/>
                </c:ext>
              </c:extLst>
            </c:dLbl>
            <c:dLbl>
              <c:idx val="1"/>
              <c:layout>
                <c:manualLayout>
                  <c:x val="-4.493926838985824E-2"/>
                  <c:y val="-2.0854446636016287E-2"/>
                </c:manualLayout>
              </c:layout>
              <c:tx>
                <c:rich>
                  <a:bodyPr/>
                  <a:lstStyle/>
                  <a:p>
                    <a:fld id="{B3911377-AE78-4353-B34C-2A35F659546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028-40A8-B985-314906A18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CE3EB7-C063-44A3-B0F0-60AA5E13402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028-40A8-B985-314906A181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918CFB-33E2-44C1-AD1E-3FD2FCD2BF5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028-40A8-B985-314906A181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482A9E0-030D-494B-8E89-BF7F1AE98E4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028-40A8-B985-314906A18166}"/>
                </c:ext>
              </c:extLst>
            </c:dLbl>
            <c:dLbl>
              <c:idx val="5"/>
              <c:layout>
                <c:manualLayout>
                  <c:x val="-8.5020237494326401E-3"/>
                  <c:y val="1.0427223318008143E-2"/>
                </c:manualLayout>
              </c:layout>
              <c:tx>
                <c:rich>
                  <a:bodyPr/>
                  <a:lstStyle/>
                  <a:p>
                    <a:fld id="{E0965B38-5B26-4122-A857-C0346BF4B1F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028-40A8-B985-314906A18166}"/>
                </c:ext>
              </c:extLst>
            </c:dLbl>
            <c:dLbl>
              <c:idx val="6"/>
              <c:layout>
                <c:manualLayout>
                  <c:x val="1.2145748213475201E-3"/>
                  <c:y val="5.2136116590040076E-3"/>
                </c:manualLayout>
              </c:layout>
              <c:tx>
                <c:rich>
                  <a:bodyPr/>
                  <a:lstStyle/>
                  <a:p>
                    <a:fld id="{B41DBEC6-2A61-4DFF-9F9F-4E3750EDD88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028-40A8-B985-314906A181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EFA74E-9560-4F32-A304-90222B0FB1F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028-40A8-B985-314906A181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1BDC6F1-7678-4C07-8E95-819DCA40350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028-40A8-B985-314906A181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6441C7-3DA9-40E8-ADCF-8D96CD1B028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028-40A8-B985-314906A18166}"/>
                </c:ext>
              </c:extLst>
            </c:dLbl>
            <c:dLbl>
              <c:idx val="10"/>
              <c:layout>
                <c:manualLayout>
                  <c:x val="-3.7651819461773213E-2"/>
                  <c:y val="-1.5640834977012213E-2"/>
                </c:manualLayout>
              </c:layout>
              <c:tx>
                <c:rich>
                  <a:bodyPr/>
                  <a:lstStyle/>
                  <a:p>
                    <a:fld id="{AA2E1A7C-F1E3-4937-A6F0-D0D7D3F55FD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028-40A8-B985-314906A181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54E711D-967E-4B40-B0AE-AE42829737E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028-40A8-B985-314906A181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7797EE3-0DEF-423F-BD4B-316E96B2DC0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028-40A8-B985-314906A181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7D82C8A-BFD2-4E85-98F1-D466B617B77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028-40A8-B985-314906A181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8C5867E-1C02-48EB-ACB1-08D6148552D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028-40A8-B985-314906A18166}"/>
                </c:ext>
              </c:extLst>
            </c:dLbl>
            <c:dLbl>
              <c:idx val="15"/>
              <c:layout>
                <c:manualLayout>
                  <c:x val="-3.1578945355035519E-2"/>
                  <c:y val="3.4757411060027145E-3"/>
                </c:manualLayout>
              </c:layout>
              <c:tx>
                <c:rich>
                  <a:bodyPr/>
                  <a:lstStyle/>
                  <a:p>
                    <a:fld id="{C3D70F64-14B3-4B39-98BD-5FE23E23B44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028-40A8-B985-314906A181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F73D40F-B9FC-4AC2-AC09-30B2D35B543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028-40A8-B985-314906A18166}"/>
                </c:ext>
              </c:extLst>
            </c:dLbl>
            <c:dLbl>
              <c:idx val="17"/>
              <c:layout>
                <c:manualLayout>
                  <c:x val="-1.9433197141560322E-2"/>
                  <c:y val="1.0427223318008143E-2"/>
                </c:manualLayout>
              </c:layout>
              <c:tx>
                <c:rich>
                  <a:bodyPr/>
                  <a:lstStyle/>
                  <a:p>
                    <a:fld id="{C68D3E4A-050C-4411-A0A5-5076B7E5A37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028-40A8-B985-314906A18166}"/>
                </c:ext>
              </c:extLst>
            </c:dLbl>
            <c:dLbl>
              <c:idx val="18"/>
              <c:layout>
                <c:manualLayout>
                  <c:x val="-4.1295543925815685E-2"/>
                  <c:y val="-1.2165093871009532E-2"/>
                </c:manualLayout>
              </c:layout>
              <c:tx>
                <c:rich>
                  <a:bodyPr/>
                  <a:lstStyle/>
                  <a:p>
                    <a:fld id="{71C6331D-E211-4444-90A2-9B942630E33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028-40A8-B985-314906A18166}"/>
                </c:ext>
              </c:extLst>
            </c:dLbl>
            <c:dLbl>
              <c:idx val="19"/>
              <c:layout>
                <c:manualLayout>
                  <c:x val="-2.9149795712340481E-2"/>
                  <c:y val="2.259231718901758E-2"/>
                </c:manualLayout>
              </c:layout>
              <c:tx>
                <c:rich>
                  <a:bodyPr/>
                  <a:lstStyle/>
                  <a:p>
                    <a:fld id="{EED795F9-9209-428C-8A4B-404BF148C6D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028-40A8-B985-314906A1816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A27957-44E1-48C8-8850-C8979A4D863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028-40A8-B985-314906A1816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3813190-6B60-41CA-97F1-46D3CA75A33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028-40A8-B985-314906A181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0D3CC25-62BF-4488-A035-7FCB354C58E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028-40A8-B985-314906A1816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7C0876-6793-4C40-8EE8-0F68C42E871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028-40A8-B985-314906A181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363164-BCB0-4D81-8458-67D6545D687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028-40A8-B985-314906A1816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DAE0600-E008-42DF-AF8A-A48712AC517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028-40A8-B985-314906A1816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4FD5CC7-835B-4246-B7E1-88337F35ECC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028-40A8-B985-314906A18166}"/>
                </c:ext>
              </c:extLst>
            </c:dLbl>
            <c:dLbl>
              <c:idx val="27"/>
              <c:layout>
                <c:manualLayout>
                  <c:x val="-4.8582992853900804E-3"/>
                  <c:y val="-2.0854446636016287E-2"/>
                </c:manualLayout>
              </c:layout>
              <c:tx>
                <c:rich>
                  <a:bodyPr/>
                  <a:lstStyle/>
                  <a:p>
                    <a:fld id="{B026BB5C-AA19-4626-A662-7B86F69F885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028-40A8-B985-314906A18166}"/>
                </c:ext>
              </c:extLst>
            </c:dLbl>
            <c:dLbl>
              <c:idx val="28"/>
              <c:layout>
                <c:manualLayout>
                  <c:x val="-4.1295543925815685E-2"/>
                  <c:y val="-8.6893527650068504E-3"/>
                </c:manualLayout>
              </c:layout>
              <c:tx>
                <c:rich>
                  <a:bodyPr/>
                  <a:lstStyle/>
                  <a:p>
                    <a:fld id="{A44FC2BA-D07B-475D-B1E3-96533FF1A54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9028-40A8-B985-314906A1816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2ED48F4-D30B-463A-98A3-2F4B6D156C0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028-40A8-B985-314906A1816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E019743-695B-4569-BEA3-690ED995616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028-40A8-B985-314906A18166}"/>
                </c:ext>
              </c:extLst>
            </c:dLbl>
            <c:dLbl>
              <c:idx val="31"/>
              <c:layout>
                <c:manualLayout>
                  <c:x val="-1.093117339212768E-2"/>
                  <c:y val="2.0854446636016287E-2"/>
                </c:manualLayout>
              </c:layout>
              <c:tx>
                <c:rich>
                  <a:bodyPr/>
                  <a:lstStyle/>
                  <a:p>
                    <a:fld id="{98CF7621-93F5-4A41-A84C-DC6F39DE873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028-40A8-B985-314906A18166}"/>
                </c:ext>
              </c:extLst>
            </c:dLbl>
            <c:dLbl>
              <c:idx val="32"/>
              <c:layout>
                <c:manualLayout>
                  <c:x val="-2.4291496426950401E-2"/>
                  <c:y val="-1.9116576083014928E-2"/>
                </c:manualLayout>
              </c:layout>
              <c:tx>
                <c:rich>
                  <a:bodyPr/>
                  <a:lstStyle/>
                  <a:p>
                    <a:fld id="{90658873-669D-41CA-9840-ACB81011A67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028-40A8-B985-314906A1816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B4723FE-8B5C-417E-AF32-57427759693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028-40A8-B985-314906A18166}"/>
                </c:ext>
              </c:extLst>
            </c:dLbl>
            <c:dLbl>
              <c:idx val="34"/>
              <c:layout>
                <c:manualLayout>
                  <c:x val="-2.0647771962907929E-2"/>
                  <c:y val="-8.6893527650067862E-3"/>
                </c:manualLayout>
              </c:layout>
              <c:tx>
                <c:rich>
                  <a:bodyPr/>
                  <a:lstStyle/>
                  <a:p>
                    <a:fld id="{446B2E3E-3A19-468D-A4F7-AED188AA780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028-40A8-B985-314906A18166}"/>
                </c:ext>
              </c:extLst>
            </c:dLbl>
            <c:dLbl>
              <c:idx val="35"/>
              <c:layout>
                <c:manualLayout>
                  <c:x val="-4.2510118747163206E-2"/>
                  <c:y val="1.7378705530013572E-2"/>
                </c:manualLayout>
              </c:layout>
              <c:tx>
                <c:rich>
                  <a:bodyPr/>
                  <a:lstStyle/>
                  <a:p>
                    <a:fld id="{629AF520-E9D5-4597-9256-9ABF26CF461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9028-40A8-B985-314906A1816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8E67E6FE-898E-4F25-97A9-56771BF6479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028-40A8-B985-314906A1816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25D96A9-FC2D-41FC-9B79-A48D6F56B89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028-40A8-B985-314906A1816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474E2925-F847-45C5-99AD-C21773711AE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028-40A8-B985-314906A1816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905C384-4510-4ECE-9FAE-9ABACF090DB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028-40A8-B985-314906A1816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EC2E55CE-83E4-4826-BD3B-DFF1DF22517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028-40A8-B985-314906A18166}"/>
                </c:ext>
              </c:extLst>
            </c:dLbl>
            <c:dLbl>
              <c:idx val="41"/>
              <c:layout>
                <c:manualLayout>
                  <c:x val="-3.8866394283120734E-2"/>
                  <c:y val="1.2165093871009501E-2"/>
                </c:manualLayout>
              </c:layout>
              <c:tx>
                <c:rich>
                  <a:bodyPr/>
                  <a:lstStyle/>
                  <a:p>
                    <a:fld id="{4BA63ABE-A88D-439E-87BD-3AE37B02DCE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9028-40A8-B985-314906A18166}"/>
                </c:ext>
              </c:extLst>
            </c:dLbl>
            <c:dLbl>
              <c:idx val="42"/>
              <c:layout>
                <c:manualLayout>
                  <c:x val="-4.9797567675248414E-2"/>
                  <c:y val="1.7378705530013572E-3"/>
                </c:manualLayout>
              </c:layout>
              <c:tx>
                <c:rich>
                  <a:bodyPr/>
                  <a:lstStyle/>
                  <a:p>
                    <a:fld id="{552CA72B-CFDD-4086-A182-F7168A8450AA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028-40A8-B985-314906A18166}"/>
                </c:ext>
              </c:extLst>
            </c:dLbl>
            <c:dLbl>
              <c:idx val="43"/>
              <c:layout>
                <c:manualLayout>
                  <c:x val="-1.5789472677517759E-2"/>
                  <c:y val="2.0854446636016159E-2"/>
                </c:manualLayout>
              </c:layout>
              <c:tx>
                <c:rich>
                  <a:bodyPr/>
                  <a:lstStyle/>
                  <a:p>
                    <a:fld id="{99FD870D-DEA1-40E2-A794-E249A04695D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9028-40A8-B985-314906A18166}"/>
                </c:ext>
              </c:extLst>
            </c:dLbl>
            <c:dLbl>
              <c:idx val="44"/>
              <c:layout>
                <c:manualLayout>
                  <c:x val="-4.0080969104468164E-2"/>
                  <c:y val="-1.2165093871009501E-2"/>
                </c:manualLayout>
              </c:layout>
              <c:tx>
                <c:rich>
                  <a:bodyPr/>
                  <a:lstStyle/>
                  <a:p>
                    <a:fld id="{0B443BCF-42E7-4FEA-B708-8288338A167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9028-40A8-B985-314906A1816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B75F75D-2806-47C6-A85D-BEE9478A97E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028-40A8-B985-314906A18166}"/>
                </c:ext>
              </c:extLst>
            </c:dLbl>
            <c:dLbl>
              <c:idx val="46"/>
              <c:layout>
                <c:manualLayout>
                  <c:x val="-9.7165985707801609E-3"/>
                  <c:y val="1.9116576083014928E-2"/>
                </c:manualLayout>
              </c:layout>
              <c:tx>
                <c:rich>
                  <a:bodyPr/>
                  <a:lstStyle/>
                  <a:p>
                    <a:fld id="{71B86D4B-0E9F-45F8-A235-4B244744A17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9028-40A8-B985-314906A18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'Density vs graduate Stock Graph'!$M$2:$M$48</c:f>
              <c:numCache>
                <c:formatCode>0.00</c:formatCode>
                <c:ptCount val="47"/>
                <c:pt idx="0">
                  <c:v>1.9914855492738153</c:v>
                </c:pt>
                <c:pt idx="1">
                  <c:v>1.5849680131637138</c:v>
                </c:pt>
                <c:pt idx="2">
                  <c:v>1.2725290593741871</c:v>
                </c:pt>
                <c:pt idx="3">
                  <c:v>1.8332481427025307</c:v>
                </c:pt>
                <c:pt idx="4">
                  <c:v>1.2260150321442151</c:v>
                </c:pt>
                <c:pt idx="5">
                  <c:v>1.6126391092362451</c:v>
                </c:pt>
                <c:pt idx="6">
                  <c:v>2.0185469508558489</c:v>
                </c:pt>
                <c:pt idx="7">
                  <c:v>1.0540935047016506</c:v>
                </c:pt>
                <c:pt idx="8">
                  <c:v>1.0090568387860535</c:v>
                </c:pt>
                <c:pt idx="9">
                  <c:v>1.3562357199232156</c:v>
                </c:pt>
                <c:pt idx="10">
                  <c:v>1.4960129914001041</c:v>
                </c:pt>
                <c:pt idx="11">
                  <c:v>1.3081377299909223</c:v>
                </c:pt>
                <c:pt idx="12">
                  <c:v>1.4136308716498971</c:v>
                </c:pt>
                <c:pt idx="13">
                  <c:v>1.2010705164782889</c:v>
                </c:pt>
                <c:pt idx="14">
                  <c:v>1.4460800523018218</c:v>
                </c:pt>
                <c:pt idx="15">
                  <c:v>1.5810156002215963</c:v>
                </c:pt>
                <c:pt idx="16">
                  <c:v>2.1467426278474209</c:v>
                </c:pt>
                <c:pt idx="17">
                  <c:v>1.5292966528725109</c:v>
                </c:pt>
                <c:pt idx="18">
                  <c:v>1.7567285223174451</c:v>
                </c:pt>
                <c:pt idx="19">
                  <c:v>1.5336588014271741</c:v>
                </c:pt>
                <c:pt idx="20">
                  <c:v>1.8490563114700485</c:v>
                </c:pt>
                <c:pt idx="21">
                  <c:v>1.250750557704271</c:v>
                </c:pt>
                <c:pt idx="22">
                  <c:v>1.6398565259069067</c:v>
                </c:pt>
                <c:pt idx="23">
                  <c:v>1.7223193226922009</c:v>
                </c:pt>
                <c:pt idx="24">
                  <c:v>2.099272128080174</c:v>
                </c:pt>
                <c:pt idx="25">
                  <c:v>1.7559034439790238</c:v>
                </c:pt>
                <c:pt idx="26">
                  <c:v>1.3418057006692128</c:v>
                </c:pt>
                <c:pt idx="27">
                  <c:v>1.2771800971353457</c:v>
                </c:pt>
                <c:pt idx="28">
                  <c:v>1.2290888276467695</c:v>
                </c:pt>
                <c:pt idx="29">
                  <c:v>1.6432437242179894</c:v>
                </c:pt>
                <c:pt idx="30">
                  <c:v>2.0689381612784907</c:v>
                </c:pt>
                <c:pt idx="31">
                  <c:v>1.7372603145553582</c:v>
                </c:pt>
                <c:pt idx="32">
                  <c:v>2.0226434573829182</c:v>
                </c:pt>
                <c:pt idx="33">
                  <c:v>0.69511800597391782</c:v>
                </c:pt>
                <c:pt idx="34">
                  <c:v>1.5632909788838778</c:v>
                </c:pt>
                <c:pt idx="35">
                  <c:v>1.7754214179160368</c:v>
                </c:pt>
                <c:pt idx="36">
                  <c:v>1.8020428154394388</c:v>
                </c:pt>
                <c:pt idx="37">
                  <c:v>1.3765201273174978</c:v>
                </c:pt>
                <c:pt idx="38">
                  <c:v>2.4719753176435297</c:v>
                </c:pt>
                <c:pt idx="39">
                  <c:v>1.657794684437857</c:v>
                </c:pt>
                <c:pt idx="40">
                  <c:v>2.0419472041053712</c:v>
                </c:pt>
                <c:pt idx="41">
                  <c:v>1.2945672338764618</c:v>
                </c:pt>
                <c:pt idx="42">
                  <c:v>1.4805132689166067</c:v>
                </c:pt>
                <c:pt idx="43">
                  <c:v>1.8508899997099904</c:v>
                </c:pt>
                <c:pt idx="44">
                  <c:v>1.4576299021000942</c:v>
                </c:pt>
                <c:pt idx="45">
                  <c:v>1.7477183731961123</c:v>
                </c:pt>
                <c:pt idx="46">
                  <c:v>1.8064715766094552</c:v>
                </c:pt>
              </c:numCache>
            </c:numRef>
          </c:xVal>
          <c:yVal>
            <c:numRef>
              <c:f>'Density vs graduate Stock Graph'!$N$2:$N$48</c:f>
              <c:numCache>
                <c:formatCode>0.00</c:formatCode>
                <c:ptCount val="47"/>
                <c:pt idx="0">
                  <c:v>1.3590370091771649</c:v>
                </c:pt>
                <c:pt idx="1">
                  <c:v>1.3258590047651035</c:v>
                </c:pt>
                <c:pt idx="2">
                  <c:v>0.91369125978844856</c:v>
                </c:pt>
                <c:pt idx="3">
                  <c:v>1.2148438480476977</c:v>
                </c:pt>
                <c:pt idx="4">
                  <c:v>0.81243620650053627</c:v>
                </c:pt>
                <c:pt idx="5">
                  <c:v>0.76314631612737616</c:v>
                </c:pt>
                <c:pt idx="6">
                  <c:v>1.3590370091771649</c:v>
                </c:pt>
                <c:pt idx="7">
                  <c:v>0.7669627175435717</c:v>
                </c:pt>
                <c:pt idx="8">
                  <c:v>1.6450234519046578</c:v>
                </c:pt>
                <c:pt idx="9">
                  <c:v>0.17779406880755011</c:v>
                </c:pt>
                <c:pt idx="10">
                  <c:v>1.4544526651817888</c:v>
                </c:pt>
                <c:pt idx="11">
                  <c:v>1.7413486024758948</c:v>
                </c:pt>
                <c:pt idx="12">
                  <c:v>1.3067231622417232</c:v>
                </c:pt>
                <c:pt idx="13">
                  <c:v>0.65717737391864628</c:v>
                </c:pt>
                <c:pt idx="14">
                  <c:v>-2.0394658534172067E-2</c:v>
                </c:pt>
                <c:pt idx="15">
                  <c:v>1.1226923285672605</c:v>
                </c:pt>
                <c:pt idx="16">
                  <c:v>1.5688614676890389</c:v>
                </c:pt>
                <c:pt idx="17">
                  <c:v>1.2166581852846132</c:v>
                </c:pt>
                <c:pt idx="18">
                  <c:v>1.6301601552531939</c:v>
                </c:pt>
                <c:pt idx="19">
                  <c:v>1.027163743248569</c:v>
                </c:pt>
                <c:pt idx="20">
                  <c:v>0.7517158637564777</c:v>
                </c:pt>
                <c:pt idx="21">
                  <c:v>0.49089436829734151</c:v>
                </c:pt>
                <c:pt idx="22">
                  <c:v>1.3590370091771649</c:v>
                </c:pt>
                <c:pt idx="23">
                  <c:v>1.8763079356017813</c:v>
                </c:pt>
                <c:pt idx="24">
                  <c:v>0.6641545288300662</c:v>
                </c:pt>
                <c:pt idx="25">
                  <c:v>1.7668164389653847</c:v>
                </c:pt>
                <c:pt idx="26">
                  <c:v>0.53502448869900099</c:v>
                </c:pt>
                <c:pt idx="27">
                  <c:v>1.3293659557938311</c:v>
                </c:pt>
                <c:pt idx="28">
                  <c:v>1.3590370091771649</c:v>
                </c:pt>
                <c:pt idx="29">
                  <c:v>1.837679746129431</c:v>
                </c:pt>
                <c:pt idx="30">
                  <c:v>1.0251934156706199</c:v>
                </c:pt>
                <c:pt idx="31">
                  <c:v>1.2137711551232062</c:v>
                </c:pt>
                <c:pt idx="32">
                  <c:v>1.4050950942181666</c:v>
                </c:pt>
                <c:pt idx="33">
                  <c:v>0.89256200067381375</c:v>
                </c:pt>
                <c:pt idx="34">
                  <c:v>1.2520463655347098</c:v>
                </c:pt>
                <c:pt idx="35">
                  <c:v>1.6169097533210601</c:v>
                </c:pt>
                <c:pt idx="36">
                  <c:v>1.3590370091771649</c:v>
                </c:pt>
                <c:pt idx="37">
                  <c:v>0.85630195700274225</c:v>
                </c:pt>
                <c:pt idx="38">
                  <c:v>1.6242820958356683</c:v>
                </c:pt>
                <c:pt idx="39">
                  <c:v>0.92967794312633822</c:v>
                </c:pt>
                <c:pt idx="40">
                  <c:v>2.0303780382652743</c:v>
                </c:pt>
                <c:pt idx="41">
                  <c:v>1.3157352315928863</c:v>
                </c:pt>
                <c:pt idx="42">
                  <c:v>1.0252800151720924</c:v>
                </c:pt>
                <c:pt idx="43">
                  <c:v>0.71631219217137176</c:v>
                </c:pt>
                <c:pt idx="44">
                  <c:v>1.0969955271941416</c:v>
                </c:pt>
                <c:pt idx="45">
                  <c:v>1.0219585611420867</c:v>
                </c:pt>
                <c:pt idx="46">
                  <c:v>1.560949253118078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'Density vs graduate Stock Graph'!$H$2:$H$48</c15:f>
                <c15:dlblRangeCache>
                  <c:ptCount val="47"/>
                  <c:pt idx="0">
                    <c:v>DZA</c:v>
                  </c:pt>
                  <c:pt idx="1">
                    <c:v>AGO</c:v>
                  </c:pt>
                  <c:pt idx="2">
                    <c:v>BEN</c:v>
                  </c:pt>
                  <c:pt idx="3">
                    <c:v>BWA</c:v>
                  </c:pt>
                  <c:pt idx="4">
                    <c:v>BFA</c:v>
                  </c:pt>
                  <c:pt idx="5">
                    <c:v>BDI</c:v>
                  </c:pt>
                  <c:pt idx="6">
                    <c:v>CPV</c:v>
                  </c:pt>
                  <c:pt idx="7">
                    <c:v>CMR</c:v>
                  </c:pt>
                  <c:pt idx="8">
                    <c:v>CAF</c:v>
                  </c:pt>
                  <c:pt idx="9">
                    <c:v>TCD</c:v>
                  </c:pt>
                  <c:pt idx="10">
                    <c:v>COM</c:v>
                  </c:pt>
                  <c:pt idx="11">
                    <c:v>COG</c:v>
                  </c:pt>
                  <c:pt idx="12">
                    <c:v>CIV</c:v>
                  </c:pt>
                  <c:pt idx="13">
                    <c:v>COD</c:v>
                  </c:pt>
                  <c:pt idx="14">
                    <c:v>GNQ</c:v>
                  </c:pt>
                  <c:pt idx="15">
                    <c:v>ERI</c:v>
                  </c:pt>
                  <c:pt idx="16">
                    <c:v>SWZ</c:v>
                  </c:pt>
                  <c:pt idx="17">
                    <c:v>ETH</c:v>
                  </c:pt>
                  <c:pt idx="18">
                    <c:v>GAB</c:v>
                  </c:pt>
                  <c:pt idx="19">
                    <c:v>GMB</c:v>
                  </c:pt>
                  <c:pt idx="20">
                    <c:v>GHA</c:v>
                  </c:pt>
                  <c:pt idx="21">
                    <c:v>GIN</c:v>
                  </c:pt>
                  <c:pt idx="22">
                    <c:v>GNB</c:v>
                  </c:pt>
                  <c:pt idx="23">
                    <c:v>KEN</c:v>
                  </c:pt>
                  <c:pt idx="24">
                    <c:v>LSO</c:v>
                  </c:pt>
                  <c:pt idx="25">
                    <c:v>LBR</c:v>
                  </c:pt>
                  <c:pt idx="26">
                    <c:v>MDG</c:v>
                  </c:pt>
                  <c:pt idx="27">
                    <c:v>MWI</c:v>
                  </c:pt>
                  <c:pt idx="28">
                    <c:v>MLI</c:v>
                  </c:pt>
                  <c:pt idx="29">
                    <c:v>MRT</c:v>
                  </c:pt>
                  <c:pt idx="30">
                    <c:v>MUS</c:v>
                  </c:pt>
                  <c:pt idx="31">
                    <c:v>MOZ</c:v>
                  </c:pt>
                  <c:pt idx="32">
                    <c:v>NAM</c:v>
                  </c:pt>
                  <c:pt idx="33">
                    <c:v>NER</c:v>
                  </c:pt>
                  <c:pt idx="34">
                    <c:v>NGA</c:v>
                  </c:pt>
                  <c:pt idx="35">
                    <c:v>RWA</c:v>
                  </c:pt>
                  <c:pt idx="36">
                    <c:v>STP</c:v>
                  </c:pt>
                  <c:pt idx="37">
                    <c:v>SEN</c:v>
                  </c:pt>
                  <c:pt idx="38">
                    <c:v>SYC</c:v>
                  </c:pt>
                  <c:pt idx="39">
                    <c:v>SLE</c:v>
                  </c:pt>
                  <c:pt idx="40">
                    <c:v>ZAF</c:v>
                  </c:pt>
                  <c:pt idx="41">
                    <c:v>SSD</c:v>
                  </c:pt>
                  <c:pt idx="42">
                    <c:v>TGO</c:v>
                  </c:pt>
                  <c:pt idx="43">
                    <c:v>UGA</c:v>
                  </c:pt>
                  <c:pt idx="44">
                    <c:v>TZA</c:v>
                  </c:pt>
                  <c:pt idx="45">
                    <c:v>ZMB</c:v>
                  </c:pt>
                  <c:pt idx="46">
                    <c:v>ZWE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F-9028-40A8-B985-314906A18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63616"/>
        <c:axId val="501966496"/>
      </c:scatterChart>
      <c:valAx>
        <c:axId val="5019636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1966496"/>
        <c:crosses val="autoZero"/>
        <c:crossBetween val="midCat"/>
      </c:valAx>
      <c:valAx>
        <c:axId val="5019664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196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'Scatter_plot (2)'!$Z$1</c:f>
              <c:strCache>
                <c:ptCount val="1"/>
                <c:pt idx="0">
                  <c:v>Ratio stock to graduates_Log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5A7B938-C7A2-41A7-8D30-01E9140151C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1D-4785-AD6E-7BFD1B1CEE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B3F829-0F16-4BBF-BF22-6159E82A52F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1D-4785-AD6E-7BFD1B1CEE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59DE63-6A6B-479D-BBF6-238EB624EF4B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1D-4785-AD6E-7BFD1B1CEE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777CA9-52C2-47CB-8504-BCA198E63D3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21D-4785-AD6E-7BFD1B1CEE8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C0909D-1D1B-4184-ABD6-5DBBA346658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21D-4785-AD6E-7BFD1B1CEE8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DD4FBE-B356-4183-AEE9-BBF650022AB3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21D-4785-AD6E-7BFD1B1CEE8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3AA6F31-214A-4969-8D05-EC495F9219EA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21D-4785-AD6E-7BFD1B1CEE8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03C5683-6D93-4612-8E92-5DA8C218DB37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21D-4785-AD6E-7BFD1B1CEE8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6AC537-739E-4B3B-9C80-16CCC928537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21D-4785-AD6E-7BFD1B1CEE8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E85A636-2A48-4B62-A952-74249B35FB1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21D-4785-AD6E-7BFD1B1CEE8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7D447A5-E625-4045-B7D9-C1A4AF928E3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21D-4785-AD6E-7BFD1B1CEE8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0928E45-34F8-4CD5-9EAE-A7222393026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21D-4785-AD6E-7BFD1B1CEE8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C8169DC-4407-4C66-ACED-41FD8A4A9C4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21D-4785-AD6E-7BFD1B1CEE8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352C2CE-8248-43E3-A99C-32694B26E94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21D-4785-AD6E-7BFD1B1CEE8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CF12792-2083-4BE1-A847-3752333DE70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21D-4785-AD6E-7BFD1B1CEE8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3F1B7B5-99CF-4D03-885D-72EF1FBF798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21D-4785-AD6E-7BFD1B1CEE8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454CF4C-5918-44E5-8E6F-631F34D66D7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21D-4785-AD6E-7BFD1B1CEE8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448AE12-C8A1-4CFB-AE06-7D5A5236D91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21D-4785-AD6E-7BFD1B1CEE8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0289C7C-3DE7-4BD9-98AE-68D092A18DFB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C21D-4785-AD6E-7BFD1B1CEE8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EFFF206-6490-419F-BC5E-82D04CB316DA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C21D-4785-AD6E-7BFD1B1CEE8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BC4E2E5-B309-47F0-ADB5-521DBA7D9FB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21D-4785-AD6E-7BFD1B1CEE8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4DEC66F-23F7-4BEC-BE1F-6B695A66D7DC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21D-4785-AD6E-7BFD1B1CEE8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BE7D0E6-C128-4F39-BF61-2DE48485855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21D-4785-AD6E-7BFD1B1CEE8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DFE0644-922D-4C4D-8E0C-A35FFB2F5E2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21D-4785-AD6E-7BFD1B1CEE8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801DEE4-B43C-448C-AA49-3529286E4F28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C21D-4785-AD6E-7BFD1B1CEE8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7C99CC4-3EFB-4C22-BF5C-210E80E21DC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C21D-4785-AD6E-7BFD1B1CEE8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29ACC79-2470-4187-BB1E-59C87D6AF98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C21D-4785-AD6E-7BFD1B1CEE8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9F34D93-C883-4298-82F3-20E607CC15FA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C21D-4785-AD6E-7BFD1B1CEE86}"/>
                </c:ext>
              </c:extLst>
            </c:dLbl>
            <c:dLbl>
              <c:idx val="28"/>
              <c:layout>
                <c:manualLayout>
                  <c:x val="-4.8303060246086979E-2"/>
                  <c:y val="-2.1986830407959578E-2"/>
                </c:manualLayout>
              </c:layout>
              <c:tx>
                <c:rich>
                  <a:bodyPr/>
                  <a:lstStyle/>
                  <a:p>
                    <a:fld id="{21747CD3-AA9A-4AAC-9783-3C60C2E64C7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21D-4785-AD6E-7BFD1B1CEE8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21C6BD5-D7B7-4715-8416-F2854AE79E8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C21D-4785-AD6E-7BFD1B1CEE8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42C5410-97BF-4502-8AA5-F831316EB975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C21D-4785-AD6E-7BFD1B1CEE8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F894467-43ED-4951-A79F-FBBEE0098936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C21D-4785-AD6E-7BFD1B1CEE86}"/>
                </c:ext>
              </c:extLst>
            </c:dLbl>
            <c:dLbl>
              <c:idx val="32"/>
              <c:layout>
                <c:manualLayout>
                  <c:x val="8.4530355430652206E-3"/>
                  <c:y val="-7.32894346931986E-3"/>
                </c:manualLayout>
              </c:layout>
              <c:tx>
                <c:rich>
                  <a:bodyPr/>
                  <a:lstStyle/>
                  <a:p>
                    <a:fld id="{4D65F033-CB14-4284-A649-4038E2A81CF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C21D-4785-AD6E-7BFD1B1CEE8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4FEA588-F04E-4432-8CFF-99A0DA37EDA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C21D-4785-AD6E-7BFD1B1CEE8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06389E7-A1C3-4DB6-95DC-F051ECFA042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C21D-4785-AD6E-7BFD1B1CEE8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9CA8BE4-6BA9-456D-8FE6-F3C869639F9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C21D-4785-AD6E-7BFD1B1CEE8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C7BFE55-908F-4B07-AAD6-1B7DC11D31A7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C21D-4785-AD6E-7BFD1B1CEE8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2188FC8-8B4F-42C0-9045-A953E086B48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C21D-4785-AD6E-7BFD1B1CEE8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8DDA63C-0AEC-4F5E-BD02-4B3179A9670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C21D-4785-AD6E-7BFD1B1CEE8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C6436EB-BA22-4803-A82B-F0C0B666ACC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C21D-4785-AD6E-7BFD1B1CEE8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9744125D-5476-4D90-97EB-DBF471E13EFB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21D-4785-AD6E-7BFD1B1CEE8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886CF29-2529-4916-872E-9D99CE79C7E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C21D-4785-AD6E-7BFD1B1CEE8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C7CD9AAD-FD54-4A11-AF85-3456AB7F678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C21D-4785-AD6E-7BFD1B1CEE8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7A56689-9EE2-4354-BF8E-9AD291631ECD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C21D-4785-AD6E-7BFD1B1CEE8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8B0F45E4-1A53-4B80-BFAC-458906AB6F8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C21D-4785-AD6E-7BFD1B1CEE8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27BBB78-75B8-4EEC-ABE1-63F1FBA89B63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C21D-4785-AD6E-7BFD1B1CEE8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4AE3889-5D48-453B-8411-E2F4575BCD8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C21D-4785-AD6E-7BFD1B1CEE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'Scatter_plot (2)'!$Y$2:$Y$48</c:f>
              <c:numCache>
                <c:formatCode>General</c:formatCode>
                <c:ptCount val="47"/>
                <c:pt idx="0">
                  <c:v>3.6950126815550437</c:v>
                </c:pt>
                <c:pt idx="1">
                  <c:v>1.1485145197284106</c:v>
                </c:pt>
                <c:pt idx="2">
                  <c:v>0.20987288638745535</c:v>
                </c:pt>
                <c:pt idx="3">
                  <c:v>0.15035075647857676</c:v>
                </c:pt>
                <c:pt idx="4">
                  <c:v>0.32017798429058059</c:v>
                </c:pt>
                <c:pt idx="5">
                  <c:v>0.44333355969284122</c:v>
                </c:pt>
                <c:pt idx="6">
                  <c:v>5.1947418435536935E-2</c:v>
                </c:pt>
                <c:pt idx="7">
                  <c:v>0.26532414668682264</c:v>
                </c:pt>
                <c:pt idx="8">
                  <c:v>4.7805429136147902E-2</c:v>
                </c:pt>
                <c:pt idx="9">
                  <c:v>0.33777967568103295</c:v>
                </c:pt>
                <c:pt idx="10">
                  <c:v>2.2002587648580929E-2</c:v>
                </c:pt>
                <c:pt idx="11">
                  <c:v>0.10185814312981475</c:v>
                </c:pt>
                <c:pt idx="12">
                  <c:v>0.61252629763871769</c:v>
                </c:pt>
                <c:pt idx="13">
                  <c:v>1.3200894409083583</c:v>
                </c:pt>
                <c:pt idx="14">
                  <c:v>3.9257610300616946E-2</c:v>
                </c:pt>
                <c:pt idx="15">
                  <c:v>0.11781261220530713</c:v>
                </c:pt>
                <c:pt idx="16">
                  <c:v>0.14137768888743704</c:v>
                </c:pt>
                <c:pt idx="17">
                  <c:v>3.5026279054070923</c:v>
                </c:pt>
                <c:pt idx="18">
                  <c:v>0.11449754082088195</c:v>
                </c:pt>
                <c:pt idx="19">
                  <c:v>7.7595790190691891E-2</c:v>
                </c:pt>
                <c:pt idx="20">
                  <c:v>1.9844540211277069</c:v>
                </c:pt>
                <c:pt idx="21">
                  <c:v>0.20717911463727129</c:v>
                </c:pt>
                <c:pt idx="22">
                  <c:v>7.7104217185446564E-2</c:v>
                </c:pt>
                <c:pt idx="23">
                  <c:v>2.392141913566511</c:v>
                </c:pt>
                <c:pt idx="24">
                  <c:v>0.24319319373674986</c:v>
                </c:pt>
                <c:pt idx="25">
                  <c:v>0.25365988769489528</c:v>
                </c:pt>
                <c:pt idx="26">
                  <c:v>0.54591131656778469</c:v>
                </c:pt>
                <c:pt idx="27">
                  <c:v>0.32417258402366966</c:v>
                </c:pt>
                <c:pt idx="28">
                  <c:v>0.32131198939957734</c:v>
                </c:pt>
                <c:pt idx="29">
                  <c:v>0.17479178380184746</c:v>
                </c:pt>
                <c:pt idx="30">
                  <c:v>0.12780767517896055</c:v>
                </c:pt>
                <c:pt idx="31">
                  <c:v>1.5108653786250514</c:v>
                </c:pt>
                <c:pt idx="32">
                  <c:v>0.2269469189988374</c:v>
                </c:pt>
                <c:pt idx="33">
                  <c:v>0.10899444065530016</c:v>
                </c:pt>
                <c:pt idx="34">
                  <c:v>6.7092994461470346</c:v>
                </c:pt>
                <c:pt idx="35">
                  <c:v>0.68931763738764196</c:v>
                </c:pt>
                <c:pt idx="36">
                  <c:v>1.2096144686277734E-2</c:v>
                </c:pt>
                <c:pt idx="37">
                  <c:v>0.34580543583860351</c:v>
                </c:pt>
                <c:pt idx="38">
                  <c:v>2.6649720008577755E-2</c:v>
                </c:pt>
                <c:pt idx="39">
                  <c:v>0.32842381788896147</c:v>
                </c:pt>
                <c:pt idx="40">
                  <c:v>5.535827419797827</c:v>
                </c:pt>
                <c:pt idx="41">
                  <c:v>0.18045575879365716</c:v>
                </c:pt>
                <c:pt idx="42">
                  <c:v>0.22451508021737129</c:v>
                </c:pt>
                <c:pt idx="43">
                  <c:v>2.8128129214331787</c:v>
                </c:pt>
                <c:pt idx="44">
                  <c:v>1.5765549788815736</c:v>
                </c:pt>
                <c:pt idx="45">
                  <c:v>0.93969054582200373</c:v>
                </c:pt>
                <c:pt idx="46">
                  <c:v>0.87711971217454798</c:v>
                </c:pt>
              </c:numCache>
            </c:numRef>
          </c:xVal>
          <c:yVal>
            <c:numRef>
              <c:f>'Scatter_plot (2)'!$T$2:$T$48</c:f>
              <c:numCache>
                <c:formatCode>_(* #,##0.00_);_(* \(#,##0.00\);_(* "-"??_);_(@_)</c:formatCode>
                <c:ptCount val="47"/>
                <c:pt idx="0">
                  <c:v>22.857935830441416</c:v>
                </c:pt>
                <c:pt idx="1">
                  <c:v>21.176735134619424</c:v>
                </c:pt>
                <c:pt idx="2">
                  <c:v>8.1976856316297013</c:v>
                </c:pt>
                <c:pt idx="3">
                  <c:v>16.399999999999999</c:v>
                </c:pt>
                <c:pt idx="4">
                  <c:v>6.4928625093914354</c:v>
                </c:pt>
                <c:pt idx="5">
                  <c:v>5.7962394193302087</c:v>
                </c:pt>
                <c:pt idx="6">
                  <c:v>22.857935830441416</c:v>
                </c:pt>
                <c:pt idx="7">
                  <c:v>5.8473988439306357</c:v>
                </c:pt>
                <c:pt idx="8">
                  <c:v>44.159429280397021</c:v>
                </c:pt>
                <c:pt idx="9">
                  <c:v>1.5058928414930488</c:v>
                </c:pt>
                <c:pt idx="10">
                  <c:v>28.47427435177109</c:v>
                </c:pt>
                <c:pt idx="11">
                  <c:v>55.125</c:v>
                </c:pt>
                <c:pt idx="12">
                  <c:v>20.263906002583152</c:v>
                </c:pt>
                <c:pt idx="13">
                  <c:v>4.5412705268813731</c:v>
                </c:pt>
                <c:pt idx="14">
                  <c:v>0.95412514516632685</c:v>
                </c:pt>
                <c:pt idx="15">
                  <c:v>13.264544118808269</c:v>
                </c:pt>
                <c:pt idx="16">
                  <c:v>37.056249999999999</c:v>
                </c:pt>
                <c:pt idx="17">
                  <c:v>16.468657033574161</c:v>
                </c:pt>
                <c:pt idx="18">
                  <c:v>42.673685800866124</c:v>
                </c:pt>
                <c:pt idx="19">
                  <c:v>10.645443106523956</c:v>
                </c:pt>
                <c:pt idx="20">
                  <c:v>5.6456748687645337</c:v>
                </c:pt>
                <c:pt idx="21">
                  <c:v>3.096666017972511</c:v>
                </c:pt>
                <c:pt idx="22">
                  <c:v>22.857935830441416</c:v>
                </c:pt>
                <c:pt idx="23">
                  <c:v>75.215601965601962</c:v>
                </c:pt>
                <c:pt idx="24">
                  <c:v>4.6148174783924176</c:v>
                </c:pt>
                <c:pt idx="25">
                  <c:v>58.454296612863345</c:v>
                </c:pt>
                <c:pt idx="26">
                  <c:v>3.4278711484593836</c:v>
                </c:pt>
                <c:pt idx="27">
                  <c:v>21.348430688993169</c:v>
                </c:pt>
                <c:pt idx="28">
                  <c:v>22.857935830441416</c:v>
                </c:pt>
                <c:pt idx="29">
                  <c:v>68.81446632132112</c:v>
                </c:pt>
                <c:pt idx="30">
                  <c:v>10.597255752844539</c:v>
                </c:pt>
                <c:pt idx="31">
                  <c:v>16.359542530378842</c:v>
                </c:pt>
                <c:pt idx="32">
                  <c:v>25.415291442768822</c:v>
                </c:pt>
                <c:pt idx="33">
                  <c:v>7.8083990631299782</c:v>
                </c:pt>
                <c:pt idx="34">
                  <c:v>17.866783114992721</c:v>
                </c:pt>
                <c:pt idx="35">
                  <c:v>41.391365435291313</c:v>
                </c:pt>
                <c:pt idx="36">
                  <c:v>22.857935830441416</c:v>
                </c:pt>
                <c:pt idx="37">
                  <c:v>7.1829353403866092</c:v>
                </c:pt>
                <c:pt idx="38">
                  <c:v>42.1</c:v>
                </c:pt>
                <c:pt idx="39">
                  <c:v>8.5050709939148081</c:v>
                </c:pt>
                <c:pt idx="40">
                  <c:v>107.24524316516025</c:v>
                </c:pt>
                <c:pt idx="41">
                  <c:v>20.688796680497926</c:v>
                </c:pt>
                <c:pt idx="42">
                  <c:v>10.599369085173501</c:v>
                </c:pt>
                <c:pt idx="43">
                  <c:v>5.2036992954099146</c:v>
                </c:pt>
                <c:pt idx="44">
                  <c:v>12.502461538461539</c:v>
                </c:pt>
                <c:pt idx="45">
                  <c:v>10.51861504095309</c:v>
                </c:pt>
                <c:pt idx="46">
                  <c:v>36.387251549841309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'Scatter_plot (2)'!$P$2:$P$48</c15:f>
                <c15:dlblRangeCache>
                  <c:ptCount val="47"/>
                  <c:pt idx="0">
                    <c:v>DZA</c:v>
                  </c:pt>
                  <c:pt idx="1">
                    <c:v>AGO</c:v>
                  </c:pt>
                  <c:pt idx="2">
                    <c:v>BEN</c:v>
                  </c:pt>
                  <c:pt idx="3">
                    <c:v>BWA</c:v>
                  </c:pt>
                  <c:pt idx="4">
                    <c:v>BFA</c:v>
                  </c:pt>
                  <c:pt idx="5">
                    <c:v>BDI</c:v>
                  </c:pt>
                  <c:pt idx="6">
                    <c:v>CPV</c:v>
                  </c:pt>
                  <c:pt idx="7">
                    <c:v>CMR</c:v>
                  </c:pt>
                  <c:pt idx="8">
                    <c:v>CAF</c:v>
                  </c:pt>
                  <c:pt idx="9">
                    <c:v>TCD</c:v>
                  </c:pt>
                  <c:pt idx="10">
                    <c:v>COM</c:v>
                  </c:pt>
                  <c:pt idx="11">
                    <c:v>COG</c:v>
                  </c:pt>
                  <c:pt idx="12">
                    <c:v>CIV</c:v>
                  </c:pt>
                  <c:pt idx="13">
                    <c:v>COD</c:v>
                  </c:pt>
                  <c:pt idx="14">
                    <c:v>GNQ</c:v>
                  </c:pt>
                  <c:pt idx="15">
                    <c:v>ERI</c:v>
                  </c:pt>
                  <c:pt idx="16">
                    <c:v>SWZ</c:v>
                  </c:pt>
                  <c:pt idx="17">
                    <c:v>ETH</c:v>
                  </c:pt>
                  <c:pt idx="18">
                    <c:v>GAB</c:v>
                  </c:pt>
                  <c:pt idx="19">
                    <c:v>GMB</c:v>
                  </c:pt>
                  <c:pt idx="20">
                    <c:v>GHA</c:v>
                  </c:pt>
                  <c:pt idx="21">
                    <c:v>GIN</c:v>
                  </c:pt>
                  <c:pt idx="22">
                    <c:v>GNB</c:v>
                  </c:pt>
                  <c:pt idx="23">
                    <c:v>KEN</c:v>
                  </c:pt>
                  <c:pt idx="24">
                    <c:v>LSO</c:v>
                  </c:pt>
                  <c:pt idx="25">
                    <c:v>LBR</c:v>
                  </c:pt>
                  <c:pt idx="26">
                    <c:v>MDG</c:v>
                  </c:pt>
                  <c:pt idx="27">
                    <c:v>MWI</c:v>
                  </c:pt>
                  <c:pt idx="28">
                    <c:v>MLI</c:v>
                  </c:pt>
                  <c:pt idx="29">
                    <c:v>MRT</c:v>
                  </c:pt>
                  <c:pt idx="30">
                    <c:v>MUS</c:v>
                  </c:pt>
                  <c:pt idx="31">
                    <c:v>MOZ</c:v>
                  </c:pt>
                  <c:pt idx="32">
                    <c:v>NAM</c:v>
                  </c:pt>
                  <c:pt idx="33">
                    <c:v>NER</c:v>
                  </c:pt>
                  <c:pt idx="34">
                    <c:v>NGA</c:v>
                  </c:pt>
                  <c:pt idx="35">
                    <c:v>RWA</c:v>
                  </c:pt>
                  <c:pt idx="36">
                    <c:v>STP</c:v>
                  </c:pt>
                  <c:pt idx="37">
                    <c:v>SEN</c:v>
                  </c:pt>
                  <c:pt idx="38">
                    <c:v>SYC</c:v>
                  </c:pt>
                  <c:pt idx="39">
                    <c:v>SLE</c:v>
                  </c:pt>
                  <c:pt idx="40">
                    <c:v>ZAF</c:v>
                  </c:pt>
                  <c:pt idx="41">
                    <c:v>SSD</c:v>
                  </c:pt>
                  <c:pt idx="42">
                    <c:v>TGO</c:v>
                  </c:pt>
                  <c:pt idx="43">
                    <c:v>UGA</c:v>
                  </c:pt>
                  <c:pt idx="44">
                    <c:v>TZA</c:v>
                  </c:pt>
                  <c:pt idx="45">
                    <c:v>ZMB</c:v>
                  </c:pt>
                  <c:pt idx="46">
                    <c:v>ZWE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21D-4785-AD6E-7BFD1B1C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30943"/>
        <c:axId val="1086128543"/>
      </c:scatterChart>
      <c:valAx>
        <c:axId val="108613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28543"/>
        <c:crosses val="autoZero"/>
        <c:crossBetween val="midCat"/>
      </c:valAx>
      <c:valAx>
        <c:axId val="108612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3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'Density vs graduate Stock G (2)'!$AB$1</c:f>
              <c:strCache>
                <c:ptCount val="1"/>
                <c:pt idx="0">
                  <c:v>Ratio stock to graduates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95C810-5ED5-4C71-932F-532D225C2B01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69B-4E73-844D-19B5E57CED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4C4174-D901-4C5B-A542-DC96A48DF11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69B-4E73-844D-19B5E57CED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05BBB0-6A24-4A97-A095-AB4645C278A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69B-4E73-844D-19B5E57CED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51DB05-643D-4516-A1A8-88B36AFEC33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9B-4E73-844D-19B5E57CEDA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AEEBB1-859B-4AA2-A456-11FC9E3C5AF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9B-4E73-844D-19B5E57CED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46F206-2DF6-46F0-96D3-16006A7C728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9B-4E73-844D-19B5E57CEDA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BE0803C-F271-4135-961D-7A96D8667A1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69B-4E73-844D-19B5E57CEDA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004A7C-C7F0-4761-9E4C-06B6F8287C1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69B-4E73-844D-19B5E57CEDA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815108-8E23-41A8-B455-59EBEA48C8D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69B-4E73-844D-19B5E57CEDA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9A76C9-781F-4487-A5C7-6EF1D2EACE9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69B-4E73-844D-19B5E57CEDA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C84F838-8107-4706-A081-392CEA5BA0F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69B-4E73-844D-19B5E57CEDA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C122612-B219-4F4B-A9F7-1FE04B0CC7C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69B-4E73-844D-19B5E57CEDA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F66C1CD-3981-414E-9672-BDBF7B43305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69B-4E73-844D-19B5E57CEDA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8F53893-8990-416B-B6E2-A9F6801E5CD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69B-4E73-844D-19B5E57CEDA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5CDA371-7645-4D9D-ACC4-E07068EA407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69B-4E73-844D-19B5E57CEDA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30B3DD1-5F46-4414-9DEE-1BC3D494038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69B-4E73-844D-19B5E57CEDA5}"/>
                </c:ext>
              </c:extLst>
            </c:dLbl>
            <c:dLbl>
              <c:idx val="16"/>
              <c:layout>
                <c:manualLayout>
                  <c:x val="-1.1385099939431099E-3"/>
                  <c:y val="1.0566949543055669E-2"/>
                </c:manualLayout>
              </c:layout>
              <c:tx>
                <c:rich>
                  <a:bodyPr/>
                  <a:lstStyle/>
                  <a:p>
                    <a:fld id="{862FA0A7-4174-4B56-AF0F-1EAEF582ABCF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69B-4E73-844D-19B5E57CEDA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80379BF-7B56-4991-814E-A39AA983F7E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69B-4E73-844D-19B5E57CEDA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4E071C2-61B2-4DBB-90B5-578FFF4F9CD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69B-4E73-844D-19B5E57CEDA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409EFB6-9E6D-49B5-95C5-E4F86B950CC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69B-4E73-844D-19B5E57CEDA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8C40331-B524-42C3-9CD5-BA8A6DEA792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69B-4E73-844D-19B5E57CEDA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83EA231-EDA3-4DE4-B180-B0C251B6B41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69B-4E73-844D-19B5E57CEDA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E5EE7D4-2118-4D61-AFC7-4934B3222A4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69B-4E73-844D-19B5E57CEDA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EFA82EA-5607-43B2-91D2-9BAC7AD0C67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69B-4E73-844D-19B5E57CEDA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A853316-4E22-447E-9DAC-D559DB9C454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69B-4E73-844D-19B5E57CEDA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09D8DF5-AE21-4E18-A226-5D745DD467B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69B-4E73-844D-19B5E57CEDA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24F4B78-CC6F-4A26-AC27-FE6C4A8B61F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69B-4E73-844D-19B5E57CEDA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006F3DC-F5D8-4B18-B9DD-619764EE925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69B-4E73-844D-19B5E57CEDA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87C6867-EC4C-4B66-9AC8-EC4B344DED3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69B-4E73-844D-19B5E57CEDA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26309D3-2507-4EBB-8FCF-2C7C4BE9C7B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69B-4E73-844D-19B5E57CEDA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1F727CF-1A89-40D0-9866-BD7B41ECF8B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69B-4E73-844D-19B5E57CEDA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97E0D34-D173-49E9-850D-845851C5EC8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69B-4E73-844D-19B5E57CEDA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C7694D1-9499-46FD-92F2-3BD6724E4D0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69B-4E73-844D-19B5E57CEDA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46213F9-1AB7-4E71-B80F-0BEBE4B5871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69B-4E73-844D-19B5E57CEDA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60B3CC6-BDC0-4191-8C3A-B0E380CC196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69B-4E73-844D-19B5E57CEDA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49EAC2B-0F1F-4ABC-A207-A46B3851431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69B-4E73-844D-19B5E57CEDA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4825EB3-9103-41B7-954F-DF63CFEFE1D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69B-4E73-844D-19B5E57CEDA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5D04582-D245-421F-992F-6A6102A3273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69B-4E73-844D-19B5E57CEDA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AC9ECC8-9A31-452B-B64F-A44F0B50364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69B-4E73-844D-19B5E57CEDA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E27C321-1711-4A03-8737-047E2E2A1E7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69B-4E73-844D-19B5E57CEDA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A6DEBA4B-0540-447B-A48B-16E9F6C468C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69B-4E73-844D-19B5E57CEDA5}"/>
                </c:ext>
              </c:extLst>
            </c:dLbl>
            <c:dLbl>
              <c:idx val="41"/>
              <c:layout>
                <c:manualLayout>
                  <c:x val="-3.5058509993943041E-2"/>
                  <c:y val="1.543839703038607E-2"/>
                </c:manualLayout>
              </c:layout>
              <c:tx>
                <c:rich>
                  <a:bodyPr/>
                  <a:lstStyle/>
                  <a:p>
                    <a:fld id="{1E4E9496-B09E-48E8-B780-78A8E69B49A4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869B-4E73-844D-19B5E57CEDA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1F4C2A8-CCBD-4164-B700-50A198207FE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69B-4E73-844D-19B5E57CEDA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2CBC00D-93AF-4C87-88F6-FDDCAA94A69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69B-4E73-844D-19B5E57CEDA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1598286-4FDE-4C4D-91F5-DC4B7739864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69B-4E73-844D-19B5E57CEDA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66F5B52-4ED7-4FB4-9AA8-5AEC6BFBB3B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69B-4E73-844D-19B5E57CEDA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4C2B3D5-1FB3-452A-AD7E-C0C84337D42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69B-4E73-844D-19B5E57CE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'Density vs graduate Stock G (2)'!$AA$2:$AA$48</c:f>
              <c:numCache>
                <c:formatCode>General</c:formatCode>
                <c:ptCount val="47"/>
                <c:pt idx="0">
                  <c:v>196.51134024468229</c:v>
                </c:pt>
                <c:pt idx="1">
                  <c:v>74.345193320567816</c:v>
                </c:pt>
                <c:pt idx="2">
                  <c:v>66.829911127697898</c:v>
                </c:pt>
                <c:pt idx="3">
                  <c:v>60.440074551188182</c:v>
                </c:pt>
                <c:pt idx="4">
                  <c:v>49.501251988132395</c:v>
                </c:pt>
                <c:pt idx="5">
                  <c:v>49.339648431079915</c:v>
                </c:pt>
                <c:pt idx="6">
                  <c:v>38.514391127775333</c:v>
                </c:pt>
                <c:pt idx="7">
                  <c:v>40.15034554867718</c:v>
                </c:pt>
                <c:pt idx="8">
                  <c:v>30.433188788783969</c:v>
                </c:pt>
                <c:pt idx="9">
                  <c:v>34.292718386067548</c:v>
                </c:pt>
                <c:pt idx="10">
                  <c:v>28.228053457756701</c:v>
                </c:pt>
                <c:pt idx="11">
                  <c:v>25.186306352665916</c:v>
                </c:pt>
                <c:pt idx="12">
                  <c:v>23.968739486189389</c:v>
                </c:pt>
                <c:pt idx="13">
                  <c:v>17.61894444744178</c:v>
                </c:pt>
                <c:pt idx="14">
                  <c:v>22.664574423015459</c:v>
                </c:pt>
                <c:pt idx="15">
                  <c:v>19.489367418267701</c:v>
                </c:pt>
                <c:pt idx="16">
                  <c:v>21.189238630023297</c:v>
                </c:pt>
                <c:pt idx="17">
                  <c:v>14.041379101625415</c:v>
                </c:pt>
                <c:pt idx="18">
                  <c:v>13.611460856143795</c:v>
                </c:pt>
                <c:pt idx="19">
                  <c:v>7.6852732858695818</c:v>
                </c:pt>
                <c:pt idx="20">
                  <c:v>16.418510297753695</c:v>
                </c:pt>
                <c:pt idx="21">
                  <c:v>12.563064909315935</c:v>
                </c:pt>
                <c:pt idx="22">
                  <c:v>14.402204887562185</c:v>
                </c:pt>
                <c:pt idx="23">
                  <c:v>13.797158490996726</c:v>
                </c:pt>
                <c:pt idx="24">
                  <c:v>11.079615116112354</c:v>
                </c:pt>
                <c:pt idx="25">
                  <c:v>10.996278135102138</c:v>
                </c:pt>
                <c:pt idx="26">
                  <c:v>11.445256698300556</c:v>
                </c:pt>
                <c:pt idx="27">
                  <c:v>10.141653417174114</c:v>
                </c:pt>
                <c:pt idx="28">
                  <c:v>7.6229079232639005</c:v>
                </c:pt>
                <c:pt idx="29">
                  <c:v>9.0739677579923601</c:v>
                </c:pt>
                <c:pt idx="30">
                  <c:v>6.9418666214370077</c:v>
                </c:pt>
                <c:pt idx="31">
                  <c:v>9.8493909874009749</c:v>
                </c:pt>
                <c:pt idx="32">
                  <c:v>8.0583415905400297</c:v>
                </c:pt>
                <c:pt idx="33">
                  <c:v>6.3664244614488705</c:v>
                </c:pt>
                <c:pt idx="34">
                  <c:v>7.2478366244770029</c:v>
                </c:pt>
                <c:pt idx="35">
                  <c:v>6.294441731697038</c:v>
                </c:pt>
                <c:pt idx="36">
                  <c:v>4.5687943738770151</c:v>
                </c:pt>
                <c:pt idx="37">
                  <c:v>6.2037247448568724</c:v>
                </c:pt>
                <c:pt idx="38">
                  <c:v>4.2144104174203356</c:v>
                </c:pt>
                <c:pt idx="39">
                  <c:v>3.797168589256374</c:v>
                </c:pt>
                <c:pt idx="40">
                  <c:v>4.7486918911803722</c:v>
                </c:pt>
                <c:pt idx="41">
                  <c:v>5.2415574025453457</c:v>
                </c:pt>
                <c:pt idx="42">
                  <c:v>3.3061240561758769</c:v>
                </c:pt>
                <c:pt idx="43">
                  <c:v>3.8676651873228853</c:v>
                </c:pt>
                <c:pt idx="44">
                  <c:v>2.761420125367863</c:v>
                </c:pt>
                <c:pt idx="45">
                  <c:v>1.42471640503089</c:v>
                </c:pt>
                <c:pt idx="46">
                  <c:v>2.011093594964394</c:v>
                </c:pt>
              </c:numCache>
            </c:numRef>
          </c:xVal>
          <c:yVal>
            <c:numRef>
              <c:f>'Density vs graduate Stock G (2)'!$AB$2:$AB$48</c:f>
              <c:numCache>
                <c:formatCode>_(* #,##0.00_);_(* \(#,##0.00\);_(* "-"??_);_(@_)</c:formatCode>
                <c:ptCount val="47"/>
                <c:pt idx="0">
                  <c:v>42.1</c:v>
                </c:pt>
                <c:pt idx="1">
                  <c:v>107.24524316516025</c:v>
                </c:pt>
                <c:pt idx="2">
                  <c:v>25.415291442768822</c:v>
                </c:pt>
                <c:pt idx="3">
                  <c:v>13.998050034536332</c:v>
                </c:pt>
                <c:pt idx="4">
                  <c:v>10.597255752844539</c:v>
                </c:pt>
                <c:pt idx="5">
                  <c:v>28.681863039145494</c:v>
                </c:pt>
                <c:pt idx="6">
                  <c:v>5.6456748687645337</c:v>
                </c:pt>
                <c:pt idx="7">
                  <c:v>18.369196831097543</c:v>
                </c:pt>
                <c:pt idx="8">
                  <c:v>36.387251549841309</c:v>
                </c:pt>
                <c:pt idx="9">
                  <c:v>16.399999999999999</c:v>
                </c:pt>
                <c:pt idx="10">
                  <c:v>10.489326155559681</c:v>
                </c:pt>
                <c:pt idx="11">
                  <c:v>42.673685800866124</c:v>
                </c:pt>
                <c:pt idx="12">
                  <c:v>12.726508499906593</c:v>
                </c:pt>
                <c:pt idx="13">
                  <c:v>5.2036992954099146</c:v>
                </c:pt>
                <c:pt idx="14">
                  <c:v>75.215601965601962</c:v>
                </c:pt>
                <c:pt idx="15">
                  <c:v>8.5050709939148081</c:v>
                </c:pt>
                <c:pt idx="16">
                  <c:v>21.176735134619424</c:v>
                </c:pt>
                <c:pt idx="17">
                  <c:v>17.866783114992721</c:v>
                </c:pt>
                <c:pt idx="18">
                  <c:v>17.776422993988692</c:v>
                </c:pt>
                <c:pt idx="19">
                  <c:v>4.6148174783924176</c:v>
                </c:pt>
                <c:pt idx="20">
                  <c:v>38.96465679372637</c:v>
                </c:pt>
                <c:pt idx="21">
                  <c:v>16.468657033574161</c:v>
                </c:pt>
                <c:pt idx="22">
                  <c:v>11.49549056345049</c:v>
                </c:pt>
                <c:pt idx="23">
                  <c:v>4.5412705268813731</c:v>
                </c:pt>
                <c:pt idx="24">
                  <c:v>55.125</c:v>
                </c:pt>
                <c:pt idx="25">
                  <c:v>41.391365435291313</c:v>
                </c:pt>
                <c:pt idx="26">
                  <c:v>5.8243557606948082</c:v>
                </c:pt>
                <c:pt idx="27">
                  <c:v>58.454296612863345</c:v>
                </c:pt>
                <c:pt idx="28">
                  <c:v>6.4928625093914354</c:v>
                </c:pt>
                <c:pt idx="29">
                  <c:v>20.263906002583152</c:v>
                </c:pt>
                <c:pt idx="30">
                  <c:v>16.359542530378842</c:v>
                </c:pt>
                <c:pt idx="31">
                  <c:v>0.95412514516632685</c:v>
                </c:pt>
                <c:pt idx="32">
                  <c:v>5.7962394193302087</c:v>
                </c:pt>
                <c:pt idx="33">
                  <c:v>8.1976856316297013</c:v>
                </c:pt>
                <c:pt idx="34">
                  <c:v>5.8473988439306357</c:v>
                </c:pt>
                <c:pt idx="35">
                  <c:v>10.645443106523956</c:v>
                </c:pt>
                <c:pt idx="36">
                  <c:v>14.886426063486757</c:v>
                </c:pt>
                <c:pt idx="37">
                  <c:v>7.3905056384139689</c:v>
                </c:pt>
                <c:pt idx="38">
                  <c:v>7.1829353403866092</c:v>
                </c:pt>
                <c:pt idx="39">
                  <c:v>10.599369085173501</c:v>
                </c:pt>
                <c:pt idx="40">
                  <c:v>5.5539278160210301</c:v>
                </c:pt>
                <c:pt idx="41">
                  <c:v>21.348430688993169</c:v>
                </c:pt>
                <c:pt idx="42">
                  <c:v>3.4278711484593836</c:v>
                </c:pt>
                <c:pt idx="43">
                  <c:v>3.096666017972511</c:v>
                </c:pt>
                <c:pt idx="44">
                  <c:v>1.5058928414930488</c:v>
                </c:pt>
                <c:pt idx="45">
                  <c:v>6.4595309501231828</c:v>
                </c:pt>
                <c:pt idx="46">
                  <c:v>7.8083990631299782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'Density vs graduate Stock G (2)'!$Z$2:$Z$48</c15:f>
                <c15:dlblRangeCache>
                  <c:ptCount val="47"/>
                  <c:pt idx="0">
                    <c:v>SYC</c:v>
                  </c:pt>
                  <c:pt idx="1">
                    <c:v>ZAF</c:v>
                  </c:pt>
                  <c:pt idx="2">
                    <c:v>NAM</c:v>
                  </c:pt>
                  <c:pt idx="3">
                    <c:v>CPV</c:v>
                  </c:pt>
                  <c:pt idx="4">
                    <c:v>MUS</c:v>
                  </c:pt>
                  <c:pt idx="5">
                    <c:v>SWZ</c:v>
                  </c:pt>
                  <c:pt idx="6">
                    <c:v>GHA</c:v>
                  </c:pt>
                  <c:pt idx="7">
                    <c:v>DZA</c:v>
                  </c:pt>
                  <c:pt idx="8">
                    <c:v>ZWE</c:v>
                  </c:pt>
                  <c:pt idx="9">
                    <c:v>BWA</c:v>
                  </c:pt>
                  <c:pt idx="10">
                    <c:v>ZMB</c:v>
                  </c:pt>
                  <c:pt idx="11">
                    <c:v>GAB</c:v>
                  </c:pt>
                  <c:pt idx="12">
                    <c:v>STP</c:v>
                  </c:pt>
                  <c:pt idx="13">
                    <c:v>UGA</c:v>
                  </c:pt>
                  <c:pt idx="14">
                    <c:v>KEN</c:v>
                  </c:pt>
                  <c:pt idx="15">
                    <c:v>SLE</c:v>
                  </c:pt>
                  <c:pt idx="16">
                    <c:v>AGO</c:v>
                  </c:pt>
                  <c:pt idx="17">
                    <c:v>NGA</c:v>
                  </c:pt>
                  <c:pt idx="18">
                    <c:v>COM</c:v>
                  </c:pt>
                  <c:pt idx="19">
                    <c:v>LSO</c:v>
                  </c:pt>
                  <c:pt idx="20">
                    <c:v>MRT</c:v>
                  </c:pt>
                  <c:pt idx="21">
                    <c:v>ETH</c:v>
                  </c:pt>
                  <c:pt idx="22">
                    <c:v>ERI</c:v>
                  </c:pt>
                  <c:pt idx="23">
                    <c:v>COD</c:v>
                  </c:pt>
                  <c:pt idx="24">
                    <c:v>COG</c:v>
                  </c:pt>
                  <c:pt idx="25">
                    <c:v>RWA</c:v>
                  </c:pt>
                  <c:pt idx="26">
                    <c:v>GNB</c:v>
                  </c:pt>
                  <c:pt idx="27">
                    <c:v>LBR</c:v>
                  </c:pt>
                  <c:pt idx="28">
                    <c:v>BFA</c:v>
                  </c:pt>
                  <c:pt idx="29">
                    <c:v>CIV</c:v>
                  </c:pt>
                  <c:pt idx="30">
                    <c:v>MOZ</c:v>
                  </c:pt>
                  <c:pt idx="31">
                    <c:v>GNQ</c:v>
                  </c:pt>
                  <c:pt idx="32">
                    <c:v>BDI</c:v>
                  </c:pt>
                  <c:pt idx="33">
                    <c:v>BEN</c:v>
                  </c:pt>
                  <c:pt idx="34">
                    <c:v>CMR</c:v>
                  </c:pt>
                  <c:pt idx="35">
                    <c:v>GMB</c:v>
                  </c:pt>
                  <c:pt idx="36">
                    <c:v>SSD</c:v>
                  </c:pt>
                  <c:pt idx="37">
                    <c:v>TZA</c:v>
                  </c:pt>
                  <c:pt idx="38">
                    <c:v>SEN</c:v>
                  </c:pt>
                  <c:pt idx="39">
                    <c:v>TGO</c:v>
                  </c:pt>
                  <c:pt idx="40">
                    <c:v>MLI</c:v>
                  </c:pt>
                  <c:pt idx="41">
                    <c:v>MWI</c:v>
                  </c:pt>
                  <c:pt idx="42">
                    <c:v>MDG</c:v>
                  </c:pt>
                  <c:pt idx="43">
                    <c:v>GIN</c:v>
                  </c:pt>
                  <c:pt idx="44">
                    <c:v>TCD</c:v>
                  </c:pt>
                  <c:pt idx="45">
                    <c:v>CAF</c:v>
                  </c:pt>
                  <c:pt idx="46">
                    <c:v>NER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F-869B-4E73-844D-19B5E57CE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33343"/>
        <c:axId val="1086135743"/>
      </c:scatterChart>
      <c:valAx>
        <c:axId val="1086133343"/>
        <c:scaling>
          <c:orientation val="minMax"/>
          <c:max val="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35743"/>
        <c:crosses val="autoZero"/>
        <c:crossBetween val="midCat"/>
      </c:valAx>
      <c:valAx>
        <c:axId val="1086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3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'Density vs graduate Stock G (2)'!$AB$1</c:f>
              <c:strCache>
                <c:ptCount val="1"/>
                <c:pt idx="0">
                  <c:v>Ratio stock to graduates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vs graduate Stock G (2)'!$AA$2:$AA$48</c:f>
              <c:numCache>
                <c:formatCode>General</c:formatCode>
                <c:ptCount val="47"/>
                <c:pt idx="0">
                  <c:v>196.51134024468229</c:v>
                </c:pt>
                <c:pt idx="1">
                  <c:v>74.345193320567816</c:v>
                </c:pt>
                <c:pt idx="2">
                  <c:v>66.829911127697898</c:v>
                </c:pt>
                <c:pt idx="3">
                  <c:v>60.440074551188182</c:v>
                </c:pt>
                <c:pt idx="4">
                  <c:v>49.501251988132395</c:v>
                </c:pt>
                <c:pt idx="5">
                  <c:v>49.339648431079915</c:v>
                </c:pt>
                <c:pt idx="6">
                  <c:v>38.514391127775333</c:v>
                </c:pt>
                <c:pt idx="7">
                  <c:v>40.15034554867718</c:v>
                </c:pt>
                <c:pt idx="8">
                  <c:v>30.433188788783969</c:v>
                </c:pt>
                <c:pt idx="9">
                  <c:v>34.292718386067548</c:v>
                </c:pt>
                <c:pt idx="10">
                  <c:v>28.228053457756701</c:v>
                </c:pt>
                <c:pt idx="11">
                  <c:v>25.186306352665916</c:v>
                </c:pt>
                <c:pt idx="12">
                  <c:v>23.968739486189389</c:v>
                </c:pt>
                <c:pt idx="13">
                  <c:v>17.61894444744178</c:v>
                </c:pt>
                <c:pt idx="14">
                  <c:v>22.664574423015459</c:v>
                </c:pt>
                <c:pt idx="15">
                  <c:v>19.489367418267701</c:v>
                </c:pt>
                <c:pt idx="16">
                  <c:v>21.189238630023297</c:v>
                </c:pt>
                <c:pt idx="17">
                  <c:v>14.041379101625415</c:v>
                </c:pt>
                <c:pt idx="18">
                  <c:v>13.611460856143795</c:v>
                </c:pt>
                <c:pt idx="19">
                  <c:v>7.6852732858695818</c:v>
                </c:pt>
                <c:pt idx="20">
                  <c:v>16.418510297753695</c:v>
                </c:pt>
                <c:pt idx="21">
                  <c:v>12.563064909315935</c:v>
                </c:pt>
                <c:pt idx="22">
                  <c:v>14.402204887562185</c:v>
                </c:pt>
                <c:pt idx="23">
                  <c:v>13.797158490996726</c:v>
                </c:pt>
                <c:pt idx="24">
                  <c:v>11.079615116112354</c:v>
                </c:pt>
                <c:pt idx="25">
                  <c:v>10.996278135102138</c:v>
                </c:pt>
                <c:pt idx="26">
                  <c:v>11.445256698300556</c:v>
                </c:pt>
                <c:pt idx="27">
                  <c:v>10.141653417174114</c:v>
                </c:pt>
                <c:pt idx="28">
                  <c:v>7.6229079232639005</c:v>
                </c:pt>
                <c:pt idx="29">
                  <c:v>9.0739677579923601</c:v>
                </c:pt>
                <c:pt idx="30">
                  <c:v>6.9418666214370077</c:v>
                </c:pt>
                <c:pt idx="31">
                  <c:v>9.8493909874009749</c:v>
                </c:pt>
                <c:pt idx="32">
                  <c:v>8.0583415905400297</c:v>
                </c:pt>
                <c:pt idx="33">
                  <c:v>6.3664244614488705</c:v>
                </c:pt>
                <c:pt idx="34">
                  <c:v>7.2478366244770029</c:v>
                </c:pt>
                <c:pt idx="35">
                  <c:v>6.294441731697038</c:v>
                </c:pt>
                <c:pt idx="36">
                  <c:v>4.5687943738770151</c:v>
                </c:pt>
                <c:pt idx="37">
                  <c:v>6.2037247448568724</c:v>
                </c:pt>
                <c:pt idx="38">
                  <c:v>4.2144104174203356</c:v>
                </c:pt>
                <c:pt idx="39">
                  <c:v>3.797168589256374</c:v>
                </c:pt>
                <c:pt idx="40">
                  <c:v>4.7486918911803722</c:v>
                </c:pt>
                <c:pt idx="41">
                  <c:v>5.2415574025453457</c:v>
                </c:pt>
                <c:pt idx="42">
                  <c:v>3.3061240561758769</c:v>
                </c:pt>
                <c:pt idx="43">
                  <c:v>3.8676651873228853</c:v>
                </c:pt>
                <c:pt idx="44">
                  <c:v>2.761420125367863</c:v>
                </c:pt>
                <c:pt idx="45">
                  <c:v>1.42471640503089</c:v>
                </c:pt>
                <c:pt idx="46">
                  <c:v>2.011093594964394</c:v>
                </c:pt>
              </c:numCache>
            </c:numRef>
          </c:xVal>
          <c:yVal>
            <c:numRef>
              <c:f>'Density vs graduate Stock G (2)'!$AB$2:$AB$48</c:f>
              <c:numCache>
                <c:formatCode>_(* #,##0.00_);_(* \(#,##0.00\);_(* "-"??_);_(@_)</c:formatCode>
                <c:ptCount val="47"/>
                <c:pt idx="0">
                  <c:v>42.1</c:v>
                </c:pt>
                <c:pt idx="1">
                  <c:v>107.24524316516025</c:v>
                </c:pt>
                <c:pt idx="2">
                  <c:v>25.415291442768822</c:v>
                </c:pt>
                <c:pt idx="3">
                  <c:v>13.998050034536332</c:v>
                </c:pt>
                <c:pt idx="4">
                  <c:v>10.597255752844539</c:v>
                </c:pt>
                <c:pt idx="5">
                  <c:v>28.681863039145494</c:v>
                </c:pt>
                <c:pt idx="6">
                  <c:v>5.6456748687645337</c:v>
                </c:pt>
                <c:pt idx="7">
                  <c:v>18.369196831097543</c:v>
                </c:pt>
                <c:pt idx="8">
                  <c:v>36.387251549841309</c:v>
                </c:pt>
                <c:pt idx="9">
                  <c:v>16.399999999999999</c:v>
                </c:pt>
                <c:pt idx="10">
                  <c:v>10.489326155559681</c:v>
                </c:pt>
                <c:pt idx="11">
                  <c:v>42.673685800866124</c:v>
                </c:pt>
                <c:pt idx="12">
                  <c:v>12.726508499906593</c:v>
                </c:pt>
                <c:pt idx="13">
                  <c:v>5.2036992954099146</c:v>
                </c:pt>
                <c:pt idx="14">
                  <c:v>75.215601965601962</c:v>
                </c:pt>
                <c:pt idx="15">
                  <c:v>8.5050709939148081</c:v>
                </c:pt>
                <c:pt idx="16">
                  <c:v>21.176735134619424</c:v>
                </c:pt>
                <c:pt idx="17">
                  <c:v>17.866783114992721</c:v>
                </c:pt>
                <c:pt idx="18">
                  <c:v>17.776422993988692</c:v>
                </c:pt>
                <c:pt idx="19">
                  <c:v>4.6148174783924176</c:v>
                </c:pt>
                <c:pt idx="20">
                  <c:v>38.96465679372637</c:v>
                </c:pt>
                <c:pt idx="21">
                  <c:v>16.468657033574161</c:v>
                </c:pt>
                <c:pt idx="22">
                  <c:v>11.49549056345049</c:v>
                </c:pt>
                <c:pt idx="23">
                  <c:v>4.5412705268813731</c:v>
                </c:pt>
                <c:pt idx="24">
                  <c:v>55.125</c:v>
                </c:pt>
                <c:pt idx="25">
                  <c:v>41.391365435291313</c:v>
                </c:pt>
                <c:pt idx="26">
                  <c:v>5.8243557606948082</c:v>
                </c:pt>
                <c:pt idx="27">
                  <c:v>58.454296612863345</c:v>
                </c:pt>
                <c:pt idx="28">
                  <c:v>6.4928625093914354</c:v>
                </c:pt>
                <c:pt idx="29">
                  <c:v>20.263906002583152</c:v>
                </c:pt>
                <c:pt idx="30">
                  <c:v>16.359542530378842</c:v>
                </c:pt>
                <c:pt idx="31">
                  <c:v>0.95412514516632685</c:v>
                </c:pt>
                <c:pt idx="32">
                  <c:v>5.7962394193302087</c:v>
                </c:pt>
                <c:pt idx="33">
                  <c:v>8.1976856316297013</c:v>
                </c:pt>
                <c:pt idx="34">
                  <c:v>5.8473988439306357</c:v>
                </c:pt>
                <c:pt idx="35">
                  <c:v>10.645443106523956</c:v>
                </c:pt>
                <c:pt idx="36">
                  <c:v>14.886426063486757</c:v>
                </c:pt>
                <c:pt idx="37">
                  <c:v>7.3905056384139689</c:v>
                </c:pt>
                <c:pt idx="38">
                  <c:v>7.1829353403866092</c:v>
                </c:pt>
                <c:pt idx="39">
                  <c:v>10.599369085173501</c:v>
                </c:pt>
                <c:pt idx="40">
                  <c:v>5.5539278160210301</c:v>
                </c:pt>
                <c:pt idx="41">
                  <c:v>21.348430688993169</c:v>
                </c:pt>
                <c:pt idx="42">
                  <c:v>3.4278711484593836</c:v>
                </c:pt>
                <c:pt idx="43">
                  <c:v>3.096666017972511</c:v>
                </c:pt>
                <c:pt idx="44">
                  <c:v>1.5058928414930488</c:v>
                </c:pt>
                <c:pt idx="45">
                  <c:v>6.4595309501231828</c:v>
                </c:pt>
                <c:pt idx="46">
                  <c:v>7.8083990631299782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8-45B2-98E5-339F8FCE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97279"/>
        <c:axId val="1819402687"/>
      </c:scatterChart>
      <c:valAx>
        <c:axId val="66599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819402687"/>
        <c:crosses val="autoZero"/>
        <c:crossBetween val="midCat"/>
      </c:valAx>
      <c:valAx>
        <c:axId val="18194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6599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'Density vs graduate Stock Graph'!$AA$1</c:f>
              <c:strCache>
                <c:ptCount val="1"/>
                <c:pt idx="0">
                  <c:v>Ratio stock to graduates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B92D39-94D7-4C31-80D4-3E08AB59E1DB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587-4EEF-B55A-F7161492F4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C5409B4-5F12-4B1C-B959-DEC79590721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587-4EEF-B55A-F7161492F4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9E86B4-0029-4651-9EFC-9CE3DBCB19D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587-4EEF-B55A-F7161492F4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11FEDB-8EA2-4BE8-96DB-E9B33377F82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587-4EEF-B55A-F7161492F4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DEE976-D0AC-41D8-8C1F-1A50EFC3288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87-4EEF-B55A-F7161492F4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690F589-50BF-4BFA-80E7-78F55C58CD0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587-4EEF-B55A-F7161492F4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0106A5-BA38-4292-9489-B1272ECF753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587-4EEF-B55A-F7161492F4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1BA96B9-3BA2-42F2-AAA4-657A836A52E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587-4EEF-B55A-F7161492F4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F9541A-BD28-43C2-A752-06B6D089499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587-4EEF-B55A-F7161492F4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029D24-4CBC-4706-89EB-41993D7DE54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587-4EEF-B55A-F7161492F4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9B05AD7-DBB1-453E-A89B-C8B1377EEF7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587-4EEF-B55A-F7161492F4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2348B24-38CD-44D1-BB7D-C94DF07EA66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587-4EEF-B55A-F7161492F4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71F6603-868D-43FD-A00D-9E3871A49C0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587-4EEF-B55A-F7161492F4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BDAE495-62E9-42DC-A1E8-C5D266BD561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587-4EEF-B55A-F7161492F4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F587AC1-CCA5-41F3-B15F-C0F4374F34E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587-4EEF-B55A-F7161492F4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F444523-47C1-41FB-87D4-B47FE6D290E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587-4EEF-B55A-F7161492F41D}"/>
                </c:ext>
              </c:extLst>
            </c:dLbl>
            <c:dLbl>
              <c:idx val="16"/>
              <c:layout>
                <c:manualLayout>
                  <c:x val="-1.1385099939431099E-3"/>
                  <c:y val="1.0566949543055669E-2"/>
                </c:manualLayout>
              </c:layout>
              <c:tx>
                <c:rich>
                  <a:bodyPr/>
                  <a:lstStyle/>
                  <a:p>
                    <a:fld id="{95ECC40D-0DDA-4A79-894E-C6EBCA5E4B20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587-4EEF-B55A-F7161492F4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2752600-C9DA-4B99-BC81-2E18F083865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587-4EEF-B55A-F7161492F4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DEFF8DF-9F68-4DF0-8FBF-33E6638C496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587-4EEF-B55A-F7161492F4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B50955D-F0C9-483D-883E-52471D9DB715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587-4EEF-B55A-F7161492F4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5EFB267-1245-493F-88E4-ACE5B333883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587-4EEF-B55A-F7161492F4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DC68C31-22FF-4B52-97D1-A04F049185E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587-4EEF-B55A-F7161492F4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17F8621-B5CE-4868-8ECE-787C51F75D6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587-4EEF-B55A-F7161492F4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CCAD8A4-CA0D-438E-893E-F495D1B3E996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587-4EEF-B55A-F7161492F4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814382E-CA60-4C66-B28F-BC77E1900C9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587-4EEF-B55A-F7161492F41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94FAFBE-C4DF-495F-95FF-1ACCE4946E0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587-4EEF-B55A-F7161492F41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E76FDDF-094E-472E-8C9A-3C916E546DF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587-4EEF-B55A-F7161492F41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E3F6A9C-8CCD-426E-8ED3-A647F766D8F1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587-4EEF-B55A-F7161492F41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9D5E4C3-F3C8-4D22-8709-078230BEB97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587-4EEF-B55A-F7161492F41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D802C48-45DB-418F-AA93-3314BA0FA279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587-4EEF-B55A-F7161492F41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8C3BCB9-6D14-4620-AD3C-81F9D8614A9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587-4EEF-B55A-F7161492F41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96AE10E-65DA-4253-A0AA-7FCA99D58F2B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587-4EEF-B55A-F7161492F41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DE505C3-2FF0-4ABF-AB2D-4ADD74268BC7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587-4EEF-B55A-F7161492F41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441DA3D-E4A5-4701-A727-04E42C6C99B3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587-4EEF-B55A-F7161492F41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DCAB70D-E022-4452-9CFB-9C6989E7987C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587-4EEF-B55A-F7161492F41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48CCD24A-1AED-48E7-9BB7-2EF19E196F54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587-4EEF-B55A-F7161492F41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0E2C315-A171-452F-B707-8CCC6DCB721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587-4EEF-B55A-F7161492F41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296F4AF-B7F4-4A2F-9BB4-08BF772A99C0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587-4EEF-B55A-F7161492F41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E381EC6-B772-41ED-9E4A-7FFE03BEEE9F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587-4EEF-B55A-F7161492F41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97C80EE-9782-4C0E-A620-3DC1AD7FC481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587-4EEF-B55A-F7161492F41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2421AAD-95E4-4836-AB89-4F33EC30728D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587-4EEF-B55A-F7161492F41D}"/>
                </c:ext>
              </c:extLst>
            </c:dLbl>
            <c:dLbl>
              <c:idx val="41"/>
              <c:layout>
                <c:manualLayout>
                  <c:x val="-3.5058509993943041E-2"/>
                  <c:y val="1.543839703038607E-2"/>
                </c:manualLayout>
              </c:layout>
              <c:tx>
                <c:rich>
                  <a:bodyPr/>
                  <a:lstStyle/>
                  <a:p>
                    <a:fld id="{1DE26D7A-9E22-4E48-AF80-2C7DD2721189}" type="CELLRANGE">
                      <a:rPr lang="en-US"/>
                      <a:pPr/>
                      <a:t>[CELLRANGE]</a:t>
                    </a:fld>
                    <a:endParaRPr lang="en-K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2587-4EEF-B55A-F7161492F41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EEA7041-14DC-4EF3-BB78-D0F7FD5E3EE8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587-4EEF-B55A-F7161492F41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9A64229-93D7-481C-96A2-C4078964D5AA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587-4EEF-B55A-F7161492F41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EBD2EDBF-2428-43C7-9396-8E9E07A813E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587-4EEF-B55A-F7161492F41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FF337D0-9B27-438F-BDBB-3F716C4E5462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587-4EEF-B55A-F7161492F41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C62BF9E6-2020-4F16-9A7C-676D0C07614E}" type="CELLRANGE">
                      <a:rPr lang="en-KE"/>
                      <a:pPr/>
                      <a:t>[CELLRANGE]</a:t>
                    </a:fld>
                    <a:endParaRPr lang="en-K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587-4EEF-B55A-F7161492F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'Density vs graduate Stock Graph'!$Z$2:$Z$48</c:f>
              <c:numCache>
                <c:formatCode>General</c:formatCode>
                <c:ptCount val="47"/>
                <c:pt idx="0">
                  <c:v>242.01401730513936</c:v>
                </c:pt>
                <c:pt idx="1">
                  <c:v>78.187272031248852</c:v>
                </c:pt>
                <c:pt idx="2">
                  <c:v>72.50007161772831</c:v>
                </c:pt>
                <c:pt idx="3">
                  <c:v>62.960411138791216</c:v>
                </c:pt>
                <c:pt idx="4">
                  <c:v>60.383936189147697</c:v>
                </c:pt>
                <c:pt idx="5">
                  <c:v>51.66268983905934</c:v>
                </c:pt>
                <c:pt idx="6">
                  <c:v>48.030714224150685</c:v>
                </c:pt>
                <c:pt idx="7">
                  <c:v>49.173528181995827</c:v>
                </c:pt>
                <c:pt idx="8">
                  <c:v>38.14728630825762</c:v>
                </c:pt>
                <c:pt idx="9">
                  <c:v>37.02657488516612</c:v>
                </c:pt>
                <c:pt idx="10">
                  <c:v>34.960104008082851</c:v>
                </c:pt>
                <c:pt idx="11">
                  <c:v>31.25849879805093</c:v>
                </c:pt>
                <c:pt idx="12">
                  <c:v>26.971849712707133</c:v>
                </c:pt>
                <c:pt idx="13">
                  <c:v>25.677639566139653</c:v>
                </c:pt>
                <c:pt idx="14">
                  <c:v>24.523813221222014</c:v>
                </c:pt>
                <c:pt idx="15">
                  <c:v>23.534133501916237</c:v>
                </c:pt>
                <c:pt idx="16">
                  <c:v>22.16128506058643</c:v>
                </c:pt>
                <c:pt idx="17">
                  <c:v>22.692099302180001</c:v>
                </c:pt>
                <c:pt idx="18">
                  <c:v>22.326190141323295</c:v>
                </c:pt>
                <c:pt idx="19">
                  <c:v>22.993174843373964</c:v>
                </c:pt>
                <c:pt idx="20">
                  <c:v>19.794578938796668</c:v>
                </c:pt>
                <c:pt idx="21">
                  <c:v>18.578792370715053</c:v>
                </c:pt>
                <c:pt idx="22">
                  <c:v>16.774083760782815</c:v>
                </c:pt>
                <c:pt idx="23">
                  <c:v>14.28160096277502</c:v>
                </c:pt>
                <c:pt idx="24">
                  <c:v>13.050801436856251</c:v>
                </c:pt>
                <c:pt idx="25">
                  <c:v>13.401063461919398</c:v>
                </c:pt>
                <c:pt idx="26">
                  <c:v>12.878829589909351</c:v>
                </c:pt>
                <c:pt idx="27">
                  <c:v>13.444654516010845</c:v>
                </c:pt>
                <c:pt idx="28">
                  <c:v>12.168856040551496</c:v>
                </c:pt>
                <c:pt idx="29">
                  <c:v>12.531853132190035</c:v>
                </c:pt>
                <c:pt idx="30">
                  <c:v>12.362024638000094</c:v>
                </c:pt>
                <c:pt idx="31">
                  <c:v>10.634113902446874</c:v>
                </c:pt>
                <c:pt idx="32">
                  <c:v>8.3085116295989803</c:v>
                </c:pt>
                <c:pt idx="33">
                  <c:v>8.2764831925559506</c:v>
                </c:pt>
                <c:pt idx="34">
                  <c:v>8.340457309760458</c:v>
                </c:pt>
                <c:pt idx="35">
                  <c:v>8.1498514118713352</c:v>
                </c:pt>
                <c:pt idx="36">
                  <c:v>7.8959074273939986</c:v>
                </c:pt>
                <c:pt idx="37">
                  <c:v>7.605590561668536</c:v>
                </c:pt>
                <c:pt idx="38">
                  <c:v>6.5171760234407232</c:v>
                </c:pt>
                <c:pt idx="39">
                  <c:v>6.3003257177536511</c:v>
                </c:pt>
                <c:pt idx="40">
                  <c:v>6.4341278578313545</c:v>
                </c:pt>
                <c:pt idx="41">
                  <c:v>6.0858545949756246</c:v>
                </c:pt>
                <c:pt idx="42">
                  <c:v>4.761050716296678</c:v>
                </c:pt>
                <c:pt idx="43">
                  <c:v>4.7602626385103033</c:v>
                </c:pt>
                <c:pt idx="44">
                  <c:v>3.5764373051455833</c:v>
                </c:pt>
                <c:pt idx="45">
                  <c:v>2.4089830338186218</c:v>
                </c:pt>
                <c:pt idx="46">
                  <c:v>2.3568659730003425</c:v>
                </c:pt>
              </c:numCache>
            </c:numRef>
          </c:xVal>
          <c:yVal>
            <c:numRef>
              <c:f>'Density vs graduate Stock Graph'!$AA$2:$AA$48</c:f>
              <c:numCache>
                <c:formatCode>_(* #,##0.00_);_(* \(#,##0.00\);_(* "-"??_);_(@_)</c:formatCode>
                <c:ptCount val="47"/>
                <c:pt idx="0">
                  <c:v>4.2907809697000497E-2</c:v>
                </c:pt>
                <c:pt idx="1">
                  <c:v>23.121476882111391</c:v>
                </c:pt>
                <c:pt idx="2">
                  <c:v>0.21110382921354265</c:v>
                </c:pt>
                <c:pt idx="3">
                  <c:v>2.4297346733931198E-2</c:v>
                </c:pt>
                <c:pt idx="4">
                  <c:v>3.3004843075349295E-2</c:v>
                </c:pt>
                <c:pt idx="5">
                  <c:v>8.2336226221255221E-2</c:v>
                </c:pt>
                <c:pt idx="6">
                  <c:v>0.35243004812267736</c:v>
                </c:pt>
                <c:pt idx="7">
                  <c:v>1.6034637218401804</c:v>
                </c:pt>
                <c:pt idx="8">
                  <c:v>0.87505088302817735</c:v>
                </c:pt>
                <c:pt idx="9">
                  <c:v>7.1623004528950859E-2</c:v>
                </c:pt>
                <c:pt idx="10">
                  <c:v>0.28697515855982353</c:v>
                </c:pt>
                <c:pt idx="11">
                  <c:v>0.12432016359239777</c:v>
                </c:pt>
                <c:pt idx="12">
                  <c:v>3.3582105678435802E-3</c:v>
                </c:pt>
                <c:pt idx="13">
                  <c:v>0.20974529453996291</c:v>
                </c:pt>
                <c:pt idx="14">
                  <c:v>4.4593588456923152</c:v>
                </c:pt>
                <c:pt idx="15">
                  <c:v>6.9066102151313175E-2</c:v>
                </c:pt>
                <c:pt idx="16">
                  <c:v>0.77320051208429841</c:v>
                </c:pt>
                <c:pt idx="17">
                  <c:v>2.6545543803314682</c:v>
                </c:pt>
                <c:pt idx="18">
                  <c:v>9.803004051906563E-3</c:v>
                </c:pt>
                <c:pt idx="19">
                  <c:v>3.9595190046827662E-3</c:v>
                </c:pt>
                <c:pt idx="20">
                  <c:v>0.14670036508827769</c:v>
                </c:pt>
                <c:pt idx="21">
                  <c:v>1.2359486823712351</c:v>
                </c:pt>
                <c:pt idx="22">
                  <c:v>2.9531260115126124E-2</c:v>
                </c:pt>
                <c:pt idx="23">
                  <c:v>0.30036489080671186</c:v>
                </c:pt>
                <c:pt idx="24">
                  <c:v>0.17655523561878361</c:v>
                </c:pt>
                <c:pt idx="25">
                  <c:v>0.3036006813057715</c:v>
                </c:pt>
                <c:pt idx="26">
                  <c:v>6.7958586611199202E-3</c:v>
                </c:pt>
                <c:pt idx="27">
                  <c:v>0.15220287466488241</c:v>
                </c:pt>
                <c:pt idx="28">
                  <c:v>5.4335368143367792E-2</c:v>
                </c:pt>
                <c:pt idx="29">
                  <c:v>0.25070532634769843</c:v>
                </c:pt>
                <c:pt idx="30">
                  <c:v>0.18128512673465641</c:v>
                </c:pt>
                <c:pt idx="31">
                  <c:v>7.6209274281431659E-4</c:v>
                </c:pt>
                <c:pt idx="32">
                  <c:v>2.9149612601845006E-2</c:v>
                </c:pt>
                <c:pt idx="33">
                  <c:v>3.3741425432674825E-2</c:v>
                </c:pt>
                <c:pt idx="34">
                  <c:v>5.7280088943060199E-2</c:v>
                </c:pt>
                <c:pt idx="35">
                  <c:v>8.7790923784461551E-3</c:v>
                </c:pt>
                <c:pt idx="36">
                  <c:v>3.5937252304945051E-2</c:v>
                </c:pt>
                <c:pt idx="37">
                  <c:v>0.14539691458656923</c:v>
                </c:pt>
                <c:pt idx="38">
                  <c:v>2.5380476519676561E-2</c:v>
                </c:pt>
                <c:pt idx="39">
                  <c:v>1.724334201483908E-2</c:v>
                </c:pt>
                <c:pt idx="40">
                  <c:v>2.8851050173761102E-2</c:v>
                </c:pt>
                <c:pt idx="41">
                  <c:v>0.11055331947398996</c:v>
                </c:pt>
                <c:pt idx="42">
                  <c:v>1.6248352424433531E-2</c:v>
                </c:pt>
                <c:pt idx="43">
                  <c:v>8.0368887050234518E-3</c:v>
                </c:pt>
                <c:pt idx="44">
                  <c:v>3.5684009669101325E-3</c:v>
                </c:pt>
                <c:pt idx="45">
                  <c:v>2.485988356566572E-3</c:v>
                </c:pt>
                <c:pt idx="46">
                  <c:v>1.9926449549161531E-2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'Density vs graduate Stock Graph'!$Y$2:$Y$48</c15:f>
                <c15:dlblRangeCache>
                  <c:ptCount val="47"/>
                  <c:pt idx="0">
                    <c:v>SYC</c:v>
                  </c:pt>
                  <c:pt idx="1">
                    <c:v>ZAF</c:v>
                  </c:pt>
                  <c:pt idx="2">
                    <c:v>NAM</c:v>
                  </c:pt>
                  <c:pt idx="3">
                    <c:v>CPV</c:v>
                  </c:pt>
                  <c:pt idx="4">
                    <c:v>MUS</c:v>
                  </c:pt>
                  <c:pt idx="5">
                    <c:v>SWZ</c:v>
                  </c:pt>
                  <c:pt idx="6">
                    <c:v>GHA</c:v>
                  </c:pt>
                  <c:pt idx="7">
                    <c:v>DZA</c:v>
                  </c:pt>
                  <c:pt idx="8">
                    <c:v>ZWE</c:v>
                  </c:pt>
                  <c:pt idx="9">
                    <c:v>BWA</c:v>
                  </c:pt>
                  <c:pt idx="10">
                    <c:v>ZMB</c:v>
                  </c:pt>
                  <c:pt idx="11">
                    <c:v>GAB</c:v>
                  </c:pt>
                  <c:pt idx="12">
                    <c:v>STP</c:v>
                  </c:pt>
                  <c:pt idx="13">
                    <c:v>UGA</c:v>
                  </c:pt>
                  <c:pt idx="14">
                    <c:v>KEN</c:v>
                  </c:pt>
                  <c:pt idx="15">
                    <c:v>SLE</c:v>
                  </c:pt>
                  <c:pt idx="16">
                    <c:v>AGO</c:v>
                  </c:pt>
                  <c:pt idx="17">
                    <c:v>NGA</c:v>
                  </c:pt>
                  <c:pt idx="18">
                    <c:v>COM</c:v>
                  </c:pt>
                  <c:pt idx="19">
                    <c:v>LSO</c:v>
                  </c:pt>
                  <c:pt idx="20">
                    <c:v>MRT</c:v>
                  </c:pt>
                  <c:pt idx="21">
                    <c:v>ETH</c:v>
                  </c:pt>
                  <c:pt idx="22">
                    <c:v>ERI</c:v>
                  </c:pt>
                  <c:pt idx="23">
                    <c:v>COD</c:v>
                  </c:pt>
                  <c:pt idx="24">
                    <c:v>COG</c:v>
                  </c:pt>
                  <c:pt idx="25">
                    <c:v>RWA</c:v>
                  </c:pt>
                  <c:pt idx="26">
                    <c:v>GNB</c:v>
                  </c:pt>
                  <c:pt idx="27">
                    <c:v>LBR</c:v>
                  </c:pt>
                  <c:pt idx="28">
                    <c:v>BFA</c:v>
                  </c:pt>
                  <c:pt idx="29">
                    <c:v>CIV</c:v>
                  </c:pt>
                  <c:pt idx="30">
                    <c:v>MOZ</c:v>
                  </c:pt>
                  <c:pt idx="31">
                    <c:v>GNQ</c:v>
                  </c:pt>
                  <c:pt idx="32">
                    <c:v>BDI</c:v>
                  </c:pt>
                  <c:pt idx="33">
                    <c:v>BEN</c:v>
                  </c:pt>
                  <c:pt idx="34">
                    <c:v>CMR</c:v>
                  </c:pt>
                  <c:pt idx="35">
                    <c:v>GMB</c:v>
                  </c:pt>
                  <c:pt idx="36">
                    <c:v>SSD</c:v>
                  </c:pt>
                  <c:pt idx="37">
                    <c:v>TZA</c:v>
                  </c:pt>
                  <c:pt idx="38">
                    <c:v>SEN</c:v>
                  </c:pt>
                  <c:pt idx="39">
                    <c:v>TGO</c:v>
                  </c:pt>
                  <c:pt idx="40">
                    <c:v>MLI</c:v>
                  </c:pt>
                  <c:pt idx="41">
                    <c:v>MWI</c:v>
                  </c:pt>
                  <c:pt idx="42">
                    <c:v>MDG</c:v>
                  </c:pt>
                  <c:pt idx="43">
                    <c:v>GIN</c:v>
                  </c:pt>
                  <c:pt idx="44">
                    <c:v>TCD</c:v>
                  </c:pt>
                  <c:pt idx="45">
                    <c:v>CAF</c:v>
                  </c:pt>
                  <c:pt idx="46">
                    <c:v>NER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87-4EEF-B55A-F7161492F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133343"/>
        <c:axId val="1086135743"/>
      </c:scatterChart>
      <c:valAx>
        <c:axId val="1086133343"/>
        <c:scaling>
          <c:orientation val="minMax"/>
          <c:max val="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35743"/>
        <c:crosses val="autoZero"/>
        <c:crossBetween val="midCat"/>
      </c:valAx>
      <c:valAx>
        <c:axId val="1086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613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Density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Density distribution</a:t>
          </a:r>
        </a:p>
      </cx:txPr>
    </cx:title>
    <cx:plotArea>
      <cx:plotAreaRegion>
        <cx:series layoutId="boxWhisker" uniqueId="{741B42A5-58A4-4DCA-AEE3-D3735DF2CA7E}">
          <cx:tx>
            <cx:txData>
              <cx:f>_xlchart.v1.0</cx:f>
              <cx:v> Density per 10,000 (2022)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boxWhisker" uniqueId="{841EE637-7918-4542-9427-EAE0B492675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Density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Density distribution</a:t>
          </a:r>
        </a:p>
      </cx:txPr>
    </cx:title>
    <cx:plotArea>
      <cx:plotAreaRegion>
        <cx:series layoutId="boxWhisker" uniqueId="{741B42A5-58A4-4DCA-AEE3-D3735DF2CA7E}">
          <cx:tx>
            <cx:txData>
              <cx:f>_xlchart.v1.3</cx:f>
              <cx:v> Density per 10,000 (2022)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841EE637-7918-4542-9427-EAE0B492675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9</xdr:row>
      <xdr:rowOff>19049</xdr:rowOff>
    </xdr:from>
    <xdr:to>
      <xdr:col>21</xdr:col>
      <xdr:colOff>495300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E544E31-ABB4-E4DA-7C27-A58D3349E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35050" y="1676399"/>
              <a:ext cx="4616450" cy="419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314325</xdr:colOff>
      <xdr:row>19</xdr:row>
      <xdr:rowOff>161925</xdr:rowOff>
    </xdr:from>
    <xdr:to>
      <xdr:col>30</xdr:col>
      <xdr:colOff>9525</xdr:colOff>
      <xdr:row>34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E6FA86C-ED9B-7A6D-23B8-F2A6255F69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86475" y="3660775"/>
              <a:ext cx="46228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9</xdr:row>
      <xdr:rowOff>19049</xdr:rowOff>
    </xdr:from>
    <xdr:to>
      <xdr:col>21</xdr:col>
      <xdr:colOff>495300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622DEE-8CBB-421A-83BE-73B9C3C5C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35050" y="1676399"/>
              <a:ext cx="4616450" cy="419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314325</xdr:colOff>
      <xdr:row>19</xdr:row>
      <xdr:rowOff>161925</xdr:rowOff>
    </xdr:from>
    <xdr:to>
      <xdr:col>30</xdr:col>
      <xdr:colOff>9525</xdr:colOff>
      <xdr:row>34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7DD9ADC-060E-4F2A-818B-7FEC76EAA5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86475" y="3660775"/>
              <a:ext cx="46228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523754</xdr:colOff>
      <xdr:row>4</xdr:row>
      <xdr:rowOff>189852</xdr:rowOff>
    </xdr:from>
    <xdr:to>
      <xdr:col>13</xdr:col>
      <xdr:colOff>142754</xdr:colOff>
      <xdr:row>51</xdr:row>
      <xdr:rowOff>39706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70E4836-E08C-800E-7953-C3669D9A90D4}"/>
            </a:ext>
          </a:extLst>
        </xdr:cNvPr>
        <xdr:cNvGrpSpPr/>
      </xdr:nvGrpSpPr>
      <xdr:grpSpPr>
        <a:xfrm>
          <a:off x="523754" y="1291224"/>
          <a:ext cx="12015611" cy="8675649"/>
          <a:chOff x="50426" y="455628"/>
          <a:chExt cx="12404912" cy="8481063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EBF23D5D-636F-D3C2-9CBB-398982232415}"/>
              </a:ext>
            </a:extLst>
          </xdr:cNvPr>
          <xdr:cNvGraphicFramePr/>
        </xdr:nvGraphicFramePr>
        <xdr:xfrm>
          <a:off x="50426" y="455628"/>
          <a:ext cx="12404912" cy="84810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E7FB8414-58E4-3336-D6C2-0C34CA31DD8F}"/>
              </a:ext>
            </a:extLst>
          </xdr:cNvPr>
          <xdr:cNvCxnSpPr/>
        </xdr:nvCxnSpPr>
        <xdr:spPr>
          <a:xfrm>
            <a:off x="2403663" y="1047750"/>
            <a:ext cx="0" cy="698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BF2C8210-1248-A798-8059-8443A5B369C0}"/>
              </a:ext>
            </a:extLst>
          </xdr:cNvPr>
          <xdr:cNvCxnSpPr/>
        </xdr:nvCxnSpPr>
        <xdr:spPr>
          <a:xfrm flipH="1">
            <a:off x="659780" y="6887384"/>
            <a:ext cx="1139774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790639</xdr:colOff>
      <xdr:row>6</xdr:row>
      <xdr:rowOff>135326</xdr:rowOff>
    </xdr:from>
    <xdr:to>
      <xdr:col>3</xdr:col>
      <xdr:colOff>253005</xdr:colOff>
      <xdr:row>8</xdr:row>
      <xdr:rowOff>23143</xdr:rowOff>
    </xdr:to>
    <xdr:sp macro="" textlink="">
      <xdr:nvSpPr>
        <xdr:cNvPr id="8" name="TextBox 2">
          <a:extLst>
            <a:ext uri="{FF2B5EF4-FFF2-40B4-BE49-F238E27FC236}">
              <a16:creationId xmlns:a16="http://schemas.microsoft.com/office/drawing/2014/main" id="{5DD073DF-9A02-7DA3-ACF4-60DB1D2D1FD0}"/>
            </a:ext>
          </a:extLst>
        </xdr:cNvPr>
        <xdr:cNvSpPr txBox="1"/>
      </xdr:nvSpPr>
      <xdr:spPr>
        <a:xfrm>
          <a:off x="2737972" y="1585243"/>
          <a:ext cx="14732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53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810746</xdr:colOff>
      <xdr:row>32</xdr:row>
      <xdr:rowOff>49601</xdr:rowOff>
    </xdr:from>
    <xdr:to>
      <xdr:col>12</xdr:col>
      <xdr:colOff>463613</xdr:colOff>
      <xdr:row>33</xdr:row>
      <xdr:rowOff>117335</xdr:rowOff>
    </xdr:to>
    <xdr:sp macro="" textlink="">
      <xdr:nvSpPr>
        <xdr:cNvPr id="9" name="TextBox 2">
          <a:extLst>
            <a:ext uri="{FF2B5EF4-FFF2-40B4-BE49-F238E27FC236}">
              <a16:creationId xmlns:a16="http://schemas.microsoft.com/office/drawing/2014/main" id="{513231B8-72A5-47DC-A0C0-9C6ABBB04A2B}"/>
            </a:ext>
          </a:extLst>
        </xdr:cNvPr>
        <xdr:cNvSpPr txBox="1"/>
      </xdr:nvSpPr>
      <xdr:spPr>
        <a:xfrm>
          <a:off x="11113622" y="6357268"/>
          <a:ext cx="14732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23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0</xdr:colOff>
      <xdr:row>1</xdr:row>
      <xdr:rowOff>0</xdr:rowOff>
    </xdr:from>
    <xdr:to>
      <xdr:col>33</xdr:col>
      <xdr:colOff>121709</xdr:colOff>
      <xdr:row>47</xdr:row>
      <xdr:rowOff>48635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01CDC45-905C-4906-A2C2-AFAE6A946DBB}"/>
            </a:ext>
          </a:extLst>
        </xdr:cNvPr>
        <xdr:cNvGrpSpPr/>
      </xdr:nvGrpSpPr>
      <xdr:grpSpPr>
        <a:xfrm>
          <a:off x="13010444" y="557389"/>
          <a:ext cx="11784543" cy="8670524"/>
          <a:chOff x="50426" y="455628"/>
          <a:chExt cx="12404912" cy="8481063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E0DBE81B-41DE-186F-A69A-EF872E1D9F03}"/>
              </a:ext>
            </a:extLst>
          </xdr:cNvPr>
          <xdr:cNvGraphicFramePr/>
        </xdr:nvGraphicFramePr>
        <xdr:xfrm>
          <a:off x="50426" y="455628"/>
          <a:ext cx="12404912" cy="84810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816E94EE-A629-9E97-A00B-842E20D45227}"/>
              </a:ext>
            </a:extLst>
          </xdr:cNvPr>
          <xdr:cNvCxnSpPr/>
        </xdr:nvCxnSpPr>
        <xdr:spPr>
          <a:xfrm>
            <a:off x="4376657" y="1053353"/>
            <a:ext cx="0" cy="698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20EF559D-D078-EC66-42DA-674588D0A537}"/>
              </a:ext>
            </a:extLst>
          </xdr:cNvPr>
          <xdr:cNvCxnSpPr/>
        </xdr:nvCxnSpPr>
        <xdr:spPr>
          <a:xfrm flipH="1">
            <a:off x="704368" y="6887384"/>
            <a:ext cx="1139774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224118</xdr:colOff>
      <xdr:row>34</xdr:row>
      <xdr:rowOff>58463</xdr:rowOff>
    </xdr:from>
    <xdr:to>
      <xdr:col>32</xdr:col>
      <xdr:colOff>398059</xdr:colOff>
      <xdr:row>35</xdr:row>
      <xdr:rowOff>129121</xdr:rowOff>
    </xdr:to>
    <xdr:sp macro="" textlink="">
      <xdr:nvSpPr>
        <xdr:cNvPr id="15" name="TextBox 2">
          <a:extLst>
            <a:ext uri="{FF2B5EF4-FFF2-40B4-BE49-F238E27FC236}">
              <a16:creationId xmlns:a16="http://schemas.microsoft.com/office/drawing/2014/main" id="{34979A54-9093-4A4A-9160-6613E68D5979}"/>
            </a:ext>
          </a:extLst>
        </xdr:cNvPr>
        <xdr:cNvSpPr txBox="1"/>
      </xdr:nvSpPr>
      <xdr:spPr>
        <a:xfrm>
          <a:off x="23974499" y="6796366"/>
          <a:ext cx="1466028" cy="25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23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369794</xdr:colOff>
      <xdr:row>2</xdr:row>
      <xdr:rowOff>156882</xdr:rowOff>
    </xdr:from>
    <xdr:to>
      <xdr:col>21</xdr:col>
      <xdr:colOff>544980</xdr:colOff>
      <xdr:row>4</xdr:row>
      <xdr:rowOff>45320</xdr:rowOff>
    </xdr:to>
    <xdr:sp macro="" textlink="">
      <xdr:nvSpPr>
        <xdr:cNvPr id="16" name="TextBox 2">
          <a:extLst>
            <a:ext uri="{FF2B5EF4-FFF2-40B4-BE49-F238E27FC236}">
              <a16:creationId xmlns:a16="http://schemas.microsoft.com/office/drawing/2014/main" id="{EFBEFD57-D9A6-4B0F-BB8C-F611D9CB26AF}"/>
            </a:ext>
          </a:extLst>
        </xdr:cNvPr>
        <xdr:cNvSpPr txBox="1"/>
      </xdr:nvSpPr>
      <xdr:spPr>
        <a:xfrm>
          <a:off x="17055353" y="885264"/>
          <a:ext cx="1475068" cy="2470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53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93134</xdr:colOff>
      <xdr:row>40</xdr:row>
      <xdr:rowOff>68794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FD306-D4EB-4FAA-B054-54E2B3914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180976</xdr:colOff>
      <xdr:row>15</xdr:row>
      <xdr:rowOff>38096</xdr:rowOff>
    </xdr:from>
    <xdr:to>
      <xdr:col>15</xdr:col>
      <xdr:colOff>523876</xdr:colOff>
      <xdr:row>16</xdr:row>
      <xdr:rowOff>104771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69766C-62C6-71AE-B9F6-2FF33242D512}"/>
            </a:ext>
          </a:extLst>
        </xdr:cNvPr>
        <xdr:cNvSpPr txBox="1"/>
      </xdr:nvSpPr>
      <xdr:spPr>
        <a:xfrm>
          <a:off x="8601076" y="2752721"/>
          <a:ext cx="16383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1.2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0.5521</cdr:x>
      <cdr:y>0.01137</cdr:y>
    </cdr:from>
    <cdr:to>
      <cdr:x>0.5521</cdr:x>
      <cdr:y>0.93751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7FB8414-58E4-3336-D6C2-0C34CA31DD8F}"/>
            </a:ext>
          </a:extLst>
        </cdr:cNvPr>
        <cdr:cNvCxnSpPr/>
      </cdr:nvCxnSpPr>
      <cdr:spPr>
        <a:xfrm xmlns:a="http://schemas.openxmlformats.org/drawingml/2006/main">
          <a:off x="5772955" y="83109"/>
          <a:ext cx="0" cy="6768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2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</cdr:x>
      <cdr:y>0.41384</cdr:y>
    </cdr:from>
    <cdr:to>
      <cdr:x>1</cdr:x>
      <cdr:y>0.41384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F2C8210-1248-A798-8059-8443A5B369C0}"/>
            </a:ext>
          </a:extLst>
        </cdr:cNvPr>
        <cdr:cNvCxnSpPr/>
      </cdr:nvCxnSpPr>
      <cdr:spPr>
        <a:xfrm xmlns:a="http://schemas.openxmlformats.org/drawingml/2006/main" flipH="1">
          <a:off x="0" y="3024279"/>
          <a:ext cx="10456334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2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0.37743</cdr:x>
      <cdr:y>0.01151</cdr:y>
    </cdr:from>
    <cdr:to>
      <cdr:x>0.51832</cdr:x>
      <cdr:y>0.0454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1D69766C-62C6-71AE-B9F6-2FF33242D512}"/>
            </a:ext>
          </a:extLst>
        </cdr:cNvPr>
        <cdr:cNvSpPr txBox="1"/>
      </cdr:nvSpPr>
      <cdr:spPr>
        <a:xfrm xmlns:a="http://schemas.openxmlformats.org/drawingml/2006/main">
          <a:off x="3946525" y="84137"/>
          <a:ext cx="147320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1.6</a:t>
          </a:r>
          <a:endParaRPr lang="en-GB" sz="1100" b="1">
            <a:solidFill>
              <a:srgbClr val="FF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224118</xdr:colOff>
      <xdr:row>34</xdr:row>
      <xdr:rowOff>58463</xdr:rowOff>
    </xdr:from>
    <xdr:to>
      <xdr:col>45</xdr:col>
      <xdr:colOff>398059</xdr:colOff>
      <xdr:row>35</xdr:row>
      <xdr:rowOff>129121</xdr:rowOff>
    </xdr:to>
    <xdr:sp macro="" textlink="">
      <xdr:nvSpPr>
        <xdr:cNvPr id="12" name="TextBox 2">
          <a:extLst>
            <a:ext uri="{FF2B5EF4-FFF2-40B4-BE49-F238E27FC236}">
              <a16:creationId xmlns:a16="http://schemas.microsoft.com/office/drawing/2014/main" id="{40672CDD-6088-47D0-A3EB-90C37FE5E59B}"/>
            </a:ext>
          </a:extLst>
        </xdr:cNvPr>
        <xdr:cNvSpPr txBox="1"/>
      </xdr:nvSpPr>
      <xdr:spPr>
        <a:xfrm>
          <a:off x="23703243" y="6759301"/>
          <a:ext cx="1440766" cy="25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GB" sz="1100" b="1">
              <a:solidFill>
                <a:srgbClr val="FF0000"/>
              </a:solidFill>
            </a:rPr>
            <a:t>Regional</a:t>
          </a:r>
          <a:r>
            <a:rPr lang="en-GB" sz="1100" b="1" baseline="0">
              <a:solidFill>
                <a:srgbClr val="FF0000"/>
              </a:solidFill>
            </a:rPr>
            <a:t> average: 23</a:t>
          </a:r>
          <a:endParaRPr lang="en-GB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56329</xdr:colOff>
      <xdr:row>0</xdr:row>
      <xdr:rowOff>336620</xdr:rowOff>
    </xdr:from>
    <xdr:to>
      <xdr:col>42</xdr:col>
      <xdr:colOff>413261</xdr:colOff>
      <xdr:row>36</xdr:row>
      <xdr:rowOff>158068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7DF1AC-C07E-C985-2F20-0A1EBF4C7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0.14907</cdr:x>
      <cdr:y>0.06393</cdr:y>
    </cdr:from>
    <cdr:to>
      <cdr:x>0.14907</cdr:x>
      <cdr:y>0.97663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040A253-2123-5E70-9214-11E51CD95F47}"/>
            </a:ext>
          </a:extLst>
        </cdr:cNvPr>
        <cdr:cNvCxnSpPr/>
      </cdr:nvCxnSpPr>
      <cdr:spPr>
        <a:xfrm xmlns:a="http://schemas.openxmlformats.org/drawingml/2006/main" flipV="1">
          <a:off x="1562920" y="440743"/>
          <a:ext cx="0" cy="62926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0.0489</cdr:x>
      <cdr:y>0.78066</cdr:y>
    </cdr:from>
    <cdr:to>
      <cdr:x>0.80741</cdr:x>
      <cdr:y>0.78066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2CEA00B8-CB3E-D024-FB8B-61A5EC64431C}"/>
            </a:ext>
          </a:extLst>
        </cdr:cNvPr>
        <cdr:cNvCxnSpPr/>
      </cdr:nvCxnSpPr>
      <cdr:spPr>
        <a:xfrm xmlns:a="http://schemas.openxmlformats.org/drawingml/2006/main">
          <a:off x="514270" y="5411105"/>
          <a:ext cx="7977171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597957</xdr:colOff>
      <xdr:row>0</xdr:row>
      <xdr:rowOff>724958</xdr:rowOff>
    </xdr:from>
    <xdr:to>
      <xdr:col>56</xdr:col>
      <xdr:colOff>1391707</xdr:colOff>
      <xdr:row>40</xdr:row>
      <xdr:rowOff>68792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66C5C-A319-485C-BB03-B999D020C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373944</xdr:colOff>
      <xdr:row>41</xdr:row>
      <xdr:rowOff>138288</xdr:rowOff>
    </xdr:from>
    <xdr:to>
      <xdr:col>54</xdr:col>
      <xdr:colOff>606778</xdr:colOff>
      <xdr:row>64</xdr:row>
      <xdr:rowOff>21165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DB4B2A-F955-56AD-E006-D8E5B6CB8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0.30183</cdr:x>
      <cdr:y>0.06036</cdr:y>
    </cdr:from>
    <cdr:to>
      <cdr:x>0.30183</cdr:x>
      <cdr:y>0.96254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EC502AE-B390-6EAB-8206-A07DF10E5A71}"/>
            </a:ext>
          </a:extLst>
        </cdr:cNvPr>
        <cdr:cNvCxnSpPr/>
      </cdr:nvCxnSpPr>
      <cdr:spPr>
        <a:xfrm xmlns:a="http://schemas.openxmlformats.org/drawingml/2006/main" flipV="1">
          <a:off x="3018649" y="482117"/>
          <a:ext cx="0" cy="720561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0.02263</cdr:x>
      <cdr:y>0.83255</cdr:y>
    </cdr:from>
    <cdr:to>
      <cdr:x>0.98468</cdr:x>
      <cdr:y>0.83255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59E10688-5A52-CE26-FEE6-0DAF9E3D25D5}"/>
            </a:ext>
          </a:extLst>
        </cdr:cNvPr>
        <cdr:cNvCxnSpPr/>
      </cdr:nvCxnSpPr>
      <cdr:spPr>
        <a:xfrm xmlns:a="http://schemas.openxmlformats.org/drawingml/2006/main">
          <a:off x="226279" y="6649448"/>
          <a:ext cx="962170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597957</xdr:colOff>
      <xdr:row>0</xdr:row>
      <xdr:rowOff>724958</xdr:rowOff>
    </xdr:from>
    <xdr:to>
      <xdr:col>55</xdr:col>
      <xdr:colOff>1391707</xdr:colOff>
      <xdr:row>40</xdr:row>
      <xdr:rowOff>68792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F5191-F46E-6A24-B82E-886283990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0.30183</cdr:x>
      <cdr:y>0.06036</cdr:y>
    </cdr:from>
    <cdr:to>
      <cdr:x>0.30183</cdr:x>
      <cdr:y>0.96254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EC502AE-B390-6EAB-8206-A07DF10E5A71}"/>
            </a:ext>
          </a:extLst>
        </cdr:cNvPr>
        <cdr:cNvCxnSpPr/>
      </cdr:nvCxnSpPr>
      <cdr:spPr>
        <a:xfrm xmlns:a="http://schemas.openxmlformats.org/drawingml/2006/main" flipV="1">
          <a:off x="3018649" y="482117"/>
          <a:ext cx="0" cy="720561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0.02263</cdr:x>
      <cdr:y>0.83255</cdr:y>
    </cdr:from>
    <cdr:to>
      <cdr:x>0.98468</cdr:x>
      <cdr:y>0.83255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59E10688-5A52-CE26-FEE6-0DAF9E3D25D5}"/>
            </a:ext>
          </a:extLst>
        </cdr:cNvPr>
        <cdr:cNvCxnSpPr/>
      </cdr:nvCxnSpPr>
      <cdr:spPr>
        <a:xfrm xmlns:a="http://schemas.openxmlformats.org/drawingml/2006/main">
          <a:off x="226279" y="6649448"/>
          <a:ext cx="962170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OL, Mathieu" refreshedDate="45357.447372569448" createdVersion="8" refreshedVersion="8" minRefreshableVersion="3" recordCount="47" xr:uid="{4B49DBA8-CE16-40B3-ACC3-C4052DA97069}">
  <cacheSource type="worksheet">
    <worksheetSource ref="E1:K48" sheet="Combined density-grad-stock"/>
  </cacheSource>
  <cacheFields count="7">
    <cacheField name="Country" numFmtId="0">
      <sharedItems/>
    </cacheField>
    <cacheField name=" Density per 10,000 (2022)" numFmtId="167">
      <sharedItems containsSemiMixedTypes="0" containsString="0" containsNumber="1" minValue="4.955848322257995" maxValue="296.4662893379861"/>
    </cacheField>
    <cacheField name="Doctors and Nurses Stock 2022" numFmtId="1">
      <sharedItems containsSemiMixedTypes="0" containsString="0" containsNumber="1" minValue="545" maxValue="445282.24962174537"/>
    </cacheField>
    <cacheField name="Doctors and Nurses graduates" numFmtId="0">
      <sharedItems containsString="0" containsBlank="1" containsNumber="1" containsInteger="1" minValue="18" maxValue="30081"/>
    </cacheField>
    <cacheField name="Ratio stock to graduates" numFmtId="0">
      <sharedItems containsSemiMixedTypes="0" containsString="0" containsNumber="1" minValue="0.95412514516632685" maxValue="107.24524316516025"/>
    </cacheField>
    <cacheField name="categories" numFmtId="0">
      <sharedItems count="4">
        <s v="Slow education production - 20 to 30 stock to grad"/>
        <s v="Very rapid education production - Less than 10 stock to grad"/>
        <s v="Rapid education production - 10 to 20 stock to grad"/>
        <s v="Very slow education production - 30 stock to grad and more"/>
      </sharedItems>
    </cacheField>
    <cacheField name="Density quartile" numFmtId="0">
      <sharedItems count="4">
        <s v="&gt;Q3 density"/>
        <s v="Median-Q3 density"/>
        <s v="&lt;Q1 density"/>
        <s v="Q1-Median dens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9.504583564812" createdVersion="8" refreshedVersion="8" minRefreshableVersion="3" recordCount="47" xr:uid="{21FD21CD-0D72-4F16-8155-BA5AA6E9F527}">
  <cacheSource type="worksheet">
    <worksheetSource ref="A1:K48" sheet="Summaries"/>
  </cacheSource>
  <cacheFields count="11">
    <cacheField name="Country" numFmtId="0">
      <sharedItems count="47">
        <s v="Seychelles"/>
        <s v="South Africa"/>
        <s v="Namibia"/>
        <s v="Cabo Verde"/>
        <s v="Mauritius"/>
        <s v="Eswatini"/>
        <s v="Ghana"/>
        <s v="Algeria"/>
        <s v="Zimbabwe"/>
        <s v="Botswana"/>
        <s v="Zambia"/>
        <s v="Gabon"/>
        <s v="São Tomé and Príncipe"/>
        <s v="Uganda"/>
        <s v="Kenya"/>
        <s v="Sierra Leone"/>
        <s v="Angola"/>
        <s v="Nigeria"/>
        <s v="Comoros"/>
        <s v="Lesotho"/>
        <s v="Mauritania"/>
        <s v="Ethiopia"/>
        <s v="Eritrea"/>
        <s v="Democratic Republic of the Congo"/>
        <s v="Republic of Congo"/>
        <s v="Rwanda"/>
        <s v="Guinea-Bissau"/>
        <s v="Liberia"/>
        <s v="Burkina Faso"/>
        <s v="Côte d'Ivoire"/>
        <s v="Mozambique"/>
        <s v="Equatorial Guinea"/>
        <s v="Burundi"/>
        <s v="Benin"/>
        <s v="Cameroon"/>
        <s v="The Gambia"/>
        <s v="South Sudan"/>
        <s v="Tanzania"/>
        <s v="Senegal"/>
        <s v="Togo"/>
        <s v="Mali"/>
        <s v="Malawi"/>
        <s v="Madagascar"/>
        <s v="Guinea"/>
        <s v="Chad"/>
        <s v="Central African Republic"/>
        <s v="Niger"/>
      </sharedItems>
    </cacheField>
    <cacheField name="Country_ISCO" numFmtId="0">
      <sharedItems/>
    </cacheField>
    <cacheField name=" Density per 10,000 (2022)" numFmtId="0">
      <sharedItems containsSemiMixedTypes="0" containsString="0" containsNumber="1" minValue="4.955848322257995" maxValue="296.4662893379861"/>
    </cacheField>
    <cacheField name="Ratio stock to graduates" numFmtId="0">
      <sharedItems containsSemiMixedTypes="0" containsString="0" containsNumber="1" minValue="0.95412514516632685" maxValue="107.24524316516025"/>
    </cacheField>
    <cacheField name="Population" numFmtId="0">
      <sharedItems containsSemiMixedTypes="0" containsString="0" containsNumber="1" minValue="107118.5" maxValue="218541211.50000003"/>
    </cacheField>
    <cacheField name="WEIGHTED" numFmtId="0">
      <sharedItems/>
    </cacheField>
    <cacheField name="WEIGHTED2" numFmtId="0">
      <sharedItems/>
    </cacheField>
    <cacheField name="WEIGHTED QUADRANT" numFmtId="0">
      <sharedItems count="4">
        <s v="4"/>
        <s v="3"/>
        <s v="1"/>
        <s v="2"/>
      </sharedItems>
    </cacheField>
    <cacheField name="Not weight" numFmtId="0">
      <sharedItems/>
    </cacheField>
    <cacheField name="Not weight2" numFmtId="0">
      <sharedItems/>
    </cacheField>
    <cacheField name="Not WEIGHTED QUADRANT" numFmtId="0">
      <sharedItems count="4">
        <s v="4"/>
        <s v="3"/>
        <s v="2"/>
        <s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98.058568574484738"/>
    <n v="53077.717864361715"/>
    <m/>
    <n v="22.857935830441416"/>
    <x v="0"/>
    <x v="0"/>
  </r>
  <r>
    <s v="Angola"/>
    <n v="38.456345697593264"/>
    <n v="75410.353814379763"/>
    <n v="3561"/>
    <n v="21.176735134619424"/>
    <x v="0"/>
    <x v="1"/>
  </r>
  <r>
    <s v="Benin"/>
    <n v="18.729624018891407"/>
    <n v="8501"/>
    <n v="1037"/>
    <n v="8.1976856316297013"/>
    <x v="1"/>
    <x v="2"/>
  </r>
  <r>
    <s v="Botswana"/>
    <n v="68.115844081394968"/>
    <n v="9020"/>
    <n v="550"/>
    <n v="16.399999999999999"/>
    <x v="2"/>
    <x v="0"/>
  </r>
  <r>
    <s v="Burkina Faso"/>
    <n v="16.827323041243478"/>
    <n v="17284"/>
    <n v="2662"/>
    <n v="6.4928625093914354"/>
    <x v="1"/>
    <x v="2"/>
  </r>
  <r>
    <s v="Burundi"/>
    <n v="40.986337247671983"/>
    <n v="10386.861039439735"/>
    <n v="1792"/>
    <n v="5.7962394193302087"/>
    <x v="1"/>
    <x v="1"/>
  </r>
  <r>
    <s v="Cameroon"/>
    <n v="11.326441981493597"/>
    <n v="20232"/>
    <n v="3460"/>
    <n v="5.8473988439306357"/>
    <x v="1"/>
    <x v="2"/>
  </r>
  <r>
    <s v="Cape-Verde"/>
    <n v="104.36309518407614"/>
    <n v="3585"/>
    <m/>
    <n v="22.857935830441416"/>
    <x v="0"/>
    <x v="0"/>
  </r>
  <r>
    <s v="Central African Republic"/>
    <n v="10.210731090719779"/>
    <n v="794.8697270471464"/>
    <n v="18"/>
    <n v="44.159429280397021"/>
    <x v="3"/>
    <x v="2"/>
  </r>
  <r>
    <s v="Chad"/>
    <n v="22.710971898965504"/>
    <n v="4894.1517348524085"/>
    <n v="3250"/>
    <n v="1.5058928414930488"/>
    <x v="1"/>
    <x v="3"/>
  </r>
  <r>
    <s v="Comoros"/>
    <n v="31.333794542132008"/>
    <n v="1138.9709740708436"/>
    <n v="40"/>
    <n v="28.47427435177109"/>
    <x v="0"/>
    <x v="3"/>
  </r>
  <r>
    <s v="Congo"/>
    <n v="20.330016447381468"/>
    <n v="6615"/>
    <n v="120"/>
    <n v="55.125"/>
    <x v="3"/>
    <x v="2"/>
  </r>
  <r>
    <s v="Cote d'Ivoire"/>
    <n v="25.91975377602575"/>
    <n v="25552.785469257356"/>
    <n v="1261"/>
    <n v="20.263906002583152"/>
    <x v="0"/>
    <x v="3"/>
  </r>
  <r>
    <s v="DRC"/>
    <n v="15.888047021793218"/>
    <n v="136605.95871911859"/>
    <n v="30081"/>
    <n v="4.5412705268813731"/>
    <x v="1"/>
    <x v="2"/>
  </r>
  <r>
    <s v="Equatorial Guinea"/>
    <n v="27.930586305707227"/>
    <n v="1649.6823759925792"/>
    <n v="1729"/>
    <n v="0.95412514516632685"/>
    <x v="1"/>
    <x v="3"/>
  </r>
  <r>
    <s v="Eritrea"/>
    <n v="38.107951184321514"/>
    <n v="5305.8176475233076"/>
    <n v="400"/>
    <n v="13.264544118808269"/>
    <x v="2"/>
    <x v="3"/>
  </r>
  <r>
    <s v="Eswatini"/>
    <n v="140.19826135915432"/>
    <n v="5929"/>
    <n v="160"/>
    <n v="37.056249999999999"/>
    <x v="3"/>
    <x v="0"/>
  </r>
  <r>
    <s v="Ethiopia"/>
    <n v="33.829583652601642"/>
    <n v="155003"/>
    <n v="9412"/>
    <n v="16.468657033574161"/>
    <x v="2"/>
    <x v="3"/>
  </r>
  <r>
    <s v="Gabon"/>
    <n v="57.112151673993168"/>
    <n v="6016.9896979221239"/>
    <n v="141"/>
    <n v="42.673685800866124"/>
    <x v="3"/>
    <x v="1"/>
  </r>
  <r>
    <s v="Gambia"/>
    <n v="34.171087572485987"/>
    <n v="1703.270897043833"/>
    <n v="160"/>
    <n v="10.645443106523956"/>
    <x v="2"/>
    <x v="3"/>
  </r>
  <r>
    <s v="Ghana"/>
    <n v="70.640914271306528"/>
    <n v="128930.27697797566"/>
    <n v="22837"/>
    <n v="5.6456748687645337"/>
    <x v="1"/>
    <x v="0"/>
  </r>
  <r>
    <s v="Guinea"/>
    <n v="17.813553305551778"/>
    <n v="5360.3288771104162"/>
    <n v="1731"/>
    <n v="3.096666017972511"/>
    <x v="1"/>
    <x v="2"/>
  </r>
  <r>
    <s v="Guinea-Bissau"/>
    <n v="43.637164811660909"/>
    <n v="2409.8737642585552"/>
    <m/>
    <n v="22.857935830441416"/>
    <x v="0"/>
    <x v="1"/>
  </r>
  <r>
    <s v="Kenya"/>
    <n v="52.761765904512501"/>
    <n v="122451"/>
    <n v="1628"/>
    <n v="75.215601965601962"/>
    <x v="3"/>
    <x v="1"/>
  </r>
  <r>
    <s v="Lesotho"/>
    <n v="125.68172362603974"/>
    <n v="1772.0899117026884"/>
    <n v="384"/>
    <n v="4.6148174783924176"/>
    <x v="1"/>
    <x v="0"/>
  </r>
  <r>
    <s v="Liberia"/>
    <n v="57.003752262980719"/>
    <n v="5377.7952883834278"/>
    <n v="92"/>
    <n v="58.454296612863345"/>
    <x v="3"/>
    <x v="1"/>
  </r>
  <r>
    <s v="Madagascar"/>
    <n v="21.968767905514429"/>
    <n v="9790"/>
    <n v="2856"/>
    <n v="3.4278711484593836"/>
    <x v="1"/>
    <x v="2"/>
  </r>
  <r>
    <s v="Malawi"/>
    <n v="18.931285154211427"/>
    <n v="10695.563775185577"/>
    <n v="501"/>
    <n v="21.348430688993169"/>
    <x v="0"/>
    <x v="2"/>
  </r>
  <r>
    <s v="Mali"/>
    <n v="16.946843842481947"/>
    <n v="10729"/>
    <m/>
    <n v="22.857935830441416"/>
    <x v="0"/>
    <x v="2"/>
  </r>
  <r>
    <s v="Mauritania"/>
    <n v="43.978835355257424"/>
    <n v="7776.0346943092873"/>
    <n v="113"/>
    <n v="68.81446632132112"/>
    <x v="3"/>
    <x v="1"/>
  </r>
  <r>
    <s v="Mauritius"/>
    <n v="117.20284698003086"/>
    <n v="6432.5342419766348"/>
    <n v="607"/>
    <n v="10.597255752844539"/>
    <x v="2"/>
    <x v="0"/>
  </r>
  <r>
    <s v="Mozambique"/>
    <n v="54.608508445493854"/>
    <n v="22887"/>
    <n v="1399"/>
    <n v="16.359542530378842"/>
    <x v="2"/>
    <x v="1"/>
  </r>
  <r>
    <s v="Namibia"/>
    <n v="105.35216319078796"/>
    <n v="17155.321723868954"/>
    <n v="675"/>
    <n v="25.415291442768822"/>
    <x v="0"/>
    <x v="0"/>
  </r>
  <r>
    <s v="Niger"/>
    <n v="4.955848322257995"/>
    <n v="5270.6693676127352"/>
    <n v="675"/>
    <n v="7.8083990631299782"/>
    <x v="1"/>
    <x v="2"/>
  </r>
  <r>
    <s v="Nigeria"/>
    <n v="36.583982353138666"/>
    <n v="306862"/>
    <n v="17175"/>
    <n v="17.866783114992721"/>
    <x v="2"/>
    <x v="3"/>
  </r>
  <r>
    <s v="Rwanda"/>
    <n v="59.624042517676429"/>
    <n v="15149.239749316621"/>
    <n v="366"/>
    <n v="41.391365435291313"/>
    <x v="3"/>
    <x v="1"/>
  </r>
  <r>
    <s v="Sao Tome and Principe"/>
    <n v="63.393220513883151"/>
    <n v="545"/>
    <m/>
    <n v="22.857935830441416"/>
    <x v="0"/>
    <x v="1"/>
  </r>
  <r>
    <s v="Senegal"/>
    <n v="23.796885847380697"/>
    <n v="7297.8623058327948"/>
    <n v="1016"/>
    <n v="7.1829353403866092"/>
    <x v="1"/>
    <x v="3"/>
  </r>
  <r>
    <s v="Seychelles"/>
    <n v="296.4662893379861"/>
    <n v="2105"/>
    <n v="50"/>
    <n v="42.1"/>
    <x v="3"/>
    <x v="0"/>
  </r>
  <r>
    <s v="Sierra Leone"/>
    <n v="45.477301239981145"/>
    <n v="16772"/>
    <n v="1972"/>
    <n v="8.5050709939148081"/>
    <x v="1"/>
    <x v="1"/>
  </r>
  <r>
    <s v="South Africa"/>
    <n v="110.14054068074168"/>
    <n v="445282.24962174537"/>
    <n v="4152"/>
    <n v="107.24524316516025"/>
    <x v="3"/>
    <x v="0"/>
  </r>
  <r>
    <s v="South Sudan"/>
    <n v="19.70458233636975"/>
    <n v="4986"/>
    <n v="241"/>
    <n v="20.688796680497926"/>
    <x v="0"/>
    <x v="2"/>
  </r>
  <r>
    <s v="Tanzania"/>
    <n v="28.683351968574311"/>
    <n v="40633"/>
    <n v="3250"/>
    <n v="12.502461538461539"/>
    <x v="2"/>
    <x v="3"/>
  </r>
  <r>
    <s v="Togo"/>
    <n v="30.235229462209936"/>
    <n v="3360"/>
    <n v="317"/>
    <n v="10.599369085173501"/>
    <x v="2"/>
    <x v="3"/>
  </r>
  <r>
    <s v="Uganda"/>
    <n v="70.939806529751905"/>
    <n v="83248.781327967808"/>
    <n v="15998"/>
    <n v="5.2036992954099146"/>
    <x v="1"/>
    <x v="0"/>
  </r>
  <r>
    <s v="Zambia"/>
    <n v="55.939473332937403"/>
    <n v="56506"/>
    <n v="5372"/>
    <n v="10.51861504095309"/>
    <x v="2"/>
    <x v="1"/>
  </r>
  <r>
    <s v="Zimbabwe"/>
    <n v="64.042986580794391"/>
    <n v="49668.598365533384"/>
    <n v="1365"/>
    <n v="36.387251549841309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s v="SYC"/>
    <n v="296.4662893379861"/>
    <n v="42.1"/>
    <n v="107118.5"/>
    <s v="Above Weighted Average"/>
    <s v="Above Weighted Average"/>
    <x v="0"/>
    <s v="Above Non Weighted Average"/>
    <s v="Above Non Weighted Average"/>
    <x v="0"/>
  </r>
  <r>
    <x v="1"/>
    <s v="ZAF"/>
    <n v="110.14054068074168"/>
    <n v="107.24524316516025"/>
    <n v="59893885.5"/>
    <s v="Above Weighted Average"/>
    <s v="Above Weighted Average"/>
    <x v="0"/>
    <s v="Above Non Weighted Average"/>
    <s v="Above Non Weighted Average"/>
    <x v="0"/>
  </r>
  <r>
    <x v="2"/>
    <s v="NAM"/>
    <n v="105.35216319078796"/>
    <n v="25.415291442768822"/>
    <n v="2567012.4999999995"/>
    <s v="Above Weighted Average"/>
    <s v="Above Weighted Average"/>
    <x v="0"/>
    <s v="Above Non Weighted Average"/>
    <s v="Above Non Weighted Average"/>
    <x v="0"/>
  </r>
  <r>
    <x v="3"/>
    <s v="CPV"/>
    <n v="104.36309518407614"/>
    <n v="22.857935830441416"/>
    <n v="593149.50000000012"/>
    <s v="Above Weighted Average"/>
    <s v="Above Weighted Average"/>
    <x v="0"/>
    <s v="Above Non Weighted Average"/>
    <s v="Above Non Weighted Average"/>
    <x v="0"/>
  </r>
  <r>
    <x v="4"/>
    <s v="MUS"/>
    <n v="117.20284698003086"/>
    <n v="10.597255752844539"/>
    <n v="1299468.9999999986"/>
    <s v="Above Weighted Average"/>
    <s v="Below Weighted Average"/>
    <x v="1"/>
    <s v="Above Non Weighted Average"/>
    <s v="Below Non Weighted Average"/>
    <x v="1"/>
  </r>
  <r>
    <x v="5"/>
    <s v="SWZ"/>
    <n v="140.19826135915432"/>
    <n v="37.056249999999999"/>
    <n v="1201670.4999999995"/>
    <s v="Above Weighted Average"/>
    <s v="Above Weighted Average"/>
    <x v="0"/>
    <s v="Above Non Weighted Average"/>
    <s v="Above Non Weighted Average"/>
    <x v="0"/>
  </r>
  <r>
    <x v="6"/>
    <s v="GHA"/>
    <n v="70.640914271306528"/>
    <n v="5.6456748687645337"/>
    <n v="33475870.500000011"/>
    <s v="Above Weighted Average"/>
    <s v="Below Weighted Average"/>
    <x v="1"/>
    <s v="Above Non Weighted Average"/>
    <s v="Below Non Weighted Average"/>
    <x v="1"/>
  </r>
  <r>
    <x v="7"/>
    <s v="DZA"/>
    <n v="130.9"/>
    <n v="22.857935830441416"/>
    <n v="44903225.000000007"/>
    <s v="Above Weighted Average"/>
    <s v="Above Weighted Average"/>
    <x v="0"/>
    <s v="Above Non Weighted Average"/>
    <s v="Above Non Weighted Average"/>
    <x v="0"/>
  </r>
  <r>
    <x v="8"/>
    <s v="ZWE"/>
    <n v="64.042986580794391"/>
    <n v="36.387251549841309"/>
    <n v="16320536.999999996"/>
    <s v="Above Weighted Average"/>
    <s v="Above Weighted Average"/>
    <x v="0"/>
    <s v="Above Non Weighted Average"/>
    <s v="Above Non Weighted Average"/>
    <x v="0"/>
  </r>
  <r>
    <x v="9"/>
    <s v="BWA"/>
    <n v="68.115844081394968"/>
    <n v="16.399999999999999"/>
    <n v="2630296.0000000019"/>
    <s v="Above Weighted Average"/>
    <s v="Below Weighted Average"/>
    <x v="1"/>
    <s v="Above Non Weighted Average"/>
    <s v="Below Non Weighted Average"/>
    <x v="1"/>
  </r>
  <r>
    <x v="10"/>
    <s v="ZMB"/>
    <n v="55.939473332937403"/>
    <n v="10.51861504095309"/>
    <n v="20017675.000000004"/>
    <s v="Above Weighted Average"/>
    <s v="Below Weighted Average"/>
    <x v="1"/>
    <s v="Above Non Weighted Average"/>
    <s v="Below Non Weighted Average"/>
    <x v="1"/>
  </r>
  <r>
    <x v="11"/>
    <s v="GAB"/>
    <n v="57.112151673993168"/>
    <n v="42.673685800866124"/>
    <n v="2388992.5000000005"/>
    <s v="Above Weighted Average"/>
    <s v="Above Weighted Average"/>
    <x v="0"/>
    <s v="Above Non Weighted Average"/>
    <s v="Above Non Weighted Average"/>
    <x v="0"/>
  </r>
  <r>
    <x v="12"/>
    <s v="STP"/>
    <n v="63.393220513883151"/>
    <n v="22.857935830441416"/>
    <n v="227379.5"/>
    <s v="Above Weighted Average"/>
    <s v="Above Weighted Average"/>
    <x v="0"/>
    <s v="Above Non Weighted Average"/>
    <s v="Above Non Weighted Average"/>
    <x v="0"/>
  </r>
  <r>
    <x v="13"/>
    <s v="UGA"/>
    <n v="70.939806529751905"/>
    <n v="5.2036992954099146"/>
    <n v="47249584.999999978"/>
    <s v="Above Weighted Average"/>
    <s v="Below Weighted Average"/>
    <x v="1"/>
    <s v="Above Non Weighted Average"/>
    <s v="Below Non Weighted Average"/>
    <x v="1"/>
  </r>
  <r>
    <x v="14"/>
    <s v="KEN"/>
    <n v="52.761765904512501"/>
    <n v="75.215601965601962"/>
    <n v="54027486.999999985"/>
    <s v="Above Weighted Average"/>
    <s v="Above Weighted Average"/>
    <x v="0"/>
    <s v="Below Non Weighted Average"/>
    <s v="Above Non Weighted Average"/>
    <x v="2"/>
  </r>
  <r>
    <x v="15"/>
    <s v="SLE"/>
    <n v="45.477301239981145"/>
    <n v="8.5050709939148081"/>
    <n v="8605718.0000000056"/>
    <s v="Above Weighted Average"/>
    <s v="Below Weighted Average"/>
    <x v="1"/>
    <s v="Below Non Weighted Average"/>
    <s v="Below Non Weighted Average"/>
    <x v="3"/>
  </r>
  <r>
    <x v="16"/>
    <s v="AGO"/>
    <n v="38.456345697593264"/>
    <n v="21.176735134619424"/>
    <n v="35588987.00000003"/>
    <s v="Below Weighted Average"/>
    <s v="Below Weighted Average"/>
    <x v="2"/>
    <s v="Below Non Weighted Average"/>
    <s v="Below Non Weighted Average"/>
    <x v="3"/>
  </r>
  <r>
    <x v="17"/>
    <s v="NGA"/>
    <n v="36.583982353138666"/>
    <n v="17.866783114992721"/>
    <n v="218541211.50000003"/>
    <s v="Below Weighted Average"/>
    <s v="Below Weighted Average"/>
    <x v="2"/>
    <s v="Below Non Weighted Average"/>
    <s v="Below Non Weighted Average"/>
    <x v="3"/>
  </r>
  <r>
    <x v="18"/>
    <s v="COM"/>
    <n v="31.333794542132008"/>
    <n v="28.47427435177109"/>
    <n v="836773.49999999977"/>
    <s v="Below Weighted Average"/>
    <s v="Above Weighted Average"/>
    <x v="3"/>
    <s v="Below Non Weighted Average"/>
    <s v="Above Non Weighted Average"/>
    <x v="2"/>
  </r>
  <r>
    <x v="19"/>
    <s v="LSO"/>
    <n v="125.68172362603974"/>
    <n v="4.6148174783924176"/>
    <n v="2305825.5000000019"/>
    <s v="Above Weighted Average"/>
    <s v="Below Weighted Average"/>
    <x v="1"/>
    <s v="Above Non Weighted Average"/>
    <s v="Below Non Weighted Average"/>
    <x v="1"/>
  </r>
  <r>
    <x v="20"/>
    <s v="MRT"/>
    <n v="43.978835355257424"/>
    <n v="68.81446632132112"/>
    <n v="4736138.9999999991"/>
    <s v="Above Weighted Average"/>
    <s v="Above Weighted Average"/>
    <x v="0"/>
    <s v="Below Non Weighted Average"/>
    <s v="Above Non Weighted Average"/>
    <x v="2"/>
  </r>
  <r>
    <x v="21"/>
    <s v="ETH"/>
    <n v="33.829583652601642"/>
    <n v="16.468657033574161"/>
    <n v="123379924.50000004"/>
    <s v="Below Weighted Average"/>
    <s v="Below Weighted Average"/>
    <x v="2"/>
    <s v="Below Non Weighted Average"/>
    <s v="Below Non Weighted Average"/>
    <x v="3"/>
  </r>
  <r>
    <x v="22"/>
    <s v="ERI"/>
    <n v="38.107951184321514"/>
    <n v="13.264544118808269"/>
    <n v="3684031.5000000019"/>
    <s v="Below Weighted Average"/>
    <s v="Below Weighted Average"/>
    <x v="2"/>
    <s v="Below Non Weighted Average"/>
    <s v="Below Non Weighted Average"/>
    <x v="3"/>
  </r>
  <r>
    <x v="23"/>
    <s v="COD"/>
    <n v="15.888047021793218"/>
    <n v="4.5412705268813731"/>
    <n v="99010212"/>
    <s v="Below Weighted Average"/>
    <s v="Below Weighted Average"/>
    <x v="2"/>
    <s v="Below Non Weighted Average"/>
    <s v="Below Non Weighted Average"/>
    <x v="3"/>
  </r>
  <r>
    <x v="24"/>
    <s v="COG"/>
    <n v="20.330016447381468"/>
    <n v="55.125"/>
    <n v="5970424.0000000009"/>
    <s v="Below Weighted Average"/>
    <s v="Above Weighted Average"/>
    <x v="3"/>
    <s v="Below Non Weighted Average"/>
    <s v="Above Non Weighted Average"/>
    <x v="2"/>
  </r>
  <r>
    <x v="25"/>
    <s v="RWA"/>
    <n v="59.624042517676429"/>
    <n v="41.391365435291313"/>
    <n v="13776697.499999994"/>
    <s v="Above Weighted Average"/>
    <s v="Above Weighted Average"/>
    <x v="0"/>
    <s v="Above Non Weighted Average"/>
    <s v="Above Non Weighted Average"/>
    <x v="0"/>
  </r>
  <r>
    <x v="26"/>
    <s v="GNB"/>
    <n v="43.637164811660909"/>
    <n v="22.857935830441416"/>
    <n v="2105565.4999999991"/>
    <s v="Above Weighted Average"/>
    <s v="Above Weighted Average"/>
    <x v="0"/>
    <s v="Below Non Weighted Average"/>
    <s v="Above Non Weighted Average"/>
    <x v="2"/>
  </r>
  <r>
    <x v="27"/>
    <s v="LBR"/>
    <n v="57.003752262980719"/>
    <n v="58.454296612863345"/>
    <n v="5302681.0000000028"/>
    <s v="Above Weighted Average"/>
    <s v="Above Weighted Average"/>
    <x v="0"/>
    <s v="Above Non Weighted Average"/>
    <s v="Above Non Weighted Average"/>
    <x v="0"/>
  </r>
  <r>
    <x v="28"/>
    <s v="BFA"/>
    <n v="16.827323041243478"/>
    <n v="6.4928625093914354"/>
    <n v="22673762.000000007"/>
    <s v="Below Weighted Average"/>
    <s v="Below Weighted Average"/>
    <x v="2"/>
    <s v="Below Non Weighted Average"/>
    <s v="Below Non Weighted Average"/>
    <x v="3"/>
  </r>
  <r>
    <x v="29"/>
    <s v="CIV"/>
    <n v="25.91975377602575"/>
    <n v="20.263906002583152"/>
    <n v="28160542.500000004"/>
    <s v="Below Weighted Average"/>
    <s v="Below Weighted Average"/>
    <x v="2"/>
    <s v="Below Non Weighted Average"/>
    <s v="Below Non Weighted Average"/>
    <x v="3"/>
  </r>
  <r>
    <x v="30"/>
    <s v="MOZ"/>
    <n v="54.608508445493854"/>
    <n v="16.359542530378842"/>
    <n v="32969518.500000007"/>
    <s v="Above Weighted Average"/>
    <s v="Below Weighted Average"/>
    <x v="1"/>
    <s v="Above Non Weighted Average"/>
    <s v="Below Non Weighted Average"/>
    <x v="1"/>
  </r>
  <r>
    <x v="31"/>
    <s v="GNQ"/>
    <n v="27.930586305707227"/>
    <n v="0.95412514516632685"/>
    <n v="1674908"/>
    <s v="Below Weighted Average"/>
    <s v="Below Weighted Average"/>
    <x v="2"/>
    <s v="Below Non Weighted Average"/>
    <s v="Below Non Weighted Average"/>
    <x v="3"/>
  </r>
  <r>
    <x v="32"/>
    <s v="BDI"/>
    <n v="40.986337247671983"/>
    <n v="5.7962394193302087"/>
    <n v="12889576.499999994"/>
    <s v="Below Weighted Average"/>
    <s v="Below Weighted Average"/>
    <x v="2"/>
    <s v="Below Non Weighted Average"/>
    <s v="Below Non Weighted Average"/>
    <x v="3"/>
  </r>
  <r>
    <x v="33"/>
    <s v="BEN"/>
    <n v="18.729624018891407"/>
    <n v="8.1976856316297013"/>
    <n v="13352864"/>
    <s v="Below Weighted Average"/>
    <s v="Below Weighted Average"/>
    <x v="2"/>
    <s v="Below Non Weighted Average"/>
    <s v="Below Non Weighted Average"/>
    <x v="3"/>
  </r>
  <r>
    <x v="34"/>
    <s v="CMR"/>
    <n v="11.326441981493597"/>
    <n v="5.8473988439306357"/>
    <n v="27914536.499999989"/>
    <s v="Below Weighted Average"/>
    <s v="Below Weighted Average"/>
    <x v="2"/>
    <s v="Below Non Weighted Average"/>
    <s v="Below Non Weighted Average"/>
    <x v="3"/>
  </r>
  <r>
    <x v="35"/>
    <s v="GMB"/>
    <n v="34.171087572485987"/>
    <n v="10.645443106523956"/>
    <n v="2705991.9999999995"/>
    <s v="Below Weighted Average"/>
    <s v="Below Weighted Average"/>
    <x v="2"/>
    <s v="Below Non Weighted Average"/>
    <s v="Below Non Weighted Average"/>
    <x v="3"/>
  </r>
  <r>
    <x v="36"/>
    <s v="SSD"/>
    <n v="19.70458233636975"/>
    <n v="20.688796680497926"/>
    <n v="10913163.5"/>
    <s v="Below Weighted Average"/>
    <s v="Below Weighted Average"/>
    <x v="2"/>
    <s v="Below Non Weighted Average"/>
    <s v="Below Non Weighted Average"/>
    <x v="3"/>
  </r>
  <r>
    <x v="37"/>
    <s v="TZA"/>
    <n v="28.683351968574311"/>
    <n v="12.502461538461539"/>
    <n v="65497748.000000045"/>
    <s v="Below Weighted Average"/>
    <s v="Below Weighted Average"/>
    <x v="2"/>
    <s v="Below Non Weighted Average"/>
    <s v="Below Non Weighted Average"/>
    <x v="3"/>
  </r>
  <r>
    <x v="38"/>
    <s v="SEN"/>
    <n v="23.796885847380697"/>
    <n v="7.1829353403866092"/>
    <n v="17316449"/>
    <s v="Below Weighted Average"/>
    <s v="Below Weighted Average"/>
    <x v="2"/>
    <s v="Below Non Weighted Average"/>
    <s v="Below Non Weighted Average"/>
    <x v="3"/>
  </r>
  <r>
    <x v="39"/>
    <s v="TGO"/>
    <n v="30.235229462209936"/>
    <n v="10.599369085173501"/>
    <n v="8848698.5000000019"/>
    <s v="Below Weighted Average"/>
    <s v="Below Weighted Average"/>
    <x v="2"/>
    <s v="Below Non Weighted Average"/>
    <s v="Below Non Weighted Average"/>
    <x v="3"/>
  </r>
  <r>
    <x v="40"/>
    <s v="MLI"/>
    <n v="16.946843842481947"/>
    <n v="22.857935830441416"/>
    <n v="22593590.500000022"/>
    <s v="Below Weighted Average"/>
    <s v="Above Weighted Average"/>
    <x v="3"/>
    <s v="Below Non Weighted Average"/>
    <s v="Above Non Weighted Average"/>
    <x v="2"/>
  </r>
  <r>
    <x v="41"/>
    <s v="MWI"/>
    <n v="18.931285154211427"/>
    <n v="21.348430688993169"/>
    <n v="20405316.500000019"/>
    <s v="Below Weighted Average"/>
    <s v="Below Weighted Average"/>
    <x v="2"/>
    <s v="Below Non Weighted Average"/>
    <s v="Below Non Weighted Average"/>
    <x v="3"/>
  </r>
  <r>
    <x v="42"/>
    <s v="MDG"/>
    <n v="21.968767905514429"/>
    <n v="3.4278711484593836"/>
    <n v="29611714.000000004"/>
    <s v="Below Weighted Average"/>
    <s v="Below Weighted Average"/>
    <x v="2"/>
    <s v="Below Non Weighted Average"/>
    <s v="Below Non Weighted Average"/>
    <x v="3"/>
  </r>
  <r>
    <x v="43"/>
    <s v="GIN"/>
    <n v="17.813553305551778"/>
    <n v="3.096666017972511"/>
    <n v="13859340.500000006"/>
    <s v="Below Weighted Average"/>
    <s v="Below Weighted Average"/>
    <x v="2"/>
    <s v="Below Non Weighted Average"/>
    <s v="Below Non Weighted Average"/>
    <x v="3"/>
  </r>
  <r>
    <x v="44"/>
    <s v="TCD"/>
    <n v="22.710971898965504"/>
    <n v="1.5058928414930488"/>
    <n v="17723314.500000004"/>
    <s v="Below Weighted Average"/>
    <s v="Below Weighted Average"/>
    <x v="2"/>
    <s v="Below Non Weighted Average"/>
    <s v="Below Non Weighted Average"/>
    <x v="3"/>
  </r>
  <r>
    <x v="45"/>
    <s v="CAF"/>
    <n v="10.210731090719779"/>
    <n v="44.159429280397021"/>
    <n v="5579143.5000000047"/>
    <s v="Below Weighted Average"/>
    <s v="Above Weighted Average"/>
    <x v="3"/>
    <s v="Below Non Weighted Average"/>
    <s v="Above Non Weighted Average"/>
    <x v="2"/>
  </r>
  <r>
    <x v="46"/>
    <s v="NER"/>
    <n v="4.955848322257995"/>
    <n v="7.8083990631299782"/>
    <n v="26207976.5"/>
    <s v="Below Weighted Average"/>
    <s v="Below Weighted Average"/>
    <x v="2"/>
    <s v="Below Non Weighted Average"/>
    <s v="Below Non Weighted Averag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DA545-9A4F-4C15-A8A3-863EB812ACF4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7">
    <pivotField dataField="1" showAll="0"/>
    <pivotField numFmtId="167" showAll="0"/>
    <pivotField numFmtId="1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untry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04EF7-8584-48AA-88F9-D023F9E690D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1" firstDataRow="2" firstDataCol="1"/>
  <pivotFields count="11">
    <pivotField axis="axisRow" showAll="0">
      <items count="48">
        <item x="7"/>
        <item x="16"/>
        <item x="33"/>
        <item x="9"/>
        <item x="28"/>
        <item x="32"/>
        <item x="3"/>
        <item x="34"/>
        <item x="45"/>
        <item x="44"/>
        <item x="18"/>
        <item x="29"/>
        <item x="23"/>
        <item x="31"/>
        <item x="22"/>
        <item x="5"/>
        <item x="21"/>
        <item x="11"/>
        <item x="6"/>
        <item x="43"/>
        <item x="26"/>
        <item x="14"/>
        <item x="19"/>
        <item x="27"/>
        <item x="42"/>
        <item x="41"/>
        <item x="40"/>
        <item x="20"/>
        <item x="4"/>
        <item x="30"/>
        <item x="2"/>
        <item x="46"/>
        <item x="17"/>
        <item x="24"/>
        <item x="25"/>
        <item x="12"/>
        <item x="38"/>
        <item x="0"/>
        <item x="15"/>
        <item x="1"/>
        <item x="36"/>
        <item x="37"/>
        <item x="35"/>
        <item x="39"/>
        <item x="13"/>
        <item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80075-FB24-419F-B917-1D11449F41CD}" name="Table1" displayName="Table1" ref="A1:N50" totalsRowCount="1" headerRowDxfId="28">
  <autoFilter ref="A1:N49" xr:uid="{CEC80075-FB24-419F-B917-1D11449F41CD}"/>
  <tableColumns count="14">
    <tableColumn id="1" xr3:uid="{7E62C14C-C0A8-4034-821F-5C4BB6835127}" name="Country" totalsRowLabel="Total" dataDxfId="27" totalsRowDxfId="26"/>
    <tableColumn id="2" xr3:uid="{175970C4-522E-4C5F-8A81-60534F8CACAB}" name="Generalist Medical Practitioners" dataDxfId="25" totalsRowDxfId="24"/>
    <tableColumn id="3" xr3:uid="{FB834A7C-F9E9-4594-8B98-00E5775483A1}" name="Specialist Medical Practitioners" dataDxfId="23" totalsRowDxfId="22"/>
    <tableColumn id="4" xr3:uid="{17E9BD43-187D-4992-A047-887BB9A916C9}" name="Dentists" dataDxfId="21" totalsRowDxfId="20"/>
    <tableColumn id="5" xr3:uid="{E213033D-C5F9-44F7-BB23-BF251DF8C5E2}" name="Other Dental practitioners" dataDxfId="19" totalsRowDxfId="18"/>
    <tableColumn id="6" xr3:uid="{1FCB2B40-B07D-422E-969D-0ADDB1486E2F}" name="Pharmacists" dataDxfId="17" totalsRowDxfId="16"/>
    <tableColumn id="7" xr3:uid="{E341DBFB-59A2-4C90-B066-8C7BEF1AB17F}" name="Other Pharmacy practitioners" dataDxfId="15" totalsRowDxfId="14"/>
    <tableColumn id="8" xr3:uid="{55DC3102-F8D0-4E1C-9DC6-AA663E49DC5F}" name="Midwifery personnel" dataDxfId="13" totalsRowDxfId="12"/>
    <tableColumn id="9" xr3:uid="{8925CC3A-C123-4D03-9F45-CA974261B12E}" name="Nursing Personnel" dataDxfId="11" totalsRowDxfId="10"/>
    <tableColumn id="10" xr3:uid="{B0844634-3BB7-4311-A51A-E4FF3E04177D}" name="Medical and Pathology Laboratory scientists" dataDxfId="9" totalsRowDxfId="8"/>
    <tableColumn id="11" xr3:uid="{96203DC7-0291-4192-9691-22FBA3FACB1C}" name="Paramedical Practitioners" dataDxfId="7" totalsRowDxfId="6"/>
    <tableColumn id="12" xr3:uid="{E0A88E66-C81B-47AB-9D56-FCFC20AC14E2}" name="Other Health Workers" totalsRowFunction="custom" dataDxfId="5" totalsRowDxfId="4">
      <totalsRowFormula>L49/Table1[[#Totals],[Total]]</totalsRowFormula>
    </tableColumn>
    <tableColumn id="13" xr3:uid="{A6314F4C-8E79-45D1-99EE-37C55911DCCD}" name="Total" totalsRowFunction="custom" dataDxfId="3" totalsRowDxfId="2">
      <totalsRowFormula>M49-C49</totalsRowFormula>
    </tableColumn>
    <tableColumn id="14" xr3:uid="{7F56CBE5-01E2-45DD-A088-1BF7E91A1EE6}" name="Data Sorce(s)" dataDxfId="1" totalsRowDxfId="0"/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9DF-BFB0-4D75-BA10-F5240BA75D02}">
  <dimension ref="A1:E48"/>
  <sheetViews>
    <sheetView workbookViewId="0">
      <selection sqref="A1:E48"/>
    </sheetView>
  </sheetViews>
  <sheetFormatPr defaultColWidth="8.81640625" defaultRowHeight="14.5" x14ac:dyDescent="0.35"/>
  <cols>
    <col min="1" max="1" width="20.81640625" bestFit="1" customWidth="1"/>
    <col min="4" max="4" width="16.36328125" bestFit="1" customWidth="1"/>
    <col min="5" max="5" width="15.0898437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47</v>
      </c>
      <c r="E1" t="s">
        <v>61</v>
      </c>
    </row>
    <row r="2" spans="1:5" x14ac:dyDescent="0.35">
      <c r="A2" t="s">
        <v>1</v>
      </c>
      <c r="B2">
        <v>0</v>
      </c>
      <c r="C2">
        <v>73168</v>
      </c>
      <c r="D2">
        <v>48033.824348850052</v>
      </c>
      <c r="E2">
        <v>0</v>
      </c>
    </row>
    <row r="3" spans="1:5" x14ac:dyDescent="0.35">
      <c r="A3" t="s">
        <v>2</v>
      </c>
      <c r="B3">
        <v>0</v>
      </c>
      <c r="C3">
        <v>6593</v>
      </c>
      <c r="D3">
        <v>8693</v>
      </c>
      <c r="E3">
        <v>611</v>
      </c>
    </row>
    <row r="4" spans="1:5" x14ac:dyDescent="0.35">
      <c r="A4" t="s">
        <v>3</v>
      </c>
      <c r="B4">
        <v>0</v>
      </c>
      <c r="C4">
        <v>908</v>
      </c>
      <c r="D4">
        <v>2608</v>
      </c>
      <c r="E4">
        <v>780</v>
      </c>
    </row>
    <row r="5" spans="1:5" x14ac:dyDescent="0.35">
      <c r="A5" t="s">
        <v>4</v>
      </c>
      <c r="B5">
        <v>819</v>
      </c>
      <c r="C5">
        <v>925</v>
      </c>
      <c r="D5">
        <v>992</v>
      </c>
      <c r="E5">
        <v>60</v>
      </c>
    </row>
    <row r="6" spans="1:5" x14ac:dyDescent="0.35">
      <c r="A6" t="s">
        <v>5</v>
      </c>
      <c r="B6">
        <v>803</v>
      </c>
      <c r="C6">
        <v>1684</v>
      </c>
      <c r="D6">
        <v>3323</v>
      </c>
      <c r="E6">
        <v>1492</v>
      </c>
    </row>
    <row r="7" spans="1:5" x14ac:dyDescent="0.35">
      <c r="A7" t="s">
        <v>6</v>
      </c>
      <c r="B7">
        <v>554</v>
      </c>
      <c r="C7">
        <v>1084</v>
      </c>
      <c r="D7">
        <v>1014.8610394397346</v>
      </c>
      <c r="E7">
        <v>325</v>
      </c>
    </row>
    <row r="8" spans="1:5" x14ac:dyDescent="0.35">
      <c r="A8" t="s">
        <v>7</v>
      </c>
      <c r="B8">
        <v>1842</v>
      </c>
      <c r="C8">
        <v>3259</v>
      </c>
      <c r="D8">
        <v>3759</v>
      </c>
      <c r="E8">
        <v>800</v>
      </c>
    </row>
    <row r="9" spans="1:5" x14ac:dyDescent="0.35">
      <c r="A9" t="s">
        <v>60</v>
      </c>
      <c r="B9">
        <v>308</v>
      </c>
      <c r="C9">
        <v>452</v>
      </c>
      <c r="D9">
        <v>2644</v>
      </c>
      <c r="E9">
        <v>0</v>
      </c>
    </row>
    <row r="10" spans="1:5" x14ac:dyDescent="0.35">
      <c r="A10" t="s">
        <v>8</v>
      </c>
      <c r="B10">
        <v>324</v>
      </c>
      <c r="C10">
        <v>335</v>
      </c>
      <c r="D10">
        <v>146.38957816377172</v>
      </c>
      <c r="E10">
        <v>18</v>
      </c>
    </row>
    <row r="11" spans="1:5" x14ac:dyDescent="0.35">
      <c r="A11" t="s">
        <v>9</v>
      </c>
      <c r="B11">
        <v>573</v>
      </c>
      <c r="C11">
        <v>803</v>
      </c>
      <c r="D11">
        <v>1507</v>
      </c>
      <c r="E11">
        <v>330</v>
      </c>
    </row>
    <row r="12" spans="1:5" x14ac:dyDescent="0.35">
      <c r="A12" t="s">
        <v>10</v>
      </c>
      <c r="B12">
        <v>123</v>
      </c>
      <c r="C12">
        <v>220</v>
      </c>
      <c r="D12">
        <v>354</v>
      </c>
      <c r="E12">
        <v>0</v>
      </c>
    </row>
    <row r="13" spans="1:5" x14ac:dyDescent="0.35">
      <c r="A13" t="s">
        <v>11</v>
      </c>
      <c r="B13">
        <v>0</v>
      </c>
      <c r="C13">
        <v>544</v>
      </c>
      <c r="D13">
        <v>1042</v>
      </c>
      <c r="E13">
        <v>60</v>
      </c>
    </row>
    <row r="14" spans="1:5" x14ac:dyDescent="0.35">
      <c r="A14" t="s">
        <v>12</v>
      </c>
      <c r="B14">
        <v>5240</v>
      </c>
      <c r="C14">
        <v>5602</v>
      </c>
      <c r="D14">
        <v>6327.5519796794806</v>
      </c>
      <c r="E14">
        <v>254</v>
      </c>
    </row>
    <row r="15" spans="1:5" x14ac:dyDescent="0.35">
      <c r="A15" t="s">
        <v>13</v>
      </c>
      <c r="B15">
        <v>6418</v>
      </c>
      <c r="C15">
        <v>31546</v>
      </c>
      <c r="D15">
        <v>21289.958719118578</v>
      </c>
      <c r="E15">
        <v>6020</v>
      </c>
    </row>
    <row r="16" spans="1:5" x14ac:dyDescent="0.35">
      <c r="A16" t="s">
        <v>14</v>
      </c>
      <c r="B16">
        <v>0</v>
      </c>
      <c r="C16">
        <v>246</v>
      </c>
      <c r="D16">
        <v>274.68237599257924</v>
      </c>
      <c r="E16">
        <v>767</v>
      </c>
    </row>
    <row r="17" spans="1:5" x14ac:dyDescent="0.35">
      <c r="A17" t="s">
        <v>15</v>
      </c>
      <c r="B17">
        <v>172</v>
      </c>
      <c r="C17">
        <v>280</v>
      </c>
      <c r="D17">
        <v>298.81764752330793</v>
      </c>
      <c r="E17">
        <v>0</v>
      </c>
    </row>
    <row r="18" spans="1:5" x14ac:dyDescent="0.35">
      <c r="A18" t="s">
        <v>16</v>
      </c>
      <c r="B18">
        <v>0</v>
      </c>
      <c r="C18">
        <v>278</v>
      </c>
      <c r="D18">
        <v>687</v>
      </c>
      <c r="E18">
        <v>0</v>
      </c>
    </row>
    <row r="19" spans="1:5" x14ac:dyDescent="0.35">
      <c r="A19" t="s">
        <v>17</v>
      </c>
      <c r="B19">
        <v>0</v>
      </c>
      <c r="C19">
        <v>11263</v>
      </c>
      <c r="D19">
        <v>23741</v>
      </c>
      <c r="E19">
        <v>3114</v>
      </c>
    </row>
    <row r="20" spans="1:5" x14ac:dyDescent="0.35">
      <c r="A20" t="s">
        <v>18</v>
      </c>
      <c r="B20">
        <v>0</v>
      </c>
      <c r="C20">
        <v>1368</v>
      </c>
      <c r="D20">
        <v>1265.3898201501661</v>
      </c>
      <c r="E20">
        <v>46</v>
      </c>
    </row>
    <row r="21" spans="1:5" x14ac:dyDescent="0.35">
      <c r="A21" t="s">
        <v>19</v>
      </c>
      <c r="B21">
        <v>213</v>
      </c>
      <c r="C21">
        <v>298</v>
      </c>
      <c r="D21">
        <v>273.86722731906218</v>
      </c>
      <c r="E21">
        <v>23</v>
      </c>
    </row>
    <row r="22" spans="1:5" x14ac:dyDescent="0.35">
      <c r="A22" t="s">
        <v>20</v>
      </c>
      <c r="B22">
        <v>2730</v>
      </c>
      <c r="C22">
        <v>4406</v>
      </c>
      <c r="D22">
        <v>4726</v>
      </c>
      <c r="E22">
        <v>1566</v>
      </c>
    </row>
    <row r="23" spans="1:5" x14ac:dyDescent="0.35">
      <c r="A23" t="s">
        <v>21</v>
      </c>
      <c r="B23">
        <v>1844</v>
      </c>
      <c r="C23">
        <v>2787</v>
      </c>
      <c r="D23">
        <v>341.34169736316329</v>
      </c>
      <c r="E23">
        <v>767</v>
      </c>
    </row>
    <row r="24" spans="1:5" x14ac:dyDescent="0.35">
      <c r="A24" t="s">
        <v>22</v>
      </c>
      <c r="B24">
        <v>354</v>
      </c>
      <c r="C24">
        <v>578</v>
      </c>
      <c r="D24">
        <v>530.87376425855507</v>
      </c>
      <c r="E24">
        <v>0</v>
      </c>
    </row>
    <row r="25" spans="1:5" x14ac:dyDescent="0.35">
      <c r="A25" t="s">
        <v>23</v>
      </c>
      <c r="B25">
        <v>8682</v>
      </c>
      <c r="C25">
        <v>8042</v>
      </c>
      <c r="D25">
        <v>12792</v>
      </c>
      <c r="E25">
        <v>558</v>
      </c>
    </row>
    <row r="26" spans="1:5" x14ac:dyDescent="0.35">
      <c r="A26" t="s">
        <v>24</v>
      </c>
      <c r="B26">
        <v>0</v>
      </c>
      <c r="C26">
        <v>998</v>
      </c>
      <c r="D26">
        <v>536.60977859778598</v>
      </c>
      <c r="E26">
        <v>8</v>
      </c>
    </row>
    <row r="27" spans="1:5" x14ac:dyDescent="0.35">
      <c r="A27" t="s">
        <v>25</v>
      </c>
      <c r="B27">
        <v>168</v>
      </c>
      <c r="C27">
        <v>693</v>
      </c>
      <c r="D27">
        <v>954</v>
      </c>
      <c r="E27">
        <v>29</v>
      </c>
    </row>
    <row r="28" spans="1:5" x14ac:dyDescent="0.35">
      <c r="A28" t="s">
        <v>26</v>
      </c>
      <c r="B28">
        <v>3523</v>
      </c>
      <c r="C28">
        <v>5230</v>
      </c>
      <c r="D28">
        <v>5230</v>
      </c>
      <c r="E28">
        <v>316</v>
      </c>
    </row>
    <row r="29" spans="1:5" x14ac:dyDescent="0.35">
      <c r="A29" t="s">
        <v>27</v>
      </c>
      <c r="B29">
        <v>200</v>
      </c>
      <c r="C29">
        <v>2760</v>
      </c>
      <c r="D29">
        <v>1103.5637751855782</v>
      </c>
      <c r="E29">
        <v>115</v>
      </c>
    </row>
    <row r="30" spans="1:5" x14ac:dyDescent="0.35">
      <c r="A30" t="s">
        <v>28</v>
      </c>
      <c r="B30">
        <v>1971</v>
      </c>
      <c r="C30">
        <v>2866</v>
      </c>
      <c r="D30">
        <v>4402</v>
      </c>
      <c r="E30">
        <v>0</v>
      </c>
    </row>
    <row r="31" spans="1:5" x14ac:dyDescent="0.35">
      <c r="A31" t="s">
        <v>29</v>
      </c>
      <c r="B31">
        <v>622</v>
      </c>
      <c r="C31">
        <v>1626</v>
      </c>
      <c r="D31">
        <v>1273.0346943092873</v>
      </c>
      <c r="E31">
        <v>0</v>
      </c>
    </row>
    <row r="32" spans="1:5" x14ac:dyDescent="0.35">
      <c r="A32" t="s">
        <v>30</v>
      </c>
      <c r="B32">
        <v>2046</v>
      </c>
      <c r="C32">
        <v>2395</v>
      </c>
      <c r="D32">
        <v>1833.6554988586008</v>
      </c>
      <c r="E32">
        <v>432</v>
      </c>
    </row>
    <row r="33" spans="1:5" x14ac:dyDescent="0.35">
      <c r="A33" t="s">
        <v>31</v>
      </c>
      <c r="B33">
        <v>1452</v>
      </c>
      <c r="C33">
        <v>2473</v>
      </c>
      <c r="D33">
        <v>5719</v>
      </c>
      <c r="E33">
        <v>819</v>
      </c>
    </row>
    <row r="34" spans="1:5" x14ac:dyDescent="0.35">
      <c r="A34" t="s">
        <v>32</v>
      </c>
      <c r="B34">
        <v>0</v>
      </c>
      <c r="C34">
        <v>1445</v>
      </c>
      <c r="D34">
        <v>1597</v>
      </c>
      <c r="E34">
        <v>475</v>
      </c>
    </row>
    <row r="35" spans="1:5" x14ac:dyDescent="0.35">
      <c r="A35" t="s">
        <v>33</v>
      </c>
      <c r="B35">
        <v>946</v>
      </c>
      <c r="C35">
        <v>1065</v>
      </c>
      <c r="D35">
        <v>705.66936761273496</v>
      </c>
      <c r="E35">
        <v>370</v>
      </c>
    </row>
    <row r="36" spans="1:5" x14ac:dyDescent="0.35">
      <c r="A36" t="s">
        <v>34</v>
      </c>
      <c r="B36">
        <v>65759</v>
      </c>
      <c r="C36">
        <v>83907</v>
      </c>
      <c r="D36">
        <v>86181</v>
      </c>
      <c r="E36">
        <v>4340</v>
      </c>
    </row>
    <row r="37" spans="1:5" x14ac:dyDescent="0.35">
      <c r="A37" t="s">
        <v>35</v>
      </c>
      <c r="B37">
        <v>1104</v>
      </c>
      <c r="C37">
        <v>1648</v>
      </c>
      <c r="D37">
        <v>1648</v>
      </c>
      <c r="E37">
        <v>11</v>
      </c>
    </row>
    <row r="38" spans="1:5" x14ac:dyDescent="0.35">
      <c r="A38" t="s">
        <v>36</v>
      </c>
      <c r="B38">
        <v>63</v>
      </c>
      <c r="C38">
        <v>60</v>
      </c>
      <c r="D38">
        <v>105</v>
      </c>
      <c r="E38">
        <v>0</v>
      </c>
    </row>
    <row r="39" spans="1:5" x14ac:dyDescent="0.35">
      <c r="A39" t="s">
        <v>37</v>
      </c>
      <c r="B39">
        <v>0</v>
      </c>
      <c r="C39">
        <v>2883</v>
      </c>
      <c r="D39">
        <v>2560.8623058327948</v>
      </c>
      <c r="E39">
        <v>434</v>
      </c>
    </row>
    <row r="40" spans="1:5" x14ac:dyDescent="0.35">
      <c r="A40" t="s">
        <v>38</v>
      </c>
      <c r="B40">
        <v>93</v>
      </c>
      <c r="C40">
        <v>240</v>
      </c>
      <c r="D40">
        <v>828</v>
      </c>
      <c r="E40">
        <v>10</v>
      </c>
    </row>
    <row r="41" spans="1:5" x14ac:dyDescent="0.35">
      <c r="A41" t="s">
        <v>39</v>
      </c>
      <c r="B41">
        <v>0</v>
      </c>
      <c r="C41">
        <v>566</v>
      </c>
      <c r="D41">
        <v>1106</v>
      </c>
      <c r="E41">
        <v>217</v>
      </c>
    </row>
    <row r="42" spans="1:5" x14ac:dyDescent="0.35">
      <c r="A42" t="s">
        <v>40</v>
      </c>
      <c r="B42">
        <v>0</v>
      </c>
      <c r="C42">
        <v>43503</v>
      </c>
      <c r="D42">
        <v>48021</v>
      </c>
      <c r="E42">
        <v>998</v>
      </c>
    </row>
    <row r="43" spans="1:5" x14ac:dyDescent="0.35">
      <c r="A43" t="s">
        <v>41</v>
      </c>
      <c r="B43">
        <v>0</v>
      </c>
      <c r="C43">
        <v>411</v>
      </c>
      <c r="D43">
        <v>456</v>
      </c>
      <c r="E43">
        <v>0</v>
      </c>
    </row>
    <row r="44" spans="1:5" x14ac:dyDescent="0.35">
      <c r="A44" t="s">
        <v>42</v>
      </c>
      <c r="B44">
        <v>1481</v>
      </c>
      <c r="C44">
        <v>2885</v>
      </c>
      <c r="D44">
        <v>8693</v>
      </c>
      <c r="E44">
        <v>330</v>
      </c>
    </row>
    <row r="45" spans="1:5" x14ac:dyDescent="0.35">
      <c r="A45" t="s">
        <v>43</v>
      </c>
      <c r="B45">
        <v>361</v>
      </c>
      <c r="C45">
        <v>611</v>
      </c>
      <c r="D45">
        <v>730</v>
      </c>
      <c r="E45">
        <v>77</v>
      </c>
    </row>
    <row r="46" spans="1:5" x14ac:dyDescent="0.35">
      <c r="A46" t="s">
        <v>44</v>
      </c>
      <c r="B46">
        <v>3370</v>
      </c>
      <c r="C46">
        <v>17186</v>
      </c>
      <c r="D46">
        <v>9051.7813279678066</v>
      </c>
      <c r="E46">
        <v>1997</v>
      </c>
    </row>
    <row r="47" spans="1:5" x14ac:dyDescent="0.35">
      <c r="A47" t="s">
        <v>45</v>
      </c>
      <c r="B47">
        <v>0</v>
      </c>
      <c r="C47">
        <v>4021</v>
      </c>
      <c r="D47">
        <v>6531</v>
      </c>
      <c r="E47">
        <v>100</v>
      </c>
    </row>
    <row r="48" spans="1:5" x14ac:dyDescent="0.35">
      <c r="A48" t="s">
        <v>46</v>
      </c>
      <c r="B48">
        <v>1114</v>
      </c>
      <c r="C48">
        <v>3026</v>
      </c>
      <c r="D48">
        <v>3131.5983655333839</v>
      </c>
      <c r="E48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513-39E9-4195-8CC9-087689CFA46C}">
  <dimension ref="A1:M48"/>
  <sheetViews>
    <sheetView workbookViewId="0">
      <selection activeCell="A9" sqref="A9"/>
    </sheetView>
  </sheetViews>
  <sheetFormatPr defaultColWidth="8.81640625" defaultRowHeight="14.5" x14ac:dyDescent="0.35"/>
  <cols>
    <col min="1" max="1" width="29.36328125" bestFit="1" customWidth="1"/>
    <col min="2" max="2" width="27.36328125" bestFit="1" customWidth="1"/>
    <col min="8" max="8" width="18.26953125" bestFit="1" customWidth="1"/>
    <col min="9" max="9" width="16" bestFit="1" customWidth="1"/>
  </cols>
  <sheetData>
    <row r="1" spans="1:13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5">
      <c r="A2" t="s">
        <v>1</v>
      </c>
      <c r="B2">
        <v>0</v>
      </c>
      <c r="M2">
        <v>0</v>
      </c>
    </row>
    <row r="3" spans="1:13" x14ac:dyDescent="0.35">
      <c r="A3" t="s">
        <v>2</v>
      </c>
      <c r="B3">
        <v>611</v>
      </c>
      <c r="D3">
        <v>145</v>
      </c>
      <c r="F3">
        <v>529</v>
      </c>
      <c r="I3">
        <v>2950</v>
      </c>
      <c r="M3">
        <v>4235</v>
      </c>
    </row>
    <row r="4" spans="1:13" x14ac:dyDescent="0.35">
      <c r="A4" t="s">
        <v>3</v>
      </c>
      <c r="B4">
        <v>780</v>
      </c>
      <c r="C4">
        <v>385</v>
      </c>
      <c r="F4">
        <v>143</v>
      </c>
      <c r="H4">
        <v>247</v>
      </c>
      <c r="I4">
        <v>257</v>
      </c>
      <c r="J4">
        <v>1113</v>
      </c>
      <c r="L4">
        <v>1194</v>
      </c>
      <c r="M4">
        <v>4119</v>
      </c>
    </row>
    <row r="5" spans="1:13" x14ac:dyDescent="0.35">
      <c r="A5" t="s">
        <v>4</v>
      </c>
      <c r="B5">
        <v>60</v>
      </c>
      <c r="C5">
        <v>48</v>
      </c>
      <c r="D5">
        <v>7</v>
      </c>
      <c r="E5">
        <v>10</v>
      </c>
      <c r="F5">
        <v>95</v>
      </c>
      <c r="G5">
        <v>60</v>
      </c>
      <c r="H5">
        <v>40</v>
      </c>
      <c r="I5">
        <v>490</v>
      </c>
      <c r="J5">
        <v>189</v>
      </c>
      <c r="K5">
        <v>30</v>
      </c>
      <c r="L5">
        <v>597</v>
      </c>
      <c r="M5">
        <v>1626</v>
      </c>
    </row>
    <row r="6" spans="1:13" x14ac:dyDescent="0.35">
      <c r="A6" t="s">
        <v>5</v>
      </c>
      <c r="B6">
        <v>1492</v>
      </c>
      <c r="C6">
        <v>385</v>
      </c>
      <c r="D6">
        <v>62</v>
      </c>
      <c r="F6">
        <v>594</v>
      </c>
      <c r="H6">
        <v>1170</v>
      </c>
      <c r="I6">
        <v>1170</v>
      </c>
      <c r="M6">
        <v>4873</v>
      </c>
    </row>
    <row r="7" spans="1:13" x14ac:dyDescent="0.35">
      <c r="A7" t="s">
        <v>6</v>
      </c>
      <c r="B7">
        <v>325</v>
      </c>
      <c r="C7">
        <v>240</v>
      </c>
      <c r="F7">
        <v>39</v>
      </c>
      <c r="H7">
        <v>196</v>
      </c>
      <c r="I7">
        <v>1467</v>
      </c>
      <c r="J7">
        <v>322</v>
      </c>
      <c r="L7">
        <v>194</v>
      </c>
      <c r="M7">
        <v>2783</v>
      </c>
    </row>
    <row r="8" spans="1:13" x14ac:dyDescent="0.35">
      <c r="A8" t="s">
        <v>7</v>
      </c>
      <c r="B8">
        <v>800</v>
      </c>
      <c r="I8">
        <v>2660</v>
      </c>
      <c r="J8">
        <v>800</v>
      </c>
      <c r="M8">
        <v>4260</v>
      </c>
    </row>
    <row r="9" spans="1:13" x14ac:dyDescent="0.35">
      <c r="A9" t="s">
        <v>60</v>
      </c>
      <c r="E9">
        <v>7</v>
      </c>
      <c r="L9">
        <v>83</v>
      </c>
      <c r="M9">
        <v>90</v>
      </c>
    </row>
    <row r="10" spans="1:13" x14ac:dyDescent="0.35">
      <c r="A10" t="s">
        <v>8</v>
      </c>
      <c r="B10">
        <v>18</v>
      </c>
      <c r="M10">
        <v>18</v>
      </c>
    </row>
    <row r="11" spans="1:13" x14ac:dyDescent="0.35">
      <c r="A11" t="s">
        <v>9</v>
      </c>
      <c r="B11">
        <v>330</v>
      </c>
      <c r="C11">
        <v>30</v>
      </c>
      <c r="F11">
        <v>80</v>
      </c>
      <c r="G11">
        <v>180</v>
      </c>
      <c r="H11">
        <v>2084</v>
      </c>
      <c r="I11">
        <v>2920</v>
      </c>
      <c r="J11">
        <v>220</v>
      </c>
      <c r="M11">
        <v>5844</v>
      </c>
    </row>
    <row r="12" spans="1:13" x14ac:dyDescent="0.35">
      <c r="A12" t="s">
        <v>10</v>
      </c>
      <c r="H12">
        <v>29</v>
      </c>
      <c r="I12">
        <v>40</v>
      </c>
      <c r="M12">
        <v>69</v>
      </c>
    </row>
    <row r="13" spans="1:13" x14ac:dyDescent="0.35">
      <c r="A13" t="s">
        <v>11</v>
      </c>
      <c r="B13">
        <v>60</v>
      </c>
      <c r="C13">
        <v>315</v>
      </c>
      <c r="E13">
        <v>10</v>
      </c>
      <c r="G13">
        <v>5</v>
      </c>
      <c r="H13">
        <v>120</v>
      </c>
      <c r="I13">
        <v>60</v>
      </c>
      <c r="K13">
        <v>50</v>
      </c>
      <c r="L13">
        <v>408</v>
      </c>
      <c r="M13">
        <v>1028</v>
      </c>
    </row>
    <row r="14" spans="1:13" x14ac:dyDescent="0.35">
      <c r="A14" t="s">
        <v>12</v>
      </c>
      <c r="B14">
        <v>254</v>
      </c>
      <c r="C14">
        <v>48</v>
      </c>
      <c r="G14">
        <v>151</v>
      </c>
      <c r="I14">
        <v>1007</v>
      </c>
      <c r="J14">
        <v>1106</v>
      </c>
      <c r="L14">
        <v>450</v>
      </c>
      <c r="M14">
        <v>3016</v>
      </c>
    </row>
    <row r="15" spans="1:13" x14ac:dyDescent="0.35">
      <c r="A15" t="s">
        <v>13</v>
      </c>
      <c r="B15">
        <v>6020</v>
      </c>
      <c r="D15">
        <v>66</v>
      </c>
      <c r="F15">
        <v>178</v>
      </c>
      <c r="G15">
        <v>328</v>
      </c>
      <c r="H15">
        <v>3453</v>
      </c>
      <c r="I15">
        <v>24061</v>
      </c>
      <c r="J15">
        <v>2571</v>
      </c>
      <c r="L15">
        <v>3151</v>
      </c>
      <c r="M15">
        <v>39828</v>
      </c>
    </row>
    <row r="16" spans="1:13" x14ac:dyDescent="0.35">
      <c r="A16" t="s">
        <v>14</v>
      </c>
      <c r="B16">
        <v>767</v>
      </c>
      <c r="H16">
        <v>492</v>
      </c>
      <c r="I16">
        <v>962</v>
      </c>
      <c r="J16">
        <v>27</v>
      </c>
      <c r="L16">
        <v>1304</v>
      </c>
      <c r="M16">
        <v>3552</v>
      </c>
    </row>
    <row r="17" spans="1:13" x14ac:dyDescent="0.35">
      <c r="A17" t="s">
        <v>15</v>
      </c>
      <c r="I17">
        <v>400</v>
      </c>
      <c r="L17">
        <v>1023</v>
      </c>
      <c r="M17">
        <v>1423</v>
      </c>
    </row>
    <row r="18" spans="1:13" x14ac:dyDescent="0.35">
      <c r="A18" t="s">
        <v>16</v>
      </c>
      <c r="F18">
        <v>44</v>
      </c>
      <c r="G18">
        <v>30</v>
      </c>
      <c r="H18">
        <v>80</v>
      </c>
      <c r="I18">
        <v>160</v>
      </c>
      <c r="J18">
        <v>78</v>
      </c>
      <c r="L18">
        <v>58</v>
      </c>
      <c r="M18">
        <v>450</v>
      </c>
    </row>
    <row r="19" spans="1:13" x14ac:dyDescent="0.35">
      <c r="A19" t="s">
        <v>17</v>
      </c>
      <c r="B19">
        <v>3114</v>
      </c>
      <c r="C19">
        <v>880</v>
      </c>
      <c r="D19">
        <v>189</v>
      </c>
      <c r="E19">
        <v>64</v>
      </c>
      <c r="F19">
        <v>699</v>
      </c>
      <c r="G19">
        <v>2878</v>
      </c>
      <c r="H19">
        <v>2440</v>
      </c>
      <c r="I19">
        <v>6298</v>
      </c>
      <c r="J19">
        <v>1220</v>
      </c>
      <c r="K19">
        <v>1613</v>
      </c>
      <c r="L19">
        <v>3672</v>
      </c>
      <c r="M19">
        <v>23067</v>
      </c>
    </row>
    <row r="20" spans="1:13" x14ac:dyDescent="0.35">
      <c r="A20" t="s">
        <v>18</v>
      </c>
      <c r="B20">
        <v>46</v>
      </c>
      <c r="C20">
        <v>16</v>
      </c>
      <c r="F20">
        <v>2</v>
      </c>
      <c r="H20">
        <v>34</v>
      </c>
      <c r="I20">
        <v>95</v>
      </c>
      <c r="J20">
        <v>6</v>
      </c>
      <c r="M20">
        <v>199</v>
      </c>
    </row>
    <row r="21" spans="1:13" x14ac:dyDescent="0.35">
      <c r="A21" t="s">
        <v>19</v>
      </c>
      <c r="B21">
        <v>23</v>
      </c>
      <c r="I21">
        <v>137</v>
      </c>
      <c r="J21">
        <v>6</v>
      </c>
      <c r="M21">
        <v>166</v>
      </c>
    </row>
    <row r="22" spans="1:13" x14ac:dyDescent="0.35">
      <c r="A22" t="s">
        <v>20</v>
      </c>
      <c r="B22">
        <v>1566</v>
      </c>
      <c r="F22">
        <v>343</v>
      </c>
      <c r="H22">
        <v>4827</v>
      </c>
      <c r="I22">
        <v>21271</v>
      </c>
      <c r="J22">
        <v>396</v>
      </c>
      <c r="M22">
        <v>28403</v>
      </c>
    </row>
    <row r="23" spans="1:13" x14ac:dyDescent="0.35">
      <c r="A23" t="s">
        <v>21</v>
      </c>
      <c r="B23">
        <v>767</v>
      </c>
      <c r="C23">
        <v>74</v>
      </c>
      <c r="F23">
        <v>113</v>
      </c>
      <c r="G23">
        <v>34</v>
      </c>
      <c r="H23">
        <v>492</v>
      </c>
      <c r="I23">
        <v>964</v>
      </c>
      <c r="J23">
        <v>27</v>
      </c>
      <c r="L23">
        <v>1304</v>
      </c>
      <c r="M23">
        <v>3775</v>
      </c>
    </row>
    <row r="24" spans="1:13" x14ac:dyDescent="0.35">
      <c r="A24" t="s">
        <v>22</v>
      </c>
      <c r="J24">
        <v>23</v>
      </c>
      <c r="L24">
        <v>489</v>
      </c>
      <c r="M24">
        <v>512</v>
      </c>
    </row>
    <row r="25" spans="1:13" x14ac:dyDescent="0.35">
      <c r="A25" t="s">
        <v>23</v>
      </c>
      <c r="B25">
        <v>558</v>
      </c>
      <c r="D25">
        <v>36</v>
      </c>
      <c r="F25">
        <v>379</v>
      </c>
      <c r="G25">
        <v>20</v>
      </c>
      <c r="I25">
        <v>1070</v>
      </c>
      <c r="J25">
        <v>519</v>
      </c>
      <c r="L25">
        <v>366</v>
      </c>
      <c r="M25">
        <v>2948</v>
      </c>
    </row>
    <row r="26" spans="1:13" x14ac:dyDescent="0.35">
      <c r="A26" t="s">
        <v>24</v>
      </c>
      <c r="B26">
        <v>8</v>
      </c>
      <c r="C26">
        <v>22</v>
      </c>
      <c r="D26">
        <v>8</v>
      </c>
      <c r="F26">
        <v>33</v>
      </c>
      <c r="G26">
        <v>20</v>
      </c>
      <c r="H26">
        <v>69</v>
      </c>
      <c r="I26">
        <v>376</v>
      </c>
      <c r="J26">
        <v>20</v>
      </c>
      <c r="M26">
        <v>556</v>
      </c>
    </row>
    <row r="27" spans="1:13" x14ac:dyDescent="0.35">
      <c r="A27" t="s">
        <v>25</v>
      </c>
      <c r="B27">
        <v>29</v>
      </c>
      <c r="C27">
        <v>50</v>
      </c>
      <c r="F27">
        <v>22</v>
      </c>
      <c r="I27">
        <v>63</v>
      </c>
      <c r="J27">
        <v>56</v>
      </c>
      <c r="L27">
        <v>50</v>
      </c>
      <c r="M27">
        <v>270</v>
      </c>
    </row>
    <row r="28" spans="1:13" x14ac:dyDescent="0.35">
      <c r="A28" t="s">
        <v>26</v>
      </c>
      <c r="B28">
        <v>316</v>
      </c>
      <c r="C28">
        <v>156</v>
      </c>
      <c r="H28">
        <v>2473</v>
      </c>
      <c r="I28">
        <v>2540</v>
      </c>
      <c r="J28">
        <v>116</v>
      </c>
      <c r="L28">
        <v>297</v>
      </c>
      <c r="M28">
        <v>5898</v>
      </c>
    </row>
    <row r="29" spans="1:13" x14ac:dyDescent="0.35">
      <c r="A29" t="s">
        <v>27</v>
      </c>
      <c r="B29">
        <v>115</v>
      </c>
      <c r="C29">
        <v>167</v>
      </c>
      <c r="F29">
        <v>110</v>
      </c>
      <c r="G29">
        <v>189</v>
      </c>
      <c r="H29">
        <v>1171</v>
      </c>
      <c r="I29">
        <v>386</v>
      </c>
      <c r="J29">
        <v>175</v>
      </c>
      <c r="L29">
        <v>616</v>
      </c>
      <c r="M29">
        <v>2929</v>
      </c>
    </row>
    <row r="30" spans="1:13" x14ac:dyDescent="0.35">
      <c r="A30" t="s">
        <v>28</v>
      </c>
      <c r="M30">
        <v>0</v>
      </c>
    </row>
    <row r="31" spans="1:13" x14ac:dyDescent="0.35">
      <c r="A31" t="s">
        <v>29</v>
      </c>
      <c r="C31">
        <v>76</v>
      </c>
      <c r="I31">
        <v>113</v>
      </c>
      <c r="L31">
        <v>366</v>
      </c>
      <c r="M31">
        <v>555</v>
      </c>
    </row>
    <row r="32" spans="1:13" x14ac:dyDescent="0.35">
      <c r="A32" t="s">
        <v>30</v>
      </c>
      <c r="B32">
        <v>432</v>
      </c>
      <c r="H32">
        <v>40</v>
      </c>
      <c r="I32">
        <v>175</v>
      </c>
      <c r="L32">
        <v>39</v>
      </c>
      <c r="M32">
        <v>686</v>
      </c>
    </row>
    <row r="33" spans="1:13" x14ac:dyDescent="0.35">
      <c r="A33" t="s">
        <v>31</v>
      </c>
      <c r="B33">
        <v>819</v>
      </c>
      <c r="C33">
        <v>146</v>
      </c>
      <c r="D33">
        <v>161</v>
      </c>
      <c r="G33">
        <v>112</v>
      </c>
      <c r="H33">
        <v>140</v>
      </c>
      <c r="I33">
        <v>580</v>
      </c>
      <c r="J33">
        <v>248</v>
      </c>
      <c r="K33">
        <v>20</v>
      </c>
      <c r="M33">
        <v>2226</v>
      </c>
    </row>
    <row r="34" spans="1:13" x14ac:dyDescent="0.35">
      <c r="A34" t="s">
        <v>32</v>
      </c>
      <c r="B34">
        <v>475</v>
      </c>
      <c r="C34">
        <v>3</v>
      </c>
      <c r="F34">
        <v>247</v>
      </c>
      <c r="G34">
        <v>31</v>
      </c>
      <c r="H34">
        <v>1414</v>
      </c>
      <c r="I34">
        <v>200</v>
      </c>
      <c r="J34">
        <v>121</v>
      </c>
      <c r="L34">
        <v>175</v>
      </c>
      <c r="M34">
        <v>2666</v>
      </c>
    </row>
    <row r="35" spans="1:13" x14ac:dyDescent="0.35">
      <c r="A35" t="s">
        <v>33</v>
      </c>
      <c r="B35">
        <v>370</v>
      </c>
      <c r="C35">
        <v>14</v>
      </c>
      <c r="H35">
        <v>124</v>
      </c>
      <c r="I35">
        <v>305</v>
      </c>
      <c r="J35">
        <v>45</v>
      </c>
      <c r="L35">
        <v>1891</v>
      </c>
      <c r="M35">
        <v>2749</v>
      </c>
    </row>
    <row r="36" spans="1:13" x14ac:dyDescent="0.35">
      <c r="A36" t="s">
        <v>34</v>
      </c>
      <c r="B36">
        <v>4340</v>
      </c>
      <c r="D36">
        <v>459</v>
      </c>
      <c r="H36">
        <v>375</v>
      </c>
      <c r="I36">
        <v>12835</v>
      </c>
      <c r="J36">
        <v>1774</v>
      </c>
      <c r="M36">
        <v>19783</v>
      </c>
    </row>
    <row r="37" spans="1:13" x14ac:dyDescent="0.35">
      <c r="A37" t="s">
        <v>35</v>
      </c>
      <c r="B37">
        <v>11</v>
      </c>
      <c r="F37">
        <v>95</v>
      </c>
      <c r="H37">
        <v>176</v>
      </c>
      <c r="I37">
        <v>355</v>
      </c>
      <c r="L37">
        <v>81</v>
      </c>
      <c r="M37">
        <v>718</v>
      </c>
    </row>
    <row r="38" spans="1:13" x14ac:dyDescent="0.35">
      <c r="A38" t="s">
        <v>36</v>
      </c>
      <c r="M38">
        <v>0</v>
      </c>
    </row>
    <row r="39" spans="1:13" x14ac:dyDescent="0.35">
      <c r="A39" t="s">
        <v>37</v>
      </c>
      <c r="B39">
        <v>434</v>
      </c>
      <c r="C39">
        <v>137</v>
      </c>
      <c r="D39">
        <v>67</v>
      </c>
      <c r="F39">
        <v>171</v>
      </c>
      <c r="H39">
        <v>104</v>
      </c>
      <c r="I39">
        <v>582</v>
      </c>
      <c r="J39">
        <v>36</v>
      </c>
      <c r="L39">
        <v>710</v>
      </c>
      <c r="M39">
        <v>2241</v>
      </c>
    </row>
    <row r="40" spans="1:13" x14ac:dyDescent="0.35">
      <c r="A40" t="s">
        <v>38</v>
      </c>
      <c r="B40">
        <v>10</v>
      </c>
      <c r="G40">
        <v>20</v>
      </c>
      <c r="H40">
        <v>10</v>
      </c>
      <c r="I40">
        <v>40</v>
      </c>
      <c r="L40">
        <v>80</v>
      </c>
      <c r="M40">
        <v>160</v>
      </c>
    </row>
    <row r="41" spans="1:13" x14ac:dyDescent="0.35">
      <c r="A41" t="s">
        <v>39</v>
      </c>
      <c r="B41">
        <v>217</v>
      </c>
      <c r="F41">
        <v>69</v>
      </c>
      <c r="G41">
        <v>51</v>
      </c>
      <c r="H41">
        <v>120</v>
      </c>
      <c r="I41">
        <v>1755</v>
      </c>
      <c r="J41">
        <v>90</v>
      </c>
      <c r="L41">
        <v>186</v>
      </c>
      <c r="M41">
        <v>2488</v>
      </c>
    </row>
    <row r="42" spans="1:13" x14ac:dyDescent="0.35">
      <c r="A42" t="s">
        <v>40</v>
      </c>
      <c r="B42">
        <v>998</v>
      </c>
      <c r="D42">
        <v>805</v>
      </c>
      <c r="F42">
        <v>1291</v>
      </c>
      <c r="I42">
        <v>3154</v>
      </c>
      <c r="J42">
        <v>451</v>
      </c>
      <c r="L42">
        <v>13559</v>
      </c>
      <c r="M42">
        <v>20258</v>
      </c>
    </row>
    <row r="43" spans="1:13" x14ac:dyDescent="0.35">
      <c r="A43" t="s">
        <v>41</v>
      </c>
      <c r="H43">
        <v>307</v>
      </c>
      <c r="I43">
        <v>241</v>
      </c>
      <c r="J43">
        <v>681</v>
      </c>
      <c r="L43">
        <v>484</v>
      </c>
      <c r="M43">
        <v>1713</v>
      </c>
    </row>
    <row r="44" spans="1:13" x14ac:dyDescent="0.35">
      <c r="A44" t="s">
        <v>42</v>
      </c>
      <c r="B44">
        <v>330</v>
      </c>
      <c r="C44">
        <v>1597</v>
      </c>
      <c r="D44">
        <v>80</v>
      </c>
      <c r="G44">
        <v>629</v>
      </c>
      <c r="H44">
        <v>2084</v>
      </c>
      <c r="I44">
        <v>2920</v>
      </c>
      <c r="J44">
        <v>17</v>
      </c>
      <c r="L44">
        <v>5457</v>
      </c>
      <c r="M44">
        <v>13114</v>
      </c>
    </row>
    <row r="45" spans="1:13" x14ac:dyDescent="0.35">
      <c r="A45" t="s">
        <v>43</v>
      </c>
      <c r="B45">
        <v>77</v>
      </c>
      <c r="C45">
        <v>37</v>
      </c>
      <c r="F45">
        <v>60</v>
      </c>
      <c r="H45">
        <v>130</v>
      </c>
      <c r="I45">
        <v>240</v>
      </c>
      <c r="J45">
        <v>215</v>
      </c>
      <c r="L45">
        <v>250</v>
      </c>
      <c r="M45">
        <v>1009</v>
      </c>
    </row>
    <row r="46" spans="1:13" x14ac:dyDescent="0.35">
      <c r="A46" t="s">
        <v>44</v>
      </c>
      <c r="B46">
        <v>1997</v>
      </c>
      <c r="C46">
        <v>246</v>
      </c>
      <c r="D46">
        <v>41</v>
      </c>
      <c r="E46">
        <v>220</v>
      </c>
      <c r="F46">
        <v>120</v>
      </c>
      <c r="G46">
        <v>1860</v>
      </c>
      <c r="H46">
        <v>8990</v>
      </c>
      <c r="I46">
        <v>14001</v>
      </c>
      <c r="J46">
        <v>3610</v>
      </c>
      <c r="L46">
        <v>1020</v>
      </c>
      <c r="M46">
        <v>32105</v>
      </c>
    </row>
    <row r="47" spans="1:13" x14ac:dyDescent="0.35">
      <c r="A47" t="s">
        <v>45</v>
      </c>
      <c r="B47">
        <v>100</v>
      </c>
      <c r="E47">
        <v>36</v>
      </c>
      <c r="G47">
        <v>180</v>
      </c>
      <c r="H47">
        <v>1939</v>
      </c>
      <c r="I47">
        <v>5272</v>
      </c>
      <c r="J47">
        <v>282</v>
      </c>
      <c r="K47">
        <v>100</v>
      </c>
      <c r="L47">
        <v>400</v>
      </c>
      <c r="M47">
        <v>8309</v>
      </c>
    </row>
    <row r="48" spans="1:13" x14ac:dyDescent="0.35">
      <c r="A48" t="s">
        <v>46</v>
      </c>
      <c r="B48">
        <v>265</v>
      </c>
      <c r="C48">
        <v>30</v>
      </c>
      <c r="D48">
        <v>80</v>
      </c>
      <c r="E48">
        <v>30</v>
      </c>
      <c r="F48">
        <v>155</v>
      </c>
      <c r="G48">
        <v>30</v>
      </c>
      <c r="H48">
        <v>270</v>
      </c>
      <c r="I48">
        <v>1100</v>
      </c>
      <c r="J48">
        <v>358</v>
      </c>
      <c r="L48">
        <v>421</v>
      </c>
      <c r="M48">
        <v>2739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764C-CB7F-4251-AE90-E2B9AC70528E}">
  <dimension ref="A1:E48"/>
  <sheetViews>
    <sheetView workbookViewId="0">
      <selection sqref="A1:E48"/>
    </sheetView>
  </sheetViews>
  <sheetFormatPr defaultColWidth="8.81640625" defaultRowHeight="14.5" x14ac:dyDescent="0.35"/>
  <cols>
    <col min="1" max="1" width="20.8164062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62</v>
      </c>
      <c r="E1" t="s">
        <v>63</v>
      </c>
    </row>
    <row r="2" spans="1:5" x14ac:dyDescent="0.35">
      <c r="A2" t="s">
        <v>1</v>
      </c>
      <c r="B2">
        <v>0</v>
      </c>
      <c r="C2">
        <v>57705</v>
      </c>
      <c r="D2">
        <v>5043.8935155116633</v>
      </c>
      <c r="E2">
        <v>0</v>
      </c>
    </row>
    <row r="3" spans="1:5" x14ac:dyDescent="0.35">
      <c r="A3" t="s">
        <v>2</v>
      </c>
      <c r="B3">
        <v>0</v>
      </c>
      <c r="C3">
        <v>46082</v>
      </c>
      <c r="D3">
        <v>66717.353814379763</v>
      </c>
      <c r="E3">
        <v>2950</v>
      </c>
    </row>
    <row r="4" spans="1:5" x14ac:dyDescent="0.35">
      <c r="A4" t="s">
        <v>3</v>
      </c>
      <c r="B4">
        <v>4880</v>
      </c>
      <c r="C4">
        <v>3410</v>
      </c>
      <c r="D4">
        <v>5893</v>
      </c>
      <c r="E4">
        <v>257</v>
      </c>
    </row>
    <row r="5" spans="1:5" x14ac:dyDescent="0.35">
      <c r="A5" t="s">
        <v>4</v>
      </c>
      <c r="B5">
        <v>5816</v>
      </c>
      <c r="C5">
        <v>7645</v>
      </c>
      <c r="D5">
        <v>8028</v>
      </c>
      <c r="E5">
        <v>490</v>
      </c>
    </row>
    <row r="6" spans="1:5" x14ac:dyDescent="0.35">
      <c r="A6" t="s">
        <v>5</v>
      </c>
      <c r="B6">
        <v>6196</v>
      </c>
      <c r="C6">
        <v>10325</v>
      </c>
      <c r="D6">
        <v>13961</v>
      </c>
      <c r="E6">
        <v>1170</v>
      </c>
    </row>
    <row r="7" spans="1:5" x14ac:dyDescent="0.35">
      <c r="A7" t="s">
        <v>6</v>
      </c>
      <c r="B7">
        <v>6573</v>
      </c>
      <c r="C7">
        <v>9156</v>
      </c>
      <c r="D7">
        <v>9372</v>
      </c>
      <c r="E7">
        <v>1467</v>
      </c>
    </row>
    <row r="8" spans="1:5" x14ac:dyDescent="0.35">
      <c r="A8" t="s">
        <v>7</v>
      </c>
      <c r="B8">
        <v>18954</v>
      </c>
      <c r="C8">
        <v>9925</v>
      </c>
      <c r="D8">
        <v>16473</v>
      </c>
      <c r="E8">
        <v>2660</v>
      </c>
    </row>
    <row r="9" spans="1:5" x14ac:dyDescent="0.35">
      <c r="A9" t="s">
        <v>60</v>
      </c>
      <c r="B9">
        <v>403</v>
      </c>
      <c r="C9">
        <v>768</v>
      </c>
      <c r="D9">
        <v>941</v>
      </c>
      <c r="E9">
        <v>0</v>
      </c>
    </row>
    <row r="10" spans="1:5" x14ac:dyDescent="0.35">
      <c r="A10" t="s">
        <v>8</v>
      </c>
      <c r="B10">
        <v>322</v>
      </c>
      <c r="C10">
        <v>1195</v>
      </c>
      <c r="D10">
        <v>648.48014888337468</v>
      </c>
      <c r="E10">
        <v>0</v>
      </c>
    </row>
    <row r="11" spans="1:5" x14ac:dyDescent="0.35">
      <c r="A11" t="s">
        <v>9</v>
      </c>
      <c r="B11">
        <v>3606</v>
      </c>
      <c r="C11">
        <v>4799</v>
      </c>
      <c r="D11">
        <v>3387.151734852408</v>
      </c>
      <c r="E11">
        <v>2920</v>
      </c>
    </row>
    <row r="12" spans="1:5" x14ac:dyDescent="0.35">
      <c r="A12" t="s">
        <v>10</v>
      </c>
      <c r="B12">
        <v>0</v>
      </c>
      <c r="C12">
        <v>747</v>
      </c>
      <c r="D12">
        <v>784.97097407084357</v>
      </c>
      <c r="E12">
        <v>40</v>
      </c>
    </row>
    <row r="13" spans="1:5" x14ac:dyDescent="0.35">
      <c r="A13" t="s">
        <v>11</v>
      </c>
      <c r="B13">
        <v>3289</v>
      </c>
      <c r="C13">
        <v>5081</v>
      </c>
      <c r="D13">
        <v>5573</v>
      </c>
      <c r="E13">
        <v>60</v>
      </c>
    </row>
    <row r="14" spans="1:5" x14ac:dyDescent="0.35">
      <c r="A14" t="s">
        <v>12</v>
      </c>
      <c r="B14">
        <v>8780</v>
      </c>
      <c r="C14">
        <v>15163</v>
      </c>
      <c r="D14">
        <v>19225.233489577877</v>
      </c>
      <c r="E14">
        <v>1007</v>
      </c>
    </row>
    <row r="15" spans="1:5" x14ac:dyDescent="0.35">
      <c r="A15" t="s">
        <v>13</v>
      </c>
      <c r="B15">
        <v>59813</v>
      </c>
      <c r="C15">
        <v>103785</v>
      </c>
      <c r="D15">
        <v>115316</v>
      </c>
      <c r="E15">
        <v>24061</v>
      </c>
    </row>
    <row r="16" spans="1:5" x14ac:dyDescent="0.35">
      <c r="A16" t="s">
        <v>14</v>
      </c>
      <c r="B16">
        <v>0</v>
      </c>
      <c r="C16">
        <v>355</v>
      </c>
      <c r="D16">
        <v>1375</v>
      </c>
      <c r="E16">
        <v>962</v>
      </c>
    </row>
    <row r="17" spans="1:5" x14ac:dyDescent="0.35">
      <c r="A17" t="s">
        <v>15</v>
      </c>
      <c r="B17">
        <v>4262</v>
      </c>
      <c r="C17">
        <v>4971</v>
      </c>
      <c r="D17">
        <v>5007</v>
      </c>
      <c r="E17">
        <v>400</v>
      </c>
    </row>
    <row r="18" spans="1:5" x14ac:dyDescent="0.35">
      <c r="A18" t="s">
        <v>16</v>
      </c>
      <c r="B18">
        <v>3735</v>
      </c>
      <c r="C18">
        <v>4706</v>
      </c>
      <c r="D18">
        <v>5242</v>
      </c>
      <c r="E18">
        <v>160</v>
      </c>
    </row>
    <row r="19" spans="1:5" x14ac:dyDescent="0.35">
      <c r="A19" t="s">
        <v>17</v>
      </c>
      <c r="B19">
        <v>0</v>
      </c>
      <c r="C19">
        <v>61772</v>
      </c>
      <c r="D19">
        <v>131262</v>
      </c>
      <c r="E19">
        <v>6298</v>
      </c>
    </row>
    <row r="20" spans="1:5" x14ac:dyDescent="0.35">
      <c r="A20" t="s">
        <v>18</v>
      </c>
      <c r="B20">
        <v>0</v>
      </c>
      <c r="C20">
        <v>6085</v>
      </c>
      <c r="D20">
        <v>4751.5998777719578</v>
      </c>
      <c r="E20">
        <v>95</v>
      </c>
    </row>
    <row r="21" spans="1:5" x14ac:dyDescent="0.35">
      <c r="A21" t="s">
        <v>19</v>
      </c>
      <c r="B21">
        <v>2386</v>
      </c>
      <c r="C21">
        <v>1498</v>
      </c>
      <c r="D21">
        <v>1429.4036697247707</v>
      </c>
      <c r="E21">
        <v>137</v>
      </c>
    </row>
    <row r="22" spans="1:5" x14ac:dyDescent="0.35">
      <c r="A22" t="s">
        <v>20</v>
      </c>
      <c r="B22">
        <v>37404</v>
      </c>
      <c r="C22">
        <v>125024</v>
      </c>
      <c r="D22">
        <v>124204.27697797566</v>
      </c>
      <c r="E22">
        <v>21271</v>
      </c>
    </row>
    <row r="23" spans="1:5" x14ac:dyDescent="0.35">
      <c r="A23" t="s">
        <v>21</v>
      </c>
      <c r="B23">
        <v>5789</v>
      </c>
      <c r="C23">
        <v>7195</v>
      </c>
      <c r="D23">
        <v>5018.9871797472533</v>
      </c>
      <c r="E23">
        <v>964</v>
      </c>
    </row>
    <row r="24" spans="1:5" x14ac:dyDescent="0.35">
      <c r="A24" t="s">
        <v>22</v>
      </c>
      <c r="B24">
        <v>727</v>
      </c>
      <c r="C24">
        <v>1264</v>
      </c>
      <c r="D24">
        <v>1879</v>
      </c>
      <c r="E24">
        <v>0</v>
      </c>
    </row>
    <row r="25" spans="1:5" x14ac:dyDescent="0.35">
      <c r="A25" t="s">
        <v>23</v>
      </c>
      <c r="B25">
        <v>40292</v>
      </c>
      <c r="C25">
        <v>59901</v>
      </c>
      <c r="D25">
        <v>109659</v>
      </c>
      <c r="E25">
        <v>1070</v>
      </c>
    </row>
    <row r="26" spans="1:5" x14ac:dyDescent="0.35">
      <c r="A26" t="s">
        <v>24</v>
      </c>
      <c r="B26">
        <v>0</v>
      </c>
      <c r="C26">
        <v>6866</v>
      </c>
      <c r="D26">
        <v>1235.4801331049025</v>
      </c>
      <c r="E26">
        <v>376</v>
      </c>
    </row>
    <row r="27" spans="1:5" x14ac:dyDescent="0.35">
      <c r="A27" t="s">
        <v>25</v>
      </c>
      <c r="B27">
        <v>0</v>
      </c>
      <c r="C27">
        <v>8488</v>
      </c>
      <c r="D27">
        <v>4423.7952883834278</v>
      </c>
      <c r="E27">
        <v>63</v>
      </c>
    </row>
    <row r="28" spans="1:5" x14ac:dyDescent="0.35">
      <c r="A28" t="s">
        <v>26</v>
      </c>
      <c r="B28">
        <v>3438</v>
      </c>
      <c r="C28">
        <v>4560</v>
      </c>
      <c r="D28">
        <v>4560</v>
      </c>
      <c r="E28">
        <v>2540</v>
      </c>
    </row>
    <row r="29" spans="1:5" x14ac:dyDescent="0.35">
      <c r="A29" t="s">
        <v>27</v>
      </c>
      <c r="B29">
        <v>3545</v>
      </c>
      <c r="C29">
        <v>7957</v>
      </c>
      <c r="D29">
        <v>9592</v>
      </c>
      <c r="E29">
        <v>386</v>
      </c>
    </row>
    <row r="30" spans="1:5" x14ac:dyDescent="0.35">
      <c r="A30" t="s">
        <v>28</v>
      </c>
      <c r="B30">
        <v>4257</v>
      </c>
      <c r="C30">
        <v>5225</v>
      </c>
      <c r="D30">
        <v>6327</v>
      </c>
      <c r="E30">
        <v>0</v>
      </c>
    </row>
    <row r="31" spans="1:5" x14ac:dyDescent="0.35">
      <c r="A31" t="s">
        <v>29</v>
      </c>
      <c r="B31">
        <v>3846</v>
      </c>
      <c r="C31">
        <v>4066</v>
      </c>
      <c r="D31">
        <v>6503</v>
      </c>
      <c r="E31">
        <v>113</v>
      </c>
    </row>
    <row r="32" spans="1:5" x14ac:dyDescent="0.35">
      <c r="A32" t="s">
        <v>30</v>
      </c>
      <c r="B32">
        <v>3963</v>
      </c>
      <c r="C32">
        <v>4986</v>
      </c>
      <c r="D32">
        <v>4598.8787431180344</v>
      </c>
      <c r="E32">
        <v>175</v>
      </c>
    </row>
    <row r="33" spans="1:5" x14ac:dyDescent="0.35">
      <c r="A33" t="s">
        <v>31</v>
      </c>
      <c r="B33">
        <v>6432</v>
      </c>
      <c r="C33">
        <v>8153</v>
      </c>
      <c r="D33">
        <v>17168</v>
      </c>
      <c r="E33">
        <v>580</v>
      </c>
    </row>
    <row r="34" spans="1:5" x14ac:dyDescent="0.35">
      <c r="A34" t="s">
        <v>32</v>
      </c>
      <c r="B34">
        <v>4110</v>
      </c>
      <c r="C34">
        <v>12956</v>
      </c>
      <c r="D34">
        <v>15558.321723868956</v>
      </c>
      <c r="E34">
        <v>200</v>
      </c>
    </row>
    <row r="35" spans="1:5" x14ac:dyDescent="0.35">
      <c r="A35" t="s">
        <v>33</v>
      </c>
      <c r="B35">
        <v>3533</v>
      </c>
      <c r="C35">
        <v>4107</v>
      </c>
      <c r="D35">
        <v>4565</v>
      </c>
      <c r="E35">
        <v>305</v>
      </c>
    </row>
    <row r="36" spans="1:5" x14ac:dyDescent="0.35">
      <c r="A36" t="s">
        <v>34</v>
      </c>
      <c r="B36">
        <v>74920</v>
      </c>
      <c r="C36">
        <v>180709</v>
      </c>
      <c r="D36">
        <v>220681</v>
      </c>
      <c r="E36">
        <v>12835</v>
      </c>
    </row>
    <row r="37" spans="1:5" x14ac:dyDescent="0.35">
      <c r="A37" t="s">
        <v>35</v>
      </c>
      <c r="B37">
        <v>9625</v>
      </c>
      <c r="C37">
        <v>13345</v>
      </c>
      <c r="D37">
        <v>13501.239749316621</v>
      </c>
      <c r="E37">
        <v>355</v>
      </c>
    </row>
    <row r="38" spans="1:5" x14ac:dyDescent="0.35">
      <c r="A38" t="s">
        <v>36</v>
      </c>
      <c r="B38">
        <v>442</v>
      </c>
      <c r="C38">
        <v>406</v>
      </c>
      <c r="D38">
        <v>440</v>
      </c>
      <c r="E38">
        <v>0</v>
      </c>
    </row>
    <row r="39" spans="1:5" x14ac:dyDescent="0.35">
      <c r="A39" t="s">
        <v>37</v>
      </c>
      <c r="B39">
        <v>1682</v>
      </c>
      <c r="C39">
        <v>4577</v>
      </c>
      <c r="D39">
        <v>4737</v>
      </c>
      <c r="E39">
        <v>582</v>
      </c>
    </row>
    <row r="40" spans="1:5" x14ac:dyDescent="0.35">
      <c r="A40" t="s">
        <v>38</v>
      </c>
      <c r="B40">
        <v>419</v>
      </c>
      <c r="C40">
        <v>1272</v>
      </c>
      <c r="D40">
        <v>1277</v>
      </c>
      <c r="E40">
        <v>40</v>
      </c>
    </row>
    <row r="41" spans="1:5" x14ac:dyDescent="0.35">
      <c r="A41" t="s">
        <v>39</v>
      </c>
      <c r="B41">
        <v>6106</v>
      </c>
      <c r="C41">
        <v>5757</v>
      </c>
      <c r="D41">
        <v>15666</v>
      </c>
      <c r="E41">
        <v>1755</v>
      </c>
    </row>
    <row r="42" spans="1:5" x14ac:dyDescent="0.35">
      <c r="A42" t="s">
        <v>40</v>
      </c>
      <c r="B42">
        <v>58722</v>
      </c>
      <c r="C42">
        <v>287458</v>
      </c>
      <c r="D42">
        <v>397261.24962174537</v>
      </c>
      <c r="E42">
        <v>3154</v>
      </c>
    </row>
    <row r="43" spans="1:5" x14ac:dyDescent="0.35">
      <c r="A43" t="s">
        <v>41</v>
      </c>
      <c r="B43">
        <v>0</v>
      </c>
      <c r="C43">
        <v>3726</v>
      </c>
      <c r="D43">
        <v>4530</v>
      </c>
      <c r="E43">
        <v>241</v>
      </c>
    </row>
    <row r="44" spans="1:5" x14ac:dyDescent="0.35">
      <c r="A44" t="s">
        <v>42</v>
      </c>
      <c r="B44">
        <v>20800</v>
      </c>
      <c r="C44">
        <v>31940</v>
      </c>
      <c r="D44">
        <v>31940</v>
      </c>
      <c r="E44">
        <v>2920</v>
      </c>
    </row>
    <row r="45" spans="1:5" x14ac:dyDescent="0.35">
      <c r="A45" t="s">
        <v>43</v>
      </c>
      <c r="B45">
        <v>1341</v>
      </c>
      <c r="C45">
        <v>1966</v>
      </c>
      <c r="D45">
        <v>2630</v>
      </c>
      <c r="E45">
        <v>240</v>
      </c>
    </row>
    <row r="46" spans="1:5" x14ac:dyDescent="0.35">
      <c r="A46" t="s">
        <v>44</v>
      </c>
      <c r="B46">
        <v>40149</v>
      </c>
      <c r="C46">
        <v>52907</v>
      </c>
      <c r="D46">
        <v>74197</v>
      </c>
      <c r="E46">
        <v>14001</v>
      </c>
    </row>
    <row r="47" spans="1:5" x14ac:dyDescent="0.35">
      <c r="A47" t="s">
        <v>45</v>
      </c>
      <c r="B47">
        <v>0</v>
      </c>
      <c r="C47">
        <v>20746</v>
      </c>
      <c r="D47">
        <v>49975</v>
      </c>
      <c r="E47">
        <v>5272</v>
      </c>
    </row>
    <row r="48" spans="1:5" x14ac:dyDescent="0.35">
      <c r="A48" t="s">
        <v>46</v>
      </c>
      <c r="B48">
        <v>18722</v>
      </c>
      <c r="C48">
        <v>27874</v>
      </c>
      <c r="D48">
        <v>46537</v>
      </c>
      <c r="E48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8130-CC6E-4952-8B95-9178869FCE2F}">
  <dimension ref="A1:H48"/>
  <sheetViews>
    <sheetView workbookViewId="0">
      <selection activeCell="F1" sqref="F1:G1"/>
    </sheetView>
  </sheetViews>
  <sheetFormatPr defaultColWidth="8.81640625" defaultRowHeight="14.5" x14ac:dyDescent="0.35"/>
  <cols>
    <col min="1" max="1" width="20.81640625" bestFit="1" customWidth="1"/>
    <col min="2" max="2" width="16.36328125" bestFit="1" customWidth="1"/>
    <col min="3" max="3" width="16.08984375" bestFit="1" customWidth="1"/>
    <col min="4" max="4" width="15.81640625" bestFit="1" customWidth="1"/>
    <col min="5" max="5" width="15.7265625" bestFit="1" customWidth="1"/>
    <col min="6" max="6" width="26.7265625" bestFit="1" customWidth="1"/>
  </cols>
  <sheetData>
    <row r="1" spans="1:8" x14ac:dyDescent="0.35">
      <c r="A1" t="s">
        <v>0</v>
      </c>
      <c r="B1" t="s">
        <v>47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8" x14ac:dyDescent="0.35">
      <c r="A2" t="s">
        <v>1</v>
      </c>
      <c r="B2">
        <v>48033.824348850052</v>
      </c>
      <c r="C2">
        <v>0</v>
      </c>
      <c r="D2">
        <v>5043.8935155116633</v>
      </c>
      <c r="E2">
        <v>0</v>
      </c>
      <c r="F2" s="1">
        <f>B2+D2</f>
        <v>53077.717864361715</v>
      </c>
    </row>
    <row r="3" spans="1:8" x14ac:dyDescent="0.35">
      <c r="A3" t="s">
        <v>2</v>
      </c>
      <c r="B3">
        <v>8693</v>
      </c>
      <c r="C3">
        <v>611</v>
      </c>
      <c r="D3">
        <v>66717.353814379763</v>
      </c>
      <c r="E3">
        <v>2950</v>
      </c>
      <c r="F3" s="1">
        <f t="shared" ref="F3:F48" si="0">B3+D3</f>
        <v>75410.353814379763</v>
      </c>
      <c r="G3">
        <f t="shared" ref="G3:G48" si="1">C3+E3</f>
        <v>3561</v>
      </c>
      <c r="H3">
        <f t="shared" ref="H3:H48" si="2">E3/C3</f>
        <v>4.828150572831424</v>
      </c>
    </row>
    <row r="4" spans="1:8" x14ac:dyDescent="0.35">
      <c r="A4" t="s">
        <v>3</v>
      </c>
      <c r="B4" s="1">
        <v>2608</v>
      </c>
      <c r="C4">
        <v>780</v>
      </c>
      <c r="D4" s="1">
        <v>5893</v>
      </c>
      <c r="E4">
        <v>257</v>
      </c>
      <c r="F4" s="1">
        <f t="shared" si="0"/>
        <v>8501</v>
      </c>
      <c r="G4">
        <f t="shared" si="1"/>
        <v>1037</v>
      </c>
      <c r="H4">
        <f t="shared" si="2"/>
        <v>0.32948717948717948</v>
      </c>
    </row>
    <row r="5" spans="1:8" x14ac:dyDescent="0.35">
      <c r="A5" t="s">
        <v>4</v>
      </c>
      <c r="B5">
        <v>992</v>
      </c>
      <c r="C5">
        <v>60</v>
      </c>
      <c r="D5">
        <v>8028</v>
      </c>
      <c r="E5">
        <v>490</v>
      </c>
      <c r="F5" s="1">
        <f t="shared" si="0"/>
        <v>9020</v>
      </c>
      <c r="G5">
        <f t="shared" si="1"/>
        <v>550</v>
      </c>
      <c r="H5">
        <f t="shared" si="2"/>
        <v>8.1666666666666661</v>
      </c>
    </row>
    <row r="6" spans="1:8" x14ac:dyDescent="0.35">
      <c r="A6" t="s">
        <v>5</v>
      </c>
      <c r="B6" s="1">
        <v>3323</v>
      </c>
      <c r="C6">
        <v>1492</v>
      </c>
      <c r="D6" s="1">
        <v>13961</v>
      </c>
      <c r="E6">
        <v>1170</v>
      </c>
      <c r="F6" s="1">
        <f t="shared" si="0"/>
        <v>17284</v>
      </c>
      <c r="G6">
        <f t="shared" si="1"/>
        <v>2662</v>
      </c>
      <c r="H6">
        <f t="shared" si="2"/>
        <v>0.78418230563002678</v>
      </c>
    </row>
    <row r="7" spans="1:8" x14ac:dyDescent="0.35">
      <c r="A7" t="s">
        <v>6</v>
      </c>
      <c r="B7">
        <v>1014.8610394397346</v>
      </c>
      <c r="C7">
        <v>325</v>
      </c>
      <c r="D7">
        <v>9372</v>
      </c>
      <c r="E7">
        <v>1467</v>
      </c>
      <c r="F7" s="1">
        <f t="shared" si="0"/>
        <v>10386.861039439735</v>
      </c>
      <c r="G7">
        <f t="shared" si="1"/>
        <v>1792</v>
      </c>
      <c r="H7">
        <f t="shared" si="2"/>
        <v>4.5138461538461536</v>
      </c>
    </row>
    <row r="8" spans="1:8" x14ac:dyDescent="0.35">
      <c r="A8" t="s">
        <v>7</v>
      </c>
      <c r="B8">
        <v>3759</v>
      </c>
      <c r="C8">
        <v>800</v>
      </c>
      <c r="D8">
        <v>16473</v>
      </c>
      <c r="E8">
        <v>2660</v>
      </c>
      <c r="F8" s="1">
        <f t="shared" si="0"/>
        <v>20232</v>
      </c>
      <c r="G8">
        <f t="shared" si="1"/>
        <v>3460</v>
      </c>
      <c r="H8">
        <f t="shared" si="2"/>
        <v>3.3250000000000002</v>
      </c>
    </row>
    <row r="9" spans="1:8" x14ac:dyDescent="0.35">
      <c r="A9" t="s">
        <v>60</v>
      </c>
      <c r="B9">
        <v>2644</v>
      </c>
      <c r="C9">
        <v>0</v>
      </c>
      <c r="D9">
        <v>941</v>
      </c>
      <c r="E9">
        <v>0</v>
      </c>
      <c r="F9" s="1">
        <f t="shared" si="0"/>
        <v>3585</v>
      </c>
    </row>
    <row r="10" spans="1:8" x14ac:dyDescent="0.35">
      <c r="A10" t="s">
        <v>8</v>
      </c>
      <c r="B10">
        <v>146.38957816377172</v>
      </c>
      <c r="C10">
        <v>18</v>
      </c>
      <c r="D10">
        <v>648.48014888337468</v>
      </c>
      <c r="E10">
        <v>0</v>
      </c>
      <c r="F10" s="1">
        <f t="shared" si="0"/>
        <v>794.8697270471464</v>
      </c>
      <c r="G10">
        <f t="shared" si="1"/>
        <v>18</v>
      </c>
    </row>
    <row r="11" spans="1:8" x14ac:dyDescent="0.35">
      <c r="A11" t="s">
        <v>9</v>
      </c>
      <c r="B11">
        <v>1507</v>
      </c>
      <c r="C11">
        <v>330</v>
      </c>
      <c r="D11">
        <v>3387.151734852408</v>
      </c>
      <c r="E11">
        <v>2920</v>
      </c>
      <c r="F11" s="1">
        <f t="shared" si="0"/>
        <v>4894.1517348524085</v>
      </c>
      <c r="G11">
        <f t="shared" si="1"/>
        <v>3250</v>
      </c>
      <c r="H11">
        <f t="shared" si="2"/>
        <v>8.8484848484848477</v>
      </c>
    </row>
    <row r="12" spans="1:8" x14ac:dyDescent="0.35">
      <c r="A12" t="s">
        <v>10</v>
      </c>
      <c r="B12">
        <v>354</v>
      </c>
      <c r="C12">
        <v>0</v>
      </c>
      <c r="D12">
        <v>784.97097407084357</v>
      </c>
      <c r="E12">
        <v>40</v>
      </c>
      <c r="F12" s="1">
        <f t="shared" si="0"/>
        <v>1138.9709740708436</v>
      </c>
      <c r="G12">
        <f t="shared" si="1"/>
        <v>40</v>
      </c>
    </row>
    <row r="13" spans="1:8" x14ac:dyDescent="0.35">
      <c r="A13" t="s">
        <v>11</v>
      </c>
      <c r="B13">
        <v>1042</v>
      </c>
      <c r="C13">
        <v>60</v>
      </c>
      <c r="D13">
        <v>5573</v>
      </c>
      <c r="E13">
        <v>60</v>
      </c>
      <c r="F13" s="1">
        <f t="shared" si="0"/>
        <v>6615</v>
      </c>
      <c r="G13">
        <f t="shared" si="1"/>
        <v>120</v>
      </c>
      <c r="H13">
        <f t="shared" si="2"/>
        <v>1</v>
      </c>
    </row>
    <row r="14" spans="1:8" x14ac:dyDescent="0.35">
      <c r="A14" t="s">
        <v>12</v>
      </c>
      <c r="B14">
        <v>6327.5519796794806</v>
      </c>
      <c r="C14">
        <v>254</v>
      </c>
      <c r="D14">
        <v>19225.233489577877</v>
      </c>
      <c r="E14">
        <v>1007</v>
      </c>
      <c r="F14" s="1">
        <f t="shared" si="0"/>
        <v>25552.785469257356</v>
      </c>
      <c r="G14">
        <f t="shared" si="1"/>
        <v>1261</v>
      </c>
      <c r="H14">
        <f t="shared" si="2"/>
        <v>3.9645669291338583</v>
      </c>
    </row>
    <row r="15" spans="1:8" x14ac:dyDescent="0.35">
      <c r="A15" t="s">
        <v>13</v>
      </c>
      <c r="B15">
        <v>21289.958719118578</v>
      </c>
      <c r="C15">
        <v>6020</v>
      </c>
      <c r="D15">
        <v>115316</v>
      </c>
      <c r="E15">
        <v>24061</v>
      </c>
      <c r="F15" s="1">
        <f t="shared" si="0"/>
        <v>136605.95871911859</v>
      </c>
      <c r="G15">
        <f t="shared" si="1"/>
        <v>30081</v>
      </c>
      <c r="H15">
        <f t="shared" si="2"/>
        <v>3.9968438538205979</v>
      </c>
    </row>
    <row r="16" spans="1:8" x14ac:dyDescent="0.35">
      <c r="A16" t="s">
        <v>14</v>
      </c>
      <c r="B16">
        <v>274.68237599257924</v>
      </c>
      <c r="C16">
        <v>767</v>
      </c>
      <c r="D16">
        <v>1375</v>
      </c>
      <c r="E16">
        <v>962</v>
      </c>
      <c r="F16" s="1">
        <f t="shared" si="0"/>
        <v>1649.6823759925792</v>
      </c>
      <c r="G16">
        <f t="shared" si="1"/>
        <v>1729</v>
      </c>
      <c r="H16">
        <f t="shared" si="2"/>
        <v>1.2542372881355932</v>
      </c>
    </row>
    <row r="17" spans="1:8" x14ac:dyDescent="0.35">
      <c r="A17" t="s">
        <v>15</v>
      </c>
      <c r="B17">
        <v>298.81764752330793</v>
      </c>
      <c r="C17">
        <v>0</v>
      </c>
      <c r="D17">
        <v>5007</v>
      </c>
      <c r="E17">
        <v>400</v>
      </c>
      <c r="F17" s="1">
        <f t="shared" si="0"/>
        <v>5305.8176475233076</v>
      </c>
      <c r="G17">
        <f t="shared" si="1"/>
        <v>400</v>
      </c>
    </row>
    <row r="18" spans="1:8" x14ac:dyDescent="0.35">
      <c r="A18" t="s">
        <v>16</v>
      </c>
      <c r="B18">
        <v>687</v>
      </c>
      <c r="C18">
        <v>0</v>
      </c>
      <c r="D18">
        <v>5242</v>
      </c>
      <c r="E18">
        <v>160</v>
      </c>
      <c r="F18" s="1">
        <f t="shared" si="0"/>
        <v>5929</v>
      </c>
      <c r="G18">
        <f t="shared" si="1"/>
        <v>160</v>
      </c>
    </row>
    <row r="19" spans="1:8" x14ac:dyDescent="0.35">
      <c r="A19" t="s">
        <v>17</v>
      </c>
      <c r="B19">
        <v>23741</v>
      </c>
      <c r="C19">
        <v>3114</v>
      </c>
      <c r="D19">
        <v>131262</v>
      </c>
      <c r="E19">
        <v>6298</v>
      </c>
      <c r="F19" s="1">
        <f t="shared" si="0"/>
        <v>155003</v>
      </c>
      <c r="G19">
        <f t="shared" si="1"/>
        <v>9412</v>
      </c>
      <c r="H19">
        <f t="shared" si="2"/>
        <v>2.0224791265253694</v>
      </c>
    </row>
    <row r="20" spans="1:8" x14ac:dyDescent="0.35">
      <c r="A20" t="s">
        <v>18</v>
      </c>
      <c r="B20">
        <v>1265.3898201501661</v>
      </c>
      <c r="C20">
        <v>46</v>
      </c>
      <c r="D20">
        <v>4751.5998777719578</v>
      </c>
      <c r="E20">
        <v>95</v>
      </c>
      <c r="F20" s="1">
        <f t="shared" si="0"/>
        <v>6016.9896979221239</v>
      </c>
      <c r="G20">
        <f t="shared" si="1"/>
        <v>141</v>
      </c>
      <c r="H20">
        <f t="shared" si="2"/>
        <v>2.0652173913043477</v>
      </c>
    </row>
    <row r="21" spans="1:8" x14ac:dyDescent="0.35">
      <c r="A21" t="s">
        <v>19</v>
      </c>
      <c r="B21">
        <v>273.86722731906218</v>
      </c>
      <c r="C21">
        <v>23</v>
      </c>
      <c r="D21">
        <v>1429.4036697247707</v>
      </c>
      <c r="E21">
        <v>137</v>
      </c>
      <c r="F21" s="1">
        <f t="shared" si="0"/>
        <v>1703.270897043833</v>
      </c>
      <c r="G21">
        <f t="shared" si="1"/>
        <v>160</v>
      </c>
      <c r="H21">
        <f t="shared" si="2"/>
        <v>5.9565217391304346</v>
      </c>
    </row>
    <row r="22" spans="1:8" x14ac:dyDescent="0.35">
      <c r="A22" t="s">
        <v>20</v>
      </c>
      <c r="B22">
        <v>4726</v>
      </c>
      <c r="C22">
        <v>1566</v>
      </c>
      <c r="D22">
        <v>124204.27697797566</v>
      </c>
      <c r="E22">
        <v>21271</v>
      </c>
      <c r="F22" s="1">
        <f t="shared" si="0"/>
        <v>128930.27697797566</v>
      </c>
      <c r="G22">
        <f t="shared" si="1"/>
        <v>22837</v>
      </c>
      <c r="H22">
        <f t="shared" si="2"/>
        <v>13.58301404853129</v>
      </c>
    </row>
    <row r="23" spans="1:8" x14ac:dyDescent="0.35">
      <c r="A23" t="s">
        <v>21</v>
      </c>
      <c r="B23">
        <v>341.34169736316329</v>
      </c>
      <c r="C23">
        <v>767</v>
      </c>
      <c r="D23">
        <v>5018.9871797472533</v>
      </c>
      <c r="E23">
        <v>964</v>
      </c>
      <c r="F23" s="1">
        <f t="shared" si="0"/>
        <v>5360.3288771104162</v>
      </c>
      <c r="G23">
        <f t="shared" si="1"/>
        <v>1731</v>
      </c>
      <c r="H23">
        <f t="shared" si="2"/>
        <v>1.256844850065189</v>
      </c>
    </row>
    <row r="24" spans="1:8" x14ac:dyDescent="0.35">
      <c r="A24" t="s">
        <v>22</v>
      </c>
      <c r="B24">
        <v>530.87376425855507</v>
      </c>
      <c r="C24">
        <v>0</v>
      </c>
      <c r="D24">
        <v>1879</v>
      </c>
      <c r="E24">
        <v>0</v>
      </c>
      <c r="F24" s="1">
        <f t="shared" si="0"/>
        <v>2409.8737642585552</v>
      </c>
    </row>
    <row r="25" spans="1:8" x14ac:dyDescent="0.35">
      <c r="A25" t="s">
        <v>23</v>
      </c>
      <c r="B25">
        <v>12792</v>
      </c>
      <c r="C25">
        <v>558</v>
      </c>
      <c r="D25">
        <v>109659</v>
      </c>
      <c r="E25">
        <v>1070</v>
      </c>
      <c r="F25" s="1">
        <f t="shared" si="0"/>
        <v>122451</v>
      </c>
      <c r="G25">
        <f t="shared" si="1"/>
        <v>1628</v>
      </c>
      <c r="H25">
        <f t="shared" si="2"/>
        <v>1.9175627240143369</v>
      </c>
    </row>
    <row r="26" spans="1:8" x14ac:dyDescent="0.35">
      <c r="A26" t="s">
        <v>24</v>
      </c>
      <c r="B26">
        <v>536.60977859778598</v>
      </c>
      <c r="C26">
        <v>8</v>
      </c>
      <c r="D26">
        <v>1235.4801331049025</v>
      </c>
      <c r="E26">
        <v>376</v>
      </c>
      <c r="F26" s="1">
        <f t="shared" si="0"/>
        <v>1772.0899117026884</v>
      </c>
      <c r="G26">
        <f t="shared" si="1"/>
        <v>384</v>
      </c>
      <c r="H26">
        <f t="shared" si="2"/>
        <v>47</v>
      </c>
    </row>
    <row r="27" spans="1:8" x14ac:dyDescent="0.35">
      <c r="A27" t="s">
        <v>25</v>
      </c>
      <c r="B27">
        <v>954</v>
      </c>
      <c r="C27">
        <v>29</v>
      </c>
      <c r="D27">
        <v>4423.7952883834278</v>
      </c>
      <c r="E27">
        <v>63</v>
      </c>
      <c r="F27" s="1">
        <f t="shared" si="0"/>
        <v>5377.7952883834278</v>
      </c>
      <c r="G27">
        <f t="shared" si="1"/>
        <v>92</v>
      </c>
      <c r="H27">
        <f t="shared" si="2"/>
        <v>2.1724137931034484</v>
      </c>
    </row>
    <row r="28" spans="1:8" x14ac:dyDescent="0.35">
      <c r="A28" t="s">
        <v>26</v>
      </c>
      <c r="B28">
        <v>5230</v>
      </c>
      <c r="C28">
        <v>316</v>
      </c>
      <c r="D28">
        <v>4560</v>
      </c>
      <c r="E28">
        <v>2540</v>
      </c>
      <c r="F28" s="1">
        <f t="shared" si="0"/>
        <v>9790</v>
      </c>
      <c r="G28">
        <f t="shared" si="1"/>
        <v>2856</v>
      </c>
      <c r="H28">
        <f t="shared" si="2"/>
        <v>8.037974683544304</v>
      </c>
    </row>
    <row r="29" spans="1:8" x14ac:dyDescent="0.35">
      <c r="A29" t="s">
        <v>27</v>
      </c>
      <c r="B29">
        <v>1103.5637751855782</v>
      </c>
      <c r="C29">
        <v>115</v>
      </c>
      <c r="D29">
        <v>9592</v>
      </c>
      <c r="E29">
        <v>386</v>
      </c>
      <c r="F29" s="1">
        <f t="shared" si="0"/>
        <v>10695.563775185577</v>
      </c>
      <c r="G29">
        <f t="shared" si="1"/>
        <v>501</v>
      </c>
      <c r="H29">
        <f t="shared" si="2"/>
        <v>3.3565217391304349</v>
      </c>
    </row>
    <row r="30" spans="1:8" x14ac:dyDescent="0.35">
      <c r="A30" t="s">
        <v>28</v>
      </c>
      <c r="B30">
        <v>4402</v>
      </c>
      <c r="C30">
        <v>0</v>
      </c>
      <c r="D30">
        <v>6327</v>
      </c>
      <c r="E30">
        <v>0</v>
      </c>
      <c r="F30" s="1">
        <f t="shared" si="0"/>
        <v>10729</v>
      </c>
    </row>
    <row r="31" spans="1:8" x14ac:dyDescent="0.35">
      <c r="A31" t="s">
        <v>29</v>
      </c>
      <c r="B31">
        <v>1273.0346943092873</v>
      </c>
      <c r="C31">
        <v>0</v>
      </c>
      <c r="D31">
        <v>6503</v>
      </c>
      <c r="E31">
        <v>113</v>
      </c>
      <c r="F31" s="1">
        <f t="shared" si="0"/>
        <v>7776.0346943092873</v>
      </c>
      <c r="G31">
        <f t="shared" si="1"/>
        <v>113</v>
      </c>
    </row>
    <row r="32" spans="1:8" x14ac:dyDescent="0.35">
      <c r="A32" t="s">
        <v>30</v>
      </c>
      <c r="B32" s="1">
        <v>1833.6554988586008</v>
      </c>
      <c r="C32">
        <v>432</v>
      </c>
      <c r="D32" s="1">
        <v>4598.8787431180344</v>
      </c>
      <c r="E32">
        <v>175</v>
      </c>
      <c r="F32" s="1">
        <f t="shared" si="0"/>
        <v>6432.5342419766348</v>
      </c>
      <c r="G32">
        <f t="shared" si="1"/>
        <v>607</v>
      </c>
      <c r="H32">
        <f t="shared" si="2"/>
        <v>0.40509259259259262</v>
      </c>
    </row>
    <row r="33" spans="1:8" x14ac:dyDescent="0.35">
      <c r="A33" t="s">
        <v>31</v>
      </c>
      <c r="B33" s="1">
        <v>5719</v>
      </c>
      <c r="C33">
        <v>819</v>
      </c>
      <c r="D33" s="1">
        <v>17168</v>
      </c>
      <c r="E33">
        <v>580</v>
      </c>
      <c r="F33" s="1">
        <f t="shared" si="0"/>
        <v>22887</v>
      </c>
      <c r="G33">
        <f t="shared" si="1"/>
        <v>1399</v>
      </c>
      <c r="H33">
        <f t="shared" si="2"/>
        <v>0.70818070818070822</v>
      </c>
    </row>
    <row r="34" spans="1:8" x14ac:dyDescent="0.35">
      <c r="A34" t="s">
        <v>32</v>
      </c>
      <c r="B34" s="1">
        <v>1597</v>
      </c>
      <c r="C34">
        <v>475</v>
      </c>
      <c r="D34" s="1">
        <v>15558.321723868956</v>
      </c>
      <c r="E34">
        <v>200</v>
      </c>
      <c r="F34" s="1">
        <f t="shared" si="0"/>
        <v>17155.321723868954</v>
      </c>
      <c r="G34">
        <f t="shared" si="1"/>
        <v>675</v>
      </c>
      <c r="H34">
        <f t="shared" si="2"/>
        <v>0.42105263157894735</v>
      </c>
    </row>
    <row r="35" spans="1:8" x14ac:dyDescent="0.35">
      <c r="A35" t="s">
        <v>33</v>
      </c>
      <c r="B35" s="1">
        <v>705.66936761273496</v>
      </c>
      <c r="C35">
        <v>370</v>
      </c>
      <c r="D35" s="1">
        <v>4565</v>
      </c>
      <c r="E35">
        <v>305</v>
      </c>
      <c r="F35" s="1">
        <f t="shared" si="0"/>
        <v>5270.6693676127352</v>
      </c>
      <c r="G35">
        <f t="shared" si="1"/>
        <v>675</v>
      </c>
      <c r="H35">
        <f t="shared" si="2"/>
        <v>0.82432432432432434</v>
      </c>
    </row>
    <row r="36" spans="1:8" x14ac:dyDescent="0.35">
      <c r="A36" t="s">
        <v>34</v>
      </c>
      <c r="B36">
        <v>86181</v>
      </c>
      <c r="C36">
        <v>4340</v>
      </c>
      <c r="D36">
        <v>220681</v>
      </c>
      <c r="E36">
        <v>12835</v>
      </c>
      <c r="F36" s="1">
        <f t="shared" si="0"/>
        <v>306862</v>
      </c>
      <c r="G36">
        <f t="shared" si="1"/>
        <v>17175</v>
      </c>
      <c r="H36">
        <f t="shared" si="2"/>
        <v>2.9573732718894008</v>
      </c>
    </row>
    <row r="37" spans="1:8" x14ac:dyDescent="0.35">
      <c r="A37" t="s">
        <v>35</v>
      </c>
      <c r="B37">
        <v>1648</v>
      </c>
      <c r="C37">
        <v>11</v>
      </c>
      <c r="D37">
        <v>13501.239749316621</v>
      </c>
      <c r="E37">
        <v>355</v>
      </c>
      <c r="F37" s="1">
        <f t="shared" si="0"/>
        <v>15149.239749316621</v>
      </c>
      <c r="G37">
        <f t="shared" si="1"/>
        <v>366</v>
      </c>
      <c r="H37">
        <f t="shared" si="2"/>
        <v>32.272727272727273</v>
      </c>
    </row>
    <row r="38" spans="1:8" x14ac:dyDescent="0.35">
      <c r="A38" t="s">
        <v>36</v>
      </c>
      <c r="B38">
        <v>105</v>
      </c>
      <c r="C38">
        <v>0</v>
      </c>
      <c r="D38">
        <v>440</v>
      </c>
      <c r="E38">
        <v>0</v>
      </c>
      <c r="F38" s="1">
        <f t="shared" si="0"/>
        <v>545</v>
      </c>
    </row>
    <row r="39" spans="1:8" x14ac:dyDescent="0.35">
      <c r="A39" t="s">
        <v>37</v>
      </c>
      <c r="B39">
        <v>2560.8623058327948</v>
      </c>
      <c r="C39">
        <v>434</v>
      </c>
      <c r="D39">
        <v>4737</v>
      </c>
      <c r="E39">
        <v>582</v>
      </c>
      <c r="F39" s="1">
        <f t="shared" si="0"/>
        <v>7297.8623058327948</v>
      </c>
      <c r="G39">
        <f t="shared" si="1"/>
        <v>1016</v>
      </c>
      <c r="H39">
        <f t="shared" si="2"/>
        <v>1.3410138248847927</v>
      </c>
    </row>
    <row r="40" spans="1:8" x14ac:dyDescent="0.35">
      <c r="A40" t="s">
        <v>38</v>
      </c>
      <c r="B40">
        <v>828</v>
      </c>
      <c r="C40">
        <v>10</v>
      </c>
      <c r="D40">
        <v>1277</v>
      </c>
      <c r="E40">
        <v>40</v>
      </c>
      <c r="F40" s="1">
        <f t="shared" si="0"/>
        <v>2105</v>
      </c>
      <c r="G40">
        <f t="shared" si="1"/>
        <v>50</v>
      </c>
      <c r="H40">
        <f t="shared" si="2"/>
        <v>4</v>
      </c>
    </row>
    <row r="41" spans="1:8" x14ac:dyDescent="0.35">
      <c r="A41" t="s">
        <v>39</v>
      </c>
      <c r="B41">
        <v>1106</v>
      </c>
      <c r="C41">
        <v>217</v>
      </c>
      <c r="D41">
        <v>15666</v>
      </c>
      <c r="E41">
        <v>1755</v>
      </c>
      <c r="F41" s="1">
        <f t="shared" si="0"/>
        <v>16772</v>
      </c>
      <c r="G41">
        <f t="shared" si="1"/>
        <v>1972</v>
      </c>
      <c r="H41">
        <f t="shared" si="2"/>
        <v>8.0875576036866352</v>
      </c>
    </row>
    <row r="42" spans="1:8" x14ac:dyDescent="0.35">
      <c r="A42" t="s">
        <v>40</v>
      </c>
      <c r="B42">
        <v>48021</v>
      </c>
      <c r="C42">
        <v>998</v>
      </c>
      <c r="D42">
        <v>397261.24962174537</v>
      </c>
      <c r="E42">
        <v>3154</v>
      </c>
      <c r="F42" s="1">
        <f t="shared" si="0"/>
        <v>445282.24962174537</v>
      </c>
      <c r="G42">
        <f t="shared" si="1"/>
        <v>4152</v>
      </c>
      <c r="H42">
        <f t="shared" si="2"/>
        <v>3.1603206412825653</v>
      </c>
    </row>
    <row r="43" spans="1:8" x14ac:dyDescent="0.35">
      <c r="A43" t="s">
        <v>41</v>
      </c>
      <c r="B43">
        <v>456</v>
      </c>
      <c r="C43">
        <v>0</v>
      </c>
      <c r="D43">
        <v>4530</v>
      </c>
      <c r="E43">
        <v>241</v>
      </c>
      <c r="F43" s="1">
        <f t="shared" si="0"/>
        <v>4986</v>
      </c>
      <c r="G43">
        <f t="shared" si="1"/>
        <v>241</v>
      </c>
    </row>
    <row r="44" spans="1:8" x14ac:dyDescent="0.35">
      <c r="A44" t="s">
        <v>42</v>
      </c>
      <c r="B44">
        <v>8693</v>
      </c>
      <c r="C44">
        <v>330</v>
      </c>
      <c r="D44">
        <v>31940</v>
      </c>
      <c r="E44">
        <v>2920</v>
      </c>
      <c r="F44" s="1">
        <f t="shared" si="0"/>
        <v>40633</v>
      </c>
      <c r="G44">
        <f t="shared" si="1"/>
        <v>3250</v>
      </c>
      <c r="H44">
        <f t="shared" si="2"/>
        <v>8.8484848484848477</v>
      </c>
    </row>
    <row r="45" spans="1:8" x14ac:dyDescent="0.35">
      <c r="A45" t="s">
        <v>43</v>
      </c>
      <c r="B45">
        <v>730</v>
      </c>
      <c r="C45">
        <v>77</v>
      </c>
      <c r="D45">
        <v>2630</v>
      </c>
      <c r="E45">
        <v>240</v>
      </c>
      <c r="F45" s="1">
        <f t="shared" si="0"/>
        <v>3360</v>
      </c>
      <c r="G45">
        <f t="shared" si="1"/>
        <v>317</v>
      </c>
      <c r="H45">
        <f t="shared" si="2"/>
        <v>3.116883116883117</v>
      </c>
    </row>
    <row r="46" spans="1:8" x14ac:dyDescent="0.35">
      <c r="A46" t="s">
        <v>44</v>
      </c>
      <c r="B46">
        <v>9051.7813279678066</v>
      </c>
      <c r="C46">
        <v>1997</v>
      </c>
      <c r="D46">
        <v>74197</v>
      </c>
      <c r="E46">
        <v>14001</v>
      </c>
      <c r="F46" s="1">
        <f t="shared" si="0"/>
        <v>83248.781327967808</v>
      </c>
      <c r="G46">
        <f t="shared" si="1"/>
        <v>15998</v>
      </c>
      <c r="H46">
        <f t="shared" si="2"/>
        <v>7.0110165247871805</v>
      </c>
    </row>
    <row r="47" spans="1:8" x14ac:dyDescent="0.35">
      <c r="A47" t="s">
        <v>45</v>
      </c>
      <c r="B47">
        <v>6531</v>
      </c>
      <c r="C47">
        <v>100</v>
      </c>
      <c r="D47">
        <v>49975</v>
      </c>
      <c r="E47">
        <v>5272</v>
      </c>
      <c r="F47" s="1">
        <f t="shared" si="0"/>
        <v>56506</v>
      </c>
      <c r="G47">
        <f t="shared" si="1"/>
        <v>5372</v>
      </c>
      <c r="H47">
        <f t="shared" si="2"/>
        <v>52.72</v>
      </c>
    </row>
    <row r="48" spans="1:8" x14ac:dyDescent="0.35">
      <c r="A48" t="s">
        <v>46</v>
      </c>
      <c r="B48">
        <v>3131.5983655333839</v>
      </c>
      <c r="C48">
        <v>265</v>
      </c>
      <c r="D48">
        <v>46537</v>
      </c>
      <c r="E48">
        <v>1100</v>
      </c>
      <c r="F48" s="1">
        <f t="shared" si="0"/>
        <v>49668.598365533384</v>
      </c>
      <c r="G48">
        <f t="shared" si="1"/>
        <v>1365</v>
      </c>
      <c r="H48">
        <f t="shared" si="2"/>
        <v>4.1509433962264151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97BE-1DCC-4A3B-A8BE-9CDCB88FDCB5}">
  <dimension ref="A1:K50"/>
  <sheetViews>
    <sheetView workbookViewId="0">
      <selection activeCell="E16" sqref="E16"/>
    </sheetView>
  </sheetViews>
  <sheetFormatPr defaultColWidth="8.81640625" defaultRowHeight="14.5" x14ac:dyDescent="0.35"/>
  <cols>
    <col min="2" max="2" width="20.81640625" bestFit="1" customWidth="1"/>
    <col min="3" max="3" width="12.36328125" bestFit="1" customWidth="1"/>
    <col min="4" max="5" width="13.36328125" bestFit="1" customWidth="1"/>
    <col min="6" max="6" width="12.36328125" bestFit="1" customWidth="1"/>
    <col min="7" max="8" width="13.36328125" bestFit="1" customWidth="1"/>
    <col min="9" max="11" width="13.36328125" style="4" bestFit="1" customWidth="1"/>
  </cols>
  <sheetData>
    <row r="1" spans="1:11" x14ac:dyDescent="0.35">
      <c r="A1" s="5"/>
      <c r="B1" s="5"/>
      <c r="C1" s="120" t="s">
        <v>66</v>
      </c>
      <c r="D1" s="121"/>
      <c r="E1" s="122"/>
      <c r="F1" s="118" t="s">
        <v>67</v>
      </c>
      <c r="G1" s="118"/>
      <c r="H1" s="118"/>
      <c r="I1" s="119" t="s">
        <v>59</v>
      </c>
      <c r="J1" s="119"/>
      <c r="K1" s="119"/>
    </row>
    <row r="2" spans="1:11" x14ac:dyDescent="0.35">
      <c r="A2" s="5" t="s">
        <v>68</v>
      </c>
      <c r="B2" s="5" t="s">
        <v>0</v>
      </c>
      <c r="C2" s="6">
        <v>2013</v>
      </c>
      <c r="D2" s="6">
        <v>2018</v>
      </c>
      <c r="E2" s="6" t="s">
        <v>69</v>
      </c>
      <c r="F2" s="6">
        <v>2013</v>
      </c>
      <c r="G2" s="6">
        <v>2018</v>
      </c>
      <c r="H2" s="6" t="s">
        <v>69</v>
      </c>
      <c r="I2" s="7">
        <v>2013</v>
      </c>
      <c r="J2" s="7">
        <v>2018</v>
      </c>
      <c r="K2" s="7" t="s">
        <v>69</v>
      </c>
    </row>
    <row r="3" spans="1:11" x14ac:dyDescent="0.35">
      <c r="A3" s="5">
        <v>1</v>
      </c>
      <c r="B3" s="5" t="s">
        <v>1</v>
      </c>
      <c r="C3" s="6">
        <v>11139</v>
      </c>
      <c r="D3" s="6">
        <v>175647</v>
      </c>
      <c r="E3" s="6">
        <v>74186.820488385216</v>
      </c>
      <c r="F3" s="6">
        <v>200</v>
      </c>
      <c r="G3" s="6">
        <v>240105</v>
      </c>
      <c r="H3" s="6">
        <v>366963.77629941667</v>
      </c>
      <c r="I3" s="7">
        <v>11339</v>
      </c>
      <c r="J3" s="7">
        <v>415752</v>
      </c>
      <c r="K3" s="7">
        <v>441150.59678780189</v>
      </c>
    </row>
    <row r="4" spans="1:11" x14ac:dyDescent="0.35">
      <c r="A4" s="5">
        <v>2</v>
      </c>
      <c r="B4" s="5" t="s">
        <v>2</v>
      </c>
      <c r="C4" s="6">
        <v>30</v>
      </c>
      <c r="D4" s="6">
        <v>60468</v>
      </c>
      <c r="E4" s="6">
        <v>78869.768592450535</v>
      </c>
      <c r="F4" s="6">
        <v>602</v>
      </c>
      <c r="G4" s="6">
        <v>50395</v>
      </c>
      <c r="H4" s="6">
        <v>58067.470117464829</v>
      </c>
      <c r="I4" s="7">
        <v>632</v>
      </c>
      <c r="J4" s="7">
        <v>110863</v>
      </c>
      <c r="K4" s="7">
        <v>136937.23870991537</v>
      </c>
    </row>
    <row r="5" spans="1:11" x14ac:dyDescent="0.35">
      <c r="A5" s="5">
        <v>3</v>
      </c>
      <c r="B5" s="5" t="s">
        <v>3</v>
      </c>
      <c r="C5" s="6">
        <v>7923</v>
      </c>
      <c r="D5" s="6">
        <v>5769</v>
      </c>
      <c r="E5" s="6">
        <v>11051.475446848541</v>
      </c>
      <c r="F5" s="6">
        <v>15066</v>
      </c>
      <c r="G5" s="6">
        <v>11707</v>
      </c>
      <c r="H5" s="6">
        <v>13972.936782690498</v>
      </c>
      <c r="I5" s="7">
        <v>22989</v>
      </c>
      <c r="J5" s="7">
        <v>17476</v>
      </c>
      <c r="K5" s="7">
        <v>25024.412229539041</v>
      </c>
    </row>
    <row r="6" spans="1:11" x14ac:dyDescent="0.35">
      <c r="A6" s="5">
        <v>4</v>
      </c>
      <c r="B6" s="5" t="s">
        <v>4</v>
      </c>
      <c r="C6" s="6">
        <v>8191</v>
      </c>
      <c r="D6" s="6">
        <v>9284</v>
      </c>
      <c r="E6" s="6">
        <v>9739.0851814152975</v>
      </c>
      <c r="F6" s="6">
        <v>1000</v>
      </c>
      <c r="G6" s="6">
        <v>7514</v>
      </c>
      <c r="H6" s="6">
        <v>8210.3980409764026</v>
      </c>
      <c r="I6" s="7">
        <v>9191</v>
      </c>
      <c r="J6" s="7">
        <v>16798</v>
      </c>
      <c r="K6" s="7">
        <v>17949.4832223917</v>
      </c>
    </row>
    <row r="7" spans="1:11" x14ac:dyDescent="0.35">
      <c r="A7" s="5">
        <v>5</v>
      </c>
      <c r="B7" s="5" t="s">
        <v>5</v>
      </c>
      <c r="C7" s="6">
        <v>8983</v>
      </c>
      <c r="D7" s="6">
        <v>19646</v>
      </c>
      <c r="E7" s="6">
        <v>27591.374567572704</v>
      </c>
      <c r="F7" s="6">
        <v>4585</v>
      </c>
      <c r="G7" s="6">
        <v>7601</v>
      </c>
      <c r="H7" s="6">
        <v>10576.497205854401</v>
      </c>
      <c r="I7" s="7">
        <v>13568</v>
      </c>
      <c r="J7" s="7">
        <v>27247</v>
      </c>
      <c r="K7" s="7">
        <v>38167.871773427105</v>
      </c>
    </row>
    <row r="8" spans="1:11" x14ac:dyDescent="0.35">
      <c r="A8" s="5">
        <v>6</v>
      </c>
      <c r="B8" s="5" t="s">
        <v>6</v>
      </c>
      <c r="C8" s="6">
        <v>7170</v>
      </c>
      <c r="D8" s="6">
        <v>10533</v>
      </c>
      <c r="E8" s="6">
        <v>10709.319625085567</v>
      </c>
      <c r="F8" s="6">
        <v>44</v>
      </c>
      <c r="G8" s="6">
        <v>37621</v>
      </c>
      <c r="H8" s="6">
        <v>42120.333315781165</v>
      </c>
      <c r="I8" s="7">
        <v>7214</v>
      </c>
      <c r="J8" s="7">
        <v>48154</v>
      </c>
      <c r="K8" s="7">
        <v>52829.652940866734</v>
      </c>
    </row>
    <row r="9" spans="1:11" x14ac:dyDescent="0.35">
      <c r="A9" s="5">
        <v>7</v>
      </c>
      <c r="B9" s="5" t="s">
        <v>7</v>
      </c>
      <c r="C9" s="6">
        <v>22321</v>
      </c>
      <c r="D9" s="6">
        <v>14532</v>
      </c>
      <c r="E9" s="6">
        <v>23282</v>
      </c>
      <c r="F9" s="6">
        <v>0</v>
      </c>
      <c r="G9" s="6">
        <v>16843</v>
      </c>
      <c r="H9" s="6">
        <v>8354.2378107535169</v>
      </c>
      <c r="I9" s="7">
        <v>22321</v>
      </c>
      <c r="J9" s="7">
        <v>31375</v>
      </c>
      <c r="K9" s="7">
        <v>31636.237810753519</v>
      </c>
    </row>
    <row r="10" spans="1:11" x14ac:dyDescent="0.35">
      <c r="A10" s="5">
        <v>8</v>
      </c>
      <c r="B10" s="5" t="s">
        <v>70</v>
      </c>
      <c r="C10" s="6">
        <v>711</v>
      </c>
      <c r="D10" s="6">
        <v>1666</v>
      </c>
      <c r="E10" s="6">
        <v>3734.493638676845</v>
      </c>
      <c r="F10" s="6">
        <v>7662</v>
      </c>
      <c r="G10" s="6">
        <v>5297</v>
      </c>
      <c r="H10" s="6">
        <v>2475.7981340118745</v>
      </c>
      <c r="I10" s="7">
        <v>8373</v>
      </c>
      <c r="J10" s="7">
        <v>6963</v>
      </c>
      <c r="K10" s="7">
        <v>6210.291772688719</v>
      </c>
    </row>
    <row r="11" spans="1:11" x14ac:dyDescent="0.35">
      <c r="A11" s="5">
        <v>9</v>
      </c>
      <c r="B11" s="5" t="s">
        <v>8</v>
      </c>
      <c r="C11" s="6">
        <v>1180</v>
      </c>
      <c r="D11" s="6">
        <v>2027</v>
      </c>
      <c r="E11" s="6">
        <v>1344.0062034739453</v>
      </c>
      <c r="F11" s="6">
        <v>384</v>
      </c>
      <c r="G11" s="6">
        <v>1029</v>
      </c>
      <c r="H11" s="6">
        <v>4353.7071960297762</v>
      </c>
      <c r="I11" s="7">
        <v>1564</v>
      </c>
      <c r="J11" s="7">
        <v>3056</v>
      </c>
      <c r="K11" s="7">
        <v>5697.713399503722</v>
      </c>
    </row>
    <row r="12" spans="1:11" x14ac:dyDescent="0.35">
      <c r="A12" s="5">
        <v>10</v>
      </c>
      <c r="B12" s="5" t="s">
        <v>9</v>
      </c>
      <c r="C12" s="6">
        <v>4702</v>
      </c>
      <c r="D12" s="6">
        <v>6992</v>
      </c>
      <c r="E12" s="6">
        <v>6338.6323148627653</v>
      </c>
      <c r="F12" s="6">
        <v>1664</v>
      </c>
      <c r="G12" s="6">
        <v>3800</v>
      </c>
      <c r="H12" s="6">
        <v>33923.737441740035</v>
      </c>
      <c r="I12" s="7">
        <v>6366</v>
      </c>
      <c r="J12" s="7">
        <v>10792</v>
      </c>
      <c r="K12" s="7">
        <v>40262.369756602799</v>
      </c>
    </row>
    <row r="13" spans="1:11" x14ac:dyDescent="0.35">
      <c r="A13" s="5">
        <v>11</v>
      </c>
      <c r="B13" s="5" t="s">
        <v>10</v>
      </c>
      <c r="C13" s="6">
        <v>452</v>
      </c>
      <c r="D13" s="6">
        <v>1541</v>
      </c>
      <c r="E13" s="6">
        <v>1868.196426622058</v>
      </c>
      <c r="F13" s="6">
        <v>841</v>
      </c>
      <c r="G13" s="6">
        <v>1215</v>
      </c>
      <c r="H13" s="6">
        <v>753.73246610801039</v>
      </c>
      <c r="I13" s="7">
        <v>1293</v>
      </c>
      <c r="J13" s="7">
        <v>2756</v>
      </c>
      <c r="K13" s="7">
        <v>2621.9288927300686</v>
      </c>
    </row>
    <row r="14" spans="1:11" x14ac:dyDescent="0.35">
      <c r="A14" s="5">
        <v>12</v>
      </c>
      <c r="B14" s="5" t="s">
        <v>11</v>
      </c>
      <c r="C14" s="6">
        <v>4571</v>
      </c>
      <c r="D14" s="6">
        <v>6962</v>
      </c>
      <c r="E14" s="6">
        <v>7791.8818117841056</v>
      </c>
      <c r="F14" s="6">
        <v>4923</v>
      </c>
      <c r="G14" s="6">
        <v>3307</v>
      </c>
      <c r="H14" s="6">
        <v>4346</v>
      </c>
      <c r="I14" s="7">
        <v>9494</v>
      </c>
      <c r="J14" s="7">
        <v>10269</v>
      </c>
      <c r="K14" s="7">
        <v>12137.881811784106</v>
      </c>
    </row>
    <row r="15" spans="1:11" x14ac:dyDescent="0.35">
      <c r="A15" s="5">
        <v>13</v>
      </c>
      <c r="B15" s="5" t="s">
        <v>12</v>
      </c>
      <c r="C15" s="6">
        <v>23221</v>
      </c>
      <c r="D15" s="6">
        <v>29443</v>
      </c>
      <c r="E15" s="6">
        <v>35290.378273279566</v>
      </c>
      <c r="F15" s="6">
        <v>5120</v>
      </c>
      <c r="G15" s="6">
        <v>51343</v>
      </c>
      <c r="H15" s="6">
        <v>37741.054506651308</v>
      </c>
      <c r="I15" s="7">
        <v>28341</v>
      </c>
      <c r="J15" s="7">
        <v>80786</v>
      </c>
      <c r="K15" s="7">
        <v>73031.432779930881</v>
      </c>
    </row>
    <row r="16" spans="1:11" x14ac:dyDescent="0.35">
      <c r="A16" s="5">
        <v>14</v>
      </c>
      <c r="B16" s="5" t="s">
        <v>13</v>
      </c>
      <c r="C16" s="6">
        <v>68069</v>
      </c>
      <c r="D16" s="6">
        <v>141290</v>
      </c>
      <c r="E16" s="6">
        <v>141402.43390237587</v>
      </c>
      <c r="F16" s="6">
        <v>3066</v>
      </c>
      <c r="G16" s="6">
        <v>85872</v>
      </c>
      <c r="H16" s="6">
        <v>15905.456486995652</v>
      </c>
      <c r="I16" s="7">
        <v>71135</v>
      </c>
      <c r="J16" s="7">
        <v>227162</v>
      </c>
      <c r="K16" s="7">
        <v>157307.89038937152</v>
      </c>
    </row>
    <row r="17" spans="1:11" x14ac:dyDescent="0.35">
      <c r="A17" s="5">
        <v>15</v>
      </c>
      <c r="B17" s="5" t="s">
        <v>14</v>
      </c>
      <c r="C17" s="6">
        <v>0</v>
      </c>
      <c r="D17" s="6">
        <v>662</v>
      </c>
      <c r="E17" s="6">
        <v>1781.1162448119487</v>
      </c>
      <c r="F17" s="6">
        <v>6</v>
      </c>
      <c r="G17" s="6">
        <v>1994</v>
      </c>
      <c r="H17" s="6">
        <v>2902</v>
      </c>
      <c r="I17" s="7">
        <v>6</v>
      </c>
      <c r="J17" s="7">
        <v>2656</v>
      </c>
      <c r="K17" s="7">
        <v>4683.1162448119485</v>
      </c>
    </row>
    <row r="18" spans="1:11" x14ac:dyDescent="0.35">
      <c r="A18" s="5">
        <v>16</v>
      </c>
      <c r="B18" s="5" t="s">
        <v>15</v>
      </c>
      <c r="C18" s="6">
        <v>4434</v>
      </c>
      <c r="D18" s="6">
        <v>6397</v>
      </c>
      <c r="E18" s="6">
        <v>6179.6252958362393</v>
      </c>
      <c r="F18" s="6">
        <v>0</v>
      </c>
      <c r="G18" s="6">
        <v>5483</v>
      </c>
      <c r="H18" s="6">
        <v>7859.4639605140483</v>
      </c>
      <c r="I18" s="7">
        <v>4434</v>
      </c>
      <c r="J18" s="7">
        <v>11880</v>
      </c>
      <c r="K18" s="7">
        <v>14039.089256350288</v>
      </c>
    </row>
    <row r="19" spans="1:11" x14ac:dyDescent="0.35">
      <c r="A19" s="5">
        <v>17</v>
      </c>
      <c r="B19" s="5" t="s">
        <v>16</v>
      </c>
      <c r="C19" s="6">
        <v>3735</v>
      </c>
      <c r="D19" s="6">
        <v>5570</v>
      </c>
      <c r="E19" s="6">
        <v>6208.1530330247342</v>
      </c>
      <c r="F19" s="6">
        <v>4661</v>
      </c>
      <c r="G19" s="6">
        <v>12031</v>
      </c>
      <c r="H19" s="6">
        <v>10642.058449633827</v>
      </c>
      <c r="I19" s="7">
        <v>8396</v>
      </c>
      <c r="J19" s="7">
        <v>17601</v>
      </c>
      <c r="K19" s="7">
        <v>16850.21148265856</v>
      </c>
    </row>
    <row r="20" spans="1:11" x14ac:dyDescent="0.35">
      <c r="A20" s="5">
        <v>18</v>
      </c>
      <c r="B20" s="5" t="s">
        <v>17</v>
      </c>
      <c r="C20" s="6">
        <v>6925</v>
      </c>
      <c r="D20" s="6">
        <v>108826</v>
      </c>
      <c r="E20" s="6">
        <v>229225</v>
      </c>
      <c r="F20" s="6">
        <v>511</v>
      </c>
      <c r="G20" s="6">
        <v>160072</v>
      </c>
      <c r="H20" s="6">
        <v>188294.14769244258</v>
      </c>
      <c r="I20" s="7">
        <v>7436</v>
      </c>
      <c r="J20" s="7">
        <v>268898</v>
      </c>
      <c r="K20" s="7">
        <v>417519.14769244258</v>
      </c>
    </row>
    <row r="21" spans="1:11" x14ac:dyDescent="0.35">
      <c r="A21" s="5">
        <v>19</v>
      </c>
      <c r="B21" s="5" t="s">
        <v>18</v>
      </c>
      <c r="C21" s="6">
        <v>437</v>
      </c>
      <c r="D21" s="6">
        <v>8562</v>
      </c>
      <c r="E21" s="6">
        <v>7467.6319189802698</v>
      </c>
      <c r="F21" s="6">
        <v>1295</v>
      </c>
      <c r="G21" s="6">
        <v>4369</v>
      </c>
      <c r="H21" s="6">
        <v>6195.3046970490668</v>
      </c>
      <c r="I21" s="7">
        <v>1732</v>
      </c>
      <c r="J21" s="7">
        <v>12931</v>
      </c>
      <c r="K21" s="7">
        <v>13662.936616029336</v>
      </c>
    </row>
    <row r="22" spans="1:11" x14ac:dyDescent="0.35">
      <c r="A22" s="5">
        <v>20</v>
      </c>
      <c r="B22" s="5" t="s">
        <v>19</v>
      </c>
      <c r="C22" s="6">
        <v>2979</v>
      </c>
      <c r="D22" s="6">
        <v>2284</v>
      </c>
      <c r="E22" s="6">
        <v>2205.3432721712538</v>
      </c>
      <c r="F22" s="6">
        <v>1007</v>
      </c>
      <c r="G22" s="6">
        <v>2625</v>
      </c>
      <c r="H22" s="6">
        <v>7047.434250764526</v>
      </c>
      <c r="I22" s="7">
        <v>3986</v>
      </c>
      <c r="J22" s="7">
        <v>4909</v>
      </c>
      <c r="K22" s="7">
        <v>9252.7775229357794</v>
      </c>
    </row>
    <row r="23" spans="1:11" x14ac:dyDescent="0.35">
      <c r="A23" s="5">
        <v>21</v>
      </c>
      <c r="B23" s="5" t="s">
        <v>20</v>
      </c>
      <c r="C23" s="6">
        <v>51421</v>
      </c>
      <c r="D23" s="6">
        <v>143265</v>
      </c>
      <c r="E23" s="6">
        <v>160786.9969390177</v>
      </c>
      <c r="F23" s="6">
        <v>24391</v>
      </c>
      <c r="G23" s="6">
        <v>62817</v>
      </c>
      <c r="H23" s="6">
        <v>77239.612875768318</v>
      </c>
      <c r="I23" s="7">
        <v>75812</v>
      </c>
      <c r="J23" s="7">
        <v>206082</v>
      </c>
      <c r="K23" s="7">
        <v>238026.609814786</v>
      </c>
    </row>
    <row r="24" spans="1:11" x14ac:dyDescent="0.35">
      <c r="A24" s="5">
        <v>22</v>
      </c>
      <c r="B24" s="5" t="s">
        <v>21</v>
      </c>
      <c r="C24" s="6">
        <v>8275</v>
      </c>
      <c r="D24" s="6">
        <v>11176</v>
      </c>
      <c r="E24" s="6">
        <v>6597.4100776542728</v>
      </c>
      <c r="F24" s="6">
        <v>6700</v>
      </c>
      <c r="G24" s="6">
        <v>18091</v>
      </c>
      <c r="H24" s="6">
        <v>18091</v>
      </c>
      <c r="I24" s="7">
        <v>14975</v>
      </c>
      <c r="J24" s="7">
        <v>29267</v>
      </c>
      <c r="K24" s="7">
        <v>24688.410077654273</v>
      </c>
    </row>
    <row r="25" spans="1:11" x14ac:dyDescent="0.35">
      <c r="A25" s="5">
        <v>23</v>
      </c>
      <c r="B25" s="5" t="s">
        <v>22</v>
      </c>
      <c r="C25" s="6">
        <v>1234</v>
      </c>
      <c r="D25" s="6">
        <v>2097</v>
      </c>
      <c r="E25" s="6">
        <v>2711.7219264892269</v>
      </c>
      <c r="F25" s="6">
        <v>496</v>
      </c>
      <c r="G25" s="6">
        <v>6168</v>
      </c>
      <c r="H25" s="6">
        <v>6478.7930291508237</v>
      </c>
      <c r="I25" s="7">
        <v>1730</v>
      </c>
      <c r="J25" s="7">
        <v>8265</v>
      </c>
      <c r="K25" s="7">
        <v>9190.5149556400502</v>
      </c>
    </row>
    <row r="26" spans="1:11" x14ac:dyDescent="0.35">
      <c r="A26" s="5">
        <v>24</v>
      </c>
      <c r="B26" s="5" t="s">
        <v>23</v>
      </c>
      <c r="C26" s="6">
        <v>52221</v>
      </c>
      <c r="D26" s="6">
        <v>72002</v>
      </c>
      <c r="E26" s="6">
        <v>132496</v>
      </c>
      <c r="F26" s="6">
        <v>13628</v>
      </c>
      <c r="G26" s="6">
        <v>92554</v>
      </c>
      <c r="H26" s="6">
        <v>153549.56215030918</v>
      </c>
      <c r="I26" s="7">
        <v>65849</v>
      </c>
      <c r="J26" s="7">
        <v>164556</v>
      </c>
      <c r="K26" s="7">
        <v>286045.56215030921</v>
      </c>
    </row>
    <row r="27" spans="1:11" x14ac:dyDescent="0.35">
      <c r="A27" s="5">
        <v>25</v>
      </c>
      <c r="B27" s="5" t="s">
        <v>24</v>
      </c>
      <c r="C27" s="6">
        <v>0</v>
      </c>
      <c r="D27" s="6">
        <v>11621</v>
      </c>
      <c r="E27" s="6">
        <v>5301.8248879810226</v>
      </c>
      <c r="F27" s="6">
        <v>216</v>
      </c>
      <c r="G27" s="6">
        <v>25051</v>
      </c>
      <c r="H27" s="6">
        <v>23691.187434106483</v>
      </c>
      <c r="I27" s="7">
        <v>216</v>
      </c>
      <c r="J27" s="7">
        <v>36672</v>
      </c>
      <c r="K27" s="7">
        <v>28993.012322087507</v>
      </c>
    </row>
    <row r="28" spans="1:11" x14ac:dyDescent="0.35">
      <c r="A28" s="5">
        <v>26</v>
      </c>
      <c r="B28" s="5" t="s">
        <v>25</v>
      </c>
      <c r="C28" s="6">
        <v>974</v>
      </c>
      <c r="D28" s="6">
        <v>11203</v>
      </c>
      <c r="E28" s="6">
        <v>7129.2714053614945</v>
      </c>
      <c r="F28" s="6">
        <v>2036</v>
      </c>
      <c r="G28" s="6">
        <v>13864</v>
      </c>
      <c r="H28" s="6">
        <v>23098</v>
      </c>
      <c r="I28" s="7">
        <v>3010</v>
      </c>
      <c r="J28" s="7">
        <v>25067</v>
      </c>
      <c r="K28" s="7">
        <v>30227.271405361495</v>
      </c>
    </row>
    <row r="29" spans="1:11" x14ac:dyDescent="0.35">
      <c r="A29" s="5">
        <v>27</v>
      </c>
      <c r="B29" s="5" t="s">
        <v>26</v>
      </c>
      <c r="C29" s="6">
        <v>10489</v>
      </c>
      <c r="D29" s="6">
        <v>14669</v>
      </c>
      <c r="E29" s="6">
        <v>14098.287215047239</v>
      </c>
      <c r="F29" s="6">
        <v>174</v>
      </c>
      <c r="G29" s="6">
        <v>44152</v>
      </c>
      <c r="H29" s="6">
        <v>50968.375262199879</v>
      </c>
      <c r="I29" s="7">
        <v>10663</v>
      </c>
      <c r="J29" s="7">
        <v>58821</v>
      </c>
      <c r="K29" s="7">
        <v>65066.662477247119</v>
      </c>
    </row>
    <row r="30" spans="1:11" x14ac:dyDescent="0.35">
      <c r="A30" s="5">
        <v>28</v>
      </c>
      <c r="B30" s="5" t="s">
        <v>27</v>
      </c>
      <c r="C30" s="6">
        <v>3963</v>
      </c>
      <c r="D30" s="6">
        <v>11568</v>
      </c>
      <c r="E30" s="6">
        <v>12418.378918345705</v>
      </c>
      <c r="F30" s="6">
        <v>0</v>
      </c>
      <c r="G30" s="6">
        <v>14833</v>
      </c>
      <c r="H30" s="6">
        <v>26223.507613997885</v>
      </c>
      <c r="I30" s="7">
        <v>3963</v>
      </c>
      <c r="J30" s="7">
        <v>26401</v>
      </c>
      <c r="K30" s="7">
        <v>38641.886532343589</v>
      </c>
    </row>
    <row r="31" spans="1:11" x14ac:dyDescent="0.35">
      <c r="A31" s="5">
        <v>29</v>
      </c>
      <c r="B31" s="5" t="s">
        <v>28</v>
      </c>
      <c r="C31" s="6">
        <v>8189</v>
      </c>
      <c r="D31" s="6">
        <v>12833</v>
      </c>
      <c r="E31" s="6">
        <v>14537.005004448398</v>
      </c>
      <c r="F31" s="6">
        <v>0</v>
      </c>
      <c r="G31" s="6">
        <v>14277</v>
      </c>
      <c r="H31" s="6">
        <v>23767</v>
      </c>
      <c r="I31" s="7">
        <v>8189</v>
      </c>
      <c r="J31" s="7">
        <v>27110</v>
      </c>
      <c r="K31" s="7">
        <v>38304.005004448394</v>
      </c>
    </row>
    <row r="32" spans="1:11" x14ac:dyDescent="0.35">
      <c r="A32" s="5">
        <v>30</v>
      </c>
      <c r="B32" s="5" t="s">
        <v>29</v>
      </c>
      <c r="C32" s="6">
        <v>4836</v>
      </c>
      <c r="D32" s="6">
        <v>6798</v>
      </c>
      <c r="E32" s="6">
        <v>9374.9877300613498</v>
      </c>
      <c r="F32" s="6">
        <v>244</v>
      </c>
      <c r="G32" s="6">
        <v>11463</v>
      </c>
      <c r="H32" s="6">
        <v>11463</v>
      </c>
      <c r="I32" s="7">
        <v>5080</v>
      </c>
      <c r="J32" s="7">
        <v>18261</v>
      </c>
      <c r="K32" s="7">
        <v>20837.987730061352</v>
      </c>
    </row>
    <row r="33" spans="1:11" x14ac:dyDescent="0.35">
      <c r="A33" s="5">
        <v>31</v>
      </c>
      <c r="B33" s="5" t="s">
        <v>30</v>
      </c>
      <c r="C33" s="6">
        <v>6820</v>
      </c>
      <c r="D33" s="6">
        <v>9444</v>
      </c>
      <c r="E33" s="6">
        <v>7846.7053175775491</v>
      </c>
      <c r="F33" s="6">
        <v>0</v>
      </c>
      <c r="G33" s="6">
        <v>6377</v>
      </c>
      <c r="H33" s="6">
        <v>7398.441318651805</v>
      </c>
      <c r="I33" s="7">
        <v>6820</v>
      </c>
      <c r="J33" s="7">
        <v>15821</v>
      </c>
      <c r="K33" s="7">
        <v>15245.146636229354</v>
      </c>
    </row>
    <row r="34" spans="1:11" x14ac:dyDescent="0.35">
      <c r="A34" s="5">
        <v>32</v>
      </c>
      <c r="B34" s="5" t="s">
        <v>31</v>
      </c>
      <c r="C34" s="6">
        <v>14014</v>
      </c>
      <c r="D34" s="6">
        <v>19598</v>
      </c>
      <c r="E34" s="6">
        <v>40757</v>
      </c>
      <c r="F34" s="6">
        <v>5346</v>
      </c>
      <c r="G34" s="6">
        <v>76726</v>
      </c>
      <c r="H34" s="6">
        <v>139367.37244750268</v>
      </c>
      <c r="I34" s="7">
        <v>19360</v>
      </c>
      <c r="J34" s="7">
        <v>96324</v>
      </c>
      <c r="K34" s="7">
        <v>180124.37244750268</v>
      </c>
    </row>
    <row r="35" spans="1:11" x14ac:dyDescent="0.35">
      <c r="A35" s="5">
        <v>33</v>
      </c>
      <c r="B35" s="5" t="s">
        <v>32</v>
      </c>
      <c r="C35" s="6">
        <v>4178</v>
      </c>
      <c r="D35" s="6">
        <v>15602</v>
      </c>
      <c r="E35" s="6">
        <v>18610.859009360374</v>
      </c>
      <c r="F35" s="6">
        <v>0</v>
      </c>
      <c r="G35" s="6">
        <v>10043</v>
      </c>
      <c r="H35" s="6">
        <v>8448.3207878315116</v>
      </c>
      <c r="I35" s="7">
        <v>4178</v>
      </c>
      <c r="J35" s="7">
        <v>25645</v>
      </c>
      <c r="K35" s="7">
        <v>27059.179797191886</v>
      </c>
    </row>
    <row r="36" spans="1:11" x14ac:dyDescent="0.35">
      <c r="A36" s="5">
        <v>34</v>
      </c>
      <c r="B36" s="5" t="s">
        <v>33</v>
      </c>
      <c r="C36" s="6">
        <v>5477</v>
      </c>
      <c r="D36" s="6">
        <v>6168</v>
      </c>
      <c r="E36" s="6">
        <v>6176.8688034042616</v>
      </c>
      <c r="F36" s="6">
        <v>6560</v>
      </c>
      <c r="G36" s="6">
        <v>3596</v>
      </c>
      <c r="H36" s="6">
        <v>6818.3026251918564</v>
      </c>
      <c r="I36" s="7">
        <v>12037</v>
      </c>
      <c r="J36" s="7">
        <v>9764</v>
      </c>
      <c r="K36" s="7">
        <v>12995.171428596117</v>
      </c>
    </row>
    <row r="37" spans="1:11" x14ac:dyDescent="0.35">
      <c r="A37" s="5">
        <v>35</v>
      </c>
      <c r="B37" s="5" t="s">
        <v>34</v>
      </c>
      <c r="C37" s="6">
        <v>261989</v>
      </c>
      <c r="D37" s="6">
        <v>441434</v>
      </c>
      <c r="E37" s="6">
        <v>495915.88729767234</v>
      </c>
      <c r="F37" s="6">
        <v>331077</v>
      </c>
      <c r="G37" s="6">
        <v>537756</v>
      </c>
      <c r="H37" s="6">
        <v>303916.69881769194</v>
      </c>
      <c r="I37" s="7">
        <v>593066</v>
      </c>
      <c r="J37" s="7">
        <v>979190</v>
      </c>
      <c r="K37" s="7">
        <v>799832.58611536422</v>
      </c>
    </row>
    <row r="38" spans="1:11" x14ac:dyDescent="0.35">
      <c r="A38" s="5">
        <v>36</v>
      </c>
      <c r="B38" s="5" t="s">
        <v>35</v>
      </c>
      <c r="C38" s="6">
        <v>11592</v>
      </c>
      <c r="D38" s="6">
        <v>17779</v>
      </c>
      <c r="E38" s="6">
        <v>18462.239749316621</v>
      </c>
      <c r="F38" s="6">
        <v>2695</v>
      </c>
      <c r="G38" s="6">
        <v>49680</v>
      </c>
      <c r="H38" s="6">
        <v>63680</v>
      </c>
      <c r="I38" s="7">
        <v>14287</v>
      </c>
      <c r="J38" s="7">
        <v>67459</v>
      </c>
      <c r="K38" s="7">
        <v>82142.239749316621</v>
      </c>
    </row>
    <row r="39" spans="1:11" x14ac:dyDescent="0.35">
      <c r="A39" s="5">
        <v>37</v>
      </c>
      <c r="B39" s="5" t="s">
        <v>36</v>
      </c>
      <c r="C39" s="6">
        <v>536</v>
      </c>
      <c r="D39" s="6">
        <v>559</v>
      </c>
      <c r="E39" s="6">
        <v>613.28457017504911</v>
      </c>
      <c r="F39" s="6">
        <v>28</v>
      </c>
      <c r="G39" s="6">
        <v>1105</v>
      </c>
      <c r="H39" s="6">
        <v>828.14730820859995</v>
      </c>
      <c r="I39" s="7">
        <v>564</v>
      </c>
      <c r="J39" s="7">
        <v>1664</v>
      </c>
      <c r="K39" s="7">
        <v>1441.4318783836491</v>
      </c>
    </row>
    <row r="40" spans="1:11" x14ac:dyDescent="0.35">
      <c r="A40" s="5">
        <v>38</v>
      </c>
      <c r="B40" s="5" t="s">
        <v>37</v>
      </c>
      <c r="C40" s="6">
        <v>6196</v>
      </c>
      <c r="D40" s="6">
        <v>10926</v>
      </c>
      <c r="E40" s="6">
        <v>11285.434623393408</v>
      </c>
      <c r="F40" s="6">
        <v>4932</v>
      </c>
      <c r="G40" s="6">
        <v>34349</v>
      </c>
      <c r="H40" s="6">
        <v>29939.877575931641</v>
      </c>
      <c r="I40" s="7">
        <v>11128</v>
      </c>
      <c r="J40" s="7">
        <v>45275</v>
      </c>
      <c r="K40" s="7">
        <v>41225.312199325053</v>
      </c>
    </row>
    <row r="41" spans="1:11" x14ac:dyDescent="0.35">
      <c r="A41" s="5">
        <v>39</v>
      </c>
      <c r="B41" s="5" t="s">
        <v>38</v>
      </c>
      <c r="C41" s="6">
        <v>530</v>
      </c>
      <c r="D41" s="6">
        <v>2020</v>
      </c>
      <c r="E41" s="6">
        <v>2592.4178512700573</v>
      </c>
      <c r="F41" s="6">
        <v>0</v>
      </c>
      <c r="G41" s="6">
        <v>525</v>
      </c>
      <c r="H41" s="6">
        <v>594.28457017504911</v>
      </c>
      <c r="I41" s="7">
        <v>530</v>
      </c>
      <c r="J41" s="7">
        <v>2545</v>
      </c>
      <c r="K41" s="7">
        <v>3186.7024214451067</v>
      </c>
    </row>
    <row r="42" spans="1:11" x14ac:dyDescent="0.35">
      <c r="A42" s="5">
        <v>40</v>
      </c>
      <c r="B42" s="5" t="s">
        <v>39</v>
      </c>
      <c r="C42" s="6">
        <v>8293</v>
      </c>
      <c r="D42" s="6">
        <v>7320</v>
      </c>
      <c r="E42" s="6">
        <v>20252.811629184373</v>
      </c>
      <c r="F42" s="6">
        <v>4557</v>
      </c>
      <c r="G42" s="6">
        <v>2288</v>
      </c>
      <c r="H42" s="6">
        <v>18898.61224042462</v>
      </c>
      <c r="I42" s="7">
        <v>12850</v>
      </c>
      <c r="J42" s="7">
        <v>9608</v>
      </c>
      <c r="K42" s="7">
        <v>39151.423869608989</v>
      </c>
    </row>
    <row r="43" spans="1:11" x14ac:dyDescent="0.35">
      <c r="A43" s="5">
        <v>41</v>
      </c>
      <c r="B43" s="5" t="s">
        <v>40</v>
      </c>
      <c r="C43" s="6">
        <v>90079</v>
      </c>
      <c r="D43" s="6">
        <v>354250</v>
      </c>
      <c r="E43" s="6">
        <v>468293.95185969712</v>
      </c>
      <c r="F43" s="6">
        <v>23469</v>
      </c>
      <c r="G43" s="6">
        <v>214207</v>
      </c>
      <c r="H43" s="6">
        <v>191862.74170800057</v>
      </c>
      <c r="I43" s="7">
        <v>113548</v>
      </c>
      <c r="J43" s="7">
        <v>568457</v>
      </c>
      <c r="K43" s="7">
        <v>660156.69356769766</v>
      </c>
    </row>
    <row r="44" spans="1:11" x14ac:dyDescent="0.35">
      <c r="A44" s="5">
        <v>42</v>
      </c>
      <c r="B44" s="5" t="s">
        <v>41</v>
      </c>
      <c r="C44" s="6">
        <v>0</v>
      </c>
      <c r="D44" s="6">
        <v>6413</v>
      </c>
      <c r="E44" s="6">
        <v>8616.9328736015086</v>
      </c>
      <c r="F44" s="6">
        <v>0</v>
      </c>
      <c r="G44" s="6">
        <v>10147</v>
      </c>
      <c r="H44" s="6">
        <v>12908</v>
      </c>
      <c r="I44" s="7">
        <v>0</v>
      </c>
      <c r="J44" s="7">
        <v>16560</v>
      </c>
      <c r="K44" s="7">
        <v>21524.932873601509</v>
      </c>
    </row>
    <row r="45" spans="1:11" x14ac:dyDescent="0.35">
      <c r="A45" s="5">
        <v>43</v>
      </c>
      <c r="B45" s="5" t="s">
        <v>42</v>
      </c>
      <c r="C45" s="6">
        <v>23402</v>
      </c>
      <c r="D45" s="6">
        <v>39366</v>
      </c>
      <c r="E45" s="6">
        <v>49814.905399934454</v>
      </c>
      <c r="F45" s="6">
        <v>15093</v>
      </c>
      <c r="G45" s="6">
        <v>69773</v>
      </c>
      <c r="H45" s="6">
        <v>138070.13653100963</v>
      </c>
      <c r="I45" s="7">
        <v>38495</v>
      </c>
      <c r="J45" s="7">
        <v>109139</v>
      </c>
      <c r="K45" s="7">
        <v>187885.04193094408</v>
      </c>
    </row>
    <row r="46" spans="1:11" x14ac:dyDescent="0.35">
      <c r="A46" s="5">
        <v>44</v>
      </c>
      <c r="B46" s="5" t="s">
        <v>43</v>
      </c>
      <c r="C46" s="6">
        <v>2532</v>
      </c>
      <c r="D46" s="6">
        <v>4137</v>
      </c>
      <c r="E46" s="6">
        <v>5574.9682728198168</v>
      </c>
      <c r="F46" s="6">
        <v>638</v>
      </c>
      <c r="G46" s="6">
        <v>22503</v>
      </c>
      <c r="H46" s="6">
        <v>21202.2429589413</v>
      </c>
      <c r="I46" s="7">
        <v>3170</v>
      </c>
      <c r="J46" s="7">
        <v>26640</v>
      </c>
      <c r="K46" s="7">
        <v>26777.211231761117</v>
      </c>
    </row>
    <row r="47" spans="1:11" x14ac:dyDescent="0.35">
      <c r="A47" s="5">
        <v>45</v>
      </c>
      <c r="B47" s="5" t="s">
        <v>44</v>
      </c>
      <c r="C47" s="6">
        <v>51995</v>
      </c>
      <c r="D47" s="6">
        <v>77940</v>
      </c>
      <c r="E47" s="6">
        <v>121325.78132796781</v>
      </c>
      <c r="F47" s="6">
        <v>207921</v>
      </c>
      <c r="G47" s="6">
        <v>190898</v>
      </c>
      <c r="H47" s="6">
        <v>215143.86052313884</v>
      </c>
      <c r="I47" s="7">
        <v>259916</v>
      </c>
      <c r="J47" s="7">
        <v>268838</v>
      </c>
      <c r="K47" s="7">
        <v>336469.64185110666</v>
      </c>
    </row>
    <row r="48" spans="1:11" x14ac:dyDescent="0.35">
      <c r="A48" s="5">
        <v>46</v>
      </c>
      <c r="B48" s="5" t="s">
        <v>45</v>
      </c>
      <c r="C48" s="6">
        <v>4278</v>
      </c>
      <c r="D48" s="6">
        <v>30782</v>
      </c>
      <c r="E48" s="6">
        <v>69982</v>
      </c>
      <c r="F48" s="6">
        <v>5507</v>
      </c>
      <c r="G48" s="6">
        <v>32379</v>
      </c>
      <c r="H48" s="6">
        <v>42023.819684990805</v>
      </c>
      <c r="I48" s="7">
        <v>9785</v>
      </c>
      <c r="J48" s="7">
        <v>63161</v>
      </c>
      <c r="K48" s="7">
        <v>112005.8196849908</v>
      </c>
    </row>
    <row r="49" spans="1:11" x14ac:dyDescent="0.35">
      <c r="A49" s="5">
        <v>47</v>
      </c>
      <c r="B49" s="5" t="s">
        <v>46</v>
      </c>
      <c r="C49" s="6">
        <v>21148</v>
      </c>
      <c r="D49" s="6">
        <v>35628</v>
      </c>
      <c r="E49" s="6">
        <v>62258.419764351172</v>
      </c>
      <c r="F49" s="6">
        <v>15850</v>
      </c>
      <c r="G49" s="6">
        <v>36886</v>
      </c>
      <c r="H49" s="6">
        <v>42581.173443884632</v>
      </c>
      <c r="I49" s="7">
        <v>36998</v>
      </c>
      <c r="J49" s="7">
        <v>72514</v>
      </c>
      <c r="K49" s="7">
        <v>104839.5932082358</v>
      </c>
    </row>
    <row r="50" spans="1:11" x14ac:dyDescent="0.35">
      <c r="A50" s="5">
        <v>48</v>
      </c>
      <c r="B50" s="5" t="s">
        <v>71</v>
      </c>
      <c r="C50" s="6">
        <v>841834</v>
      </c>
      <c r="D50" s="6">
        <v>1994699</v>
      </c>
      <c r="E50" s="6">
        <v>2460099.0886917901</v>
      </c>
      <c r="F50" s="6">
        <v>724195</v>
      </c>
      <c r="G50" s="6">
        <v>2312731</v>
      </c>
      <c r="H50" s="6">
        <v>2488957.6157619902</v>
      </c>
      <c r="I50" s="7">
        <v>1566029</v>
      </c>
      <c r="J50" s="7">
        <v>4307430</v>
      </c>
      <c r="K50" s="7">
        <v>4949056.7044537803</v>
      </c>
    </row>
  </sheetData>
  <mergeCells count="3">
    <mergeCell ref="F1:H1"/>
    <mergeCell ref="I1:K1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54A-823D-476A-8A90-467C7FD581F0}">
  <dimension ref="A1:J50"/>
  <sheetViews>
    <sheetView workbookViewId="0">
      <selection activeCell="C34" sqref="C34"/>
    </sheetView>
  </sheetViews>
  <sheetFormatPr defaultColWidth="8.81640625" defaultRowHeight="14.5" x14ac:dyDescent="0.35"/>
  <cols>
    <col min="1" max="1" width="20.81640625" bestFit="1" customWidth="1"/>
    <col min="2" max="2" width="8.81640625" bestFit="1" customWidth="1"/>
    <col min="3" max="7" width="9.36328125" bestFit="1" customWidth="1"/>
    <col min="8" max="10" width="9.36328125" style="4" bestFit="1" customWidth="1"/>
  </cols>
  <sheetData>
    <row r="1" spans="1:10" x14ac:dyDescent="0.35">
      <c r="B1" s="123" t="s">
        <v>66</v>
      </c>
      <c r="C1" s="123"/>
      <c r="D1" s="123"/>
      <c r="E1" s="124" t="s">
        <v>67</v>
      </c>
      <c r="F1" s="124"/>
      <c r="G1" s="124"/>
      <c r="H1" s="125" t="s">
        <v>59</v>
      </c>
      <c r="I1" s="125"/>
      <c r="J1" s="125"/>
    </row>
    <row r="2" spans="1:10" s="9" customFormat="1" ht="58" x14ac:dyDescent="0.35">
      <c r="A2" s="9" t="s">
        <v>0</v>
      </c>
      <c r="B2" s="9" t="s">
        <v>72</v>
      </c>
      <c r="C2" s="9" t="s">
        <v>73</v>
      </c>
      <c r="D2" s="9" t="s">
        <v>74</v>
      </c>
      <c r="E2" s="9" t="s">
        <v>72</v>
      </c>
      <c r="F2" s="9" t="s">
        <v>73</v>
      </c>
      <c r="G2" s="9" t="s">
        <v>74</v>
      </c>
      <c r="H2" s="10" t="s">
        <v>72</v>
      </c>
      <c r="I2" s="10" t="s">
        <v>73</v>
      </c>
      <c r="J2" s="10" t="s">
        <v>74</v>
      </c>
    </row>
    <row r="3" spans="1:10" x14ac:dyDescent="0.35">
      <c r="A3" t="s">
        <v>1</v>
      </c>
      <c r="B3" s="3">
        <v>2.931267462129866</v>
      </c>
      <c r="C3" s="3">
        <v>41.893522234964195</v>
      </c>
      <c r="D3" s="3">
        <v>16.521490491693015</v>
      </c>
      <c r="E3" s="3">
        <v>5.2630711233142405E-2</v>
      </c>
      <c r="F3" s="3">
        <v>57.067989613472768</v>
      </c>
      <c r="G3" s="3">
        <v>81.537078082791723</v>
      </c>
      <c r="H3" s="8">
        <v>2.9838981733630083</v>
      </c>
      <c r="I3" s="8">
        <v>98.961511848436984</v>
      </c>
      <c r="J3" s="8">
        <v>98.058568574484738</v>
      </c>
    </row>
    <row r="4" spans="1:10" x14ac:dyDescent="0.35">
      <c r="A4" t="s">
        <v>2</v>
      </c>
      <c r="B4" s="3">
        <v>1.147359073900709E-2</v>
      </c>
      <c r="C4" s="3">
        <v>19.33519951199629</v>
      </c>
      <c r="D4" s="3">
        <v>22.16128506058643</v>
      </c>
      <c r="E4" s="3">
        <v>0.23023672082940894</v>
      </c>
      <c r="F4" s="3">
        <v>16.090283115757977</v>
      </c>
      <c r="G4" s="3">
        <v>16.295060637006831</v>
      </c>
      <c r="H4" s="8">
        <v>0.24171031156841602</v>
      </c>
      <c r="I4" s="8">
        <v>35.425482627754263</v>
      </c>
      <c r="J4" s="8">
        <v>38.456345697593264</v>
      </c>
    </row>
    <row r="5" spans="1:10" x14ac:dyDescent="0.35">
      <c r="A5" t="s">
        <v>3</v>
      </c>
      <c r="B5" s="3">
        <v>7.6857184306059843</v>
      </c>
      <c r="C5" s="3">
        <v>4.8313817211552434</v>
      </c>
      <c r="D5" s="3">
        <v>8.2764831925559506</v>
      </c>
      <c r="E5" s="3">
        <v>14.614796652216302</v>
      </c>
      <c r="F5" s="3">
        <v>9.7917342838875214</v>
      </c>
      <c r="G5" s="3">
        <v>10.453140826335456</v>
      </c>
      <c r="H5" s="8">
        <v>22.300515082822283</v>
      </c>
      <c r="I5" s="8">
        <v>14.623116005042766</v>
      </c>
      <c r="J5" s="8">
        <v>18.729624018891407</v>
      </c>
    </row>
    <row r="6" spans="1:10" x14ac:dyDescent="0.35">
      <c r="A6" t="s">
        <v>4</v>
      </c>
      <c r="B6" s="3">
        <v>36.941691569573123</v>
      </c>
      <c r="C6" s="3">
        <v>37.8721049551717</v>
      </c>
      <c r="D6" s="3">
        <v>37.02657488516612</v>
      </c>
      <c r="E6" s="3">
        <v>4.5100343754820074</v>
      </c>
      <c r="F6" s="3">
        <v>30.541625355382433</v>
      </c>
      <c r="G6" s="3">
        <v>31.089269196228852</v>
      </c>
      <c r="H6" s="8">
        <v>41.451725945055138</v>
      </c>
      <c r="I6" s="8">
        <v>68.413730310554129</v>
      </c>
      <c r="J6" s="8">
        <v>68.115844081394968</v>
      </c>
    </row>
    <row r="7" spans="1:10" x14ac:dyDescent="0.35">
      <c r="A7" t="s">
        <v>5</v>
      </c>
      <c r="B7" s="3">
        <v>5.0934409402821972</v>
      </c>
      <c r="C7" s="3">
        <v>9.6338286946770175</v>
      </c>
      <c r="D7" s="3">
        <v>12.168856040551496</v>
      </c>
      <c r="E7" s="3">
        <v>2.5997358022034818</v>
      </c>
      <c r="F7" s="3">
        <v>3.7258388690907043</v>
      </c>
      <c r="G7" s="3">
        <v>4.6584670006919868</v>
      </c>
      <c r="H7" s="8">
        <v>7.6931767424856785</v>
      </c>
      <c r="I7" s="8">
        <v>13.35966756376772</v>
      </c>
      <c r="J7" s="8">
        <v>16.827323041243478</v>
      </c>
    </row>
    <row r="8" spans="1:10" x14ac:dyDescent="0.35">
      <c r="A8" t="s">
        <v>6</v>
      </c>
      <c r="B8" s="3">
        <v>7.0643334660974784</v>
      </c>
      <c r="C8" s="3">
        <v>9.1643321894231757</v>
      </c>
      <c r="D8" s="3">
        <v>8.3085116295989803</v>
      </c>
      <c r="E8" s="3">
        <v>4.33515582298869E-2</v>
      </c>
      <c r="F8" s="3">
        <v>32.732492290732871</v>
      </c>
      <c r="G8" s="3">
        <v>32.677825618073008</v>
      </c>
      <c r="H8" s="8">
        <v>7.107685024327365</v>
      </c>
      <c r="I8" s="8">
        <v>41.896824480156049</v>
      </c>
      <c r="J8" s="8">
        <v>40.986337247671983</v>
      </c>
    </row>
    <row r="9" spans="1:10" x14ac:dyDescent="0.35">
      <c r="A9" t="s">
        <v>7</v>
      </c>
      <c r="B9" s="3">
        <v>10.318104179523269</v>
      </c>
      <c r="C9" s="3">
        <v>5.7950101302016952</v>
      </c>
      <c r="D9" s="3">
        <v>8.340457309760458</v>
      </c>
      <c r="E9" s="3">
        <v>0</v>
      </c>
      <c r="F9" s="3">
        <v>6.7165810365391669</v>
      </c>
      <c r="G9" s="3">
        <v>2.9859846717331378</v>
      </c>
      <c r="H9" s="8">
        <v>10.318104179523267</v>
      </c>
      <c r="I9" s="8">
        <v>12.511591166740862</v>
      </c>
      <c r="J9" s="8">
        <v>11.326441981493597</v>
      </c>
    </row>
    <row r="10" spans="1:10" x14ac:dyDescent="0.35">
      <c r="A10" t="s">
        <v>70</v>
      </c>
      <c r="B10" s="3">
        <v>13.168129792199135</v>
      </c>
      <c r="C10" s="3">
        <v>29.16659007373055</v>
      </c>
      <c r="D10" s="3">
        <v>62.960411138791216</v>
      </c>
      <c r="E10" s="3">
        <v>141.90465607289701</v>
      </c>
      <c r="F10" s="3">
        <v>92.384211175916022</v>
      </c>
      <c r="G10" s="3">
        <v>41.402684045284943</v>
      </c>
      <c r="H10" s="8">
        <v>155.07278586509614</v>
      </c>
      <c r="I10" s="8">
        <v>121.55080124964657</v>
      </c>
      <c r="J10" s="8">
        <v>104.36309518407614</v>
      </c>
    </row>
    <row r="11" spans="1:10" x14ac:dyDescent="0.35">
      <c r="A11" t="s">
        <v>8</v>
      </c>
      <c r="B11" s="3">
        <v>2.4570901992606395</v>
      </c>
      <c r="C11" s="3">
        <v>3.9785819996152929</v>
      </c>
      <c r="D11" s="3">
        <v>2.4089830338186218</v>
      </c>
      <c r="E11" s="3">
        <v>0.79959545467464954</v>
      </c>
      <c r="F11" s="3">
        <v>2.017751502518264</v>
      </c>
      <c r="G11" s="3">
        <v>7.8017480569011566</v>
      </c>
      <c r="H11" s="8">
        <v>3.2566856539352891</v>
      </c>
      <c r="I11" s="8">
        <v>5.9963335021335578</v>
      </c>
      <c r="J11" s="8">
        <v>10.210731090719779</v>
      </c>
    </row>
    <row r="12" spans="1:10" x14ac:dyDescent="0.35">
      <c r="A12" t="s">
        <v>9</v>
      </c>
      <c r="B12" s="3">
        <v>3.557602383306083</v>
      </c>
      <c r="C12" s="3">
        <v>4.4808420291703328</v>
      </c>
      <c r="D12" s="3">
        <v>3.5764373051455833</v>
      </c>
      <c r="E12" s="3">
        <v>1.2590068834158492</v>
      </c>
      <c r="F12" s="3">
        <v>2.4352402332447465</v>
      </c>
      <c r="G12" s="3">
        <v>19.134534593819922</v>
      </c>
      <c r="H12" s="8">
        <v>4.8166092667219331</v>
      </c>
      <c r="I12" s="8">
        <v>6.9160822624150784</v>
      </c>
      <c r="J12" s="8">
        <v>22.710971898965504</v>
      </c>
    </row>
    <row r="13" spans="1:10" x14ac:dyDescent="0.35">
      <c r="A13" t="s">
        <v>10</v>
      </c>
      <c r="B13" s="3">
        <v>6.4627516022834079</v>
      </c>
      <c r="C13" s="3">
        <v>19.850228032875876</v>
      </c>
      <c r="D13" s="3">
        <v>22.326190141323295</v>
      </c>
      <c r="E13" s="3">
        <v>12.024721454691029</v>
      </c>
      <c r="F13" s="3">
        <v>15.650893614499799</v>
      </c>
      <c r="G13" s="3">
        <v>9.0076044008087113</v>
      </c>
      <c r="H13" s="8">
        <v>18.487473056974441</v>
      </c>
      <c r="I13" s="8">
        <v>35.501121647375662</v>
      </c>
      <c r="J13" s="8">
        <v>31.333794542132008</v>
      </c>
    </row>
    <row r="14" spans="1:10" x14ac:dyDescent="0.35">
      <c r="A14" t="s">
        <v>11</v>
      </c>
      <c r="B14" s="3">
        <v>9.4675580794092156</v>
      </c>
      <c r="C14" s="3">
        <v>12.795296212393836</v>
      </c>
      <c r="D14" s="3">
        <v>13.050801436856251</v>
      </c>
      <c r="E14" s="3">
        <v>10.196628401866455</v>
      </c>
      <c r="F14" s="3">
        <v>6.0778575947122118</v>
      </c>
      <c r="G14" s="3">
        <v>7.2792150105252142</v>
      </c>
      <c r="H14" s="8">
        <v>19.664186481275671</v>
      </c>
      <c r="I14" s="8">
        <v>18.873153807106046</v>
      </c>
      <c r="J14" s="8">
        <v>20.330016447381468</v>
      </c>
    </row>
    <row r="15" spans="1:10" x14ac:dyDescent="0.35">
      <c r="A15" t="s">
        <v>12</v>
      </c>
      <c r="B15" s="3">
        <v>10.33456030553733</v>
      </c>
      <c r="C15" s="3">
        <v>11.548997129264416</v>
      </c>
      <c r="D15" s="3">
        <v>12.531853132190035</v>
      </c>
      <c r="E15" s="3">
        <v>2.1941080188751148</v>
      </c>
      <c r="F15" s="3">
        <v>20.123567561819524</v>
      </c>
      <c r="G15" s="3">
        <v>13.387900643835712</v>
      </c>
      <c r="H15" s="8">
        <v>12.528668324412447</v>
      </c>
      <c r="I15" s="8">
        <v>31.672564691083934</v>
      </c>
      <c r="J15" s="8">
        <v>25.91975377602575</v>
      </c>
    </row>
    <row r="16" spans="1:10" x14ac:dyDescent="0.35">
      <c r="A16" t="s">
        <v>13</v>
      </c>
      <c r="B16" s="3">
        <v>9.2661285789722267</v>
      </c>
      <c r="C16" s="3">
        <v>16.223939744179855</v>
      </c>
      <c r="D16" s="3">
        <v>14.28160096277502</v>
      </c>
      <c r="E16" s="3">
        <v>0.41736987796396086</v>
      </c>
      <c r="F16" s="3">
        <v>9.8604441482922525</v>
      </c>
      <c r="G16" s="3">
        <v>1.6064460590182004</v>
      </c>
      <c r="H16" s="8">
        <v>9.6834984569361886</v>
      </c>
      <c r="I16" s="8">
        <v>26.084383892472108</v>
      </c>
      <c r="J16" s="8">
        <v>15.888047021793218</v>
      </c>
    </row>
    <row r="17" spans="1:10" x14ac:dyDescent="0.35">
      <c r="A17" t="s">
        <v>14</v>
      </c>
      <c r="B17" s="3">
        <v>0</v>
      </c>
      <c r="C17" s="3">
        <v>4.4071882438586458</v>
      </c>
      <c r="D17" s="3">
        <v>10.634113902446874</v>
      </c>
      <c r="E17" s="3">
        <v>4.8233798869882084E-2</v>
      </c>
      <c r="F17" s="3">
        <v>13.241536883738439</v>
      </c>
      <c r="G17" s="3">
        <v>17.296472403260356</v>
      </c>
      <c r="H17" s="8">
        <v>4.8233798869882084E-2</v>
      </c>
      <c r="I17" s="8">
        <v>17.648725127597086</v>
      </c>
      <c r="J17" s="8">
        <v>27.930586305707227</v>
      </c>
    </row>
    <row r="18" spans="1:10" x14ac:dyDescent="0.35">
      <c r="A18" t="s">
        <v>15</v>
      </c>
      <c r="B18" s="3">
        <v>13.451172154071436</v>
      </c>
      <c r="C18" s="3">
        <v>18.566922115433325</v>
      </c>
      <c r="D18" s="3">
        <v>16.774083760782815</v>
      </c>
      <c r="E18" s="3">
        <v>0</v>
      </c>
      <c r="F18" s="3">
        <v>15.914090035785666</v>
      </c>
      <c r="G18" s="3">
        <v>21.333867423538706</v>
      </c>
      <c r="H18" s="8">
        <v>13.451172154071436</v>
      </c>
      <c r="I18" s="8">
        <v>34.481012151218984</v>
      </c>
      <c r="J18" s="8">
        <v>38.107951184321514</v>
      </c>
    </row>
    <row r="19" spans="1:10" x14ac:dyDescent="0.35">
      <c r="A19" t="s">
        <v>16</v>
      </c>
      <c r="B19" s="3">
        <v>33.398341618089297</v>
      </c>
      <c r="C19" s="3">
        <v>47.999551889282181</v>
      </c>
      <c r="D19" s="3">
        <v>51.66268983905934</v>
      </c>
      <c r="E19" s="3">
        <v>41.678626581503138</v>
      </c>
      <c r="F19" s="3">
        <v>103.65145603667615</v>
      </c>
      <c r="G19" s="3">
        <v>88.53557152009499</v>
      </c>
      <c r="H19" s="8">
        <v>75.076968199592443</v>
      </c>
      <c r="I19" s="8">
        <v>151.65100792595834</v>
      </c>
      <c r="J19" s="8">
        <v>140.19826135915432</v>
      </c>
    </row>
    <row r="20" spans="1:10" x14ac:dyDescent="0.35">
      <c r="A20" t="s">
        <v>17</v>
      </c>
      <c r="B20" s="3">
        <v>0.71329713375271953</v>
      </c>
      <c r="C20" s="3">
        <v>9.7927247683912508</v>
      </c>
      <c r="D20" s="3">
        <v>18.578792370715053</v>
      </c>
      <c r="E20" s="3">
        <v>5.2634633263197068E-2</v>
      </c>
      <c r="F20" s="3">
        <v>14.399424930053186</v>
      </c>
      <c r="G20" s="3">
        <v>15.250791281886587</v>
      </c>
      <c r="H20" s="8">
        <v>0.76593176701591659</v>
      </c>
      <c r="I20" s="8">
        <v>24.192149698444432</v>
      </c>
      <c r="J20" s="8">
        <v>33.829583652601642</v>
      </c>
    </row>
    <row r="21" spans="1:10" x14ac:dyDescent="0.35">
      <c r="A21" t="s">
        <v>18</v>
      </c>
      <c r="B21" s="3">
        <v>2.2973079178531046</v>
      </c>
      <c r="C21" s="3">
        <v>39.060014055583196</v>
      </c>
      <c r="D21" s="3">
        <v>31.25849879805093</v>
      </c>
      <c r="E21" s="3">
        <v>6.8078117931802522</v>
      </c>
      <c r="F21" s="3">
        <v>19.721611861981561</v>
      </c>
      <c r="G21" s="3">
        <v>25.853652875942235</v>
      </c>
      <c r="H21" s="8">
        <v>9.1051197110333568</v>
      </c>
      <c r="I21" s="8">
        <v>58.781625917564746</v>
      </c>
      <c r="J21" s="8">
        <v>57.112151673993168</v>
      </c>
    </row>
    <row r="22" spans="1:10" x14ac:dyDescent="0.35">
      <c r="A22" t="s">
        <v>19</v>
      </c>
      <c r="B22" s="3">
        <v>14.019684502977714</v>
      </c>
      <c r="C22" s="3">
        <v>9.341836149347488</v>
      </c>
      <c r="D22" s="3">
        <v>8.1498514118713352</v>
      </c>
      <c r="E22" s="3">
        <v>4.7249960526987653</v>
      </c>
      <c r="F22" s="3">
        <v>10.707936531957847</v>
      </c>
      <c r="G22" s="3">
        <v>26.021236160614649</v>
      </c>
      <c r="H22" s="8">
        <v>18.744680555676478</v>
      </c>
      <c r="I22" s="8">
        <v>20.049772681305335</v>
      </c>
      <c r="J22" s="8">
        <v>34.171087572485987</v>
      </c>
    </row>
    <row r="23" spans="1:10" x14ac:dyDescent="0.35">
      <c r="A23" t="s">
        <v>20</v>
      </c>
      <c r="B23" s="3">
        <v>18.681157033578607</v>
      </c>
      <c r="C23" s="3">
        <v>46.40817219195695</v>
      </c>
      <c r="D23" s="3">
        <v>48.030714224150685</v>
      </c>
      <c r="E23" s="3">
        <v>8.8612065344123181</v>
      </c>
      <c r="F23" s="3">
        <v>20.294363506970317</v>
      </c>
      <c r="G23" s="3">
        <v>22.610200047155839</v>
      </c>
      <c r="H23" s="8">
        <v>27.542363567990925</v>
      </c>
      <c r="I23" s="8">
        <v>66.70253569892725</v>
      </c>
      <c r="J23" s="8">
        <v>70.640914271306528</v>
      </c>
    </row>
    <row r="24" spans="1:10" x14ac:dyDescent="0.35">
      <c r="A24" t="s">
        <v>21</v>
      </c>
      <c r="B24" s="3">
        <v>7.4850096287525645</v>
      </c>
      <c r="C24" s="3">
        <v>8.9017288876355476</v>
      </c>
      <c r="D24" s="3">
        <v>4.7602626385103033</v>
      </c>
      <c r="E24" s="3">
        <v>6.0603703338540411</v>
      </c>
      <c r="F24" s="3">
        <v>14.409554161257576</v>
      </c>
      <c r="G24" s="3">
        <v>13.053290667041477</v>
      </c>
      <c r="H24" s="8">
        <v>13.545379962606606</v>
      </c>
      <c r="I24" s="8">
        <v>23.311283048893124</v>
      </c>
      <c r="J24" s="8">
        <v>17.813553305551778</v>
      </c>
    </row>
    <row r="25" spans="1:10" x14ac:dyDescent="0.35">
      <c r="A25" t="s">
        <v>22</v>
      </c>
      <c r="B25" s="3">
        <v>7.2684328251615025</v>
      </c>
      <c r="C25" s="3">
        <v>10.893763982473359</v>
      </c>
      <c r="D25" s="3">
        <v>12.878829589909351</v>
      </c>
      <c r="E25" s="3">
        <v>2.921509466191333</v>
      </c>
      <c r="F25" s="3">
        <v>32.016341165466521</v>
      </c>
      <c r="G25" s="3">
        <v>30.758335221751548</v>
      </c>
      <c r="H25" s="8">
        <v>10.189942291352835</v>
      </c>
      <c r="I25" s="8">
        <v>42.910105147939873</v>
      </c>
      <c r="J25" s="8">
        <v>43.637164811660909</v>
      </c>
    </row>
    <row r="26" spans="1:10" x14ac:dyDescent="0.35">
      <c r="A26" t="s">
        <v>23</v>
      </c>
      <c r="B26" s="3">
        <v>11.658459316104921</v>
      </c>
      <c r="C26" s="3">
        <v>14.413861393432555</v>
      </c>
      <c r="D26" s="3">
        <v>24.523813221222014</v>
      </c>
      <c r="E26" s="3">
        <v>3.0424825943562523</v>
      </c>
      <c r="F26" s="3">
        <v>18.43441627004292</v>
      </c>
      <c r="G26" s="3">
        <v>28.237952683290491</v>
      </c>
      <c r="H26" s="8">
        <v>14.700941910461173</v>
      </c>
      <c r="I26" s="8">
        <v>32.848277663475471</v>
      </c>
      <c r="J26" s="8">
        <v>52.761765904512501</v>
      </c>
    </row>
    <row r="27" spans="1:10" x14ac:dyDescent="0.35">
      <c r="A27" t="s">
        <v>24</v>
      </c>
      <c r="B27" s="3">
        <v>0</v>
      </c>
      <c r="C27" s="3">
        <v>52.870382713145531</v>
      </c>
      <c r="D27" s="3">
        <v>22.993174843373964</v>
      </c>
      <c r="E27" s="3">
        <v>1.0414966499729863</v>
      </c>
      <c r="F27" s="3">
        <v>113.92541549951613</v>
      </c>
      <c r="G27" s="3">
        <v>102.68854878266576</v>
      </c>
      <c r="H27" s="8">
        <v>1.0414966499729863</v>
      </c>
      <c r="I27" s="8">
        <v>166.79579821266168</v>
      </c>
      <c r="J27" s="8">
        <v>125.68172362603974</v>
      </c>
    </row>
    <row r="28" spans="1:10" x14ac:dyDescent="0.35">
      <c r="A28" t="s">
        <v>25</v>
      </c>
      <c r="B28" s="3">
        <v>2.1999802363171792</v>
      </c>
      <c r="C28" s="3">
        <v>22.91287401641636</v>
      </c>
      <c r="D28" s="3">
        <v>13.444654516010845</v>
      </c>
      <c r="E28" s="3">
        <v>4.5987266541496687</v>
      </c>
      <c r="F28" s="3">
        <v>28.355269603105992</v>
      </c>
      <c r="G28" s="3">
        <v>43.559097746969861</v>
      </c>
      <c r="H28" s="8">
        <v>6.798706890466848</v>
      </c>
      <c r="I28" s="8">
        <v>51.268143619522348</v>
      </c>
      <c r="J28" s="8">
        <v>57.003752262980719</v>
      </c>
    </row>
    <row r="29" spans="1:10" x14ac:dyDescent="0.35">
      <c r="A29" t="s">
        <v>26</v>
      </c>
      <c r="B29" s="3">
        <v>4.4467387300620373</v>
      </c>
      <c r="C29" s="3">
        <v>5.4640186234792782</v>
      </c>
      <c r="D29" s="3">
        <v>4.761050716296678</v>
      </c>
      <c r="E29" s="3">
        <v>7.376609200407995E-2</v>
      </c>
      <c r="F29" s="3">
        <v>16.426697204678998</v>
      </c>
      <c r="G29" s="3">
        <v>17.207717189217753</v>
      </c>
      <c r="H29" s="8">
        <v>4.5205048220661173</v>
      </c>
      <c r="I29" s="8">
        <v>21.890715828158275</v>
      </c>
      <c r="J29" s="8">
        <v>21.968767905514429</v>
      </c>
    </row>
    <row r="30" spans="1:10" x14ac:dyDescent="0.35">
      <c r="A30" t="s">
        <v>27</v>
      </c>
      <c r="B30" s="3">
        <v>2.4730455662233775</v>
      </c>
      <c r="C30" s="3">
        <v>6.2979495241776151</v>
      </c>
      <c r="D30" s="3">
        <v>6.0858545949756246</v>
      </c>
      <c r="E30" s="3">
        <v>0</v>
      </c>
      <c r="F30" s="3">
        <v>8.0755087562350063</v>
      </c>
      <c r="G30" s="3">
        <v>12.845430559235803</v>
      </c>
      <c r="H30" s="8">
        <v>2.4730455662233775</v>
      </c>
      <c r="I30" s="8">
        <v>14.373458280412622</v>
      </c>
      <c r="J30" s="8">
        <v>18.931285154211427</v>
      </c>
    </row>
    <row r="31" spans="1:10" x14ac:dyDescent="0.35">
      <c r="A31" t="s">
        <v>28</v>
      </c>
      <c r="B31" s="3">
        <v>4.8159164598162238</v>
      </c>
      <c r="C31" s="3">
        <v>6.4376483184910729</v>
      </c>
      <c r="D31" s="3">
        <v>6.4341278578313545</v>
      </c>
      <c r="E31" s="3">
        <v>0</v>
      </c>
      <c r="F31" s="3">
        <v>7.1545032586550068</v>
      </c>
      <c r="G31" s="3">
        <v>10.512715984650592</v>
      </c>
      <c r="H31" s="8">
        <v>4.8159164598162238</v>
      </c>
      <c r="I31" s="8">
        <v>13.592151577146081</v>
      </c>
      <c r="J31" s="8">
        <v>16.946843842481947</v>
      </c>
    </row>
    <row r="32" spans="1:10" x14ac:dyDescent="0.35">
      <c r="A32" t="s">
        <v>29</v>
      </c>
      <c r="B32" s="3">
        <v>12.920259078445698</v>
      </c>
      <c r="C32" s="3">
        <v>15.917722374831463</v>
      </c>
      <c r="D32" s="3">
        <v>19.794578938796668</v>
      </c>
      <c r="E32" s="3">
        <v>0.65189065656343048</v>
      </c>
      <c r="F32" s="3">
        <v>26.819887037558036</v>
      </c>
      <c r="G32" s="3">
        <v>24.184256416460755</v>
      </c>
      <c r="H32" s="8">
        <v>13.572149735009129</v>
      </c>
      <c r="I32" s="8">
        <v>42.737609412389503</v>
      </c>
      <c r="J32" s="8">
        <v>43.978835355257424</v>
      </c>
    </row>
    <row r="33" spans="1:10" x14ac:dyDescent="0.35">
      <c r="A33" t="s">
        <v>30</v>
      </c>
      <c r="B33" s="3">
        <v>52.839892414260113</v>
      </c>
      <c r="C33" s="3">
        <v>72.905163459567675</v>
      </c>
      <c r="D33" s="3">
        <v>60.383936189147697</v>
      </c>
      <c r="E33" s="3">
        <v>0</v>
      </c>
      <c r="F33" s="3">
        <v>49.136103919964881</v>
      </c>
      <c r="G33" s="3">
        <v>56.818910790883159</v>
      </c>
      <c r="H33" s="8">
        <v>52.839892414260113</v>
      </c>
      <c r="I33" s="8">
        <v>122.04126737953257</v>
      </c>
      <c r="J33" s="8">
        <v>117.20284698003086</v>
      </c>
    </row>
    <row r="34" spans="1:10" x14ac:dyDescent="0.35">
      <c r="A34" t="s">
        <v>31</v>
      </c>
      <c r="B34" s="3">
        <v>5.5497185519677856</v>
      </c>
      <c r="C34" s="3">
        <v>6.6605767149290012</v>
      </c>
      <c r="D34" s="3">
        <v>12.362024638000094</v>
      </c>
      <c r="E34" s="3">
        <v>2.099658039284515</v>
      </c>
      <c r="F34" s="3">
        <v>25.972782615996739</v>
      </c>
      <c r="G34" s="3">
        <v>42.24648380749376</v>
      </c>
      <c r="H34" s="8">
        <v>7.6493765912523006</v>
      </c>
      <c r="I34" s="8">
        <v>32.633359330925742</v>
      </c>
      <c r="J34" s="8">
        <v>54.608508445493854</v>
      </c>
    </row>
    <row r="35" spans="1:10" x14ac:dyDescent="0.35">
      <c r="A35" t="s">
        <v>32</v>
      </c>
      <c r="B35" s="3">
        <v>18.952057373293837</v>
      </c>
      <c r="C35" s="3">
        <v>64.854830057441106</v>
      </c>
      <c r="D35" s="3">
        <v>72.50007161772831</v>
      </c>
      <c r="E35" s="3">
        <v>0</v>
      </c>
      <c r="F35" s="3">
        <v>39.793314199454151</v>
      </c>
      <c r="G35" s="3">
        <v>32.852091573059646</v>
      </c>
      <c r="H35" s="8">
        <v>18.952057373293837</v>
      </c>
      <c r="I35" s="8">
        <v>104.64814425689526</v>
      </c>
      <c r="J35" s="8">
        <v>105.35216319078796</v>
      </c>
    </row>
    <row r="36" spans="1:10" x14ac:dyDescent="0.35">
      <c r="A36" t="s">
        <v>33</v>
      </c>
      <c r="B36" s="3">
        <v>2.9362255771784778</v>
      </c>
      <c r="C36" s="3">
        <v>2.731976858986676</v>
      </c>
      <c r="D36" s="3">
        <v>2.3568659730003425</v>
      </c>
      <c r="E36" s="3">
        <v>3.5168230393081639</v>
      </c>
      <c r="F36" s="3">
        <v>1.5878951101600574</v>
      </c>
      <c r="G36" s="3">
        <v>2.5989823492576525</v>
      </c>
      <c r="H36" s="8">
        <v>6.4530486164866421</v>
      </c>
      <c r="I36" s="8">
        <v>4.3198719691467335</v>
      </c>
      <c r="J36" s="8">
        <v>4.955848322257995</v>
      </c>
    </row>
    <row r="37" spans="1:10" x14ac:dyDescent="0.35">
      <c r="A37" t="s">
        <v>34</v>
      </c>
      <c r="B37" s="3">
        <v>14.994266155054937</v>
      </c>
      <c r="C37" s="3">
        <v>22.251085637910265</v>
      </c>
      <c r="D37" s="3">
        <v>22.692099302180001</v>
      </c>
      <c r="E37" s="3">
        <v>18.948340028845195</v>
      </c>
      <c r="F37" s="3">
        <v>26.795572759104093</v>
      </c>
      <c r="G37" s="3">
        <v>13.891883050958661</v>
      </c>
      <c r="H37" s="8">
        <v>33.942606183900139</v>
      </c>
      <c r="I37" s="8">
        <v>49.046658397014362</v>
      </c>
      <c r="J37" s="8">
        <v>36.583982353138666</v>
      </c>
    </row>
    <row r="38" spans="1:10" x14ac:dyDescent="0.35">
      <c r="A38" t="s">
        <v>35</v>
      </c>
      <c r="B38" s="3">
        <v>10.441973743822771</v>
      </c>
      <c r="C38" s="3">
        <v>14.187099506595519</v>
      </c>
      <c r="D38" s="3">
        <v>13.401063461919398</v>
      </c>
      <c r="E38" s="3">
        <v>2.4069145827721221</v>
      </c>
      <c r="F38" s="3">
        <v>39.643124106398872</v>
      </c>
      <c r="G38" s="3">
        <v>46.22297905575703</v>
      </c>
      <c r="H38" s="8">
        <v>12.848888326594892</v>
      </c>
      <c r="I38" s="8">
        <v>53.830223612994395</v>
      </c>
      <c r="J38" s="8">
        <v>59.624042517676429</v>
      </c>
    </row>
    <row r="39" spans="1:10" x14ac:dyDescent="0.35">
      <c r="A39" t="s">
        <v>36</v>
      </c>
      <c r="B39" s="3">
        <v>27.663516672946013</v>
      </c>
      <c r="C39" s="3">
        <v>26.449769096827922</v>
      </c>
      <c r="D39" s="3">
        <v>26.971849712707133</v>
      </c>
      <c r="E39" s="3">
        <v>1.4451090799300157</v>
      </c>
      <c r="F39" s="3">
        <v>52.284427284427281</v>
      </c>
      <c r="G39" s="3">
        <v>36.42137080117601</v>
      </c>
      <c r="H39" s="8">
        <v>29.10862575287603</v>
      </c>
      <c r="I39" s="8">
        <v>78.734196381255202</v>
      </c>
      <c r="J39" s="8">
        <v>63.393220513883151</v>
      </c>
    </row>
    <row r="40" spans="1:10" x14ac:dyDescent="0.35">
      <c r="A40" t="s">
        <v>37</v>
      </c>
      <c r="B40" s="3">
        <v>4.5573683566159886</v>
      </c>
      <c r="C40" s="3">
        <v>7.0151292697761525</v>
      </c>
      <c r="D40" s="3">
        <v>6.5171760234407232</v>
      </c>
      <c r="E40" s="3">
        <v>3.62765344332312</v>
      </c>
      <c r="F40" s="3">
        <v>21.98985560686101</v>
      </c>
      <c r="G40" s="3">
        <v>17.279709823939974</v>
      </c>
      <c r="H40" s="8">
        <v>8.1850217999391077</v>
      </c>
      <c r="I40" s="8">
        <v>29.00498487663717</v>
      </c>
      <c r="J40" s="8">
        <v>23.796885847380697</v>
      </c>
    </row>
    <row r="41" spans="1:10" x14ac:dyDescent="0.35">
      <c r="A41" t="s">
        <v>38</v>
      </c>
      <c r="B41" s="3">
        <v>54.800752734867757</v>
      </c>
      <c r="C41" s="3">
        <v>195.92438482652926</v>
      </c>
      <c r="D41" s="3">
        <v>242.01401730513936</v>
      </c>
      <c r="E41" s="3">
        <v>0</v>
      </c>
      <c r="F41" s="3">
        <v>50.726957061522185</v>
      </c>
      <c r="G41" s="3">
        <v>54.452272032846714</v>
      </c>
      <c r="H41" s="8">
        <v>54.800752734867757</v>
      </c>
      <c r="I41" s="8">
        <v>246.65134188805143</v>
      </c>
      <c r="J41" s="8">
        <v>296.4662893379861</v>
      </c>
    </row>
    <row r="42" spans="1:10" x14ac:dyDescent="0.35">
      <c r="A42" t="s">
        <v>39</v>
      </c>
      <c r="B42" s="3">
        <v>11.906918137676456</v>
      </c>
      <c r="C42" s="3">
        <v>9.3114595445704076</v>
      </c>
      <c r="D42" s="3">
        <v>23.534133501916237</v>
      </c>
      <c r="E42" s="3">
        <v>6.5428464914254931</v>
      </c>
      <c r="F42" s="3">
        <v>2.747643800037169</v>
      </c>
      <c r="G42" s="3">
        <v>21.943167738064904</v>
      </c>
      <c r="H42" s="8">
        <v>18.449764629101949</v>
      </c>
      <c r="I42" s="8">
        <v>12.059103344607577</v>
      </c>
      <c r="J42" s="8">
        <v>45.477301239981145</v>
      </c>
    </row>
    <row r="43" spans="1:10" x14ac:dyDescent="0.35">
      <c r="A43" t="s">
        <v>40</v>
      </c>
      <c r="B43" s="3">
        <v>16.720429532704841</v>
      </c>
      <c r="C43" s="3">
        <v>61.781000175533016</v>
      </c>
      <c r="D43" s="3">
        <v>78.187272031248852</v>
      </c>
      <c r="E43" s="3">
        <v>4.3563068051715703</v>
      </c>
      <c r="F43" s="3">
        <v>36.776829849021532</v>
      </c>
      <c r="G43" s="3">
        <v>31.953268649492806</v>
      </c>
      <c r="H43" s="8">
        <v>21.076736337876412</v>
      </c>
      <c r="I43" s="8">
        <v>98.557830024554548</v>
      </c>
      <c r="J43" s="8">
        <v>110.14054068074168</v>
      </c>
    </row>
    <row r="44" spans="1:10" x14ac:dyDescent="0.35">
      <c r="A44" t="s">
        <v>41</v>
      </c>
      <c r="B44" s="3">
        <v>0</v>
      </c>
      <c r="C44" s="3">
        <v>6.1691166210748785</v>
      </c>
      <c r="D44" s="3">
        <v>7.8959074273939986</v>
      </c>
      <c r="E44" s="3">
        <v>0</v>
      </c>
      <c r="F44" s="3">
        <v>9.7409129744276033</v>
      </c>
      <c r="G44" s="3">
        <v>11.808674908975751</v>
      </c>
      <c r="H44" s="8">
        <v>0</v>
      </c>
      <c r="I44" s="8">
        <v>15.910029595502481</v>
      </c>
      <c r="J44" s="8">
        <v>19.70458233636975</v>
      </c>
    </row>
    <row r="45" spans="1:10" x14ac:dyDescent="0.35">
      <c r="A45" t="s">
        <v>42</v>
      </c>
      <c r="B45" s="3">
        <v>4.7513236254288476</v>
      </c>
      <c r="C45" s="3">
        <v>6.7766740907794407</v>
      </c>
      <c r="D45" s="3">
        <v>7.605590561668536</v>
      </c>
      <c r="E45" s="3">
        <v>3.0521599889356406</v>
      </c>
      <c r="F45" s="3">
        <v>11.995776998980709</v>
      </c>
      <c r="G45" s="3">
        <v>21.077761406905779</v>
      </c>
      <c r="H45" s="8">
        <v>7.8034836143644881</v>
      </c>
      <c r="I45" s="8">
        <v>18.77245108976015</v>
      </c>
      <c r="J45" s="8">
        <v>28.683351968574311</v>
      </c>
    </row>
    <row r="46" spans="1:10" x14ac:dyDescent="0.35">
      <c r="A46" t="s">
        <v>43</v>
      </c>
      <c r="B46" s="3">
        <v>3.5630712154083408</v>
      </c>
      <c r="C46" s="3">
        <v>5.1412514405011063</v>
      </c>
      <c r="D46" s="3">
        <v>6.3003257177536511</v>
      </c>
      <c r="E46" s="3">
        <v>0.89780388445123283</v>
      </c>
      <c r="F46" s="3">
        <v>27.897223189840187</v>
      </c>
      <c r="G46" s="3">
        <v>23.934903744456289</v>
      </c>
      <c r="H46" s="8">
        <v>4.4608750998595736</v>
      </c>
      <c r="I46" s="8">
        <v>33.038474630341284</v>
      </c>
      <c r="J46" s="8">
        <v>30.235229462209936</v>
      </c>
    </row>
    <row r="47" spans="1:10" x14ac:dyDescent="0.35">
      <c r="A47" t="s">
        <v>44</v>
      </c>
      <c r="B47" s="3">
        <v>14.740498339124736</v>
      </c>
      <c r="C47" s="3">
        <v>18.773758505730214</v>
      </c>
      <c r="D47" s="3">
        <v>25.677639566139653</v>
      </c>
      <c r="E47" s="3">
        <v>58.880912819428268</v>
      </c>
      <c r="F47" s="3">
        <v>45.975234006565493</v>
      </c>
      <c r="G47" s="3">
        <v>45.262166963612259</v>
      </c>
      <c r="H47" s="8">
        <v>73.621411158553016</v>
      </c>
      <c r="I47" s="8">
        <v>64.7489925122957</v>
      </c>
      <c r="J47" s="8">
        <v>70.939806529751905</v>
      </c>
    </row>
    <row r="48" spans="1:10" x14ac:dyDescent="0.35">
      <c r="A48" t="s">
        <v>45</v>
      </c>
      <c r="B48" s="3">
        <v>2.8080123001178361</v>
      </c>
      <c r="C48" s="3">
        <v>17.258457426269619</v>
      </c>
      <c r="D48" s="3">
        <v>34.960104008082851</v>
      </c>
      <c r="E48" s="3">
        <v>3.5799203096873948</v>
      </c>
      <c r="F48" s="3">
        <v>18.153842927853422</v>
      </c>
      <c r="G48" s="3">
        <v>20.979369324854559</v>
      </c>
      <c r="H48" s="8">
        <v>6.3879326098052314</v>
      </c>
      <c r="I48" s="8">
        <v>35.412300354123047</v>
      </c>
      <c r="J48" s="8">
        <v>55.939473332937403</v>
      </c>
    </row>
    <row r="49" spans="1:10" x14ac:dyDescent="0.35">
      <c r="A49" t="s">
        <v>46</v>
      </c>
      <c r="B49" s="3">
        <v>15.601137891580859</v>
      </c>
      <c r="C49" s="3">
        <v>23.66965484875815</v>
      </c>
      <c r="D49" s="3">
        <v>38.14728630825762</v>
      </c>
      <c r="E49" s="3">
        <v>11.673558066785303</v>
      </c>
      <c r="F49" s="3">
        <v>24.478839748437824</v>
      </c>
      <c r="G49" s="3">
        <v>25.895700272536768</v>
      </c>
      <c r="H49" s="8">
        <v>27.274695958366152</v>
      </c>
      <c r="I49" s="8">
        <v>48.14849459719597</v>
      </c>
      <c r="J49" s="8">
        <v>64.042986580794391</v>
      </c>
    </row>
    <row r="50" spans="1:10" x14ac:dyDescent="0.35">
      <c r="A50" t="s">
        <v>71</v>
      </c>
      <c r="B50" s="3">
        <v>11.13650671070585</v>
      </c>
      <c r="C50" s="3">
        <v>23.576970255075228</v>
      </c>
      <c r="D50" s="3">
        <v>26.089625326181718</v>
      </c>
      <c r="E50" s="3">
        <v>8.3497580937222491</v>
      </c>
      <c r="F50" s="3">
        <v>26.690656580821251</v>
      </c>
      <c r="G50" s="3">
        <v>27.338421108534128</v>
      </c>
      <c r="H50" s="8">
        <v>19.486264804428103</v>
      </c>
      <c r="I50" s="8">
        <v>50.267626835896493</v>
      </c>
      <c r="J50" s="8">
        <v>53.428046434715839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950D-5E80-4085-AB84-B5625FC62926}">
  <dimension ref="A1:O56"/>
  <sheetViews>
    <sheetView workbookViewId="0">
      <selection activeCell="N58" sqref="N58"/>
    </sheetView>
  </sheetViews>
  <sheetFormatPr defaultColWidth="8.81640625" defaultRowHeight="14.5" x14ac:dyDescent="0.35"/>
  <cols>
    <col min="1" max="1" width="31.36328125" style="41" customWidth="1"/>
    <col min="2" max="2" width="19.36328125" customWidth="1"/>
    <col min="3" max="3" width="18.81640625" customWidth="1"/>
    <col min="4" max="4" width="10.81640625" customWidth="1"/>
    <col min="5" max="5" width="17.81640625" customWidth="1"/>
    <col min="6" max="6" width="14.36328125" customWidth="1"/>
    <col min="7" max="7" width="15.36328125" customWidth="1"/>
    <col min="8" max="8" width="14.81640625" customWidth="1"/>
    <col min="9" max="9" width="24" style="43" customWidth="1"/>
    <col min="10" max="10" width="13.36328125" customWidth="1"/>
    <col min="11" max="11" width="12.81640625" customWidth="1"/>
    <col min="12" max="12" width="10.36328125" customWidth="1"/>
    <col min="13" max="13" width="10.08984375" customWidth="1"/>
    <col min="14" max="14" width="69.36328125" style="26" bestFit="1" customWidth="1"/>
    <col min="15" max="15" width="8.81640625" style="2"/>
  </cols>
  <sheetData>
    <row r="1" spans="1:15" s="17" customFormat="1" ht="56" x14ac:dyDescent="0.35">
      <c r="A1" s="11" t="s">
        <v>0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3" t="s">
        <v>55</v>
      </c>
      <c r="J1" s="12" t="s">
        <v>56</v>
      </c>
      <c r="K1" s="12" t="s">
        <v>57</v>
      </c>
      <c r="L1" s="12" t="s">
        <v>58</v>
      </c>
      <c r="M1" s="14" t="s">
        <v>59</v>
      </c>
      <c r="N1" s="15" t="s">
        <v>75</v>
      </c>
      <c r="O1" s="16"/>
    </row>
    <row r="2" spans="1:15" x14ac:dyDescent="0.35">
      <c r="A2" s="18" t="s">
        <v>1</v>
      </c>
      <c r="B2" s="19">
        <v>0</v>
      </c>
      <c r="C2" s="20"/>
      <c r="D2" s="20"/>
      <c r="E2" s="20"/>
      <c r="F2" s="20"/>
      <c r="G2" s="20"/>
      <c r="H2" s="20"/>
      <c r="I2" s="21"/>
      <c r="J2" s="20"/>
      <c r="K2" s="20"/>
      <c r="L2" s="20"/>
      <c r="M2" s="22">
        <f t="shared" ref="M2:M48" si="0">SUM(B2:L2)</f>
        <v>0</v>
      </c>
      <c r="N2" s="23" t="s">
        <v>76</v>
      </c>
    </row>
    <row r="3" spans="1:15" x14ac:dyDescent="0.35">
      <c r="A3" s="18" t="s">
        <v>2</v>
      </c>
      <c r="B3" s="20">
        <v>611</v>
      </c>
      <c r="C3" s="20"/>
      <c r="D3" s="20">
        <v>145</v>
      </c>
      <c r="E3" s="20"/>
      <c r="F3" s="20">
        <v>529</v>
      </c>
      <c r="G3" s="20"/>
      <c r="H3" s="20"/>
      <c r="I3" s="21">
        <v>2950</v>
      </c>
      <c r="J3" s="20"/>
      <c r="K3" s="20"/>
      <c r="L3" s="20"/>
      <c r="M3" s="22">
        <f t="shared" si="0"/>
        <v>4235</v>
      </c>
      <c r="N3" s="23" t="s">
        <v>77</v>
      </c>
    </row>
    <row r="4" spans="1:15" x14ac:dyDescent="0.35">
      <c r="A4" s="18" t="s">
        <v>3</v>
      </c>
      <c r="B4" s="20">
        <v>780</v>
      </c>
      <c r="C4" s="20">
        <v>385</v>
      </c>
      <c r="D4" s="20"/>
      <c r="E4" s="20"/>
      <c r="F4" s="20">
        <v>143</v>
      </c>
      <c r="G4" s="20"/>
      <c r="H4" s="20">
        <v>247</v>
      </c>
      <c r="I4" s="21">
        <v>257</v>
      </c>
      <c r="J4" s="20">
        <v>1113</v>
      </c>
      <c r="K4" s="20"/>
      <c r="L4" s="20">
        <v>1194</v>
      </c>
      <c r="M4" s="22">
        <f t="shared" si="0"/>
        <v>4119</v>
      </c>
      <c r="N4" s="23" t="s">
        <v>78</v>
      </c>
    </row>
    <row r="5" spans="1:15" x14ac:dyDescent="0.35">
      <c r="A5" s="18" t="s">
        <v>4</v>
      </c>
      <c r="B5" s="20">
        <v>60</v>
      </c>
      <c r="C5" s="20">
        <v>48</v>
      </c>
      <c r="D5" s="20">
        <v>7</v>
      </c>
      <c r="E5" s="20">
        <v>10</v>
      </c>
      <c r="F5" s="20">
        <v>95</v>
      </c>
      <c r="G5" s="20">
        <v>60</v>
      </c>
      <c r="H5" s="20">
        <v>40</v>
      </c>
      <c r="I5" s="21">
        <v>490</v>
      </c>
      <c r="J5" s="20">
        <v>189</v>
      </c>
      <c r="K5" s="20">
        <v>30</v>
      </c>
      <c r="L5" s="20">
        <v>597</v>
      </c>
      <c r="M5" s="22">
        <f t="shared" si="0"/>
        <v>1626</v>
      </c>
      <c r="N5" s="23" t="s">
        <v>79</v>
      </c>
    </row>
    <row r="6" spans="1:15" x14ac:dyDescent="0.35">
      <c r="A6" s="18" t="s">
        <v>5</v>
      </c>
      <c r="B6" s="19">
        <v>1492</v>
      </c>
      <c r="C6" s="20">
        <v>385</v>
      </c>
      <c r="D6" s="20">
        <v>62</v>
      </c>
      <c r="E6" s="20"/>
      <c r="F6" s="20">
        <v>594</v>
      </c>
      <c r="G6" s="20"/>
      <c r="H6" s="20">
        <v>1170</v>
      </c>
      <c r="I6" s="21">
        <v>1170</v>
      </c>
      <c r="J6" s="20"/>
      <c r="K6" s="20"/>
      <c r="L6" s="20"/>
      <c r="M6" s="22">
        <f t="shared" si="0"/>
        <v>4873</v>
      </c>
      <c r="N6" s="23" t="s">
        <v>76</v>
      </c>
    </row>
    <row r="7" spans="1:15" x14ac:dyDescent="0.35">
      <c r="A7" s="18" t="s">
        <v>6</v>
      </c>
      <c r="B7" s="20">
        <v>325</v>
      </c>
      <c r="C7" s="20">
        <v>240</v>
      </c>
      <c r="D7" s="20"/>
      <c r="E7" s="20"/>
      <c r="F7" s="20">
        <v>39</v>
      </c>
      <c r="G7" s="20"/>
      <c r="H7" s="20">
        <v>196</v>
      </c>
      <c r="I7" s="21">
        <v>1467</v>
      </c>
      <c r="J7" s="20">
        <v>322</v>
      </c>
      <c r="K7" s="20"/>
      <c r="L7" s="20">
        <v>194</v>
      </c>
      <c r="M7" s="22">
        <f t="shared" si="0"/>
        <v>2783</v>
      </c>
      <c r="N7" s="23" t="s">
        <v>80</v>
      </c>
    </row>
    <row r="8" spans="1:15" x14ac:dyDescent="0.35">
      <c r="A8" s="18" t="s">
        <v>7</v>
      </c>
      <c r="B8" s="20">
        <v>800</v>
      </c>
      <c r="C8" s="20"/>
      <c r="D8" s="20"/>
      <c r="E8" s="20"/>
      <c r="F8" s="20"/>
      <c r="G8" s="20"/>
      <c r="H8" s="20"/>
      <c r="I8" s="21">
        <v>2660</v>
      </c>
      <c r="J8" s="20">
        <v>800</v>
      </c>
      <c r="K8" s="20"/>
      <c r="L8" s="20"/>
      <c r="M8" s="22">
        <f t="shared" si="0"/>
        <v>4260</v>
      </c>
      <c r="N8" s="23" t="s">
        <v>76</v>
      </c>
    </row>
    <row r="9" spans="1:15" x14ac:dyDescent="0.35">
      <c r="A9" s="18" t="s">
        <v>60</v>
      </c>
      <c r="B9" s="20"/>
      <c r="C9" s="20"/>
      <c r="D9" s="20"/>
      <c r="E9" s="20">
        <v>7</v>
      </c>
      <c r="F9" s="20"/>
      <c r="G9" s="20"/>
      <c r="H9" s="20"/>
      <c r="I9" s="21"/>
      <c r="J9" s="20"/>
      <c r="K9" s="20"/>
      <c r="L9" s="20">
        <v>83</v>
      </c>
      <c r="M9" s="22">
        <f t="shared" si="0"/>
        <v>90</v>
      </c>
      <c r="N9" s="23" t="s">
        <v>76</v>
      </c>
    </row>
    <row r="10" spans="1:15" x14ac:dyDescent="0.35">
      <c r="A10" s="18" t="s">
        <v>8</v>
      </c>
      <c r="B10" s="20">
        <v>18</v>
      </c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2">
        <f t="shared" si="0"/>
        <v>18</v>
      </c>
      <c r="N10" s="23" t="s">
        <v>76</v>
      </c>
    </row>
    <row r="11" spans="1:15" x14ac:dyDescent="0.35">
      <c r="A11" s="18" t="s">
        <v>9</v>
      </c>
      <c r="B11" s="20">
        <v>330</v>
      </c>
      <c r="C11" s="20">
        <v>30</v>
      </c>
      <c r="D11" s="20"/>
      <c r="E11" s="20"/>
      <c r="F11" s="20">
        <v>80</v>
      </c>
      <c r="G11" s="20">
        <v>180</v>
      </c>
      <c r="H11" s="20">
        <v>2084</v>
      </c>
      <c r="I11" s="24">
        <v>2920</v>
      </c>
      <c r="J11" s="20">
        <v>220</v>
      </c>
      <c r="K11" s="20"/>
      <c r="L11" s="20"/>
      <c r="M11" s="22">
        <f t="shared" si="0"/>
        <v>5844</v>
      </c>
      <c r="N11" s="23" t="s">
        <v>76</v>
      </c>
    </row>
    <row r="12" spans="1:15" x14ac:dyDescent="0.35">
      <c r="A12" s="18" t="s">
        <v>10</v>
      </c>
      <c r="B12" s="20"/>
      <c r="C12" s="20"/>
      <c r="D12" s="20"/>
      <c r="E12" s="20"/>
      <c r="F12" s="20"/>
      <c r="G12" s="20"/>
      <c r="H12" s="20">
        <v>29</v>
      </c>
      <c r="I12" s="21">
        <v>40</v>
      </c>
      <c r="J12" s="20"/>
      <c r="K12" s="20"/>
      <c r="L12" s="20"/>
      <c r="M12" s="22">
        <f t="shared" si="0"/>
        <v>69</v>
      </c>
      <c r="N12" s="23" t="s">
        <v>81</v>
      </c>
    </row>
    <row r="13" spans="1:15" x14ac:dyDescent="0.35">
      <c r="A13" s="18" t="s">
        <v>11</v>
      </c>
      <c r="B13" s="20">
        <v>60</v>
      </c>
      <c r="C13" s="20">
        <v>315</v>
      </c>
      <c r="D13" s="20"/>
      <c r="E13" s="20">
        <v>10</v>
      </c>
      <c r="F13" s="20"/>
      <c r="G13" s="20">
        <v>5</v>
      </c>
      <c r="H13" s="20">
        <v>120</v>
      </c>
      <c r="I13" s="21">
        <v>60</v>
      </c>
      <c r="J13" s="20"/>
      <c r="K13" s="20">
        <v>50</v>
      </c>
      <c r="L13" s="20">
        <v>408</v>
      </c>
      <c r="M13" s="22">
        <f t="shared" si="0"/>
        <v>1028</v>
      </c>
      <c r="N13" s="23" t="s">
        <v>79</v>
      </c>
    </row>
    <row r="14" spans="1:15" x14ac:dyDescent="0.35">
      <c r="A14" s="18" t="s">
        <v>12</v>
      </c>
      <c r="B14" s="20">
        <v>254</v>
      </c>
      <c r="C14" s="20">
        <v>48</v>
      </c>
      <c r="D14" s="20"/>
      <c r="E14" s="20"/>
      <c r="F14" s="20"/>
      <c r="G14" s="20">
        <v>151</v>
      </c>
      <c r="H14" s="20"/>
      <c r="I14" s="21">
        <v>1007</v>
      </c>
      <c r="J14" s="20">
        <v>1106</v>
      </c>
      <c r="K14" s="20"/>
      <c r="L14" s="20">
        <v>450</v>
      </c>
      <c r="M14" s="22">
        <f t="shared" si="0"/>
        <v>3016</v>
      </c>
      <c r="N14" s="23" t="s">
        <v>76</v>
      </c>
    </row>
    <row r="15" spans="1:15" x14ac:dyDescent="0.35">
      <c r="A15" s="25" t="s">
        <v>82</v>
      </c>
      <c r="B15" s="20">
        <v>6020</v>
      </c>
      <c r="C15" s="20"/>
      <c r="D15" s="20">
        <v>66</v>
      </c>
      <c r="E15" s="20"/>
      <c r="F15" s="20">
        <v>178</v>
      </c>
      <c r="G15" s="20">
        <v>328</v>
      </c>
      <c r="H15" s="20">
        <v>3453</v>
      </c>
      <c r="I15" s="21">
        <v>24061</v>
      </c>
      <c r="J15" s="20">
        <v>2571</v>
      </c>
      <c r="K15" s="20"/>
      <c r="L15" s="20">
        <v>3151</v>
      </c>
      <c r="M15" s="22">
        <v>39828</v>
      </c>
      <c r="N15" s="23" t="s">
        <v>76</v>
      </c>
    </row>
    <row r="16" spans="1:15" x14ac:dyDescent="0.35">
      <c r="A16" s="18" t="s">
        <v>14</v>
      </c>
      <c r="B16" s="20">
        <v>767</v>
      </c>
      <c r="C16" s="20"/>
      <c r="D16" s="20"/>
      <c r="E16" s="20"/>
      <c r="F16" s="20"/>
      <c r="G16" s="20"/>
      <c r="H16" s="20">
        <v>492</v>
      </c>
      <c r="I16" s="21">
        <v>962</v>
      </c>
      <c r="J16" s="20">
        <v>27</v>
      </c>
      <c r="K16" s="20"/>
      <c r="L16" s="20">
        <v>1304</v>
      </c>
      <c r="M16" s="22">
        <f t="shared" si="0"/>
        <v>3552</v>
      </c>
      <c r="N16" s="23" t="s">
        <v>76</v>
      </c>
    </row>
    <row r="17" spans="1:15" x14ac:dyDescent="0.35">
      <c r="A17" s="18" t="s">
        <v>15</v>
      </c>
      <c r="B17" s="20"/>
      <c r="C17" s="20"/>
      <c r="D17" s="20"/>
      <c r="E17" s="20"/>
      <c r="F17" s="20"/>
      <c r="G17" s="20"/>
      <c r="H17" s="20"/>
      <c r="I17" s="21">
        <v>400</v>
      </c>
      <c r="J17" s="20"/>
      <c r="K17" s="20"/>
      <c r="L17" s="20">
        <v>1023</v>
      </c>
      <c r="M17" s="22">
        <f t="shared" si="0"/>
        <v>1423</v>
      </c>
      <c r="N17" s="23" t="s">
        <v>83</v>
      </c>
    </row>
    <row r="18" spans="1:15" x14ac:dyDescent="0.35">
      <c r="A18" s="18" t="s">
        <v>16</v>
      </c>
      <c r="B18" s="20"/>
      <c r="C18" s="20"/>
      <c r="D18" s="20"/>
      <c r="E18" s="20"/>
      <c r="F18" s="20">
        <v>44</v>
      </c>
      <c r="G18" s="20">
        <v>30</v>
      </c>
      <c r="H18" s="20">
        <v>80</v>
      </c>
      <c r="I18" s="21">
        <v>160</v>
      </c>
      <c r="J18" s="20">
        <v>78</v>
      </c>
      <c r="K18" s="20"/>
      <c r="L18" s="20">
        <v>58</v>
      </c>
      <c r="M18" s="22">
        <f t="shared" si="0"/>
        <v>450</v>
      </c>
      <c r="N18" s="23" t="s">
        <v>76</v>
      </c>
    </row>
    <row r="19" spans="1:15" x14ac:dyDescent="0.35">
      <c r="A19" s="18" t="s">
        <v>17</v>
      </c>
      <c r="B19" s="19">
        <v>3114</v>
      </c>
      <c r="C19" s="20">
        <v>880</v>
      </c>
      <c r="D19" s="20">
        <v>189</v>
      </c>
      <c r="E19" s="20">
        <v>64</v>
      </c>
      <c r="F19" s="20">
        <v>699</v>
      </c>
      <c r="G19" s="20">
        <v>2878</v>
      </c>
      <c r="H19" s="20">
        <v>2440</v>
      </c>
      <c r="I19" s="21">
        <v>6298</v>
      </c>
      <c r="J19" s="20">
        <v>1220</v>
      </c>
      <c r="K19" s="20">
        <v>1613</v>
      </c>
      <c r="L19" s="20">
        <v>3672</v>
      </c>
      <c r="M19" s="22">
        <f t="shared" si="0"/>
        <v>23067</v>
      </c>
      <c r="N19" s="26" t="s">
        <v>84</v>
      </c>
    </row>
    <row r="20" spans="1:15" x14ac:dyDescent="0.35">
      <c r="A20" s="18" t="s">
        <v>18</v>
      </c>
      <c r="B20" s="20">
        <v>46</v>
      </c>
      <c r="C20" s="20">
        <v>16</v>
      </c>
      <c r="D20" s="20"/>
      <c r="E20" s="20"/>
      <c r="F20" s="20">
        <v>2</v>
      </c>
      <c r="G20" s="20"/>
      <c r="H20" s="20">
        <v>34</v>
      </c>
      <c r="I20" s="21">
        <v>95</v>
      </c>
      <c r="J20" s="20">
        <v>6</v>
      </c>
      <c r="K20" s="20"/>
      <c r="L20" s="20"/>
      <c r="M20" s="22">
        <f t="shared" si="0"/>
        <v>199</v>
      </c>
      <c r="N20" s="23" t="s">
        <v>76</v>
      </c>
    </row>
    <row r="21" spans="1:15" x14ac:dyDescent="0.35">
      <c r="A21" s="18" t="s">
        <v>19</v>
      </c>
      <c r="B21" s="20">
        <v>23</v>
      </c>
      <c r="C21" s="20"/>
      <c r="D21" s="20"/>
      <c r="E21" s="20"/>
      <c r="F21" s="20"/>
      <c r="G21" s="20"/>
      <c r="H21" s="20"/>
      <c r="I21" s="21">
        <v>137</v>
      </c>
      <c r="J21" s="20">
        <v>6</v>
      </c>
      <c r="K21" s="20"/>
      <c r="L21" s="20"/>
      <c r="M21" s="22">
        <f t="shared" si="0"/>
        <v>166</v>
      </c>
      <c r="N21" s="23" t="s">
        <v>76</v>
      </c>
    </row>
    <row r="22" spans="1:15" x14ac:dyDescent="0.35">
      <c r="A22" s="18" t="s">
        <v>20</v>
      </c>
      <c r="B22" s="19">
        <v>1566</v>
      </c>
      <c r="C22" s="20"/>
      <c r="D22" s="20"/>
      <c r="E22" s="20"/>
      <c r="F22" s="20">
        <v>343</v>
      </c>
      <c r="G22" s="20"/>
      <c r="H22" s="20">
        <v>4827</v>
      </c>
      <c r="I22" s="24">
        <v>21271</v>
      </c>
      <c r="J22" s="20">
        <v>396</v>
      </c>
      <c r="K22" s="20"/>
      <c r="L22" s="20"/>
      <c r="M22" s="22">
        <f t="shared" si="0"/>
        <v>28403</v>
      </c>
      <c r="N22" s="26" t="s">
        <v>85</v>
      </c>
    </row>
    <row r="23" spans="1:15" x14ac:dyDescent="0.35">
      <c r="A23" s="18" t="s">
        <v>21</v>
      </c>
      <c r="B23" s="20">
        <v>767</v>
      </c>
      <c r="C23" s="20">
        <v>74</v>
      </c>
      <c r="D23" s="20"/>
      <c r="E23" s="20"/>
      <c r="F23" s="20">
        <v>113</v>
      </c>
      <c r="G23" s="20">
        <v>34</v>
      </c>
      <c r="H23" s="20">
        <v>492</v>
      </c>
      <c r="I23" s="21">
        <v>964</v>
      </c>
      <c r="J23" s="20">
        <v>27</v>
      </c>
      <c r="K23" s="20"/>
      <c r="L23" s="20">
        <v>1304</v>
      </c>
      <c r="M23" s="22">
        <f t="shared" si="0"/>
        <v>3775</v>
      </c>
      <c r="N23" s="23" t="s">
        <v>76</v>
      </c>
    </row>
    <row r="24" spans="1:15" x14ac:dyDescent="0.35">
      <c r="A24" s="18" t="s">
        <v>22</v>
      </c>
      <c r="B24" s="20"/>
      <c r="C24" s="20"/>
      <c r="D24" s="20"/>
      <c r="E24" s="20"/>
      <c r="F24" s="20"/>
      <c r="G24" s="20"/>
      <c r="H24" s="20"/>
      <c r="I24" s="21"/>
      <c r="J24" s="20">
        <v>23</v>
      </c>
      <c r="K24" s="20"/>
      <c r="L24" s="20">
        <v>489</v>
      </c>
      <c r="M24" s="22">
        <f t="shared" si="0"/>
        <v>512</v>
      </c>
      <c r="N24" s="23" t="s">
        <v>76</v>
      </c>
    </row>
    <row r="25" spans="1:15" x14ac:dyDescent="0.35">
      <c r="A25" s="18" t="s">
        <v>23</v>
      </c>
      <c r="B25" s="20">
        <v>558</v>
      </c>
      <c r="C25" s="20"/>
      <c r="D25" s="20">
        <v>36</v>
      </c>
      <c r="E25" s="20"/>
      <c r="F25" s="20">
        <v>379</v>
      </c>
      <c r="G25" s="20">
        <v>20</v>
      </c>
      <c r="H25" s="20"/>
      <c r="I25" s="21">
        <v>1070</v>
      </c>
      <c r="J25" s="20">
        <v>519</v>
      </c>
      <c r="K25" s="20"/>
      <c r="L25" s="20">
        <v>366</v>
      </c>
      <c r="M25" s="22">
        <f t="shared" si="0"/>
        <v>2948</v>
      </c>
      <c r="N25" s="23" t="s">
        <v>86</v>
      </c>
    </row>
    <row r="26" spans="1:15" s="27" customFormat="1" x14ac:dyDescent="0.35">
      <c r="A26" s="18" t="s">
        <v>24</v>
      </c>
      <c r="B26" s="20">
        <v>8</v>
      </c>
      <c r="C26" s="20">
        <v>22</v>
      </c>
      <c r="D26" s="20">
        <v>8</v>
      </c>
      <c r="E26" s="20"/>
      <c r="F26" s="27">
        <v>33</v>
      </c>
      <c r="G26" s="20">
        <v>20</v>
      </c>
      <c r="H26" s="20">
        <v>69</v>
      </c>
      <c r="I26" s="21">
        <v>376</v>
      </c>
      <c r="J26" s="20">
        <v>20</v>
      </c>
      <c r="K26" s="20"/>
      <c r="L26" s="20"/>
      <c r="M26" s="22">
        <f t="shared" si="0"/>
        <v>556</v>
      </c>
      <c r="N26" s="23" t="s">
        <v>76</v>
      </c>
      <c r="O26" s="28"/>
    </row>
    <row r="27" spans="1:15" x14ac:dyDescent="0.35">
      <c r="A27" s="18" t="s">
        <v>25</v>
      </c>
      <c r="B27" s="20">
        <v>29</v>
      </c>
      <c r="C27" s="20">
        <v>50</v>
      </c>
      <c r="D27" s="20"/>
      <c r="E27" s="20"/>
      <c r="F27" s="20">
        <v>22</v>
      </c>
      <c r="G27" s="20"/>
      <c r="H27" s="20"/>
      <c r="I27" s="21">
        <v>63</v>
      </c>
      <c r="J27" s="20">
        <v>56</v>
      </c>
      <c r="K27" s="20"/>
      <c r="L27" s="20">
        <v>50</v>
      </c>
      <c r="M27" s="22">
        <f t="shared" si="0"/>
        <v>270</v>
      </c>
      <c r="N27" s="23" t="s">
        <v>76</v>
      </c>
    </row>
    <row r="28" spans="1:15" x14ac:dyDescent="0.35">
      <c r="A28" s="18" t="s">
        <v>26</v>
      </c>
      <c r="B28" s="20">
        <v>316</v>
      </c>
      <c r="C28" s="20">
        <v>156</v>
      </c>
      <c r="D28" s="20"/>
      <c r="E28" s="20"/>
      <c r="F28" s="20"/>
      <c r="G28" s="20"/>
      <c r="H28" s="20">
        <v>2473</v>
      </c>
      <c r="I28" s="29">
        <v>2540</v>
      </c>
      <c r="J28" s="20">
        <v>116</v>
      </c>
      <c r="K28" s="20"/>
      <c r="L28" s="20">
        <v>297</v>
      </c>
      <c r="M28" s="22">
        <f t="shared" si="0"/>
        <v>5898</v>
      </c>
      <c r="N28" s="23" t="s">
        <v>76</v>
      </c>
    </row>
    <row r="29" spans="1:15" x14ac:dyDescent="0.35">
      <c r="A29" s="18" t="s">
        <v>27</v>
      </c>
      <c r="B29" s="20">
        <v>115</v>
      </c>
      <c r="C29" s="20">
        <v>167</v>
      </c>
      <c r="D29" s="20"/>
      <c r="E29" s="20"/>
      <c r="F29" s="20">
        <v>110</v>
      </c>
      <c r="G29" s="20">
        <v>189</v>
      </c>
      <c r="H29" s="20">
        <v>1171</v>
      </c>
      <c r="I29" s="21">
        <v>386</v>
      </c>
      <c r="J29" s="27">
        <v>175</v>
      </c>
      <c r="K29" s="20"/>
      <c r="L29" s="20">
        <v>616</v>
      </c>
      <c r="M29" s="22">
        <f t="shared" si="0"/>
        <v>2929</v>
      </c>
      <c r="N29" s="23" t="s">
        <v>76</v>
      </c>
    </row>
    <row r="30" spans="1:15" x14ac:dyDescent="0.35">
      <c r="A30" s="18" t="s">
        <v>28</v>
      </c>
      <c r="B30" s="20"/>
      <c r="C30" s="20"/>
      <c r="D30" s="20"/>
      <c r="E30" s="20"/>
      <c r="F30" s="20"/>
      <c r="G30" s="20"/>
      <c r="H30" s="20"/>
      <c r="I30" s="21"/>
      <c r="J30" s="20"/>
      <c r="K30" s="20"/>
      <c r="L30" s="20"/>
      <c r="M30" s="22">
        <f t="shared" si="0"/>
        <v>0</v>
      </c>
      <c r="N30" s="23" t="s">
        <v>76</v>
      </c>
    </row>
    <row r="31" spans="1:15" x14ac:dyDescent="0.35">
      <c r="A31" s="18" t="s">
        <v>29</v>
      </c>
      <c r="B31" s="20"/>
      <c r="C31" s="20">
        <v>76</v>
      </c>
      <c r="D31" s="20"/>
      <c r="E31" s="20"/>
      <c r="F31" s="20"/>
      <c r="G31" s="20"/>
      <c r="H31" s="20"/>
      <c r="I31" s="21">
        <v>113</v>
      </c>
      <c r="J31" s="20"/>
      <c r="K31" s="20"/>
      <c r="L31" s="20">
        <v>366</v>
      </c>
      <c r="M31" s="22">
        <f t="shared" si="0"/>
        <v>555</v>
      </c>
      <c r="N31" s="23" t="s">
        <v>76</v>
      </c>
    </row>
    <row r="32" spans="1:15" x14ac:dyDescent="0.35">
      <c r="A32" s="18" t="s">
        <v>30</v>
      </c>
      <c r="B32" s="20">
        <v>432</v>
      </c>
      <c r="C32" s="20"/>
      <c r="D32" s="20"/>
      <c r="E32" s="20"/>
      <c r="F32" s="20"/>
      <c r="G32" s="20"/>
      <c r="H32" s="20">
        <v>40</v>
      </c>
      <c r="I32" s="29">
        <v>175</v>
      </c>
      <c r="J32" s="20"/>
      <c r="K32" s="20"/>
      <c r="L32" s="20">
        <v>39</v>
      </c>
      <c r="M32" s="22">
        <f t="shared" si="0"/>
        <v>686</v>
      </c>
      <c r="N32" s="26" t="s">
        <v>87</v>
      </c>
    </row>
    <row r="33" spans="1:15" x14ac:dyDescent="0.35">
      <c r="A33" s="18" t="s">
        <v>31</v>
      </c>
      <c r="B33" s="20">
        <v>819</v>
      </c>
      <c r="C33" s="20">
        <v>146</v>
      </c>
      <c r="D33" s="20">
        <v>161</v>
      </c>
      <c r="E33" s="20"/>
      <c r="F33" s="20"/>
      <c r="G33" s="20">
        <v>112</v>
      </c>
      <c r="H33" s="20">
        <v>140</v>
      </c>
      <c r="I33" s="21">
        <v>580</v>
      </c>
      <c r="J33" s="20">
        <v>248</v>
      </c>
      <c r="K33" s="20">
        <v>20</v>
      </c>
      <c r="L33" s="20"/>
      <c r="M33" s="22">
        <f t="shared" si="0"/>
        <v>2226</v>
      </c>
      <c r="N33" s="26" t="s">
        <v>88</v>
      </c>
    </row>
    <row r="34" spans="1:15" s="31" customFormat="1" x14ac:dyDescent="0.35">
      <c r="A34" s="18" t="s">
        <v>32</v>
      </c>
      <c r="B34" s="20">
        <v>475</v>
      </c>
      <c r="C34" s="20">
        <v>3</v>
      </c>
      <c r="D34" s="20"/>
      <c r="E34" s="20"/>
      <c r="F34" s="20">
        <v>247</v>
      </c>
      <c r="G34" s="20">
        <v>31</v>
      </c>
      <c r="H34" s="20">
        <v>1414</v>
      </c>
      <c r="I34" s="21">
        <v>200</v>
      </c>
      <c r="J34" s="20">
        <v>121</v>
      </c>
      <c r="K34" s="20"/>
      <c r="L34" s="20">
        <v>175</v>
      </c>
      <c r="M34" s="22">
        <f t="shared" si="0"/>
        <v>2666</v>
      </c>
      <c r="N34" s="23" t="s">
        <v>89</v>
      </c>
      <c r="O34" s="30"/>
    </row>
    <row r="35" spans="1:15" x14ac:dyDescent="0.35">
      <c r="A35" s="18" t="s">
        <v>33</v>
      </c>
      <c r="B35" s="20">
        <v>370</v>
      </c>
      <c r="C35" s="20">
        <v>14</v>
      </c>
      <c r="D35" s="20"/>
      <c r="E35" s="20"/>
      <c r="F35" s="20"/>
      <c r="G35" s="20"/>
      <c r="H35" s="20">
        <v>124</v>
      </c>
      <c r="I35" s="21">
        <v>305</v>
      </c>
      <c r="J35" s="20">
        <v>45</v>
      </c>
      <c r="K35" s="20"/>
      <c r="L35" s="20">
        <v>1891</v>
      </c>
      <c r="M35" s="22">
        <f t="shared" si="0"/>
        <v>2749</v>
      </c>
      <c r="N35" s="23" t="s">
        <v>90</v>
      </c>
    </row>
    <row r="36" spans="1:15" x14ac:dyDescent="0.35">
      <c r="A36" s="25" t="s">
        <v>34</v>
      </c>
      <c r="B36" s="19">
        <v>4340</v>
      </c>
      <c r="C36" s="20"/>
      <c r="D36" s="20">
        <v>459</v>
      </c>
      <c r="E36" s="20"/>
      <c r="F36" s="20"/>
      <c r="G36" s="20"/>
      <c r="H36" s="20">
        <v>375</v>
      </c>
      <c r="I36" s="24">
        <v>12835</v>
      </c>
      <c r="J36" s="20">
        <v>1774</v>
      </c>
      <c r="K36" s="20"/>
      <c r="L36" s="20"/>
      <c r="M36" s="22">
        <f t="shared" si="0"/>
        <v>19783</v>
      </c>
      <c r="N36" s="23" t="s">
        <v>76</v>
      </c>
    </row>
    <row r="37" spans="1:15" x14ac:dyDescent="0.35">
      <c r="A37" s="18" t="s">
        <v>35</v>
      </c>
      <c r="B37" s="20">
        <v>11</v>
      </c>
      <c r="C37" s="20"/>
      <c r="D37" s="20"/>
      <c r="E37" s="20"/>
      <c r="F37" s="20">
        <v>95</v>
      </c>
      <c r="G37" s="20"/>
      <c r="H37" s="20">
        <v>176</v>
      </c>
      <c r="I37" s="21">
        <v>355</v>
      </c>
      <c r="J37" s="20"/>
      <c r="K37" s="20"/>
      <c r="L37" s="20">
        <v>81</v>
      </c>
      <c r="M37" s="22">
        <f t="shared" si="0"/>
        <v>718</v>
      </c>
      <c r="N37" s="23" t="s">
        <v>76</v>
      </c>
    </row>
    <row r="38" spans="1:15" x14ac:dyDescent="0.35">
      <c r="A38" s="18" t="s">
        <v>36</v>
      </c>
      <c r="B38" s="20"/>
      <c r="C38" s="20"/>
      <c r="D38" s="20"/>
      <c r="E38" s="20"/>
      <c r="F38" s="20"/>
      <c r="G38" s="20"/>
      <c r="H38" s="20"/>
      <c r="I38" s="21"/>
      <c r="J38" s="20"/>
      <c r="K38" s="20"/>
      <c r="L38" s="20"/>
      <c r="M38" s="22">
        <f t="shared" si="0"/>
        <v>0</v>
      </c>
      <c r="N38" s="23" t="s">
        <v>76</v>
      </c>
    </row>
    <row r="39" spans="1:15" x14ac:dyDescent="0.35">
      <c r="A39" s="18" t="s">
        <v>37</v>
      </c>
      <c r="B39" s="20">
        <v>434</v>
      </c>
      <c r="C39" s="20">
        <v>137</v>
      </c>
      <c r="D39" s="20">
        <v>67</v>
      </c>
      <c r="E39" s="20"/>
      <c r="F39" s="20">
        <v>171</v>
      </c>
      <c r="G39" s="20"/>
      <c r="H39" s="20">
        <v>104</v>
      </c>
      <c r="I39" s="21">
        <f>288+294</f>
        <v>582</v>
      </c>
      <c r="J39" s="20">
        <v>36</v>
      </c>
      <c r="K39" s="20"/>
      <c r="L39" s="20">
        <v>710</v>
      </c>
      <c r="M39" s="22">
        <f t="shared" si="0"/>
        <v>2241</v>
      </c>
      <c r="N39" s="23" t="s">
        <v>76</v>
      </c>
    </row>
    <row r="40" spans="1:15" x14ac:dyDescent="0.35">
      <c r="A40" s="18" t="s">
        <v>38</v>
      </c>
      <c r="B40" s="20">
        <v>10</v>
      </c>
      <c r="C40" s="20"/>
      <c r="D40" s="20"/>
      <c r="E40" s="20"/>
      <c r="F40" s="20"/>
      <c r="G40" s="20">
        <v>20</v>
      </c>
      <c r="H40" s="20">
        <v>10</v>
      </c>
      <c r="I40" s="21">
        <v>40</v>
      </c>
      <c r="J40" s="20"/>
      <c r="K40" s="20"/>
      <c r="L40" s="20">
        <v>80</v>
      </c>
      <c r="M40" s="22">
        <f t="shared" si="0"/>
        <v>160</v>
      </c>
      <c r="N40" s="23" t="s">
        <v>76</v>
      </c>
    </row>
    <row r="41" spans="1:15" x14ac:dyDescent="0.35">
      <c r="A41" s="18" t="s">
        <v>39</v>
      </c>
      <c r="B41" s="20">
        <v>217</v>
      </c>
      <c r="C41" s="20"/>
      <c r="D41" s="20"/>
      <c r="E41" s="20"/>
      <c r="F41" s="20">
        <v>69</v>
      </c>
      <c r="G41" s="20">
        <v>51</v>
      </c>
      <c r="H41" s="20">
        <v>120</v>
      </c>
      <c r="I41" s="21">
        <v>1755</v>
      </c>
      <c r="J41" s="20">
        <v>90</v>
      </c>
      <c r="K41" s="20"/>
      <c r="L41" s="20">
        <v>186</v>
      </c>
      <c r="M41" s="22">
        <f t="shared" si="0"/>
        <v>2488</v>
      </c>
      <c r="N41" s="23" t="s">
        <v>76</v>
      </c>
    </row>
    <row r="42" spans="1:15" x14ac:dyDescent="0.35">
      <c r="A42" s="18" t="s">
        <v>40</v>
      </c>
      <c r="B42" s="20">
        <v>998</v>
      </c>
      <c r="C42" s="20"/>
      <c r="D42" s="20">
        <v>805</v>
      </c>
      <c r="E42" s="20"/>
      <c r="F42" s="20">
        <v>1291</v>
      </c>
      <c r="G42" s="20"/>
      <c r="H42" s="20"/>
      <c r="I42" s="21">
        <v>3154</v>
      </c>
      <c r="J42" s="20">
        <v>451</v>
      </c>
      <c r="K42" s="20"/>
      <c r="L42" s="20">
        <v>13559</v>
      </c>
      <c r="M42" s="22">
        <f t="shared" si="0"/>
        <v>20258</v>
      </c>
      <c r="N42" s="26" t="s">
        <v>91</v>
      </c>
    </row>
    <row r="43" spans="1:15" x14ac:dyDescent="0.35">
      <c r="A43" s="18" t="s">
        <v>41</v>
      </c>
      <c r="B43" s="20"/>
      <c r="C43" s="20"/>
      <c r="D43" s="20"/>
      <c r="E43" s="20"/>
      <c r="F43" s="20"/>
      <c r="G43" s="20"/>
      <c r="H43" s="20">
        <v>307</v>
      </c>
      <c r="I43" s="21">
        <v>241</v>
      </c>
      <c r="J43" s="20">
        <v>681</v>
      </c>
      <c r="K43" s="20"/>
      <c r="L43" s="20">
        <v>484</v>
      </c>
      <c r="M43" s="22">
        <f t="shared" si="0"/>
        <v>1713</v>
      </c>
      <c r="N43" s="23" t="s">
        <v>76</v>
      </c>
    </row>
    <row r="44" spans="1:15" x14ac:dyDescent="0.35">
      <c r="A44" s="18" t="s">
        <v>42</v>
      </c>
      <c r="B44" s="20">
        <v>330</v>
      </c>
      <c r="C44" s="20">
        <v>1597</v>
      </c>
      <c r="D44" s="20">
        <v>80</v>
      </c>
      <c r="E44" s="20"/>
      <c r="F44" s="20"/>
      <c r="G44" s="20">
        <v>629</v>
      </c>
      <c r="H44" s="20">
        <v>2084</v>
      </c>
      <c r="I44" s="21">
        <v>2920</v>
      </c>
      <c r="J44" s="20">
        <v>17</v>
      </c>
      <c r="K44" s="20"/>
      <c r="L44" s="20">
        <v>5457</v>
      </c>
      <c r="M44" s="22">
        <f t="shared" si="0"/>
        <v>13114</v>
      </c>
      <c r="N44" s="23" t="s">
        <v>92</v>
      </c>
    </row>
    <row r="45" spans="1:15" x14ac:dyDescent="0.35">
      <c r="A45" s="18" t="s">
        <v>43</v>
      </c>
      <c r="B45" s="20">
        <v>77</v>
      </c>
      <c r="C45" s="20">
        <v>37</v>
      </c>
      <c r="D45" s="20"/>
      <c r="E45" s="20"/>
      <c r="F45" s="20">
        <v>60</v>
      </c>
      <c r="G45" s="20"/>
      <c r="H45" s="20">
        <v>130</v>
      </c>
      <c r="I45" s="21">
        <v>240</v>
      </c>
      <c r="J45" s="20">
        <v>215</v>
      </c>
      <c r="K45" s="20"/>
      <c r="L45" s="20">
        <v>250</v>
      </c>
      <c r="M45" s="22">
        <f t="shared" si="0"/>
        <v>1009</v>
      </c>
      <c r="N45" s="23" t="s">
        <v>93</v>
      </c>
    </row>
    <row r="46" spans="1:15" x14ac:dyDescent="0.35">
      <c r="A46" s="18" t="s">
        <v>44</v>
      </c>
      <c r="B46" s="19">
        <v>1997</v>
      </c>
      <c r="C46" s="20">
        <v>246</v>
      </c>
      <c r="D46" s="20">
        <v>41</v>
      </c>
      <c r="E46" s="20">
        <v>220</v>
      </c>
      <c r="F46" s="20">
        <v>120</v>
      </c>
      <c r="G46" s="20">
        <v>1860</v>
      </c>
      <c r="H46" s="20">
        <v>8990</v>
      </c>
      <c r="I46" s="24">
        <v>14001</v>
      </c>
      <c r="J46" s="20">
        <v>3610</v>
      </c>
      <c r="K46" s="20"/>
      <c r="L46" s="20">
        <v>1020</v>
      </c>
      <c r="M46" s="22">
        <f t="shared" si="0"/>
        <v>32105</v>
      </c>
      <c r="N46" s="23" t="s">
        <v>76</v>
      </c>
    </row>
    <row r="47" spans="1:15" x14ac:dyDescent="0.35">
      <c r="A47" s="18" t="s">
        <v>45</v>
      </c>
      <c r="B47" s="20">
        <v>100</v>
      </c>
      <c r="C47" s="20"/>
      <c r="D47" s="20"/>
      <c r="E47" s="20">
        <v>36</v>
      </c>
      <c r="F47" s="20"/>
      <c r="G47" s="20">
        <v>180</v>
      </c>
      <c r="H47" s="20">
        <v>1939</v>
      </c>
      <c r="I47" s="21">
        <v>5272</v>
      </c>
      <c r="J47" s="20">
        <v>282</v>
      </c>
      <c r="K47" s="20">
        <v>100</v>
      </c>
      <c r="L47" s="20">
        <v>400</v>
      </c>
      <c r="M47" s="22">
        <f t="shared" si="0"/>
        <v>8309</v>
      </c>
      <c r="N47" s="23" t="s">
        <v>94</v>
      </c>
    </row>
    <row r="48" spans="1:15" x14ac:dyDescent="0.35">
      <c r="A48" s="18" t="s">
        <v>46</v>
      </c>
      <c r="B48" s="20">
        <v>265</v>
      </c>
      <c r="C48" s="20">
        <v>30</v>
      </c>
      <c r="D48" s="20">
        <v>80</v>
      </c>
      <c r="E48" s="20">
        <v>30</v>
      </c>
      <c r="F48" s="20">
        <v>155</v>
      </c>
      <c r="G48" s="20">
        <v>30</v>
      </c>
      <c r="H48" s="20">
        <v>270</v>
      </c>
      <c r="I48" s="21">
        <v>1100</v>
      </c>
      <c r="J48" s="20">
        <v>358</v>
      </c>
      <c r="K48" s="20"/>
      <c r="L48" s="20">
        <v>421</v>
      </c>
      <c r="M48" s="22">
        <f t="shared" si="0"/>
        <v>2739</v>
      </c>
      <c r="N48" s="23" t="s">
        <v>95</v>
      </c>
    </row>
    <row r="49" spans="1:15" s="37" customFormat="1" x14ac:dyDescent="0.35">
      <c r="A49" s="32" t="s">
        <v>96</v>
      </c>
      <c r="B49" s="33">
        <f>SUM(B2:B48)</f>
        <v>28934</v>
      </c>
      <c r="C49" s="33">
        <f t="shared" ref="C49:L49" si="1">SUM(C2:C48)</f>
        <v>5102</v>
      </c>
      <c r="D49" s="33">
        <f t="shared" si="1"/>
        <v>2206</v>
      </c>
      <c r="E49" s="33">
        <f t="shared" si="1"/>
        <v>377</v>
      </c>
      <c r="F49" s="33">
        <f t="shared" si="1"/>
        <v>5611</v>
      </c>
      <c r="G49" s="33">
        <f t="shared" si="1"/>
        <v>6808</v>
      </c>
      <c r="H49" s="33">
        <f t="shared" si="1"/>
        <v>35640</v>
      </c>
      <c r="I49" s="33">
        <f t="shared" si="1"/>
        <v>115672</v>
      </c>
      <c r="J49" s="33">
        <f t="shared" si="1"/>
        <v>16918</v>
      </c>
      <c r="K49" s="33">
        <f t="shared" si="1"/>
        <v>1813</v>
      </c>
      <c r="L49" s="33">
        <f t="shared" si="1"/>
        <v>40375</v>
      </c>
      <c r="M49" s="34">
        <f>+SUM(B49:L49)</f>
        <v>259456</v>
      </c>
      <c r="N49" s="35"/>
      <c r="O49" s="36"/>
    </row>
    <row r="50" spans="1:15" x14ac:dyDescent="0.35">
      <c r="A50" s="38" t="s">
        <v>59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39">
        <f>L49/Table1[[#Totals],[Total]]</f>
        <v>0.15873546317337253</v>
      </c>
      <c r="M50" s="40">
        <f>M49-C49</f>
        <v>254354</v>
      </c>
      <c r="N50" s="23"/>
    </row>
    <row r="51" spans="1:15" x14ac:dyDescent="0.35">
      <c r="A51" s="41" t="s">
        <v>97</v>
      </c>
      <c r="B51" s="42">
        <f>B49/M50</f>
        <v>0.11375484560887582</v>
      </c>
      <c r="M51" s="22">
        <f>SUM(M2:M48)</f>
        <v>259456</v>
      </c>
    </row>
    <row r="52" spans="1:15" x14ac:dyDescent="0.35">
      <c r="B52">
        <f>COUNTIF(B2:B48,"&gt;500")</f>
        <v>14</v>
      </c>
      <c r="C52" s="44">
        <f>(B49+C49)/M49</f>
        <v>0.13118216576221017</v>
      </c>
      <c r="H52" s="42">
        <f>(H49)/M50</f>
        <v>0.14011967572752934</v>
      </c>
      <c r="I52" s="45">
        <f>I49/M50</f>
        <v>0.45476776461152568</v>
      </c>
    </row>
    <row r="53" spans="1:15" x14ac:dyDescent="0.35">
      <c r="J53" s="42">
        <f>(H49+I49)/Table1[[#Totals],[Total]]</f>
        <v>0.59488744033905505</v>
      </c>
    </row>
    <row r="54" spans="1:15" x14ac:dyDescent="0.35">
      <c r="I54" s="46">
        <f>COUNTIF(I4:I50,"&gt;500")</f>
        <v>22</v>
      </c>
    </row>
    <row r="56" spans="1:15" x14ac:dyDescent="0.35">
      <c r="B56" s="42">
        <f>18529/29029</f>
        <v>0.63829274174101758</v>
      </c>
      <c r="I56" s="45">
        <f>83738/115672</f>
        <v>0.72392627429282796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49F9-EB27-41EE-A348-F4CDF815F8F6}">
  <dimension ref="A1:AI56"/>
  <sheetViews>
    <sheetView workbookViewId="0">
      <selection activeCell="I1" sqref="I1"/>
    </sheetView>
  </sheetViews>
  <sheetFormatPr defaultColWidth="8.81640625" defaultRowHeight="14.5" x14ac:dyDescent="0.35"/>
  <cols>
    <col min="5" max="5" width="21" bestFit="1" customWidth="1"/>
    <col min="6" max="6" width="10.36328125" bestFit="1" customWidth="1"/>
    <col min="9" max="9" width="21" bestFit="1" customWidth="1"/>
    <col min="10" max="10" width="53.36328125" bestFit="1" customWidth="1"/>
    <col min="32" max="32" width="21" bestFit="1" customWidth="1"/>
    <col min="33" max="33" width="56.81640625" bestFit="1" customWidth="1"/>
    <col min="34" max="34" width="20.08984375" bestFit="1" customWidth="1"/>
  </cols>
  <sheetData>
    <row r="1" spans="1:35" x14ac:dyDescent="0.35">
      <c r="A1" t="s">
        <v>98</v>
      </c>
      <c r="E1" t="s">
        <v>0</v>
      </c>
      <c r="F1" t="s">
        <v>74</v>
      </c>
      <c r="G1" t="s">
        <v>64</v>
      </c>
      <c r="H1" t="s">
        <v>65</v>
      </c>
      <c r="I1" t="s">
        <v>102</v>
      </c>
      <c r="J1" t="s">
        <v>104</v>
      </c>
      <c r="K1" t="s">
        <v>111</v>
      </c>
      <c r="AF1" t="s">
        <v>0</v>
      </c>
      <c r="AG1" t="s">
        <v>104</v>
      </c>
      <c r="AH1" t="s">
        <v>111</v>
      </c>
      <c r="AI1" t="s">
        <v>133</v>
      </c>
    </row>
    <row r="2" spans="1:35" x14ac:dyDescent="0.35">
      <c r="C2" t="s">
        <v>112</v>
      </c>
      <c r="E2" t="s">
        <v>1</v>
      </c>
      <c r="F2" s="47">
        <v>98.058568574484738</v>
      </c>
      <c r="G2" s="1">
        <v>53077.717864361715</v>
      </c>
      <c r="I2">
        <f>IF(H2=0,I$52,G2/H2)</f>
        <v>22.857935830441416</v>
      </c>
      <c r="J2" t="str">
        <f>IF(I2&lt;10,"4. Very rapid education production - Less than 10 stock to grad",IF(AND(I2&gt;=10,I2&lt;20),"3. Rapid education production - 10 to 20 stock to grad",IF(AND(I2&gt;=20,I2&lt;30),"2. Slow education production - 20 to 30 stock to grad","1. Very slow education production - 30 stock to grad and more")))</f>
        <v>2. Slow education production - 20 to 30 stock to grad</v>
      </c>
      <c r="K2" t="str">
        <f>IF(F2&lt;D$3,"1. &lt;Q1 density",IF(AND(F2&gt;=D$3,F2&lt;D$4),"2. Q1-Median density",IF(AND(F2&gt;=D$4,F2&lt;D$5),"3. Median-Q3 density","4. &gt;Q3 density")))</f>
        <v>4. &gt;Q3 density</v>
      </c>
      <c r="AF2" s="49" t="s">
        <v>8</v>
      </c>
      <c r="AG2" s="49" t="s">
        <v>131</v>
      </c>
      <c r="AH2" t="s">
        <v>129</v>
      </c>
    </row>
    <row r="3" spans="1:35" x14ac:dyDescent="0.35">
      <c r="C3" t="s">
        <v>100</v>
      </c>
      <c r="D3" s="47">
        <f>PERCENTILE(F2:F48,0.25)</f>
        <v>22.339869902239968</v>
      </c>
      <c r="E3" t="s">
        <v>2</v>
      </c>
      <c r="F3" s="47">
        <v>38.456345697593264</v>
      </c>
      <c r="G3" s="1">
        <v>75410.353814379763</v>
      </c>
      <c r="H3">
        <v>3561</v>
      </c>
      <c r="I3">
        <f t="shared" ref="I3:I48" si="0">IF(H3=0,I$52,G3/H3)</f>
        <v>21.176735134619424</v>
      </c>
      <c r="J3" t="str">
        <f t="shared" ref="J3:J48" si="1">IF(I3&lt;10,"4. Very rapid education production - Less than 10 stock to grad",IF(AND(I3&gt;=10,I3&lt;20),"3. Rapid education production - 10 to 20 stock to grad",IF(AND(I3&gt;=20,I3&lt;30),"2. Slow education production - 20 to 30 stock to grad","1. Very slow education production - 30 stock to grad and more")))</f>
        <v>2. Slow education production - 20 to 30 stock to grad</v>
      </c>
      <c r="K3" t="str">
        <f t="shared" ref="K3:K48" si="2">IF(F3&lt;D$3,"1. &lt;Q1 density",IF(AND(F3&gt;=D$3,F3&lt;D$4),"2. Q1-Median density",IF(AND(F3&gt;=D$4,F3&lt;D$5),"3. Median-Q3 density","4. &gt;Q3 density")))</f>
        <v>3. Median-Q3 density</v>
      </c>
      <c r="AF3" s="49" t="s">
        <v>11</v>
      </c>
      <c r="AG3" s="49" t="s">
        <v>131</v>
      </c>
      <c r="AH3" t="s">
        <v>129</v>
      </c>
    </row>
    <row r="4" spans="1:35" x14ac:dyDescent="0.35">
      <c r="C4" t="s">
        <v>99</v>
      </c>
      <c r="D4" s="47">
        <f>MEDIAN(F2:F48)</f>
        <v>38.456345697593264</v>
      </c>
      <c r="E4" t="s">
        <v>3</v>
      </c>
      <c r="F4" s="47">
        <v>18.729624018891407</v>
      </c>
      <c r="G4" s="1">
        <v>8501</v>
      </c>
      <c r="H4">
        <v>1037</v>
      </c>
      <c r="I4">
        <f t="shared" si="0"/>
        <v>8.1976856316297013</v>
      </c>
      <c r="J4" t="str">
        <f t="shared" si="1"/>
        <v>4. Very rapid education production - Less than 10 stock to grad</v>
      </c>
      <c r="K4" t="str">
        <f t="shared" si="2"/>
        <v>1. &lt;Q1 density</v>
      </c>
      <c r="AF4" s="49" t="s">
        <v>27</v>
      </c>
      <c r="AG4" s="49" t="s">
        <v>125</v>
      </c>
      <c r="AH4" t="s">
        <v>129</v>
      </c>
    </row>
    <row r="5" spans="1:35" x14ac:dyDescent="0.35">
      <c r="C5" t="s">
        <v>101</v>
      </c>
      <c r="D5" s="47">
        <f>PERCENTILE(F2:F48,0.75)</f>
        <v>63.718103547338771</v>
      </c>
      <c r="E5" t="s">
        <v>4</v>
      </c>
      <c r="F5" s="47">
        <v>68.115844081394968</v>
      </c>
      <c r="G5" s="1">
        <v>9020</v>
      </c>
      <c r="H5">
        <v>550</v>
      </c>
      <c r="I5">
        <f t="shared" si="0"/>
        <v>16.399999999999999</v>
      </c>
      <c r="J5" t="str">
        <f t="shared" si="1"/>
        <v>3. Rapid education production - 10 to 20 stock to grad</v>
      </c>
      <c r="K5" t="str">
        <f t="shared" si="2"/>
        <v>4. &gt;Q3 density</v>
      </c>
      <c r="AF5" s="49" t="s">
        <v>28</v>
      </c>
      <c r="AG5" s="49" t="s">
        <v>125</v>
      </c>
      <c r="AH5" t="s">
        <v>129</v>
      </c>
    </row>
    <row r="6" spans="1:35" x14ac:dyDescent="0.35">
      <c r="E6" t="s">
        <v>5</v>
      </c>
      <c r="F6" s="47">
        <v>16.827323041243478</v>
      </c>
      <c r="G6" s="1">
        <v>17284</v>
      </c>
      <c r="H6">
        <v>2662</v>
      </c>
      <c r="I6">
        <f t="shared" si="0"/>
        <v>6.4928625093914354</v>
      </c>
      <c r="J6" t="str">
        <f t="shared" si="1"/>
        <v>4. Very rapid education production - Less than 10 stock to grad</v>
      </c>
      <c r="K6" t="str">
        <f t="shared" si="2"/>
        <v>1. &lt;Q1 density</v>
      </c>
      <c r="AF6" s="49" t="s">
        <v>41</v>
      </c>
      <c r="AG6" s="49" t="s">
        <v>125</v>
      </c>
      <c r="AH6" t="s">
        <v>129</v>
      </c>
    </row>
    <row r="7" spans="1:35" x14ac:dyDescent="0.35">
      <c r="E7" t="s">
        <v>6</v>
      </c>
      <c r="F7" s="47">
        <v>40.986337247671983</v>
      </c>
      <c r="G7" s="1">
        <v>10386.861039439735</v>
      </c>
      <c r="H7">
        <v>1792</v>
      </c>
      <c r="I7">
        <f t="shared" si="0"/>
        <v>5.7962394193302087</v>
      </c>
      <c r="J7" t="str">
        <f t="shared" si="1"/>
        <v>4. Very rapid education production - Less than 10 stock to grad</v>
      </c>
      <c r="K7" t="str">
        <f t="shared" si="2"/>
        <v>3. Median-Q3 density</v>
      </c>
      <c r="AF7" t="s">
        <v>3</v>
      </c>
      <c r="AG7" t="s">
        <v>128</v>
      </c>
      <c r="AH7" t="s">
        <v>129</v>
      </c>
    </row>
    <row r="8" spans="1:35" x14ac:dyDescent="0.35">
      <c r="E8" t="s">
        <v>7</v>
      </c>
      <c r="F8" s="47">
        <v>11.326441981493597</v>
      </c>
      <c r="G8" s="1">
        <v>20232</v>
      </c>
      <c r="H8">
        <v>3460</v>
      </c>
      <c r="I8">
        <f t="shared" si="0"/>
        <v>5.8473988439306357</v>
      </c>
      <c r="J8" t="str">
        <f t="shared" si="1"/>
        <v>4. Very rapid education production - Less than 10 stock to grad</v>
      </c>
      <c r="K8" t="str">
        <f t="shared" si="2"/>
        <v>1. &lt;Q1 density</v>
      </c>
      <c r="AF8" t="s">
        <v>5</v>
      </c>
      <c r="AG8" t="s">
        <v>128</v>
      </c>
      <c r="AH8" t="s">
        <v>129</v>
      </c>
    </row>
    <row r="9" spans="1:35" x14ac:dyDescent="0.35">
      <c r="E9" t="s">
        <v>70</v>
      </c>
      <c r="F9" s="47">
        <v>104.36309518407614</v>
      </c>
      <c r="G9" s="1">
        <v>3585</v>
      </c>
      <c r="I9">
        <f t="shared" si="0"/>
        <v>22.857935830441416</v>
      </c>
      <c r="J9" t="str">
        <f t="shared" si="1"/>
        <v>2. Slow education production - 20 to 30 stock to grad</v>
      </c>
      <c r="K9" t="str">
        <f t="shared" si="2"/>
        <v>4. &gt;Q3 density</v>
      </c>
      <c r="AF9" t="s">
        <v>7</v>
      </c>
      <c r="AG9" t="s">
        <v>128</v>
      </c>
      <c r="AH9" t="s">
        <v>129</v>
      </c>
    </row>
    <row r="10" spans="1:35" x14ac:dyDescent="0.35">
      <c r="E10" t="s">
        <v>8</v>
      </c>
      <c r="F10" s="47">
        <v>10.210731090719779</v>
      </c>
      <c r="G10" s="1">
        <v>794.8697270471464</v>
      </c>
      <c r="H10">
        <v>18</v>
      </c>
      <c r="I10">
        <f t="shared" si="0"/>
        <v>44.159429280397021</v>
      </c>
      <c r="J10" t="str">
        <f t="shared" si="1"/>
        <v>1. Very slow education production - 30 stock to grad and more</v>
      </c>
      <c r="K10" t="str">
        <f t="shared" si="2"/>
        <v>1. &lt;Q1 density</v>
      </c>
      <c r="AF10" t="s">
        <v>13</v>
      </c>
      <c r="AG10" t="s">
        <v>128</v>
      </c>
      <c r="AH10" t="s">
        <v>129</v>
      </c>
    </row>
    <row r="11" spans="1:35" x14ac:dyDescent="0.35">
      <c r="E11" t="s">
        <v>9</v>
      </c>
      <c r="F11" s="47">
        <v>22.710971898965504</v>
      </c>
      <c r="G11" s="1">
        <v>4894.1517348524085</v>
      </c>
      <c r="H11">
        <v>3250</v>
      </c>
      <c r="I11">
        <f t="shared" si="0"/>
        <v>1.5058928414930488</v>
      </c>
      <c r="J11" t="str">
        <f t="shared" si="1"/>
        <v>4. Very rapid education production - Less than 10 stock to grad</v>
      </c>
      <c r="K11" t="str">
        <f t="shared" si="2"/>
        <v>2. Q1-Median density</v>
      </c>
      <c r="AF11" t="s">
        <v>21</v>
      </c>
      <c r="AG11" t="s">
        <v>128</v>
      </c>
      <c r="AH11" t="s">
        <v>129</v>
      </c>
    </row>
    <row r="12" spans="1:35" x14ac:dyDescent="0.35">
      <c r="E12" t="s">
        <v>10</v>
      </c>
      <c r="F12" s="47">
        <v>31.333794542132008</v>
      </c>
      <c r="G12" s="1">
        <v>1138.9709740708436</v>
      </c>
      <c r="H12">
        <v>40</v>
      </c>
      <c r="I12">
        <f t="shared" si="0"/>
        <v>28.47427435177109</v>
      </c>
      <c r="J12" t="str">
        <f t="shared" si="1"/>
        <v>2. Slow education production - 20 to 30 stock to grad</v>
      </c>
      <c r="K12" t="str">
        <f t="shared" si="2"/>
        <v>2. Q1-Median density</v>
      </c>
      <c r="AF12" t="s">
        <v>26</v>
      </c>
      <c r="AG12" t="s">
        <v>128</v>
      </c>
      <c r="AH12" t="s">
        <v>129</v>
      </c>
    </row>
    <row r="13" spans="1:35" x14ac:dyDescent="0.35">
      <c r="E13" t="s">
        <v>11</v>
      </c>
      <c r="F13" s="47">
        <v>20.330016447381468</v>
      </c>
      <c r="G13" s="1">
        <v>6615</v>
      </c>
      <c r="H13">
        <v>120</v>
      </c>
      <c r="I13">
        <f t="shared" si="0"/>
        <v>55.125</v>
      </c>
      <c r="J13" t="str">
        <f t="shared" si="1"/>
        <v>1. Very slow education production - 30 stock to grad and more</v>
      </c>
      <c r="K13" t="str">
        <f t="shared" si="2"/>
        <v>1. &lt;Q1 density</v>
      </c>
      <c r="AF13" t="s">
        <v>33</v>
      </c>
      <c r="AG13" t="s">
        <v>128</v>
      </c>
      <c r="AH13" t="s">
        <v>129</v>
      </c>
    </row>
    <row r="14" spans="1:35" x14ac:dyDescent="0.35">
      <c r="E14" t="s">
        <v>12</v>
      </c>
      <c r="F14" s="47">
        <v>25.91975377602575</v>
      </c>
      <c r="G14" s="1">
        <v>25552.785469257356</v>
      </c>
      <c r="H14">
        <v>1261</v>
      </c>
      <c r="I14">
        <f t="shared" si="0"/>
        <v>20.263906002583152</v>
      </c>
      <c r="J14" t="str">
        <f t="shared" si="1"/>
        <v>2. Slow education production - 20 to 30 stock to grad</v>
      </c>
      <c r="K14" t="str">
        <f t="shared" si="2"/>
        <v>2. Q1-Median density</v>
      </c>
      <c r="AF14" s="49" t="s">
        <v>10</v>
      </c>
      <c r="AG14" s="49" t="s">
        <v>125</v>
      </c>
      <c r="AH14" t="s">
        <v>132</v>
      </c>
    </row>
    <row r="15" spans="1:35" x14ac:dyDescent="0.35">
      <c r="E15" t="s">
        <v>13</v>
      </c>
      <c r="F15" s="47">
        <v>15.888047021793218</v>
      </c>
      <c r="G15" s="1">
        <v>136605.95871911859</v>
      </c>
      <c r="H15">
        <v>30081</v>
      </c>
      <c r="I15">
        <f t="shared" si="0"/>
        <v>4.5412705268813731</v>
      </c>
      <c r="J15" t="str">
        <f t="shared" si="1"/>
        <v>4. Very rapid education production - Less than 10 stock to grad</v>
      </c>
      <c r="K15" t="str">
        <f t="shared" si="2"/>
        <v>1. &lt;Q1 density</v>
      </c>
      <c r="AF15" s="49" t="s">
        <v>12</v>
      </c>
      <c r="AG15" s="49" t="s">
        <v>125</v>
      </c>
      <c r="AH15" t="s">
        <v>132</v>
      </c>
    </row>
    <row r="16" spans="1:35" x14ac:dyDescent="0.35">
      <c r="E16" t="s">
        <v>14</v>
      </c>
      <c r="F16" s="47">
        <v>27.930586305707227</v>
      </c>
      <c r="G16" s="1">
        <v>1649.6823759925792</v>
      </c>
      <c r="H16">
        <v>1729</v>
      </c>
      <c r="I16">
        <f t="shared" si="0"/>
        <v>0.95412514516632685</v>
      </c>
      <c r="J16" t="str">
        <f t="shared" si="1"/>
        <v>4. Very rapid education production - Less than 10 stock to grad</v>
      </c>
      <c r="K16" t="str">
        <f t="shared" si="2"/>
        <v>2. Q1-Median density</v>
      </c>
      <c r="AF16" t="s">
        <v>15</v>
      </c>
      <c r="AG16" t="s">
        <v>130</v>
      </c>
      <c r="AH16" t="s">
        <v>132</v>
      </c>
    </row>
    <row r="17" spans="5:34" x14ac:dyDescent="0.35">
      <c r="E17" t="s">
        <v>15</v>
      </c>
      <c r="F17" s="47">
        <v>38.107951184321514</v>
      </c>
      <c r="G17" s="1">
        <v>5305.8176475233076</v>
      </c>
      <c r="H17">
        <v>400</v>
      </c>
      <c r="I17">
        <f t="shared" si="0"/>
        <v>13.264544118808269</v>
      </c>
      <c r="J17" t="str">
        <f t="shared" si="1"/>
        <v>3. Rapid education production - 10 to 20 stock to grad</v>
      </c>
      <c r="K17" t="str">
        <f t="shared" si="2"/>
        <v>2. Q1-Median density</v>
      </c>
      <c r="AF17" t="s">
        <v>17</v>
      </c>
      <c r="AG17" t="s">
        <v>130</v>
      </c>
      <c r="AH17" t="s">
        <v>132</v>
      </c>
    </row>
    <row r="18" spans="5:34" x14ac:dyDescent="0.35">
      <c r="E18" t="s">
        <v>16</v>
      </c>
      <c r="F18" s="47">
        <v>140.19826135915432</v>
      </c>
      <c r="G18" s="1">
        <v>5929</v>
      </c>
      <c r="H18">
        <v>160</v>
      </c>
      <c r="I18">
        <f t="shared" si="0"/>
        <v>37.056249999999999</v>
      </c>
      <c r="J18" t="str">
        <f t="shared" si="1"/>
        <v>1. Very slow education production - 30 stock to grad and more</v>
      </c>
      <c r="K18" t="str">
        <f t="shared" si="2"/>
        <v>4. &gt;Q3 density</v>
      </c>
      <c r="AF18" t="s">
        <v>19</v>
      </c>
      <c r="AG18" t="s">
        <v>130</v>
      </c>
      <c r="AH18" t="s">
        <v>132</v>
      </c>
    </row>
    <row r="19" spans="5:34" x14ac:dyDescent="0.35">
      <c r="E19" t="s">
        <v>17</v>
      </c>
      <c r="F19" s="47">
        <v>33.829583652601642</v>
      </c>
      <c r="G19" s="1">
        <v>155003</v>
      </c>
      <c r="H19">
        <v>9412</v>
      </c>
      <c r="I19">
        <f t="shared" si="0"/>
        <v>16.468657033574161</v>
      </c>
      <c r="J19" t="str">
        <f t="shared" si="1"/>
        <v>3. Rapid education production - 10 to 20 stock to grad</v>
      </c>
      <c r="K19" t="str">
        <f t="shared" si="2"/>
        <v>2. Q1-Median density</v>
      </c>
      <c r="AF19" t="s">
        <v>34</v>
      </c>
      <c r="AG19" t="s">
        <v>130</v>
      </c>
      <c r="AH19" t="s">
        <v>132</v>
      </c>
    </row>
    <row r="20" spans="5:34" x14ac:dyDescent="0.35">
      <c r="E20" t="s">
        <v>18</v>
      </c>
      <c r="F20" s="47">
        <v>57.112151673993168</v>
      </c>
      <c r="G20" s="1">
        <v>6016.9896979221239</v>
      </c>
      <c r="H20">
        <v>141</v>
      </c>
      <c r="I20">
        <f t="shared" si="0"/>
        <v>42.673685800866124</v>
      </c>
      <c r="J20" t="str">
        <f t="shared" si="1"/>
        <v>1. Very slow education production - 30 stock to grad and more</v>
      </c>
      <c r="K20" t="str">
        <f t="shared" si="2"/>
        <v>3. Median-Q3 density</v>
      </c>
      <c r="AF20" t="s">
        <v>42</v>
      </c>
      <c r="AG20" t="s">
        <v>130</v>
      </c>
      <c r="AH20" t="s">
        <v>132</v>
      </c>
    </row>
    <row r="21" spans="5:34" x14ac:dyDescent="0.35">
      <c r="E21" t="s">
        <v>19</v>
      </c>
      <c r="F21" s="47">
        <v>34.171087572485987</v>
      </c>
      <c r="G21" s="1">
        <v>1703.270897043833</v>
      </c>
      <c r="H21">
        <v>160</v>
      </c>
      <c r="I21">
        <f t="shared" si="0"/>
        <v>10.645443106523956</v>
      </c>
      <c r="J21" t="str">
        <f t="shared" si="1"/>
        <v>3. Rapid education production - 10 to 20 stock to grad</v>
      </c>
      <c r="K21" t="str">
        <f t="shared" si="2"/>
        <v>2. Q1-Median density</v>
      </c>
      <c r="AF21" t="s">
        <v>43</v>
      </c>
      <c r="AG21" t="s">
        <v>130</v>
      </c>
      <c r="AH21" t="s">
        <v>132</v>
      </c>
    </row>
    <row r="22" spans="5:34" x14ac:dyDescent="0.35">
      <c r="E22" t="s">
        <v>20</v>
      </c>
      <c r="F22" s="47">
        <v>70.640914271306528</v>
      </c>
      <c r="G22" s="1">
        <v>128930.27697797566</v>
      </c>
      <c r="H22">
        <v>22837</v>
      </c>
      <c r="I22">
        <f t="shared" si="0"/>
        <v>5.6456748687645337</v>
      </c>
      <c r="J22" t="str">
        <f t="shared" si="1"/>
        <v>4. Very rapid education production - Less than 10 stock to grad</v>
      </c>
      <c r="K22" t="str">
        <f t="shared" si="2"/>
        <v>4. &gt;Q3 density</v>
      </c>
      <c r="AF22" t="s">
        <v>9</v>
      </c>
      <c r="AG22" t="s">
        <v>128</v>
      </c>
      <c r="AH22" t="s">
        <v>132</v>
      </c>
    </row>
    <row r="23" spans="5:34" x14ac:dyDescent="0.35">
      <c r="E23" t="s">
        <v>21</v>
      </c>
      <c r="F23" s="47">
        <v>17.813553305551778</v>
      </c>
      <c r="G23" s="1">
        <v>5360.3288771104162</v>
      </c>
      <c r="H23">
        <v>1731</v>
      </c>
      <c r="I23">
        <f t="shared" si="0"/>
        <v>3.096666017972511</v>
      </c>
      <c r="J23" t="str">
        <f t="shared" si="1"/>
        <v>4. Very rapid education production - Less than 10 stock to grad</v>
      </c>
      <c r="K23" t="str">
        <f t="shared" si="2"/>
        <v>1. &lt;Q1 density</v>
      </c>
      <c r="AF23" t="s">
        <v>14</v>
      </c>
      <c r="AG23" t="s">
        <v>128</v>
      </c>
      <c r="AH23" t="s">
        <v>132</v>
      </c>
    </row>
    <row r="24" spans="5:34" x14ac:dyDescent="0.35">
      <c r="E24" t="s">
        <v>22</v>
      </c>
      <c r="F24" s="47">
        <v>43.637164811660909</v>
      </c>
      <c r="G24" s="1">
        <v>2409.8737642585552</v>
      </c>
      <c r="I24">
        <f t="shared" si="0"/>
        <v>22.857935830441416</v>
      </c>
      <c r="J24" t="str">
        <f t="shared" si="1"/>
        <v>2. Slow education production - 20 to 30 stock to grad</v>
      </c>
      <c r="K24" t="str">
        <f t="shared" si="2"/>
        <v>3. Median-Q3 density</v>
      </c>
      <c r="AF24" t="s">
        <v>37</v>
      </c>
      <c r="AG24" t="s">
        <v>128</v>
      </c>
      <c r="AH24" t="s">
        <v>132</v>
      </c>
    </row>
    <row r="25" spans="5:34" x14ac:dyDescent="0.35">
      <c r="E25" t="s">
        <v>23</v>
      </c>
      <c r="F25" s="47">
        <v>52.761765904512501</v>
      </c>
      <c r="G25" s="1">
        <v>122451</v>
      </c>
      <c r="H25">
        <v>1628</v>
      </c>
      <c r="I25">
        <f t="shared" si="0"/>
        <v>75.215601965601962</v>
      </c>
      <c r="J25" t="str">
        <f t="shared" si="1"/>
        <v>1. Very slow education production - 30 stock to grad and more</v>
      </c>
      <c r="K25" t="str">
        <f t="shared" si="2"/>
        <v>3. Median-Q3 density</v>
      </c>
      <c r="AF25" t="s">
        <v>18</v>
      </c>
      <c r="AG25" t="s">
        <v>131</v>
      </c>
      <c r="AH25" t="s">
        <v>127</v>
      </c>
    </row>
    <row r="26" spans="5:34" x14ac:dyDescent="0.35">
      <c r="E26" t="s">
        <v>24</v>
      </c>
      <c r="F26" s="47">
        <v>125.68172362603974</v>
      </c>
      <c r="G26" s="1">
        <v>1772.0899117026884</v>
      </c>
      <c r="H26">
        <v>384</v>
      </c>
      <c r="I26">
        <f t="shared" si="0"/>
        <v>4.6148174783924176</v>
      </c>
      <c r="J26" t="str">
        <f t="shared" si="1"/>
        <v>4. Very rapid education production - Less than 10 stock to grad</v>
      </c>
      <c r="K26" t="str">
        <f t="shared" si="2"/>
        <v>4. &gt;Q3 density</v>
      </c>
      <c r="AF26" t="s">
        <v>23</v>
      </c>
      <c r="AG26" t="s">
        <v>131</v>
      </c>
      <c r="AH26" t="s">
        <v>127</v>
      </c>
    </row>
    <row r="27" spans="5:34" x14ac:dyDescent="0.35">
      <c r="E27" t="s">
        <v>25</v>
      </c>
      <c r="F27" s="47">
        <v>57.003752262980719</v>
      </c>
      <c r="G27" s="1">
        <v>5377.7952883834278</v>
      </c>
      <c r="H27">
        <v>92</v>
      </c>
      <c r="I27">
        <f t="shared" si="0"/>
        <v>58.454296612863345</v>
      </c>
      <c r="J27" t="str">
        <f t="shared" si="1"/>
        <v>1. Very slow education production - 30 stock to grad and more</v>
      </c>
      <c r="K27" t="str">
        <f t="shared" si="2"/>
        <v>3. Median-Q3 density</v>
      </c>
      <c r="AF27" t="s">
        <v>25</v>
      </c>
      <c r="AG27" t="s">
        <v>131</v>
      </c>
      <c r="AH27" t="s">
        <v>127</v>
      </c>
    </row>
    <row r="28" spans="5:34" x14ac:dyDescent="0.35">
      <c r="E28" t="s">
        <v>26</v>
      </c>
      <c r="F28" s="47">
        <v>21.968767905514429</v>
      </c>
      <c r="G28" s="1">
        <v>9790</v>
      </c>
      <c r="H28">
        <v>2856</v>
      </c>
      <c r="I28">
        <f t="shared" si="0"/>
        <v>3.4278711484593836</v>
      </c>
      <c r="J28" t="str">
        <f t="shared" si="1"/>
        <v>4. Very rapid education production - Less than 10 stock to grad</v>
      </c>
      <c r="K28" t="str">
        <f t="shared" si="2"/>
        <v>1. &lt;Q1 density</v>
      </c>
      <c r="AF28" t="s">
        <v>29</v>
      </c>
      <c r="AG28" t="s">
        <v>131</v>
      </c>
      <c r="AH28" t="s">
        <v>127</v>
      </c>
    </row>
    <row r="29" spans="5:34" x14ac:dyDescent="0.35">
      <c r="E29" t="s">
        <v>27</v>
      </c>
      <c r="F29" s="47">
        <v>18.931285154211427</v>
      </c>
      <c r="G29" s="1">
        <v>10695.563775185577</v>
      </c>
      <c r="H29">
        <v>501</v>
      </c>
      <c r="I29">
        <f t="shared" si="0"/>
        <v>21.348430688993169</v>
      </c>
      <c r="J29" t="str">
        <f t="shared" si="1"/>
        <v>2. Slow education production - 20 to 30 stock to grad</v>
      </c>
      <c r="K29" t="str">
        <f t="shared" si="2"/>
        <v>1. &lt;Q1 density</v>
      </c>
      <c r="AF29" t="s">
        <v>35</v>
      </c>
      <c r="AG29" t="s">
        <v>131</v>
      </c>
      <c r="AH29" t="s">
        <v>127</v>
      </c>
    </row>
    <row r="30" spans="5:34" x14ac:dyDescent="0.35">
      <c r="E30" t="s">
        <v>28</v>
      </c>
      <c r="F30" s="47">
        <v>16.946843842481947</v>
      </c>
      <c r="G30" s="1">
        <v>10729</v>
      </c>
      <c r="I30">
        <f t="shared" si="0"/>
        <v>22.857935830441416</v>
      </c>
      <c r="J30" t="str">
        <f t="shared" si="1"/>
        <v>2. Slow education production - 20 to 30 stock to grad</v>
      </c>
      <c r="K30" t="str">
        <f t="shared" si="2"/>
        <v>1. &lt;Q1 density</v>
      </c>
      <c r="AF30" t="s">
        <v>2</v>
      </c>
      <c r="AG30" t="s">
        <v>125</v>
      </c>
      <c r="AH30" t="s">
        <v>127</v>
      </c>
    </row>
    <row r="31" spans="5:34" x14ac:dyDescent="0.35">
      <c r="E31" t="s">
        <v>29</v>
      </c>
      <c r="F31" s="47">
        <v>43.978835355257424</v>
      </c>
      <c r="G31" s="1">
        <v>7776.0346943092873</v>
      </c>
      <c r="H31">
        <v>113</v>
      </c>
      <c r="I31">
        <f t="shared" si="0"/>
        <v>68.81446632132112</v>
      </c>
      <c r="J31" t="str">
        <f t="shared" si="1"/>
        <v>1. Very slow education production - 30 stock to grad and more</v>
      </c>
      <c r="K31" t="str">
        <f t="shared" si="2"/>
        <v>3. Median-Q3 density</v>
      </c>
      <c r="AF31" t="s">
        <v>22</v>
      </c>
      <c r="AG31" t="s">
        <v>125</v>
      </c>
      <c r="AH31" t="s">
        <v>127</v>
      </c>
    </row>
    <row r="32" spans="5:34" x14ac:dyDescent="0.35">
      <c r="E32" t="s">
        <v>30</v>
      </c>
      <c r="F32" s="47">
        <v>117.20284698003086</v>
      </c>
      <c r="G32" s="1">
        <v>6432.5342419766348</v>
      </c>
      <c r="H32">
        <v>607</v>
      </c>
      <c r="I32">
        <f t="shared" si="0"/>
        <v>10.597255752844539</v>
      </c>
      <c r="J32" t="str">
        <f t="shared" si="1"/>
        <v>3. Rapid education production - 10 to 20 stock to grad</v>
      </c>
      <c r="K32" t="str">
        <f t="shared" si="2"/>
        <v>4. &gt;Q3 density</v>
      </c>
      <c r="AF32" t="s">
        <v>36</v>
      </c>
      <c r="AG32" t="s">
        <v>125</v>
      </c>
      <c r="AH32" t="s">
        <v>127</v>
      </c>
    </row>
    <row r="33" spans="5:34" x14ac:dyDescent="0.35">
      <c r="E33" t="s">
        <v>31</v>
      </c>
      <c r="F33" s="47">
        <v>54.608508445493854</v>
      </c>
      <c r="G33" s="1">
        <v>22887</v>
      </c>
      <c r="H33">
        <v>1399</v>
      </c>
      <c r="I33">
        <f t="shared" si="0"/>
        <v>16.359542530378842</v>
      </c>
      <c r="J33" t="str">
        <f t="shared" si="1"/>
        <v>3. Rapid education production - 10 to 20 stock to grad</v>
      </c>
      <c r="K33" t="str">
        <f t="shared" si="2"/>
        <v>3. Median-Q3 density</v>
      </c>
      <c r="AF33" t="s">
        <v>31</v>
      </c>
      <c r="AG33" t="s">
        <v>130</v>
      </c>
      <c r="AH33" t="s">
        <v>127</v>
      </c>
    </row>
    <row r="34" spans="5:34" x14ac:dyDescent="0.35">
      <c r="E34" t="s">
        <v>32</v>
      </c>
      <c r="F34" s="47">
        <v>105.35216319078796</v>
      </c>
      <c r="G34" s="1">
        <v>17155.321723868954</v>
      </c>
      <c r="H34">
        <v>675</v>
      </c>
      <c r="I34">
        <f t="shared" si="0"/>
        <v>25.415291442768822</v>
      </c>
      <c r="J34" t="str">
        <f t="shared" si="1"/>
        <v>2. Slow education production - 20 to 30 stock to grad</v>
      </c>
      <c r="K34" t="str">
        <f t="shared" si="2"/>
        <v>4. &gt;Q3 density</v>
      </c>
      <c r="AF34" t="s">
        <v>45</v>
      </c>
      <c r="AG34" t="s">
        <v>130</v>
      </c>
      <c r="AH34" t="s">
        <v>127</v>
      </c>
    </row>
    <row r="35" spans="5:34" x14ac:dyDescent="0.35">
      <c r="E35" t="s">
        <v>33</v>
      </c>
      <c r="F35" s="47">
        <v>4.955848322257995</v>
      </c>
      <c r="G35" s="1">
        <v>5270.6693676127352</v>
      </c>
      <c r="H35">
        <v>675</v>
      </c>
      <c r="I35">
        <f t="shared" si="0"/>
        <v>7.8083990631299782</v>
      </c>
      <c r="J35" t="str">
        <f t="shared" si="1"/>
        <v>4. Very rapid education production - Less than 10 stock to grad</v>
      </c>
      <c r="K35" t="str">
        <f t="shared" si="2"/>
        <v>1. &lt;Q1 density</v>
      </c>
      <c r="AF35" s="50" t="s">
        <v>6</v>
      </c>
      <c r="AG35" s="50" t="s">
        <v>128</v>
      </c>
      <c r="AH35" t="s">
        <v>127</v>
      </c>
    </row>
    <row r="36" spans="5:34" x14ac:dyDescent="0.35">
      <c r="E36" t="s">
        <v>34</v>
      </c>
      <c r="F36" s="47">
        <v>36.583982353138666</v>
      </c>
      <c r="G36" s="1">
        <v>306862</v>
      </c>
      <c r="H36">
        <v>17175</v>
      </c>
      <c r="I36">
        <f t="shared" si="0"/>
        <v>17.866783114992721</v>
      </c>
      <c r="J36" t="str">
        <f t="shared" si="1"/>
        <v>3. Rapid education production - 10 to 20 stock to grad</v>
      </c>
      <c r="K36" t="str">
        <f t="shared" si="2"/>
        <v>2. Q1-Median density</v>
      </c>
      <c r="AF36" s="50" t="s">
        <v>39</v>
      </c>
      <c r="AG36" s="50" t="s">
        <v>128</v>
      </c>
      <c r="AH36" t="s">
        <v>127</v>
      </c>
    </row>
    <row r="37" spans="5:34" x14ac:dyDescent="0.35">
      <c r="E37" t="s">
        <v>35</v>
      </c>
      <c r="F37" s="47">
        <v>59.624042517676429</v>
      </c>
      <c r="G37" s="1">
        <v>15149.239749316621</v>
      </c>
      <c r="H37">
        <v>366</v>
      </c>
      <c r="I37">
        <f t="shared" si="0"/>
        <v>41.391365435291313</v>
      </c>
      <c r="J37" t="str">
        <f t="shared" si="1"/>
        <v>1. Very slow education production - 30 stock to grad and more</v>
      </c>
      <c r="K37" t="str">
        <f t="shared" si="2"/>
        <v>3. Median-Q3 density</v>
      </c>
      <c r="AF37" t="s">
        <v>16</v>
      </c>
      <c r="AG37" t="s">
        <v>131</v>
      </c>
      <c r="AH37" t="s">
        <v>126</v>
      </c>
    </row>
    <row r="38" spans="5:34" x14ac:dyDescent="0.35">
      <c r="E38" t="s">
        <v>36</v>
      </c>
      <c r="F38" s="47">
        <v>63.393220513883151</v>
      </c>
      <c r="G38" s="1">
        <v>545</v>
      </c>
      <c r="I38">
        <f t="shared" si="0"/>
        <v>22.857935830441416</v>
      </c>
      <c r="J38" t="str">
        <f t="shared" si="1"/>
        <v>2. Slow education production - 20 to 30 stock to grad</v>
      </c>
      <c r="K38" t="str">
        <f t="shared" si="2"/>
        <v>3. Median-Q3 density</v>
      </c>
      <c r="AF38" t="s">
        <v>38</v>
      </c>
      <c r="AG38" t="s">
        <v>131</v>
      </c>
      <c r="AH38" t="s">
        <v>126</v>
      </c>
    </row>
    <row r="39" spans="5:34" x14ac:dyDescent="0.35">
      <c r="E39" t="s">
        <v>37</v>
      </c>
      <c r="F39" s="47">
        <v>23.796885847380697</v>
      </c>
      <c r="G39" s="1">
        <v>7297.8623058327948</v>
      </c>
      <c r="H39">
        <v>1016</v>
      </c>
      <c r="I39">
        <f t="shared" si="0"/>
        <v>7.1829353403866092</v>
      </c>
      <c r="J39" t="str">
        <f t="shared" si="1"/>
        <v>4. Very rapid education production - Less than 10 stock to grad</v>
      </c>
      <c r="K39" t="str">
        <f t="shared" si="2"/>
        <v>2. Q1-Median density</v>
      </c>
      <c r="AF39" t="s">
        <v>40</v>
      </c>
      <c r="AG39" t="s">
        <v>131</v>
      </c>
      <c r="AH39" t="s">
        <v>126</v>
      </c>
    </row>
    <row r="40" spans="5:34" x14ac:dyDescent="0.35">
      <c r="E40" t="s">
        <v>38</v>
      </c>
      <c r="F40" s="47">
        <v>296.4662893379861</v>
      </c>
      <c r="G40" s="1">
        <v>2105</v>
      </c>
      <c r="H40">
        <v>50</v>
      </c>
      <c r="I40">
        <f t="shared" si="0"/>
        <v>42.1</v>
      </c>
      <c r="J40" t="str">
        <f t="shared" si="1"/>
        <v>1. Very slow education production - 30 stock to grad and more</v>
      </c>
      <c r="K40" t="str">
        <f t="shared" si="2"/>
        <v>4. &gt;Q3 density</v>
      </c>
      <c r="AF40" t="s">
        <v>46</v>
      </c>
      <c r="AG40" t="s">
        <v>131</v>
      </c>
      <c r="AH40" t="s">
        <v>126</v>
      </c>
    </row>
    <row r="41" spans="5:34" x14ac:dyDescent="0.35">
      <c r="E41" t="s">
        <v>39</v>
      </c>
      <c r="F41" s="47">
        <v>45.477301239981145</v>
      </c>
      <c r="G41" s="1">
        <v>16772</v>
      </c>
      <c r="H41">
        <v>1972</v>
      </c>
      <c r="I41">
        <f t="shared" si="0"/>
        <v>8.5050709939148081</v>
      </c>
      <c r="J41" t="str">
        <f t="shared" si="1"/>
        <v>4. Very rapid education production - Less than 10 stock to grad</v>
      </c>
      <c r="K41" t="str">
        <f t="shared" si="2"/>
        <v>3. Median-Q3 density</v>
      </c>
      <c r="AF41" t="s">
        <v>1</v>
      </c>
      <c r="AG41" t="s">
        <v>125</v>
      </c>
      <c r="AH41" t="s">
        <v>126</v>
      </c>
    </row>
    <row r="42" spans="5:34" x14ac:dyDescent="0.35">
      <c r="E42" t="s">
        <v>40</v>
      </c>
      <c r="F42" s="47">
        <v>110.14054068074168</v>
      </c>
      <c r="G42" s="1">
        <v>445282.24962174537</v>
      </c>
      <c r="H42">
        <v>4152</v>
      </c>
      <c r="I42">
        <f t="shared" si="0"/>
        <v>107.24524316516025</v>
      </c>
      <c r="J42" t="str">
        <f t="shared" si="1"/>
        <v>1. Very slow education production - 30 stock to grad and more</v>
      </c>
      <c r="K42" t="str">
        <f t="shared" si="2"/>
        <v>4. &gt;Q3 density</v>
      </c>
      <c r="AF42" t="s">
        <v>70</v>
      </c>
      <c r="AG42" t="s">
        <v>125</v>
      </c>
      <c r="AH42" t="s">
        <v>126</v>
      </c>
    </row>
    <row r="43" spans="5:34" x14ac:dyDescent="0.35">
      <c r="E43" t="s">
        <v>41</v>
      </c>
      <c r="F43" s="47">
        <v>19.70458233636975</v>
      </c>
      <c r="G43" s="1">
        <v>4986</v>
      </c>
      <c r="H43">
        <v>241</v>
      </c>
      <c r="I43">
        <f t="shared" si="0"/>
        <v>20.688796680497926</v>
      </c>
      <c r="J43" t="str">
        <f t="shared" si="1"/>
        <v>2. Slow education production - 20 to 30 stock to grad</v>
      </c>
      <c r="K43" t="str">
        <f t="shared" si="2"/>
        <v>1. &lt;Q1 density</v>
      </c>
      <c r="AF43" t="s">
        <v>32</v>
      </c>
      <c r="AG43" t="s">
        <v>125</v>
      </c>
      <c r="AH43" t="s">
        <v>126</v>
      </c>
    </row>
    <row r="44" spans="5:34" x14ac:dyDescent="0.35">
      <c r="E44" t="s">
        <v>42</v>
      </c>
      <c r="F44" s="47">
        <v>28.683351968574311</v>
      </c>
      <c r="G44" s="1">
        <v>40633</v>
      </c>
      <c r="H44">
        <v>3250</v>
      </c>
      <c r="I44">
        <f t="shared" si="0"/>
        <v>12.502461538461539</v>
      </c>
      <c r="J44" t="str">
        <f t="shared" si="1"/>
        <v>3. Rapid education production - 10 to 20 stock to grad</v>
      </c>
      <c r="K44" t="str">
        <f t="shared" si="2"/>
        <v>2. Q1-Median density</v>
      </c>
      <c r="AF44" s="50" t="s">
        <v>4</v>
      </c>
      <c r="AG44" s="50" t="s">
        <v>130</v>
      </c>
      <c r="AH44" t="s">
        <v>126</v>
      </c>
    </row>
    <row r="45" spans="5:34" x14ac:dyDescent="0.35">
      <c r="E45" t="s">
        <v>43</v>
      </c>
      <c r="F45" s="47">
        <v>30.235229462209936</v>
      </c>
      <c r="G45" s="1">
        <v>3360</v>
      </c>
      <c r="H45">
        <v>317</v>
      </c>
      <c r="I45">
        <f t="shared" si="0"/>
        <v>10.599369085173501</v>
      </c>
      <c r="J45" t="str">
        <f t="shared" si="1"/>
        <v>3. Rapid education production - 10 to 20 stock to grad</v>
      </c>
      <c r="K45" t="str">
        <f t="shared" si="2"/>
        <v>2. Q1-Median density</v>
      </c>
      <c r="AF45" s="50" t="s">
        <v>30</v>
      </c>
      <c r="AG45" s="50" t="s">
        <v>130</v>
      </c>
      <c r="AH45" t="s">
        <v>126</v>
      </c>
    </row>
    <row r="46" spans="5:34" x14ac:dyDescent="0.35">
      <c r="E46" t="s">
        <v>44</v>
      </c>
      <c r="F46" s="47">
        <v>70.939806529751905</v>
      </c>
      <c r="G46" s="1">
        <v>83248.781327967808</v>
      </c>
      <c r="H46">
        <v>15998</v>
      </c>
      <c r="I46">
        <f t="shared" si="0"/>
        <v>5.2036992954099146</v>
      </c>
      <c r="J46" t="str">
        <f t="shared" si="1"/>
        <v>4. Very rapid education production - Less than 10 stock to grad</v>
      </c>
      <c r="K46" t="str">
        <f t="shared" si="2"/>
        <v>4. &gt;Q3 density</v>
      </c>
      <c r="AF46" s="50" t="s">
        <v>20</v>
      </c>
      <c r="AG46" s="50" t="s">
        <v>128</v>
      </c>
      <c r="AH46" t="s">
        <v>126</v>
      </c>
    </row>
    <row r="47" spans="5:34" x14ac:dyDescent="0.35">
      <c r="E47" t="s">
        <v>45</v>
      </c>
      <c r="F47" s="47">
        <v>55.939473332937403</v>
      </c>
      <c r="G47" s="1">
        <v>56506</v>
      </c>
      <c r="H47">
        <v>5372</v>
      </c>
      <c r="I47">
        <f t="shared" si="0"/>
        <v>10.51861504095309</v>
      </c>
      <c r="J47" t="str">
        <f t="shared" si="1"/>
        <v>3. Rapid education production - 10 to 20 stock to grad</v>
      </c>
      <c r="K47" t="str">
        <f t="shared" si="2"/>
        <v>3. Median-Q3 density</v>
      </c>
      <c r="AF47" s="50" t="s">
        <v>24</v>
      </c>
      <c r="AG47" s="50" t="s">
        <v>128</v>
      </c>
      <c r="AH47" t="s">
        <v>126</v>
      </c>
    </row>
    <row r="48" spans="5:34" x14ac:dyDescent="0.35">
      <c r="E48" t="s">
        <v>46</v>
      </c>
      <c r="F48" s="47">
        <v>64.042986580794391</v>
      </c>
      <c r="G48" s="1">
        <v>49668.598365533384</v>
      </c>
      <c r="H48">
        <v>1365</v>
      </c>
      <c r="I48">
        <f t="shared" si="0"/>
        <v>36.387251549841309</v>
      </c>
      <c r="J48" t="str">
        <f t="shared" si="1"/>
        <v>1. Very slow education production - 30 stock to grad and more</v>
      </c>
      <c r="K48" t="str">
        <f t="shared" si="2"/>
        <v>4. &gt;Q3 density</v>
      </c>
      <c r="AF48" s="50" t="s">
        <v>44</v>
      </c>
      <c r="AG48" s="50" t="s">
        <v>128</v>
      </c>
      <c r="AH48" t="s">
        <v>126</v>
      </c>
    </row>
    <row r="52" spans="8:32" x14ac:dyDescent="0.35">
      <c r="H52" t="s">
        <v>103</v>
      </c>
      <c r="I52">
        <v>22.857935830441416</v>
      </c>
    </row>
    <row r="53" spans="8:32" x14ac:dyDescent="0.35">
      <c r="K53" t="s">
        <v>107</v>
      </c>
      <c r="L53" t="s">
        <v>105</v>
      </c>
      <c r="M53">
        <v>35</v>
      </c>
      <c r="N53" t="s">
        <v>106</v>
      </c>
      <c r="T53">
        <v>9</v>
      </c>
      <c r="AA53">
        <v>16</v>
      </c>
    </row>
    <row r="54" spans="8:32" x14ac:dyDescent="0.35">
      <c r="J54">
        <v>10</v>
      </c>
      <c r="K54" t="s">
        <v>108</v>
      </c>
      <c r="L54">
        <v>100</v>
      </c>
      <c r="M54">
        <f>L54+L54/$J54</f>
        <v>110</v>
      </c>
      <c r="N54">
        <f t="shared" ref="N54:AB54" si="3">M54+M54/$J54</f>
        <v>121</v>
      </c>
      <c r="O54">
        <f t="shared" si="3"/>
        <v>133.1</v>
      </c>
      <c r="P54">
        <f t="shared" si="3"/>
        <v>146.41</v>
      </c>
      <c r="Q54">
        <f t="shared" si="3"/>
        <v>161.05099999999999</v>
      </c>
      <c r="R54">
        <f t="shared" si="3"/>
        <v>177.15609999999998</v>
      </c>
      <c r="S54">
        <f t="shared" si="3"/>
        <v>194.87170999999998</v>
      </c>
      <c r="T54">
        <f t="shared" si="3"/>
        <v>214.35888099999997</v>
      </c>
      <c r="U54">
        <f t="shared" si="3"/>
        <v>235.79476909999997</v>
      </c>
      <c r="V54">
        <f t="shared" si="3"/>
        <v>259.37424600999998</v>
      </c>
      <c r="W54">
        <f t="shared" si="3"/>
        <v>285.31167061099995</v>
      </c>
      <c r="X54">
        <f t="shared" si="3"/>
        <v>313.84283767209996</v>
      </c>
      <c r="Y54">
        <f t="shared" si="3"/>
        <v>345.22712143930994</v>
      </c>
      <c r="Z54">
        <f t="shared" si="3"/>
        <v>379.74983358324096</v>
      </c>
      <c r="AA54">
        <f t="shared" si="3"/>
        <v>417.72481694156505</v>
      </c>
      <c r="AB54">
        <f t="shared" si="3"/>
        <v>459.49729863572156</v>
      </c>
      <c r="AC54">
        <f t="shared" ref="AC54:AE54" si="4">AB54+AB54/$J54</f>
        <v>505.44702849929371</v>
      </c>
      <c r="AD54">
        <f t="shared" si="4"/>
        <v>555.99173134922307</v>
      </c>
      <c r="AE54">
        <f t="shared" si="4"/>
        <v>611.59090448414543</v>
      </c>
      <c r="AF54">
        <f>AE54+AE54/$J54</f>
        <v>672.74999493255996</v>
      </c>
    </row>
    <row r="55" spans="8:32" x14ac:dyDescent="0.35">
      <c r="J55">
        <v>20</v>
      </c>
      <c r="K55" t="s">
        <v>109</v>
      </c>
      <c r="L55">
        <v>100</v>
      </c>
      <c r="M55">
        <f t="shared" ref="M55:AB55" si="5">L55+L55/$J55</f>
        <v>105</v>
      </c>
      <c r="N55">
        <f t="shared" si="5"/>
        <v>110.25</v>
      </c>
      <c r="O55">
        <f t="shared" si="5"/>
        <v>115.7625</v>
      </c>
      <c r="P55">
        <f t="shared" si="5"/>
        <v>121.550625</v>
      </c>
      <c r="Q55">
        <f t="shared" si="5"/>
        <v>127.62815624999999</v>
      </c>
      <c r="R55">
        <f t="shared" si="5"/>
        <v>134.00956406249998</v>
      </c>
      <c r="S55">
        <f t="shared" si="5"/>
        <v>140.71004226562496</v>
      </c>
      <c r="T55">
        <f t="shared" si="5"/>
        <v>147.7455443789062</v>
      </c>
      <c r="U55">
        <f t="shared" si="5"/>
        <v>155.13282159785152</v>
      </c>
      <c r="V55">
        <f t="shared" si="5"/>
        <v>162.88946267774409</v>
      </c>
      <c r="W55">
        <f t="shared" si="5"/>
        <v>171.0339358116313</v>
      </c>
      <c r="X55">
        <f t="shared" si="5"/>
        <v>179.58563260221285</v>
      </c>
      <c r="Y55">
        <f t="shared" si="5"/>
        <v>188.5649142323235</v>
      </c>
      <c r="Z55">
        <f t="shared" si="5"/>
        <v>197.99315994393967</v>
      </c>
      <c r="AA55">
        <f t="shared" si="5"/>
        <v>207.89281794113666</v>
      </c>
      <c r="AB55">
        <f t="shared" si="5"/>
        <v>218.28745883819349</v>
      </c>
      <c r="AC55">
        <f t="shared" ref="AC55:AE55" si="6">AB55+AB55/$J55</f>
        <v>229.20183178010316</v>
      </c>
      <c r="AD55">
        <f t="shared" si="6"/>
        <v>240.66192336910831</v>
      </c>
      <c r="AE55">
        <f t="shared" si="6"/>
        <v>252.69501953756372</v>
      </c>
      <c r="AF55">
        <f>AE55+AE55/$J55</f>
        <v>265.32977051444192</v>
      </c>
    </row>
    <row r="56" spans="8:32" x14ac:dyDescent="0.35">
      <c r="J56">
        <v>30</v>
      </c>
      <c r="K56" t="s">
        <v>110</v>
      </c>
      <c r="L56">
        <v>100</v>
      </c>
      <c r="M56">
        <f t="shared" ref="M56:AB56" si="7">L56+L56/$J56</f>
        <v>103.33333333333333</v>
      </c>
      <c r="N56">
        <f t="shared" si="7"/>
        <v>106.77777777777777</v>
      </c>
      <c r="O56">
        <f t="shared" si="7"/>
        <v>110.33703703703704</v>
      </c>
      <c r="P56">
        <f t="shared" si="7"/>
        <v>114.01493827160493</v>
      </c>
      <c r="Q56">
        <f t="shared" si="7"/>
        <v>117.81543621399176</v>
      </c>
      <c r="R56">
        <f t="shared" si="7"/>
        <v>121.74261742112482</v>
      </c>
      <c r="S56">
        <f t="shared" si="7"/>
        <v>125.80070466849564</v>
      </c>
      <c r="T56">
        <f t="shared" si="7"/>
        <v>129.99406149077882</v>
      </c>
      <c r="U56">
        <f t="shared" si="7"/>
        <v>134.32719687380478</v>
      </c>
      <c r="V56">
        <f t="shared" si="7"/>
        <v>138.8047701029316</v>
      </c>
      <c r="W56">
        <f t="shared" si="7"/>
        <v>143.43159577302933</v>
      </c>
      <c r="X56">
        <f t="shared" si="7"/>
        <v>148.21264896546364</v>
      </c>
      <c r="Y56">
        <f t="shared" si="7"/>
        <v>153.15307059764575</v>
      </c>
      <c r="Z56">
        <f t="shared" si="7"/>
        <v>158.25817295090062</v>
      </c>
      <c r="AA56">
        <f t="shared" si="7"/>
        <v>163.53344538259731</v>
      </c>
      <c r="AB56">
        <f t="shared" si="7"/>
        <v>168.98456022868388</v>
      </c>
      <c r="AC56">
        <f t="shared" ref="AC56:AE56" si="8">AB56+AB56/$J56</f>
        <v>174.61737890297334</v>
      </c>
      <c r="AD56">
        <f t="shared" si="8"/>
        <v>180.43795819973911</v>
      </c>
      <c r="AE56">
        <f t="shared" si="8"/>
        <v>186.4525568063971</v>
      </c>
      <c r="AF56">
        <f>AE56+AE56/$J56</f>
        <v>192.66764203327699</v>
      </c>
    </row>
  </sheetData>
  <sortState xmlns:xlrd2="http://schemas.microsoft.com/office/spreadsheetml/2017/richdata2" ref="AF2:AH48">
    <sortCondition ref="AH2:AH48"/>
    <sortCondition ref="AG2:AG48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6C29-39A2-4AB4-8CF4-E3CAC49AB1BC}">
  <dimension ref="A3:F9"/>
  <sheetViews>
    <sheetView workbookViewId="0">
      <selection activeCell="C38" sqref="C38"/>
    </sheetView>
  </sheetViews>
  <sheetFormatPr defaultColWidth="8.81640625" defaultRowHeight="14.5" x14ac:dyDescent="0.35"/>
  <cols>
    <col min="1" max="1" width="54.81640625" bestFit="1" customWidth="1"/>
    <col min="2" max="2" width="16.26953125" bestFit="1" customWidth="1"/>
    <col min="3" max="3" width="11.36328125" bestFit="1" customWidth="1"/>
    <col min="4" max="5" width="18.26953125" bestFit="1" customWidth="1"/>
    <col min="6" max="6" width="11.26953125" bestFit="1" customWidth="1"/>
  </cols>
  <sheetData>
    <row r="3" spans="1:6" x14ac:dyDescent="0.35">
      <c r="A3" s="48" t="s">
        <v>113</v>
      </c>
      <c r="B3" s="48" t="s">
        <v>120</v>
      </c>
    </row>
    <row r="4" spans="1:6" x14ac:dyDescent="0.35">
      <c r="A4" s="48" t="s">
        <v>114</v>
      </c>
      <c r="B4" t="s">
        <v>121</v>
      </c>
      <c r="C4" t="s">
        <v>122</v>
      </c>
      <c r="D4" t="s">
        <v>123</v>
      </c>
      <c r="E4" t="s">
        <v>124</v>
      </c>
      <c r="F4" t="s">
        <v>119</v>
      </c>
    </row>
    <row r="5" spans="1:6" x14ac:dyDescent="0.35">
      <c r="A5" s="26" t="s">
        <v>115</v>
      </c>
      <c r="C5">
        <v>2</v>
      </c>
      <c r="D5">
        <v>2</v>
      </c>
      <c r="E5">
        <v>6</v>
      </c>
      <c r="F5">
        <v>10</v>
      </c>
    </row>
    <row r="6" spans="1:6" x14ac:dyDescent="0.35">
      <c r="A6" s="26" t="s">
        <v>116</v>
      </c>
      <c r="B6">
        <v>3</v>
      </c>
      <c r="C6">
        <v>3</v>
      </c>
      <c r="D6">
        <v>3</v>
      </c>
      <c r="E6">
        <v>2</v>
      </c>
      <c r="F6">
        <v>11</v>
      </c>
    </row>
    <row r="7" spans="1:6" x14ac:dyDescent="0.35">
      <c r="A7" s="26" t="s">
        <v>117</v>
      </c>
      <c r="B7">
        <v>7</v>
      </c>
      <c r="C7">
        <v>3</v>
      </c>
      <c r="D7">
        <v>2</v>
      </c>
      <c r="E7">
        <v>3</v>
      </c>
      <c r="F7">
        <v>15</v>
      </c>
    </row>
    <row r="8" spans="1:6" x14ac:dyDescent="0.35">
      <c r="A8" s="26" t="s">
        <v>118</v>
      </c>
      <c r="B8">
        <v>2</v>
      </c>
      <c r="C8">
        <v>4</v>
      </c>
      <c r="D8">
        <v>5</v>
      </c>
      <c r="F8">
        <v>11</v>
      </c>
    </row>
    <row r="9" spans="1:6" x14ac:dyDescent="0.35">
      <c r="A9" s="26" t="s">
        <v>119</v>
      </c>
      <c r="B9">
        <v>12</v>
      </c>
      <c r="C9">
        <v>12</v>
      </c>
      <c r="D9">
        <v>12</v>
      </c>
      <c r="E9">
        <v>11</v>
      </c>
      <c r="F9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34CE-CF57-4EEA-B933-6D0D447FDD60}">
  <dimension ref="A1:AI56"/>
  <sheetViews>
    <sheetView topLeftCell="W1" workbookViewId="0">
      <selection activeCell="F1" sqref="F1"/>
    </sheetView>
  </sheetViews>
  <sheetFormatPr defaultColWidth="8.81640625" defaultRowHeight="14.5" x14ac:dyDescent="0.35"/>
  <cols>
    <col min="5" max="5" width="21" bestFit="1" customWidth="1"/>
    <col min="6" max="6" width="10.36328125" bestFit="1" customWidth="1"/>
    <col min="9" max="9" width="21" bestFit="1" customWidth="1"/>
    <col min="10" max="10" width="53.36328125" bestFit="1" customWidth="1"/>
    <col min="32" max="32" width="21" bestFit="1" customWidth="1"/>
    <col min="33" max="33" width="56.81640625" bestFit="1" customWidth="1"/>
    <col min="34" max="34" width="20.08984375" bestFit="1" customWidth="1"/>
  </cols>
  <sheetData>
    <row r="1" spans="1:35" x14ac:dyDescent="0.35">
      <c r="A1" t="s">
        <v>98</v>
      </c>
      <c r="E1" t="s">
        <v>0</v>
      </c>
      <c r="F1" t="s">
        <v>74</v>
      </c>
      <c r="G1" t="s">
        <v>64</v>
      </c>
      <c r="H1" t="s">
        <v>65</v>
      </c>
      <c r="I1" t="s">
        <v>102</v>
      </c>
      <c r="J1" t="s">
        <v>104</v>
      </c>
      <c r="K1" t="s">
        <v>111</v>
      </c>
      <c r="AF1" t="s">
        <v>0</v>
      </c>
      <c r="AG1" t="s">
        <v>104</v>
      </c>
      <c r="AH1" t="s">
        <v>111</v>
      </c>
      <c r="AI1" t="s">
        <v>133</v>
      </c>
    </row>
    <row r="2" spans="1:35" x14ac:dyDescent="0.35">
      <c r="C2" t="s">
        <v>112</v>
      </c>
      <c r="E2" t="s">
        <v>1</v>
      </c>
      <c r="F2" s="47">
        <v>98.058568574484738</v>
      </c>
      <c r="G2" s="1">
        <v>53077.717864361715</v>
      </c>
      <c r="I2">
        <f>IF(H2=0,I$52,G2/H2)</f>
        <v>22.857935830441416</v>
      </c>
      <c r="J2" t="str">
        <f>IF(I2&lt;10,"4. Very rapid education production - Less than 10 stock to grad",IF(AND(I2&gt;=10,I2&lt;20),"3. Rapid education production - 10 to 20 stock to grad",IF(AND(I2&gt;=20,I2&lt;30),"2. Slow education production - 20 to 30 stock to grad","1. Very slow education production - 30 stock to grad and more")))</f>
        <v>2. Slow education production - 20 to 30 stock to grad</v>
      </c>
      <c r="K2" t="str">
        <f>IF(F2&lt;D$3,"1. &lt;Q1 density",IF(AND(F2&gt;=D$3,F2&lt;D$4),"2. Q1-Median density",IF(AND(F2&gt;=D$4,F2&lt;D$5),"3. Median-Q3 density","4. &gt;Q3 density")))</f>
        <v>4. &gt;Q3 density</v>
      </c>
      <c r="AF2" s="49" t="s">
        <v>8</v>
      </c>
      <c r="AG2" s="49" t="s">
        <v>131</v>
      </c>
      <c r="AH2" t="s">
        <v>129</v>
      </c>
    </row>
    <row r="3" spans="1:35" x14ac:dyDescent="0.35">
      <c r="C3" t="s">
        <v>100</v>
      </c>
      <c r="D3" s="47">
        <f>PERCENTILE(F2:F48,0.25)</f>
        <v>22.339869902239968</v>
      </c>
      <c r="E3" t="s">
        <v>2</v>
      </c>
      <c r="F3" s="47">
        <v>38.456345697593264</v>
      </c>
      <c r="G3" s="1">
        <v>75410.353814379763</v>
      </c>
      <c r="H3">
        <v>3561</v>
      </c>
      <c r="I3">
        <f t="shared" ref="I3:I48" si="0">IF(H3=0,I$52,G3/H3)</f>
        <v>21.176735134619424</v>
      </c>
      <c r="J3" t="str">
        <f t="shared" ref="J3:J48" si="1">IF(I3&lt;10,"4. Very rapid education production - Less than 10 stock to grad",IF(AND(I3&gt;=10,I3&lt;20),"3. Rapid education production - 10 to 20 stock to grad",IF(AND(I3&gt;=20,I3&lt;30),"2. Slow education production - 20 to 30 stock to grad","1. Very slow education production - 30 stock to grad and more")))</f>
        <v>2. Slow education production - 20 to 30 stock to grad</v>
      </c>
      <c r="K3" t="str">
        <f t="shared" ref="K3:K48" si="2">IF(F3&lt;D$3,"1. &lt;Q1 density",IF(AND(F3&gt;=D$3,F3&lt;D$4),"2. Q1-Median density",IF(AND(F3&gt;=D$4,F3&lt;D$5),"3. Median-Q3 density","4. &gt;Q3 density")))</f>
        <v>3. Median-Q3 density</v>
      </c>
      <c r="AF3" s="49" t="s">
        <v>11</v>
      </c>
      <c r="AG3" s="49" t="s">
        <v>131</v>
      </c>
      <c r="AH3" t="s">
        <v>129</v>
      </c>
    </row>
    <row r="4" spans="1:35" x14ac:dyDescent="0.35">
      <c r="C4" t="s">
        <v>99</v>
      </c>
      <c r="D4" s="47">
        <f>MEDIAN(F2:F48)</f>
        <v>38.456345697593264</v>
      </c>
      <c r="E4" t="s">
        <v>3</v>
      </c>
      <c r="F4" s="47">
        <v>18.729624018891407</v>
      </c>
      <c r="G4" s="1">
        <v>8501</v>
      </c>
      <c r="H4">
        <v>1037</v>
      </c>
      <c r="I4">
        <f t="shared" si="0"/>
        <v>8.1976856316297013</v>
      </c>
      <c r="J4" t="str">
        <f t="shared" si="1"/>
        <v>4. Very rapid education production - Less than 10 stock to grad</v>
      </c>
      <c r="K4" t="str">
        <f t="shared" si="2"/>
        <v>1. &lt;Q1 density</v>
      </c>
      <c r="AF4" s="49" t="s">
        <v>27</v>
      </c>
      <c r="AG4" s="49" t="s">
        <v>125</v>
      </c>
      <c r="AH4" t="s">
        <v>129</v>
      </c>
    </row>
    <row r="5" spans="1:35" x14ac:dyDescent="0.35">
      <c r="C5" t="s">
        <v>101</v>
      </c>
      <c r="D5" s="47">
        <f>PERCENTILE(F2:F48,0.75)</f>
        <v>63.718103547338771</v>
      </c>
      <c r="E5" t="s">
        <v>4</v>
      </c>
      <c r="F5" s="47">
        <v>68.115844081394968</v>
      </c>
      <c r="G5" s="1">
        <v>9020</v>
      </c>
      <c r="H5">
        <v>550</v>
      </c>
      <c r="I5">
        <f t="shared" si="0"/>
        <v>16.399999999999999</v>
      </c>
      <c r="J5" t="str">
        <f t="shared" si="1"/>
        <v>3. Rapid education production - 10 to 20 stock to grad</v>
      </c>
      <c r="K5" t="str">
        <f t="shared" si="2"/>
        <v>4. &gt;Q3 density</v>
      </c>
      <c r="AF5" s="49" t="s">
        <v>28</v>
      </c>
      <c r="AG5" s="49" t="s">
        <v>125</v>
      </c>
      <c r="AH5" t="s">
        <v>129</v>
      </c>
    </row>
    <row r="6" spans="1:35" x14ac:dyDescent="0.35">
      <c r="E6" t="s">
        <v>5</v>
      </c>
      <c r="F6" s="47">
        <v>16.827323041243478</v>
      </c>
      <c r="G6" s="1">
        <v>17284</v>
      </c>
      <c r="H6">
        <v>2662</v>
      </c>
      <c r="I6">
        <f t="shared" si="0"/>
        <v>6.4928625093914354</v>
      </c>
      <c r="J6" t="str">
        <f t="shared" si="1"/>
        <v>4. Very rapid education production - Less than 10 stock to grad</v>
      </c>
      <c r="K6" t="str">
        <f t="shared" si="2"/>
        <v>1. &lt;Q1 density</v>
      </c>
      <c r="AF6" s="49" t="s">
        <v>41</v>
      </c>
      <c r="AG6" s="49" t="s">
        <v>125</v>
      </c>
      <c r="AH6" t="s">
        <v>129</v>
      </c>
    </row>
    <row r="7" spans="1:35" x14ac:dyDescent="0.35">
      <c r="E7" t="s">
        <v>6</v>
      </c>
      <c r="F7" s="47">
        <v>40.986337247671983</v>
      </c>
      <c r="G7" s="1">
        <v>10386.861039439735</v>
      </c>
      <c r="H7">
        <v>1792</v>
      </c>
      <c r="I7">
        <f t="shared" si="0"/>
        <v>5.7962394193302087</v>
      </c>
      <c r="J7" t="str">
        <f t="shared" si="1"/>
        <v>4. Very rapid education production - Less than 10 stock to grad</v>
      </c>
      <c r="K7" t="str">
        <f t="shared" si="2"/>
        <v>3. Median-Q3 density</v>
      </c>
      <c r="AF7" t="s">
        <v>3</v>
      </c>
      <c r="AG7" t="s">
        <v>128</v>
      </c>
      <c r="AH7" t="s">
        <v>129</v>
      </c>
    </row>
    <row r="8" spans="1:35" x14ac:dyDescent="0.35">
      <c r="E8" t="s">
        <v>7</v>
      </c>
      <c r="F8" s="47">
        <v>11.326441981493597</v>
      </c>
      <c r="G8" s="1">
        <v>20232</v>
      </c>
      <c r="H8">
        <v>3460</v>
      </c>
      <c r="I8">
        <f t="shared" si="0"/>
        <v>5.8473988439306357</v>
      </c>
      <c r="J8" t="str">
        <f t="shared" si="1"/>
        <v>4. Very rapid education production - Less than 10 stock to grad</v>
      </c>
      <c r="K8" t="str">
        <f t="shared" si="2"/>
        <v>1. &lt;Q1 density</v>
      </c>
      <c r="AF8" t="s">
        <v>5</v>
      </c>
      <c r="AG8" t="s">
        <v>128</v>
      </c>
      <c r="AH8" t="s">
        <v>129</v>
      </c>
    </row>
    <row r="9" spans="1:35" x14ac:dyDescent="0.35">
      <c r="E9" t="s">
        <v>60</v>
      </c>
      <c r="F9" s="47">
        <v>104.36309518407614</v>
      </c>
      <c r="G9" s="1">
        <v>3585</v>
      </c>
      <c r="I9">
        <f t="shared" si="0"/>
        <v>22.857935830441416</v>
      </c>
      <c r="J9" t="str">
        <f t="shared" si="1"/>
        <v>2. Slow education production - 20 to 30 stock to grad</v>
      </c>
      <c r="K9" t="str">
        <f t="shared" si="2"/>
        <v>4. &gt;Q3 density</v>
      </c>
      <c r="AF9" t="s">
        <v>7</v>
      </c>
      <c r="AG9" t="s">
        <v>128</v>
      </c>
      <c r="AH9" t="s">
        <v>129</v>
      </c>
    </row>
    <row r="10" spans="1:35" x14ac:dyDescent="0.35">
      <c r="E10" t="s">
        <v>8</v>
      </c>
      <c r="F10" s="47">
        <v>10.210731090719779</v>
      </c>
      <c r="G10" s="1">
        <v>794.8697270471464</v>
      </c>
      <c r="H10">
        <v>18</v>
      </c>
      <c r="I10">
        <f t="shared" si="0"/>
        <v>44.159429280397021</v>
      </c>
      <c r="J10" t="str">
        <f t="shared" si="1"/>
        <v>1. Very slow education production - 30 stock to grad and more</v>
      </c>
      <c r="K10" t="str">
        <f t="shared" si="2"/>
        <v>1. &lt;Q1 density</v>
      </c>
      <c r="AF10" t="s">
        <v>13</v>
      </c>
      <c r="AG10" t="s">
        <v>128</v>
      </c>
      <c r="AH10" t="s">
        <v>129</v>
      </c>
    </row>
    <row r="11" spans="1:35" x14ac:dyDescent="0.35">
      <c r="E11" t="s">
        <v>9</v>
      </c>
      <c r="F11" s="47">
        <v>22.710971898965504</v>
      </c>
      <c r="G11" s="1">
        <v>4894.1517348524085</v>
      </c>
      <c r="H11">
        <v>3250</v>
      </c>
      <c r="I11">
        <f t="shared" si="0"/>
        <v>1.5058928414930488</v>
      </c>
      <c r="J11" t="str">
        <f t="shared" si="1"/>
        <v>4. Very rapid education production - Less than 10 stock to grad</v>
      </c>
      <c r="K11" t="str">
        <f t="shared" si="2"/>
        <v>2. Q1-Median density</v>
      </c>
      <c r="AF11" t="s">
        <v>21</v>
      </c>
      <c r="AG11" t="s">
        <v>128</v>
      </c>
      <c r="AH11" t="s">
        <v>129</v>
      </c>
    </row>
    <row r="12" spans="1:35" x14ac:dyDescent="0.35">
      <c r="E12" t="s">
        <v>10</v>
      </c>
      <c r="F12" s="47">
        <v>31.333794542132008</v>
      </c>
      <c r="G12" s="1">
        <v>1138.9709740708436</v>
      </c>
      <c r="H12">
        <v>40</v>
      </c>
      <c r="I12">
        <f t="shared" si="0"/>
        <v>28.47427435177109</v>
      </c>
      <c r="J12" t="str">
        <f t="shared" si="1"/>
        <v>2. Slow education production - 20 to 30 stock to grad</v>
      </c>
      <c r="K12" t="str">
        <f t="shared" si="2"/>
        <v>2. Q1-Median density</v>
      </c>
      <c r="AF12" t="s">
        <v>26</v>
      </c>
      <c r="AG12" t="s">
        <v>128</v>
      </c>
      <c r="AH12" t="s">
        <v>129</v>
      </c>
    </row>
    <row r="13" spans="1:35" x14ac:dyDescent="0.35">
      <c r="E13" t="s">
        <v>147</v>
      </c>
      <c r="F13" s="47">
        <v>20.330016447381468</v>
      </c>
      <c r="G13" s="1">
        <v>6615</v>
      </c>
      <c r="H13">
        <v>120</v>
      </c>
      <c r="I13">
        <f t="shared" si="0"/>
        <v>55.125</v>
      </c>
      <c r="J13" t="str">
        <f t="shared" si="1"/>
        <v>1. Very slow education production - 30 stock to grad and more</v>
      </c>
      <c r="K13" t="str">
        <f t="shared" si="2"/>
        <v>1. &lt;Q1 density</v>
      </c>
      <c r="AF13" t="s">
        <v>33</v>
      </c>
      <c r="AG13" t="s">
        <v>128</v>
      </c>
      <c r="AH13" t="s">
        <v>129</v>
      </c>
    </row>
    <row r="14" spans="1:35" x14ac:dyDescent="0.35">
      <c r="E14" t="s">
        <v>149</v>
      </c>
      <c r="F14" s="47">
        <v>25.91975377602575</v>
      </c>
      <c r="G14" s="1">
        <v>25552.785469257356</v>
      </c>
      <c r="H14">
        <v>1261</v>
      </c>
      <c r="I14">
        <f t="shared" si="0"/>
        <v>20.263906002583152</v>
      </c>
      <c r="J14" t="str">
        <f t="shared" si="1"/>
        <v>2. Slow education production - 20 to 30 stock to grad</v>
      </c>
      <c r="K14" t="str">
        <f t="shared" si="2"/>
        <v>2. Q1-Median density</v>
      </c>
      <c r="AF14" s="49" t="s">
        <v>10</v>
      </c>
      <c r="AG14" s="49" t="s">
        <v>125</v>
      </c>
      <c r="AH14" t="s">
        <v>132</v>
      </c>
    </row>
    <row r="15" spans="1:35" x14ac:dyDescent="0.35">
      <c r="E15" t="s">
        <v>82</v>
      </c>
      <c r="F15" s="47">
        <v>15.888047021793218</v>
      </c>
      <c r="G15" s="1">
        <v>136605.95871911859</v>
      </c>
      <c r="H15">
        <v>30081</v>
      </c>
      <c r="I15">
        <f t="shared" si="0"/>
        <v>4.5412705268813731</v>
      </c>
      <c r="J15" t="str">
        <f t="shared" si="1"/>
        <v>4. Very rapid education production - Less than 10 stock to grad</v>
      </c>
      <c r="K15" t="str">
        <f t="shared" si="2"/>
        <v>1. &lt;Q1 density</v>
      </c>
      <c r="AF15" s="49" t="s">
        <v>12</v>
      </c>
      <c r="AG15" s="49" t="s">
        <v>125</v>
      </c>
      <c r="AH15" t="s">
        <v>132</v>
      </c>
    </row>
    <row r="16" spans="1:35" x14ac:dyDescent="0.35">
      <c r="E16" t="s">
        <v>14</v>
      </c>
      <c r="F16" s="47">
        <v>27.930586305707227</v>
      </c>
      <c r="G16" s="1">
        <v>1649.6823759925792</v>
      </c>
      <c r="H16">
        <v>1729</v>
      </c>
      <c r="I16">
        <f t="shared" si="0"/>
        <v>0.95412514516632685</v>
      </c>
      <c r="J16" t="str">
        <f t="shared" si="1"/>
        <v>4. Very rapid education production - Less than 10 stock to grad</v>
      </c>
      <c r="K16" t="str">
        <f t="shared" si="2"/>
        <v>2. Q1-Median density</v>
      </c>
      <c r="AF16" t="s">
        <v>15</v>
      </c>
      <c r="AG16" t="s">
        <v>130</v>
      </c>
      <c r="AH16" t="s">
        <v>132</v>
      </c>
    </row>
    <row r="17" spans="5:34" x14ac:dyDescent="0.35">
      <c r="E17" t="s">
        <v>15</v>
      </c>
      <c r="F17" s="47">
        <v>38.107951184321514</v>
      </c>
      <c r="G17" s="1">
        <v>5305.8176475233076</v>
      </c>
      <c r="H17">
        <v>400</v>
      </c>
      <c r="I17">
        <f t="shared" si="0"/>
        <v>13.264544118808269</v>
      </c>
      <c r="J17" t="str">
        <f t="shared" si="1"/>
        <v>3. Rapid education production - 10 to 20 stock to grad</v>
      </c>
      <c r="K17" t="str">
        <f t="shared" si="2"/>
        <v>2. Q1-Median density</v>
      </c>
      <c r="AF17" t="s">
        <v>17</v>
      </c>
      <c r="AG17" t="s">
        <v>130</v>
      </c>
      <c r="AH17" t="s">
        <v>132</v>
      </c>
    </row>
    <row r="18" spans="5:34" x14ac:dyDescent="0.35">
      <c r="E18" t="s">
        <v>16</v>
      </c>
      <c r="F18" s="47">
        <v>140.19826135915432</v>
      </c>
      <c r="G18" s="1">
        <v>5929</v>
      </c>
      <c r="H18">
        <v>160</v>
      </c>
      <c r="I18">
        <f t="shared" si="0"/>
        <v>37.056249999999999</v>
      </c>
      <c r="J18" t="str">
        <f t="shared" si="1"/>
        <v>1. Very slow education production - 30 stock to grad and more</v>
      </c>
      <c r="K18" t="str">
        <f t="shared" si="2"/>
        <v>4. &gt;Q3 density</v>
      </c>
      <c r="AF18" t="s">
        <v>19</v>
      </c>
      <c r="AG18" t="s">
        <v>130</v>
      </c>
      <c r="AH18" t="s">
        <v>132</v>
      </c>
    </row>
    <row r="19" spans="5:34" x14ac:dyDescent="0.35">
      <c r="E19" t="s">
        <v>17</v>
      </c>
      <c r="F19" s="47">
        <v>33.829583652601642</v>
      </c>
      <c r="G19" s="1">
        <v>155003</v>
      </c>
      <c r="H19">
        <v>9412</v>
      </c>
      <c r="I19">
        <f t="shared" si="0"/>
        <v>16.468657033574161</v>
      </c>
      <c r="J19" t="str">
        <f t="shared" si="1"/>
        <v>3. Rapid education production - 10 to 20 stock to grad</v>
      </c>
      <c r="K19" t="str">
        <f t="shared" si="2"/>
        <v>2. Q1-Median density</v>
      </c>
      <c r="AF19" t="s">
        <v>34</v>
      </c>
      <c r="AG19" t="s">
        <v>130</v>
      </c>
      <c r="AH19" t="s">
        <v>132</v>
      </c>
    </row>
    <row r="20" spans="5:34" x14ac:dyDescent="0.35">
      <c r="E20" t="s">
        <v>18</v>
      </c>
      <c r="F20" s="47">
        <v>57.112151673993168</v>
      </c>
      <c r="G20" s="1">
        <v>6016.9896979221239</v>
      </c>
      <c r="H20">
        <v>141</v>
      </c>
      <c r="I20">
        <f t="shared" si="0"/>
        <v>42.673685800866124</v>
      </c>
      <c r="J20" t="str">
        <f t="shared" si="1"/>
        <v>1. Very slow education production - 30 stock to grad and more</v>
      </c>
      <c r="K20" t="str">
        <f t="shared" si="2"/>
        <v>3. Median-Q3 density</v>
      </c>
      <c r="AF20" t="s">
        <v>42</v>
      </c>
      <c r="AG20" t="s">
        <v>130</v>
      </c>
      <c r="AH20" t="s">
        <v>132</v>
      </c>
    </row>
    <row r="21" spans="5:34" x14ac:dyDescent="0.35">
      <c r="E21" t="s">
        <v>157</v>
      </c>
      <c r="F21" s="47">
        <v>34.171087572485987</v>
      </c>
      <c r="G21" s="1">
        <v>1703.270897043833</v>
      </c>
      <c r="H21">
        <v>160</v>
      </c>
      <c r="I21">
        <f t="shared" si="0"/>
        <v>10.645443106523956</v>
      </c>
      <c r="J21" t="str">
        <f t="shared" si="1"/>
        <v>3. Rapid education production - 10 to 20 stock to grad</v>
      </c>
      <c r="K21" t="str">
        <f t="shared" si="2"/>
        <v>2. Q1-Median density</v>
      </c>
      <c r="AF21" t="s">
        <v>43</v>
      </c>
      <c r="AG21" t="s">
        <v>130</v>
      </c>
      <c r="AH21" t="s">
        <v>132</v>
      </c>
    </row>
    <row r="22" spans="5:34" x14ac:dyDescent="0.35">
      <c r="E22" t="s">
        <v>20</v>
      </c>
      <c r="F22" s="47">
        <v>70.640914271306528</v>
      </c>
      <c r="G22" s="1">
        <v>128930.27697797566</v>
      </c>
      <c r="H22">
        <v>22837</v>
      </c>
      <c r="I22">
        <f t="shared" si="0"/>
        <v>5.6456748687645337</v>
      </c>
      <c r="J22" t="str">
        <f t="shared" si="1"/>
        <v>4. Very rapid education production - Less than 10 stock to grad</v>
      </c>
      <c r="K22" t="str">
        <f t="shared" si="2"/>
        <v>4. &gt;Q3 density</v>
      </c>
      <c r="AF22" t="s">
        <v>9</v>
      </c>
      <c r="AG22" t="s">
        <v>128</v>
      </c>
      <c r="AH22" t="s">
        <v>132</v>
      </c>
    </row>
    <row r="23" spans="5:34" x14ac:dyDescent="0.35">
      <c r="E23" t="s">
        <v>21</v>
      </c>
      <c r="F23" s="47">
        <v>17.813553305551778</v>
      </c>
      <c r="G23" s="1">
        <v>5360.3288771104162</v>
      </c>
      <c r="H23">
        <v>1731</v>
      </c>
      <c r="I23">
        <f t="shared" si="0"/>
        <v>3.096666017972511</v>
      </c>
      <c r="J23" t="str">
        <f t="shared" si="1"/>
        <v>4. Very rapid education production - Less than 10 stock to grad</v>
      </c>
      <c r="K23" t="str">
        <f t="shared" si="2"/>
        <v>1. &lt;Q1 density</v>
      </c>
      <c r="AF23" t="s">
        <v>14</v>
      </c>
      <c r="AG23" t="s">
        <v>128</v>
      </c>
      <c r="AH23" t="s">
        <v>132</v>
      </c>
    </row>
    <row r="24" spans="5:34" x14ac:dyDescent="0.35">
      <c r="E24" t="s">
        <v>22</v>
      </c>
      <c r="F24" s="47">
        <v>43.637164811660909</v>
      </c>
      <c r="G24" s="1">
        <v>2409.8737642585552</v>
      </c>
      <c r="I24">
        <f t="shared" si="0"/>
        <v>22.857935830441416</v>
      </c>
      <c r="J24" t="str">
        <f t="shared" si="1"/>
        <v>2. Slow education production - 20 to 30 stock to grad</v>
      </c>
      <c r="K24" t="str">
        <f t="shared" si="2"/>
        <v>3. Median-Q3 density</v>
      </c>
      <c r="AF24" t="s">
        <v>37</v>
      </c>
      <c r="AG24" t="s">
        <v>128</v>
      </c>
      <c r="AH24" t="s">
        <v>132</v>
      </c>
    </row>
    <row r="25" spans="5:34" x14ac:dyDescent="0.35">
      <c r="E25" t="s">
        <v>23</v>
      </c>
      <c r="F25" s="47">
        <v>52.761765904512501</v>
      </c>
      <c r="G25" s="1">
        <v>122451</v>
      </c>
      <c r="H25">
        <v>1628</v>
      </c>
      <c r="I25">
        <f t="shared" si="0"/>
        <v>75.215601965601962</v>
      </c>
      <c r="J25" t="str">
        <f t="shared" si="1"/>
        <v>1. Very slow education production - 30 stock to grad and more</v>
      </c>
      <c r="K25" t="str">
        <f t="shared" si="2"/>
        <v>3. Median-Q3 density</v>
      </c>
      <c r="AF25" t="s">
        <v>18</v>
      </c>
      <c r="AG25" t="s">
        <v>131</v>
      </c>
      <c r="AH25" t="s">
        <v>127</v>
      </c>
    </row>
    <row r="26" spans="5:34" x14ac:dyDescent="0.35">
      <c r="E26" t="s">
        <v>24</v>
      </c>
      <c r="F26" s="47">
        <v>125.68172362603974</v>
      </c>
      <c r="G26" s="1">
        <v>1772.0899117026884</v>
      </c>
      <c r="H26">
        <v>384</v>
      </c>
      <c r="I26">
        <f t="shared" si="0"/>
        <v>4.6148174783924176</v>
      </c>
      <c r="J26" t="str">
        <f t="shared" si="1"/>
        <v>4. Very rapid education production - Less than 10 stock to grad</v>
      </c>
      <c r="K26" t="str">
        <f t="shared" si="2"/>
        <v>4. &gt;Q3 density</v>
      </c>
      <c r="AF26" t="s">
        <v>23</v>
      </c>
      <c r="AG26" t="s">
        <v>131</v>
      </c>
      <c r="AH26" t="s">
        <v>127</v>
      </c>
    </row>
    <row r="27" spans="5:34" x14ac:dyDescent="0.35">
      <c r="E27" t="s">
        <v>25</v>
      </c>
      <c r="F27" s="47">
        <v>57.003752262980719</v>
      </c>
      <c r="G27" s="1">
        <v>5377.7952883834278</v>
      </c>
      <c r="H27">
        <v>92</v>
      </c>
      <c r="I27">
        <f t="shared" si="0"/>
        <v>58.454296612863345</v>
      </c>
      <c r="J27" t="str">
        <f t="shared" si="1"/>
        <v>1. Very slow education production - 30 stock to grad and more</v>
      </c>
      <c r="K27" t="str">
        <f t="shared" si="2"/>
        <v>3. Median-Q3 density</v>
      </c>
      <c r="AF27" t="s">
        <v>25</v>
      </c>
      <c r="AG27" t="s">
        <v>131</v>
      </c>
      <c r="AH27" t="s">
        <v>127</v>
      </c>
    </row>
    <row r="28" spans="5:34" x14ac:dyDescent="0.35">
      <c r="E28" t="s">
        <v>26</v>
      </c>
      <c r="F28" s="47">
        <v>21.968767905514429</v>
      </c>
      <c r="G28" s="1">
        <v>9790</v>
      </c>
      <c r="H28">
        <v>2856</v>
      </c>
      <c r="I28">
        <f t="shared" si="0"/>
        <v>3.4278711484593836</v>
      </c>
      <c r="J28" t="str">
        <f t="shared" si="1"/>
        <v>4. Very rapid education production - Less than 10 stock to grad</v>
      </c>
      <c r="K28" t="str">
        <f t="shared" si="2"/>
        <v>1. &lt;Q1 density</v>
      </c>
      <c r="AF28" t="s">
        <v>29</v>
      </c>
      <c r="AG28" t="s">
        <v>131</v>
      </c>
      <c r="AH28" t="s">
        <v>127</v>
      </c>
    </row>
    <row r="29" spans="5:34" x14ac:dyDescent="0.35">
      <c r="E29" t="s">
        <v>27</v>
      </c>
      <c r="F29" s="47">
        <v>18.931285154211427</v>
      </c>
      <c r="G29" s="1">
        <v>10695.563775185577</v>
      </c>
      <c r="H29">
        <v>501</v>
      </c>
      <c r="I29">
        <f t="shared" si="0"/>
        <v>21.348430688993169</v>
      </c>
      <c r="J29" t="str">
        <f t="shared" si="1"/>
        <v>2. Slow education production - 20 to 30 stock to grad</v>
      </c>
      <c r="K29" t="str">
        <f t="shared" si="2"/>
        <v>1. &lt;Q1 density</v>
      </c>
      <c r="AF29" t="s">
        <v>35</v>
      </c>
      <c r="AG29" t="s">
        <v>131</v>
      </c>
      <c r="AH29" t="s">
        <v>127</v>
      </c>
    </row>
    <row r="30" spans="5:34" x14ac:dyDescent="0.35">
      <c r="E30" t="s">
        <v>28</v>
      </c>
      <c r="F30" s="47">
        <v>16.946843842481947</v>
      </c>
      <c r="G30" s="1">
        <v>10729</v>
      </c>
      <c r="I30">
        <f t="shared" si="0"/>
        <v>22.857935830441416</v>
      </c>
      <c r="J30" t="str">
        <f t="shared" si="1"/>
        <v>2. Slow education production - 20 to 30 stock to grad</v>
      </c>
      <c r="K30" t="str">
        <f t="shared" si="2"/>
        <v>1. &lt;Q1 density</v>
      </c>
      <c r="AF30" t="s">
        <v>2</v>
      </c>
      <c r="AG30" t="s">
        <v>125</v>
      </c>
      <c r="AH30" t="s">
        <v>127</v>
      </c>
    </row>
    <row r="31" spans="5:34" x14ac:dyDescent="0.35">
      <c r="E31" t="s">
        <v>29</v>
      </c>
      <c r="F31" s="47">
        <v>43.978835355257424</v>
      </c>
      <c r="G31" s="1">
        <v>7776.0346943092873</v>
      </c>
      <c r="H31">
        <v>113</v>
      </c>
      <c r="I31">
        <f t="shared" si="0"/>
        <v>68.81446632132112</v>
      </c>
      <c r="J31" t="str">
        <f t="shared" si="1"/>
        <v>1. Very slow education production - 30 stock to grad and more</v>
      </c>
      <c r="K31" t="str">
        <f t="shared" si="2"/>
        <v>3. Median-Q3 density</v>
      </c>
      <c r="AF31" t="s">
        <v>22</v>
      </c>
      <c r="AG31" t="s">
        <v>125</v>
      </c>
      <c r="AH31" t="s">
        <v>127</v>
      </c>
    </row>
    <row r="32" spans="5:34" x14ac:dyDescent="0.35">
      <c r="E32" t="s">
        <v>30</v>
      </c>
      <c r="F32" s="47">
        <v>117.20284698003086</v>
      </c>
      <c r="G32" s="1">
        <v>6432.5342419766348</v>
      </c>
      <c r="H32">
        <v>607</v>
      </c>
      <c r="I32">
        <f t="shared" si="0"/>
        <v>10.597255752844539</v>
      </c>
      <c r="J32" t="str">
        <f t="shared" si="1"/>
        <v>3. Rapid education production - 10 to 20 stock to grad</v>
      </c>
      <c r="K32" t="str">
        <f t="shared" si="2"/>
        <v>4. &gt;Q3 density</v>
      </c>
      <c r="AF32" t="s">
        <v>36</v>
      </c>
      <c r="AG32" t="s">
        <v>125</v>
      </c>
      <c r="AH32" t="s">
        <v>127</v>
      </c>
    </row>
    <row r="33" spans="5:34" x14ac:dyDescent="0.35">
      <c r="E33" t="s">
        <v>31</v>
      </c>
      <c r="F33" s="47">
        <v>54.608508445493854</v>
      </c>
      <c r="G33" s="1">
        <v>22887</v>
      </c>
      <c r="H33">
        <v>1399</v>
      </c>
      <c r="I33">
        <f t="shared" si="0"/>
        <v>16.359542530378842</v>
      </c>
      <c r="J33" t="str">
        <f t="shared" si="1"/>
        <v>3. Rapid education production - 10 to 20 stock to grad</v>
      </c>
      <c r="K33" t="str">
        <f t="shared" si="2"/>
        <v>3. Median-Q3 density</v>
      </c>
      <c r="AF33" t="s">
        <v>31</v>
      </c>
      <c r="AG33" t="s">
        <v>130</v>
      </c>
      <c r="AH33" t="s">
        <v>127</v>
      </c>
    </row>
    <row r="34" spans="5:34" x14ac:dyDescent="0.35">
      <c r="E34" t="s">
        <v>32</v>
      </c>
      <c r="F34" s="47">
        <v>105.35216319078796</v>
      </c>
      <c r="G34" s="1">
        <v>17155.321723868954</v>
      </c>
      <c r="H34">
        <v>675</v>
      </c>
      <c r="I34">
        <f t="shared" si="0"/>
        <v>25.415291442768822</v>
      </c>
      <c r="J34" t="str">
        <f t="shared" si="1"/>
        <v>2. Slow education production - 20 to 30 stock to grad</v>
      </c>
      <c r="K34" t="str">
        <f t="shared" si="2"/>
        <v>4. &gt;Q3 density</v>
      </c>
      <c r="AF34" t="s">
        <v>45</v>
      </c>
      <c r="AG34" t="s">
        <v>130</v>
      </c>
      <c r="AH34" t="s">
        <v>127</v>
      </c>
    </row>
    <row r="35" spans="5:34" x14ac:dyDescent="0.35">
      <c r="E35" t="s">
        <v>33</v>
      </c>
      <c r="F35" s="47">
        <v>4.955848322257995</v>
      </c>
      <c r="G35" s="1">
        <v>5270.6693676127352</v>
      </c>
      <c r="H35">
        <v>675</v>
      </c>
      <c r="I35">
        <f t="shared" si="0"/>
        <v>7.8083990631299782</v>
      </c>
      <c r="J35" t="str">
        <f t="shared" si="1"/>
        <v>4. Very rapid education production - Less than 10 stock to grad</v>
      </c>
      <c r="K35" t="str">
        <f t="shared" si="2"/>
        <v>1. &lt;Q1 density</v>
      </c>
      <c r="AF35" s="50" t="s">
        <v>6</v>
      </c>
      <c r="AG35" s="50" t="s">
        <v>128</v>
      </c>
      <c r="AH35" t="s">
        <v>127</v>
      </c>
    </row>
    <row r="36" spans="5:34" x14ac:dyDescent="0.35">
      <c r="E36" t="s">
        <v>34</v>
      </c>
      <c r="F36" s="47">
        <v>36.583982353138666</v>
      </c>
      <c r="G36" s="1">
        <v>306862</v>
      </c>
      <c r="H36">
        <v>17175</v>
      </c>
      <c r="I36">
        <f t="shared" si="0"/>
        <v>17.866783114992721</v>
      </c>
      <c r="J36" t="str">
        <f t="shared" si="1"/>
        <v>3. Rapid education production - 10 to 20 stock to grad</v>
      </c>
      <c r="K36" t="str">
        <f t="shared" si="2"/>
        <v>2. Q1-Median density</v>
      </c>
      <c r="AF36" s="50" t="s">
        <v>39</v>
      </c>
      <c r="AG36" s="50" t="s">
        <v>128</v>
      </c>
      <c r="AH36" t="s">
        <v>127</v>
      </c>
    </row>
    <row r="37" spans="5:34" x14ac:dyDescent="0.35">
      <c r="E37" t="s">
        <v>35</v>
      </c>
      <c r="F37" s="47">
        <v>59.624042517676429</v>
      </c>
      <c r="G37" s="1">
        <v>15149.239749316621</v>
      </c>
      <c r="H37">
        <v>366</v>
      </c>
      <c r="I37">
        <f t="shared" si="0"/>
        <v>41.391365435291313</v>
      </c>
      <c r="J37" t="str">
        <f t="shared" si="1"/>
        <v>1. Very slow education production - 30 stock to grad and more</v>
      </c>
      <c r="K37" t="str">
        <f t="shared" si="2"/>
        <v>3. Median-Q3 density</v>
      </c>
      <c r="AF37" t="s">
        <v>16</v>
      </c>
      <c r="AG37" t="s">
        <v>131</v>
      </c>
      <c r="AH37" t="s">
        <v>126</v>
      </c>
    </row>
    <row r="38" spans="5:34" x14ac:dyDescent="0.35">
      <c r="E38" s="51" t="s">
        <v>175</v>
      </c>
      <c r="F38" s="47">
        <v>63.393220513883151</v>
      </c>
      <c r="G38" s="1">
        <v>545</v>
      </c>
      <c r="I38">
        <f t="shared" si="0"/>
        <v>22.857935830441416</v>
      </c>
      <c r="J38" t="str">
        <f t="shared" si="1"/>
        <v>2. Slow education production - 20 to 30 stock to grad</v>
      </c>
      <c r="K38" t="str">
        <f t="shared" si="2"/>
        <v>3. Median-Q3 density</v>
      </c>
      <c r="AF38" t="s">
        <v>38</v>
      </c>
      <c r="AG38" t="s">
        <v>131</v>
      </c>
      <c r="AH38" t="s">
        <v>126</v>
      </c>
    </row>
    <row r="39" spans="5:34" x14ac:dyDescent="0.35">
      <c r="E39" t="s">
        <v>37</v>
      </c>
      <c r="F39" s="47">
        <v>23.796885847380697</v>
      </c>
      <c r="G39" s="1">
        <v>7297.8623058327948</v>
      </c>
      <c r="H39">
        <v>1016</v>
      </c>
      <c r="I39">
        <f t="shared" si="0"/>
        <v>7.1829353403866092</v>
      </c>
      <c r="J39" t="str">
        <f t="shared" si="1"/>
        <v>4. Very rapid education production - Less than 10 stock to grad</v>
      </c>
      <c r="K39" t="str">
        <f t="shared" si="2"/>
        <v>2. Q1-Median density</v>
      </c>
      <c r="AF39" t="s">
        <v>40</v>
      </c>
      <c r="AG39" t="s">
        <v>131</v>
      </c>
      <c r="AH39" t="s">
        <v>126</v>
      </c>
    </row>
    <row r="40" spans="5:34" x14ac:dyDescent="0.35">
      <c r="E40" t="s">
        <v>38</v>
      </c>
      <c r="F40" s="47">
        <v>296.4662893379861</v>
      </c>
      <c r="G40" s="1">
        <v>2105</v>
      </c>
      <c r="H40">
        <v>50</v>
      </c>
      <c r="I40">
        <f t="shared" si="0"/>
        <v>42.1</v>
      </c>
      <c r="J40" t="str">
        <f t="shared" si="1"/>
        <v>1. Very slow education production - 30 stock to grad and more</v>
      </c>
      <c r="K40" t="str">
        <f t="shared" si="2"/>
        <v>4. &gt;Q3 density</v>
      </c>
      <c r="AF40" t="s">
        <v>46</v>
      </c>
      <c r="AG40" t="s">
        <v>131</v>
      </c>
      <c r="AH40" t="s">
        <v>126</v>
      </c>
    </row>
    <row r="41" spans="5:34" x14ac:dyDescent="0.35">
      <c r="E41" t="s">
        <v>39</v>
      </c>
      <c r="F41" s="47">
        <v>45.477301239981145</v>
      </c>
      <c r="G41" s="1">
        <v>16772</v>
      </c>
      <c r="H41">
        <v>1972</v>
      </c>
      <c r="I41">
        <f t="shared" si="0"/>
        <v>8.5050709939148081</v>
      </c>
      <c r="J41" t="str">
        <f t="shared" si="1"/>
        <v>4. Very rapid education production - Less than 10 stock to grad</v>
      </c>
      <c r="K41" t="str">
        <f t="shared" si="2"/>
        <v>3. Median-Q3 density</v>
      </c>
      <c r="AF41" t="s">
        <v>1</v>
      </c>
      <c r="AG41" t="s">
        <v>125</v>
      </c>
      <c r="AH41" t="s">
        <v>126</v>
      </c>
    </row>
    <row r="42" spans="5:34" x14ac:dyDescent="0.35">
      <c r="E42" t="s">
        <v>40</v>
      </c>
      <c r="F42" s="47">
        <v>110.14054068074168</v>
      </c>
      <c r="G42" s="1">
        <v>445282.24962174537</v>
      </c>
      <c r="H42">
        <v>4152</v>
      </c>
      <c r="I42">
        <f t="shared" si="0"/>
        <v>107.24524316516025</v>
      </c>
      <c r="J42" t="str">
        <f t="shared" si="1"/>
        <v>1. Very slow education production - 30 stock to grad and more</v>
      </c>
      <c r="K42" t="str">
        <f t="shared" si="2"/>
        <v>4. &gt;Q3 density</v>
      </c>
      <c r="AF42" t="s">
        <v>70</v>
      </c>
      <c r="AG42" t="s">
        <v>125</v>
      </c>
      <c r="AH42" t="s">
        <v>126</v>
      </c>
    </row>
    <row r="43" spans="5:34" x14ac:dyDescent="0.35">
      <c r="E43" t="s">
        <v>41</v>
      </c>
      <c r="F43" s="47">
        <v>19.70458233636975</v>
      </c>
      <c r="G43" s="1">
        <v>4986</v>
      </c>
      <c r="H43">
        <v>241</v>
      </c>
      <c r="I43">
        <f t="shared" si="0"/>
        <v>20.688796680497926</v>
      </c>
      <c r="J43" t="str">
        <f t="shared" si="1"/>
        <v>2. Slow education production - 20 to 30 stock to grad</v>
      </c>
      <c r="K43" t="str">
        <f t="shared" si="2"/>
        <v>1. &lt;Q1 density</v>
      </c>
      <c r="AF43" t="s">
        <v>32</v>
      </c>
      <c r="AG43" t="s">
        <v>125</v>
      </c>
      <c r="AH43" t="s">
        <v>126</v>
      </c>
    </row>
    <row r="44" spans="5:34" x14ac:dyDescent="0.35">
      <c r="E44" t="s">
        <v>42</v>
      </c>
      <c r="F44" s="47">
        <v>28.683351968574311</v>
      </c>
      <c r="G44" s="1">
        <v>40633</v>
      </c>
      <c r="H44">
        <v>3250</v>
      </c>
      <c r="I44">
        <f t="shared" si="0"/>
        <v>12.502461538461539</v>
      </c>
      <c r="J44" t="str">
        <f t="shared" si="1"/>
        <v>3. Rapid education production - 10 to 20 stock to grad</v>
      </c>
      <c r="K44" t="str">
        <f t="shared" si="2"/>
        <v>2. Q1-Median density</v>
      </c>
      <c r="AF44" s="50" t="s">
        <v>4</v>
      </c>
      <c r="AG44" s="50" t="s">
        <v>130</v>
      </c>
      <c r="AH44" t="s">
        <v>126</v>
      </c>
    </row>
    <row r="45" spans="5:34" x14ac:dyDescent="0.35">
      <c r="E45" t="s">
        <v>43</v>
      </c>
      <c r="F45" s="47">
        <v>30.235229462209936</v>
      </c>
      <c r="G45" s="1">
        <v>3360</v>
      </c>
      <c r="H45">
        <v>317</v>
      </c>
      <c r="I45">
        <f t="shared" si="0"/>
        <v>10.599369085173501</v>
      </c>
      <c r="J45" t="str">
        <f t="shared" si="1"/>
        <v>3. Rapid education production - 10 to 20 stock to grad</v>
      </c>
      <c r="K45" t="str">
        <f t="shared" si="2"/>
        <v>2. Q1-Median density</v>
      </c>
      <c r="AF45" s="50" t="s">
        <v>30</v>
      </c>
      <c r="AG45" s="50" t="s">
        <v>130</v>
      </c>
      <c r="AH45" t="s">
        <v>126</v>
      </c>
    </row>
    <row r="46" spans="5:34" x14ac:dyDescent="0.35">
      <c r="E46" t="s">
        <v>44</v>
      </c>
      <c r="F46" s="47">
        <v>70.939806529751905</v>
      </c>
      <c r="G46" s="1">
        <v>83248.781327967808</v>
      </c>
      <c r="H46">
        <v>15998</v>
      </c>
      <c r="I46">
        <f t="shared" si="0"/>
        <v>5.2036992954099146</v>
      </c>
      <c r="J46" t="str">
        <f t="shared" si="1"/>
        <v>4. Very rapid education production - Less than 10 stock to grad</v>
      </c>
      <c r="K46" t="str">
        <f t="shared" si="2"/>
        <v>4. &gt;Q3 density</v>
      </c>
      <c r="AF46" s="50" t="s">
        <v>20</v>
      </c>
      <c r="AG46" s="50" t="s">
        <v>128</v>
      </c>
      <c r="AH46" t="s">
        <v>126</v>
      </c>
    </row>
    <row r="47" spans="5:34" x14ac:dyDescent="0.35">
      <c r="E47" t="s">
        <v>45</v>
      </c>
      <c r="F47" s="47">
        <v>55.939473332937403</v>
      </c>
      <c r="G47" s="1">
        <v>56506</v>
      </c>
      <c r="H47">
        <v>5372</v>
      </c>
      <c r="I47">
        <f t="shared" si="0"/>
        <v>10.51861504095309</v>
      </c>
      <c r="J47" t="str">
        <f t="shared" si="1"/>
        <v>3. Rapid education production - 10 to 20 stock to grad</v>
      </c>
      <c r="K47" t="str">
        <f t="shared" si="2"/>
        <v>3. Median-Q3 density</v>
      </c>
      <c r="AF47" s="50" t="s">
        <v>24</v>
      </c>
      <c r="AG47" s="50" t="s">
        <v>128</v>
      </c>
      <c r="AH47" t="s">
        <v>126</v>
      </c>
    </row>
    <row r="48" spans="5:34" x14ac:dyDescent="0.35">
      <c r="E48" t="s">
        <v>46</v>
      </c>
      <c r="F48" s="47">
        <v>64.042986580794391</v>
      </c>
      <c r="G48" s="1">
        <v>49668.598365533384</v>
      </c>
      <c r="H48">
        <v>1365</v>
      </c>
      <c r="I48">
        <f t="shared" si="0"/>
        <v>36.387251549841309</v>
      </c>
      <c r="J48" t="str">
        <f t="shared" si="1"/>
        <v>1. Very slow education production - 30 stock to grad and more</v>
      </c>
      <c r="K48" t="str">
        <f t="shared" si="2"/>
        <v>4. &gt;Q3 density</v>
      </c>
      <c r="AF48" s="50" t="s">
        <v>44</v>
      </c>
      <c r="AG48" s="50" t="s">
        <v>128</v>
      </c>
      <c r="AH48" t="s">
        <v>126</v>
      </c>
    </row>
    <row r="52" spans="8:32" x14ac:dyDescent="0.35">
      <c r="H52" t="s">
        <v>103</v>
      </c>
      <c r="I52">
        <v>22.857935830441416</v>
      </c>
    </row>
    <row r="53" spans="8:32" x14ac:dyDescent="0.35">
      <c r="K53" t="s">
        <v>107</v>
      </c>
      <c r="L53" t="s">
        <v>105</v>
      </c>
      <c r="M53">
        <v>35</v>
      </c>
      <c r="N53" t="s">
        <v>106</v>
      </c>
      <c r="T53">
        <v>9</v>
      </c>
      <c r="AA53">
        <v>16</v>
      </c>
    </row>
    <row r="54" spans="8:32" x14ac:dyDescent="0.35">
      <c r="J54">
        <v>10</v>
      </c>
      <c r="K54" t="s">
        <v>108</v>
      </c>
      <c r="L54">
        <v>100</v>
      </c>
      <c r="M54">
        <f>L54+L54/$J54</f>
        <v>110</v>
      </c>
      <c r="N54">
        <f t="shared" ref="N54:AE56" si="3">M54+M54/$J54</f>
        <v>121</v>
      </c>
      <c r="O54">
        <f t="shared" si="3"/>
        <v>133.1</v>
      </c>
      <c r="P54">
        <f t="shared" si="3"/>
        <v>146.41</v>
      </c>
      <c r="Q54">
        <f t="shared" si="3"/>
        <v>161.05099999999999</v>
      </c>
      <c r="R54">
        <f t="shared" si="3"/>
        <v>177.15609999999998</v>
      </c>
      <c r="S54">
        <f t="shared" si="3"/>
        <v>194.87170999999998</v>
      </c>
      <c r="T54">
        <f t="shared" si="3"/>
        <v>214.35888099999997</v>
      </c>
      <c r="U54">
        <f t="shared" si="3"/>
        <v>235.79476909999997</v>
      </c>
      <c r="V54">
        <f t="shared" si="3"/>
        <v>259.37424600999998</v>
      </c>
      <c r="W54">
        <f t="shared" si="3"/>
        <v>285.31167061099995</v>
      </c>
      <c r="X54">
        <f t="shared" si="3"/>
        <v>313.84283767209996</v>
      </c>
      <c r="Y54">
        <f t="shared" si="3"/>
        <v>345.22712143930994</v>
      </c>
      <c r="Z54">
        <f t="shared" si="3"/>
        <v>379.74983358324096</v>
      </c>
      <c r="AA54">
        <f t="shared" si="3"/>
        <v>417.72481694156505</v>
      </c>
      <c r="AB54">
        <f t="shared" si="3"/>
        <v>459.49729863572156</v>
      </c>
      <c r="AC54">
        <f t="shared" si="3"/>
        <v>505.44702849929371</v>
      </c>
      <c r="AD54">
        <f t="shared" si="3"/>
        <v>555.99173134922307</v>
      </c>
      <c r="AE54">
        <f t="shared" si="3"/>
        <v>611.59090448414543</v>
      </c>
      <c r="AF54">
        <f>AE54+AE54/$J54</f>
        <v>672.74999493255996</v>
      </c>
    </row>
    <row r="55" spans="8:32" x14ac:dyDescent="0.35">
      <c r="J55">
        <v>20</v>
      </c>
      <c r="K55" t="s">
        <v>109</v>
      </c>
      <c r="L55">
        <v>100</v>
      </c>
      <c r="M55">
        <f t="shared" ref="M55:AB56" si="4">L55+L55/$J55</f>
        <v>105</v>
      </c>
      <c r="N55">
        <f t="shared" si="4"/>
        <v>110.25</v>
      </c>
      <c r="O55">
        <f t="shared" si="4"/>
        <v>115.7625</v>
      </c>
      <c r="P55">
        <f t="shared" si="4"/>
        <v>121.550625</v>
      </c>
      <c r="Q55">
        <f t="shared" si="4"/>
        <v>127.62815624999999</v>
      </c>
      <c r="R55">
        <f t="shared" si="4"/>
        <v>134.00956406249998</v>
      </c>
      <c r="S55">
        <f t="shared" si="4"/>
        <v>140.71004226562496</v>
      </c>
      <c r="T55">
        <f t="shared" si="4"/>
        <v>147.7455443789062</v>
      </c>
      <c r="U55">
        <f t="shared" si="4"/>
        <v>155.13282159785152</v>
      </c>
      <c r="V55">
        <f t="shared" si="4"/>
        <v>162.88946267774409</v>
      </c>
      <c r="W55">
        <f t="shared" si="4"/>
        <v>171.0339358116313</v>
      </c>
      <c r="X55">
        <f t="shared" si="4"/>
        <v>179.58563260221285</v>
      </c>
      <c r="Y55">
        <f t="shared" si="4"/>
        <v>188.5649142323235</v>
      </c>
      <c r="Z55">
        <f t="shared" si="4"/>
        <v>197.99315994393967</v>
      </c>
      <c r="AA55">
        <f t="shared" si="4"/>
        <v>207.89281794113666</v>
      </c>
      <c r="AB55">
        <f t="shared" si="4"/>
        <v>218.28745883819349</v>
      </c>
      <c r="AC55">
        <f t="shared" si="3"/>
        <v>229.20183178010316</v>
      </c>
      <c r="AD55">
        <f t="shared" si="3"/>
        <v>240.66192336910831</v>
      </c>
      <c r="AE55">
        <f t="shared" si="3"/>
        <v>252.69501953756372</v>
      </c>
      <c r="AF55">
        <f>AE55+AE55/$J55</f>
        <v>265.32977051444192</v>
      </c>
    </row>
    <row r="56" spans="8:32" x14ac:dyDescent="0.35">
      <c r="J56">
        <v>30</v>
      </c>
      <c r="K56" t="s">
        <v>110</v>
      </c>
      <c r="L56">
        <v>100</v>
      </c>
      <c r="M56">
        <f t="shared" si="4"/>
        <v>103.33333333333333</v>
      </c>
      <c r="N56">
        <f t="shared" si="4"/>
        <v>106.77777777777777</v>
      </c>
      <c r="O56">
        <f t="shared" si="4"/>
        <v>110.33703703703704</v>
      </c>
      <c r="P56">
        <f t="shared" si="4"/>
        <v>114.01493827160493</v>
      </c>
      <c r="Q56">
        <f t="shared" si="4"/>
        <v>117.81543621399176</v>
      </c>
      <c r="R56">
        <f t="shared" si="4"/>
        <v>121.74261742112482</v>
      </c>
      <c r="S56">
        <f t="shared" si="4"/>
        <v>125.80070466849564</v>
      </c>
      <c r="T56">
        <f t="shared" si="4"/>
        <v>129.99406149077882</v>
      </c>
      <c r="U56">
        <f t="shared" si="4"/>
        <v>134.32719687380478</v>
      </c>
      <c r="V56">
        <f t="shared" si="4"/>
        <v>138.8047701029316</v>
      </c>
      <c r="W56">
        <f t="shared" si="4"/>
        <v>143.43159577302933</v>
      </c>
      <c r="X56">
        <f t="shared" si="4"/>
        <v>148.21264896546364</v>
      </c>
      <c r="Y56">
        <f t="shared" si="4"/>
        <v>153.15307059764575</v>
      </c>
      <c r="Z56">
        <f t="shared" si="4"/>
        <v>158.25817295090062</v>
      </c>
      <c r="AA56">
        <f t="shared" si="4"/>
        <v>163.53344538259731</v>
      </c>
      <c r="AB56">
        <f t="shared" si="4"/>
        <v>168.98456022868388</v>
      </c>
      <c r="AC56">
        <f t="shared" si="3"/>
        <v>174.61737890297334</v>
      </c>
      <c r="AD56">
        <f t="shared" si="3"/>
        <v>180.43795819973911</v>
      </c>
      <c r="AE56">
        <f t="shared" si="3"/>
        <v>186.4525568063971</v>
      </c>
      <c r="AF56">
        <f>AE56+AE56/$J56</f>
        <v>192.66764203327699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509F-F21D-45D6-AF6F-466D6046E401}">
  <dimension ref="A1:Q1552"/>
  <sheetViews>
    <sheetView topLeftCell="C1" workbookViewId="0">
      <selection sqref="A1:XFD1048576"/>
    </sheetView>
  </sheetViews>
  <sheetFormatPr defaultRowHeight="14.5" x14ac:dyDescent="0.35"/>
  <cols>
    <col min="3" max="3" width="50.26953125" bestFit="1" customWidth="1"/>
    <col min="4" max="6" width="14.6328125" bestFit="1" customWidth="1"/>
    <col min="7" max="7" width="11.08984375" bestFit="1" customWidth="1"/>
    <col min="9" max="9" width="11.08984375" bestFit="1" customWidth="1"/>
    <col min="10" max="10" width="10.26953125" bestFit="1" customWidth="1"/>
    <col min="11" max="11" width="11.08984375" bestFit="1" customWidth="1"/>
    <col min="12" max="12" width="10.26953125" bestFit="1" customWidth="1"/>
    <col min="13" max="13" width="13.453125" customWidth="1"/>
    <col min="14" max="14" width="12.36328125" bestFit="1" customWidth="1"/>
    <col min="15" max="15" width="8.81640625" bestFit="1" customWidth="1"/>
    <col min="16" max="17" width="9.36328125" bestFit="1" customWidth="1"/>
  </cols>
  <sheetData>
    <row r="1" spans="1:17" s="97" customFormat="1" ht="42.5" x14ac:dyDescent="0.35">
      <c r="A1" s="95" t="s">
        <v>209</v>
      </c>
      <c r="B1" s="95" t="s">
        <v>0</v>
      </c>
      <c r="C1" s="95" t="s">
        <v>210</v>
      </c>
      <c r="D1" s="95" t="s">
        <v>211</v>
      </c>
      <c r="E1" s="95" t="s">
        <v>212</v>
      </c>
      <c r="F1" s="95" t="s">
        <v>213</v>
      </c>
      <c r="G1" s="96" t="s">
        <v>214</v>
      </c>
      <c r="H1" s="95" t="s">
        <v>215</v>
      </c>
      <c r="I1" s="95" t="s">
        <v>216</v>
      </c>
      <c r="J1" s="95" t="s">
        <v>217</v>
      </c>
      <c r="K1" s="95" t="s">
        <v>218</v>
      </c>
      <c r="L1" s="95" t="s">
        <v>219</v>
      </c>
      <c r="M1" s="95" t="s">
        <v>220</v>
      </c>
      <c r="N1" s="95" t="s">
        <v>69</v>
      </c>
      <c r="O1" s="95" t="s">
        <v>221</v>
      </c>
      <c r="P1" s="95" t="s">
        <v>222</v>
      </c>
      <c r="Q1" s="95" t="s">
        <v>223</v>
      </c>
    </row>
    <row r="2" spans="1:17" x14ac:dyDescent="0.35">
      <c r="A2" s="98" t="s">
        <v>2</v>
      </c>
      <c r="B2" s="98" t="s">
        <v>137</v>
      </c>
      <c r="C2" s="98" t="s">
        <v>224</v>
      </c>
      <c r="D2" s="99">
        <v>26147002.000000011</v>
      </c>
      <c r="E2" s="99">
        <v>31273533.000000004</v>
      </c>
      <c r="F2" s="99">
        <v>35588987.00000003</v>
      </c>
      <c r="G2" s="99">
        <v>0</v>
      </c>
      <c r="H2" s="98" t="s">
        <v>225</v>
      </c>
      <c r="I2" s="99">
        <v>1680</v>
      </c>
      <c r="J2" s="98">
        <v>2018</v>
      </c>
      <c r="K2" s="99">
        <v>5</v>
      </c>
      <c r="L2" s="98">
        <v>2022</v>
      </c>
      <c r="M2" s="98" t="s">
        <v>226</v>
      </c>
      <c r="N2" s="99">
        <v>7.414851832045585</v>
      </c>
      <c r="O2" s="100">
        <v>0</v>
      </c>
      <c r="P2" s="100">
        <v>0.53719546173436805</v>
      </c>
      <c r="Q2" s="100">
        <v>2.0834680773705585E-3</v>
      </c>
    </row>
    <row r="3" spans="1:17" x14ac:dyDescent="0.35">
      <c r="A3" s="98" t="s">
        <v>2</v>
      </c>
      <c r="B3" s="98" t="s">
        <v>137</v>
      </c>
      <c r="C3" s="98" t="s">
        <v>227</v>
      </c>
      <c r="D3" s="99">
        <v>26147002.000000011</v>
      </c>
      <c r="E3" s="99">
        <v>31273533.000000004</v>
      </c>
      <c r="F3" s="99">
        <v>35588987.00000003</v>
      </c>
      <c r="G3" s="99">
        <v>85</v>
      </c>
      <c r="H3" s="98">
        <v>2012</v>
      </c>
      <c r="I3" s="99">
        <v>4</v>
      </c>
      <c r="J3" s="98">
        <v>2018</v>
      </c>
      <c r="K3" s="99">
        <v>197</v>
      </c>
      <c r="L3" s="98">
        <v>2022</v>
      </c>
      <c r="M3" s="98" t="s">
        <v>225</v>
      </c>
      <c r="N3" s="99">
        <v>197</v>
      </c>
      <c r="O3" s="100">
        <v>3.2508507093853424E-2</v>
      </c>
      <c r="P3" s="100">
        <v>1.2790368136532573E-3</v>
      </c>
      <c r="Q3" s="100">
        <v>5.5354202691973178E-2</v>
      </c>
    </row>
    <row r="4" spans="1:17" x14ac:dyDescent="0.35">
      <c r="A4" s="98" t="s">
        <v>2</v>
      </c>
      <c r="B4" s="98" t="s">
        <v>137</v>
      </c>
      <c r="C4" s="98" t="s">
        <v>228</v>
      </c>
      <c r="D4" s="99">
        <v>26147002.000000011</v>
      </c>
      <c r="E4" s="99">
        <v>31273533.000000004</v>
      </c>
      <c r="F4" s="99">
        <v>35588987.00000003</v>
      </c>
      <c r="G4" s="99">
        <v>517</v>
      </c>
      <c r="H4" s="98">
        <v>2012</v>
      </c>
      <c r="I4" s="99">
        <v>657</v>
      </c>
      <c r="J4" s="98" t="s">
        <v>229</v>
      </c>
      <c r="K4" s="99">
        <v>10</v>
      </c>
      <c r="L4" s="98">
        <v>2022</v>
      </c>
      <c r="M4" s="98" t="s">
        <v>226</v>
      </c>
      <c r="N4" s="99">
        <v>14.82970366409117</v>
      </c>
      <c r="O4" s="100">
        <v>0.19772821373555552</v>
      </c>
      <c r="P4" s="100">
        <v>0.21008179664254753</v>
      </c>
      <c r="Q4" s="100">
        <v>4.166936154741117E-3</v>
      </c>
    </row>
    <row r="5" spans="1:17" x14ac:dyDescent="0.35">
      <c r="A5" s="98" t="s">
        <v>2</v>
      </c>
      <c r="B5" s="98" t="s">
        <v>137</v>
      </c>
      <c r="C5" s="98" t="s">
        <v>230</v>
      </c>
      <c r="D5" s="99">
        <v>26147002.000000011</v>
      </c>
      <c r="E5" s="99">
        <v>31273533.000000004</v>
      </c>
      <c r="F5" s="99">
        <v>35588987.00000003</v>
      </c>
      <c r="G5" s="99">
        <v>0</v>
      </c>
      <c r="H5" s="98" t="s">
        <v>225</v>
      </c>
      <c r="I5" s="99">
        <v>0</v>
      </c>
      <c r="J5" s="98" t="s">
        <v>225</v>
      </c>
      <c r="K5" s="99">
        <v>0</v>
      </c>
      <c r="L5" s="98" t="s">
        <v>225</v>
      </c>
      <c r="M5" s="98" t="s">
        <v>225</v>
      </c>
      <c r="N5" s="99">
        <v>0</v>
      </c>
      <c r="O5" s="100">
        <v>0</v>
      </c>
      <c r="P5" s="100">
        <v>0</v>
      </c>
      <c r="Q5" s="100">
        <v>0</v>
      </c>
    </row>
    <row r="6" spans="1:17" x14ac:dyDescent="0.35">
      <c r="A6" s="98" t="s">
        <v>2</v>
      </c>
      <c r="B6" s="98" t="s">
        <v>137</v>
      </c>
      <c r="C6" s="98" t="s">
        <v>231</v>
      </c>
      <c r="D6" s="99">
        <v>26147002.000000011</v>
      </c>
      <c r="E6" s="99">
        <v>31273533.000000004</v>
      </c>
      <c r="F6" s="99">
        <v>35588987.00000003</v>
      </c>
      <c r="G6" s="99">
        <v>0</v>
      </c>
      <c r="H6" s="98" t="s">
        <v>225</v>
      </c>
      <c r="I6" s="99">
        <v>328</v>
      </c>
      <c r="J6" s="98" t="s">
        <v>229</v>
      </c>
      <c r="K6" s="99">
        <v>2072</v>
      </c>
      <c r="L6" s="98">
        <v>2022</v>
      </c>
      <c r="M6" s="98" t="s">
        <v>225</v>
      </c>
      <c r="N6" s="99">
        <v>2072</v>
      </c>
      <c r="O6" s="100">
        <v>0</v>
      </c>
      <c r="P6" s="100">
        <v>0.10488101871956711</v>
      </c>
      <c r="Q6" s="100">
        <v>0.58220257856735236</v>
      </c>
    </row>
    <row r="7" spans="1:17" x14ac:dyDescent="0.35">
      <c r="A7" s="98" t="s">
        <v>2</v>
      </c>
      <c r="B7" s="98" t="s">
        <v>137</v>
      </c>
      <c r="C7" s="98" t="s">
        <v>232</v>
      </c>
      <c r="D7" s="99">
        <v>26147002.000000011</v>
      </c>
      <c r="E7" s="99">
        <v>31273533.000000004</v>
      </c>
      <c r="F7" s="99">
        <v>35588987.00000003</v>
      </c>
      <c r="G7" s="99">
        <v>0</v>
      </c>
      <c r="H7" s="98" t="s">
        <v>225</v>
      </c>
      <c r="I7" s="99">
        <v>75</v>
      </c>
      <c r="J7" s="98" t="s">
        <v>229</v>
      </c>
      <c r="K7" s="99">
        <v>75</v>
      </c>
      <c r="L7" s="98" t="s">
        <v>229</v>
      </c>
      <c r="M7" s="98" t="s">
        <v>225</v>
      </c>
      <c r="N7" s="99">
        <v>75</v>
      </c>
      <c r="O7" s="100">
        <v>0</v>
      </c>
      <c r="P7" s="100">
        <v>2.3981940255998577E-2</v>
      </c>
      <c r="Q7" s="100">
        <v>2.107393503501517E-2</v>
      </c>
    </row>
    <row r="8" spans="1:17" x14ac:dyDescent="0.35">
      <c r="A8" s="98" t="s">
        <v>2</v>
      </c>
      <c r="B8" s="98" t="s">
        <v>137</v>
      </c>
      <c r="C8" s="98" t="s">
        <v>233</v>
      </c>
      <c r="D8" s="99">
        <v>26147002.000000011</v>
      </c>
      <c r="E8" s="99">
        <v>31273533.000000004</v>
      </c>
      <c r="F8" s="99">
        <v>35588987.00000003</v>
      </c>
      <c r="G8" s="99">
        <v>0</v>
      </c>
      <c r="H8" s="98" t="s">
        <v>225</v>
      </c>
      <c r="I8" s="99">
        <v>468</v>
      </c>
      <c r="J8" s="98" t="s">
        <v>229</v>
      </c>
      <c r="K8" s="99">
        <v>9</v>
      </c>
      <c r="L8" s="98">
        <v>2022</v>
      </c>
      <c r="M8" s="98" t="s">
        <v>226</v>
      </c>
      <c r="N8" s="99">
        <v>13.346733297682052</v>
      </c>
      <c r="O8" s="100">
        <v>0</v>
      </c>
      <c r="P8" s="100">
        <v>0.14964730719743111</v>
      </c>
      <c r="Q8" s="100">
        <v>3.7502425392670047E-3</v>
      </c>
    </row>
    <row r="9" spans="1:17" x14ac:dyDescent="0.35">
      <c r="A9" s="98" t="s">
        <v>2</v>
      </c>
      <c r="B9" s="98" t="s">
        <v>137</v>
      </c>
      <c r="C9" s="98" t="s">
        <v>234</v>
      </c>
      <c r="D9" s="99">
        <v>26147002.000000011</v>
      </c>
      <c r="E9" s="99">
        <v>31273533.000000004</v>
      </c>
      <c r="F9" s="99">
        <v>35588987.00000003</v>
      </c>
      <c r="G9" s="99">
        <v>0</v>
      </c>
      <c r="H9" s="98" t="s">
        <v>225</v>
      </c>
      <c r="I9" s="99">
        <v>134</v>
      </c>
      <c r="J9" s="98" t="s">
        <v>229</v>
      </c>
      <c r="K9" s="99">
        <v>134</v>
      </c>
      <c r="L9" s="98" t="s">
        <v>229</v>
      </c>
      <c r="M9" s="98" t="s">
        <v>225</v>
      </c>
      <c r="N9" s="99">
        <v>134</v>
      </c>
      <c r="O9" s="100">
        <v>0</v>
      </c>
      <c r="P9" s="100">
        <v>4.284773325738412E-2</v>
      </c>
      <c r="Q9" s="100">
        <v>3.7652097262560434E-2</v>
      </c>
    </row>
    <row r="10" spans="1:17" x14ac:dyDescent="0.35">
      <c r="A10" s="98" t="s">
        <v>2</v>
      </c>
      <c r="B10" s="98" t="s">
        <v>137</v>
      </c>
      <c r="C10" s="98" t="s">
        <v>235</v>
      </c>
      <c r="D10" s="99">
        <v>26147002.000000011</v>
      </c>
      <c r="E10" s="99">
        <v>31273533.000000004</v>
      </c>
      <c r="F10" s="99">
        <v>35588987.00000003</v>
      </c>
      <c r="G10" s="99">
        <v>0</v>
      </c>
      <c r="H10" s="98" t="s">
        <v>225</v>
      </c>
      <c r="I10" s="99">
        <v>789</v>
      </c>
      <c r="J10" s="98" t="s">
        <v>229</v>
      </c>
      <c r="K10" s="99">
        <v>107</v>
      </c>
      <c r="L10" s="98">
        <v>2022</v>
      </c>
      <c r="M10" s="98" t="s">
        <v>226</v>
      </c>
      <c r="N10" s="99">
        <v>158.67782920577551</v>
      </c>
      <c r="O10" s="100">
        <v>0</v>
      </c>
      <c r="P10" s="100">
        <v>0.25229001149310504</v>
      </c>
      <c r="Q10" s="100">
        <v>4.4586216855729943E-2</v>
      </c>
    </row>
    <row r="11" spans="1:17" x14ac:dyDescent="0.35">
      <c r="A11" s="98" t="s">
        <v>2</v>
      </c>
      <c r="B11" s="98" t="s">
        <v>137</v>
      </c>
      <c r="C11" s="98" t="s">
        <v>236</v>
      </c>
      <c r="D11" s="99">
        <v>26147002.000000011</v>
      </c>
      <c r="E11" s="99">
        <v>31273533.000000004</v>
      </c>
      <c r="F11" s="99">
        <v>35588987.00000003</v>
      </c>
      <c r="G11" s="99">
        <v>0</v>
      </c>
      <c r="H11" s="98" t="s">
        <v>225</v>
      </c>
      <c r="I11" s="99">
        <v>190</v>
      </c>
      <c r="J11" s="98" t="s">
        <v>229</v>
      </c>
      <c r="K11" s="99">
        <v>117</v>
      </c>
      <c r="L11" s="98">
        <v>2022</v>
      </c>
      <c r="M11" s="98" t="s">
        <v>226</v>
      </c>
      <c r="N11" s="99">
        <v>173.50753286986668</v>
      </c>
      <c r="O11" s="100">
        <v>0</v>
      </c>
      <c r="P11" s="100">
        <v>6.0754248648529727E-2</v>
      </c>
      <c r="Q11" s="100">
        <v>4.8753153010471055E-2</v>
      </c>
    </row>
    <row r="12" spans="1:17" x14ac:dyDescent="0.35">
      <c r="A12" s="98" t="s">
        <v>2</v>
      </c>
      <c r="B12" s="98" t="s">
        <v>137</v>
      </c>
      <c r="C12" s="98" t="s">
        <v>237</v>
      </c>
      <c r="D12" s="99">
        <v>26147002.000000011</v>
      </c>
      <c r="E12" s="99">
        <v>31273533.000000004</v>
      </c>
      <c r="F12" s="99">
        <v>35588987.00000003</v>
      </c>
      <c r="G12" s="99">
        <v>0</v>
      </c>
      <c r="H12" s="98" t="s">
        <v>225</v>
      </c>
      <c r="I12" s="99">
        <v>56</v>
      </c>
      <c r="J12" s="98" t="s">
        <v>229</v>
      </c>
      <c r="K12" s="99">
        <v>6</v>
      </c>
      <c r="L12" s="98">
        <v>2022</v>
      </c>
      <c r="M12" s="98" t="s">
        <v>226</v>
      </c>
      <c r="N12" s="99">
        <v>8.8978221984547012</v>
      </c>
      <c r="O12" s="100">
        <v>0</v>
      </c>
      <c r="P12" s="100">
        <v>1.7906515391145603E-2</v>
      </c>
      <c r="Q12" s="100">
        <v>2.5001616928446695E-3</v>
      </c>
    </row>
    <row r="13" spans="1:17" x14ac:dyDescent="0.35">
      <c r="A13" s="98" t="s">
        <v>2</v>
      </c>
      <c r="B13" s="98" t="s">
        <v>137</v>
      </c>
      <c r="C13" s="98" t="s">
        <v>238</v>
      </c>
      <c r="D13" s="99">
        <v>26147002.000000011</v>
      </c>
      <c r="E13" s="99">
        <v>31273533.000000004</v>
      </c>
      <c r="F13" s="99">
        <v>35588987.00000003</v>
      </c>
      <c r="G13" s="99">
        <v>0</v>
      </c>
      <c r="H13" s="98" t="s">
        <v>225</v>
      </c>
      <c r="I13" s="99">
        <v>28324</v>
      </c>
      <c r="J13" s="98" t="s">
        <v>229</v>
      </c>
      <c r="K13" s="99">
        <v>28324</v>
      </c>
      <c r="L13" s="98" t="s">
        <v>229</v>
      </c>
      <c r="M13" s="98" t="s">
        <v>225</v>
      </c>
      <c r="N13" s="99">
        <v>28324</v>
      </c>
      <c r="O13" s="100">
        <v>0</v>
      </c>
      <c r="P13" s="100">
        <v>9.056859677478716</v>
      </c>
      <c r="Q13" s="100">
        <v>7.9586418124235951</v>
      </c>
    </row>
    <row r="14" spans="1:17" x14ac:dyDescent="0.35">
      <c r="A14" s="98" t="s">
        <v>2</v>
      </c>
      <c r="B14" s="98" t="s">
        <v>137</v>
      </c>
      <c r="C14" s="98" t="s">
        <v>239</v>
      </c>
      <c r="D14" s="99">
        <v>26147002.000000011</v>
      </c>
      <c r="E14" s="99">
        <v>31273533.000000004</v>
      </c>
      <c r="F14" s="99">
        <v>35588987.00000003</v>
      </c>
      <c r="G14" s="99">
        <v>0</v>
      </c>
      <c r="H14" s="98" t="s">
        <v>225</v>
      </c>
      <c r="I14" s="99">
        <v>0</v>
      </c>
      <c r="J14" s="98" t="s">
        <v>225</v>
      </c>
      <c r="K14" s="99">
        <v>8431</v>
      </c>
      <c r="L14" s="98">
        <v>2022</v>
      </c>
      <c r="M14" s="98" t="s">
        <v>225</v>
      </c>
      <c r="N14" s="99">
        <v>8431</v>
      </c>
      <c r="O14" s="100">
        <v>0</v>
      </c>
      <c r="P14" s="100">
        <v>0</v>
      </c>
      <c r="Q14" s="100">
        <v>2.3689912837361717</v>
      </c>
    </row>
    <row r="15" spans="1:17" x14ac:dyDescent="0.35">
      <c r="A15" s="98" t="s">
        <v>2</v>
      </c>
      <c r="B15" s="98" t="s">
        <v>137</v>
      </c>
      <c r="C15" s="98" t="s">
        <v>240</v>
      </c>
      <c r="D15" s="99">
        <v>26147002.000000011</v>
      </c>
      <c r="E15" s="99">
        <v>31273533.000000004</v>
      </c>
      <c r="F15" s="99">
        <v>35588987.00000003</v>
      </c>
      <c r="G15" s="99">
        <v>0</v>
      </c>
      <c r="H15" s="98" t="s">
        <v>225</v>
      </c>
      <c r="I15" s="99">
        <v>98</v>
      </c>
      <c r="J15" s="98" t="s">
        <v>229</v>
      </c>
      <c r="K15" s="99">
        <v>12</v>
      </c>
      <c r="L15" s="98">
        <v>2022</v>
      </c>
      <c r="M15" s="98" t="s">
        <v>226</v>
      </c>
      <c r="N15" s="99">
        <v>17.795644396909402</v>
      </c>
      <c r="O15" s="100">
        <v>0</v>
      </c>
      <c r="P15" s="100">
        <v>3.1336401934504807E-2</v>
      </c>
      <c r="Q15" s="100">
        <v>5.0003233856893391E-3</v>
      </c>
    </row>
    <row r="16" spans="1:17" x14ac:dyDescent="0.35">
      <c r="A16" s="98" t="s">
        <v>2</v>
      </c>
      <c r="B16" s="98" t="s">
        <v>137</v>
      </c>
      <c r="C16" s="98" t="s">
        <v>241</v>
      </c>
      <c r="D16" s="99">
        <v>26147002.000000011</v>
      </c>
      <c r="E16" s="99">
        <v>31273533.000000004</v>
      </c>
      <c r="F16" s="99">
        <v>35588987.00000003</v>
      </c>
      <c r="G16" s="99">
        <v>0</v>
      </c>
      <c r="H16" s="98" t="s">
        <v>225</v>
      </c>
      <c r="I16" s="99">
        <v>56</v>
      </c>
      <c r="J16" s="98" t="s">
        <v>229</v>
      </c>
      <c r="K16" s="99">
        <v>56</v>
      </c>
      <c r="L16" s="98" t="s">
        <v>229</v>
      </c>
      <c r="M16" s="98" t="s">
        <v>225</v>
      </c>
      <c r="N16" s="99">
        <v>56</v>
      </c>
      <c r="O16" s="100">
        <v>0</v>
      </c>
      <c r="P16" s="100">
        <v>1.7906515391145603E-2</v>
      </c>
      <c r="Q16" s="100">
        <v>1.5735204826144659E-2</v>
      </c>
    </row>
    <row r="17" spans="1:17" x14ac:dyDescent="0.35">
      <c r="A17" s="98" t="s">
        <v>2</v>
      </c>
      <c r="B17" s="98" t="s">
        <v>137</v>
      </c>
      <c r="C17" s="98" t="s">
        <v>242</v>
      </c>
      <c r="D17" s="99">
        <v>26147002.000000011</v>
      </c>
      <c r="E17" s="99">
        <v>31273533.000000004</v>
      </c>
      <c r="F17" s="99">
        <v>35588987.00000003</v>
      </c>
      <c r="G17" s="99">
        <v>0</v>
      </c>
      <c r="H17" s="98" t="s">
        <v>225</v>
      </c>
      <c r="I17" s="99">
        <v>1156</v>
      </c>
      <c r="J17" s="98" t="s">
        <v>229</v>
      </c>
      <c r="K17" s="99">
        <v>1195</v>
      </c>
      <c r="L17" s="98">
        <v>2022</v>
      </c>
      <c r="M17" s="98" t="s">
        <v>225</v>
      </c>
      <c r="N17" s="99">
        <v>1195</v>
      </c>
      <c r="O17" s="100">
        <v>0</v>
      </c>
      <c r="P17" s="100">
        <v>0.3696416391457914</v>
      </c>
      <c r="Q17" s="100">
        <v>0.33577803155790836</v>
      </c>
    </row>
    <row r="18" spans="1:17" x14ac:dyDescent="0.35">
      <c r="A18" s="98" t="s">
        <v>2</v>
      </c>
      <c r="B18" s="98" t="s">
        <v>137</v>
      </c>
      <c r="C18" s="98" t="s">
        <v>243</v>
      </c>
      <c r="D18" s="99">
        <v>26147002.000000011</v>
      </c>
      <c r="E18" s="99">
        <v>31273533.000000004</v>
      </c>
      <c r="F18" s="99">
        <v>35588987.00000003</v>
      </c>
      <c r="G18" s="99">
        <v>0</v>
      </c>
      <c r="H18" s="98" t="s">
        <v>225</v>
      </c>
      <c r="I18" s="99">
        <v>0</v>
      </c>
      <c r="J18" s="98" t="s">
        <v>225</v>
      </c>
      <c r="K18" s="99">
        <v>41</v>
      </c>
      <c r="L18" s="98">
        <v>2022</v>
      </c>
      <c r="M18" s="98" t="s">
        <v>225</v>
      </c>
      <c r="N18" s="99">
        <v>41</v>
      </c>
      <c r="O18" s="100">
        <v>0</v>
      </c>
      <c r="P18" s="100">
        <v>0</v>
      </c>
      <c r="Q18" s="100">
        <v>1.1520417819141626E-2</v>
      </c>
    </row>
    <row r="19" spans="1:17" x14ac:dyDescent="0.35">
      <c r="A19" s="98" t="s">
        <v>2</v>
      </c>
      <c r="B19" s="98" t="s">
        <v>137</v>
      </c>
      <c r="C19" s="98" t="s">
        <v>244</v>
      </c>
      <c r="D19" s="99">
        <v>26147002.000000011</v>
      </c>
      <c r="E19" s="99">
        <v>31273533.000000004</v>
      </c>
      <c r="F19" s="99">
        <v>35588987.00000003</v>
      </c>
      <c r="G19" s="99">
        <v>0</v>
      </c>
      <c r="H19" s="98" t="s">
        <v>225</v>
      </c>
      <c r="I19" s="99">
        <v>0</v>
      </c>
      <c r="J19" s="98" t="s">
        <v>225</v>
      </c>
      <c r="K19" s="99">
        <v>1</v>
      </c>
      <c r="L19" s="98">
        <v>2022</v>
      </c>
      <c r="M19" s="98" t="s">
        <v>225</v>
      </c>
      <c r="N19" s="99">
        <v>1</v>
      </c>
      <c r="O19" s="100">
        <v>0</v>
      </c>
      <c r="P19" s="100">
        <v>0</v>
      </c>
      <c r="Q19" s="100">
        <v>2.8098580046686893E-4</v>
      </c>
    </row>
    <row r="20" spans="1:17" x14ac:dyDescent="0.35">
      <c r="A20" s="98" t="s">
        <v>2</v>
      </c>
      <c r="B20" s="98" t="s">
        <v>137</v>
      </c>
      <c r="C20" s="98" t="s">
        <v>245</v>
      </c>
      <c r="D20" s="99">
        <v>26147002.000000011</v>
      </c>
      <c r="E20" s="99">
        <v>31273533.000000004</v>
      </c>
      <c r="F20" s="99">
        <v>35588987.00000003</v>
      </c>
      <c r="G20" s="99">
        <v>0</v>
      </c>
      <c r="H20" s="98" t="s">
        <v>225</v>
      </c>
      <c r="I20" s="99">
        <v>16380</v>
      </c>
      <c r="J20" s="98" t="s">
        <v>229</v>
      </c>
      <c r="K20" s="99">
        <v>16380</v>
      </c>
      <c r="L20" s="98" t="s">
        <v>229</v>
      </c>
      <c r="M20" s="98" t="s">
        <v>225</v>
      </c>
      <c r="N20" s="99">
        <v>16380</v>
      </c>
      <c r="O20" s="100">
        <v>0</v>
      </c>
      <c r="P20" s="100">
        <v>5.237655751910089</v>
      </c>
      <c r="Q20" s="100">
        <v>4.6025474116473131</v>
      </c>
    </row>
    <row r="21" spans="1:17" x14ac:dyDescent="0.35">
      <c r="A21" s="98" t="s">
        <v>6</v>
      </c>
      <c r="B21" s="98" t="s">
        <v>141</v>
      </c>
      <c r="C21" s="98" t="s">
        <v>224</v>
      </c>
      <c r="D21" s="99">
        <v>10149577.500000002</v>
      </c>
      <c r="E21" s="99">
        <v>11493472.499999993</v>
      </c>
      <c r="F21" s="99">
        <v>12889576.499999994</v>
      </c>
      <c r="G21" s="99">
        <v>0</v>
      </c>
      <c r="H21" s="98" t="s">
        <v>225</v>
      </c>
      <c r="I21" s="99">
        <v>11845</v>
      </c>
      <c r="J21" s="98">
        <v>2018</v>
      </c>
      <c r="K21" s="99">
        <v>11845</v>
      </c>
      <c r="L21" s="98">
        <v>2020</v>
      </c>
      <c r="M21" s="98" t="s">
        <v>225</v>
      </c>
      <c r="N21" s="99">
        <v>11845</v>
      </c>
      <c r="O21" s="100">
        <v>0</v>
      </c>
      <c r="P21" s="100">
        <v>10.305849689900079</v>
      </c>
      <c r="Q21" s="100">
        <v>9.1895959498746951</v>
      </c>
    </row>
    <row r="22" spans="1:17" x14ac:dyDescent="0.35">
      <c r="A22" s="98" t="s">
        <v>6</v>
      </c>
      <c r="B22" s="98" t="s">
        <v>141</v>
      </c>
      <c r="C22" s="98" t="s">
        <v>227</v>
      </c>
      <c r="D22" s="99">
        <v>10149577.500000002</v>
      </c>
      <c r="E22" s="99">
        <v>11493472.499999993</v>
      </c>
      <c r="F22" s="99">
        <v>12889576.499999994</v>
      </c>
      <c r="G22" s="99">
        <v>44</v>
      </c>
      <c r="H22" s="98">
        <v>2012</v>
      </c>
      <c r="I22" s="99">
        <v>10</v>
      </c>
      <c r="J22" s="98" t="s">
        <v>229</v>
      </c>
      <c r="K22" s="99">
        <v>10</v>
      </c>
      <c r="L22" s="98" t="s">
        <v>229</v>
      </c>
      <c r="M22" s="98" t="s">
        <v>225</v>
      </c>
      <c r="N22" s="99">
        <v>10</v>
      </c>
      <c r="O22" s="100">
        <v>4.33515582298869E-2</v>
      </c>
      <c r="P22" s="100">
        <v>8.7005907048544346E-3</v>
      </c>
      <c r="Q22" s="100">
        <v>7.7582067960107175E-3</v>
      </c>
    </row>
    <row r="23" spans="1:17" x14ac:dyDescent="0.35">
      <c r="A23" s="98" t="s">
        <v>6</v>
      </c>
      <c r="B23" s="98" t="s">
        <v>141</v>
      </c>
      <c r="C23" s="98" t="s">
        <v>228</v>
      </c>
      <c r="D23" s="99">
        <v>10149577.500000002</v>
      </c>
      <c r="E23" s="99">
        <v>11493472.499999993</v>
      </c>
      <c r="F23" s="99">
        <v>12889576.499999994</v>
      </c>
      <c r="G23" s="99">
        <v>0</v>
      </c>
      <c r="H23" s="98" t="s">
        <v>225</v>
      </c>
      <c r="I23" s="99">
        <v>372</v>
      </c>
      <c r="J23" s="98" t="s">
        <v>229</v>
      </c>
      <c r="K23" s="99">
        <v>149</v>
      </c>
      <c r="L23" s="98" t="s">
        <v>229</v>
      </c>
      <c r="M23" s="98" t="s">
        <v>226</v>
      </c>
      <c r="N23" s="99">
        <v>186.22450107945869</v>
      </c>
      <c r="O23" s="100">
        <v>0</v>
      </c>
      <c r="P23" s="100">
        <v>0.32366197422058496</v>
      </c>
      <c r="Q23" s="100">
        <v>0.14447681898583617</v>
      </c>
    </row>
    <row r="24" spans="1:17" x14ac:dyDescent="0.35">
      <c r="A24" s="98" t="s">
        <v>6</v>
      </c>
      <c r="B24" s="98" t="s">
        <v>141</v>
      </c>
      <c r="C24" s="98" t="s">
        <v>230</v>
      </c>
      <c r="D24" s="99">
        <v>10149577.500000002</v>
      </c>
      <c r="E24" s="99">
        <v>11493472.499999993</v>
      </c>
      <c r="F24" s="99">
        <v>12889576.499999994</v>
      </c>
      <c r="G24" s="99">
        <v>0</v>
      </c>
      <c r="H24" s="98" t="s">
        <v>225</v>
      </c>
      <c r="I24" s="99">
        <v>8664</v>
      </c>
      <c r="J24" s="98" t="s">
        <v>229</v>
      </c>
      <c r="K24" s="99">
        <v>8664</v>
      </c>
      <c r="L24" s="98" t="s">
        <v>229</v>
      </c>
      <c r="M24" s="98" t="s">
        <v>225</v>
      </c>
      <c r="N24" s="99">
        <v>8664</v>
      </c>
      <c r="O24" s="100">
        <v>0</v>
      </c>
      <c r="P24" s="100">
        <v>7.5381917866858821</v>
      </c>
      <c r="Q24" s="100">
        <v>6.721710368063686</v>
      </c>
    </row>
    <row r="25" spans="1:17" x14ac:dyDescent="0.35">
      <c r="A25" s="98" t="s">
        <v>6</v>
      </c>
      <c r="B25" s="98" t="s">
        <v>141</v>
      </c>
      <c r="C25" s="98" t="s">
        <v>231</v>
      </c>
      <c r="D25" s="99">
        <v>10149577.500000002</v>
      </c>
      <c r="E25" s="99">
        <v>11493472.499999993</v>
      </c>
      <c r="F25" s="99">
        <v>12889576.499999994</v>
      </c>
      <c r="G25" s="99">
        <v>0</v>
      </c>
      <c r="H25" s="98" t="s">
        <v>225</v>
      </c>
      <c r="I25" s="99">
        <v>1383</v>
      </c>
      <c r="J25" s="98" t="s">
        <v>229</v>
      </c>
      <c r="K25" s="99">
        <v>1383</v>
      </c>
      <c r="L25" s="98" t="s">
        <v>229</v>
      </c>
      <c r="M25" s="98" t="s">
        <v>225</v>
      </c>
      <c r="N25" s="99">
        <v>1383</v>
      </c>
      <c r="O25" s="100">
        <v>0</v>
      </c>
      <c r="P25" s="100">
        <v>1.2032916944813683</v>
      </c>
      <c r="Q25" s="100">
        <v>1.0729599998882824</v>
      </c>
    </row>
    <row r="26" spans="1:17" x14ac:dyDescent="0.35">
      <c r="A26" s="98" t="s">
        <v>6</v>
      </c>
      <c r="B26" s="98" t="s">
        <v>141</v>
      </c>
      <c r="C26" s="98" t="s">
        <v>232</v>
      </c>
      <c r="D26" s="99">
        <v>10149577.500000002</v>
      </c>
      <c r="E26" s="99">
        <v>11493472.499999993</v>
      </c>
      <c r="F26" s="99">
        <v>12889576.499999994</v>
      </c>
      <c r="G26" s="99">
        <v>0</v>
      </c>
      <c r="H26" s="98" t="s">
        <v>225</v>
      </c>
      <c r="I26" s="99">
        <v>0</v>
      </c>
      <c r="J26" s="98" t="s">
        <v>225</v>
      </c>
      <c r="K26" s="99">
        <v>0</v>
      </c>
      <c r="L26" s="98" t="s">
        <v>225</v>
      </c>
      <c r="M26" s="98" t="s">
        <v>225</v>
      </c>
      <c r="N26" s="99">
        <v>0</v>
      </c>
      <c r="O26" s="100">
        <v>0</v>
      </c>
      <c r="P26" s="100">
        <v>0</v>
      </c>
      <c r="Q26" s="100">
        <v>0</v>
      </c>
    </row>
    <row r="27" spans="1:17" x14ac:dyDescent="0.35">
      <c r="A27" s="98" t="s">
        <v>6</v>
      </c>
      <c r="B27" s="98" t="s">
        <v>141</v>
      </c>
      <c r="C27" s="98" t="s">
        <v>233</v>
      </c>
      <c r="D27" s="99">
        <v>10149577.500000002</v>
      </c>
      <c r="E27" s="99">
        <v>11493472.499999993</v>
      </c>
      <c r="F27" s="99">
        <v>12889576.499999994</v>
      </c>
      <c r="G27" s="99">
        <v>0</v>
      </c>
      <c r="H27" s="98" t="s">
        <v>225</v>
      </c>
      <c r="I27" s="99">
        <v>1071</v>
      </c>
      <c r="J27" s="98">
        <v>2018</v>
      </c>
      <c r="K27" s="99">
        <v>1071</v>
      </c>
      <c r="L27" s="98">
        <v>2018</v>
      </c>
      <c r="M27" s="98" t="s">
        <v>225</v>
      </c>
      <c r="N27" s="99">
        <v>1071</v>
      </c>
      <c r="O27" s="100">
        <v>0</v>
      </c>
      <c r="P27" s="100">
        <v>0.93183326448991</v>
      </c>
      <c r="Q27" s="100">
        <v>0.8309039478527479</v>
      </c>
    </row>
    <row r="28" spans="1:17" x14ac:dyDescent="0.35">
      <c r="A28" s="98" t="s">
        <v>6</v>
      </c>
      <c r="B28" s="98" t="s">
        <v>141</v>
      </c>
      <c r="C28" s="98" t="s">
        <v>234</v>
      </c>
      <c r="D28" s="99">
        <v>10149577.500000002</v>
      </c>
      <c r="E28" s="99">
        <v>11493472.499999993</v>
      </c>
      <c r="F28" s="99">
        <v>12889576.499999994</v>
      </c>
      <c r="G28" s="99">
        <v>0</v>
      </c>
      <c r="H28" s="98" t="s">
        <v>225</v>
      </c>
      <c r="I28" s="99">
        <v>0</v>
      </c>
      <c r="J28" s="98" t="s">
        <v>225</v>
      </c>
      <c r="K28" s="99">
        <v>0</v>
      </c>
      <c r="L28" s="98" t="s">
        <v>225</v>
      </c>
      <c r="M28" s="98" t="s">
        <v>225</v>
      </c>
      <c r="N28" s="99">
        <v>0</v>
      </c>
      <c r="O28" s="100">
        <v>0</v>
      </c>
      <c r="P28" s="100">
        <v>0</v>
      </c>
      <c r="Q28" s="100">
        <v>0</v>
      </c>
    </row>
    <row r="29" spans="1:17" x14ac:dyDescent="0.35">
      <c r="A29" s="98" t="s">
        <v>6</v>
      </c>
      <c r="B29" s="98" t="s">
        <v>141</v>
      </c>
      <c r="C29" s="98" t="s">
        <v>235</v>
      </c>
      <c r="D29" s="99">
        <v>10149577.500000002</v>
      </c>
      <c r="E29" s="99">
        <v>11493472.499999993</v>
      </c>
      <c r="F29" s="99">
        <v>12889576.499999994</v>
      </c>
      <c r="G29" s="99">
        <v>0</v>
      </c>
      <c r="H29" s="98" t="s">
        <v>225</v>
      </c>
      <c r="I29" s="99">
        <v>86</v>
      </c>
      <c r="J29" s="98" t="s">
        <v>229</v>
      </c>
      <c r="K29" s="99">
        <v>81</v>
      </c>
      <c r="L29" s="98">
        <v>2021</v>
      </c>
      <c r="M29" s="98" t="s">
        <v>226</v>
      </c>
      <c r="N29" s="99">
        <v>101.23613817071244</v>
      </c>
      <c r="O29" s="100">
        <v>0</v>
      </c>
      <c r="P29" s="100">
        <v>7.4825080061748137E-2</v>
      </c>
      <c r="Q29" s="100">
        <v>7.8541089515790127E-2</v>
      </c>
    </row>
    <row r="30" spans="1:17" x14ac:dyDescent="0.35">
      <c r="A30" s="98" t="s">
        <v>6</v>
      </c>
      <c r="B30" s="98" t="s">
        <v>141</v>
      </c>
      <c r="C30" s="98" t="s">
        <v>236</v>
      </c>
      <c r="D30" s="99">
        <v>10149577.500000002</v>
      </c>
      <c r="E30" s="99">
        <v>11493472.499999993</v>
      </c>
      <c r="F30" s="99">
        <v>12889576.499999994</v>
      </c>
      <c r="G30" s="99">
        <v>0</v>
      </c>
      <c r="H30" s="98" t="s">
        <v>225</v>
      </c>
      <c r="I30" s="99">
        <v>108</v>
      </c>
      <c r="J30" s="98" t="s">
        <v>229</v>
      </c>
      <c r="K30" s="99">
        <v>108</v>
      </c>
      <c r="L30" s="98" t="s">
        <v>229</v>
      </c>
      <c r="M30" s="98" t="s">
        <v>225</v>
      </c>
      <c r="N30" s="99">
        <v>108</v>
      </c>
      <c r="O30" s="100">
        <v>0</v>
      </c>
      <c r="P30" s="100">
        <v>9.3966379612427903E-2</v>
      </c>
      <c r="Q30" s="100">
        <v>8.3788633396915752E-2</v>
      </c>
    </row>
    <row r="31" spans="1:17" x14ac:dyDescent="0.35">
      <c r="A31" s="98" t="s">
        <v>6</v>
      </c>
      <c r="B31" s="98" t="s">
        <v>141</v>
      </c>
      <c r="C31" s="98" t="s">
        <v>237</v>
      </c>
      <c r="D31" s="99">
        <v>10149577.500000002</v>
      </c>
      <c r="E31" s="99">
        <v>11493472.499999993</v>
      </c>
      <c r="F31" s="99">
        <v>12889576.499999994</v>
      </c>
      <c r="G31" s="99">
        <v>0</v>
      </c>
      <c r="H31" s="98" t="s">
        <v>225</v>
      </c>
      <c r="I31" s="99">
        <v>0</v>
      </c>
      <c r="J31" s="98" t="s">
        <v>225</v>
      </c>
      <c r="K31" s="99">
        <v>0</v>
      </c>
      <c r="L31" s="98" t="s">
        <v>225</v>
      </c>
      <c r="M31" s="98" t="s">
        <v>225</v>
      </c>
      <c r="N31" s="99">
        <v>0</v>
      </c>
      <c r="O31" s="100">
        <v>0</v>
      </c>
      <c r="P31" s="100">
        <v>0</v>
      </c>
      <c r="Q31" s="100">
        <v>0</v>
      </c>
    </row>
    <row r="32" spans="1:17" x14ac:dyDescent="0.35">
      <c r="A32" s="98" t="s">
        <v>6</v>
      </c>
      <c r="B32" s="98" t="s">
        <v>141</v>
      </c>
      <c r="C32" s="98" t="s">
        <v>238</v>
      </c>
      <c r="D32" s="99">
        <v>10149577.500000002</v>
      </c>
      <c r="E32" s="99">
        <v>11493472.499999993</v>
      </c>
      <c r="F32" s="99">
        <v>12889576.499999994</v>
      </c>
      <c r="G32" s="99">
        <v>0</v>
      </c>
      <c r="H32" s="98" t="s">
        <v>225</v>
      </c>
      <c r="I32" s="99">
        <v>2906</v>
      </c>
      <c r="J32" s="98" t="s">
        <v>229</v>
      </c>
      <c r="K32" s="99">
        <v>7805</v>
      </c>
      <c r="L32" s="98">
        <v>2021</v>
      </c>
      <c r="M32" s="98" t="s">
        <v>225</v>
      </c>
      <c r="N32" s="99">
        <v>7805</v>
      </c>
      <c r="O32" s="100">
        <v>0</v>
      </c>
      <c r="P32" s="100">
        <v>2.5283916588306989</v>
      </c>
      <c r="Q32" s="100">
        <v>6.055280404286365</v>
      </c>
    </row>
    <row r="33" spans="1:17" x14ac:dyDescent="0.35">
      <c r="A33" s="98" t="s">
        <v>6</v>
      </c>
      <c r="B33" s="98" t="s">
        <v>141</v>
      </c>
      <c r="C33" s="98" t="s">
        <v>239</v>
      </c>
      <c r="D33" s="99">
        <v>10149577.500000002</v>
      </c>
      <c r="E33" s="99">
        <v>11493472.499999993</v>
      </c>
      <c r="F33" s="99">
        <v>12889576.499999994</v>
      </c>
      <c r="G33" s="99">
        <v>0</v>
      </c>
      <c r="H33" s="98" t="s">
        <v>225</v>
      </c>
      <c r="I33" s="99">
        <v>9003</v>
      </c>
      <c r="J33" s="98">
        <v>2017</v>
      </c>
      <c r="K33" s="99">
        <v>9003</v>
      </c>
      <c r="L33" s="98">
        <v>2017</v>
      </c>
      <c r="M33" s="98" t="s">
        <v>225</v>
      </c>
      <c r="N33" s="99">
        <v>9003</v>
      </c>
      <c r="O33" s="100">
        <v>0</v>
      </c>
      <c r="P33" s="100">
        <v>7.8331418115804476</v>
      </c>
      <c r="Q33" s="100">
        <v>6.9847135784484493</v>
      </c>
    </row>
    <row r="34" spans="1:17" x14ac:dyDescent="0.35">
      <c r="A34" s="98" t="s">
        <v>6</v>
      </c>
      <c r="B34" s="98" t="s">
        <v>141</v>
      </c>
      <c r="C34" s="98" t="s">
        <v>240</v>
      </c>
      <c r="D34" s="99">
        <v>10149577.500000002</v>
      </c>
      <c r="E34" s="99">
        <v>11493472.499999993</v>
      </c>
      <c r="F34" s="99">
        <v>12889576.499999994</v>
      </c>
      <c r="G34" s="99">
        <v>0</v>
      </c>
      <c r="H34" s="98" t="s">
        <v>225</v>
      </c>
      <c r="I34" s="99">
        <v>1071</v>
      </c>
      <c r="J34" s="98" t="s">
        <v>229</v>
      </c>
      <c r="K34" s="99">
        <v>729</v>
      </c>
      <c r="L34" s="98">
        <v>2021</v>
      </c>
      <c r="M34" s="98" t="s">
        <v>226</v>
      </c>
      <c r="N34" s="99">
        <v>911.12524353641197</v>
      </c>
      <c r="O34" s="100">
        <v>0</v>
      </c>
      <c r="P34" s="100">
        <v>0.93183326448991</v>
      </c>
      <c r="Q34" s="100">
        <v>0.70686980564211122</v>
      </c>
    </row>
    <row r="35" spans="1:17" x14ac:dyDescent="0.35">
      <c r="A35" s="98" t="s">
        <v>6</v>
      </c>
      <c r="B35" s="98" t="s">
        <v>141</v>
      </c>
      <c r="C35" s="98" t="s">
        <v>241</v>
      </c>
      <c r="D35" s="99">
        <v>10149577.500000002</v>
      </c>
      <c r="E35" s="99">
        <v>11493472.499999993</v>
      </c>
      <c r="F35" s="99">
        <v>12889576.499999994</v>
      </c>
      <c r="G35" s="99">
        <v>0</v>
      </c>
      <c r="H35" s="98" t="s">
        <v>225</v>
      </c>
      <c r="I35" s="99">
        <v>0</v>
      </c>
      <c r="J35" s="98" t="s">
        <v>225</v>
      </c>
      <c r="K35" s="99">
        <v>0</v>
      </c>
      <c r="L35" s="98" t="s">
        <v>225</v>
      </c>
      <c r="M35" s="98" t="s">
        <v>225</v>
      </c>
      <c r="N35" s="99">
        <v>0</v>
      </c>
      <c r="O35" s="100">
        <v>0</v>
      </c>
      <c r="P35" s="100">
        <v>0</v>
      </c>
      <c r="Q35" s="100">
        <v>0</v>
      </c>
    </row>
    <row r="36" spans="1:17" x14ac:dyDescent="0.35">
      <c r="A36" s="98" t="s">
        <v>6</v>
      </c>
      <c r="B36" s="98" t="s">
        <v>141</v>
      </c>
      <c r="C36" s="98" t="s">
        <v>242</v>
      </c>
      <c r="D36" s="99">
        <v>10149577.500000002</v>
      </c>
      <c r="E36" s="99">
        <v>11493472.499999993</v>
      </c>
      <c r="F36" s="99">
        <v>12889576.499999994</v>
      </c>
      <c r="G36" s="99">
        <v>0</v>
      </c>
      <c r="H36" s="98" t="s">
        <v>225</v>
      </c>
      <c r="I36" s="99">
        <v>9</v>
      </c>
      <c r="J36" s="98" t="s">
        <v>229</v>
      </c>
      <c r="K36" s="99">
        <v>9</v>
      </c>
      <c r="L36" s="98" t="s">
        <v>229</v>
      </c>
      <c r="M36" s="98" t="s">
        <v>225</v>
      </c>
      <c r="N36" s="99">
        <v>9</v>
      </c>
      <c r="O36" s="100">
        <v>0</v>
      </c>
      <c r="P36" s="100">
        <v>7.8305316343689913E-3</v>
      </c>
      <c r="Q36" s="100">
        <v>6.982386116409646E-3</v>
      </c>
    </row>
    <row r="37" spans="1:17" x14ac:dyDescent="0.35">
      <c r="A37" s="98" t="s">
        <v>6</v>
      </c>
      <c r="B37" s="98" t="s">
        <v>141</v>
      </c>
      <c r="C37" s="98" t="s">
        <v>243</v>
      </c>
      <c r="D37" s="99">
        <v>10149577.500000002</v>
      </c>
      <c r="E37" s="99">
        <v>11493472.499999993</v>
      </c>
      <c r="F37" s="99">
        <v>12889576.499999994</v>
      </c>
      <c r="G37" s="99">
        <v>0</v>
      </c>
      <c r="H37" s="98" t="s">
        <v>225</v>
      </c>
      <c r="I37" s="99">
        <v>0</v>
      </c>
      <c r="J37" s="98" t="s">
        <v>225</v>
      </c>
      <c r="K37" s="99">
        <v>0</v>
      </c>
      <c r="L37" s="98" t="s">
        <v>225</v>
      </c>
      <c r="M37" s="98" t="s">
        <v>225</v>
      </c>
      <c r="N37" s="99">
        <v>0</v>
      </c>
      <c r="O37" s="100">
        <v>0</v>
      </c>
      <c r="P37" s="100">
        <v>0</v>
      </c>
      <c r="Q37" s="100">
        <v>0</v>
      </c>
    </row>
    <row r="38" spans="1:17" x14ac:dyDescent="0.35">
      <c r="A38" s="98" t="s">
        <v>6</v>
      </c>
      <c r="B38" s="98" t="s">
        <v>141</v>
      </c>
      <c r="C38" s="98" t="s">
        <v>244</v>
      </c>
      <c r="D38" s="99">
        <v>10149577.500000002</v>
      </c>
      <c r="E38" s="99">
        <v>11493472.499999993</v>
      </c>
      <c r="F38" s="99">
        <v>12889576.499999994</v>
      </c>
      <c r="G38" s="99">
        <v>0</v>
      </c>
      <c r="H38" s="98" t="s">
        <v>225</v>
      </c>
      <c r="I38" s="99">
        <v>0</v>
      </c>
      <c r="J38" s="98" t="s">
        <v>225</v>
      </c>
      <c r="K38" s="99">
        <v>5</v>
      </c>
      <c r="L38" s="98">
        <v>2021</v>
      </c>
      <c r="M38" s="98" t="s">
        <v>225</v>
      </c>
      <c r="N38" s="99">
        <v>5</v>
      </c>
      <c r="O38" s="100">
        <v>0</v>
      </c>
      <c r="P38" s="100">
        <v>0</v>
      </c>
      <c r="Q38" s="100">
        <v>3.8791033980053588E-3</v>
      </c>
    </row>
    <row r="39" spans="1:17" x14ac:dyDescent="0.35">
      <c r="A39" s="98" t="s">
        <v>6</v>
      </c>
      <c r="B39" s="98" t="s">
        <v>141</v>
      </c>
      <c r="C39" s="98" t="s">
        <v>245</v>
      </c>
      <c r="D39" s="99">
        <v>10149577.500000002</v>
      </c>
      <c r="E39" s="99">
        <v>11493472.499999993</v>
      </c>
      <c r="F39" s="99">
        <v>12889576.499999994</v>
      </c>
      <c r="G39" s="99">
        <v>0</v>
      </c>
      <c r="H39" s="98" t="s">
        <v>225</v>
      </c>
      <c r="I39" s="99">
        <v>1000</v>
      </c>
      <c r="J39" s="98" t="s">
        <v>229</v>
      </c>
      <c r="K39" s="99">
        <v>1000</v>
      </c>
      <c r="L39" s="98" t="s">
        <v>229</v>
      </c>
      <c r="M39" s="98" t="s">
        <v>225</v>
      </c>
      <c r="N39" s="99">
        <v>1000</v>
      </c>
      <c r="O39" s="100">
        <v>0</v>
      </c>
      <c r="P39" s="100">
        <v>0.87005907048544351</v>
      </c>
      <c r="Q39" s="100">
        <v>0.77582067960107182</v>
      </c>
    </row>
    <row r="40" spans="1:17" x14ac:dyDescent="0.35">
      <c r="A40" s="98" t="s">
        <v>3</v>
      </c>
      <c r="B40" s="98" t="s">
        <v>138</v>
      </c>
      <c r="C40" s="98" t="s">
        <v>224</v>
      </c>
      <c r="D40" s="99">
        <v>10308730.499999994</v>
      </c>
      <c r="E40" s="99">
        <v>11940683.499999996</v>
      </c>
      <c r="F40" s="99">
        <v>13352864</v>
      </c>
      <c r="G40" s="99">
        <v>0</v>
      </c>
      <c r="H40" s="98" t="s">
        <v>225</v>
      </c>
      <c r="I40" s="99">
        <v>0</v>
      </c>
      <c r="J40" s="98" t="s">
        <v>225</v>
      </c>
      <c r="K40" s="99">
        <v>21</v>
      </c>
      <c r="L40" s="98">
        <v>2021</v>
      </c>
      <c r="M40" s="98" t="s">
        <v>225</v>
      </c>
      <c r="N40" s="99">
        <v>21</v>
      </c>
      <c r="O40" s="100">
        <v>0</v>
      </c>
      <c r="P40" s="100">
        <v>0</v>
      </c>
      <c r="Q40" s="100">
        <v>1.5726963144386104E-2</v>
      </c>
    </row>
    <row r="41" spans="1:17" x14ac:dyDescent="0.35">
      <c r="A41" s="98" t="s">
        <v>3</v>
      </c>
      <c r="B41" s="98" t="s">
        <v>138</v>
      </c>
      <c r="C41" s="98" t="s">
        <v>227</v>
      </c>
      <c r="D41" s="99">
        <v>10308730.499999994</v>
      </c>
      <c r="E41" s="99">
        <v>11940683.499999996</v>
      </c>
      <c r="F41" s="99">
        <v>13352864</v>
      </c>
      <c r="G41" s="99">
        <v>0</v>
      </c>
      <c r="H41" s="98" t="s">
        <v>225</v>
      </c>
      <c r="I41" s="99">
        <v>8</v>
      </c>
      <c r="J41" s="98">
        <v>2018</v>
      </c>
      <c r="K41" s="99">
        <v>21</v>
      </c>
      <c r="L41" s="98">
        <v>2021</v>
      </c>
      <c r="M41" s="98" t="s">
        <v>225</v>
      </c>
      <c r="N41" s="99">
        <v>21</v>
      </c>
      <c r="O41" s="100">
        <v>0</v>
      </c>
      <c r="P41" s="100">
        <v>6.6997839780277256E-3</v>
      </c>
      <c r="Q41" s="100">
        <v>1.5726963144386104E-2</v>
      </c>
    </row>
    <row r="42" spans="1:17" x14ac:dyDescent="0.35">
      <c r="A42" s="98" t="s">
        <v>3</v>
      </c>
      <c r="B42" s="98" t="s">
        <v>138</v>
      </c>
      <c r="C42" s="98" t="s">
        <v>228</v>
      </c>
      <c r="D42" s="99">
        <v>10308730.499999994</v>
      </c>
      <c r="E42" s="99">
        <v>11940683.499999996</v>
      </c>
      <c r="F42" s="99">
        <v>13352864</v>
      </c>
      <c r="G42" s="99">
        <v>3830</v>
      </c>
      <c r="H42" s="98">
        <v>2015</v>
      </c>
      <c r="I42" s="99">
        <v>619</v>
      </c>
      <c r="J42" s="98" t="s">
        <v>229</v>
      </c>
      <c r="K42" s="99">
        <v>1570</v>
      </c>
      <c r="L42" s="98">
        <v>2021</v>
      </c>
      <c r="M42" s="98" t="s">
        <v>225</v>
      </c>
      <c r="N42" s="99">
        <v>1570</v>
      </c>
      <c r="O42" s="100">
        <v>3.7152974364787226</v>
      </c>
      <c r="P42" s="100">
        <v>0.51839578529989527</v>
      </c>
      <c r="Q42" s="100">
        <v>1.1757777207945801</v>
      </c>
    </row>
    <row r="43" spans="1:17" x14ac:dyDescent="0.35">
      <c r="A43" s="98" t="s">
        <v>3</v>
      </c>
      <c r="B43" s="98" t="s">
        <v>138</v>
      </c>
      <c r="C43" s="98" t="s">
        <v>230</v>
      </c>
      <c r="D43" s="99">
        <v>10308730.499999994</v>
      </c>
      <c r="E43" s="99">
        <v>11940683.499999996</v>
      </c>
      <c r="F43" s="99">
        <v>13352864</v>
      </c>
      <c r="G43" s="99">
        <v>0</v>
      </c>
      <c r="H43" s="98" t="s">
        <v>225</v>
      </c>
      <c r="I43" s="99">
        <v>2623</v>
      </c>
      <c r="J43" s="98" t="s">
        <v>229</v>
      </c>
      <c r="K43" s="99">
        <v>6809</v>
      </c>
      <c r="L43" s="98">
        <v>2021</v>
      </c>
      <c r="M43" s="98" t="s">
        <v>225</v>
      </c>
      <c r="N43" s="99">
        <v>6809</v>
      </c>
      <c r="O43" s="100">
        <v>0</v>
      </c>
      <c r="P43" s="100">
        <v>2.1966916717958407</v>
      </c>
      <c r="Q43" s="100">
        <v>5.0992805738154754</v>
      </c>
    </row>
    <row r="44" spans="1:17" x14ac:dyDescent="0.35">
      <c r="A44" s="98" t="s">
        <v>3</v>
      </c>
      <c r="B44" s="98" t="s">
        <v>138</v>
      </c>
      <c r="C44" s="98" t="s">
        <v>231</v>
      </c>
      <c r="D44" s="99">
        <v>10308730.499999994</v>
      </c>
      <c r="E44" s="99">
        <v>11940683.499999996</v>
      </c>
      <c r="F44" s="99">
        <v>13352864</v>
      </c>
      <c r="G44" s="99">
        <v>0</v>
      </c>
      <c r="H44" s="98" t="s">
        <v>225</v>
      </c>
      <c r="I44" s="99">
        <v>0</v>
      </c>
      <c r="J44" s="98" t="s">
        <v>225</v>
      </c>
      <c r="K44" s="99">
        <v>0</v>
      </c>
      <c r="L44" s="98" t="s">
        <v>225</v>
      </c>
      <c r="M44" s="98" t="s">
        <v>225</v>
      </c>
      <c r="N44" s="99">
        <v>0</v>
      </c>
      <c r="O44" s="100">
        <v>0</v>
      </c>
      <c r="P44" s="100">
        <v>0</v>
      </c>
      <c r="Q44" s="100">
        <v>0</v>
      </c>
    </row>
    <row r="45" spans="1:17" x14ac:dyDescent="0.35">
      <c r="A45" s="98" t="s">
        <v>3</v>
      </c>
      <c r="B45" s="98" t="s">
        <v>138</v>
      </c>
      <c r="C45" s="98" t="s">
        <v>232</v>
      </c>
      <c r="D45" s="99">
        <v>10308730.499999994</v>
      </c>
      <c r="E45" s="99">
        <v>11940683.499999996</v>
      </c>
      <c r="F45" s="99">
        <v>13352864</v>
      </c>
      <c r="G45" s="99">
        <v>0</v>
      </c>
      <c r="H45" s="98" t="s">
        <v>225</v>
      </c>
      <c r="I45" s="99">
        <v>15</v>
      </c>
      <c r="J45" s="98">
        <v>2017</v>
      </c>
      <c r="K45" s="99">
        <v>15</v>
      </c>
      <c r="L45" s="98">
        <v>2017</v>
      </c>
      <c r="M45" s="98" t="s">
        <v>225</v>
      </c>
      <c r="N45" s="99">
        <v>15</v>
      </c>
      <c r="O45" s="100">
        <v>0</v>
      </c>
      <c r="P45" s="100">
        <v>1.2562094958801985E-2</v>
      </c>
      <c r="Q45" s="100">
        <v>1.123354510313293E-2</v>
      </c>
    </row>
    <row r="46" spans="1:17" x14ac:dyDescent="0.35">
      <c r="A46" s="98" t="s">
        <v>3</v>
      </c>
      <c r="B46" s="98" t="s">
        <v>138</v>
      </c>
      <c r="C46" s="98" t="s">
        <v>233</v>
      </c>
      <c r="D46" s="99">
        <v>10308730.499999994</v>
      </c>
      <c r="E46" s="99">
        <v>11940683.499999996</v>
      </c>
      <c r="F46" s="99">
        <v>13352864</v>
      </c>
      <c r="G46" s="99">
        <v>0</v>
      </c>
      <c r="H46" s="98" t="s">
        <v>225</v>
      </c>
      <c r="I46" s="99">
        <v>668</v>
      </c>
      <c r="J46" s="98">
        <v>2018</v>
      </c>
      <c r="K46" s="99">
        <v>668</v>
      </c>
      <c r="L46" s="98">
        <v>2018</v>
      </c>
      <c r="M46" s="98" t="s">
        <v>225</v>
      </c>
      <c r="N46" s="99">
        <v>668</v>
      </c>
      <c r="O46" s="100">
        <v>0</v>
      </c>
      <c r="P46" s="100">
        <v>0.5594319621653151</v>
      </c>
      <c r="Q46" s="100">
        <v>0.50026720859285323</v>
      </c>
    </row>
    <row r="47" spans="1:17" x14ac:dyDescent="0.35">
      <c r="A47" s="98" t="s">
        <v>3</v>
      </c>
      <c r="B47" s="98" t="s">
        <v>138</v>
      </c>
      <c r="C47" s="98" t="s">
        <v>234</v>
      </c>
      <c r="D47" s="99">
        <v>10308730.499999994</v>
      </c>
      <c r="E47" s="99">
        <v>11940683.499999996</v>
      </c>
      <c r="F47" s="99">
        <v>13352864</v>
      </c>
      <c r="G47" s="99">
        <v>0</v>
      </c>
      <c r="H47" s="98" t="s">
        <v>225</v>
      </c>
      <c r="I47" s="99">
        <v>0</v>
      </c>
      <c r="J47" s="98" t="s">
        <v>225</v>
      </c>
      <c r="K47" s="99">
        <v>0</v>
      </c>
      <c r="L47" s="98" t="s">
        <v>225</v>
      </c>
      <c r="M47" s="98" t="s">
        <v>225</v>
      </c>
      <c r="N47" s="99">
        <v>0</v>
      </c>
      <c r="O47" s="100">
        <v>0</v>
      </c>
      <c r="P47" s="100">
        <v>0</v>
      </c>
      <c r="Q47" s="100">
        <v>0</v>
      </c>
    </row>
    <row r="48" spans="1:17" x14ac:dyDescent="0.35">
      <c r="A48" s="98" t="s">
        <v>3</v>
      </c>
      <c r="B48" s="98" t="s">
        <v>138</v>
      </c>
      <c r="C48" s="98" t="s">
        <v>235</v>
      </c>
      <c r="D48" s="99">
        <v>10308730.499999994</v>
      </c>
      <c r="E48" s="99">
        <v>11940683.499999996</v>
      </c>
      <c r="F48" s="99">
        <v>13352864</v>
      </c>
      <c r="G48" s="99">
        <v>206</v>
      </c>
      <c r="H48" s="98">
        <v>2013</v>
      </c>
      <c r="I48" s="99">
        <v>137</v>
      </c>
      <c r="J48" s="98">
        <v>2018</v>
      </c>
      <c r="K48" s="99">
        <v>352</v>
      </c>
      <c r="L48" s="98">
        <v>2021</v>
      </c>
      <c r="M48" s="98" t="s">
        <v>225</v>
      </c>
      <c r="N48" s="99">
        <v>352</v>
      </c>
      <c r="O48" s="100">
        <v>0.19983061929885557</v>
      </c>
      <c r="P48" s="100">
        <v>0.1147338006237248</v>
      </c>
      <c r="Q48" s="100">
        <v>0.26361385842018609</v>
      </c>
    </row>
    <row r="49" spans="1:17" x14ac:dyDescent="0.35">
      <c r="A49" s="98" t="s">
        <v>3</v>
      </c>
      <c r="B49" s="98" t="s">
        <v>138</v>
      </c>
      <c r="C49" s="98" t="s">
        <v>236</v>
      </c>
      <c r="D49" s="99">
        <v>10308730.499999994</v>
      </c>
      <c r="E49" s="99">
        <v>11940683.499999996</v>
      </c>
      <c r="F49" s="99">
        <v>13352864</v>
      </c>
      <c r="G49" s="99">
        <v>0</v>
      </c>
      <c r="H49" s="98" t="s">
        <v>225</v>
      </c>
      <c r="I49" s="99">
        <v>0</v>
      </c>
      <c r="J49" s="98" t="s">
        <v>225</v>
      </c>
      <c r="K49" s="99">
        <v>0</v>
      </c>
      <c r="L49" s="98" t="s">
        <v>225</v>
      </c>
      <c r="M49" s="98" t="s">
        <v>225</v>
      </c>
      <c r="N49" s="99">
        <v>0</v>
      </c>
      <c r="O49" s="100">
        <v>0</v>
      </c>
      <c r="P49" s="100">
        <v>0</v>
      </c>
      <c r="Q49" s="100">
        <v>0</v>
      </c>
    </row>
    <row r="50" spans="1:17" x14ac:dyDescent="0.35">
      <c r="A50" s="98" t="s">
        <v>3</v>
      </c>
      <c r="B50" s="98" t="s">
        <v>138</v>
      </c>
      <c r="C50" s="98" t="s">
        <v>237</v>
      </c>
      <c r="D50" s="99">
        <v>10308730.499999994</v>
      </c>
      <c r="E50" s="99">
        <v>11940683.499999996</v>
      </c>
      <c r="F50" s="99">
        <v>13352864</v>
      </c>
      <c r="G50" s="99">
        <v>0</v>
      </c>
      <c r="H50" s="98" t="s">
        <v>225</v>
      </c>
      <c r="I50" s="99">
        <v>0</v>
      </c>
      <c r="J50" s="98" t="s">
        <v>225</v>
      </c>
      <c r="K50" s="99">
        <v>0</v>
      </c>
      <c r="L50" s="98" t="s">
        <v>225</v>
      </c>
      <c r="M50" s="98" t="s">
        <v>225</v>
      </c>
      <c r="N50" s="99">
        <v>0</v>
      </c>
      <c r="O50" s="100">
        <v>0</v>
      </c>
      <c r="P50" s="100">
        <v>0</v>
      </c>
      <c r="Q50" s="100">
        <v>0</v>
      </c>
    </row>
    <row r="51" spans="1:17" x14ac:dyDescent="0.35">
      <c r="A51" s="98" t="s">
        <v>3</v>
      </c>
      <c r="B51" s="98" t="s">
        <v>138</v>
      </c>
      <c r="C51" s="98" t="s">
        <v>238</v>
      </c>
      <c r="D51" s="99">
        <v>10308730.499999994</v>
      </c>
      <c r="E51" s="99">
        <v>11940683.499999996</v>
      </c>
      <c r="F51" s="99">
        <v>13352864</v>
      </c>
      <c r="G51" s="99">
        <v>0</v>
      </c>
      <c r="H51" s="98" t="s">
        <v>225</v>
      </c>
      <c r="I51" s="99">
        <v>156</v>
      </c>
      <c r="J51" s="98" t="s">
        <v>229</v>
      </c>
      <c r="K51" s="99">
        <v>156</v>
      </c>
      <c r="L51" s="98" t="s">
        <v>229</v>
      </c>
      <c r="M51" s="98" t="s">
        <v>225</v>
      </c>
      <c r="N51" s="99">
        <v>156</v>
      </c>
      <c r="O51" s="100">
        <v>0</v>
      </c>
      <c r="P51" s="100">
        <v>0.13064578757154066</v>
      </c>
      <c r="Q51" s="100">
        <v>0.11682886907258248</v>
      </c>
    </row>
    <row r="52" spans="1:17" x14ac:dyDescent="0.35">
      <c r="A52" s="98" t="s">
        <v>3</v>
      </c>
      <c r="B52" s="98" t="s">
        <v>138</v>
      </c>
      <c r="C52" s="98" t="s">
        <v>239</v>
      </c>
      <c r="D52" s="99">
        <v>10308730.499999994</v>
      </c>
      <c r="E52" s="99">
        <v>11940683.499999996</v>
      </c>
      <c r="F52" s="99">
        <v>13352864</v>
      </c>
      <c r="G52" s="99">
        <v>0</v>
      </c>
      <c r="H52" s="98" t="s">
        <v>225</v>
      </c>
      <c r="I52" s="99">
        <v>1994</v>
      </c>
      <c r="J52" s="98" t="s">
        <v>229</v>
      </c>
      <c r="K52" s="99">
        <v>1994</v>
      </c>
      <c r="L52" s="98" t="s">
        <v>229</v>
      </c>
      <c r="M52" s="98" t="s">
        <v>225</v>
      </c>
      <c r="N52" s="99">
        <v>1994</v>
      </c>
      <c r="O52" s="100">
        <v>0</v>
      </c>
      <c r="P52" s="100">
        <v>1.6699211565234107</v>
      </c>
      <c r="Q52" s="100">
        <v>1.4933125957098043</v>
      </c>
    </row>
    <row r="53" spans="1:17" x14ac:dyDescent="0.35">
      <c r="A53" s="98" t="s">
        <v>3</v>
      </c>
      <c r="B53" s="98" t="s">
        <v>138</v>
      </c>
      <c r="C53" s="98" t="s">
        <v>240</v>
      </c>
      <c r="D53" s="99">
        <v>10308730.499999994</v>
      </c>
      <c r="E53" s="99">
        <v>11940683.499999996</v>
      </c>
      <c r="F53" s="99">
        <v>13352864</v>
      </c>
      <c r="G53" s="99">
        <v>830</v>
      </c>
      <c r="H53" s="98">
        <v>2013</v>
      </c>
      <c r="I53" s="99">
        <v>241</v>
      </c>
      <c r="J53" s="98" t="s">
        <v>229</v>
      </c>
      <c r="K53" s="99">
        <v>1602</v>
      </c>
      <c r="L53" s="98">
        <v>2022</v>
      </c>
      <c r="M53" s="98" t="s">
        <v>225</v>
      </c>
      <c r="N53" s="99">
        <v>1602</v>
      </c>
      <c r="O53" s="100">
        <v>0.80514278649538895</v>
      </c>
      <c r="P53" s="100">
        <v>0.20183099233808524</v>
      </c>
      <c r="Q53" s="100">
        <v>1.1997426170145971</v>
      </c>
    </row>
    <row r="54" spans="1:17" x14ac:dyDescent="0.35">
      <c r="A54" s="98" t="s">
        <v>3</v>
      </c>
      <c r="B54" s="98" t="s">
        <v>138</v>
      </c>
      <c r="C54" s="98" t="s">
        <v>241</v>
      </c>
      <c r="D54" s="99">
        <v>10308730.499999994</v>
      </c>
      <c r="E54" s="99">
        <v>11940683.499999996</v>
      </c>
      <c r="F54" s="99">
        <v>13352864</v>
      </c>
      <c r="G54" s="99">
        <v>0</v>
      </c>
      <c r="H54" s="98" t="s">
        <v>225</v>
      </c>
      <c r="I54" s="99">
        <v>5086</v>
      </c>
      <c r="J54" s="98">
        <v>2018</v>
      </c>
      <c r="K54" s="99">
        <v>382</v>
      </c>
      <c r="L54" s="98">
        <v>2021</v>
      </c>
      <c r="M54" s="98" t="s">
        <v>226</v>
      </c>
      <c r="N54" s="99">
        <v>475.9367826904986</v>
      </c>
      <c r="O54" s="100">
        <v>0</v>
      </c>
      <c r="P54" s="100">
        <v>4.2593876640311263</v>
      </c>
      <c r="Q54" s="100">
        <v>0.35643048763957952</v>
      </c>
    </row>
    <row r="55" spans="1:17" x14ac:dyDescent="0.35">
      <c r="A55" s="98" t="s">
        <v>3</v>
      </c>
      <c r="B55" s="98" t="s">
        <v>138</v>
      </c>
      <c r="C55" s="98" t="s">
        <v>242</v>
      </c>
      <c r="D55" s="99">
        <v>10308730.499999994</v>
      </c>
      <c r="E55" s="99">
        <v>11940683.499999996</v>
      </c>
      <c r="F55" s="99">
        <v>13352864</v>
      </c>
      <c r="G55" s="99">
        <v>0</v>
      </c>
      <c r="H55" s="98" t="s">
        <v>225</v>
      </c>
      <c r="I55" s="99">
        <v>58</v>
      </c>
      <c r="J55" s="98">
        <v>2018</v>
      </c>
      <c r="K55" s="99">
        <v>187</v>
      </c>
      <c r="L55" s="98">
        <v>2021</v>
      </c>
      <c r="M55" s="98" t="s">
        <v>225</v>
      </c>
      <c r="N55" s="99">
        <v>187</v>
      </c>
      <c r="O55" s="100">
        <v>0</v>
      </c>
      <c r="P55" s="100">
        <v>4.8573433840701008E-2</v>
      </c>
      <c r="Q55" s="100">
        <v>0.14004486228572388</v>
      </c>
    </row>
    <row r="56" spans="1:17" x14ac:dyDescent="0.35">
      <c r="A56" s="98" t="s">
        <v>3</v>
      </c>
      <c r="B56" s="98" t="s">
        <v>138</v>
      </c>
      <c r="C56" s="98" t="s">
        <v>243</v>
      </c>
      <c r="D56" s="99">
        <v>10308730.499999994</v>
      </c>
      <c r="E56" s="99">
        <v>11940683.499999996</v>
      </c>
      <c r="F56" s="99">
        <v>13352864</v>
      </c>
      <c r="G56" s="99">
        <v>0</v>
      </c>
      <c r="H56" s="98" t="s">
        <v>225</v>
      </c>
      <c r="I56" s="99">
        <v>102</v>
      </c>
      <c r="J56" s="98">
        <v>2018</v>
      </c>
      <c r="K56" s="99">
        <v>102</v>
      </c>
      <c r="L56" s="98">
        <v>2018</v>
      </c>
      <c r="M56" s="98" t="s">
        <v>225</v>
      </c>
      <c r="N56" s="99">
        <v>102</v>
      </c>
      <c r="O56" s="100">
        <v>0</v>
      </c>
      <c r="P56" s="100">
        <v>8.5422245719853504E-2</v>
      </c>
      <c r="Q56" s="100">
        <v>7.6388106701303929E-2</v>
      </c>
    </row>
    <row r="57" spans="1:17" x14ac:dyDescent="0.35">
      <c r="A57" s="98" t="s">
        <v>3</v>
      </c>
      <c r="B57" s="98" t="s">
        <v>138</v>
      </c>
      <c r="C57" s="98" t="s">
        <v>244</v>
      </c>
      <c r="D57" s="99">
        <v>10308730.499999994</v>
      </c>
      <c r="E57" s="99">
        <v>11940683.499999996</v>
      </c>
      <c r="F57" s="99">
        <v>13352864</v>
      </c>
      <c r="G57" s="99">
        <v>0</v>
      </c>
      <c r="H57" s="98" t="s">
        <v>225</v>
      </c>
      <c r="I57" s="99">
        <v>0</v>
      </c>
      <c r="J57" s="98" t="s">
        <v>225</v>
      </c>
      <c r="K57" s="99">
        <v>0</v>
      </c>
      <c r="L57" s="98" t="s">
        <v>225</v>
      </c>
      <c r="M57" s="98" t="s">
        <v>225</v>
      </c>
      <c r="N57" s="99">
        <v>0</v>
      </c>
      <c r="O57" s="100">
        <v>0</v>
      </c>
      <c r="P57" s="100">
        <v>0</v>
      </c>
      <c r="Q57" s="100">
        <v>0</v>
      </c>
    </row>
    <row r="58" spans="1:17" x14ac:dyDescent="0.35">
      <c r="A58" s="98" t="s">
        <v>3</v>
      </c>
      <c r="B58" s="98" t="s">
        <v>138</v>
      </c>
      <c r="C58" s="98" t="s">
        <v>245</v>
      </c>
      <c r="D58" s="99">
        <v>10308730.499999994</v>
      </c>
      <c r="E58" s="99">
        <v>11940683.499999996</v>
      </c>
      <c r="F58" s="99">
        <v>13352864</v>
      </c>
      <c r="G58" s="99">
        <v>10200</v>
      </c>
      <c r="H58" s="98">
        <v>2013</v>
      </c>
      <c r="I58" s="99">
        <v>0</v>
      </c>
      <c r="J58" s="98" t="s">
        <v>225</v>
      </c>
      <c r="K58" s="99">
        <v>0</v>
      </c>
      <c r="L58" s="98" t="s">
        <v>225</v>
      </c>
      <c r="M58" s="98" t="s">
        <v>225</v>
      </c>
      <c r="N58" s="99">
        <v>0</v>
      </c>
      <c r="O58" s="100">
        <v>9.8945258099433353</v>
      </c>
      <c r="P58" s="100">
        <v>0</v>
      </c>
      <c r="Q58" s="100">
        <v>0</v>
      </c>
    </row>
    <row r="59" spans="1:17" x14ac:dyDescent="0.35">
      <c r="A59" s="98" t="s">
        <v>5</v>
      </c>
      <c r="B59" s="98" t="s">
        <v>140</v>
      </c>
      <c r="C59" s="98" t="s">
        <v>224</v>
      </c>
      <c r="D59" s="99">
        <v>17636407.5</v>
      </c>
      <c r="E59" s="99">
        <v>20392723</v>
      </c>
      <c r="F59" s="99">
        <v>22673762.000000007</v>
      </c>
      <c r="G59" s="99">
        <v>2099</v>
      </c>
      <c r="H59" s="98">
        <v>2012</v>
      </c>
      <c r="I59" s="99">
        <v>2749</v>
      </c>
      <c r="J59" s="98">
        <v>2017</v>
      </c>
      <c r="K59" s="99">
        <v>3145</v>
      </c>
      <c r="L59" s="98">
        <v>2022</v>
      </c>
      <c r="M59" s="98" t="s">
        <v>225</v>
      </c>
      <c r="N59" s="99">
        <v>3145</v>
      </c>
      <c r="O59" s="100">
        <v>1.190151679133066</v>
      </c>
      <c r="P59" s="100">
        <v>1.3480298830126805</v>
      </c>
      <c r="Q59" s="100">
        <v>1.3870658076061657</v>
      </c>
    </row>
    <row r="60" spans="1:17" x14ac:dyDescent="0.35">
      <c r="A60" s="98" t="s">
        <v>5</v>
      </c>
      <c r="B60" s="98" t="s">
        <v>140</v>
      </c>
      <c r="C60" s="98" t="s">
        <v>227</v>
      </c>
      <c r="D60" s="99">
        <v>17636407.5</v>
      </c>
      <c r="E60" s="99">
        <v>20392723</v>
      </c>
      <c r="F60" s="99">
        <v>22673762.000000007</v>
      </c>
      <c r="G60" s="99">
        <v>128</v>
      </c>
      <c r="H60" s="98">
        <v>2012</v>
      </c>
      <c r="I60" s="99">
        <v>19</v>
      </c>
      <c r="J60" s="98" t="s">
        <v>229</v>
      </c>
      <c r="K60" s="99">
        <v>15</v>
      </c>
      <c r="L60" s="98">
        <v>2021</v>
      </c>
      <c r="M60" s="98" t="s">
        <v>226</v>
      </c>
      <c r="N60" s="99">
        <v>15.409998099220681</v>
      </c>
      <c r="O60" s="100">
        <v>7.2577139080053574E-2</v>
      </c>
      <c r="P60" s="100">
        <v>9.3170490277340607E-3</v>
      </c>
      <c r="Q60" s="100">
        <v>6.7964010997472214E-3</v>
      </c>
    </row>
    <row r="61" spans="1:17" x14ac:dyDescent="0.35">
      <c r="A61" s="98" t="s">
        <v>5</v>
      </c>
      <c r="B61" s="98" t="s">
        <v>140</v>
      </c>
      <c r="C61" s="98" t="s">
        <v>228</v>
      </c>
      <c r="D61" s="99">
        <v>17636407.5</v>
      </c>
      <c r="E61" s="99">
        <v>20392723</v>
      </c>
      <c r="F61" s="99">
        <v>22673762.000000007</v>
      </c>
      <c r="G61" s="99">
        <v>1791</v>
      </c>
      <c r="H61" s="98">
        <v>2012</v>
      </c>
      <c r="I61" s="99">
        <v>160</v>
      </c>
      <c r="J61" s="98" t="s">
        <v>229</v>
      </c>
      <c r="K61" s="99">
        <v>31</v>
      </c>
      <c r="L61" s="98">
        <v>2021</v>
      </c>
      <c r="M61" s="98" t="s">
        <v>226</v>
      </c>
      <c r="N61" s="99">
        <v>31.847329405056072</v>
      </c>
      <c r="O61" s="100">
        <v>1.0155129382216872</v>
      </c>
      <c r="P61" s="100">
        <v>7.8459360233549977E-2</v>
      </c>
      <c r="Q61" s="100">
        <v>1.4045895606144257E-2</v>
      </c>
    </row>
    <row r="62" spans="1:17" x14ac:dyDescent="0.35">
      <c r="A62" s="98" t="s">
        <v>5</v>
      </c>
      <c r="B62" s="98" t="s">
        <v>140</v>
      </c>
      <c r="C62" s="98" t="s">
        <v>230</v>
      </c>
      <c r="D62" s="99">
        <v>17636407.5</v>
      </c>
      <c r="E62" s="99">
        <v>20392723</v>
      </c>
      <c r="F62" s="99">
        <v>22673762.000000007</v>
      </c>
      <c r="G62" s="99">
        <v>0</v>
      </c>
      <c r="H62" s="98" t="s">
        <v>225</v>
      </c>
      <c r="I62" s="99">
        <v>1224</v>
      </c>
      <c r="J62" s="98" t="s">
        <v>229</v>
      </c>
      <c r="K62" s="99">
        <v>886</v>
      </c>
      <c r="L62" s="98">
        <v>2022</v>
      </c>
      <c r="M62" s="98" t="s">
        <v>226</v>
      </c>
      <c r="N62" s="99">
        <v>910.21722106063487</v>
      </c>
      <c r="O62" s="100">
        <v>0</v>
      </c>
      <c r="P62" s="100">
        <v>0.60021410578665735</v>
      </c>
      <c r="Q62" s="100">
        <v>0.40144075829173581</v>
      </c>
    </row>
    <row r="63" spans="1:17" x14ac:dyDescent="0.35">
      <c r="A63" s="98" t="s">
        <v>5</v>
      </c>
      <c r="B63" s="98" t="s">
        <v>140</v>
      </c>
      <c r="C63" s="98" t="s">
        <v>231</v>
      </c>
      <c r="D63" s="99">
        <v>17636407.5</v>
      </c>
      <c r="E63" s="99">
        <v>20392723</v>
      </c>
      <c r="F63" s="99">
        <v>22673762.000000007</v>
      </c>
      <c r="G63" s="99">
        <v>0</v>
      </c>
      <c r="H63" s="98" t="s">
        <v>225</v>
      </c>
      <c r="I63" s="99">
        <v>653</v>
      </c>
      <c r="J63" s="98" t="s">
        <v>229</v>
      </c>
      <c r="K63" s="99">
        <v>653</v>
      </c>
      <c r="L63" s="98" t="s">
        <v>229</v>
      </c>
      <c r="M63" s="98" t="s">
        <v>225</v>
      </c>
      <c r="N63" s="99">
        <v>653</v>
      </c>
      <c r="O63" s="100">
        <v>0</v>
      </c>
      <c r="P63" s="100">
        <v>0.32021226395317587</v>
      </c>
      <c r="Q63" s="100">
        <v>0.28799808342347416</v>
      </c>
    </row>
    <row r="64" spans="1:17" x14ac:dyDescent="0.35">
      <c r="A64" s="98" t="s">
        <v>5</v>
      </c>
      <c r="B64" s="98" t="s">
        <v>140</v>
      </c>
      <c r="C64" s="98" t="s">
        <v>232</v>
      </c>
      <c r="D64" s="99">
        <v>17636407.5</v>
      </c>
      <c r="E64" s="99">
        <v>20392723</v>
      </c>
      <c r="F64" s="99">
        <v>22673762.000000007</v>
      </c>
      <c r="G64" s="99">
        <v>0</v>
      </c>
      <c r="H64" s="98" t="s">
        <v>225</v>
      </c>
      <c r="I64" s="99">
        <v>3</v>
      </c>
      <c r="J64" s="98">
        <v>2017</v>
      </c>
      <c r="K64" s="99">
        <v>14</v>
      </c>
      <c r="L64" s="98">
        <v>2022</v>
      </c>
      <c r="M64" s="98" t="s">
        <v>225</v>
      </c>
      <c r="N64" s="99">
        <v>14</v>
      </c>
      <c r="O64" s="100">
        <v>0</v>
      </c>
      <c r="P64" s="100">
        <v>1.471113004379062E-3</v>
      </c>
      <c r="Q64" s="100">
        <v>6.1745377763072554E-3</v>
      </c>
    </row>
    <row r="65" spans="1:17" x14ac:dyDescent="0.35">
      <c r="A65" s="98" t="s">
        <v>5</v>
      </c>
      <c r="B65" s="98" t="s">
        <v>140</v>
      </c>
      <c r="C65" s="98" t="s">
        <v>233</v>
      </c>
      <c r="D65" s="99">
        <v>17636407.5</v>
      </c>
      <c r="E65" s="99">
        <v>20392723</v>
      </c>
      <c r="F65" s="99">
        <v>22673762.000000007</v>
      </c>
      <c r="G65" s="99">
        <v>0</v>
      </c>
      <c r="H65" s="98" t="s">
        <v>225</v>
      </c>
      <c r="I65" s="99">
        <v>648</v>
      </c>
      <c r="J65" s="98">
        <v>2018</v>
      </c>
      <c r="K65" s="99">
        <v>899</v>
      </c>
      <c r="L65" s="98">
        <v>2021</v>
      </c>
      <c r="M65" s="98" t="s">
        <v>225</v>
      </c>
      <c r="N65" s="99">
        <v>899</v>
      </c>
      <c r="O65" s="100">
        <v>0</v>
      </c>
      <c r="P65" s="100">
        <v>0.31776040894587743</v>
      </c>
      <c r="Q65" s="100">
        <v>0.39649353292144451</v>
      </c>
    </row>
    <row r="66" spans="1:17" x14ac:dyDescent="0.35">
      <c r="A66" s="98" t="s">
        <v>5</v>
      </c>
      <c r="B66" s="98" t="s">
        <v>140</v>
      </c>
      <c r="C66" s="98" t="s">
        <v>234</v>
      </c>
      <c r="D66" s="99">
        <v>17636407.5</v>
      </c>
      <c r="E66" s="99">
        <v>20392723</v>
      </c>
      <c r="F66" s="99">
        <v>22673762.000000007</v>
      </c>
      <c r="G66" s="99">
        <v>0</v>
      </c>
      <c r="H66" s="98" t="s">
        <v>225</v>
      </c>
      <c r="I66" s="99">
        <v>0</v>
      </c>
      <c r="J66" s="98" t="s">
        <v>225</v>
      </c>
      <c r="K66" s="99">
        <v>8</v>
      </c>
      <c r="L66" s="98">
        <v>2021</v>
      </c>
      <c r="M66" s="98" t="s">
        <v>225</v>
      </c>
      <c r="N66" s="99">
        <v>8</v>
      </c>
      <c r="O66" s="100">
        <v>0</v>
      </c>
      <c r="P66" s="100">
        <v>0</v>
      </c>
      <c r="Q66" s="100">
        <v>3.5283073007470033E-3</v>
      </c>
    </row>
    <row r="67" spans="1:17" x14ac:dyDescent="0.35">
      <c r="A67" s="98" t="s">
        <v>5</v>
      </c>
      <c r="B67" s="98" t="s">
        <v>140</v>
      </c>
      <c r="C67" s="98" t="s">
        <v>235</v>
      </c>
      <c r="D67" s="99">
        <v>17636407.5</v>
      </c>
      <c r="E67" s="99">
        <v>20392723</v>
      </c>
      <c r="F67" s="99">
        <v>22673762.000000007</v>
      </c>
      <c r="G67" s="99">
        <v>109</v>
      </c>
      <c r="H67" s="98">
        <v>2012</v>
      </c>
      <c r="I67" s="99">
        <v>128</v>
      </c>
      <c r="J67" s="98" t="s">
        <v>229</v>
      </c>
      <c r="K67" s="99">
        <v>209</v>
      </c>
      <c r="L67" s="98">
        <v>2021</v>
      </c>
      <c r="M67" s="98" t="s">
        <v>225</v>
      </c>
      <c r="N67" s="99">
        <v>209</v>
      </c>
      <c r="O67" s="100">
        <v>6.1803969997858123E-2</v>
      </c>
      <c r="P67" s="100">
        <v>6.2767488186839984E-2</v>
      </c>
      <c r="Q67" s="100">
        <v>9.2177028232015457E-2</v>
      </c>
    </row>
    <row r="68" spans="1:17" x14ac:dyDescent="0.35">
      <c r="A68" s="98" t="s">
        <v>5</v>
      </c>
      <c r="B68" s="98" t="s">
        <v>140</v>
      </c>
      <c r="C68" s="98" t="s">
        <v>236</v>
      </c>
      <c r="D68" s="99">
        <v>17636407.5</v>
      </c>
      <c r="E68" s="99">
        <v>20392723</v>
      </c>
      <c r="F68" s="99">
        <v>22673762.000000007</v>
      </c>
      <c r="G68" s="99">
        <v>0</v>
      </c>
      <c r="H68" s="98" t="s">
        <v>225</v>
      </c>
      <c r="I68" s="99">
        <v>4</v>
      </c>
      <c r="J68" s="98" t="s">
        <v>229</v>
      </c>
      <c r="K68" s="99">
        <v>44</v>
      </c>
      <c r="L68" s="98">
        <v>2022</v>
      </c>
      <c r="M68" s="98" t="s">
        <v>225</v>
      </c>
      <c r="N68" s="99">
        <v>44</v>
      </c>
      <c r="O68" s="100">
        <v>0</v>
      </c>
      <c r="P68" s="100">
        <v>1.9614840058387495E-3</v>
      </c>
      <c r="Q68" s="100">
        <v>1.9405690154108517E-2</v>
      </c>
    </row>
    <row r="69" spans="1:17" x14ac:dyDescent="0.35">
      <c r="A69" s="98" t="s">
        <v>5</v>
      </c>
      <c r="B69" s="98" t="s">
        <v>140</v>
      </c>
      <c r="C69" s="98" t="s">
        <v>237</v>
      </c>
      <c r="D69" s="99">
        <v>17636407.5</v>
      </c>
      <c r="E69" s="99">
        <v>20392723</v>
      </c>
      <c r="F69" s="99">
        <v>22673762.000000007</v>
      </c>
      <c r="G69" s="99">
        <v>0</v>
      </c>
      <c r="H69" s="98" t="s">
        <v>225</v>
      </c>
      <c r="I69" s="99">
        <v>3</v>
      </c>
      <c r="J69" s="98">
        <v>2017</v>
      </c>
      <c r="K69" s="99">
        <v>2</v>
      </c>
      <c r="L69" s="98">
        <v>2022</v>
      </c>
      <c r="M69" s="98" t="s">
        <v>226</v>
      </c>
      <c r="N69" s="99">
        <v>2.0546664132294241</v>
      </c>
      <c r="O69" s="100">
        <v>0</v>
      </c>
      <c r="P69" s="100">
        <v>1.471113004379062E-3</v>
      </c>
      <c r="Q69" s="100">
        <v>9.0618681329962948E-4</v>
      </c>
    </row>
    <row r="70" spans="1:17" x14ac:dyDescent="0.35">
      <c r="A70" s="98" t="s">
        <v>5</v>
      </c>
      <c r="B70" s="98" t="s">
        <v>140</v>
      </c>
      <c r="C70" s="98" t="s">
        <v>238</v>
      </c>
      <c r="D70" s="99">
        <v>17636407.5</v>
      </c>
      <c r="E70" s="99">
        <v>20392723</v>
      </c>
      <c r="F70" s="99">
        <v>22673762.000000007</v>
      </c>
      <c r="G70" s="99">
        <v>0</v>
      </c>
      <c r="H70" s="98" t="s">
        <v>225</v>
      </c>
      <c r="I70" s="99">
        <v>871</v>
      </c>
      <c r="J70" s="98" t="s">
        <v>229</v>
      </c>
      <c r="K70" s="99">
        <v>22</v>
      </c>
      <c r="L70" s="98" t="s">
        <v>229</v>
      </c>
      <c r="M70" s="98" t="s">
        <v>226</v>
      </c>
      <c r="N70" s="99">
        <v>22.601330545523666</v>
      </c>
      <c r="O70" s="100">
        <v>0</v>
      </c>
      <c r="P70" s="100">
        <v>0.42711314227138769</v>
      </c>
      <c r="Q70" s="100">
        <v>9.9680549462959258E-3</v>
      </c>
    </row>
    <row r="71" spans="1:17" x14ac:dyDescent="0.35">
      <c r="A71" s="98" t="s">
        <v>5</v>
      </c>
      <c r="B71" s="98" t="s">
        <v>140</v>
      </c>
      <c r="C71" s="98" t="s">
        <v>239</v>
      </c>
      <c r="D71" s="99">
        <v>17636407.5</v>
      </c>
      <c r="E71" s="99">
        <v>20392723</v>
      </c>
      <c r="F71" s="99">
        <v>22673762.000000007</v>
      </c>
      <c r="G71" s="99">
        <v>0</v>
      </c>
      <c r="H71" s="98" t="s">
        <v>225</v>
      </c>
      <c r="I71" s="99">
        <v>44</v>
      </c>
      <c r="J71" s="98" t="s">
        <v>229</v>
      </c>
      <c r="K71" s="99">
        <v>2079</v>
      </c>
      <c r="L71" s="98" t="s">
        <v>229</v>
      </c>
      <c r="M71" s="98" t="s">
        <v>225</v>
      </c>
      <c r="N71" s="99">
        <v>2079</v>
      </c>
      <c r="O71" s="100">
        <v>0</v>
      </c>
      <c r="P71" s="100">
        <v>2.1576324064226243E-2</v>
      </c>
      <c r="Q71" s="100">
        <v>0.91691885978162746</v>
      </c>
    </row>
    <row r="72" spans="1:17" x14ac:dyDescent="0.35">
      <c r="A72" s="98" t="s">
        <v>5</v>
      </c>
      <c r="B72" s="98" t="s">
        <v>140</v>
      </c>
      <c r="C72" s="98" t="s">
        <v>240</v>
      </c>
      <c r="D72" s="99">
        <v>17636407.5</v>
      </c>
      <c r="E72" s="99">
        <v>20392723</v>
      </c>
      <c r="F72" s="99">
        <v>22673762.000000007</v>
      </c>
      <c r="G72" s="99">
        <v>458</v>
      </c>
      <c r="H72" s="98">
        <v>2012</v>
      </c>
      <c r="I72" s="99">
        <v>699</v>
      </c>
      <c r="J72" s="98" t="s">
        <v>229</v>
      </c>
      <c r="K72" s="99">
        <v>699</v>
      </c>
      <c r="L72" s="98" t="s">
        <v>229</v>
      </c>
      <c r="M72" s="98" t="s">
        <v>225</v>
      </c>
      <c r="N72" s="99">
        <v>699</v>
      </c>
      <c r="O72" s="100">
        <v>0.25969007577081671</v>
      </c>
      <c r="P72" s="100">
        <v>0.34276933002032145</v>
      </c>
      <c r="Q72" s="100">
        <v>0.3082858504027694</v>
      </c>
    </row>
    <row r="73" spans="1:17" x14ac:dyDescent="0.35">
      <c r="A73" s="98" t="s">
        <v>5</v>
      </c>
      <c r="B73" s="98" t="s">
        <v>140</v>
      </c>
      <c r="C73" s="98" t="s">
        <v>241</v>
      </c>
      <c r="D73" s="99">
        <v>17636407.5</v>
      </c>
      <c r="E73" s="99">
        <v>20392723</v>
      </c>
      <c r="F73" s="99">
        <v>22673762.000000007</v>
      </c>
      <c r="G73" s="99">
        <v>0</v>
      </c>
      <c r="H73" s="98" t="s">
        <v>225</v>
      </c>
      <c r="I73" s="99">
        <v>0</v>
      </c>
      <c r="J73" s="98" t="s">
        <v>225</v>
      </c>
      <c r="K73" s="99">
        <v>1698</v>
      </c>
      <c r="L73" s="98">
        <v>2022</v>
      </c>
      <c r="M73" s="98" t="s">
        <v>225</v>
      </c>
      <c r="N73" s="99">
        <v>1698</v>
      </c>
      <c r="O73" s="100">
        <v>0</v>
      </c>
      <c r="P73" s="100">
        <v>0</v>
      </c>
      <c r="Q73" s="100">
        <v>0.74888322458355139</v>
      </c>
    </row>
    <row r="74" spans="1:17" x14ac:dyDescent="0.35">
      <c r="A74" s="98" t="s">
        <v>5</v>
      </c>
      <c r="B74" s="98" t="s">
        <v>140</v>
      </c>
      <c r="C74" s="98" t="s">
        <v>242</v>
      </c>
      <c r="D74" s="99">
        <v>17636407.5</v>
      </c>
      <c r="E74" s="99">
        <v>20392723</v>
      </c>
      <c r="F74" s="99">
        <v>22673762.000000007</v>
      </c>
      <c r="G74" s="99">
        <v>0</v>
      </c>
      <c r="H74" s="98" t="s">
        <v>225</v>
      </c>
      <c r="I74" s="99">
        <v>18</v>
      </c>
      <c r="J74" s="98">
        <v>2017</v>
      </c>
      <c r="K74" s="99">
        <v>47</v>
      </c>
      <c r="L74" s="98">
        <v>2021</v>
      </c>
      <c r="M74" s="98" t="s">
        <v>225</v>
      </c>
      <c r="N74" s="99">
        <v>47</v>
      </c>
      <c r="O74" s="100">
        <v>0</v>
      </c>
      <c r="P74" s="100">
        <v>8.8266780262743726E-3</v>
      </c>
      <c r="Q74" s="100">
        <v>2.0728805391888643E-2</v>
      </c>
    </row>
    <row r="75" spans="1:17" x14ac:dyDescent="0.35">
      <c r="A75" s="98" t="s">
        <v>5</v>
      </c>
      <c r="B75" s="98" t="s">
        <v>140</v>
      </c>
      <c r="C75" s="98" t="s">
        <v>243</v>
      </c>
      <c r="D75" s="99">
        <v>17636407.5</v>
      </c>
      <c r="E75" s="99">
        <v>20392723</v>
      </c>
      <c r="F75" s="99">
        <v>22673762.000000007</v>
      </c>
      <c r="G75" s="99">
        <v>0</v>
      </c>
      <c r="H75" s="98" t="s">
        <v>225</v>
      </c>
      <c r="I75" s="99">
        <v>34</v>
      </c>
      <c r="J75" s="98">
        <v>2019</v>
      </c>
      <c r="K75" s="99">
        <v>39</v>
      </c>
      <c r="L75" s="98">
        <v>2022</v>
      </c>
      <c r="M75" s="98" t="s">
        <v>225</v>
      </c>
      <c r="N75" s="99">
        <v>39</v>
      </c>
      <c r="O75" s="100">
        <v>0</v>
      </c>
      <c r="P75" s="100">
        <v>1.6672614049629369E-2</v>
      </c>
      <c r="Q75" s="100">
        <v>1.7200498091141641E-2</v>
      </c>
    </row>
    <row r="76" spans="1:17" x14ac:dyDescent="0.35">
      <c r="A76" s="98" t="s">
        <v>5</v>
      </c>
      <c r="B76" s="98" t="s">
        <v>140</v>
      </c>
      <c r="C76" s="98" t="s">
        <v>244</v>
      </c>
      <c r="D76" s="99">
        <v>17636407.5</v>
      </c>
      <c r="E76" s="99">
        <v>20392723</v>
      </c>
      <c r="F76" s="99">
        <v>22673762.000000007</v>
      </c>
      <c r="G76" s="99">
        <v>0</v>
      </c>
      <c r="H76" s="98" t="s">
        <v>225</v>
      </c>
      <c r="I76" s="99">
        <v>0</v>
      </c>
      <c r="J76" s="98" t="s">
        <v>225</v>
      </c>
      <c r="K76" s="99">
        <v>0</v>
      </c>
      <c r="L76" s="98" t="s">
        <v>225</v>
      </c>
      <c r="M76" s="98" t="s">
        <v>225</v>
      </c>
      <c r="N76" s="99">
        <v>0</v>
      </c>
      <c r="O76" s="100">
        <v>0</v>
      </c>
      <c r="P76" s="100">
        <v>0</v>
      </c>
      <c r="Q76" s="100">
        <v>0</v>
      </c>
    </row>
    <row r="77" spans="1:17" x14ac:dyDescent="0.35">
      <c r="A77" s="98" t="s">
        <v>5</v>
      </c>
      <c r="B77" s="98" t="s">
        <v>140</v>
      </c>
      <c r="C77" s="98" t="s">
        <v>245</v>
      </c>
      <c r="D77" s="99">
        <v>17636407.5</v>
      </c>
      <c r="E77" s="99">
        <v>20392723</v>
      </c>
      <c r="F77" s="99">
        <v>22673762.000000007</v>
      </c>
      <c r="G77" s="99">
        <v>0</v>
      </c>
      <c r="H77" s="98" t="s">
        <v>225</v>
      </c>
      <c r="I77" s="99">
        <v>336</v>
      </c>
      <c r="J77" s="98">
        <v>2017</v>
      </c>
      <c r="K77" s="99">
        <v>50</v>
      </c>
      <c r="L77" s="98">
        <v>2021</v>
      </c>
      <c r="M77" s="98" t="s">
        <v>226</v>
      </c>
      <c r="N77" s="99">
        <v>51.366660330735606</v>
      </c>
      <c r="O77" s="100">
        <v>0</v>
      </c>
      <c r="P77" s="100">
        <v>0.16476465649045496</v>
      </c>
      <c r="Q77" s="100">
        <v>2.2654670332490738E-2</v>
      </c>
    </row>
    <row r="78" spans="1:17" x14ac:dyDescent="0.35">
      <c r="A78" s="98" t="s">
        <v>4</v>
      </c>
      <c r="B78" s="98" t="s">
        <v>139</v>
      </c>
      <c r="C78" s="98" t="s">
        <v>224</v>
      </c>
      <c r="D78" s="99">
        <v>2217278.0000000009</v>
      </c>
      <c r="E78" s="99">
        <v>2451408.4999999995</v>
      </c>
      <c r="F78" s="99">
        <v>2630296.0000000019</v>
      </c>
      <c r="G78" s="99">
        <v>166</v>
      </c>
      <c r="H78" s="98">
        <v>2012</v>
      </c>
      <c r="I78" s="99">
        <v>0</v>
      </c>
      <c r="J78" s="98" t="s">
        <v>225</v>
      </c>
      <c r="K78" s="99">
        <v>0</v>
      </c>
      <c r="L78" s="98" t="s">
        <v>225</v>
      </c>
      <c r="M78" s="98" t="s">
        <v>225</v>
      </c>
      <c r="N78" s="99">
        <v>0</v>
      </c>
      <c r="O78" s="100">
        <v>0.74866570633001328</v>
      </c>
      <c r="P78" s="100">
        <v>0</v>
      </c>
      <c r="Q78" s="100">
        <v>0</v>
      </c>
    </row>
    <row r="79" spans="1:17" x14ac:dyDescent="0.35">
      <c r="A79" s="98" t="s">
        <v>4</v>
      </c>
      <c r="B79" s="98" t="s">
        <v>139</v>
      </c>
      <c r="C79" s="98" t="s">
        <v>227</v>
      </c>
      <c r="D79" s="99">
        <v>2217278.0000000009</v>
      </c>
      <c r="E79" s="99">
        <v>2451408.4999999995</v>
      </c>
      <c r="F79" s="99">
        <v>2630296.0000000019</v>
      </c>
      <c r="G79" s="99">
        <v>668</v>
      </c>
      <c r="H79" s="98">
        <v>2013</v>
      </c>
      <c r="I79" s="99">
        <v>0</v>
      </c>
      <c r="J79" s="98" t="s">
        <v>225</v>
      </c>
      <c r="K79" s="99">
        <v>0</v>
      </c>
      <c r="L79" s="98" t="s">
        <v>225</v>
      </c>
      <c r="M79" s="98" t="s">
        <v>225</v>
      </c>
      <c r="N79" s="99">
        <v>0</v>
      </c>
      <c r="O79" s="100">
        <v>3.0127029628219812</v>
      </c>
      <c r="P79" s="100">
        <v>0</v>
      </c>
      <c r="Q79" s="100">
        <v>0</v>
      </c>
    </row>
    <row r="80" spans="1:17" x14ac:dyDescent="0.35">
      <c r="A80" s="98" t="s">
        <v>4</v>
      </c>
      <c r="B80" s="98" t="s">
        <v>139</v>
      </c>
      <c r="C80" s="98" t="s">
        <v>228</v>
      </c>
      <c r="D80" s="99">
        <v>2217278.0000000009</v>
      </c>
      <c r="E80" s="99">
        <v>2451408.4999999995</v>
      </c>
      <c r="F80" s="99">
        <v>2630296.0000000019</v>
      </c>
      <c r="G80" s="99">
        <v>166</v>
      </c>
      <c r="H80" s="98">
        <v>2013</v>
      </c>
      <c r="I80" s="99">
        <v>99</v>
      </c>
      <c r="J80" s="98" t="s">
        <v>229</v>
      </c>
      <c r="K80" s="99">
        <v>99</v>
      </c>
      <c r="L80" s="98" t="s">
        <v>229</v>
      </c>
      <c r="M80" s="98" t="s">
        <v>225</v>
      </c>
      <c r="N80" s="99">
        <v>99</v>
      </c>
      <c r="O80" s="100">
        <v>0.74866570633001328</v>
      </c>
      <c r="P80" s="100">
        <v>0.40384946042244702</v>
      </c>
      <c r="Q80" s="100">
        <v>0.37638349448122921</v>
      </c>
    </row>
    <row r="81" spans="1:17" x14ac:dyDescent="0.35">
      <c r="A81" s="98" t="s">
        <v>4</v>
      </c>
      <c r="B81" s="98" t="s">
        <v>139</v>
      </c>
      <c r="C81" s="98" t="s">
        <v>230</v>
      </c>
      <c r="D81" s="99">
        <v>2217278.0000000009</v>
      </c>
      <c r="E81" s="99">
        <v>2451408.4999999995</v>
      </c>
      <c r="F81" s="99">
        <v>2630296.0000000019</v>
      </c>
      <c r="G81" s="99">
        <v>0</v>
      </c>
      <c r="H81" s="98" t="s">
        <v>225</v>
      </c>
      <c r="I81" s="99">
        <v>1622</v>
      </c>
      <c r="J81" s="98" t="s">
        <v>229</v>
      </c>
      <c r="K81" s="99">
        <v>1563</v>
      </c>
      <c r="L81" s="98">
        <v>2022</v>
      </c>
      <c r="M81" s="98" t="s">
        <v>226</v>
      </c>
      <c r="N81" s="99">
        <v>1796.3537810728089</v>
      </c>
      <c r="O81" s="100">
        <v>0</v>
      </c>
      <c r="P81" s="100">
        <v>6.6166042909617078</v>
      </c>
      <c r="Q81" s="100">
        <v>6.829473873179321</v>
      </c>
    </row>
    <row r="82" spans="1:17" x14ac:dyDescent="0.35">
      <c r="A82" s="98" t="s">
        <v>4</v>
      </c>
      <c r="B82" s="98" t="s">
        <v>139</v>
      </c>
      <c r="C82" s="98" t="s">
        <v>231</v>
      </c>
      <c r="D82" s="99">
        <v>2217278.0000000009</v>
      </c>
      <c r="E82" s="99">
        <v>2451408.4999999995</v>
      </c>
      <c r="F82" s="99">
        <v>2630296.0000000019</v>
      </c>
      <c r="G82" s="99">
        <v>0</v>
      </c>
      <c r="H82" s="98" t="s">
        <v>225</v>
      </c>
      <c r="I82" s="99">
        <v>156</v>
      </c>
      <c r="J82" s="98">
        <v>2018</v>
      </c>
      <c r="K82" s="99">
        <v>159</v>
      </c>
      <c r="L82" s="98">
        <v>2022</v>
      </c>
      <c r="M82" s="98" t="s">
        <v>225</v>
      </c>
      <c r="N82" s="99">
        <v>159</v>
      </c>
      <c r="O82" s="100">
        <v>0</v>
      </c>
      <c r="P82" s="100">
        <v>0.63636884672628014</v>
      </c>
      <c r="Q82" s="100">
        <v>0.6044947032577318</v>
      </c>
    </row>
    <row r="83" spans="1:17" x14ac:dyDescent="0.35">
      <c r="A83" s="98" t="s">
        <v>4</v>
      </c>
      <c r="B83" s="98" t="s">
        <v>139</v>
      </c>
      <c r="C83" s="98" t="s">
        <v>232</v>
      </c>
      <c r="D83" s="99">
        <v>2217278.0000000009</v>
      </c>
      <c r="E83" s="99">
        <v>2451408.4999999995</v>
      </c>
      <c r="F83" s="99">
        <v>2630296.0000000019</v>
      </c>
      <c r="G83" s="99">
        <v>0</v>
      </c>
      <c r="H83" s="98" t="s">
        <v>225</v>
      </c>
      <c r="I83" s="99">
        <v>27</v>
      </c>
      <c r="J83" s="98">
        <v>2018</v>
      </c>
      <c r="K83" s="99">
        <v>33</v>
      </c>
      <c r="L83" s="98">
        <v>2020</v>
      </c>
      <c r="M83" s="98" t="s">
        <v>225</v>
      </c>
      <c r="N83" s="99">
        <v>33</v>
      </c>
      <c r="O83" s="100">
        <v>0</v>
      </c>
      <c r="P83" s="100">
        <v>0.11014076193339464</v>
      </c>
      <c r="Q83" s="100">
        <v>0.12546116482707642</v>
      </c>
    </row>
    <row r="84" spans="1:17" x14ac:dyDescent="0.35">
      <c r="A84" s="98" t="s">
        <v>4</v>
      </c>
      <c r="B84" s="98" t="s">
        <v>139</v>
      </c>
      <c r="C84" s="98" t="s">
        <v>233</v>
      </c>
      <c r="D84" s="99">
        <v>2217278.0000000009</v>
      </c>
      <c r="E84" s="99">
        <v>2451408.4999999995</v>
      </c>
      <c r="F84" s="99">
        <v>2630296.0000000019</v>
      </c>
      <c r="G84" s="99">
        <v>0</v>
      </c>
      <c r="H84" s="98" t="s">
        <v>225</v>
      </c>
      <c r="I84" s="99">
        <v>160</v>
      </c>
      <c r="J84" s="98">
        <v>2018</v>
      </c>
      <c r="K84" s="99">
        <v>191</v>
      </c>
      <c r="L84" s="98">
        <v>2022</v>
      </c>
      <c r="M84" s="98" t="s">
        <v>225</v>
      </c>
      <c r="N84" s="99">
        <v>191</v>
      </c>
      <c r="O84" s="100">
        <v>0</v>
      </c>
      <c r="P84" s="100">
        <v>0.65268599664233862</v>
      </c>
      <c r="Q84" s="100">
        <v>0.72615401460519979</v>
      </c>
    </row>
    <row r="85" spans="1:17" x14ac:dyDescent="0.35">
      <c r="A85" s="98" t="s">
        <v>4</v>
      </c>
      <c r="B85" s="98" t="s">
        <v>139</v>
      </c>
      <c r="C85" s="98" t="s">
        <v>234</v>
      </c>
      <c r="D85" s="99">
        <v>2217278.0000000009</v>
      </c>
      <c r="E85" s="99">
        <v>2451408.4999999995</v>
      </c>
      <c r="F85" s="99">
        <v>2630296.0000000019</v>
      </c>
      <c r="G85" s="99">
        <v>0</v>
      </c>
      <c r="H85" s="98" t="s">
        <v>225</v>
      </c>
      <c r="I85" s="99">
        <v>63</v>
      </c>
      <c r="J85" s="98">
        <v>2018</v>
      </c>
      <c r="K85" s="99">
        <v>63</v>
      </c>
      <c r="L85" s="98">
        <v>2022</v>
      </c>
      <c r="M85" s="98" t="s">
        <v>225</v>
      </c>
      <c r="N85" s="99">
        <v>63</v>
      </c>
      <c r="O85" s="100">
        <v>0</v>
      </c>
      <c r="P85" s="100">
        <v>0.25699511117792084</v>
      </c>
      <c r="Q85" s="100">
        <v>0.23951676921532769</v>
      </c>
    </row>
    <row r="86" spans="1:17" x14ac:dyDescent="0.35">
      <c r="A86" s="98" t="s">
        <v>4</v>
      </c>
      <c r="B86" s="98" t="s">
        <v>139</v>
      </c>
      <c r="C86" s="98" t="s">
        <v>235</v>
      </c>
      <c r="D86" s="99">
        <v>2217278.0000000009</v>
      </c>
      <c r="E86" s="99">
        <v>2451408.4999999995</v>
      </c>
      <c r="F86" s="99">
        <v>2630296.0000000019</v>
      </c>
      <c r="G86" s="99">
        <v>0</v>
      </c>
      <c r="H86" s="98" t="s">
        <v>225</v>
      </c>
      <c r="I86" s="99">
        <v>134</v>
      </c>
      <c r="J86" s="98">
        <v>2018</v>
      </c>
      <c r="K86" s="99">
        <v>82</v>
      </c>
      <c r="L86" s="98">
        <v>2022</v>
      </c>
      <c r="M86" s="98" t="s">
        <v>226</v>
      </c>
      <c r="N86" s="99">
        <v>94.242488834274042</v>
      </c>
      <c r="O86" s="100">
        <v>0</v>
      </c>
      <c r="P86" s="100">
        <v>0.54662452218795854</v>
      </c>
      <c r="Q86" s="100">
        <v>0.35829613410153827</v>
      </c>
    </row>
    <row r="87" spans="1:17" x14ac:dyDescent="0.35">
      <c r="A87" s="98" t="s">
        <v>4</v>
      </c>
      <c r="B87" s="98" t="s">
        <v>139</v>
      </c>
      <c r="C87" s="98" t="s">
        <v>236</v>
      </c>
      <c r="D87" s="99">
        <v>2217278.0000000009</v>
      </c>
      <c r="E87" s="99">
        <v>2451408.4999999995</v>
      </c>
      <c r="F87" s="99">
        <v>2630296.0000000019</v>
      </c>
      <c r="G87" s="99">
        <v>0</v>
      </c>
      <c r="H87" s="98" t="s">
        <v>225</v>
      </c>
      <c r="I87" s="99">
        <v>73</v>
      </c>
      <c r="J87" s="98">
        <v>2018</v>
      </c>
      <c r="K87" s="99">
        <v>74</v>
      </c>
      <c r="L87" s="98">
        <v>2022</v>
      </c>
      <c r="M87" s="98" t="s">
        <v>225</v>
      </c>
      <c r="N87" s="99">
        <v>74</v>
      </c>
      <c r="O87" s="100">
        <v>0</v>
      </c>
      <c r="P87" s="100">
        <v>0.29778798596806699</v>
      </c>
      <c r="Q87" s="100">
        <v>0.28133715749101984</v>
      </c>
    </row>
    <row r="88" spans="1:17" x14ac:dyDescent="0.35">
      <c r="A88" s="98" t="s">
        <v>4</v>
      </c>
      <c r="B88" s="98" t="s">
        <v>139</v>
      </c>
      <c r="C88" s="98" t="s">
        <v>237</v>
      </c>
      <c r="D88" s="99">
        <v>2217278.0000000009</v>
      </c>
      <c r="E88" s="99">
        <v>2451408.4999999995</v>
      </c>
      <c r="F88" s="99">
        <v>2630296.0000000019</v>
      </c>
      <c r="G88" s="99">
        <v>0</v>
      </c>
      <c r="H88" s="98" t="s">
        <v>225</v>
      </c>
      <c r="I88" s="99">
        <v>5</v>
      </c>
      <c r="J88" s="98">
        <v>2018</v>
      </c>
      <c r="K88" s="99">
        <v>4</v>
      </c>
      <c r="L88" s="98">
        <v>2022</v>
      </c>
      <c r="M88" s="98" t="s">
        <v>226</v>
      </c>
      <c r="N88" s="99">
        <v>4.5971945772816607</v>
      </c>
      <c r="O88" s="100">
        <v>0</v>
      </c>
      <c r="P88" s="100">
        <v>2.0396437395073082E-2</v>
      </c>
      <c r="Q88" s="100">
        <v>1.7477860200075041E-2</v>
      </c>
    </row>
    <row r="89" spans="1:17" x14ac:dyDescent="0.35">
      <c r="A89" s="98" t="s">
        <v>4</v>
      </c>
      <c r="B89" s="98" t="s">
        <v>139</v>
      </c>
      <c r="C89" s="98" t="s">
        <v>238</v>
      </c>
      <c r="D89" s="99">
        <v>2217278.0000000009</v>
      </c>
      <c r="E89" s="99">
        <v>2451408.4999999995</v>
      </c>
      <c r="F89" s="99">
        <v>2630296.0000000019</v>
      </c>
      <c r="G89" s="99">
        <v>0</v>
      </c>
      <c r="H89" s="98" t="s">
        <v>225</v>
      </c>
      <c r="I89" s="99">
        <v>1248</v>
      </c>
      <c r="J89" s="98">
        <v>2018</v>
      </c>
      <c r="K89" s="99">
        <v>1579</v>
      </c>
      <c r="L89" s="98">
        <v>2022</v>
      </c>
      <c r="M89" s="98" t="s">
        <v>225</v>
      </c>
      <c r="N89" s="99">
        <v>1579</v>
      </c>
      <c r="O89" s="100">
        <v>0</v>
      </c>
      <c r="P89" s="100">
        <v>5.0909507738102411</v>
      </c>
      <c r="Q89" s="100">
        <v>6.0031266443016253</v>
      </c>
    </row>
    <row r="90" spans="1:17" x14ac:dyDescent="0.35">
      <c r="A90" s="98" t="s">
        <v>4</v>
      </c>
      <c r="B90" s="98" t="s">
        <v>139</v>
      </c>
      <c r="C90" s="98" t="s">
        <v>239</v>
      </c>
      <c r="D90" s="99">
        <v>2217278.0000000009</v>
      </c>
      <c r="E90" s="99">
        <v>2451408.4999999995</v>
      </c>
      <c r="F90" s="99">
        <v>2630296.0000000019</v>
      </c>
      <c r="G90" s="99">
        <v>0</v>
      </c>
      <c r="H90" s="98" t="s">
        <v>225</v>
      </c>
      <c r="I90" s="99">
        <v>3342</v>
      </c>
      <c r="J90" s="98">
        <v>2018</v>
      </c>
      <c r="K90" s="99">
        <v>3204</v>
      </c>
      <c r="L90" s="98">
        <v>2022</v>
      </c>
      <c r="M90" s="98" t="s">
        <v>226</v>
      </c>
      <c r="N90" s="99">
        <v>3682.3528564026101</v>
      </c>
      <c r="O90" s="100">
        <v>0</v>
      </c>
      <c r="P90" s="100">
        <v>13.632978754866848</v>
      </c>
      <c r="Q90" s="100">
        <v>13.999766020260106</v>
      </c>
    </row>
    <row r="91" spans="1:17" x14ac:dyDescent="0.35">
      <c r="A91" s="98" t="s">
        <v>4</v>
      </c>
      <c r="B91" s="98" t="s">
        <v>139</v>
      </c>
      <c r="C91" s="98" t="s">
        <v>240</v>
      </c>
      <c r="D91" s="99">
        <v>2217278.0000000009</v>
      </c>
      <c r="E91" s="99">
        <v>2451408.4999999995</v>
      </c>
      <c r="F91" s="99">
        <v>2630296.0000000019</v>
      </c>
      <c r="G91" s="99">
        <v>0</v>
      </c>
      <c r="H91" s="98" t="s">
        <v>225</v>
      </c>
      <c r="I91" s="99">
        <v>460</v>
      </c>
      <c r="J91" s="98" t="s">
        <v>229</v>
      </c>
      <c r="K91" s="99">
        <v>318</v>
      </c>
      <c r="L91" s="98">
        <v>2022</v>
      </c>
      <c r="M91" s="98" t="s">
        <v>226</v>
      </c>
      <c r="N91" s="99">
        <v>365.47696889389204</v>
      </c>
      <c r="O91" s="100">
        <v>0</v>
      </c>
      <c r="P91" s="100">
        <v>1.8764722403467236</v>
      </c>
      <c r="Q91" s="100">
        <v>1.3894898859059657</v>
      </c>
    </row>
    <row r="92" spans="1:17" x14ac:dyDescent="0.35">
      <c r="A92" s="98" t="s">
        <v>4</v>
      </c>
      <c r="B92" s="98" t="s">
        <v>139</v>
      </c>
      <c r="C92" s="98" t="s">
        <v>241</v>
      </c>
      <c r="D92" s="99">
        <v>2217278.0000000009</v>
      </c>
      <c r="E92" s="99">
        <v>2451408.4999999995</v>
      </c>
      <c r="F92" s="99">
        <v>2630296.0000000019</v>
      </c>
      <c r="G92" s="99">
        <v>0</v>
      </c>
      <c r="H92" s="98" t="s">
        <v>225</v>
      </c>
      <c r="I92" s="99">
        <v>58</v>
      </c>
      <c r="J92" s="98" t="s">
        <v>229</v>
      </c>
      <c r="K92" s="99">
        <v>6</v>
      </c>
      <c r="L92" s="98">
        <v>2022</v>
      </c>
      <c r="M92" s="98" t="s">
        <v>226</v>
      </c>
      <c r="N92" s="99">
        <v>6.895791865922491</v>
      </c>
      <c r="O92" s="100">
        <v>0</v>
      </c>
      <c r="P92" s="100">
        <v>0.23659867378284774</v>
      </c>
      <c r="Q92" s="100">
        <v>2.621679030011256E-2</v>
      </c>
    </row>
    <row r="93" spans="1:17" x14ac:dyDescent="0.35">
      <c r="A93" s="98" t="s">
        <v>4</v>
      </c>
      <c r="B93" s="98" t="s">
        <v>139</v>
      </c>
      <c r="C93" s="98" t="s">
        <v>242</v>
      </c>
      <c r="D93" s="99">
        <v>2217278.0000000009</v>
      </c>
      <c r="E93" s="99">
        <v>2451408.4999999995</v>
      </c>
      <c r="F93" s="99">
        <v>2630296.0000000019</v>
      </c>
      <c r="G93" s="99">
        <v>0</v>
      </c>
      <c r="H93" s="98" t="s">
        <v>225</v>
      </c>
      <c r="I93" s="99">
        <v>42</v>
      </c>
      <c r="J93" s="98">
        <v>2018</v>
      </c>
      <c r="K93" s="99">
        <v>30</v>
      </c>
      <c r="L93" s="98">
        <v>2022</v>
      </c>
      <c r="M93" s="98" t="s">
        <v>226</v>
      </c>
      <c r="N93" s="99">
        <v>34.478959329612458</v>
      </c>
      <c r="O93" s="100">
        <v>0</v>
      </c>
      <c r="P93" s="100">
        <v>0.1713300741186139</v>
      </c>
      <c r="Q93" s="100">
        <v>0.13108395150056282</v>
      </c>
    </row>
    <row r="94" spans="1:17" x14ac:dyDescent="0.35">
      <c r="A94" s="98" t="s">
        <v>4</v>
      </c>
      <c r="B94" s="98" t="s">
        <v>139</v>
      </c>
      <c r="C94" s="98" t="s">
        <v>243</v>
      </c>
      <c r="D94" s="99">
        <v>2217278.0000000009</v>
      </c>
      <c r="E94" s="99">
        <v>2451408.4999999995</v>
      </c>
      <c r="F94" s="99">
        <v>2630296.0000000019</v>
      </c>
      <c r="G94" s="99">
        <v>0</v>
      </c>
      <c r="H94" s="98" t="s">
        <v>225</v>
      </c>
      <c r="I94" s="99">
        <v>0</v>
      </c>
      <c r="J94" s="98" t="s">
        <v>225</v>
      </c>
      <c r="K94" s="99">
        <v>0</v>
      </c>
      <c r="L94" s="98" t="s">
        <v>225</v>
      </c>
      <c r="M94" s="98" t="s">
        <v>225</v>
      </c>
      <c r="N94" s="99">
        <v>0</v>
      </c>
      <c r="O94" s="100">
        <v>0</v>
      </c>
      <c r="P94" s="100">
        <v>0</v>
      </c>
      <c r="Q94" s="100">
        <v>0</v>
      </c>
    </row>
    <row r="95" spans="1:17" x14ac:dyDescent="0.35">
      <c r="A95" s="98" t="s">
        <v>4</v>
      </c>
      <c r="B95" s="98" t="s">
        <v>139</v>
      </c>
      <c r="C95" s="98" t="s">
        <v>244</v>
      </c>
      <c r="D95" s="99">
        <v>2217278.0000000009</v>
      </c>
      <c r="E95" s="99">
        <v>2451408.4999999995</v>
      </c>
      <c r="F95" s="99">
        <v>2630296.0000000019</v>
      </c>
      <c r="G95" s="99">
        <v>0</v>
      </c>
      <c r="H95" s="98" t="s">
        <v>225</v>
      </c>
      <c r="I95" s="99">
        <v>9</v>
      </c>
      <c r="J95" s="98">
        <v>2018</v>
      </c>
      <c r="K95" s="99">
        <v>11</v>
      </c>
      <c r="L95" s="98">
        <v>2022</v>
      </c>
      <c r="M95" s="98" t="s">
        <v>225</v>
      </c>
      <c r="N95" s="99">
        <v>11</v>
      </c>
      <c r="O95" s="100">
        <v>0</v>
      </c>
      <c r="P95" s="100">
        <v>3.6713587311131543E-2</v>
      </c>
      <c r="Q95" s="100">
        <v>4.1820388275692136E-2</v>
      </c>
    </row>
    <row r="96" spans="1:17" x14ac:dyDescent="0.35">
      <c r="A96" s="98" t="s">
        <v>4</v>
      </c>
      <c r="B96" s="98" t="s">
        <v>139</v>
      </c>
      <c r="C96" s="98" t="s">
        <v>245</v>
      </c>
      <c r="D96" s="99">
        <v>2217278.0000000009</v>
      </c>
      <c r="E96" s="99">
        <v>2451408.4999999995</v>
      </c>
      <c r="F96" s="99">
        <v>2630296.0000000019</v>
      </c>
      <c r="G96" s="99">
        <v>0</v>
      </c>
      <c r="H96" s="98" t="s">
        <v>225</v>
      </c>
      <c r="I96" s="99">
        <v>0</v>
      </c>
      <c r="J96" s="98" t="s">
        <v>225</v>
      </c>
      <c r="K96" s="99">
        <v>0</v>
      </c>
      <c r="L96" s="98" t="s">
        <v>225</v>
      </c>
      <c r="M96" s="98" t="s">
        <v>225</v>
      </c>
      <c r="N96" s="99">
        <v>0</v>
      </c>
      <c r="O96" s="100">
        <v>0</v>
      </c>
      <c r="P96" s="100">
        <v>0</v>
      </c>
      <c r="Q96" s="100">
        <v>0</v>
      </c>
    </row>
    <row r="97" spans="1:17" x14ac:dyDescent="0.35">
      <c r="A97" s="98" t="s">
        <v>8</v>
      </c>
      <c r="B97" s="98" t="s">
        <v>144</v>
      </c>
      <c r="C97" s="98" t="s">
        <v>224</v>
      </c>
      <c r="D97" s="99">
        <v>4802428.5000000065</v>
      </c>
      <c r="E97" s="99">
        <v>5094779.9999999991</v>
      </c>
      <c r="F97" s="99">
        <v>5579143.5000000047</v>
      </c>
      <c r="G97" s="99">
        <v>0</v>
      </c>
      <c r="H97" s="98" t="s">
        <v>225</v>
      </c>
      <c r="I97" s="99">
        <v>115</v>
      </c>
      <c r="J97" s="98">
        <v>2018</v>
      </c>
      <c r="K97" s="99">
        <v>1595</v>
      </c>
      <c r="L97" s="98">
        <v>2021</v>
      </c>
      <c r="M97" s="98" t="s">
        <v>225</v>
      </c>
      <c r="N97" s="99">
        <v>1595</v>
      </c>
      <c r="O97" s="100">
        <v>0</v>
      </c>
      <c r="P97" s="100">
        <v>0.22572122839455289</v>
      </c>
      <c r="Q97" s="100">
        <v>2.8588617589778766</v>
      </c>
    </row>
    <row r="98" spans="1:17" x14ac:dyDescent="0.35">
      <c r="A98" s="98" t="s">
        <v>8</v>
      </c>
      <c r="B98" s="98" t="s">
        <v>144</v>
      </c>
      <c r="C98" s="98" t="s">
        <v>227</v>
      </c>
      <c r="D98" s="99">
        <v>4802428.5000000065</v>
      </c>
      <c r="E98" s="99">
        <v>5094779.9999999991</v>
      </c>
      <c r="F98" s="99">
        <v>5579143.5000000047</v>
      </c>
      <c r="G98" s="99">
        <v>44</v>
      </c>
      <c r="H98" s="98">
        <v>2013</v>
      </c>
      <c r="I98" s="99">
        <v>77</v>
      </c>
      <c r="J98" s="98">
        <v>2018</v>
      </c>
      <c r="K98" s="99">
        <v>1634</v>
      </c>
      <c r="L98" s="98">
        <v>2022</v>
      </c>
      <c r="M98" s="98" t="s">
        <v>225</v>
      </c>
      <c r="N98" s="99">
        <v>1634</v>
      </c>
      <c r="O98" s="100">
        <v>9.1620312514803584E-2</v>
      </c>
      <c r="P98" s="100">
        <v>0.15113508335983106</v>
      </c>
      <c r="Q98" s="100">
        <v>2.9287649618619751</v>
      </c>
    </row>
    <row r="99" spans="1:17" x14ac:dyDescent="0.35">
      <c r="A99" s="98" t="s">
        <v>8</v>
      </c>
      <c r="B99" s="98" t="s">
        <v>144</v>
      </c>
      <c r="C99" s="98" t="s">
        <v>228</v>
      </c>
      <c r="D99" s="99">
        <v>4802428.5000000065</v>
      </c>
      <c r="E99" s="99">
        <v>5094779.9999999991</v>
      </c>
      <c r="F99" s="99">
        <v>5579143.5000000047</v>
      </c>
      <c r="G99" s="99">
        <v>257</v>
      </c>
      <c r="H99" s="98">
        <v>2013</v>
      </c>
      <c r="I99" s="99">
        <v>105</v>
      </c>
      <c r="J99" s="98" t="s">
        <v>229</v>
      </c>
      <c r="K99" s="99">
        <v>47</v>
      </c>
      <c r="L99" s="98">
        <v>2022</v>
      </c>
      <c r="M99" s="98" t="s">
        <v>226</v>
      </c>
      <c r="N99" s="99">
        <v>60.353598014888341</v>
      </c>
      <c r="O99" s="100">
        <v>0.53514591627964825</v>
      </c>
      <c r="P99" s="100">
        <v>0.20609329549067873</v>
      </c>
      <c r="Q99" s="100">
        <v>0.10817717453384788</v>
      </c>
    </row>
    <row r="100" spans="1:17" x14ac:dyDescent="0.35">
      <c r="A100" s="98" t="s">
        <v>8</v>
      </c>
      <c r="B100" s="98" t="s">
        <v>144</v>
      </c>
      <c r="C100" s="98" t="s">
        <v>230</v>
      </c>
      <c r="D100" s="99">
        <v>4802428.5000000065</v>
      </c>
      <c r="E100" s="99">
        <v>5094779.9999999991</v>
      </c>
      <c r="F100" s="99">
        <v>5579143.5000000047</v>
      </c>
      <c r="G100" s="99">
        <v>0</v>
      </c>
      <c r="H100" s="98" t="s">
        <v>225</v>
      </c>
      <c r="I100" s="99">
        <v>79</v>
      </c>
      <c r="J100" s="98" t="s">
        <v>229</v>
      </c>
      <c r="K100" s="99">
        <v>308</v>
      </c>
      <c r="L100" s="98">
        <v>2021</v>
      </c>
      <c r="M100" s="98" t="s">
        <v>225</v>
      </c>
      <c r="N100" s="99">
        <v>308</v>
      </c>
      <c r="O100" s="100">
        <v>0</v>
      </c>
      <c r="P100" s="100">
        <v>0.15506066994060591</v>
      </c>
      <c r="Q100" s="100">
        <v>0.5520560638026244</v>
      </c>
    </row>
    <row r="101" spans="1:17" x14ac:dyDescent="0.35">
      <c r="A101" s="98" t="s">
        <v>8</v>
      </c>
      <c r="B101" s="98" t="s">
        <v>144</v>
      </c>
      <c r="C101" s="98" t="s">
        <v>231</v>
      </c>
      <c r="D101" s="99">
        <v>4802428.5000000065</v>
      </c>
      <c r="E101" s="99">
        <v>5094779.9999999991</v>
      </c>
      <c r="F101" s="99">
        <v>5579143.5000000047</v>
      </c>
      <c r="G101" s="99">
        <v>0</v>
      </c>
      <c r="H101" s="98" t="s">
        <v>225</v>
      </c>
      <c r="I101" s="99">
        <v>22</v>
      </c>
      <c r="J101" s="98" t="s">
        <v>229</v>
      </c>
      <c r="K101" s="99">
        <v>22</v>
      </c>
      <c r="L101" s="98" t="s">
        <v>229</v>
      </c>
      <c r="M101" s="98" t="s">
        <v>225</v>
      </c>
      <c r="N101" s="99">
        <v>22</v>
      </c>
      <c r="O101" s="100">
        <v>0</v>
      </c>
      <c r="P101" s="100">
        <v>4.318145238852316E-2</v>
      </c>
      <c r="Q101" s="100">
        <v>3.9432575985901747E-2</v>
      </c>
    </row>
    <row r="102" spans="1:17" x14ac:dyDescent="0.35">
      <c r="A102" s="98" t="s">
        <v>8</v>
      </c>
      <c r="B102" s="98" t="s">
        <v>144</v>
      </c>
      <c r="C102" s="98" t="s">
        <v>232</v>
      </c>
      <c r="D102" s="99">
        <v>4802428.5000000065</v>
      </c>
      <c r="E102" s="99">
        <v>5094779.9999999991</v>
      </c>
      <c r="F102" s="99">
        <v>5579143.5000000047</v>
      </c>
      <c r="G102" s="99">
        <v>0</v>
      </c>
      <c r="H102" s="98" t="s">
        <v>225</v>
      </c>
      <c r="I102" s="99">
        <v>1</v>
      </c>
      <c r="J102" s="98">
        <v>2018</v>
      </c>
      <c r="K102" s="99">
        <v>1</v>
      </c>
      <c r="L102" s="98">
        <v>2018</v>
      </c>
      <c r="M102" s="98" t="s">
        <v>225</v>
      </c>
      <c r="N102" s="99">
        <v>1</v>
      </c>
      <c r="O102" s="100">
        <v>0</v>
      </c>
      <c r="P102" s="100">
        <v>1.9627932903874164E-3</v>
      </c>
      <c r="Q102" s="100">
        <v>1.7923898175409884E-3</v>
      </c>
    </row>
    <row r="103" spans="1:17" x14ac:dyDescent="0.35">
      <c r="A103" s="98" t="s">
        <v>8</v>
      </c>
      <c r="B103" s="98" t="s">
        <v>144</v>
      </c>
      <c r="C103" s="98" t="s">
        <v>233</v>
      </c>
      <c r="D103" s="99">
        <v>4802428.5000000065</v>
      </c>
      <c r="E103" s="99">
        <v>5094779.9999999991</v>
      </c>
      <c r="F103" s="99">
        <v>5579143.5000000047</v>
      </c>
      <c r="G103" s="99">
        <v>0</v>
      </c>
      <c r="H103" s="98" t="s">
        <v>225</v>
      </c>
      <c r="I103" s="99">
        <v>112</v>
      </c>
      <c r="J103" s="98">
        <v>2018</v>
      </c>
      <c r="K103" s="99">
        <v>112</v>
      </c>
      <c r="L103" s="98">
        <v>2018</v>
      </c>
      <c r="M103" s="98" t="s">
        <v>225</v>
      </c>
      <c r="N103" s="99">
        <v>112</v>
      </c>
      <c r="O103" s="100">
        <v>0</v>
      </c>
      <c r="P103" s="100">
        <v>0.21983284852339066</v>
      </c>
      <c r="Q103" s="100">
        <v>0.2007476595645907</v>
      </c>
    </row>
    <row r="104" spans="1:17" x14ac:dyDescent="0.35">
      <c r="A104" s="98" t="s">
        <v>8</v>
      </c>
      <c r="B104" s="98" t="s">
        <v>144</v>
      </c>
      <c r="C104" s="98" t="s">
        <v>234</v>
      </c>
      <c r="D104" s="99">
        <v>4802428.5000000065</v>
      </c>
      <c r="E104" s="99">
        <v>5094779.9999999991</v>
      </c>
      <c r="F104" s="99">
        <v>5579143.5000000047</v>
      </c>
      <c r="G104" s="99">
        <v>0</v>
      </c>
      <c r="H104" s="98" t="s">
        <v>225</v>
      </c>
      <c r="I104" s="99">
        <v>104</v>
      </c>
      <c r="J104" s="98" t="s">
        <v>229</v>
      </c>
      <c r="K104" s="99">
        <v>104</v>
      </c>
      <c r="L104" s="98" t="s">
        <v>229</v>
      </c>
      <c r="M104" s="98" t="s">
        <v>225</v>
      </c>
      <c r="N104" s="99">
        <v>104</v>
      </c>
      <c r="O104" s="100">
        <v>0</v>
      </c>
      <c r="P104" s="100">
        <v>0.2041305022002913</v>
      </c>
      <c r="Q104" s="100">
        <v>0.1864085410242628</v>
      </c>
    </row>
    <row r="105" spans="1:17" x14ac:dyDescent="0.35">
      <c r="A105" s="98" t="s">
        <v>8</v>
      </c>
      <c r="B105" s="98" t="s">
        <v>144</v>
      </c>
      <c r="C105" s="98" t="s">
        <v>235</v>
      </c>
      <c r="D105" s="99">
        <v>4802428.5000000065</v>
      </c>
      <c r="E105" s="99">
        <v>5094779.9999999991</v>
      </c>
      <c r="F105" s="99">
        <v>5579143.5000000047</v>
      </c>
      <c r="G105" s="99">
        <v>0</v>
      </c>
      <c r="H105" s="98" t="s">
        <v>225</v>
      </c>
      <c r="I105" s="99">
        <v>3</v>
      </c>
      <c r="J105" s="98" t="s">
        <v>229</v>
      </c>
      <c r="K105" s="99">
        <v>3</v>
      </c>
      <c r="L105" s="98" t="s">
        <v>229</v>
      </c>
      <c r="M105" s="98" t="s">
        <v>225</v>
      </c>
      <c r="N105" s="99">
        <v>3</v>
      </c>
      <c r="O105" s="100">
        <v>0</v>
      </c>
      <c r="P105" s="100">
        <v>5.8883798711622491E-3</v>
      </c>
      <c r="Q105" s="100">
        <v>5.3771694526229654E-3</v>
      </c>
    </row>
    <row r="106" spans="1:17" x14ac:dyDescent="0.35">
      <c r="A106" s="98" t="s">
        <v>8</v>
      </c>
      <c r="B106" s="98" t="s">
        <v>144</v>
      </c>
      <c r="C106" s="98" t="s">
        <v>236</v>
      </c>
      <c r="D106" s="99">
        <v>4802428.5000000065</v>
      </c>
      <c r="E106" s="99">
        <v>5094779.9999999991</v>
      </c>
      <c r="F106" s="99">
        <v>5579143.5000000047</v>
      </c>
      <c r="G106" s="99">
        <v>0</v>
      </c>
      <c r="H106" s="98" t="s">
        <v>225</v>
      </c>
      <c r="I106" s="99">
        <v>20</v>
      </c>
      <c r="J106" s="98" t="s">
        <v>229</v>
      </c>
      <c r="K106" s="99">
        <v>20</v>
      </c>
      <c r="L106" s="98" t="s">
        <v>229</v>
      </c>
      <c r="M106" s="98" t="s">
        <v>225</v>
      </c>
      <c r="N106" s="99">
        <v>20</v>
      </c>
      <c r="O106" s="100">
        <v>0</v>
      </c>
      <c r="P106" s="100">
        <v>3.9255865807748327E-2</v>
      </c>
      <c r="Q106" s="100">
        <v>3.584779635081977E-2</v>
      </c>
    </row>
    <row r="107" spans="1:17" x14ac:dyDescent="0.35">
      <c r="A107" s="98" t="s">
        <v>8</v>
      </c>
      <c r="B107" s="98" t="s">
        <v>144</v>
      </c>
      <c r="C107" s="98" t="s">
        <v>237</v>
      </c>
      <c r="D107" s="99">
        <v>4802428.5000000065</v>
      </c>
      <c r="E107" s="99">
        <v>5094779.9999999991</v>
      </c>
      <c r="F107" s="99">
        <v>5579143.5000000047</v>
      </c>
      <c r="G107" s="99">
        <v>0</v>
      </c>
      <c r="H107" s="98" t="s">
        <v>225</v>
      </c>
      <c r="I107" s="99">
        <v>0</v>
      </c>
      <c r="J107" s="98" t="s">
        <v>225</v>
      </c>
      <c r="K107" s="99">
        <v>0</v>
      </c>
      <c r="L107" s="98" t="s">
        <v>225</v>
      </c>
      <c r="M107" s="98" t="s">
        <v>225</v>
      </c>
      <c r="N107" s="99">
        <v>0</v>
      </c>
      <c r="O107" s="100">
        <v>0</v>
      </c>
      <c r="P107" s="100">
        <v>0</v>
      </c>
      <c r="Q107" s="100">
        <v>0</v>
      </c>
    </row>
    <row r="108" spans="1:17" x14ac:dyDescent="0.35">
      <c r="A108" s="98" t="s">
        <v>8</v>
      </c>
      <c r="B108" s="98" t="s">
        <v>144</v>
      </c>
      <c r="C108" s="98" t="s">
        <v>238</v>
      </c>
      <c r="D108" s="99">
        <v>4802428.5000000065</v>
      </c>
      <c r="E108" s="99">
        <v>5094779.9999999991</v>
      </c>
      <c r="F108" s="99">
        <v>5579143.5000000047</v>
      </c>
      <c r="G108" s="99">
        <v>0</v>
      </c>
      <c r="H108" s="98" t="s">
        <v>225</v>
      </c>
      <c r="I108" s="99">
        <v>65</v>
      </c>
      <c r="J108" s="98" t="s">
        <v>229</v>
      </c>
      <c r="K108" s="99">
        <v>65</v>
      </c>
      <c r="L108" s="98" t="s">
        <v>229</v>
      </c>
      <c r="M108" s="98" t="s">
        <v>225</v>
      </c>
      <c r="N108" s="99">
        <v>65</v>
      </c>
      <c r="O108" s="100">
        <v>0</v>
      </c>
      <c r="P108" s="100">
        <v>0.12758156387518207</v>
      </c>
      <c r="Q108" s="100">
        <v>0.11650533814016426</v>
      </c>
    </row>
    <row r="109" spans="1:17" x14ac:dyDescent="0.35">
      <c r="A109" s="98" t="s">
        <v>8</v>
      </c>
      <c r="B109" s="98" t="s">
        <v>144</v>
      </c>
      <c r="C109" s="98" t="s">
        <v>239</v>
      </c>
      <c r="D109" s="99">
        <v>4802428.5000000065</v>
      </c>
      <c r="E109" s="99">
        <v>5094779.9999999991</v>
      </c>
      <c r="F109" s="99">
        <v>5579143.5000000047</v>
      </c>
      <c r="G109" s="99">
        <v>0</v>
      </c>
      <c r="H109" s="98" t="s">
        <v>225</v>
      </c>
      <c r="I109" s="99">
        <v>14</v>
      </c>
      <c r="J109" s="98" t="s">
        <v>229</v>
      </c>
      <c r="K109" s="99">
        <v>14</v>
      </c>
      <c r="L109" s="98" t="s">
        <v>229</v>
      </c>
      <c r="M109" s="98" t="s">
        <v>225</v>
      </c>
      <c r="N109" s="99">
        <v>14</v>
      </c>
      <c r="O109" s="100">
        <v>0</v>
      </c>
      <c r="P109" s="100">
        <v>2.7479106065423833E-2</v>
      </c>
      <c r="Q109" s="100">
        <v>2.5093457445573838E-2</v>
      </c>
    </row>
    <row r="110" spans="1:17" x14ac:dyDescent="0.35">
      <c r="A110" s="98" t="s">
        <v>8</v>
      </c>
      <c r="B110" s="98" t="s">
        <v>144</v>
      </c>
      <c r="C110" s="98" t="s">
        <v>240</v>
      </c>
      <c r="D110" s="99">
        <v>4802428.5000000065</v>
      </c>
      <c r="E110" s="99">
        <v>5094779.9999999991</v>
      </c>
      <c r="F110" s="99">
        <v>5579143.5000000047</v>
      </c>
      <c r="G110" s="99">
        <v>0</v>
      </c>
      <c r="H110" s="98" t="s">
        <v>225</v>
      </c>
      <c r="I110" s="99">
        <v>112</v>
      </c>
      <c r="J110" s="98" t="s">
        <v>229</v>
      </c>
      <c r="K110" s="99">
        <v>47</v>
      </c>
      <c r="L110" s="98">
        <v>2021</v>
      </c>
      <c r="M110" s="98" t="s">
        <v>226</v>
      </c>
      <c r="N110" s="99">
        <v>60.353598014888341</v>
      </c>
      <c r="O110" s="100">
        <v>0</v>
      </c>
      <c r="P110" s="100">
        <v>0.21983284852339066</v>
      </c>
      <c r="Q110" s="100">
        <v>0.10817717453384788</v>
      </c>
    </row>
    <row r="111" spans="1:17" x14ac:dyDescent="0.35">
      <c r="A111" s="98" t="s">
        <v>8</v>
      </c>
      <c r="B111" s="98" t="s">
        <v>144</v>
      </c>
      <c r="C111" s="98" t="s">
        <v>241</v>
      </c>
      <c r="D111" s="99">
        <v>4802428.5000000065</v>
      </c>
      <c r="E111" s="99">
        <v>5094779.9999999991</v>
      </c>
      <c r="F111" s="99">
        <v>5579143.5000000047</v>
      </c>
      <c r="G111" s="99">
        <v>0</v>
      </c>
      <c r="H111" s="98" t="s">
        <v>225</v>
      </c>
      <c r="I111" s="99">
        <v>200</v>
      </c>
      <c r="J111" s="98" t="s">
        <v>229</v>
      </c>
      <c r="K111" s="99">
        <v>200</v>
      </c>
      <c r="L111" s="98" t="s">
        <v>229</v>
      </c>
      <c r="M111" s="98" t="s">
        <v>225</v>
      </c>
      <c r="N111" s="99">
        <v>200</v>
      </c>
      <c r="O111" s="100">
        <v>0</v>
      </c>
      <c r="P111" s="100">
        <v>0.3925586580774833</v>
      </c>
      <c r="Q111" s="100">
        <v>0.35847796350819766</v>
      </c>
    </row>
    <row r="112" spans="1:17" x14ac:dyDescent="0.35">
      <c r="A112" s="98" t="s">
        <v>8</v>
      </c>
      <c r="B112" s="98" t="s">
        <v>144</v>
      </c>
      <c r="C112" s="98" t="s">
        <v>242</v>
      </c>
      <c r="D112" s="99">
        <v>4802428.5000000065</v>
      </c>
      <c r="E112" s="99">
        <v>5094779.9999999991</v>
      </c>
      <c r="F112" s="99">
        <v>5579143.5000000047</v>
      </c>
      <c r="G112" s="99">
        <v>0</v>
      </c>
      <c r="H112" s="98" t="s">
        <v>225</v>
      </c>
      <c r="I112" s="99">
        <v>0</v>
      </c>
      <c r="J112" s="98" t="s">
        <v>225</v>
      </c>
      <c r="K112" s="99">
        <v>155</v>
      </c>
      <c r="L112" s="98">
        <v>2021</v>
      </c>
      <c r="M112" s="98" t="s">
        <v>225</v>
      </c>
      <c r="N112" s="99">
        <v>155</v>
      </c>
      <c r="O112" s="100">
        <v>0</v>
      </c>
      <c r="P112" s="100">
        <v>0</v>
      </c>
      <c r="Q112" s="100">
        <v>0.27782042171885318</v>
      </c>
    </row>
    <row r="113" spans="1:17" x14ac:dyDescent="0.35">
      <c r="A113" s="98" t="s">
        <v>8</v>
      </c>
      <c r="B113" s="98" t="s">
        <v>144</v>
      </c>
      <c r="C113" s="98" t="s">
        <v>243</v>
      </c>
      <c r="D113" s="99">
        <v>4802428.5000000065</v>
      </c>
      <c r="E113" s="99">
        <v>5094779.9999999991</v>
      </c>
      <c r="F113" s="99">
        <v>5579143.5000000047</v>
      </c>
      <c r="G113" s="99">
        <v>83</v>
      </c>
      <c r="H113" s="98">
        <v>2015</v>
      </c>
      <c r="I113" s="99">
        <v>0</v>
      </c>
      <c r="J113" s="98" t="s">
        <v>225</v>
      </c>
      <c r="K113" s="99">
        <v>0</v>
      </c>
      <c r="L113" s="98" t="s">
        <v>225</v>
      </c>
      <c r="M113" s="98" t="s">
        <v>225</v>
      </c>
      <c r="N113" s="99">
        <v>0</v>
      </c>
      <c r="O113" s="100">
        <v>0.17282922588019767</v>
      </c>
      <c r="P113" s="100">
        <v>0</v>
      </c>
      <c r="Q113" s="100">
        <v>0</v>
      </c>
    </row>
    <row r="114" spans="1:17" x14ac:dyDescent="0.35">
      <c r="A114" s="98" t="s">
        <v>8</v>
      </c>
      <c r="B114" s="98" t="s">
        <v>144</v>
      </c>
      <c r="C114" s="98" t="s">
        <v>244</v>
      </c>
      <c r="D114" s="99">
        <v>4802428.5000000065</v>
      </c>
      <c r="E114" s="99">
        <v>5094779.9999999991</v>
      </c>
      <c r="F114" s="99">
        <v>5579143.5000000047</v>
      </c>
      <c r="G114" s="99">
        <v>0</v>
      </c>
      <c r="H114" s="98" t="s">
        <v>225</v>
      </c>
      <c r="I114" s="99">
        <v>0</v>
      </c>
      <c r="J114" s="98" t="s">
        <v>225</v>
      </c>
      <c r="K114" s="99">
        <v>0</v>
      </c>
      <c r="L114" s="98" t="s">
        <v>225</v>
      </c>
      <c r="M114" s="98" t="s">
        <v>225</v>
      </c>
      <c r="N114" s="99">
        <v>0</v>
      </c>
      <c r="O114" s="100">
        <v>0</v>
      </c>
      <c r="P114" s="100">
        <v>0</v>
      </c>
      <c r="Q114" s="100">
        <v>0</v>
      </c>
    </row>
    <row r="115" spans="1:17" x14ac:dyDescent="0.35">
      <c r="A115" s="98" t="s">
        <v>8</v>
      </c>
      <c r="B115" s="98" t="s">
        <v>144</v>
      </c>
      <c r="C115" s="98" t="s">
        <v>245</v>
      </c>
      <c r="D115" s="99">
        <v>4802428.5000000065</v>
      </c>
      <c r="E115" s="99">
        <v>5094779.9999999991</v>
      </c>
      <c r="F115" s="99">
        <v>5579143.5000000047</v>
      </c>
      <c r="G115" s="99">
        <v>0</v>
      </c>
      <c r="H115" s="98" t="s">
        <v>225</v>
      </c>
      <c r="I115" s="99">
        <v>0</v>
      </c>
      <c r="J115" s="98" t="s">
        <v>225</v>
      </c>
      <c r="K115" s="99">
        <v>0</v>
      </c>
      <c r="L115" s="98" t="s">
        <v>225</v>
      </c>
      <c r="M115" s="98" t="s">
        <v>225</v>
      </c>
      <c r="N115" s="99">
        <v>0</v>
      </c>
      <c r="O115" s="100">
        <v>0</v>
      </c>
      <c r="P115" s="100">
        <v>0</v>
      </c>
      <c r="Q115" s="100">
        <v>0</v>
      </c>
    </row>
    <row r="116" spans="1:17" x14ac:dyDescent="0.35">
      <c r="A116" s="98" t="s">
        <v>12</v>
      </c>
      <c r="B116" s="98" t="s">
        <v>150</v>
      </c>
      <c r="C116" s="98" t="s">
        <v>224</v>
      </c>
      <c r="D116" s="99">
        <v>22469267.5</v>
      </c>
      <c r="E116" s="99">
        <v>25493988.499999996</v>
      </c>
      <c r="F116" s="99">
        <v>28160542.500000004</v>
      </c>
      <c r="G116" s="99">
        <v>0</v>
      </c>
      <c r="H116" s="98" t="s">
        <v>225</v>
      </c>
      <c r="I116" s="99">
        <v>14556</v>
      </c>
      <c r="J116" s="98">
        <v>2018</v>
      </c>
      <c r="K116" s="99">
        <v>14556</v>
      </c>
      <c r="L116" s="98">
        <v>2018</v>
      </c>
      <c r="M116" s="98" t="s">
        <v>225</v>
      </c>
      <c r="N116" s="99">
        <v>14556</v>
      </c>
      <c r="O116" s="100">
        <v>0</v>
      </c>
      <c r="P116" s="100">
        <v>5.709581299920961</v>
      </c>
      <c r="Q116" s="100">
        <v>5.1689345118262544</v>
      </c>
    </row>
    <row r="117" spans="1:17" x14ac:dyDescent="0.35">
      <c r="A117" s="98" t="s">
        <v>12</v>
      </c>
      <c r="B117" s="98" t="s">
        <v>150</v>
      </c>
      <c r="C117" s="98" t="s">
        <v>227</v>
      </c>
      <c r="D117" s="99">
        <v>22469267.5</v>
      </c>
      <c r="E117" s="99">
        <v>25493988.499999996</v>
      </c>
      <c r="F117" s="99">
        <v>28160542.500000004</v>
      </c>
      <c r="G117" s="99">
        <v>0</v>
      </c>
      <c r="H117" s="98" t="s">
        <v>225</v>
      </c>
      <c r="I117" s="99">
        <v>745</v>
      </c>
      <c r="J117" s="98">
        <v>2018</v>
      </c>
      <c r="K117" s="99">
        <v>7</v>
      </c>
      <c r="L117" s="98">
        <v>2021</v>
      </c>
      <c r="M117" s="98" t="s">
        <v>226</v>
      </c>
      <c r="N117" s="99">
        <v>8.9843537236828332</v>
      </c>
      <c r="O117" s="100">
        <v>0</v>
      </c>
      <c r="P117" s="100">
        <v>0.29222575353401453</v>
      </c>
      <c r="Q117" s="100">
        <v>3.1904050583126484E-3</v>
      </c>
    </row>
    <row r="118" spans="1:17" x14ac:dyDescent="0.35">
      <c r="A118" s="98" t="s">
        <v>12</v>
      </c>
      <c r="B118" s="98" t="s">
        <v>150</v>
      </c>
      <c r="C118" s="98" t="s">
        <v>228</v>
      </c>
      <c r="D118" s="99">
        <v>22469267.5</v>
      </c>
      <c r="E118" s="99">
        <v>25493988.499999996</v>
      </c>
      <c r="F118" s="99">
        <v>28160542.500000004</v>
      </c>
      <c r="G118" s="99">
        <v>0</v>
      </c>
      <c r="H118" s="98" t="s">
        <v>225</v>
      </c>
      <c r="I118" s="99">
        <v>1425</v>
      </c>
      <c r="J118" s="98" t="s">
        <v>229</v>
      </c>
      <c r="K118" s="99">
        <v>835</v>
      </c>
      <c r="L118" s="98">
        <v>2021</v>
      </c>
      <c r="M118" s="98" t="s">
        <v>226</v>
      </c>
      <c r="N118" s="99">
        <v>1071.7050513250235</v>
      </c>
      <c r="O118" s="100">
        <v>0</v>
      </c>
      <c r="P118" s="100">
        <v>0.55895530038385333</v>
      </c>
      <c r="Q118" s="100">
        <v>0.38056974624158019</v>
      </c>
    </row>
    <row r="119" spans="1:17" x14ac:dyDescent="0.35">
      <c r="A119" s="98" t="s">
        <v>12</v>
      </c>
      <c r="B119" s="98" t="s">
        <v>150</v>
      </c>
      <c r="C119" s="98" t="s">
        <v>230</v>
      </c>
      <c r="D119" s="99">
        <v>22469267.5</v>
      </c>
      <c r="E119" s="99">
        <v>25493988.499999996</v>
      </c>
      <c r="F119" s="99">
        <v>28160542.500000004</v>
      </c>
      <c r="G119" s="99">
        <v>0</v>
      </c>
      <c r="H119" s="98" t="s">
        <v>225</v>
      </c>
      <c r="I119" s="99">
        <v>3640</v>
      </c>
      <c r="J119" s="98" t="s">
        <v>229</v>
      </c>
      <c r="K119" s="99">
        <v>4140</v>
      </c>
      <c r="L119" s="98">
        <v>2022</v>
      </c>
      <c r="M119" s="98" t="s">
        <v>225</v>
      </c>
      <c r="N119" s="99">
        <v>4140</v>
      </c>
      <c r="O119" s="100">
        <v>0</v>
      </c>
      <c r="P119" s="100">
        <v>1.4277875743138428</v>
      </c>
      <c r="Q119" s="100">
        <v>1.4701421323825703</v>
      </c>
    </row>
    <row r="120" spans="1:17" x14ac:dyDescent="0.35">
      <c r="A120" s="98" t="s">
        <v>12</v>
      </c>
      <c r="B120" s="98" t="s">
        <v>150</v>
      </c>
      <c r="C120" s="98" t="s">
        <v>231</v>
      </c>
      <c r="D120" s="99">
        <v>22469267.5</v>
      </c>
      <c r="E120" s="99">
        <v>25493988.499999996</v>
      </c>
      <c r="F120" s="99">
        <v>28160542.500000004</v>
      </c>
      <c r="G120" s="99">
        <v>0</v>
      </c>
      <c r="H120" s="98" t="s">
        <v>225</v>
      </c>
      <c r="I120" s="99">
        <v>91</v>
      </c>
      <c r="J120" s="98" t="s">
        <v>229</v>
      </c>
      <c r="K120" s="99">
        <v>91</v>
      </c>
      <c r="L120" s="98" t="s">
        <v>229</v>
      </c>
      <c r="M120" s="98" t="s">
        <v>225</v>
      </c>
      <c r="N120" s="99">
        <v>91</v>
      </c>
      <c r="O120" s="100">
        <v>0</v>
      </c>
      <c r="P120" s="100">
        <v>3.5694689357846074E-2</v>
      </c>
      <c r="Q120" s="100">
        <v>3.2314718368795625E-2</v>
      </c>
    </row>
    <row r="121" spans="1:17" x14ac:dyDescent="0.35">
      <c r="A121" s="98" t="s">
        <v>12</v>
      </c>
      <c r="B121" s="98" t="s">
        <v>150</v>
      </c>
      <c r="C121" s="98" t="s">
        <v>232</v>
      </c>
      <c r="D121" s="99">
        <v>22469267.5</v>
      </c>
      <c r="E121" s="99">
        <v>25493988.499999996</v>
      </c>
      <c r="F121" s="99">
        <v>28160542.500000004</v>
      </c>
      <c r="G121" s="99">
        <v>190</v>
      </c>
      <c r="H121" s="98">
        <v>2014</v>
      </c>
      <c r="I121" s="99">
        <v>40</v>
      </c>
      <c r="J121" s="98">
        <v>2019</v>
      </c>
      <c r="K121" s="99">
        <v>40</v>
      </c>
      <c r="L121" s="98">
        <v>2019</v>
      </c>
      <c r="M121" s="98" t="s">
        <v>225</v>
      </c>
      <c r="N121" s="99">
        <v>40</v>
      </c>
      <c r="O121" s="100">
        <v>8.4559943932306647E-2</v>
      </c>
      <c r="P121" s="100">
        <v>1.5689973344108165E-2</v>
      </c>
      <c r="Q121" s="100">
        <v>1.4204271810459615E-2</v>
      </c>
    </row>
    <row r="122" spans="1:17" x14ac:dyDescent="0.35">
      <c r="A122" s="98" t="s">
        <v>12</v>
      </c>
      <c r="B122" s="98" t="s">
        <v>150</v>
      </c>
      <c r="C122" s="98" t="s">
        <v>233</v>
      </c>
      <c r="D122" s="99">
        <v>22469267.5</v>
      </c>
      <c r="E122" s="99">
        <v>25493988.499999996</v>
      </c>
      <c r="F122" s="99">
        <v>28160542.500000004</v>
      </c>
      <c r="G122" s="99">
        <v>2380</v>
      </c>
      <c r="H122" s="98">
        <v>2014</v>
      </c>
      <c r="I122" s="99">
        <v>497</v>
      </c>
      <c r="J122" s="98" t="s">
        <v>229</v>
      </c>
      <c r="K122" s="99">
        <v>497</v>
      </c>
      <c r="L122" s="98" t="s">
        <v>229</v>
      </c>
      <c r="M122" s="98" t="s">
        <v>225</v>
      </c>
      <c r="N122" s="99">
        <v>497</v>
      </c>
      <c r="O122" s="100">
        <v>1.0592245608362623</v>
      </c>
      <c r="P122" s="100">
        <v>0.19494791880054393</v>
      </c>
      <c r="Q122" s="100">
        <v>0.17648807724496071</v>
      </c>
    </row>
    <row r="123" spans="1:17" x14ac:dyDescent="0.35">
      <c r="A123" s="98" t="s">
        <v>12</v>
      </c>
      <c r="B123" s="98" t="s">
        <v>150</v>
      </c>
      <c r="C123" s="98" t="s">
        <v>234</v>
      </c>
      <c r="D123" s="99">
        <v>22469267.5</v>
      </c>
      <c r="E123" s="99">
        <v>25493988.499999996</v>
      </c>
      <c r="F123" s="99">
        <v>28160542.500000004</v>
      </c>
      <c r="G123" s="99">
        <v>0</v>
      </c>
      <c r="H123" s="98" t="s">
        <v>225</v>
      </c>
      <c r="I123" s="99">
        <v>242</v>
      </c>
      <c r="J123" s="98" t="s">
        <v>229</v>
      </c>
      <c r="K123" s="99">
        <v>242</v>
      </c>
      <c r="L123" s="98" t="s">
        <v>229</v>
      </c>
      <c r="M123" s="98" t="s">
        <v>225</v>
      </c>
      <c r="N123" s="99">
        <v>242</v>
      </c>
      <c r="O123" s="100">
        <v>0</v>
      </c>
      <c r="P123" s="100">
        <v>9.4924338731854394E-2</v>
      </c>
      <c r="Q123" s="100">
        <v>8.5935844453280674E-2</v>
      </c>
    </row>
    <row r="124" spans="1:17" x14ac:dyDescent="0.35">
      <c r="A124" s="98" t="s">
        <v>12</v>
      </c>
      <c r="B124" s="98" t="s">
        <v>150</v>
      </c>
      <c r="C124" s="98" t="s">
        <v>235</v>
      </c>
      <c r="D124" s="99">
        <v>22469267.5</v>
      </c>
      <c r="E124" s="99">
        <v>25493988.499999996</v>
      </c>
      <c r="F124" s="99">
        <v>28160542.500000004</v>
      </c>
      <c r="G124" s="99">
        <v>820</v>
      </c>
      <c r="H124" s="98">
        <v>2014</v>
      </c>
      <c r="I124" s="99">
        <v>3103</v>
      </c>
      <c r="J124" s="98" t="s">
        <v>229</v>
      </c>
      <c r="K124" s="99">
        <v>3103</v>
      </c>
      <c r="L124" s="98" t="s">
        <v>229</v>
      </c>
      <c r="M124" s="98" t="s">
        <v>225</v>
      </c>
      <c r="N124" s="99">
        <v>3103</v>
      </c>
      <c r="O124" s="100">
        <v>0.36494291591837608</v>
      </c>
      <c r="P124" s="100">
        <v>1.2171496821691907</v>
      </c>
      <c r="Q124" s="100">
        <v>1.1018963856964046</v>
      </c>
    </row>
    <row r="125" spans="1:17" x14ac:dyDescent="0.35">
      <c r="A125" s="98" t="s">
        <v>12</v>
      </c>
      <c r="B125" s="98" t="s">
        <v>150</v>
      </c>
      <c r="C125" s="98" t="s">
        <v>236</v>
      </c>
      <c r="D125" s="99">
        <v>22469267.5</v>
      </c>
      <c r="E125" s="99">
        <v>25493988.499999996</v>
      </c>
      <c r="F125" s="99">
        <v>28160542.500000004</v>
      </c>
      <c r="G125" s="99">
        <v>0</v>
      </c>
      <c r="H125" s="98" t="s">
        <v>225</v>
      </c>
      <c r="I125" s="99">
        <v>123</v>
      </c>
      <c r="J125" s="98" t="s">
        <v>229</v>
      </c>
      <c r="K125" s="99">
        <v>123</v>
      </c>
      <c r="L125" s="98" t="s">
        <v>229</v>
      </c>
      <c r="M125" s="98" t="s">
        <v>225</v>
      </c>
      <c r="N125" s="99">
        <v>123</v>
      </c>
      <c r="O125" s="100">
        <v>0</v>
      </c>
      <c r="P125" s="100">
        <v>4.82466680331326E-2</v>
      </c>
      <c r="Q125" s="100">
        <v>4.3678135817163316E-2</v>
      </c>
    </row>
    <row r="126" spans="1:17" x14ac:dyDescent="0.35">
      <c r="A126" s="98" t="s">
        <v>12</v>
      </c>
      <c r="B126" s="98" t="s">
        <v>150</v>
      </c>
      <c r="C126" s="98" t="s">
        <v>237</v>
      </c>
      <c r="D126" s="99">
        <v>22469267.5</v>
      </c>
      <c r="E126" s="99">
        <v>25493988.499999996</v>
      </c>
      <c r="F126" s="99">
        <v>28160542.500000004</v>
      </c>
      <c r="G126" s="99">
        <v>70</v>
      </c>
      <c r="H126" s="98">
        <v>2014</v>
      </c>
      <c r="I126" s="99">
        <v>700</v>
      </c>
      <c r="J126" s="98" t="s">
        <v>229</v>
      </c>
      <c r="K126" s="99">
        <v>700</v>
      </c>
      <c r="L126" s="98" t="s">
        <v>229</v>
      </c>
      <c r="M126" s="98" t="s">
        <v>225</v>
      </c>
      <c r="N126" s="99">
        <v>700</v>
      </c>
      <c r="O126" s="100">
        <v>3.1153663554007713E-2</v>
      </c>
      <c r="P126" s="100">
        <v>0.27457453352189287</v>
      </c>
      <c r="Q126" s="100">
        <v>0.24857475668304327</v>
      </c>
    </row>
    <row r="127" spans="1:17" x14ac:dyDescent="0.35">
      <c r="A127" s="98" t="s">
        <v>12</v>
      </c>
      <c r="B127" s="98" t="s">
        <v>150</v>
      </c>
      <c r="C127" s="98" t="s">
        <v>238</v>
      </c>
      <c r="D127" s="99">
        <v>22469267.5</v>
      </c>
      <c r="E127" s="99">
        <v>25493988.499999996</v>
      </c>
      <c r="F127" s="99">
        <v>28160542.500000004</v>
      </c>
      <c r="G127" s="99">
        <v>0</v>
      </c>
      <c r="H127" s="98" t="s">
        <v>225</v>
      </c>
      <c r="I127" s="99">
        <v>139</v>
      </c>
      <c r="J127" s="98" t="s">
        <v>229</v>
      </c>
      <c r="K127" s="99">
        <v>139</v>
      </c>
      <c r="L127" s="98" t="s">
        <v>229</v>
      </c>
      <c r="M127" s="98" t="s">
        <v>225</v>
      </c>
      <c r="N127" s="99">
        <v>139</v>
      </c>
      <c r="O127" s="100">
        <v>0</v>
      </c>
      <c r="P127" s="100">
        <v>5.452265737077587E-2</v>
      </c>
      <c r="Q127" s="100">
        <v>4.9359844541347161E-2</v>
      </c>
    </row>
    <row r="128" spans="1:17" x14ac:dyDescent="0.35">
      <c r="A128" s="98" t="s">
        <v>12</v>
      </c>
      <c r="B128" s="98" t="s">
        <v>150</v>
      </c>
      <c r="C128" s="98" t="s">
        <v>239</v>
      </c>
      <c r="D128" s="99">
        <v>22469267.5</v>
      </c>
      <c r="E128" s="99">
        <v>25493988.499999996</v>
      </c>
      <c r="F128" s="99">
        <v>28160542.500000004</v>
      </c>
      <c r="G128" s="99">
        <v>0</v>
      </c>
      <c r="H128" s="98" t="s">
        <v>225</v>
      </c>
      <c r="I128" s="99">
        <v>14</v>
      </c>
      <c r="J128" s="98" t="s">
        <v>229</v>
      </c>
      <c r="K128" s="99">
        <v>3470</v>
      </c>
      <c r="L128" s="98" t="s">
        <v>229</v>
      </c>
      <c r="M128" s="98" t="s">
        <v>225</v>
      </c>
      <c r="N128" s="99">
        <v>3470</v>
      </c>
      <c r="O128" s="100">
        <v>0</v>
      </c>
      <c r="P128" s="100">
        <v>5.4914906704378571E-3</v>
      </c>
      <c r="Q128" s="100">
        <v>1.2322205795573717</v>
      </c>
    </row>
    <row r="129" spans="1:17" x14ac:dyDescent="0.35">
      <c r="A129" s="98" t="s">
        <v>12</v>
      </c>
      <c r="B129" s="98" t="s">
        <v>150</v>
      </c>
      <c r="C129" s="98" t="s">
        <v>240</v>
      </c>
      <c r="D129" s="99">
        <v>22469267.5</v>
      </c>
      <c r="E129" s="99">
        <v>25493988.499999996</v>
      </c>
      <c r="F129" s="99">
        <v>28160542.500000004</v>
      </c>
      <c r="G129" s="99">
        <v>1600</v>
      </c>
      <c r="H129" s="98">
        <v>2014</v>
      </c>
      <c r="I129" s="99">
        <v>0</v>
      </c>
      <c r="J129" s="98" t="s">
        <v>225</v>
      </c>
      <c r="K129" s="99">
        <v>0</v>
      </c>
      <c r="L129" s="98" t="s">
        <v>225</v>
      </c>
      <c r="M129" s="98" t="s">
        <v>225</v>
      </c>
      <c r="N129" s="99">
        <v>0</v>
      </c>
      <c r="O129" s="100">
        <v>0.7120837383773192</v>
      </c>
      <c r="P129" s="100">
        <v>0</v>
      </c>
      <c r="Q129" s="100">
        <v>0</v>
      </c>
    </row>
    <row r="130" spans="1:17" x14ac:dyDescent="0.35">
      <c r="A130" s="98" t="s">
        <v>12</v>
      </c>
      <c r="B130" s="98" t="s">
        <v>150</v>
      </c>
      <c r="C130" s="98" t="s">
        <v>241</v>
      </c>
      <c r="D130" s="99">
        <v>22469267.5</v>
      </c>
      <c r="E130" s="99">
        <v>25493988.499999996</v>
      </c>
      <c r="F130" s="99">
        <v>28160542.500000004</v>
      </c>
      <c r="G130" s="99">
        <v>0</v>
      </c>
      <c r="H130" s="98" t="s">
        <v>225</v>
      </c>
      <c r="I130" s="99">
        <v>21440</v>
      </c>
      <c r="J130" s="98" t="s">
        <v>229</v>
      </c>
      <c r="K130" s="99">
        <v>3896</v>
      </c>
      <c r="L130" s="98">
        <v>2022</v>
      </c>
      <c r="M130" s="98" t="s">
        <v>226</v>
      </c>
      <c r="N130" s="99">
        <v>5000.434586781188</v>
      </c>
      <c r="O130" s="100">
        <v>0</v>
      </c>
      <c r="P130" s="100">
        <v>8.4098257124419753</v>
      </c>
      <c r="Q130" s="100">
        <v>1.7756883010265827</v>
      </c>
    </row>
    <row r="131" spans="1:17" x14ac:dyDescent="0.35">
      <c r="A131" s="98" t="s">
        <v>12</v>
      </c>
      <c r="B131" s="98" t="s">
        <v>150</v>
      </c>
      <c r="C131" s="98" t="s">
        <v>242</v>
      </c>
      <c r="D131" s="99">
        <v>22469267.5</v>
      </c>
      <c r="E131" s="99">
        <v>25493988.499999996</v>
      </c>
      <c r="F131" s="99">
        <v>28160542.500000004</v>
      </c>
      <c r="G131" s="99">
        <v>60</v>
      </c>
      <c r="H131" s="98">
        <v>2014</v>
      </c>
      <c r="I131" s="99">
        <v>151</v>
      </c>
      <c r="J131" s="98" t="s">
        <v>229</v>
      </c>
      <c r="K131" s="99">
        <v>95</v>
      </c>
      <c r="L131" s="98">
        <v>2022</v>
      </c>
      <c r="M131" s="98" t="s">
        <v>226</v>
      </c>
      <c r="N131" s="99">
        <v>121.93051482140987</v>
      </c>
      <c r="O131" s="100">
        <v>2.6703140189149467E-2</v>
      </c>
      <c r="P131" s="100">
        <v>5.922964937400832E-2</v>
      </c>
      <c r="Q131" s="100">
        <v>4.3298354362814519E-2</v>
      </c>
    </row>
    <row r="132" spans="1:17" x14ac:dyDescent="0.35">
      <c r="A132" s="98" t="s">
        <v>12</v>
      </c>
      <c r="B132" s="98" t="s">
        <v>150</v>
      </c>
      <c r="C132" s="98" t="s">
        <v>243</v>
      </c>
      <c r="D132" s="99">
        <v>22469267.5</v>
      </c>
      <c r="E132" s="99">
        <v>25493988.499999996</v>
      </c>
      <c r="F132" s="99">
        <v>28160542.500000004</v>
      </c>
      <c r="G132" s="99">
        <v>0</v>
      </c>
      <c r="H132" s="98" t="s">
        <v>225</v>
      </c>
      <c r="I132" s="99">
        <v>0</v>
      </c>
      <c r="J132" s="98" t="s">
        <v>225</v>
      </c>
      <c r="K132" s="99">
        <v>0</v>
      </c>
      <c r="L132" s="98" t="s">
        <v>225</v>
      </c>
      <c r="M132" s="98" t="s">
        <v>225</v>
      </c>
      <c r="N132" s="99">
        <v>0</v>
      </c>
      <c r="O132" s="100">
        <v>0</v>
      </c>
      <c r="P132" s="100">
        <v>0</v>
      </c>
      <c r="Q132" s="100">
        <v>0</v>
      </c>
    </row>
    <row r="133" spans="1:17" x14ac:dyDescent="0.35">
      <c r="A133" s="98" t="s">
        <v>12</v>
      </c>
      <c r="B133" s="98" t="s">
        <v>150</v>
      </c>
      <c r="C133" s="98" t="s">
        <v>244</v>
      </c>
      <c r="D133" s="99">
        <v>22469267.5</v>
      </c>
      <c r="E133" s="99">
        <v>25493988.499999996</v>
      </c>
      <c r="F133" s="99">
        <v>28160542.500000004</v>
      </c>
      <c r="G133" s="99">
        <v>0</v>
      </c>
      <c r="H133" s="98" t="s">
        <v>225</v>
      </c>
      <c r="I133" s="99">
        <v>0</v>
      </c>
      <c r="J133" s="98" t="s">
        <v>225</v>
      </c>
      <c r="K133" s="99">
        <v>0</v>
      </c>
      <c r="L133" s="98" t="s">
        <v>225</v>
      </c>
      <c r="M133" s="98" t="s">
        <v>225</v>
      </c>
      <c r="N133" s="99">
        <v>0</v>
      </c>
      <c r="O133" s="100">
        <v>0</v>
      </c>
      <c r="P133" s="100">
        <v>0</v>
      </c>
      <c r="Q133" s="100">
        <v>0</v>
      </c>
    </row>
    <row r="134" spans="1:17" x14ac:dyDescent="0.35">
      <c r="A134" s="98" t="s">
        <v>12</v>
      </c>
      <c r="B134" s="98" t="s">
        <v>150</v>
      </c>
      <c r="C134" s="98" t="s">
        <v>245</v>
      </c>
      <c r="D134" s="99">
        <v>22469267.5</v>
      </c>
      <c r="E134" s="99">
        <v>25493988.499999996</v>
      </c>
      <c r="F134" s="99">
        <v>28160542.500000004</v>
      </c>
      <c r="G134" s="99">
        <v>0</v>
      </c>
      <c r="H134" s="98" t="s">
        <v>225</v>
      </c>
      <c r="I134" s="99">
        <v>4437</v>
      </c>
      <c r="J134" s="98" t="s">
        <v>229</v>
      </c>
      <c r="K134" s="99">
        <v>4437</v>
      </c>
      <c r="L134" s="98" t="s">
        <v>229</v>
      </c>
      <c r="M134" s="98" t="s">
        <v>225</v>
      </c>
      <c r="N134" s="99">
        <v>4437</v>
      </c>
      <c r="O134" s="100">
        <v>0</v>
      </c>
      <c r="P134" s="100">
        <v>1.7404102931951979</v>
      </c>
      <c r="Q134" s="100">
        <v>1.5756088505752328</v>
      </c>
    </row>
    <row r="135" spans="1:17" x14ac:dyDescent="0.35">
      <c r="A135" s="98" t="s">
        <v>7</v>
      </c>
      <c r="B135" s="98" t="s">
        <v>143</v>
      </c>
      <c r="C135" s="98" t="s">
        <v>224</v>
      </c>
      <c r="D135" s="99">
        <v>21632850.000000004</v>
      </c>
      <c r="E135" s="99">
        <v>25076746.500000015</v>
      </c>
      <c r="F135" s="99">
        <v>27914536.499999989</v>
      </c>
      <c r="G135" s="99">
        <v>0</v>
      </c>
      <c r="H135" s="98" t="s">
        <v>225</v>
      </c>
      <c r="I135" s="99">
        <v>0</v>
      </c>
      <c r="J135" s="98" t="s">
        <v>225</v>
      </c>
      <c r="K135" s="99">
        <v>310</v>
      </c>
      <c r="L135" s="98">
        <v>2022</v>
      </c>
      <c r="M135" s="98" t="s">
        <v>225</v>
      </c>
      <c r="N135" s="99">
        <v>310</v>
      </c>
      <c r="O135" s="100">
        <v>0</v>
      </c>
      <c r="P135" s="100">
        <v>0</v>
      </c>
      <c r="Q135" s="100">
        <v>0.11105324997962983</v>
      </c>
    </row>
    <row r="136" spans="1:17" x14ac:dyDescent="0.35">
      <c r="A136" s="98" t="s">
        <v>7</v>
      </c>
      <c r="B136" s="98" t="s">
        <v>143</v>
      </c>
      <c r="C136" s="98" t="s">
        <v>227</v>
      </c>
      <c r="D136" s="99">
        <v>21632850.000000004</v>
      </c>
      <c r="E136" s="99">
        <v>25076746.500000015</v>
      </c>
      <c r="F136" s="99">
        <v>27914536.499999989</v>
      </c>
      <c r="G136" s="99">
        <v>0</v>
      </c>
      <c r="H136" s="98" t="s">
        <v>225</v>
      </c>
      <c r="I136" s="99">
        <v>38</v>
      </c>
      <c r="J136" s="98" t="s">
        <v>229</v>
      </c>
      <c r="K136" s="99">
        <v>38</v>
      </c>
      <c r="L136" s="98" t="s">
        <v>229</v>
      </c>
      <c r="M136" s="98" t="s">
        <v>225</v>
      </c>
      <c r="N136" s="99">
        <v>38</v>
      </c>
      <c r="O136" s="100">
        <v>0</v>
      </c>
      <c r="P136" s="100">
        <v>1.515348093501682E-2</v>
      </c>
      <c r="Q136" s="100">
        <v>1.3612979029761076E-2</v>
      </c>
    </row>
    <row r="137" spans="1:17" x14ac:dyDescent="0.35">
      <c r="A137" s="98" t="s">
        <v>7</v>
      </c>
      <c r="B137" s="98" t="s">
        <v>143</v>
      </c>
      <c r="C137" s="98" t="s">
        <v>228</v>
      </c>
      <c r="D137" s="99">
        <v>21632850.000000004</v>
      </c>
      <c r="E137" s="99">
        <v>25076746.500000015</v>
      </c>
      <c r="F137" s="99">
        <v>27914536.499999989</v>
      </c>
      <c r="G137" s="99">
        <v>0</v>
      </c>
      <c r="H137" s="98" t="s">
        <v>225</v>
      </c>
      <c r="I137" s="99">
        <v>238</v>
      </c>
      <c r="J137" s="98" t="s">
        <v>229</v>
      </c>
      <c r="K137" s="99">
        <v>5</v>
      </c>
      <c r="L137" s="98">
        <v>2020</v>
      </c>
      <c r="M137" s="98" t="s">
        <v>226</v>
      </c>
      <c r="N137" s="99">
        <v>7.4076572236140548</v>
      </c>
      <c r="O137" s="100">
        <v>0</v>
      </c>
      <c r="P137" s="100">
        <v>9.4908643750894819E-2</v>
      </c>
      <c r="Q137" s="100">
        <v>2.6536916432820076E-3</v>
      </c>
    </row>
    <row r="138" spans="1:17" x14ac:dyDescent="0.35">
      <c r="A138" s="98" t="s">
        <v>7</v>
      </c>
      <c r="B138" s="98" t="s">
        <v>143</v>
      </c>
      <c r="C138" s="98" t="s">
        <v>230</v>
      </c>
      <c r="D138" s="99">
        <v>21632850.000000004</v>
      </c>
      <c r="E138" s="99">
        <v>25076746.500000015</v>
      </c>
      <c r="F138" s="99">
        <v>27914536.499999989</v>
      </c>
      <c r="G138" s="99">
        <v>0</v>
      </c>
      <c r="H138" s="98" t="s">
        <v>225</v>
      </c>
      <c r="I138" s="99">
        <v>10717</v>
      </c>
      <c r="J138" s="98" t="s">
        <v>229</v>
      </c>
      <c r="K138" s="99">
        <v>146</v>
      </c>
      <c r="L138" s="98">
        <v>2022</v>
      </c>
      <c r="M138" s="98" t="s">
        <v>226</v>
      </c>
      <c r="N138" s="99">
        <v>216.3035909295304</v>
      </c>
      <c r="O138" s="100">
        <v>0</v>
      </c>
      <c r="P138" s="100">
        <v>4.2736803994888231</v>
      </c>
      <c r="Q138" s="100">
        <v>7.7487795983834623E-2</v>
      </c>
    </row>
    <row r="139" spans="1:17" x14ac:dyDescent="0.35">
      <c r="A139" s="98" t="s">
        <v>7</v>
      </c>
      <c r="B139" s="98" t="s">
        <v>143</v>
      </c>
      <c r="C139" s="98" t="s">
        <v>231</v>
      </c>
      <c r="D139" s="99">
        <v>21632850.000000004</v>
      </c>
      <c r="E139" s="99">
        <v>25076746.500000015</v>
      </c>
      <c r="F139" s="99">
        <v>27914536.499999989</v>
      </c>
      <c r="G139" s="99">
        <v>0</v>
      </c>
      <c r="H139" s="98" t="s">
        <v>225</v>
      </c>
      <c r="I139" s="99">
        <v>250</v>
      </c>
      <c r="J139" s="98" t="s">
        <v>229</v>
      </c>
      <c r="K139" s="99">
        <v>1195</v>
      </c>
      <c r="L139" s="98">
        <v>2022</v>
      </c>
      <c r="M139" s="98" t="s">
        <v>225</v>
      </c>
      <c r="N139" s="99">
        <v>1195</v>
      </c>
      <c r="O139" s="100">
        <v>0</v>
      </c>
      <c r="P139" s="100">
        <v>9.96939535198475E-2</v>
      </c>
      <c r="Q139" s="100">
        <v>0.42809236685696017</v>
      </c>
    </row>
    <row r="140" spans="1:17" x14ac:dyDescent="0.35">
      <c r="A140" s="98" t="s">
        <v>7</v>
      </c>
      <c r="B140" s="98" t="s">
        <v>143</v>
      </c>
      <c r="C140" s="98" t="s">
        <v>232</v>
      </c>
      <c r="D140" s="99">
        <v>21632850.000000004</v>
      </c>
      <c r="E140" s="99">
        <v>25076746.500000015</v>
      </c>
      <c r="F140" s="99">
        <v>27914536.499999989</v>
      </c>
      <c r="G140" s="99">
        <v>0</v>
      </c>
      <c r="H140" s="98" t="s">
        <v>225</v>
      </c>
      <c r="I140" s="99">
        <v>0</v>
      </c>
      <c r="J140" s="98" t="s">
        <v>225</v>
      </c>
      <c r="K140" s="99">
        <v>19</v>
      </c>
      <c r="L140" s="98">
        <v>2022</v>
      </c>
      <c r="M140" s="98" t="s">
        <v>225</v>
      </c>
      <c r="N140" s="99">
        <v>19</v>
      </c>
      <c r="O140" s="100">
        <v>0</v>
      </c>
      <c r="P140" s="100">
        <v>0</v>
      </c>
      <c r="Q140" s="100">
        <v>6.8064895148805381E-3</v>
      </c>
    </row>
    <row r="141" spans="1:17" x14ac:dyDescent="0.35">
      <c r="A141" s="98" t="s">
        <v>7</v>
      </c>
      <c r="B141" s="98" t="s">
        <v>143</v>
      </c>
      <c r="C141" s="98" t="s">
        <v>233</v>
      </c>
      <c r="D141" s="99">
        <v>21632850.000000004</v>
      </c>
      <c r="E141" s="99">
        <v>25076746.500000015</v>
      </c>
      <c r="F141" s="99">
        <v>27914536.499999989</v>
      </c>
      <c r="G141" s="99">
        <v>0</v>
      </c>
      <c r="H141" s="98" t="s">
        <v>225</v>
      </c>
      <c r="I141" s="99">
        <v>241</v>
      </c>
      <c r="J141" s="98">
        <v>2018</v>
      </c>
      <c r="K141" s="99">
        <v>293</v>
      </c>
      <c r="L141" s="98">
        <v>2022</v>
      </c>
      <c r="M141" s="98" t="s">
        <v>225</v>
      </c>
      <c r="N141" s="99">
        <v>293</v>
      </c>
      <c r="O141" s="100">
        <v>0</v>
      </c>
      <c r="P141" s="100">
        <v>9.6104971193132993E-2</v>
      </c>
      <c r="Q141" s="100">
        <v>0.10496323304526303</v>
      </c>
    </row>
    <row r="142" spans="1:17" x14ac:dyDescent="0.35">
      <c r="A142" s="98" t="s">
        <v>7</v>
      </c>
      <c r="B142" s="98" t="s">
        <v>143</v>
      </c>
      <c r="C142" s="98" t="s">
        <v>234</v>
      </c>
      <c r="D142" s="99">
        <v>21632850.000000004</v>
      </c>
      <c r="E142" s="99">
        <v>25076746.500000015</v>
      </c>
      <c r="F142" s="99">
        <v>27914536.499999989</v>
      </c>
      <c r="G142" s="99">
        <v>0</v>
      </c>
      <c r="H142" s="98" t="s">
        <v>225</v>
      </c>
      <c r="I142" s="99">
        <v>0</v>
      </c>
      <c r="J142" s="98" t="s">
        <v>225</v>
      </c>
      <c r="K142" s="99">
        <v>118</v>
      </c>
      <c r="L142" s="98">
        <v>2022</v>
      </c>
      <c r="M142" s="98" t="s">
        <v>225</v>
      </c>
      <c r="N142" s="99">
        <v>118</v>
      </c>
      <c r="O142" s="100">
        <v>0</v>
      </c>
      <c r="P142" s="100">
        <v>0</v>
      </c>
      <c r="Q142" s="100">
        <v>4.2271882250310713E-2</v>
      </c>
    </row>
    <row r="143" spans="1:17" x14ac:dyDescent="0.35">
      <c r="A143" s="98" t="s">
        <v>7</v>
      </c>
      <c r="B143" s="98" t="s">
        <v>143</v>
      </c>
      <c r="C143" s="98" t="s">
        <v>235</v>
      </c>
      <c r="D143" s="99">
        <v>21632850.000000004</v>
      </c>
      <c r="E143" s="99">
        <v>25076746.500000015</v>
      </c>
      <c r="F143" s="99">
        <v>27914536.499999989</v>
      </c>
      <c r="G143" s="99">
        <v>0</v>
      </c>
      <c r="H143" s="98" t="s">
        <v>225</v>
      </c>
      <c r="I143" s="99">
        <v>124</v>
      </c>
      <c r="J143" s="98" t="s">
        <v>229</v>
      </c>
      <c r="K143" s="99">
        <v>4864</v>
      </c>
      <c r="L143" s="98">
        <v>2022</v>
      </c>
      <c r="M143" s="98" t="s">
        <v>225</v>
      </c>
      <c r="N143" s="99">
        <v>4864</v>
      </c>
      <c r="O143" s="100">
        <v>0</v>
      </c>
      <c r="P143" s="100">
        <v>4.9448200945844359E-2</v>
      </c>
      <c r="Q143" s="100">
        <v>1.7424613158094178</v>
      </c>
    </row>
    <row r="144" spans="1:17" x14ac:dyDescent="0.35">
      <c r="A144" s="98" t="s">
        <v>7</v>
      </c>
      <c r="B144" s="98" t="s">
        <v>143</v>
      </c>
      <c r="C144" s="98" t="s">
        <v>236</v>
      </c>
      <c r="D144" s="99">
        <v>21632850.000000004</v>
      </c>
      <c r="E144" s="99">
        <v>25076746.500000015</v>
      </c>
      <c r="F144" s="99">
        <v>27914536.499999989</v>
      </c>
      <c r="G144" s="99">
        <v>0</v>
      </c>
      <c r="H144" s="98" t="s">
        <v>225</v>
      </c>
      <c r="I144" s="99">
        <v>0</v>
      </c>
      <c r="J144" s="98" t="s">
        <v>225</v>
      </c>
      <c r="K144" s="99">
        <v>85</v>
      </c>
      <c r="L144" s="98">
        <v>2022</v>
      </c>
      <c r="M144" s="98" t="s">
        <v>225</v>
      </c>
      <c r="N144" s="99">
        <v>85</v>
      </c>
      <c r="O144" s="100">
        <v>0</v>
      </c>
      <c r="P144" s="100">
        <v>0</v>
      </c>
      <c r="Q144" s="100">
        <v>3.0450084671833987E-2</v>
      </c>
    </row>
    <row r="145" spans="1:17" x14ac:dyDescent="0.35">
      <c r="A145" s="98" t="s">
        <v>7</v>
      </c>
      <c r="B145" s="98" t="s">
        <v>143</v>
      </c>
      <c r="C145" s="98" t="s">
        <v>237</v>
      </c>
      <c r="D145" s="99">
        <v>21632850.000000004</v>
      </c>
      <c r="E145" s="99">
        <v>25076746.500000015</v>
      </c>
      <c r="F145" s="99">
        <v>27914536.499999989</v>
      </c>
      <c r="G145" s="99">
        <v>0</v>
      </c>
      <c r="H145" s="98" t="s">
        <v>225</v>
      </c>
      <c r="I145" s="99">
        <v>0</v>
      </c>
      <c r="J145" s="98" t="s">
        <v>225</v>
      </c>
      <c r="K145" s="99">
        <v>10</v>
      </c>
      <c r="L145" s="98">
        <v>2022</v>
      </c>
      <c r="M145" s="98" t="s">
        <v>225</v>
      </c>
      <c r="N145" s="99">
        <v>10</v>
      </c>
      <c r="O145" s="100">
        <v>0</v>
      </c>
      <c r="P145" s="100">
        <v>0</v>
      </c>
      <c r="Q145" s="100">
        <v>3.5823629025687042E-3</v>
      </c>
    </row>
    <row r="146" spans="1:17" x14ac:dyDescent="0.35">
      <c r="A146" s="98" t="s">
        <v>7</v>
      </c>
      <c r="B146" s="98" t="s">
        <v>143</v>
      </c>
      <c r="C146" s="98" t="s">
        <v>238</v>
      </c>
      <c r="D146" s="99">
        <v>21632850.000000004</v>
      </c>
      <c r="E146" s="99">
        <v>25076746.500000015</v>
      </c>
      <c r="F146" s="99">
        <v>27914536.499999989</v>
      </c>
      <c r="G146" s="99">
        <v>0</v>
      </c>
      <c r="H146" s="98" t="s">
        <v>225</v>
      </c>
      <c r="I146" s="99">
        <v>0</v>
      </c>
      <c r="J146" s="98" t="s">
        <v>225</v>
      </c>
      <c r="K146" s="99">
        <v>5</v>
      </c>
      <c r="L146" s="98">
        <v>2022</v>
      </c>
      <c r="M146" s="98" t="s">
        <v>225</v>
      </c>
      <c r="N146" s="99">
        <v>5</v>
      </c>
      <c r="O146" s="100">
        <v>0</v>
      </c>
      <c r="P146" s="100">
        <v>0</v>
      </c>
      <c r="Q146" s="100">
        <v>1.7911814512843521E-3</v>
      </c>
    </row>
    <row r="147" spans="1:17" x14ac:dyDescent="0.35">
      <c r="A147" s="98" t="s">
        <v>7</v>
      </c>
      <c r="B147" s="98" t="s">
        <v>143</v>
      </c>
      <c r="C147" s="98" t="s">
        <v>239</v>
      </c>
      <c r="D147" s="99">
        <v>21632850.000000004</v>
      </c>
      <c r="E147" s="99">
        <v>25076746.500000015</v>
      </c>
      <c r="F147" s="99">
        <v>27914536.499999989</v>
      </c>
      <c r="G147" s="99">
        <v>0</v>
      </c>
      <c r="H147" s="98" t="s">
        <v>225</v>
      </c>
      <c r="I147" s="99">
        <v>0</v>
      </c>
      <c r="J147" s="98" t="s">
        <v>225</v>
      </c>
      <c r="K147" s="99">
        <v>74</v>
      </c>
      <c r="L147" s="98">
        <v>2022</v>
      </c>
      <c r="M147" s="98" t="s">
        <v>225</v>
      </c>
      <c r="N147" s="99">
        <v>74</v>
      </c>
      <c r="O147" s="100">
        <v>0</v>
      </c>
      <c r="P147" s="100">
        <v>0</v>
      </c>
      <c r="Q147" s="100">
        <v>2.6509485479008412E-2</v>
      </c>
    </row>
    <row r="148" spans="1:17" x14ac:dyDescent="0.35">
      <c r="A148" s="98" t="s">
        <v>7</v>
      </c>
      <c r="B148" s="98" t="s">
        <v>143</v>
      </c>
      <c r="C148" s="98" t="s">
        <v>240</v>
      </c>
      <c r="D148" s="99">
        <v>21632850.000000004</v>
      </c>
      <c r="E148" s="99">
        <v>25076746.500000015</v>
      </c>
      <c r="F148" s="99">
        <v>27914536.499999989</v>
      </c>
      <c r="G148" s="99">
        <v>0</v>
      </c>
      <c r="H148" s="98" t="s">
        <v>225</v>
      </c>
      <c r="I148" s="99">
        <v>5235</v>
      </c>
      <c r="J148" s="98" t="s">
        <v>229</v>
      </c>
      <c r="K148" s="99">
        <v>161</v>
      </c>
      <c r="L148" s="98">
        <v>2022</v>
      </c>
      <c r="M148" s="98" t="s">
        <v>226</v>
      </c>
      <c r="N148" s="99">
        <v>238.52656260037256</v>
      </c>
      <c r="O148" s="100">
        <v>0</v>
      </c>
      <c r="P148" s="100">
        <v>2.0875913867056068</v>
      </c>
      <c r="Q148" s="100">
        <v>8.5448870913680627E-2</v>
      </c>
    </row>
    <row r="149" spans="1:17" x14ac:dyDescent="0.35">
      <c r="A149" s="98" t="s">
        <v>7</v>
      </c>
      <c r="B149" s="98" t="s">
        <v>143</v>
      </c>
      <c r="C149" s="98" t="s">
        <v>241</v>
      </c>
      <c r="D149" s="99">
        <v>21632850.000000004</v>
      </c>
      <c r="E149" s="99">
        <v>25076746.500000015</v>
      </c>
      <c r="F149" s="99">
        <v>27914536.499999989</v>
      </c>
      <c r="G149" s="99">
        <v>0</v>
      </c>
      <c r="H149" s="98" t="s">
        <v>225</v>
      </c>
      <c r="I149" s="99">
        <v>0</v>
      </c>
      <c r="J149" s="98" t="s">
        <v>225</v>
      </c>
      <c r="K149" s="99">
        <v>34</v>
      </c>
      <c r="L149" s="98">
        <v>2022</v>
      </c>
      <c r="M149" s="98" t="s">
        <v>225</v>
      </c>
      <c r="N149" s="99">
        <v>34</v>
      </c>
      <c r="O149" s="100">
        <v>0</v>
      </c>
      <c r="P149" s="100">
        <v>0</v>
      </c>
      <c r="Q149" s="100">
        <v>1.2180033868733595E-2</v>
      </c>
    </row>
    <row r="150" spans="1:17" x14ac:dyDescent="0.35">
      <c r="A150" s="98" t="s">
        <v>7</v>
      </c>
      <c r="B150" s="98" t="s">
        <v>143</v>
      </c>
      <c r="C150" s="98" t="s">
        <v>242</v>
      </c>
      <c r="D150" s="99">
        <v>21632850.000000004</v>
      </c>
      <c r="E150" s="99">
        <v>25076746.500000015</v>
      </c>
      <c r="F150" s="99">
        <v>27914536.499999989</v>
      </c>
      <c r="G150" s="99">
        <v>0</v>
      </c>
      <c r="H150" s="98" t="s">
        <v>225</v>
      </c>
      <c r="I150" s="99">
        <v>0</v>
      </c>
      <c r="J150" s="98" t="s">
        <v>225</v>
      </c>
      <c r="K150" s="99">
        <v>191</v>
      </c>
      <c r="L150" s="98">
        <v>2022</v>
      </c>
      <c r="M150" s="98" t="s">
        <v>225</v>
      </c>
      <c r="N150" s="99">
        <v>191</v>
      </c>
      <c r="O150" s="100">
        <v>0</v>
      </c>
      <c r="P150" s="100">
        <v>0</v>
      </c>
      <c r="Q150" s="100">
        <v>6.8423131439062257E-2</v>
      </c>
    </row>
    <row r="151" spans="1:17" x14ac:dyDescent="0.35">
      <c r="A151" s="98" t="s">
        <v>7</v>
      </c>
      <c r="B151" s="98" t="s">
        <v>143</v>
      </c>
      <c r="C151" s="98" t="s">
        <v>243</v>
      </c>
      <c r="D151" s="99">
        <v>21632850.000000004</v>
      </c>
      <c r="E151" s="99">
        <v>25076746.500000015</v>
      </c>
      <c r="F151" s="99">
        <v>27914536.499999989</v>
      </c>
      <c r="G151" s="99">
        <v>0</v>
      </c>
      <c r="H151" s="98" t="s">
        <v>225</v>
      </c>
      <c r="I151" s="99">
        <v>0</v>
      </c>
      <c r="J151" s="98" t="s">
        <v>225</v>
      </c>
      <c r="K151" s="99">
        <v>606</v>
      </c>
      <c r="L151" s="98">
        <v>2022</v>
      </c>
      <c r="M151" s="98" t="s">
        <v>225</v>
      </c>
      <c r="N151" s="99">
        <v>606</v>
      </c>
      <c r="O151" s="100">
        <v>0</v>
      </c>
      <c r="P151" s="100">
        <v>0</v>
      </c>
      <c r="Q151" s="100">
        <v>0.21709119189566348</v>
      </c>
    </row>
    <row r="152" spans="1:17" x14ac:dyDescent="0.35">
      <c r="A152" s="98" t="s">
        <v>7</v>
      </c>
      <c r="B152" s="98" t="s">
        <v>143</v>
      </c>
      <c r="C152" s="98" t="s">
        <v>244</v>
      </c>
      <c r="D152" s="99">
        <v>21632850.000000004</v>
      </c>
      <c r="E152" s="99">
        <v>25076746.500000015</v>
      </c>
      <c r="F152" s="99">
        <v>27914536.499999989</v>
      </c>
      <c r="G152" s="99">
        <v>0</v>
      </c>
      <c r="H152" s="98" t="s">
        <v>225</v>
      </c>
      <c r="I152" s="99">
        <v>0</v>
      </c>
      <c r="J152" s="98" t="s">
        <v>225</v>
      </c>
      <c r="K152" s="99">
        <v>2</v>
      </c>
      <c r="L152" s="98">
        <v>2020</v>
      </c>
      <c r="M152" s="98" t="s">
        <v>225</v>
      </c>
      <c r="N152" s="99">
        <v>2</v>
      </c>
      <c r="O152" s="100">
        <v>0</v>
      </c>
      <c r="P152" s="100">
        <v>0</v>
      </c>
      <c r="Q152" s="100">
        <v>7.1647258051374082E-4</v>
      </c>
    </row>
    <row r="153" spans="1:17" x14ac:dyDescent="0.35">
      <c r="A153" s="98" t="s">
        <v>7</v>
      </c>
      <c r="B153" s="98" t="s">
        <v>143</v>
      </c>
      <c r="C153" s="98" t="s">
        <v>245</v>
      </c>
      <c r="D153" s="99">
        <v>21632850.000000004</v>
      </c>
      <c r="E153" s="99">
        <v>25076746.500000015</v>
      </c>
      <c r="F153" s="99">
        <v>27914536.499999989</v>
      </c>
      <c r="G153" s="99">
        <v>0</v>
      </c>
      <c r="H153" s="98" t="s">
        <v>225</v>
      </c>
      <c r="I153" s="99">
        <v>0</v>
      </c>
      <c r="J153" s="98" t="s">
        <v>225</v>
      </c>
      <c r="K153" s="99">
        <v>16</v>
      </c>
      <c r="L153" s="98">
        <v>2022</v>
      </c>
      <c r="M153" s="98" t="s">
        <v>225</v>
      </c>
      <c r="N153" s="99">
        <v>16</v>
      </c>
      <c r="O153" s="100">
        <v>0</v>
      </c>
      <c r="P153" s="100">
        <v>0</v>
      </c>
      <c r="Q153" s="100">
        <v>5.7317806441099265E-3</v>
      </c>
    </row>
    <row r="154" spans="1:17" x14ac:dyDescent="0.35">
      <c r="A154" s="98" t="s">
        <v>13</v>
      </c>
      <c r="B154" s="98" t="s">
        <v>151</v>
      </c>
      <c r="C154" s="98" t="s">
        <v>224</v>
      </c>
      <c r="D154" s="99">
        <v>73460021</v>
      </c>
      <c r="E154" s="99">
        <v>87087354.999999985</v>
      </c>
      <c r="F154" s="99">
        <v>99010212</v>
      </c>
      <c r="G154" s="99">
        <v>0</v>
      </c>
      <c r="H154" s="98" t="s">
        <v>225</v>
      </c>
      <c r="I154" s="99">
        <v>0</v>
      </c>
      <c r="J154" s="98" t="s">
        <v>225</v>
      </c>
      <c r="K154" s="99">
        <v>0</v>
      </c>
      <c r="L154" s="98" t="s">
        <v>225</v>
      </c>
      <c r="M154" s="98" t="s">
        <v>225</v>
      </c>
      <c r="N154" s="99">
        <v>0</v>
      </c>
      <c r="O154" s="100">
        <v>0</v>
      </c>
      <c r="P154" s="100">
        <v>0</v>
      </c>
      <c r="Q154" s="100">
        <v>0</v>
      </c>
    </row>
    <row r="155" spans="1:17" x14ac:dyDescent="0.35">
      <c r="A155" s="98" t="s">
        <v>13</v>
      </c>
      <c r="B155" s="98" t="s">
        <v>151</v>
      </c>
      <c r="C155" s="98" t="s">
        <v>227</v>
      </c>
      <c r="D155" s="99">
        <v>73460021</v>
      </c>
      <c r="E155" s="99">
        <v>87087354.999999985</v>
      </c>
      <c r="F155" s="99">
        <v>99010212</v>
      </c>
      <c r="G155" s="99">
        <v>19</v>
      </c>
      <c r="H155" s="98">
        <v>2012</v>
      </c>
      <c r="I155" s="99">
        <v>535</v>
      </c>
      <c r="J155" s="98" t="s">
        <v>229</v>
      </c>
      <c r="K155" s="99">
        <v>91</v>
      </c>
      <c r="L155" s="98">
        <v>2021</v>
      </c>
      <c r="M155" s="98" t="s">
        <v>226</v>
      </c>
      <c r="N155" s="99">
        <v>104.76322086409942</v>
      </c>
      <c r="O155" s="100">
        <v>2.5864408614857323E-3</v>
      </c>
      <c r="P155" s="100">
        <v>6.1432569630803471E-2</v>
      </c>
      <c r="Q155" s="100">
        <v>1.0581052070073279E-2</v>
      </c>
    </row>
    <row r="156" spans="1:17" x14ac:dyDescent="0.35">
      <c r="A156" s="98" t="s">
        <v>13</v>
      </c>
      <c r="B156" s="98" t="s">
        <v>151</v>
      </c>
      <c r="C156" s="98" t="s">
        <v>228</v>
      </c>
      <c r="D156" s="99">
        <v>73460021</v>
      </c>
      <c r="E156" s="99">
        <v>87087354.999999985</v>
      </c>
      <c r="F156" s="99">
        <v>99010212</v>
      </c>
      <c r="G156" s="99">
        <v>634</v>
      </c>
      <c r="H156" s="98">
        <v>2012</v>
      </c>
      <c r="I156" s="99">
        <v>167</v>
      </c>
      <c r="J156" s="98" t="s">
        <v>229</v>
      </c>
      <c r="K156" s="99">
        <v>233</v>
      </c>
      <c r="L156" s="98">
        <v>2022</v>
      </c>
      <c r="M156" s="98" t="s">
        <v>225</v>
      </c>
      <c r="N156" s="99">
        <v>233</v>
      </c>
      <c r="O156" s="100">
        <v>8.6305447693787077E-2</v>
      </c>
      <c r="P156" s="100">
        <v>1.9176147903447065E-2</v>
      </c>
      <c r="Q156" s="100">
        <v>2.3532926078372603E-2</v>
      </c>
    </row>
    <row r="157" spans="1:17" x14ac:dyDescent="0.35">
      <c r="A157" s="98" t="s">
        <v>13</v>
      </c>
      <c r="B157" s="98" t="s">
        <v>151</v>
      </c>
      <c r="C157" s="98" t="s">
        <v>230</v>
      </c>
      <c r="D157" s="99">
        <v>73460021</v>
      </c>
      <c r="E157" s="99">
        <v>87087354.999999985</v>
      </c>
      <c r="F157" s="99">
        <v>99010212</v>
      </c>
      <c r="G157" s="99">
        <v>0</v>
      </c>
      <c r="H157" s="98" t="s">
        <v>225</v>
      </c>
      <c r="I157" s="99">
        <v>0</v>
      </c>
      <c r="J157" s="98" t="s">
        <v>225</v>
      </c>
      <c r="K157" s="99">
        <v>0</v>
      </c>
      <c r="L157" s="98" t="s">
        <v>225</v>
      </c>
      <c r="M157" s="98" t="s">
        <v>225</v>
      </c>
      <c r="N157" s="99">
        <v>0</v>
      </c>
      <c r="O157" s="100">
        <v>0</v>
      </c>
      <c r="P157" s="100">
        <v>0</v>
      </c>
      <c r="Q157" s="100">
        <v>0</v>
      </c>
    </row>
    <row r="158" spans="1:17" x14ac:dyDescent="0.35">
      <c r="A158" s="98" t="s">
        <v>13</v>
      </c>
      <c r="B158" s="98" t="s">
        <v>151</v>
      </c>
      <c r="C158" s="98" t="s">
        <v>231</v>
      </c>
      <c r="D158" s="99">
        <v>73460021</v>
      </c>
      <c r="E158" s="99">
        <v>87087354.999999985</v>
      </c>
      <c r="F158" s="99">
        <v>99010212</v>
      </c>
      <c r="G158" s="99">
        <v>0</v>
      </c>
      <c r="H158" s="98" t="s">
        <v>225</v>
      </c>
      <c r="I158" s="99">
        <v>2651</v>
      </c>
      <c r="J158" s="98" t="s">
        <v>229</v>
      </c>
      <c r="K158" s="99">
        <v>4695</v>
      </c>
      <c r="L158" s="98">
        <v>2022</v>
      </c>
      <c r="M158" s="98" t="s">
        <v>225</v>
      </c>
      <c r="N158" s="99">
        <v>4695</v>
      </c>
      <c r="O158" s="100">
        <v>0</v>
      </c>
      <c r="P158" s="100">
        <v>0.30440699456310283</v>
      </c>
      <c r="Q158" s="100">
        <v>0.47419351046334496</v>
      </c>
    </row>
    <row r="159" spans="1:17" x14ac:dyDescent="0.35">
      <c r="A159" s="98" t="s">
        <v>13</v>
      </c>
      <c r="B159" s="98" t="s">
        <v>151</v>
      </c>
      <c r="C159" s="98" t="s">
        <v>232</v>
      </c>
      <c r="D159" s="99">
        <v>73460021</v>
      </c>
      <c r="E159" s="99">
        <v>87087354.999999985</v>
      </c>
      <c r="F159" s="99">
        <v>99010212</v>
      </c>
      <c r="G159" s="99">
        <v>0</v>
      </c>
      <c r="H159" s="98" t="s">
        <v>225</v>
      </c>
      <c r="I159" s="99">
        <v>0</v>
      </c>
      <c r="J159" s="98" t="s">
        <v>225</v>
      </c>
      <c r="K159" s="99">
        <v>0</v>
      </c>
      <c r="L159" s="98" t="s">
        <v>225</v>
      </c>
      <c r="M159" s="98" t="s">
        <v>225</v>
      </c>
      <c r="N159" s="99">
        <v>0</v>
      </c>
      <c r="O159" s="100">
        <v>0</v>
      </c>
      <c r="P159" s="100">
        <v>0</v>
      </c>
      <c r="Q159" s="100">
        <v>0</v>
      </c>
    </row>
    <row r="160" spans="1:17" x14ac:dyDescent="0.35">
      <c r="A160" s="98" t="s">
        <v>13</v>
      </c>
      <c r="B160" s="98" t="s">
        <v>151</v>
      </c>
      <c r="C160" s="98" t="s">
        <v>233</v>
      </c>
      <c r="D160" s="99">
        <v>73460021</v>
      </c>
      <c r="E160" s="99">
        <v>87087354.999999985</v>
      </c>
      <c r="F160" s="99">
        <v>99010212</v>
      </c>
      <c r="G160" s="99">
        <v>2126</v>
      </c>
      <c r="H160" s="98">
        <v>2013</v>
      </c>
      <c r="I160" s="99">
        <v>2934</v>
      </c>
      <c r="J160" s="98">
        <v>2018</v>
      </c>
      <c r="K160" s="99">
        <v>2934</v>
      </c>
      <c r="L160" s="98">
        <v>2018</v>
      </c>
      <c r="M160" s="98" t="s">
        <v>225</v>
      </c>
      <c r="N160" s="99">
        <v>2934</v>
      </c>
      <c r="O160" s="100">
        <v>0.28940911955361409</v>
      </c>
      <c r="P160" s="100">
        <v>0.33690310148930352</v>
      </c>
      <c r="Q160" s="100">
        <v>0.29633306915856317</v>
      </c>
    </row>
    <row r="161" spans="1:17" x14ac:dyDescent="0.35">
      <c r="A161" s="98" t="s">
        <v>13</v>
      </c>
      <c r="B161" s="98" t="s">
        <v>151</v>
      </c>
      <c r="C161" s="98" t="s">
        <v>234</v>
      </c>
      <c r="D161" s="99">
        <v>73460021</v>
      </c>
      <c r="E161" s="99">
        <v>87087354.999999985</v>
      </c>
      <c r="F161" s="99">
        <v>99010212</v>
      </c>
      <c r="G161" s="99">
        <v>0</v>
      </c>
      <c r="H161" s="98" t="s">
        <v>225</v>
      </c>
      <c r="I161" s="99">
        <v>0</v>
      </c>
      <c r="J161" s="98" t="s">
        <v>225</v>
      </c>
      <c r="K161" s="99">
        <v>0</v>
      </c>
      <c r="L161" s="98" t="s">
        <v>225</v>
      </c>
      <c r="M161" s="98" t="s">
        <v>225</v>
      </c>
      <c r="N161" s="99">
        <v>0</v>
      </c>
      <c r="O161" s="100">
        <v>0</v>
      </c>
      <c r="P161" s="100">
        <v>0</v>
      </c>
      <c r="Q161" s="100">
        <v>0</v>
      </c>
    </row>
    <row r="162" spans="1:17" x14ac:dyDescent="0.35">
      <c r="A162" s="98" t="s">
        <v>13</v>
      </c>
      <c r="B162" s="98" t="s">
        <v>151</v>
      </c>
      <c r="C162" s="98" t="s">
        <v>235</v>
      </c>
      <c r="D162" s="99">
        <v>73460021</v>
      </c>
      <c r="E162" s="99">
        <v>87087354.999999985</v>
      </c>
      <c r="F162" s="99">
        <v>99010212</v>
      </c>
      <c r="G162" s="99">
        <v>287</v>
      </c>
      <c r="H162" s="98">
        <v>2013</v>
      </c>
      <c r="I162" s="99">
        <v>338</v>
      </c>
      <c r="J162" s="98" t="s">
        <v>229</v>
      </c>
      <c r="K162" s="99">
        <v>528</v>
      </c>
      <c r="L162" s="98">
        <v>2022</v>
      </c>
      <c r="M162" s="98" t="s">
        <v>225</v>
      </c>
      <c r="N162" s="99">
        <v>528</v>
      </c>
      <c r="O162" s="100">
        <v>3.9068869855073962E-2</v>
      </c>
      <c r="P162" s="100">
        <v>3.8811604738713222E-2</v>
      </c>
      <c r="Q162" s="100">
        <v>5.3327832486612596E-2</v>
      </c>
    </row>
    <row r="163" spans="1:17" x14ac:dyDescent="0.35">
      <c r="A163" s="98" t="s">
        <v>13</v>
      </c>
      <c r="B163" s="98" t="s">
        <v>151</v>
      </c>
      <c r="C163" s="98" t="s">
        <v>236</v>
      </c>
      <c r="D163" s="99">
        <v>73460021</v>
      </c>
      <c r="E163" s="99">
        <v>87087354.999999985</v>
      </c>
      <c r="F163" s="99">
        <v>99010212</v>
      </c>
      <c r="G163" s="99">
        <v>0</v>
      </c>
      <c r="H163" s="98" t="s">
        <v>225</v>
      </c>
      <c r="I163" s="99">
        <v>0</v>
      </c>
      <c r="J163" s="98" t="s">
        <v>225</v>
      </c>
      <c r="K163" s="99">
        <v>0</v>
      </c>
      <c r="L163" s="98" t="s">
        <v>225</v>
      </c>
      <c r="M163" s="98" t="s">
        <v>225</v>
      </c>
      <c r="N163" s="99">
        <v>0</v>
      </c>
      <c r="O163" s="100">
        <v>0</v>
      </c>
      <c r="P163" s="100">
        <v>0</v>
      </c>
      <c r="Q163" s="100">
        <v>0</v>
      </c>
    </row>
    <row r="164" spans="1:17" x14ac:dyDescent="0.35">
      <c r="A164" s="98" t="s">
        <v>13</v>
      </c>
      <c r="B164" s="98" t="s">
        <v>151</v>
      </c>
      <c r="C164" s="98" t="s">
        <v>237</v>
      </c>
      <c r="D164" s="99">
        <v>73460021</v>
      </c>
      <c r="E164" s="99">
        <v>87087354.999999985</v>
      </c>
      <c r="F164" s="99">
        <v>99010212</v>
      </c>
      <c r="G164" s="99">
        <v>0</v>
      </c>
      <c r="H164" s="98" t="s">
        <v>225</v>
      </c>
      <c r="I164" s="99">
        <v>0</v>
      </c>
      <c r="J164" s="98" t="s">
        <v>225</v>
      </c>
      <c r="K164" s="99">
        <v>0</v>
      </c>
      <c r="L164" s="98" t="s">
        <v>225</v>
      </c>
      <c r="M164" s="98" t="s">
        <v>225</v>
      </c>
      <c r="N164" s="99">
        <v>0</v>
      </c>
      <c r="O164" s="100">
        <v>0</v>
      </c>
      <c r="P164" s="100">
        <v>0</v>
      </c>
      <c r="Q164" s="100">
        <v>0</v>
      </c>
    </row>
    <row r="165" spans="1:17" x14ac:dyDescent="0.35">
      <c r="A165" s="98" t="s">
        <v>13</v>
      </c>
      <c r="B165" s="98" t="s">
        <v>151</v>
      </c>
      <c r="C165" s="98" t="s">
        <v>238</v>
      </c>
      <c r="D165" s="99">
        <v>73460021</v>
      </c>
      <c r="E165" s="99">
        <v>87087354.999999985</v>
      </c>
      <c r="F165" s="99">
        <v>99010212</v>
      </c>
      <c r="G165" s="99">
        <v>0</v>
      </c>
      <c r="H165" s="98" t="s">
        <v>225</v>
      </c>
      <c r="I165" s="99">
        <v>74310</v>
      </c>
      <c r="J165" s="98" t="s">
        <v>229</v>
      </c>
      <c r="K165" s="99">
        <v>1803</v>
      </c>
      <c r="L165" s="98">
        <v>2022</v>
      </c>
      <c r="M165" s="98" t="s">
        <v>226</v>
      </c>
      <c r="N165" s="99">
        <v>2075.6932661315523</v>
      </c>
      <c r="O165" s="100">
        <v>0</v>
      </c>
      <c r="P165" s="100">
        <v>8.5328116808691696</v>
      </c>
      <c r="Q165" s="100">
        <v>0.20964436134441894</v>
      </c>
    </row>
    <row r="166" spans="1:17" x14ac:dyDescent="0.35">
      <c r="A166" s="98" t="s">
        <v>13</v>
      </c>
      <c r="B166" s="98" t="s">
        <v>151</v>
      </c>
      <c r="C166" s="98" t="s">
        <v>239</v>
      </c>
      <c r="D166" s="99">
        <v>73460021</v>
      </c>
      <c r="E166" s="99">
        <v>87087354.999999985</v>
      </c>
      <c r="F166" s="99">
        <v>99010212</v>
      </c>
      <c r="G166" s="99">
        <v>0</v>
      </c>
      <c r="H166" s="98" t="s">
        <v>225</v>
      </c>
      <c r="I166" s="99">
        <v>1608</v>
      </c>
      <c r="J166" s="98" t="s">
        <v>229</v>
      </c>
      <c r="K166" s="99">
        <v>1608</v>
      </c>
      <c r="L166" s="98" t="s">
        <v>229</v>
      </c>
      <c r="M166" s="98" t="s">
        <v>225</v>
      </c>
      <c r="N166" s="99">
        <v>1608</v>
      </c>
      <c r="O166" s="100">
        <v>0</v>
      </c>
      <c r="P166" s="100">
        <v>0.18464219059127474</v>
      </c>
      <c r="Q166" s="100">
        <v>0.16240748984559289</v>
      </c>
    </row>
    <row r="167" spans="1:17" x14ac:dyDescent="0.35">
      <c r="A167" s="98" t="s">
        <v>13</v>
      </c>
      <c r="B167" s="98" t="s">
        <v>151</v>
      </c>
      <c r="C167" s="98" t="s">
        <v>240</v>
      </c>
      <c r="D167" s="99">
        <v>73460021</v>
      </c>
      <c r="E167" s="99">
        <v>87087354.999999985</v>
      </c>
      <c r="F167" s="99">
        <v>99010212</v>
      </c>
      <c r="G167" s="99">
        <v>0</v>
      </c>
      <c r="H167" s="98" t="s">
        <v>225</v>
      </c>
      <c r="I167" s="99">
        <v>2934</v>
      </c>
      <c r="J167" s="98" t="s">
        <v>229</v>
      </c>
      <c r="K167" s="99">
        <v>2934</v>
      </c>
      <c r="L167" s="98" t="s">
        <v>229</v>
      </c>
      <c r="M167" s="98" t="s">
        <v>225</v>
      </c>
      <c r="N167" s="99">
        <v>2934</v>
      </c>
      <c r="O167" s="100">
        <v>0</v>
      </c>
      <c r="P167" s="100">
        <v>0.33690310148930352</v>
      </c>
      <c r="Q167" s="100">
        <v>0.29633306915856317</v>
      </c>
    </row>
    <row r="168" spans="1:17" x14ac:dyDescent="0.35">
      <c r="A168" s="98" t="s">
        <v>13</v>
      </c>
      <c r="B168" s="98" t="s">
        <v>151</v>
      </c>
      <c r="C168" s="98" t="s">
        <v>241</v>
      </c>
      <c r="D168" s="99">
        <v>73460021</v>
      </c>
      <c r="E168" s="99">
        <v>87087354.999999985</v>
      </c>
      <c r="F168" s="99">
        <v>99010212</v>
      </c>
      <c r="G168" s="99">
        <v>0</v>
      </c>
      <c r="H168" s="98" t="s">
        <v>225</v>
      </c>
      <c r="I168" s="99">
        <v>0</v>
      </c>
      <c r="J168" s="98" t="s">
        <v>225</v>
      </c>
      <c r="K168" s="99">
        <v>0</v>
      </c>
      <c r="L168" s="98" t="s">
        <v>225</v>
      </c>
      <c r="M168" s="98" t="s">
        <v>225</v>
      </c>
      <c r="N168" s="99">
        <v>0</v>
      </c>
      <c r="O168" s="100">
        <v>0</v>
      </c>
      <c r="P168" s="100">
        <v>0</v>
      </c>
      <c r="Q168" s="100">
        <v>0</v>
      </c>
    </row>
    <row r="169" spans="1:17" x14ac:dyDescent="0.35">
      <c r="A169" s="98" t="s">
        <v>13</v>
      </c>
      <c r="B169" s="98" t="s">
        <v>151</v>
      </c>
      <c r="C169" s="98" t="s">
        <v>242</v>
      </c>
      <c r="D169" s="99">
        <v>73460021</v>
      </c>
      <c r="E169" s="99">
        <v>87087354.999999985</v>
      </c>
      <c r="F169" s="99">
        <v>99010212</v>
      </c>
      <c r="G169" s="99">
        <v>0</v>
      </c>
      <c r="H169" s="98" t="s">
        <v>225</v>
      </c>
      <c r="I169" s="99">
        <v>395</v>
      </c>
      <c r="J169" s="98" t="s">
        <v>229</v>
      </c>
      <c r="K169" s="99">
        <v>793</v>
      </c>
      <c r="L169" s="98">
        <v>2022</v>
      </c>
      <c r="M169" s="98" t="s">
        <v>225</v>
      </c>
      <c r="N169" s="99">
        <v>793</v>
      </c>
      <c r="O169" s="100">
        <v>0</v>
      </c>
      <c r="P169" s="100">
        <v>4.5356757017135277E-2</v>
      </c>
      <c r="Q169" s="100">
        <v>8.009274841265869E-2</v>
      </c>
    </row>
    <row r="170" spans="1:17" x14ac:dyDescent="0.35">
      <c r="A170" s="98" t="s">
        <v>13</v>
      </c>
      <c r="B170" s="98" t="s">
        <v>151</v>
      </c>
      <c r="C170" s="98" t="s">
        <v>243</v>
      </c>
      <c r="D170" s="99">
        <v>73460021</v>
      </c>
      <c r="E170" s="99">
        <v>87087354.999999985</v>
      </c>
      <c r="F170" s="99">
        <v>99010212</v>
      </c>
      <c r="G170" s="99">
        <v>0</v>
      </c>
      <c r="H170" s="98" t="s">
        <v>225</v>
      </c>
      <c r="I170" s="99">
        <v>0</v>
      </c>
      <c r="J170" s="98" t="s">
        <v>225</v>
      </c>
      <c r="K170" s="99">
        <v>0</v>
      </c>
      <c r="L170" s="98" t="s">
        <v>225</v>
      </c>
      <c r="M170" s="98" t="s">
        <v>225</v>
      </c>
      <c r="N170" s="99">
        <v>0</v>
      </c>
      <c r="O170" s="100">
        <v>0</v>
      </c>
      <c r="P170" s="100">
        <v>0</v>
      </c>
      <c r="Q170" s="100">
        <v>0</v>
      </c>
    </row>
    <row r="171" spans="1:17" x14ac:dyDescent="0.35">
      <c r="A171" s="98" t="s">
        <v>13</v>
      </c>
      <c r="B171" s="98" t="s">
        <v>151</v>
      </c>
      <c r="C171" s="98" t="s">
        <v>244</v>
      </c>
      <c r="D171" s="99">
        <v>73460021</v>
      </c>
      <c r="E171" s="99">
        <v>87087354.999999985</v>
      </c>
      <c r="F171" s="99">
        <v>99010212</v>
      </c>
      <c r="G171" s="99">
        <v>0</v>
      </c>
      <c r="H171" s="98" t="s">
        <v>225</v>
      </c>
      <c r="I171" s="99">
        <v>0</v>
      </c>
      <c r="J171" s="98" t="s">
        <v>225</v>
      </c>
      <c r="K171" s="99">
        <v>0</v>
      </c>
      <c r="L171" s="98" t="s">
        <v>225</v>
      </c>
      <c r="M171" s="98" t="s">
        <v>225</v>
      </c>
      <c r="N171" s="99">
        <v>0</v>
      </c>
      <c r="O171" s="100">
        <v>0</v>
      </c>
      <c r="P171" s="100">
        <v>0</v>
      </c>
      <c r="Q171" s="100">
        <v>0</v>
      </c>
    </row>
    <row r="172" spans="1:17" x14ac:dyDescent="0.35">
      <c r="A172" s="98" t="s">
        <v>13</v>
      </c>
      <c r="B172" s="98" t="s">
        <v>151</v>
      </c>
      <c r="C172" s="98" t="s">
        <v>245</v>
      </c>
      <c r="D172" s="99">
        <v>73460021</v>
      </c>
      <c r="E172" s="99">
        <v>87087354.999999985</v>
      </c>
      <c r="F172" s="99">
        <v>99010212</v>
      </c>
      <c r="G172" s="99">
        <v>0</v>
      </c>
      <c r="H172" s="98" t="s">
        <v>225</v>
      </c>
      <c r="I172" s="99">
        <v>0</v>
      </c>
      <c r="J172" s="98" t="s">
        <v>225</v>
      </c>
      <c r="K172" s="99">
        <v>0</v>
      </c>
      <c r="L172" s="98" t="s">
        <v>225</v>
      </c>
      <c r="M172" s="98" t="s">
        <v>225</v>
      </c>
      <c r="N172" s="99">
        <v>0</v>
      </c>
      <c r="O172" s="100">
        <v>0</v>
      </c>
      <c r="P172" s="100">
        <v>0</v>
      </c>
      <c r="Q172" s="100">
        <v>0</v>
      </c>
    </row>
    <row r="173" spans="1:17" x14ac:dyDescent="0.35">
      <c r="A173" s="98" t="s">
        <v>11</v>
      </c>
      <c r="B173" s="98" t="s">
        <v>148</v>
      </c>
      <c r="C173" s="98" t="s">
        <v>224</v>
      </c>
      <c r="D173" s="99">
        <v>4828066.5000000028</v>
      </c>
      <c r="E173" s="99">
        <v>5441061.9999999972</v>
      </c>
      <c r="F173" s="99">
        <v>5970424.0000000009</v>
      </c>
      <c r="G173" s="99">
        <v>0</v>
      </c>
      <c r="H173" s="98" t="s">
        <v>225</v>
      </c>
      <c r="I173" s="99">
        <v>0</v>
      </c>
      <c r="J173" s="98" t="s">
        <v>225</v>
      </c>
      <c r="K173" s="99">
        <v>0</v>
      </c>
      <c r="L173" s="98" t="s">
        <v>225</v>
      </c>
      <c r="M173" s="98" t="s">
        <v>225</v>
      </c>
      <c r="N173" s="99">
        <v>0</v>
      </c>
      <c r="O173" s="100">
        <v>0</v>
      </c>
      <c r="P173" s="100">
        <v>0</v>
      </c>
      <c r="Q173" s="100">
        <v>0</v>
      </c>
    </row>
    <row r="174" spans="1:17" x14ac:dyDescent="0.35">
      <c r="A174" s="98" t="s">
        <v>11</v>
      </c>
      <c r="B174" s="98" t="s">
        <v>148</v>
      </c>
      <c r="C174" s="98" t="s">
        <v>227</v>
      </c>
      <c r="D174" s="99">
        <v>4828066.5000000028</v>
      </c>
      <c r="E174" s="99">
        <v>5441061.9999999972</v>
      </c>
      <c r="F174" s="99">
        <v>5970424.0000000009</v>
      </c>
      <c r="G174" s="99">
        <v>819</v>
      </c>
      <c r="H174" s="98">
        <v>2012</v>
      </c>
      <c r="I174" s="99">
        <v>0</v>
      </c>
      <c r="J174" s="98" t="s">
        <v>225</v>
      </c>
      <c r="K174" s="99">
        <v>582</v>
      </c>
      <c r="L174" s="98">
        <v>2020</v>
      </c>
      <c r="M174" s="98" t="s">
        <v>225</v>
      </c>
      <c r="N174" s="99">
        <v>582</v>
      </c>
      <c r="O174" s="100">
        <v>1.6963312332172713</v>
      </c>
      <c r="P174" s="100">
        <v>0</v>
      </c>
      <c r="Q174" s="100">
        <v>0.9748051394674816</v>
      </c>
    </row>
    <row r="175" spans="1:17" x14ac:dyDescent="0.35">
      <c r="A175" s="98" t="s">
        <v>11</v>
      </c>
      <c r="B175" s="98" t="s">
        <v>148</v>
      </c>
      <c r="C175" s="98" t="s">
        <v>228</v>
      </c>
      <c r="D175" s="99">
        <v>4828066.5000000028</v>
      </c>
      <c r="E175" s="99">
        <v>5441061.9999999972</v>
      </c>
      <c r="F175" s="99">
        <v>5970424.0000000009</v>
      </c>
      <c r="G175" s="99">
        <v>4104</v>
      </c>
      <c r="H175" s="98">
        <v>2012</v>
      </c>
      <c r="I175" s="99">
        <v>374</v>
      </c>
      <c r="J175" s="98" t="s">
        <v>229</v>
      </c>
      <c r="K175" s="99">
        <v>374</v>
      </c>
      <c r="L175" s="98" t="s">
        <v>229</v>
      </c>
      <c r="M175" s="98" t="s">
        <v>225</v>
      </c>
      <c r="N175" s="99">
        <v>374</v>
      </c>
      <c r="O175" s="100">
        <v>8.5002971686491833</v>
      </c>
      <c r="P175" s="100">
        <v>0.68736581204184066</v>
      </c>
      <c r="Q175" s="100">
        <v>0.62642117209766002</v>
      </c>
    </row>
    <row r="176" spans="1:17" x14ac:dyDescent="0.35">
      <c r="A176" s="98" t="s">
        <v>11</v>
      </c>
      <c r="B176" s="98" t="s">
        <v>148</v>
      </c>
      <c r="C176" s="98" t="s">
        <v>230</v>
      </c>
      <c r="D176" s="99">
        <v>4828066.5000000028</v>
      </c>
      <c r="E176" s="99">
        <v>5441061.9999999972</v>
      </c>
      <c r="F176" s="99">
        <v>5970424.0000000009</v>
      </c>
      <c r="G176" s="99">
        <v>0</v>
      </c>
      <c r="H176" s="98" t="s">
        <v>225</v>
      </c>
      <c r="I176" s="99">
        <v>850</v>
      </c>
      <c r="J176" s="98" t="s">
        <v>229</v>
      </c>
      <c r="K176" s="99">
        <v>850</v>
      </c>
      <c r="L176" s="98" t="s">
        <v>229</v>
      </c>
      <c r="M176" s="98" t="s">
        <v>225</v>
      </c>
      <c r="N176" s="99">
        <v>850</v>
      </c>
      <c r="O176" s="100">
        <v>0</v>
      </c>
      <c r="P176" s="100">
        <v>1.5621950273678198</v>
      </c>
      <c r="Q176" s="100">
        <v>1.4236844820401362</v>
      </c>
    </row>
    <row r="177" spans="1:17" x14ac:dyDescent="0.35">
      <c r="A177" s="98" t="s">
        <v>11</v>
      </c>
      <c r="B177" s="98" t="s">
        <v>148</v>
      </c>
      <c r="C177" s="98" t="s">
        <v>231</v>
      </c>
      <c r="D177" s="99">
        <v>4828066.5000000028</v>
      </c>
      <c r="E177" s="99">
        <v>5441061.9999999972</v>
      </c>
      <c r="F177" s="99">
        <v>5970424.0000000009</v>
      </c>
      <c r="G177" s="99">
        <v>0</v>
      </c>
      <c r="H177" s="98" t="s">
        <v>225</v>
      </c>
      <c r="I177" s="99">
        <v>790</v>
      </c>
      <c r="J177" s="98" t="s">
        <v>229</v>
      </c>
      <c r="K177" s="99">
        <v>790</v>
      </c>
      <c r="L177" s="98" t="s">
        <v>229</v>
      </c>
      <c r="M177" s="98" t="s">
        <v>225</v>
      </c>
      <c r="N177" s="99">
        <v>790</v>
      </c>
      <c r="O177" s="100">
        <v>0</v>
      </c>
      <c r="P177" s="100">
        <v>1.4519224372006796</v>
      </c>
      <c r="Q177" s="100">
        <v>1.3231891068373032</v>
      </c>
    </row>
    <row r="178" spans="1:17" x14ac:dyDescent="0.35">
      <c r="A178" s="98" t="s">
        <v>11</v>
      </c>
      <c r="B178" s="98" t="s">
        <v>148</v>
      </c>
      <c r="C178" s="98" t="s">
        <v>232</v>
      </c>
      <c r="D178" s="99">
        <v>4828066.5000000028</v>
      </c>
      <c r="E178" s="99">
        <v>5441061.9999999972</v>
      </c>
      <c r="F178" s="99">
        <v>5970424.0000000009</v>
      </c>
      <c r="G178" s="99">
        <v>0</v>
      </c>
      <c r="H178" s="98" t="s">
        <v>225</v>
      </c>
      <c r="I178" s="99">
        <v>0</v>
      </c>
      <c r="J178" s="98" t="s">
        <v>225</v>
      </c>
      <c r="K178" s="99">
        <v>0</v>
      </c>
      <c r="L178" s="98" t="s">
        <v>225</v>
      </c>
      <c r="M178" s="98" t="s">
        <v>225</v>
      </c>
      <c r="N178" s="99">
        <v>0</v>
      </c>
      <c r="O178" s="100">
        <v>0</v>
      </c>
      <c r="P178" s="100">
        <v>0</v>
      </c>
      <c r="Q178" s="100">
        <v>0</v>
      </c>
    </row>
    <row r="179" spans="1:17" x14ac:dyDescent="0.35">
      <c r="A179" s="98" t="s">
        <v>11</v>
      </c>
      <c r="B179" s="98" t="s">
        <v>148</v>
      </c>
      <c r="C179" s="98" t="s">
        <v>233</v>
      </c>
      <c r="D179" s="99">
        <v>4828066.5000000028</v>
      </c>
      <c r="E179" s="99">
        <v>5441061.9999999972</v>
      </c>
      <c r="F179" s="99">
        <v>5970424.0000000009</v>
      </c>
      <c r="G179" s="99">
        <v>0</v>
      </c>
      <c r="H179" s="98" t="s">
        <v>225</v>
      </c>
      <c r="I179" s="99">
        <v>320</v>
      </c>
      <c r="J179" s="98">
        <v>2018</v>
      </c>
      <c r="K179" s="99">
        <v>320</v>
      </c>
      <c r="L179" s="98">
        <v>2018</v>
      </c>
      <c r="M179" s="98" t="s">
        <v>225</v>
      </c>
      <c r="N179" s="99">
        <v>320</v>
      </c>
      <c r="O179" s="100">
        <v>0</v>
      </c>
      <c r="P179" s="100">
        <v>0.58812048089141455</v>
      </c>
      <c r="Q179" s="100">
        <v>0.53597533441511014</v>
      </c>
    </row>
    <row r="180" spans="1:17" x14ac:dyDescent="0.35">
      <c r="A180" s="98" t="s">
        <v>11</v>
      </c>
      <c r="B180" s="98" t="s">
        <v>148</v>
      </c>
      <c r="C180" s="98" t="s">
        <v>234</v>
      </c>
      <c r="D180" s="99">
        <v>4828066.5000000028</v>
      </c>
      <c r="E180" s="99">
        <v>5441061.9999999972</v>
      </c>
      <c r="F180" s="99">
        <v>5970424.0000000009</v>
      </c>
      <c r="G180" s="99">
        <v>0</v>
      </c>
      <c r="H180" s="98" t="s">
        <v>225</v>
      </c>
      <c r="I180" s="99">
        <v>0</v>
      </c>
      <c r="J180" s="98" t="s">
        <v>225</v>
      </c>
      <c r="K180" s="99">
        <v>0</v>
      </c>
      <c r="L180" s="98" t="s">
        <v>225</v>
      </c>
      <c r="M180" s="98" t="s">
        <v>225</v>
      </c>
      <c r="N180" s="99">
        <v>0</v>
      </c>
      <c r="O180" s="100">
        <v>0</v>
      </c>
      <c r="P180" s="100">
        <v>0</v>
      </c>
      <c r="Q180" s="100">
        <v>0</v>
      </c>
    </row>
    <row r="181" spans="1:17" x14ac:dyDescent="0.35">
      <c r="A181" s="98" t="s">
        <v>11</v>
      </c>
      <c r="B181" s="98" t="s">
        <v>148</v>
      </c>
      <c r="C181" s="98" t="s">
        <v>235</v>
      </c>
      <c r="D181" s="99">
        <v>4828066.5000000028</v>
      </c>
      <c r="E181" s="99">
        <v>5441061.9999999972</v>
      </c>
      <c r="F181" s="99">
        <v>5970424.0000000009</v>
      </c>
      <c r="G181" s="99">
        <v>0</v>
      </c>
      <c r="H181" s="98" t="s">
        <v>225</v>
      </c>
      <c r="I181" s="99">
        <v>97</v>
      </c>
      <c r="J181" s="98" t="s">
        <v>229</v>
      </c>
      <c r="K181" s="99">
        <v>97</v>
      </c>
      <c r="L181" s="98" t="s">
        <v>229</v>
      </c>
      <c r="M181" s="98" t="s">
        <v>225</v>
      </c>
      <c r="N181" s="99">
        <v>97</v>
      </c>
      <c r="O181" s="100">
        <v>0</v>
      </c>
      <c r="P181" s="100">
        <v>0.17827402077021001</v>
      </c>
      <c r="Q181" s="100">
        <v>0.16246752324458025</v>
      </c>
    </row>
    <row r="182" spans="1:17" x14ac:dyDescent="0.35">
      <c r="A182" s="98" t="s">
        <v>11</v>
      </c>
      <c r="B182" s="98" t="s">
        <v>148</v>
      </c>
      <c r="C182" s="98" t="s">
        <v>236</v>
      </c>
      <c r="D182" s="99">
        <v>4828066.5000000028</v>
      </c>
      <c r="E182" s="99">
        <v>5441061.9999999972</v>
      </c>
      <c r="F182" s="99">
        <v>5970424.0000000009</v>
      </c>
      <c r="G182" s="99">
        <v>0</v>
      </c>
      <c r="H182" s="98" t="s">
        <v>225</v>
      </c>
      <c r="I182" s="99">
        <v>0</v>
      </c>
      <c r="J182" s="98" t="s">
        <v>225</v>
      </c>
      <c r="K182" s="99">
        <v>0</v>
      </c>
      <c r="L182" s="98" t="s">
        <v>225</v>
      </c>
      <c r="M182" s="98" t="s">
        <v>225</v>
      </c>
      <c r="N182" s="99">
        <v>0</v>
      </c>
      <c r="O182" s="100">
        <v>0</v>
      </c>
      <c r="P182" s="100">
        <v>0</v>
      </c>
      <c r="Q182" s="100">
        <v>0</v>
      </c>
    </row>
    <row r="183" spans="1:17" x14ac:dyDescent="0.35">
      <c r="A183" s="98" t="s">
        <v>11</v>
      </c>
      <c r="B183" s="98" t="s">
        <v>148</v>
      </c>
      <c r="C183" s="98" t="s">
        <v>237</v>
      </c>
      <c r="D183" s="99">
        <v>4828066.5000000028</v>
      </c>
      <c r="E183" s="99">
        <v>5441061.9999999972</v>
      </c>
      <c r="F183" s="99">
        <v>5970424.0000000009</v>
      </c>
      <c r="G183" s="99">
        <v>0</v>
      </c>
      <c r="H183" s="98" t="s">
        <v>225</v>
      </c>
      <c r="I183" s="99">
        <v>0</v>
      </c>
      <c r="J183" s="98" t="s">
        <v>225</v>
      </c>
      <c r="K183" s="99">
        <v>0</v>
      </c>
      <c r="L183" s="98" t="s">
        <v>225</v>
      </c>
      <c r="M183" s="98" t="s">
        <v>225</v>
      </c>
      <c r="N183" s="99">
        <v>0</v>
      </c>
      <c r="O183" s="100">
        <v>0</v>
      </c>
      <c r="P183" s="100">
        <v>0</v>
      </c>
      <c r="Q183" s="100">
        <v>0</v>
      </c>
    </row>
    <row r="184" spans="1:17" x14ac:dyDescent="0.35">
      <c r="A184" s="98" t="s">
        <v>11</v>
      </c>
      <c r="B184" s="98" t="s">
        <v>148</v>
      </c>
      <c r="C184" s="98" t="s">
        <v>238</v>
      </c>
      <c r="D184" s="99">
        <v>4828066.5000000028</v>
      </c>
      <c r="E184" s="99">
        <v>5441061.9999999972</v>
      </c>
      <c r="F184" s="99">
        <v>5970424.0000000009</v>
      </c>
      <c r="G184" s="99">
        <v>0</v>
      </c>
      <c r="H184" s="98" t="s">
        <v>225</v>
      </c>
      <c r="I184" s="99">
        <v>111</v>
      </c>
      <c r="J184" s="98" t="s">
        <v>229</v>
      </c>
      <c r="K184" s="99">
        <v>111</v>
      </c>
      <c r="L184" s="98" t="s">
        <v>229</v>
      </c>
      <c r="M184" s="98" t="s">
        <v>225</v>
      </c>
      <c r="N184" s="99">
        <v>111</v>
      </c>
      <c r="O184" s="100">
        <v>0</v>
      </c>
      <c r="P184" s="100">
        <v>0.2040042918092094</v>
      </c>
      <c r="Q184" s="100">
        <v>0.18591644412524133</v>
      </c>
    </row>
    <row r="185" spans="1:17" x14ac:dyDescent="0.35">
      <c r="A185" s="98" t="s">
        <v>11</v>
      </c>
      <c r="B185" s="98" t="s">
        <v>148</v>
      </c>
      <c r="C185" s="98" t="s">
        <v>239</v>
      </c>
      <c r="D185" s="99">
        <v>4828066.5000000028</v>
      </c>
      <c r="E185" s="99">
        <v>5441061.9999999972</v>
      </c>
      <c r="F185" s="99">
        <v>5970424.0000000009</v>
      </c>
      <c r="G185" s="99">
        <v>0</v>
      </c>
      <c r="H185" s="98" t="s">
        <v>225</v>
      </c>
      <c r="I185" s="99">
        <v>445</v>
      </c>
      <c r="J185" s="98" t="s">
        <v>229</v>
      </c>
      <c r="K185" s="99">
        <v>445</v>
      </c>
      <c r="L185" s="98" t="s">
        <v>229</v>
      </c>
      <c r="M185" s="98" t="s">
        <v>225</v>
      </c>
      <c r="N185" s="99">
        <v>445</v>
      </c>
      <c r="O185" s="100">
        <v>0</v>
      </c>
      <c r="P185" s="100">
        <v>0.81785504373962326</v>
      </c>
      <c r="Q185" s="100">
        <v>0.74534069942101255</v>
      </c>
    </row>
    <row r="186" spans="1:17" x14ac:dyDescent="0.35">
      <c r="A186" s="98" t="s">
        <v>11</v>
      </c>
      <c r="B186" s="98" t="s">
        <v>148</v>
      </c>
      <c r="C186" s="98" t="s">
        <v>240</v>
      </c>
      <c r="D186" s="99">
        <v>4828066.5000000028</v>
      </c>
      <c r="E186" s="99">
        <v>5441061.9999999972</v>
      </c>
      <c r="F186" s="99">
        <v>5970424.0000000009</v>
      </c>
      <c r="G186" s="99">
        <v>0</v>
      </c>
      <c r="H186" s="98" t="s">
        <v>225</v>
      </c>
      <c r="I186" s="99">
        <v>320</v>
      </c>
      <c r="J186" s="98" t="s">
        <v>229</v>
      </c>
      <c r="K186" s="99">
        <v>777</v>
      </c>
      <c r="L186" s="98">
        <v>2022</v>
      </c>
      <c r="M186" s="98" t="s">
        <v>225</v>
      </c>
      <c r="N186" s="99">
        <v>777</v>
      </c>
      <c r="O186" s="100">
        <v>0</v>
      </c>
      <c r="P186" s="100">
        <v>0.58812048089141455</v>
      </c>
      <c r="Q186" s="100">
        <v>1.3014151088766892</v>
      </c>
    </row>
    <row r="187" spans="1:17" x14ac:dyDescent="0.35">
      <c r="A187" s="98" t="s">
        <v>11</v>
      </c>
      <c r="B187" s="98" t="s">
        <v>148</v>
      </c>
      <c r="C187" s="98" t="s">
        <v>241</v>
      </c>
      <c r="D187" s="99">
        <v>4828066.5000000028</v>
      </c>
      <c r="E187" s="99">
        <v>5441061.9999999972</v>
      </c>
      <c r="F187" s="99">
        <v>5970424.0000000009</v>
      </c>
      <c r="G187" s="99">
        <v>0</v>
      </c>
      <c r="H187" s="98" t="s">
        <v>225</v>
      </c>
      <c r="I187" s="99">
        <v>0</v>
      </c>
      <c r="J187" s="98" t="s">
        <v>225</v>
      </c>
      <c r="K187" s="99">
        <v>0</v>
      </c>
      <c r="L187" s="98" t="s">
        <v>225</v>
      </c>
      <c r="M187" s="98" t="s">
        <v>225</v>
      </c>
      <c r="N187" s="99">
        <v>0</v>
      </c>
      <c r="O187" s="100">
        <v>0</v>
      </c>
      <c r="P187" s="100">
        <v>0</v>
      </c>
      <c r="Q187" s="100">
        <v>0</v>
      </c>
    </row>
    <row r="188" spans="1:17" x14ac:dyDescent="0.35">
      <c r="A188" s="98" t="s">
        <v>11</v>
      </c>
      <c r="B188" s="98" t="s">
        <v>148</v>
      </c>
      <c r="C188" s="98" t="s">
        <v>242</v>
      </c>
      <c r="D188" s="99">
        <v>4828066.5000000028</v>
      </c>
      <c r="E188" s="99">
        <v>5441061.9999999972</v>
      </c>
      <c r="F188" s="99">
        <v>5970424.0000000009</v>
      </c>
      <c r="G188" s="99">
        <v>0</v>
      </c>
      <c r="H188" s="98" t="s">
        <v>225</v>
      </c>
      <c r="I188" s="99">
        <v>0</v>
      </c>
      <c r="J188" s="98" t="s">
        <v>225</v>
      </c>
      <c r="K188" s="99">
        <v>0</v>
      </c>
      <c r="L188" s="98" t="s">
        <v>225</v>
      </c>
      <c r="M188" s="98" t="s">
        <v>225</v>
      </c>
      <c r="N188" s="99">
        <v>0</v>
      </c>
      <c r="O188" s="100">
        <v>0</v>
      </c>
      <c r="P188" s="100">
        <v>0</v>
      </c>
      <c r="Q188" s="100">
        <v>0</v>
      </c>
    </row>
    <row r="189" spans="1:17" x14ac:dyDescent="0.35">
      <c r="A189" s="98" t="s">
        <v>11</v>
      </c>
      <c r="B189" s="98" t="s">
        <v>148</v>
      </c>
      <c r="C189" s="98" t="s">
        <v>243</v>
      </c>
      <c r="D189" s="99">
        <v>4828066.5000000028</v>
      </c>
      <c r="E189" s="99">
        <v>5441061.9999999972</v>
      </c>
      <c r="F189" s="99">
        <v>5970424.0000000009</v>
      </c>
      <c r="G189" s="99">
        <v>0</v>
      </c>
      <c r="H189" s="98" t="s">
        <v>225</v>
      </c>
      <c r="I189" s="99">
        <v>0</v>
      </c>
      <c r="J189" s="98" t="s">
        <v>225</v>
      </c>
      <c r="K189" s="99">
        <v>0</v>
      </c>
      <c r="L189" s="98" t="s">
        <v>225</v>
      </c>
      <c r="M189" s="98" t="s">
        <v>225</v>
      </c>
      <c r="N189" s="99">
        <v>0</v>
      </c>
      <c r="O189" s="100">
        <v>0</v>
      </c>
      <c r="P189" s="100">
        <v>0</v>
      </c>
      <c r="Q189" s="100">
        <v>0</v>
      </c>
    </row>
    <row r="190" spans="1:17" x14ac:dyDescent="0.35">
      <c r="A190" s="98" t="s">
        <v>11</v>
      </c>
      <c r="B190" s="98" t="s">
        <v>148</v>
      </c>
      <c r="C190" s="98" t="s">
        <v>244</v>
      </c>
      <c r="D190" s="99">
        <v>4828066.5000000028</v>
      </c>
      <c r="E190" s="99">
        <v>5441061.9999999972</v>
      </c>
      <c r="F190" s="99">
        <v>5970424.0000000009</v>
      </c>
      <c r="G190" s="99">
        <v>0</v>
      </c>
      <c r="H190" s="98" t="s">
        <v>225</v>
      </c>
      <c r="I190" s="99">
        <v>0</v>
      </c>
      <c r="J190" s="98" t="s">
        <v>225</v>
      </c>
      <c r="K190" s="99">
        <v>0</v>
      </c>
      <c r="L190" s="98" t="s">
        <v>225</v>
      </c>
      <c r="M190" s="98" t="s">
        <v>225</v>
      </c>
      <c r="N190" s="99">
        <v>0</v>
      </c>
      <c r="O190" s="100">
        <v>0</v>
      </c>
      <c r="P190" s="100">
        <v>0</v>
      </c>
      <c r="Q190" s="100">
        <v>0</v>
      </c>
    </row>
    <row r="191" spans="1:17" x14ac:dyDescent="0.35">
      <c r="A191" s="98" t="s">
        <v>11</v>
      </c>
      <c r="B191" s="98" t="s">
        <v>148</v>
      </c>
      <c r="C191" s="98" t="s">
        <v>245</v>
      </c>
      <c r="D191" s="99">
        <v>4828066.5000000028</v>
      </c>
      <c r="E191" s="99">
        <v>5441061.9999999972</v>
      </c>
      <c r="F191" s="99">
        <v>5970424.0000000009</v>
      </c>
      <c r="G191" s="99">
        <v>0</v>
      </c>
      <c r="H191" s="98" t="s">
        <v>225</v>
      </c>
      <c r="I191" s="99">
        <v>0</v>
      </c>
      <c r="J191" s="98" t="s">
        <v>225</v>
      </c>
      <c r="K191" s="99">
        <v>0</v>
      </c>
      <c r="L191" s="98" t="s">
        <v>225</v>
      </c>
      <c r="M191" s="98" t="s">
        <v>225</v>
      </c>
      <c r="N191" s="99">
        <v>0</v>
      </c>
      <c r="O191" s="100">
        <v>0</v>
      </c>
      <c r="P191" s="100">
        <v>0</v>
      </c>
      <c r="Q191" s="100">
        <v>0</v>
      </c>
    </row>
    <row r="192" spans="1:17" x14ac:dyDescent="0.35">
      <c r="A192" s="98" t="s">
        <v>10</v>
      </c>
      <c r="B192" s="98" t="s">
        <v>146</v>
      </c>
      <c r="C192" s="98" t="s">
        <v>224</v>
      </c>
      <c r="D192" s="99">
        <v>699392.50000000035</v>
      </c>
      <c r="E192" s="99">
        <v>776313.5000000007</v>
      </c>
      <c r="F192" s="99">
        <v>836773.49999999977</v>
      </c>
      <c r="G192" s="99">
        <v>0</v>
      </c>
      <c r="H192" s="98" t="s">
        <v>225</v>
      </c>
      <c r="I192" s="99">
        <v>0</v>
      </c>
      <c r="J192" s="98" t="s">
        <v>225</v>
      </c>
      <c r="K192" s="99">
        <v>0</v>
      </c>
      <c r="L192" s="98" t="s">
        <v>225</v>
      </c>
      <c r="M192" s="98" t="s">
        <v>225</v>
      </c>
      <c r="N192" s="99">
        <v>0</v>
      </c>
      <c r="O192" s="100">
        <v>0</v>
      </c>
      <c r="P192" s="100">
        <v>0</v>
      </c>
      <c r="Q192" s="100">
        <v>0</v>
      </c>
    </row>
    <row r="193" spans="1:17" x14ac:dyDescent="0.35">
      <c r="A193" s="98" t="s">
        <v>10</v>
      </c>
      <c r="B193" s="98" t="s">
        <v>146</v>
      </c>
      <c r="C193" s="98" t="s">
        <v>227</v>
      </c>
      <c r="D193" s="99">
        <v>699392.50000000035</v>
      </c>
      <c r="E193" s="99">
        <v>776313.5000000007</v>
      </c>
      <c r="F193" s="99">
        <v>836773.49999999977</v>
      </c>
      <c r="G193" s="99">
        <v>0</v>
      </c>
      <c r="H193" s="98" t="s">
        <v>225</v>
      </c>
      <c r="I193" s="99">
        <v>0</v>
      </c>
      <c r="J193" s="98" t="s">
        <v>225</v>
      </c>
      <c r="K193" s="99">
        <v>0</v>
      </c>
      <c r="L193" s="98" t="s">
        <v>225</v>
      </c>
      <c r="M193" s="98" t="s">
        <v>225</v>
      </c>
      <c r="N193" s="99">
        <v>0</v>
      </c>
      <c r="O193" s="100">
        <v>0</v>
      </c>
      <c r="P193" s="100">
        <v>0</v>
      </c>
      <c r="Q193" s="100">
        <v>0</v>
      </c>
    </row>
    <row r="194" spans="1:17" x14ac:dyDescent="0.35">
      <c r="A194" s="98" t="s">
        <v>10</v>
      </c>
      <c r="B194" s="98" t="s">
        <v>146</v>
      </c>
      <c r="C194" s="98" t="s">
        <v>228</v>
      </c>
      <c r="D194" s="99">
        <v>699392.50000000035</v>
      </c>
      <c r="E194" s="99">
        <v>776313.5000000007</v>
      </c>
      <c r="F194" s="99">
        <v>836773.49999999977</v>
      </c>
      <c r="G194" s="99">
        <v>755</v>
      </c>
      <c r="H194" s="98">
        <v>2013</v>
      </c>
      <c r="I194" s="99">
        <v>389</v>
      </c>
      <c r="J194" s="98" t="s">
        <v>229</v>
      </c>
      <c r="K194" s="99">
        <v>389</v>
      </c>
      <c r="L194" s="98" t="s">
        <v>229</v>
      </c>
      <c r="M194" s="98" t="s">
        <v>225</v>
      </c>
      <c r="N194" s="99">
        <v>389</v>
      </c>
      <c r="O194" s="100">
        <v>10.795082875495513</v>
      </c>
      <c r="P194" s="100">
        <v>5.0108622354242156</v>
      </c>
      <c r="Q194" s="100">
        <v>4.6488087875631834</v>
      </c>
    </row>
    <row r="195" spans="1:17" x14ac:dyDescent="0.35">
      <c r="A195" s="98" t="s">
        <v>10</v>
      </c>
      <c r="B195" s="98" t="s">
        <v>146</v>
      </c>
      <c r="C195" s="98" t="s">
        <v>230</v>
      </c>
      <c r="D195" s="99">
        <v>699392.50000000035</v>
      </c>
      <c r="E195" s="99">
        <v>776313.5000000007</v>
      </c>
      <c r="F195" s="99">
        <v>836773.49999999977</v>
      </c>
      <c r="G195" s="99">
        <v>0</v>
      </c>
      <c r="H195" s="98" t="s">
        <v>225</v>
      </c>
      <c r="I195" s="99">
        <v>0</v>
      </c>
      <c r="J195" s="98" t="s">
        <v>225</v>
      </c>
      <c r="K195" s="99">
        <v>0</v>
      </c>
      <c r="L195" s="98" t="s">
        <v>225</v>
      </c>
      <c r="M195" s="98" t="s">
        <v>225</v>
      </c>
      <c r="N195" s="99">
        <v>0</v>
      </c>
      <c r="O195" s="100">
        <v>0</v>
      </c>
      <c r="P195" s="100">
        <v>0</v>
      </c>
      <c r="Q195" s="100">
        <v>0</v>
      </c>
    </row>
    <row r="196" spans="1:17" x14ac:dyDescent="0.35">
      <c r="A196" s="98" t="s">
        <v>10</v>
      </c>
      <c r="B196" s="98" t="s">
        <v>146</v>
      </c>
      <c r="C196" s="98" t="s">
        <v>231</v>
      </c>
      <c r="D196" s="99">
        <v>699392.50000000035</v>
      </c>
      <c r="E196" s="99">
        <v>776313.5000000007</v>
      </c>
      <c r="F196" s="99">
        <v>836773.49999999977</v>
      </c>
      <c r="G196" s="99">
        <v>0</v>
      </c>
      <c r="H196" s="98" t="s">
        <v>225</v>
      </c>
      <c r="I196" s="99">
        <v>0</v>
      </c>
      <c r="J196" s="98" t="s">
        <v>225</v>
      </c>
      <c r="K196" s="99">
        <v>0</v>
      </c>
      <c r="L196" s="98" t="s">
        <v>225</v>
      </c>
      <c r="M196" s="98" t="s">
        <v>225</v>
      </c>
      <c r="N196" s="99">
        <v>0</v>
      </c>
      <c r="O196" s="100">
        <v>0</v>
      </c>
      <c r="P196" s="100">
        <v>0</v>
      </c>
      <c r="Q196" s="100">
        <v>0</v>
      </c>
    </row>
    <row r="197" spans="1:17" x14ac:dyDescent="0.35">
      <c r="A197" s="98" t="s">
        <v>10</v>
      </c>
      <c r="B197" s="98" t="s">
        <v>146</v>
      </c>
      <c r="C197" s="98" t="s">
        <v>232</v>
      </c>
      <c r="D197" s="99">
        <v>699392.50000000035</v>
      </c>
      <c r="E197" s="99">
        <v>776313.5000000007</v>
      </c>
      <c r="F197" s="99">
        <v>836773.49999999977</v>
      </c>
      <c r="G197" s="99">
        <v>0</v>
      </c>
      <c r="H197" s="98" t="s">
        <v>225</v>
      </c>
      <c r="I197" s="99">
        <v>0</v>
      </c>
      <c r="J197" s="98" t="s">
        <v>225</v>
      </c>
      <c r="K197" s="99">
        <v>0</v>
      </c>
      <c r="L197" s="98" t="s">
        <v>225</v>
      </c>
      <c r="M197" s="98" t="s">
        <v>225</v>
      </c>
      <c r="N197" s="99">
        <v>0</v>
      </c>
      <c r="O197" s="100">
        <v>0</v>
      </c>
      <c r="P197" s="100">
        <v>0</v>
      </c>
      <c r="Q197" s="100">
        <v>0</v>
      </c>
    </row>
    <row r="198" spans="1:17" x14ac:dyDescent="0.35">
      <c r="A198" s="98" t="s">
        <v>10</v>
      </c>
      <c r="B198" s="98" t="s">
        <v>146</v>
      </c>
      <c r="C198" s="98" t="s">
        <v>233</v>
      </c>
      <c r="D198" s="99">
        <v>699392.50000000035</v>
      </c>
      <c r="E198" s="99">
        <v>776313.5000000007</v>
      </c>
      <c r="F198" s="99">
        <v>836773.49999999977</v>
      </c>
      <c r="G198" s="99">
        <v>0</v>
      </c>
      <c r="H198" s="98" t="s">
        <v>225</v>
      </c>
      <c r="I198" s="99">
        <v>161</v>
      </c>
      <c r="J198" s="98" t="s">
        <v>229</v>
      </c>
      <c r="K198" s="99">
        <v>161</v>
      </c>
      <c r="L198" s="98" t="s">
        <v>229</v>
      </c>
      <c r="M198" s="98" t="s">
        <v>225</v>
      </c>
      <c r="N198" s="99">
        <v>161</v>
      </c>
      <c r="O198" s="100">
        <v>0</v>
      </c>
      <c r="P198" s="100">
        <v>2.0739044213452407</v>
      </c>
      <c r="Q198" s="100">
        <v>1.9240571074490294</v>
      </c>
    </row>
    <row r="199" spans="1:17" x14ac:dyDescent="0.35">
      <c r="A199" s="98" t="s">
        <v>10</v>
      </c>
      <c r="B199" s="98" t="s">
        <v>146</v>
      </c>
      <c r="C199" s="98" t="s">
        <v>234</v>
      </c>
      <c r="D199" s="99">
        <v>699392.50000000035</v>
      </c>
      <c r="E199" s="99">
        <v>776313.5000000007</v>
      </c>
      <c r="F199" s="99">
        <v>836773.49999999977</v>
      </c>
      <c r="G199" s="99">
        <v>0</v>
      </c>
      <c r="H199" s="98" t="s">
        <v>225</v>
      </c>
      <c r="I199" s="99">
        <v>0</v>
      </c>
      <c r="J199" s="98" t="s">
        <v>225</v>
      </c>
      <c r="K199" s="99">
        <v>0</v>
      </c>
      <c r="L199" s="98" t="s">
        <v>225</v>
      </c>
      <c r="M199" s="98" t="s">
        <v>225</v>
      </c>
      <c r="N199" s="99">
        <v>0</v>
      </c>
      <c r="O199" s="100">
        <v>0</v>
      </c>
      <c r="P199" s="100">
        <v>0</v>
      </c>
      <c r="Q199" s="100">
        <v>0</v>
      </c>
    </row>
    <row r="200" spans="1:17" x14ac:dyDescent="0.35">
      <c r="A200" s="98" t="s">
        <v>10</v>
      </c>
      <c r="B200" s="98" t="s">
        <v>146</v>
      </c>
      <c r="C200" s="98" t="s">
        <v>235</v>
      </c>
      <c r="D200" s="99">
        <v>699392.50000000035</v>
      </c>
      <c r="E200" s="99">
        <v>776313.5000000007</v>
      </c>
      <c r="F200" s="99">
        <v>836773.49999999977</v>
      </c>
      <c r="G200" s="99">
        <v>0</v>
      </c>
      <c r="H200" s="98" t="s">
        <v>225</v>
      </c>
      <c r="I200" s="99">
        <v>498</v>
      </c>
      <c r="J200" s="98" t="s">
        <v>229</v>
      </c>
      <c r="K200" s="99">
        <v>25</v>
      </c>
      <c r="L200" s="98">
        <v>2020</v>
      </c>
      <c r="M200" s="98" t="s">
        <v>226</v>
      </c>
      <c r="N200" s="99">
        <v>28.732466108010378</v>
      </c>
      <c r="O200" s="100">
        <v>0</v>
      </c>
      <c r="P200" s="100">
        <v>6.4149341728567073</v>
      </c>
      <c r="Q200" s="100">
        <v>0.34337208465624669</v>
      </c>
    </row>
    <row r="201" spans="1:17" x14ac:dyDescent="0.35">
      <c r="A201" s="98" t="s">
        <v>10</v>
      </c>
      <c r="B201" s="98" t="s">
        <v>146</v>
      </c>
      <c r="C201" s="98" t="s">
        <v>236</v>
      </c>
      <c r="D201" s="99">
        <v>699392.50000000035</v>
      </c>
      <c r="E201" s="99">
        <v>776313.5000000007</v>
      </c>
      <c r="F201" s="99">
        <v>836773.49999999977</v>
      </c>
      <c r="G201" s="99">
        <v>0</v>
      </c>
      <c r="H201" s="98" t="s">
        <v>225</v>
      </c>
      <c r="I201" s="99">
        <v>0</v>
      </c>
      <c r="J201" s="98" t="s">
        <v>225</v>
      </c>
      <c r="K201" s="99">
        <v>0</v>
      </c>
      <c r="L201" s="98" t="s">
        <v>225</v>
      </c>
      <c r="M201" s="98" t="s">
        <v>225</v>
      </c>
      <c r="N201" s="99">
        <v>0</v>
      </c>
      <c r="O201" s="100">
        <v>0</v>
      </c>
      <c r="P201" s="100">
        <v>0</v>
      </c>
      <c r="Q201" s="100">
        <v>0</v>
      </c>
    </row>
    <row r="202" spans="1:17" x14ac:dyDescent="0.35">
      <c r="A202" s="98" t="s">
        <v>10</v>
      </c>
      <c r="B202" s="98" t="s">
        <v>146</v>
      </c>
      <c r="C202" s="98" t="s">
        <v>237</v>
      </c>
      <c r="D202" s="99">
        <v>699392.50000000035</v>
      </c>
      <c r="E202" s="99">
        <v>776313.5000000007</v>
      </c>
      <c r="F202" s="99">
        <v>836773.49999999977</v>
      </c>
      <c r="G202" s="99">
        <v>0</v>
      </c>
      <c r="H202" s="98" t="s">
        <v>225</v>
      </c>
      <c r="I202" s="99">
        <v>0</v>
      </c>
      <c r="J202" s="98" t="s">
        <v>225</v>
      </c>
      <c r="K202" s="99">
        <v>0</v>
      </c>
      <c r="L202" s="98" t="s">
        <v>225</v>
      </c>
      <c r="M202" s="98" t="s">
        <v>225</v>
      </c>
      <c r="N202" s="99">
        <v>0</v>
      </c>
      <c r="O202" s="100">
        <v>0</v>
      </c>
      <c r="P202" s="100">
        <v>0</v>
      </c>
      <c r="Q202" s="100">
        <v>0</v>
      </c>
    </row>
    <row r="203" spans="1:17" x14ac:dyDescent="0.35">
      <c r="A203" s="98" t="s">
        <v>10</v>
      </c>
      <c r="B203" s="98" t="s">
        <v>146</v>
      </c>
      <c r="C203" s="98" t="s">
        <v>238</v>
      </c>
      <c r="D203" s="99">
        <v>699392.50000000035</v>
      </c>
      <c r="E203" s="99">
        <v>776313.5000000007</v>
      </c>
      <c r="F203" s="99">
        <v>836773.49999999977</v>
      </c>
      <c r="G203" s="99">
        <v>0</v>
      </c>
      <c r="H203" s="98" t="s">
        <v>225</v>
      </c>
      <c r="I203" s="99">
        <v>44</v>
      </c>
      <c r="J203" s="98" t="s">
        <v>229</v>
      </c>
      <c r="K203" s="99">
        <v>44</v>
      </c>
      <c r="L203" s="98" t="s">
        <v>229</v>
      </c>
      <c r="M203" s="98" t="s">
        <v>225</v>
      </c>
      <c r="N203" s="99">
        <v>44</v>
      </c>
      <c r="O203" s="100">
        <v>0</v>
      </c>
      <c r="P203" s="100">
        <v>0.56678133254155649</v>
      </c>
      <c r="Q203" s="100">
        <v>0.52582927160097703</v>
      </c>
    </row>
    <row r="204" spans="1:17" x14ac:dyDescent="0.35">
      <c r="A204" s="98" t="s">
        <v>10</v>
      </c>
      <c r="B204" s="98" t="s">
        <v>146</v>
      </c>
      <c r="C204" s="98" t="s">
        <v>239</v>
      </c>
      <c r="D204" s="99">
        <v>699392.50000000035</v>
      </c>
      <c r="E204" s="99">
        <v>776313.5000000007</v>
      </c>
      <c r="F204" s="99">
        <v>836773.49999999977</v>
      </c>
      <c r="G204" s="99">
        <v>0</v>
      </c>
      <c r="H204" s="98" t="s">
        <v>225</v>
      </c>
      <c r="I204" s="99">
        <v>115</v>
      </c>
      <c r="J204" s="98" t="s">
        <v>229</v>
      </c>
      <c r="K204" s="99">
        <v>115</v>
      </c>
      <c r="L204" s="98" t="s">
        <v>229</v>
      </c>
      <c r="M204" s="98" t="s">
        <v>225</v>
      </c>
      <c r="N204" s="99">
        <v>115</v>
      </c>
      <c r="O204" s="100">
        <v>0</v>
      </c>
      <c r="P204" s="100">
        <v>1.4813603009608862</v>
      </c>
      <c r="Q204" s="100">
        <v>1.3743265053207354</v>
      </c>
    </row>
    <row r="205" spans="1:17" x14ac:dyDescent="0.35">
      <c r="A205" s="98" t="s">
        <v>10</v>
      </c>
      <c r="B205" s="98" t="s">
        <v>146</v>
      </c>
      <c r="C205" s="98" t="s">
        <v>240</v>
      </c>
      <c r="D205" s="99">
        <v>699392.50000000035</v>
      </c>
      <c r="E205" s="99">
        <v>776313.5000000007</v>
      </c>
      <c r="F205" s="99">
        <v>836773.49999999977</v>
      </c>
      <c r="G205" s="99">
        <v>86</v>
      </c>
      <c r="H205" s="98">
        <v>2012</v>
      </c>
      <c r="I205" s="99">
        <v>8</v>
      </c>
      <c r="J205" s="98">
        <v>2018</v>
      </c>
      <c r="K205" s="99">
        <v>16</v>
      </c>
      <c r="L205" s="98">
        <v>2020</v>
      </c>
      <c r="M205" s="98" t="s">
        <v>225</v>
      </c>
      <c r="N205" s="99">
        <v>16</v>
      </c>
      <c r="O205" s="100">
        <v>1.2296385791955156</v>
      </c>
      <c r="P205" s="100">
        <v>0.10305115137119208</v>
      </c>
      <c r="Q205" s="100">
        <v>0.19121064421853709</v>
      </c>
    </row>
    <row r="206" spans="1:17" x14ac:dyDescent="0.35">
      <c r="A206" s="98" t="s">
        <v>10</v>
      </c>
      <c r="B206" s="98" t="s">
        <v>146</v>
      </c>
      <c r="C206" s="98" t="s">
        <v>241</v>
      </c>
      <c r="D206" s="99">
        <v>699392.50000000035</v>
      </c>
      <c r="E206" s="99">
        <v>776313.5000000007</v>
      </c>
      <c r="F206" s="99">
        <v>836773.49999999977</v>
      </c>
      <c r="G206" s="99">
        <v>0</v>
      </c>
      <c r="H206" s="98" t="s">
        <v>225</v>
      </c>
      <c r="I206" s="99">
        <v>0</v>
      </c>
      <c r="J206" s="98" t="s">
        <v>225</v>
      </c>
      <c r="K206" s="99">
        <v>0</v>
      </c>
      <c r="L206" s="98" t="s">
        <v>225</v>
      </c>
      <c r="M206" s="98" t="s">
        <v>225</v>
      </c>
      <c r="N206" s="99">
        <v>0</v>
      </c>
      <c r="O206" s="100">
        <v>0</v>
      </c>
      <c r="P206" s="100">
        <v>0</v>
      </c>
      <c r="Q206" s="100">
        <v>0</v>
      </c>
    </row>
    <row r="207" spans="1:17" x14ac:dyDescent="0.35">
      <c r="A207" s="98" t="s">
        <v>10</v>
      </c>
      <c r="B207" s="98" t="s">
        <v>146</v>
      </c>
      <c r="C207" s="98" t="s">
        <v>242</v>
      </c>
      <c r="D207" s="99">
        <v>699392.50000000035</v>
      </c>
      <c r="E207" s="99">
        <v>776313.5000000007</v>
      </c>
      <c r="F207" s="99">
        <v>836773.49999999977</v>
      </c>
      <c r="G207" s="99">
        <v>0</v>
      </c>
      <c r="H207" s="98" t="s">
        <v>225</v>
      </c>
      <c r="I207" s="99">
        <v>0</v>
      </c>
      <c r="J207" s="98" t="s">
        <v>225</v>
      </c>
      <c r="K207" s="99">
        <v>0</v>
      </c>
      <c r="L207" s="98" t="s">
        <v>225</v>
      </c>
      <c r="M207" s="98" t="s">
        <v>225</v>
      </c>
      <c r="N207" s="99">
        <v>0</v>
      </c>
      <c r="O207" s="100">
        <v>0</v>
      </c>
      <c r="P207" s="100">
        <v>0</v>
      </c>
      <c r="Q207" s="100">
        <v>0</v>
      </c>
    </row>
    <row r="208" spans="1:17" x14ac:dyDescent="0.35">
      <c r="A208" s="98" t="s">
        <v>10</v>
      </c>
      <c r="B208" s="98" t="s">
        <v>146</v>
      </c>
      <c r="C208" s="98" t="s">
        <v>243</v>
      </c>
      <c r="D208" s="99">
        <v>699392.50000000035</v>
      </c>
      <c r="E208" s="99">
        <v>776313.5000000007</v>
      </c>
      <c r="F208" s="99">
        <v>836773.49999999977</v>
      </c>
      <c r="G208" s="99">
        <v>0</v>
      </c>
      <c r="H208" s="98" t="s">
        <v>225</v>
      </c>
      <c r="I208" s="99">
        <v>0</v>
      </c>
      <c r="J208" s="98" t="s">
        <v>225</v>
      </c>
      <c r="K208" s="99">
        <v>0</v>
      </c>
      <c r="L208" s="98" t="s">
        <v>225</v>
      </c>
      <c r="M208" s="98" t="s">
        <v>225</v>
      </c>
      <c r="N208" s="99">
        <v>0</v>
      </c>
      <c r="O208" s="100">
        <v>0</v>
      </c>
      <c r="P208" s="100">
        <v>0</v>
      </c>
      <c r="Q208" s="100">
        <v>0</v>
      </c>
    </row>
    <row r="209" spans="1:17" x14ac:dyDescent="0.35">
      <c r="A209" s="98" t="s">
        <v>10</v>
      </c>
      <c r="B209" s="98" t="s">
        <v>146</v>
      </c>
      <c r="C209" s="98" t="s">
        <v>244</v>
      </c>
      <c r="D209" s="99">
        <v>699392.50000000035</v>
      </c>
      <c r="E209" s="99">
        <v>776313.5000000007</v>
      </c>
      <c r="F209" s="99">
        <v>836773.49999999977</v>
      </c>
      <c r="G209" s="99">
        <v>0</v>
      </c>
      <c r="H209" s="98" t="s">
        <v>225</v>
      </c>
      <c r="I209" s="99">
        <v>0</v>
      </c>
      <c r="J209" s="98" t="s">
        <v>225</v>
      </c>
      <c r="K209" s="99">
        <v>0</v>
      </c>
      <c r="L209" s="98" t="s">
        <v>225</v>
      </c>
      <c r="M209" s="98" t="s">
        <v>225</v>
      </c>
      <c r="N209" s="99">
        <v>0</v>
      </c>
      <c r="O209" s="100">
        <v>0</v>
      </c>
      <c r="P209" s="100">
        <v>0</v>
      </c>
      <c r="Q209" s="100">
        <v>0</v>
      </c>
    </row>
    <row r="210" spans="1:17" x14ac:dyDescent="0.35">
      <c r="A210" s="98" t="s">
        <v>10</v>
      </c>
      <c r="B210" s="98" t="s">
        <v>146</v>
      </c>
      <c r="C210" s="98" t="s">
        <v>245</v>
      </c>
      <c r="D210" s="99">
        <v>699392.50000000035</v>
      </c>
      <c r="E210" s="99">
        <v>776313.5000000007</v>
      </c>
      <c r="F210" s="99">
        <v>836773.49999999977</v>
      </c>
      <c r="G210" s="99">
        <v>0</v>
      </c>
      <c r="H210" s="98" t="s">
        <v>225</v>
      </c>
      <c r="I210" s="99">
        <v>0</v>
      </c>
      <c r="J210" s="98" t="s">
        <v>225</v>
      </c>
      <c r="K210" s="99">
        <v>0</v>
      </c>
      <c r="L210" s="98" t="s">
        <v>225</v>
      </c>
      <c r="M210" s="98" t="s">
        <v>225</v>
      </c>
      <c r="N210" s="99">
        <v>0</v>
      </c>
      <c r="O210" s="100">
        <v>0</v>
      </c>
      <c r="P210" s="100">
        <v>0</v>
      </c>
      <c r="Q210" s="100">
        <v>0</v>
      </c>
    </row>
    <row r="211" spans="1:17" x14ac:dyDescent="0.35">
      <c r="A211" s="98" t="s">
        <v>70</v>
      </c>
      <c r="B211" s="98" t="s">
        <v>142</v>
      </c>
      <c r="C211" s="98" t="s">
        <v>224</v>
      </c>
      <c r="D211" s="99">
        <v>539939.99999999988</v>
      </c>
      <c r="E211" s="99">
        <v>571201.5</v>
      </c>
      <c r="F211" s="99">
        <v>593149.50000000012</v>
      </c>
      <c r="G211" s="99">
        <v>0</v>
      </c>
      <c r="H211" s="98" t="s">
        <v>225</v>
      </c>
      <c r="I211" s="99">
        <v>117</v>
      </c>
      <c r="J211" s="98">
        <v>2018</v>
      </c>
      <c r="K211" s="99">
        <v>155</v>
      </c>
      <c r="L211" s="98">
        <v>2022</v>
      </c>
      <c r="M211" s="98" t="s">
        <v>225</v>
      </c>
      <c r="N211" s="99">
        <v>155</v>
      </c>
      <c r="O211" s="100">
        <v>0</v>
      </c>
      <c r="P211" s="100">
        <v>2.0483139487553865</v>
      </c>
      <c r="Q211" s="100">
        <v>2.613169192589726</v>
      </c>
    </row>
    <row r="212" spans="1:17" x14ac:dyDescent="0.35">
      <c r="A212" s="98" t="s">
        <v>70</v>
      </c>
      <c r="B212" s="98" t="s">
        <v>142</v>
      </c>
      <c r="C212" s="98" t="s">
        <v>227</v>
      </c>
      <c r="D212" s="99">
        <v>539939.99999999988</v>
      </c>
      <c r="E212" s="99">
        <v>571201.5</v>
      </c>
      <c r="F212" s="99">
        <v>593149.50000000012</v>
      </c>
      <c r="G212" s="99">
        <v>3781</v>
      </c>
      <c r="H212" s="98">
        <v>2013</v>
      </c>
      <c r="I212" s="99">
        <v>18</v>
      </c>
      <c r="J212" s="98" t="s">
        <v>229</v>
      </c>
      <c r="K212" s="99">
        <v>6</v>
      </c>
      <c r="L212" s="98">
        <v>2021</v>
      </c>
      <c r="M212" s="98" t="s">
        <v>226</v>
      </c>
      <c r="N212" s="99">
        <v>7.4605597964376598</v>
      </c>
      <c r="O212" s="100">
        <v>70.026299218431689</v>
      </c>
      <c r="P212" s="100">
        <v>0.31512522288544409</v>
      </c>
      <c r="Q212" s="100">
        <v>0.12577874206144757</v>
      </c>
    </row>
    <row r="213" spans="1:17" x14ac:dyDescent="0.35">
      <c r="A213" s="98" t="s">
        <v>70</v>
      </c>
      <c r="B213" s="98" t="s">
        <v>142</v>
      </c>
      <c r="C213" s="98" t="s">
        <v>228</v>
      </c>
      <c r="D213" s="99">
        <v>539939.99999999988</v>
      </c>
      <c r="E213" s="99">
        <v>571201.5</v>
      </c>
      <c r="F213" s="99">
        <v>593149.50000000012</v>
      </c>
      <c r="G213" s="99">
        <v>3881</v>
      </c>
      <c r="H213" s="98">
        <v>2013</v>
      </c>
      <c r="I213" s="99">
        <v>3207</v>
      </c>
      <c r="J213" s="98">
        <v>2018</v>
      </c>
      <c r="K213" s="99">
        <v>353</v>
      </c>
      <c r="L213" s="98">
        <v>2021</v>
      </c>
      <c r="M213" s="98" t="s">
        <v>226</v>
      </c>
      <c r="N213" s="99">
        <v>438.92960135708233</v>
      </c>
      <c r="O213" s="100">
        <v>71.878356854465324</v>
      </c>
      <c r="P213" s="100">
        <v>56.144810544089957</v>
      </c>
      <c r="Q213" s="100">
        <v>7.399982657948498</v>
      </c>
    </row>
    <row r="214" spans="1:17" x14ac:dyDescent="0.35">
      <c r="A214" s="98" t="s">
        <v>70</v>
      </c>
      <c r="B214" s="98" t="s">
        <v>142</v>
      </c>
      <c r="C214" s="98" t="s">
        <v>230</v>
      </c>
      <c r="D214" s="99">
        <v>539939.99999999988</v>
      </c>
      <c r="E214" s="99">
        <v>571201.5</v>
      </c>
      <c r="F214" s="99">
        <v>593149.50000000012</v>
      </c>
      <c r="G214" s="99">
        <v>0</v>
      </c>
      <c r="H214" s="98" t="s">
        <v>225</v>
      </c>
      <c r="I214" s="99">
        <v>149</v>
      </c>
      <c r="J214" s="98" t="s">
        <v>229</v>
      </c>
      <c r="K214" s="99">
        <v>149</v>
      </c>
      <c r="L214" s="98" t="s">
        <v>229</v>
      </c>
      <c r="M214" s="98" t="s">
        <v>225</v>
      </c>
      <c r="N214" s="99">
        <v>149</v>
      </c>
      <c r="O214" s="100">
        <v>0</v>
      </c>
      <c r="P214" s="100">
        <v>2.6085365672183984</v>
      </c>
      <c r="Q214" s="100">
        <v>2.5120142561023817</v>
      </c>
    </row>
    <row r="215" spans="1:17" x14ac:dyDescent="0.35">
      <c r="A215" s="98" t="s">
        <v>70</v>
      </c>
      <c r="B215" s="98" t="s">
        <v>142</v>
      </c>
      <c r="C215" s="98" t="s">
        <v>231</v>
      </c>
      <c r="D215" s="99">
        <v>539939.99999999988</v>
      </c>
      <c r="E215" s="99">
        <v>571201.5</v>
      </c>
      <c r="F215" s="99">
        <v>593149.50000000012</v>
      </c>
      <c r="G215" s="99">
        <v>0</v>
      </c>
      <c r="H215" s="98" t="s">
        <v>225</v>
      </c>
      <c r="I215" s="99">
        <v>61</v>
      </c>
      <c r="J215" s="98" t="s">
        <v>229</v>
      </c>
      <c r="K215" s="99">
        <v>61</v>
      </c>
      <c r="L215" s="98" t="s">
        <v>229</v>
      </c>
      <c r="M215" s="98" t="s">
        <v>225</v>
      </c>
      <c r="N215" s="99">
        <v>61</v>
      </c>
      <c r="O215" s="100">
        <v>0</v>
      </c>
      <c r="P215" s="100">
        <v>1.0679243664451161</v>
      </c>
      <c r="Q215" s="100">
        <v>1.0284085209546663</v>
      </c>
    </row>
    <row r="216" spans="1:17" x14ac:dyDescent="0.35">
      <c r="A216" s="98" t="s">
        <v>70</v>
      </c>
      <c r="B216" s="98" t="s">
        <v>142</v>
      </c>
      <c r="C216" s="98" t="s">
        <v>232</v>
      </c>
      <c r="D216" s="99">
        <v>539939.99999999988</v>
      </c>
      <c r="E216" s="99">
        <v>571201.5</v>
      </c>
      <c r="F216" s="99">
        <v>593149.50000000012</v>
      </c>
      <c r="G216" s="99">
        <v>0</v>
      </c>
      <c r="H216" s="98" t="s">
        <v>225</v>
      </c>
      <c r="I216" s="99">
        <v>20</v>
      </c>
      <c r="J216" s="98" t="s">
        <v>229</v>
      </c>
      <c r="K216" s="99">
        <v>20</v>
      </c>
      <c r="L216" s="98" t="s">
        <v>229</v>
      </c>
      <c r="M216" s="98" t="s">
        <v>225</v>
      </c>
      <c r="N216" s="99">
        <v>20</v>
      </c>
      <c r="O216" s="100">
        <v>0</v>
      </c>
      <c r="P216" s="100">
        <v>0.35013913653938233</v>
      </c>
      <c r="Q216" s="100">
        <v>0.33718312162448077</v>
      </c>
    </row>
    <row r="217" spans="1:17" x14ac:dyDescent="0.35">
      <c r="A217" s="98" t="s">
        <v>70</v>
      </c>
      <c r="B217" s="98" t="s">
        <v>142</v>
      </c>
      <c r="C217" s="98" t="s">
        <v>233</v>
      </c>
      <c r="D217" s="99">
        <v>539939.99999999988</v>
      </c>
      <c r="E217" s="99">
        <v>571201.5</v>
      </c>
      <c r="F217" s="99">
        <v>593149.50000000012</v>
      </c>
      <c r="G217" s="99">
        <v>0</v>
      </c>
      <c r="H217" s="98" t="s">
        <v>225</v>
      </c>
      <c r="I217" s="99">
        <v>65</v>
      </c>
      <c r="J217" s="98">
        <v>2018</v>
      </c>
      <c r="K217" s="99">
        <v>65</v>
      </c>
      <c r="L217" s="98">
        <v>2018</v>
      </c>
      <c r="M217" s="98" t="s">
        <v>225</v>
      </c>
      <c r="N217" s="99">
        <v>65</v>
      </c>
      <c r="O217" s="100">
        <v>0</v>
      </c>
      <c r="P217" s="100">
        <v>1.1379521937529926</v>
      </c>
      <c r="Q217" s="100">
        <v>1.0958451452795626</v>
      </c>
    </row>
    <row r="218" spans="1:17" x14ac:dyDescent="0.35">
      <c r="A218" s="98" t="s">
        <v>70</v>
      </c>
      <c r="B218" s="98" t="s">
        <v>142</v>
      </c>
      <c r="C218" s="98" t="s">
        <v>234</v>
      </c>
      <c r="D218" s="99">
        <v>539939.99999999988</v>
      </c>
      <c r="E218" s="99">
        <v>571201.5</v>
      </c>
      <c r="F218" s="99">
        <v>593149.50000000012</v>
      </c>
      <c r="G218" s="99">
        <v>0</v>
      </c>
      <c r="H218" s="98" t="s">
        <v>225</v>
      </c>
      <c r="I218" s="99">
        <v>3</v>
      </c>
      <c r="J218" s="98" t="s">
        <v>229</v>
      </c>
      <c r="K218" s="99">
        <v>3</v>
      </c>
      <c r="L218" s="98" t="s">
        <v>229</v>
      </c>
      <c r="M218" s="98" t="s">
        <v>225</v>
      </c>
      <c r="N218" s="99">
        <v>3</v>
      </c>
      <c r="O218" s="100">
        <v>0</v>
      </c>
      <c r="P218" s="100">
        <v>5.2520870480907353E-2</v>
      </c>
      <c r="Q218" s="100">
        <v>5.0577468243672118E-2</v>
      </c>
    </row>
    <row r="219" spans="1:17" x14ac:dyDescent="0.35">
      <c r="A219" s="98" t="s">
        <v>70</v>
      </c>
      <c r="B219" s="98" t="s">
        <v>142</v>
      </c>
      <c r="C219" s="98" t="s">
        <v>235</v>
      </c>
      <c r="D219" s="99">
        <v>539939.99999999988</v>
      </c>
      <c r="E219" s="99">
        <v>571201.5</v>
      </c>
      <c r="F219" s="99">
        <v>593149.50000000012</v>
      </c>
      <c r="G219" s="99">
        <v>0</v>
      </c>
      <c r="H219" s="98" t="s">
        <v>225</v>
      </c>
      <c r="I219" s="99">
        <v>27</v>
      </c>
      <c r="J219" s="98" t="s">
        <v>229</v>
      </c>
      <c r="K219" s="99">
        <v>27</v>
      </c>
      <c r="L219" s="98" t="s">
        <v>229</v>
      </c>
      <c r="M219" s="98" t="s">
        <v>225</v>
      </c>
      <c r="N219" s="99">
        <v>27</v>
      </c>
      <c r="O219" s="100">
        <v>0</v>
      </c>
      <c r="P219" s="100">
        <v>0.47268783432816613</v>
      </c>
      <c r="Q219" s="100">
        <v>0.45519721419304904</v>
      </c>
    </row>
    <row r="220" spans="1:17" x14ac:dyDescent="0.35">
      <c r="A220" s="98" t="s">
        <v>70</v>
      </c>
      <c r="B220" s="98" t="s">
        <v>142</v>
      </c>
      <c r="C220" s="98" t="s">
        <v>236</v>
      </c>
      <c r="D220" s="99">
        <v>539939.99999999988</v>
      </c>
      <c r="E220" s="99">
        <v>571201.5</v>
      </c>
      <c r="F220" s="99">
        <v>593149.50000000012</v>
      </c>
      <c r="G220" s="99">
        <v>0</v>
      </c>
      <c r="H220" s="98" t="s">
        <v>225</v>
      </c>
      <c r="I220" s="99">
        <v>14</v>
      </c>
      <c r="J220" s="98" t="s">
        <v>229</v>
      </c>
      <c r="K220" s="99">
        <v>14</v>
      </c>
      <c r="L220" s="98" t="s">
        <v>229</v>
      </c>
      <c r="M220" s="98" t="s">
        <v>225</v>
      </c>
      <c r="N220" s="99">
        <v>14</v>
      </c>
      <c r="O220" s="100">
        <v>0</v>
      </c>
      <c r="P220" s="100">
        <v>0.24509739557756763</v>
      </c>
      <c r="Q220" s="100">
        <v>0.23602818513713655</v>
      </c>
    </row>
    <row r="221" spans="1:17" x14ac:dyDescent="0.35">
      <c r="A221" s="98" t="s">
        <v>70</v>
      </c>
      <c r="B221" s="98" t="s">
        <v>142</v>
      </c>
      <c r="C221" s="98" t="s">
        <v>237</v>
      </c>
      <c r="D221" s="99">
        <v>539939.99999999988</v>
      </c>
      <c r="E221" s="99">
        <v>571201.5</v>
      </c>
      <c r="F221" s="99">
        <v>593149.50000000012</v>
      </c>
      <c r="G221" s="99">
        <v>0</v>
      </c>
      <c r="H221" s="98" t="s">
        <v>225</v>
      </c>
      <c r="I221" s="99">
        <v>40</v>
      </c>
      <c r="J221" s="98" t="s">
        <v>229</v>
      </c>
      <c r="K221" s="99">
        <v>4</v>
      </c>
      <c r="L221" s="98">
        <v>2022</v>
      </c>
      <c r="M221" s="98" t="s">
        <v>226</v>
      </c>
      <c r="N221" s="99">
        <v>4.9737065309584398</v>
      </c>
      <c r="O221" s="100">
        <v>0</v>
      </c>
      <c r="P221" s="100">
        <v>0.70027827307876467</v>
      </c>
      <c r="Q221" s="100">
        <v>8.3852494707631689E-2</v>
      </c>
    </row>
    <row r="222" spans="1:17" x14ac:dyDescent="0.35">
      <c r="A222" s="98" t="s">
        <v>70</v>
      </c>
      <c r="B222" s="98" t="s">
        <v>142</v>
      </c>
      <c r="C222" s="98" t="s">
        <v>238</v>
      </c>
      <c r="D222" s="99">
        <v>539939.99999999988</v>
      </c>
      <c r="E222" s="99">
        <v>571201.5</v>
      </c>
      <c r="F222" s="99">
        <v>593149.50000000012</v>
      </c>
      <c r="G222" s="99">
        <v>0</v>
      </c>
      <c r="H222" s="98" t="s">
        <v>225</v>
      </c>
      <c r="I222" s="99">
        <v>1357</v>
      </c>
      <c r="J222" s="98" t="s">
        <v>229</v>
      </c>
      <c r="K222" s="99">
        <v>1357</v>
      </c>
      <c r="L222" s="98" t="s">
        <v>229</v>
      </c>
      <c r="M222" s="98" t="s">
        <v>225</v>
      </c>
      <c r="N222" s="99">
        <v>1357</v>
      </c>
      <c r="O222" s="100">
        <v>0</v>
      </c>
      <c r="P222" s="100">
        <v>23.756940414197093</v>
      </c>
      <c r="Q222" s="100">
        <v>22.877874802221022</v>
      </c>
    </row>
    <row r="223" spans="1:17" x14ac:dyDescent="0.35">
      <c r="A223" s="98" t="s">
        <v>70</v>
      </c>
      <c r="B223" s="98" t="s">
        <v>142</v>
      </c>
      <c r="C223" s="98" t="s">
        <v>239</v>
      </c>
      <c r="D223" s="99">
        <v>539939.99999999988</v>
      </c>
      <c r="E223" s="99">
        <v>571201.5</v>
      </c>
      <c r="F223" s="99">
        <v>593149.50000000012</v>
      </c>
      <c r="G223" s="99">
        <v>0</v>
      </c>
      <c r="H223" s="98" t="s">
        <v>225</v>
      </c>
      <c r="I223" s="99">
        <v>95</v>
      </c>
      <c r="J223" s="98" t="s">
        <v>229</v>
      </c>
      <c r="K223" s="99">
        <v>95</v>
      </c>
      <c r="L223" s="98" t="s">
        <v>229</v>
      </c>
      <c r="M223" s="98" t="s">
        <v>225</v>
      </c>
      <c r="N223" s="99">
        <v>95</v>
      </c>
      <c r="O223" s="100">
        <v>0</v>
      </c>
      <c r="P223" s="100">
        <v>1.6631608985620661</v>
      </c>
      <c r="Q223" s="100">
        <v>1.6016198277162836</v>
      </c>
    </row>
    <row r="224" spans="1:17" x14ac:dyDescent="0.35">
      <c r="A224" s="98" t="s">
        <v>70</v>
      </c>
      <c r="B224" s="98" t="s">
        <v>142</v>
      </c>
      <c r="C224" s="98" t="s">
        <v>240</v>
      </c>
      <c r="D224" s="99">
        <v>539939.99999999988</v>
      </c>
      <c r="E224" s="99">
        <v>571201.5</v>
      </c>
      <c r="F224" s="99">
        <v>593149.50000000012</v>
      </c>
      <c r="G224" s="99">
        <v>0</v>
      </c>
      <c r="H224" s="98" t="s">
        <v>225</v>
      </c>
      <c r="I224" s="99">
        <v>65</v>
      </c>
      <c r="J224" s="98" t="s">
        <v>229</v>
      </c>
      <c r="K224" s="99">
        <v>65</v>
      </c>
      <c r="L224" s="98" t="s">
        <v>229</v>
      </c>
      <c r="M224" s="98" t="s">
        <v>225</v>
      </c>
      <c r="N224" s="99">
        <v>65</v>
      </c>
      <c r="O224" s="100">
        <v>0</v>
      </c>
      <c r="P224" s="100">
        <v>1.1379521937529926</v>
      </c>
      <c r="Q224" s="100">
        <v>1.0958451452795626</v>
      </c>
    </row>
    <row r="225" spans="1:17" x14ac:dyDescent="0.35">
      <c r="A225" s="98" t="s">
        <v>70</v>
      </c>
      <c r="B225" s="98" t="s">
        <v>142</v>
      </c>
      <c r="C225" s="98" t="s">
        <v>241</v>
      </c>
      <c r="D225" s="99">
        <v>539939.99999999988</v>
      </c>
      <c r="E225" s="99">
        <v>571201.5</v>
      </c>
      <c r="F225" s="99">
        <v>593149.50000000012</v>
      </c>
      <c r="G225" s="99">
        <v>0</v>
      </c>
      <c r="H225" s="98" t="s">
        <v>225</v>
      </c>
      <c r="I225" s="99">
        <v>0</v>
      </c>
      <c r="J225" s="98" t="s">
        <v>225</v>
      </c>
      <c r="K225" s="99">
        <v>0</v>
      </c>
      <c r="L225" s="98" t="s">
        <v>225</v>
      </c>
      <c r="M225" s="98" t="s">
        <v>225</v>
      </c>
      <c r="N225" s="99">
        <v>0</v>
      </c>
      <c r="O225" s="100">
        <v>0</v>
      </c>
      <c r="P225" s="100">
        <v>0</v>
      </c>
      <c r="Q225" s="100">
        <v>0</v>
      </c>
    </row>
    <row r="226" spans="1:17" x14ac:dyDescent="0.35">
      <c r="A226" s="98" t="s">
        <v>70</v>
      </c>
      <c r="B226" s="98" t="s">
        <v>142</v>
      </c>
      <c r="C226" s="98" t="s">
        <v>242</v>
      </c>
      <c r="D226" s="99">
        <v>539939.99999999988</v>
      </c>
      <c r="E226" s="99">
        <v>571201.5</v>
      </c>
      <c r="F226" s="99">
        <v>593149.50000000012</v>
      </c>
      <c r="G226" s="99">
        <v>0</v>
      </c>
      <c r="H226" s="98" t="s">
        <v>225</v>
      </c>
      <c r="I226" s="99">
        <v>58</v>
      </c>
      <c r="J226" s="98" t="s">
        <v>229</v>
      </c>
      <c r="K226" s="99">
        <v>10</v>
      </c>
      <c r="L226" s="98">
        <v>2022</v>
      </c>
      <c r="M226" s="98" t="s">
        <v>226</v>
      </c>
      <c r="N226" s="99">
        <v>12.434266327396099</v>
      </c>
      <c r="O226" s="100">
        <v>0</v>
      </c>
      <c r="P226" s="100">
        <v>1.0154034959642089</v>
      </c>
      <c r="Q226" s="100">
        <v>0.20963123676907924</v>
      </c>
    </row>
    <row r="227" spans="1:17" x14ac:dyDescent="0.35">
      <c r="A227" s="98" t="s">
        <v>70</v>
      </c>
      <c r="B227" s="98" t="s">
        <v>142</v>
      </c>
      <c r="C227" s="98" t="s">
        <v>243</v>
      </c>
      <c r="D227" s="99">
        <v>539939.99999999988</v>
      </c>
      <c r="E227" s="99">
        <v>571201.5</v>
      </c>
      <c r="F227" s="99">
        <v>593149.50000000012</v>
      </c>
      <c r="G227" s="99">
        <v>0</v>
      </c>
      <c r="H227" s="98" t="s">
        <v>225</v>
      </c>
      <c r="I227" s="99">
        <v>0</v>
      </c>
      <c r="J227" s="98" t="s">
        <v>225</v>
      </c>
      <c r="K227" s="99">
        <v>0</v>
      </c>
      <c r="L227" s="98" t="s">
        <v>225</v>
      </c>
      <c r="M227" s="98" t="s">
        <v>225</v>
      </c>
      <c r="N227" s="99">
        <v>0</v>
      </c>
      <c r="O227" s="100">
        <v>0</v>
      </c>
      <c r="P227" s="100">
        <v>0</v>
      </c>
      <c r="Q227" s="100">
        <v>0</v>
      </c>
    </row>
    <row r="228" spans="1:17" x14ac:dyDescent="0.35">
      <c r="A228" s="98" t="s">
        <v>70</v>
      </c>
      <c r="B228" s="98" t="s">
        <v>142</v>
      </c>
      <c r="C228" s="98" t="s">
        <v>244</v>
      </c>
      <c r="D228" s="99">
        <v>539939.99999999988</v>
      </c>
      <c r="E228" s="99">
        <v>571201.5</v>
      </c>
      <c r="F228" s="99">
        <v>593149.50000000012</v>
      </c>
      <c r="G228" s="99">
        <v>0</v>
      </c>
      <c r="H228" s="98" t="s">
        <v>225</v>
      </c>
      <c r="I228" s="99">
        <v>0</v>
      </c>
      <c r="J228" s="98" t="s">
        <v>225</v>
      </c>
      <c r="K228" s="99">
        <v>0</v>
      </c>
      <c r="L228" s="98" t="s">
        <v>225</v>
      </c>
      <c r="M228" s="98" t="s">
        <v>225</v>
      </c>
      <c r="N228" s="99">
        <v>0</v>
      </c>
      <c r="O228" s="100">
        <v>0</v>
      </c>
      <c r="P228" s="100">
        <v>0</v>
      </c>
      <c r="Q228" s="100">
        <v>0</v>
      </c>
    </row>
    <row r="229" spans="1:17" x14ac:dyDescent="0.35">
      <c r="A229" s="98" t="s">
        <v>70</v>
      </c>
      <c r="B229" s="98" t="s">
        <v>142</v>
      </c>
      <c r="C229" s="98" t="s">
        <v>245</v>
      </c>
      <c r="D229" s="99">
        <v>539939.99999999988</v>
      </c>
      <c r="E229" s="99">
        <v>571201.5</v>
      </c>
      <c r="F229" s="99">
        <v>593149.50000000012</v>
      </c>
      <c r="G229" s="99">
        <v>0</v>
      </c>
      <c r="H229" s="98" t="s">
        <v>225</v>
      </c>
      <c r="I229" s="99">
        <v>1</v>
      </c>
      <c r="J229" s="98" t="s">
        <v>229</v>
      </c>
      <c r="K229" s="99">
        <v>1</v>
      </c>
      <c r="L229" s="98" t="s">
        <v>229</v>
      </c>
      <c r="M229" s="98" t="s">
        <v>225</v>
      </c>
      <c r="N229" s="99">
        <v>1</v>
      </c>
      <c r="O229" s="100">
        <v>0</v>
      </c>
      <c r="P229" s="100">
        <v>1.7506956826969115E-2</v>
      </c>
      <c r="Q229" s="100">
        <v>1.6859156081224038E-2</v>
      </c>
    </row>
    <row r="230" spans="1:17" x14ac:dyDescent="0.35">
      <c r="A230" s="98" t="s">
        <v>1</v>
      </c>
      <c r="B230" s="98" t="s">
        <v>136</v>
      </c>
      <c r="C230" s="98" t="s">
        <v>224</v>
      </c>
      <c r="D230" s="99">
        <v>38000626.500000022</v>
      </c>
      <c r="E230" s="99">
        <v>41927007.000000007</v>
      </c>
      <c r="F230" s="99">
        <v>44903225.000000007</v>
      </c>
      <c r="G230" s="99">
        <v>0</v>
      </c>
      <c r="H230" s="98" t="s">
        <v>225</v>
      </c>
      <c r="I230" s="99">
        <v>0</v>
      </c>
      <c r="J230" s="98" t="s">
        <v>225</v>
      </c>
      <c r="K230" s="99">
        <v>0</v>
      </c>
      <c r="L230" s="98" t="s">
        <v>225</v>
      </c>
      <c r="M230" s="98" t="s">
        <v>225</v>
      </c>
      <c r="N230" s="99">
        <v>0</v>
      </c>
      <c r="O230" s="100">
        <v>0</v>
      </c>
      <c r="P230" s="100">
        <v>0</v>
      </c>
      <c r="Q230" s="100">
        <v>0</v>
      </c>
    </row>
    <row r="231" spans="1:17" x14ac:dyDescent="0.35">
      <c r="A231" s="98" t="s">
        <v>1</v>
      </c>
      <c r="B231" s="98" t="s">
        <v>136</v>
      </c>
      <c r="C231" s="98" t="s">
        <v>227</v>
      </c>
      <c r="D231" s="99">
        <v>38000626.500000022</v>
      </c>
      <c r="E231" s="99">
        <v>41927007.000000007</v>
      </c>
      <c r="F231" s="99">
        <v>44903225.000000007</v>
      </c>
      <c r="G231" s="99">
        <v>1</v>
      </c>
      <c r="H231" s="98">
        <v>2013</v>
      </c>
      <c r="I231" s="99">
        <v>381</v>
      </c>
      <c r="J231" s="98" t="s">
        <v>229</v>
      </c>
      <c r="K231" s="99">
        <v>7</v>
      </c>
      <c r="L231" s="98" t="s">
        <v>229</v>
      </c>
      <c r="M231" s="98" t="s">
        <v>226</v>
      </c>
      <c r="N231" s="99">
        <v>7.9790405895099754</v>
      </c>
      <c r="O231" s="100">
        <v>2.6315355616571203E-4</v>
      </c>
      <c r="P231" s="100">
        <v>9.0872215133314893E-2</v>
      </c>
      <c r="Q231" s="100">
        <v>1.7769415425083553E-3</v>
      </c>
    </row>
    <row r="232" spans="1:17" x14ac:dyDescent="0.35">
      <c r="A232" s="98" t="s">
        <v>1</v>
      </c>
      <c r="B232" s="98" t="s">
        <v>136</v>
      </c>
      <c r="C232" s="98" t="s">
        <v>228</v>
      </c>
      <c r="D232" s="99">
        <v>38000626.500000022</v>
      </c>
      <c r="E232" s="99">
        <v>41927007.000000007</v>
      </c>
      <c r="F232" s="99">
        <v>44903225.000000007</v>
      </c>
      <c r="G232" s="99">
        <v>199</v>
      </c>
      <c r="H232" s="98">
        <v>2012</v>
      </c>
      <c r="I232" s="99">
        <v>1249</v>
      </c>
      <c r="J232" s="98" t="s">
        <v>229</v>
      </c>
      <c r="K232" s="99">
        <v>20</v>
      </c>
      <c r="L232" s="98" t="s">
        <v>229</v>
      </c>
      <c r="M232" s="98" t="s">
        <v>226</v>
      </c>
      <c r="N232" s="99">
        <v>22.797258827171358</v>
      </c>
      <c r="O232" s="100">
        <v>5.2367557676976692E-2</v>
      </c>
      <c r="P232" s="100">
        <v>0.29789867900658873</v>
      </c>
      <c r="Q232" s="100">
        <v>5.0769758357381576E-3</v>
      </c>
    </row>
    <row r="233" spans="1:17" x14ac:dyDescent="0.35">
      <c r="A233" s="98" t="s">
        <v>1</v>
      </c>
      <c r="B233" s="98" t="s">
        <v>136</v>
      </c>
      <c r="C233" s="98" t="s">
        <v>230</v>
      </c>
      <c r="D233" s="99">
        <v>38000626.500000022</v>
      </c>
      <c r="E233" s="99">
        <v>41927007.000000007</v>
      </c>
      <c r="F233" s="99">
        <v>44903225.000000007</v>
      </c>
      <c r="G233" s="99">
        <v>0</v>
      </c>
      <c r="H233" s="98" t="s">
        <v>225</v>
      </c>
      <c r="I233" s="99">
        <v>42507</v>
      </c>
      <c r="J233" s="98">
        <v>2018</v>
      </c>
      <c r="K233" s="99">
        <v>42507</v>
      </c>
      <c r="L233" s="98">
        <v>2018</v>
      </c>
      <c r="M233" s="98" t="s">
        <v>225</v>
      </c>
      <c r="N233" s="99">
        <v>42507</v>
      </c>
      <c r="O233" s="100">
        <v>0</v>
      </c>
      <c r="P233" s="100">
        <v>10.138333986015265</v>
      </c>
      <c r="Q233" s="100">
        <v>9.4663579286343005</v>
      </c>
    </row>
    <row r="234" spans="1:17" x14ac:dyDescent="0.35">
      <c r="A234" s="98" t="s">
        <v>1</v>
      </c>
      <c r="B234" s="98" t="s">
        <v>136</v>
      </c>
      <c r="C234" s="98" t="s">
        <v>231</v>
      </c>
      <c r="D234" s="99">
        <v>38000626.500000022</v>
      </c>
      <c r="E234" s="99">
        <v>41927007.000000007</v>
      </c>
      <c r="F234" s="99">
        <v>44903225.000000007</v>
      </c>
      <c r="G234" s="99">
        <v>0</v>
      </c>
      <c r="H234" s="98" t="s">
        <v>225</v>
      </c>
      <c r="I234" s="99">
        <v>10838</v>
      </c>
      <c r="J234" s="98" t="s">
        <v>229</v>
      </c>
      <c r="K234" s="99">
        <v>10838</v>
      </c>
      <c r="L234" s="98" t="s">
        <v>229</v>
      </c>
      <c r="M234" s="98" t="s">
        <v>225</v>
      </c>
      <c r="N234" s="99">
        <v>10838</v>
      </c>
      <c r="O234" s="100">
        <v>0</v>
      </c>
      <c r="P234" s="100">
        <v>2.5849686814038497</v>
      </c>
      <c r="Q234" s="100">
        <v>2.4136351008195955</v>
      </c>
    </row>
    <row r="235" spans="1:17" x14ac:dyDescent="0.35">
      <c r="A235" s="98" t="s">
        <v>1</v>
      </c>
      <c r="B235" s="98" t="s">
        <v>136</v>
      </c>
      <c r="C235" s="98" t="s">
        <v>232</v>
      </c>
      <c r="D235" s="99">
        <v>38000626.500000022</v>
      </c>
      <c r="E235" s="99">
        <v>41927007.000000007</v>
      </c>
      <c r="F235" s="99">
        <v>44903225.000000007</v>
      </c>
      <c r="G235" s="99">
        <v>0</v>
      </c>
      <c r="H235" s="98" t="s">
        <v>225</v>
      </c>
      <c r="I235" s="99">
        <v>836</v>
      </c>
      <c r="J235" s="98">
        <v>2018</v>
      </c>
      <c r="K235" s="99">
        <v>836</v>
      </c>
      <c r="L235" s="98">
        <v>2018</v>
      </c>
      <c r="M235" s="98" t="s">
        <v>225</v>
      </c>
      <c r="N235" s="99">
        <v>836</v>
      </c>
      <c r="O235" s="100">
        <v>0</v>
      </c>
      <c r="P235" s="100">
        <v>0.19939415184107939</v>
      </c>
      <c r="Q235" s="100">
        <v>0.18617816426325723</v>
      </c>
    </row>
    <row r="236" spans="1:17" x14ac:dyDescent="0.35">
      <c r="A236" s="98" t="s">
        <v>1</v>
      </c>
      <c r="B236" s="98" t="s">
        <v>136</v>
      </c>
      <c r="C236" s="98" t="s">
        <v>233</v>
      </c>
      <c r="D236" s="99">
        <v>38000626.500000022</v>
      </c>
      <c r="E236" s="99">
        <v>41927007.000000007</v>
      </c>
      <c r="F236" s="99">
        <v>44903225.000000007</v>
      </c>
      <c r="G236" s="99">
        <v>0</v>
      </c>
      <c r="H236" s="98" t="s">
        <v>225</v>
      </c>
      <c r="I236" s="99">
        <v>136</v>
      </c>
      <c r="J236" s="98">
        <v>2018</v>
      </c>
      <c r="K236" s="99">
        <v>136</v>
      </c>
      <c r="L236" s="98">
        <v>2018</v>
      </c>
      <c r="M236" s="98" t="s">
        <v>225</v>
      </c>
      <c r="N236" s="99">
        <v>136</v>
      </c>
      <c r="O236" s="100">
        <v>0</v>
      </c>
      <c r="P236" s="100">
        <v>3.243732613682631E-2</v>
      </c>
      <c r="Q236" s="100">
        <v>3.0287356865793043E-2</v>
      </c>
    </row>
    <row r="237" spans="1:17" x14ac:dyDescent="0.35">
      <c r="A237" s="98" t="s">
        <v>1</v>
      </c>
      <c r="B237" s="98" t="s">
        <v>136</v>
      </c>
      <c r="C237" s="98" t="s">
        <v>234</v>
      </c>
      <c r="D237" s="99">
        <v>38000626.500000022</v>
      </c>
      <c r="E237" s="99">
        <v>41927007.000000007</v>
      </c>
      <c r="F237" s="99">
        <v>44903225.000000007</v>
      </c>
      <c r="G237" s="99">
        <v>0</v>
      </c>
      <c r="H237" s="98" t="s">
        <v>225</v>
      </c>
      <c r="I237" s="99">
        <v>2227</v>
      </c>
      <c r="J237" s="98" t="s">
        <v>229</v>
      </c>
      <c r="K237" s="99">
        <v>2227</v>
      </c>
      <c r="L237" s="98" t="s">
        <v>229</v>
      </c>
      <c r="M237" s="98" t="s">
        <v>225</v>
      </c>
      <c r="N237" s="99">
        <v>2227</v>
      </c>
      <c r="O237" s="100">
        <v>0</v>
      </c>
      <c r="P237" s="100">
        <v>0.53116121549053086</v>
      </c>
      <c r="Q237" s="100">
        <v>0.49595546867736107</v>
      </c>
    </row>
    <row r="238" spans="1:17" x14ac:dyDescent="0.35">
      <c r="A238" s="98" t="s">
        <v>1</v>
      </c>
      <c r="B238" s="98" t="s">
        <v>136</v>
      </c>
      <c r="C238" s="98" t="s">
        <v>235</v>
      </c>
      <c r="D238" s="99">
        <v>38000626.500000022</v>
      </c>
      <c r="E238" s="99">
        <v>41927007.000000007</v>
      </c>
      <c r="F238" s="99">
        <v>44903225.000000007</v>
      </c>
      <c r="G238" s="99">
        <v>0</v>
      </c>
      <c r="H238" s="98" t="s">
        <v>225</v>
      </c>
      <c r="I238" s="99">
        <v>6245</v>
      </c>
      <c r="J238" s="98">
        <v>2018</v>
      </c>
      <c r="K238" s="99">
        <v>6245</v>
      </c>
      <c r="L238" s="98">
        <v>2018</v>
      </c>
      <c r="M238" s="98" t="s">
        <v>225</v>
      </c>
      <c r="N238" s="99">
        <v>6245</v>
      </c>
      <c r="O238" s="100">
        <v>0</v>
      </c>
      <c r="P238" s="100">
        <v>1.4894933950329436</v>
      </c>
      <c r="Q238" s="100">
        <v>1.3907687031388054</v>
      </c>
    </row>
    <row r="239" spans="1:17" x14ac:dyDescent="0.35">
      <c r="A239" s="98" t="s">
        <v>1</v>
      </c>
      <c r="B239" s="98" t="s">
        <v>136</v>
      </c>
      <c r="C239" s="98" t="s">
        <v>236</v>
      </c>
      <c r="D239" s="99">
        <v>38000626.500000022</v>
      </c>
      <c r="E239" s="99">
        <v>41927007.000000007</v>
      </c>
      <c r="F239" s="99">
        <v>44903225.000000007</v>
      </c>
      <c r="G239" s="99">
        <v>0</v>
      </c>
      <c r="H239" s="98" t="s">
        <v>225</v>
      </c>
      <c r="I239" s="99">
        <v>610</v>
      </c>
      <c r="J239" s="98" t="s">
        <v>229</v>
      </c>
      <c r="K239" s="99">
        <v>610</v>
      </c>
      <c r="L239" s="98" t="s">
        <v>229</v>
      </c>
      <c r="M239" s="98" t="s">
        <v>225</v>
      </c>
      <c r="N239" s="99">
        <v>610</v>
      </c>
      <c r="O239" s="100">
        <v>0</v>
      </c>
      <c r="P239" s="100">
        <v>0.14549094811370625</v>
      </c>
      <c r="Q239" s="100">
        <v>0.1358477035892188</v>
      </c>
    </row>
    <row r="240" spans="1:17" x14ac:dyDescent="0.35">
      <c r="A240" s="98" t="s">
        <v>1</v>
      </c>
      <c r="B240" s="98" t="s">
        <v>136</v>
      </c>
      <c r="C240" s="98" t="s">
        <v>237</v>
      </c>
      <c r="D240" s="99">
        <v>38000626.500000022</v>
      </c>
      <c r="E240" s="99">
        <v>41927007.000000007</v>
      </c>
      <c r="F240" s="99">
        <v>44903225.000000007</v>
      </c>
      <c r="G240" s="99">
        <v>0</v>
      </c>
      <c r="H240" s="98" t="s">
        <v>225</v>
      </c>
      <c r="I240" s="99">
        <v>1533</v>
      </c>
      <c r="J240" s="98">
        <v>2018</v>
      </c>
      <c r="K240" s="99">
        <v>1533</v>
      </c>
      <c r="L240" s="98">
        <v>2018</v>
      </c>
      <c r="M240" s="98" t="s">
        <v>225</v>
      </c>
      <c r="N240" s="99">
        <v>1533</v>
      </c>
      <c r="O240" s="100">
        <v>0</v>
      </c>
      <c r="P240" s="100">
        <v>0.36563544829231426</v>
      </c>
      <c r="Q240" s="100">
        <v>0.34140086820044657</v>
      </c>
    </row>
    <row r="241" spans="1:17" x14ac:dyDescent="0.35">
      <c r="A241" s="98" t="s">
        <v>1</v>
      </c>
      <c r="B241" s="98" t="s">
        <v>136</v>
      </c>
      <c r="C241" s="98" t="s">
        <v>238</v>
      </c>
      <c r="D241" s="99">
        <v>38000626.500000022</v>
      </c>
      <c r="E241" s="99">
        <v>41927007.000000007</v>
      </c>
      <c r="F241" s="99">
        <v>44903225.000000007</v>
      </c>
      <c r="G241" s="99">
        <v>0</v>
      </c>
      <c r="H241" s="98" t="s">
        <v>225</v>
      </c>
      <c r="I241" s="99">
        <v>76532</v>
      </c>
      <c r="J241" s="98" t="s">
        <v>229</v>
      </c>
      <c r="K241" s="99">
        <v>76532</v>
      </c>
      <c r="L241" s="98" t="s">
        <v>229</v>
      </c>
      <c r="M241" s="98" t="s">
        <v>225</v>
      </c>
      <c r="N241" s="99">
        <v>76532</v>
      </c>
      <c r="O241" s="100">
        <v>0</v>
      </c>
      <c r="P241" s="100">
        <v>18.253628263996994</v>
      </c>
      <c r="Q241" s="100">
        <v>17.043764673918183</v>
      </c>
    </row>
    <row r="242" spans="1:17" x14ac:dyDescent="0.35">
      <c r="A242" s="98" t="s">
        <v>1</v>
      </c>
      <c r="B242" s="98" t="s">
        <v>136</v>
      </c>
      <c r="C242" s="98" t="s">
        <v>239</v>
      </c>
      <c r="D242" s="99">
        <v>38000626.500000022</v>
      </c>
      <c r="E242" s="99">
        <v>41927007.000000007</v>
      </c>
      <c r="F242" s="99">
        <v>44903225.000000007</v>
      </c>
      <c r="G242" s="99">
        <v>0</v>
      </c>
      <c r="H242" s="98" t="s">
        <v>225</v>
      </c>
      <c r="I242" s="99">
        <v>75033</v>
      </c>
      <c r="J242" s="98">
        <v>2018</v>
      </c>
      <c r="K242" s="99">
        <v>75033</v>
      </c>
      <c r="L242" s="98">
        <v>2018</v>
      </c>
      <c r="M242" s="98" t="s">
        <v>225</v>
      </c>
      <c r="N242" s="99">
        <v>75033</v>
      </c>
      <c r="O242" s="100">
        <v>0</v>
      </c>
      <c r="P242" s="100">
        <v>17.896102147238889</v>
      </c>
      <c r="Q242" s="100">
        <v>16.709935644934188</v>
      </c>
    </row>
    <row r="243" spans="1:17" x14ac:dyDescent="0.35">
      <c r="A243" s="98" t="s">
        <v>1</v>
      </c>
      <c r="B243" s="98" t="s">
        <v>136</v>
      </c>
      <c r="C243" s="98" t="s">
        <v>240</v>
      </c>
      <c r="D243" s="99">
        <v>38000626.500000022</v>
      </c>
      <c r="E243" s="99">
        <v>41927007.000000007</v>
      </c>
      <c r="F243" s="99">
        <v>44903225.000000007</v>
      </c>
      <c r="G243" s="99">
        <v>0</v>
      </c>
      <c r="H243" s="98" t="s">
        <v>225</v>
      </c>
      <c r="I243" s="99">
        <v>15238</v>
      </c>
      <c r="J243" s="98">
        <v>2018</v>
      </c>
      <c r="K243" s="99">
        <v>15238</v>
      </c>
      <c r="L243" s="98">
        <v>2018</v>
      </c>
      <c r="M243" s="98" t="s">
        <v>225</v>
      </c>
      <c r="N243" s="99">
        <v>15238</v>
      </c>
      <c r="O243" s="100">
        <v>0</v>
      </c>
      <c r="P243" s="100">
        <v>3.6344115858305837</v>
      </c>
      <c r="Q243" s="100">
        <v>3.3935201758893703</v>
      </c>
    </row>
    <row r="244" spans="1:17" x14ac:dyDescent="0.35">
      <c r="A244" s="98" t="s">
        <v>1</v>
      </c>
      <c r="B244" s="98" t="s">
        <v>136</v>
      </c>
      <c r="C244" s="98" t="s">
        <v>241</v>
      </c>
      <c r="D244" s="99">
        <v>38000626.500000022</v>
      </c>
      <c r="E244" s="99">
        <v>41927007.000000007</v>
      </c>
      <c r="F244" s="99">
        <v>44903225.000000007</v>
      </c>
      <c r="G244" s="99">
        <v>0</v>
      </c>
      <c r="H244" s="98" t="s">
        <v>225</v>
      </c>
      <c r="I244" s="99">
        <v>365</v>
      </c>
      <c r="J244" s="98">
        <v>2018</v>
      </c>
      <c r="K244" s="99">
        <v>128823</v>
      </c>
      <c r="L244" s="98">
        <v>2018</v>
      </c>
      <c r="M244" s="98" t="s">
        <v>225</v>
      </c>
      <c r="N244" s="99">
        <v>128823</v>
      </c>
      <c r="O244" s="100">
        <v>0</v>
      </c>
      <c r="P244" s="100">
        <v>8.7056059117217671E-2</v>
      </c>
      <c r="Q244" s="100">
        <v>28.689030687662186</v>
      </c>
    </row>
    <row r="245" spans="1:17" x14ac:dyDescent="0.35">
      <c r="A245" s="98" t="s">
        <v>1</v>
      </c>
      <c r="B245" s="98" t="s">
        <v>136</v>
      </c>
      <c r="C245" s="98" t="s">
        <v>242</v>
      </c>
      <c r="D245" s="99">
        <v>38000626.500000022</v>
      </c>
      <c r="E245" s="99">
        <v>41927007.000000007</v>
      </c>
      <c r="F245" s="99">
        <v>44903225.000000007</v>
      </c>
      <c r="G245" s="99">
        <v>0</v>
      </c>
      <c r="H245" s="98" t="s">
        <v>225</v>
      </c>
      <c r="I245" s="99">
        <v>1971</v>
      </c>
      <c r="J245" s="98">
        <v>2018</v>
      </c>
      <c r="K245" s="99">
        <v>1971</v>
      </c>
      <c r="L245" s="98">
        <v>2018</v>
      </c>
      <c r="M245" s="98" t="s">
        <v>225</v>
      </c>
      <c r="N245" s="99">
        <v>1971</v>
      </c>
      <c r="O245" s="100">
        <v>0</v>
      </c>
      <c r="P245" s="100">
        <v>0.47010271923297547</v>
      </c>
      <c r="Q245" s="100">
        <v>0.43894397340057417</v>
      </c>
    </row>
    <row r="246" spans="1:17" x14ac:dyDescent="0.35">
      <c r="A246" s="98" t="s">
        <v>1</v>
      </c>
      <c r="B246" s="98" t="s">
        <v>136</v>
      </c>
      <c r="C246" s="98" t="s">
        <v>243</v>
      </c>
      <c r="D246" s="99">
        <v>38000626.500000022</v>
      </c>
      <c r="E246" s="99">
        <v>41927007.000000007</v>
      </c>
      <c r="F246" s="99">
        <v>44903225.000000007</v>
      </c>
      <c r="G246" s="99">
        <v>0</v>
      </c>
      <c r="H246" s="98" t="s">
        <v>225</v>
      </c>
      <c r="I246" s="99">
        <v>0</v>
      </c>
      <c r="J246" s="98" t="s">
        <v>225</v>
      </c>
      <c r="K246" s="99">
        <v>0</v>
      </c>
      <c r="L246" s="98" t="s">
        <v>225</v>
      </c>
      <c r="M246" s="98" t="s">
        <v>225</v>
      </c>
      <c r="N246" s="99">
        <v>0</v>
      </c>
      <c r="O246" s="100">
        <v>0</v>
      </c>
      <c r="P246" s="100">
        <v>0</v>
      </c>
      <c r="Q246" s="100">
        <v>0</v>
      </c>
    </row>
    <row r="247" spans="1:17" x14ac:dyDescent="0.35">
      <c r="A247" s="98" t="s">
        <v>1</v>
      </c>
      <c r="B247" s="98" t="s">
        <v>136</v>
      </c>
      <c r="C247" s="98" t="s">
        <v>244</v>
      </c>
      <c r="D247" s="99">
        <v>38000626.500000022</v>
      </c>
      <c r="E247" s="99">
        <v>41927007.000000007</v>
      </c>
      <c r="F247" s="99">
        <v>44903225.000000007</v>
      </c>
      <c r="G247" s="99">
        <v>0</v>
      </c>
      <c r="H247" s="98" t="s">
        <v>225</v>
      </c>
      <c r="I247" s="99">
        <v>0</v>
      </c>
      <c r="J247" s="98" t="s">
        <v>225</v>
      </c>
      <c r="K247" s="99">
        <v>0</v>
      </c>
      <c r="L247" s="98" t="s">
        <v>225</v>
      </c>
      <c r="M247" s="98" t="s">
        <v>225</v>
      </c>
      <c r="N247" s="99">
        <v>0</v>
      </c>
      <c r="O247" s="100">
        <v>0</v>
      </c>
      <c r="P247" s="100">
        <v>0</v>
      </c>
      <c r="Q247" s="100">
        <v>0</v>
      </c>
    </row>
    <row r="248" spans="1:17" x14ac:dyDescent="0.35">
      <c r="A248" s="98" t="s">
        <v>1</v>
      </c>
      <c r="B248" s="98" t="s">
        <v>136</v>
      </c>
      <c r="C248" s="98" t="s">
        <v>245</v>
      </c>
      <c r="D248" s="99">
        <v>38000626.500000022</v>
      </c>
      <c r="E248" s="99">
        <v>41927007.000000007</v>
      </c>
      <c r="F248" s="99">
        <v>44903225.000000007</v>
      </c>
      <c r="G248" s="99">
        <v>0</v>
      </c>
      <c r="H248" s="98" t="s">
        <v>225</v>
      </c>
      <c r="I248" s="99">
        <v>1</v>
      </c>
      <c r="J248" s="98" t="s">
        <v>229</v>
      </c>
      <c r="K248" s="99">
        <v>1</v>
      </c>
      <c r="L248" s="98" t="s">
        <v>229</v>
      </c>
      <c r="M248" s="98" t="s">
        <v>225</v>
      </c>
      <c r="N248" s="99">
        <v>1</v>
      </c>
      <c r="O248" s="100">
        <v>0</v>
      </c>
      <c r="P248" s="100">
        <v>2.3850975100607583E-4</v>
      </c>
      <c r="Q248" s="100">
        <v>2.2270115342494883E-4</v>
      </c>
    </row>
    <row r="249" spans="1:17" x14ac:dyDescent="0.35">
      <c r="A249" s="98" t="s">
        <v>15</v>
      </c>
      <c r="B249" s="98" t="s">
        <v>153</v>
      </c>
      <c r="C249" s="98" t="s">
        <v>224</v>
      </c>
      <c r="D249" s="99">
        <v>3296367</v>
      </c>
      <c r="E249" s="99">
        <v>3445374.4999999986</v>
      </c>
      <c r="F249" s="99">
        <v>3684031.5000000019</v>
      </c>
      <c r="G249" s="99">
        <v>0</v>
      </c>
      <c r="H249" s="98" t="s">
        <v>225</v>
      </c>
      <c r="I249" s="99">
        <v>243</v>
      </c>
      <c r="J249" s="98">
        <v>2018</v>
      </c>
      <c r="K249" s="99">
        <v>2626</v>
      </c>
      <c r="L249" s="98">
        <v>2021</v>
      </c>
      <c r="M249" s="98" t="s">
        <v>225</v>
      </c>
      <c r="N249" s="99">
        <v>2626</v>
      </c>
      <c r="O249" s="100">
        <v>0</v>
      </c>
      <c r="P249" s="100">
        <v>0.70529343036584291</v>
      </c>
      <c r="Q249" s="100">
        <v>7.1280606585475681</v>
      </c>
    </row>
    <row r="250" spans="1:17" x14ac:dyDescent="0.35">
      <c r="A250" s="98" t="s">
        <v>15</v>
      </c>
      <c r="B250" s="98" t="s">
        <v>153</v>
      </c>
      <c r="C250" s="98" t="s">
        <v>227</v>
      </c>
      <c r="D250" s="99">
        <v>3296367</v>
      </c>
      <c r="E250" s="99">
        <v>3445374.4999999986</v>
      </c>
      <c r="F250" s="99">
        <v>3684031.5000000019</v>
      </c>
      <c r="G250" s="99">
        <v>0</v>
      </c>
      <c r="H250" s="98" t="s">
        <v>225</v>
      </c>
      <c r="I250" s="99">
        <v>0</v>
      </c>
      <c r="J250" s="98" t="s">
        <v>225</v>
      </c>
      <c r="K250" s="99">
        <v>0</v>
      </c>
      <c r="L250" s="98" t="s">
        <v>225</v>
      </c>
      <c r="M250" s="98" t="s">
        <v>225</v>
      </c>
      <c r="N250" s="99">
        <v>0</v>
      </c>
      <c r="O250" s="100">
        <v>0</v>
      </c>
      <c r="P250" s="100">
        <v>0</v>
      </c>
      <c r="Q250" s="100">
        <v>0</v>
      </c>
    </row>
    <row r="251" spans="1:17" x14ac:dyDescent="0.35">
      <c r="A251" s="98" t="s">
        <v>15</v>
      </c>
      <c r="B251" s="98" t="s">
        <v>153</v>
      </c>
      <c r="C251" s="98" t="s">
        <v>228</v>
      </c>
      <c r="D251" s="99">
        <v>3296367</v>
      </c>
      <c r="E251" s="99">
        <v>3445374.4999999986</v>
      </c>
      <c r="F251" s="99">
        <v>3684031.5000000019</v>
      </c>
      <c r="G251" s="99">
        <v>0</v>
      </c>
      <c r="H251" s="98" t="s">
        <v>225</v>
      </c>
      <c r="I251" s="99">
        <v>243</v>
      </c>
      <c r="J251" s="98" t="s">
        <v>229</v>
      </c>
      <c r="K251" s="99">
        <v>243</v>
      </c>
      <c r="L251" s="98" t="s">
        <v>229</v>
      </c>
      <c r="M251" s="98" t="s">
        <v>225</v>
      </c>
      <c r="N251" s="99">
        <v>243</v>
      </c>
      <c r="O251" s="100">
        <v>0</v>
      </c>
      <c r="P251" s="100">
        <v>0.70529343036584291</v>
      </c>
      <c r="Q251" s="100">
        <v>0.65960348058913143</v>
      </c>
    </row>
    <row r="252" spans="1:17" x14ac:dyDescent="0.35">
      <c r="A252" s="98" t="s">
        <v>15</v>
      </c>
      <c r="B252" s="98" t="s">
        <v>153</v>
      </c>
      <c r="C252" s="98" t="s">
        <v>230</v>
      </c>
      <c r="D252" s="99">
        <v>3296367</v>
      </c>
      <c r="E252" s="99">
        <v>3445374.4999999986</v>
      </c>
      <c r="F252" s="99">
        <v>3684031.5000000019</v>
      </c>
      <c r="G252" s="99">
        <v>0</v>
      </c>
      <c r="H252" s="98" t="s">
        <v>225</v>
      </c>
      <c r="I252" s="99">
        <v>0</v>
      </c>
      <c r="J252" s="98" t="s">
        <v>225</v>
      </c>
      <c r="K252" s="99">
        <v>0</v>
      </c>
      <c r="L252" s="98" t="s">
        <v>225</v>
      </c>
      <c r="M252" s="98" t="s">
        <v>225</v>
      </c>
      <c r="N252" s="99">
        <v>0</v>
      </c>
      <c r="O252" s="100">
        <v>0</v>
      </c>
      <c r="P252" s="100">
        <v>0</v>
      </c>
      <c r="Q252" s="100">
        <v>0</v>
      </c>
    </row>
    <row r="253" spans="1:17" x14ac:dyDescent="0.35">
      <c r="A253" s="98" t="s">
        <v>15</v>
      </c>
      <c r="B253" s="98" t="s">
        <v>153</v>
      </c>
      <c r="C253" s="98" t="s">
        <v>231</v>
      </c>
      <c r="D253" s="99">
        <v>3296367</v>
      </c>
      <c r="E253" s="99">
        <v>3445374.4999999986</v>
      </c>
      <c r="F253" s="99">
        <v>3684031.5000000019</v>
      </c>
      <c r="G253" s="99">
        <v>0</v>
      </c>
      <c r="H253" s="98" t="s">
        <v>225</v>
      </c>
      <c r="I253" s="99">
        <v>0</v>
      </c>
      <c r="J253" s="98" t="s">
        <v>225</v>
      </c>
      <c r="K253" s="99">
        <v>381</v>
      </c>
      <c r="L253" s="98">
        <v>2022</v>
      </c>
      <c r="M253" s="98" t="s">
        <v>225</v>
      </c>
      <c r="N253" s="99">
        <v>381</v>
      </c>
      <c r="O253" s="100">
        <v>0</v>
      </c>
      <c r="P253" s="100">
        <v>0</v>
      </c>
      <c r="Q253" s="100">
        <v>1.0341931115409839</v>
      </c>
    </row>
    <row r="254" spans="1:17" x14ac:dyDescent="0.35">
      <c r="A254" s="98" t="s">
        <v>15</v>
      </c>
      <c r="B254" s="98" t="s">
        <v>153</v>
      </c>
      <c r="C254" s="98" t="s">
        <v>232</v>
      </c>
      <c r="D254" s="99">
        <v>3296367</v>
      </c>
      <c r="E254" s="99">
        <v>3445374.4999999986</v>
      </c>
      <c r="F254" s="99">
        <v>3684031.5000000019</v>
      </c>
      <c r="G254" s="99">
        <v>0</v>
      </c>
      <c r="H254" s="98" t="s">
        <v>225</v>
      </c>
      <c r="I254" s="99">
        <v>0</v>
      </c>
      <c r="J254" s="98" t="s">
        <v>225</v>
      </c>
      <c r="K254" s="99">
        <v>0</v>
      </c>
      <c r="L254" s="98" t="s">
        <v>225</v>
      </c>
      <c r="M254" s="98" t="s">
        <v>225</v>
      </c>
      <c r="N254" s="99">
        <v>0</v>
      </c>
      <c r="O254" s="100">
        <v>0</v>
      </c>
      <c r="P254" s="100">
        <v>0</v>
      </c>
      <c r="Q254" s="100">
        <v>0</v>
      </c>
    </row>
    <row r="255" spans="1:17" x14ac:dyDescent="0.35">
      <c r="A255" s="98" t="s">
        <v>15</v>
      </c>
      <c r="B255" s="98" t="s">
        <v>153</v>
      </c>
      <c r="C255" s="98" t="s">
        <v>233</v>
      </c>
      <c r="D255" s="99">
        <v>3296367</v>
      </c>
      <c r="E255" s="99">
        <v>3445374.4999999986</v>
      </c>
      <c r="F255" s="99">
        <v>3684031.5000000019</v>
      </c>
      <c r="G255" s="99">
        <v>0</v>
      </c>
      <c r="H255" s="98" t="s">
        <v>225</v>
      </c>
      <c r="I255" s="99">
        <v>549</v>
      </c>
      <c r="J255" s="98">
        <v>2018</v>
      </c>
      <c r="K255" s="99">
        <v>296</v>
      </c>
      <c r="L255" s="98">
        <v>2022</v>
      </c>
      <c r="M255" s="98" t="s">
        <v>226</v>
      </c>
      <c r="N255" s="99">
        <v>340.19239871884287</v>
      </c>
      <c r="O255" s="100">
        <v>0</v>
      </c>
      <c r="P255" s="100">
        <v>1.5934407130487562</v>
      </c>
      <c r="Q255" s="100">
        <v>0.92342423977331001</v>
      </c>
    </row>
    <row r="256" spans="1:17" x14ac:dyDescent="0.35">
      <c r="A256" s="98" t="s">
        <v>15</v>
      </c>
      <c r="B256" s="98" t="s">
        <v>153</v>
      </c>
      <c r="C256" s="98" t="s">
        <v>234</v>
      </c>
      <c r="D256" s="99">
        <v>3296367</v>
      </c>
      <c r="E256" s="99">
        <v>3445374.4999999986</v>
      </c>
      <c r="F256" s="99">
        <v>3684031.5000000019</v>
      </c>
      <c r="G256" s="99">
        <v>0</v>
      </c>
      <c r="H256" s="98" t="s">
        <v>225</v>
      </c>
      <c r="I256" s="99">
        <v>0</v>
      </c>
      <c r="J256" s="98" t="s">
        <v>225</v>
      </c>
      <c r="K256" s="99">
        <v>0</v>
      </c>
      <c r="L256" s="98" t="s">
        <v>225</v>
      </c>
      <c r="M256" s="98" t="s">
        <v>225</v>
      </c>
      <c r="N256" s="99">
        <v>0</v>
      </c>
      <c r="O256" s="100">
        <v>0</v>
      </c>
      <c r="P256" s="100">
        <v>0</v>
      </c>
      <c r="Q256" s="100">
        <v>0</v>
      </c>
    </row>
    <row r="257" spans="1:17" x14ac:dyDescent="0.35">
      <c r="A257" s="98" t="s">
        <v>15</v>
      </c>
      <c r="B257" s="98" t="s">
        <v>153</v>
      </c>
      <c r="C257" s="98" t="s">
        <v>235</v>
      </c>
      <c r="D257" s="99">
        <v>3296367</v>
      </c>
      <c r="E257" s="99">
        <v>3445374.4999999986</v>
      </c>
      <c r="F257" s="99">
        <v>3684031.5000000019</v>
      </c>
      <c r="G257" s="99">
        <v>0</v>
      </c>
      <c r="H257" s="98" t="s">
        <v>225</v>
      </c>
      <c r="I257" s="99">
        <v>113</v>
      </c>
      <c r="J257" s="98" t="s">
        <v>229</v>
      </c>
      <c r="K257" s="99">
        <v>141</v>
      </c>
      <c r="L257" s="98">
        <v>2022</v>
      </c>
      <c r="M257" s="98" t="s">
        <v>225</v>
      </c>
      <c r="N257" s="99">
        <v>141</v>
      </c>
      <c r="O257" s="100">
        <v>0</v>
      </c>
      <c r="P257" s="100">
        <v>0.32797595733061835</v>
      </c>
      <c r="Q257" s="100">
        <v>0.3827328837986318</v>
      </c>
    </row>
    <row r="258" spans="1:17" x14ac:dyDescent="0.35">
      <c r="A258" s="98" t="s">
        <v>15</v>
      </c>
      <c r="B258" s="98" t="s">
        <v>153</v>
      </c>
      <c r="C258" s="98" t="s">
        <v>236</v>
      </c>
      <c r="D258" s="99">
        <v>3296367</v>
      </c>
      <c r="E258" s="99">
        <v>3445374.4999999986</v>
      </c>
      <c r="F258" s="99">
        <v>3684031.5000000019</v>
      </c>
      <c r="G258" s="99">
        <v>0</v>
      </c>
      <c r="H258" s="98" t="s">
        <v>225</v>
      </c>
      <c r="I258" s="99">
        <v>0</v>
      </c>
      <c r="J258" s="98" t="s">
        <v>225</v>
      </c>
      <c r="K258" s="99">
        <v>0</v>
      </c>
      <c r="L258" s="98" t="s">
        <v>225</v>
      </c>
      <c r="M258" s="98" t="s">
        <v>225</v>
      </c>
      <c r="N258" s="99">
        <v>0</v>
      </c>
      <c r="O258" s="100">
        <v>0</v>
      </c>
      <c r="P258" s="100">
        <v>0</v>
      </c>
      <c r="Q258" s="100">
        <v>0</v>
      </c>
    </row>
    <row r="259" spans="1:17" x14ac:dyDescent="0.35">
      <c r="A259" s="98" t="s">
        <v>15</v>
      </c>
      <c r="B259" s="98" t="s">
        <v>153</v>
      </c>
      <c r="C259" s="98" t="s">
        <v>237</v>
      </c>
      <c r="D259" s="99">
        <v>3296367</v>
      </c>
      <c r="E259" s="99">
        <v>3445374.4999999986</v>
      </c>
      <c r="F259" s="99">
        <v>3684031.5000000019</v>
      </c>
      <c r="G259" s="99">
        <v>0</v>
      </c>
      <c r="H259" s="98" t="s">
        <v>225</v>
      </c>
      <c r="I259" s="99">
        <v>86</v>
      </c>
      <c r="J259" s="98" t="s">
        <v>229</v>
      </c>
      <c r="K259" s="99">
        <v>96</v>
      </c>
      <c r="L259" s="98">
        <v>2022</v>
      </c>
      <c r="M259" s="98" t="s">
        <v>225</v>
      </c>
      <c r="N259" s="99">
        <v>96</v>
      </c>
      <c r="O259" s="100">
        <v>0</v>
      </c>
      <c r="P259" s="100">
        <v>0.24961002062330245</v>
      </c>
      <c r="Q259" s="100">
        <v>0.26058409109694081</v>
      </c>
    </row>
    <row r="260" spans="1:17" x14ac:dyDescent="0.35">
      <c r="A260" s="98" t="s">
        <v>15</v>
      </c>
      <c r="B260" s="98" t="s">
        <v>153</v>
      </c>
      <c r="C260" s="98" t="s">
        <v>238</v>
      </c>
      <c r="D260" s="99">
        <v>3296367</v>
      </c>
      <c r="E260" s="99">
        <v>3445374.4999999986</v>
      </c>
      <c r="F260" s="99">
        <v>3684031.5000000019</v>
      </c>
      <c r="G260" s="99">
        <v>0</v>
      </c>
      <c r="H260" s="98" t="s">
        <v>225</v>
      </c>
      <c r="I260" s="99">
        <v>3563</v>
      </c>
      <c r="J260" s="98" t="s">
        <v>229</v>
      </c>
      <c r="K260" s="99">
        <v>3563</v>
      </c>
      <c r="L260" s="98" t="s">
        <v>229</v>
      </c>
      <c r="M260" s="98" t="s">
        <v>225</v>
      </c>
      <c r="N260" s="99">
        <v>3563</v>
      </c>
      <c r="O260" s="100">
        <v>0</v>
      </c>
      <c r="P260" s="100">
        <v>10.341401203265425</v>
      </c>
      <c r="Q260" s="100">
        <v>9.6714699643583337</v>
      </c>
    </row>
    <row r="261" spans="1:17" x14ac:dyDescent="0.35">
      <c r="A261" s="98" t="s">
        <v>15</v>
      </c>
      <c r="B261" s="98" t="s">
        <v>153</v>
      </c>
      <c r="C261" s="98" t="s">
        <v>239</v>
      </c>
      <c r="D261" s="99">
        <v>3296367</v>
      </c>
      <c r="E261" s="99">
        <v>3445374.4999999986</v>
      </c>
      <c r="F261" s="99">
        <v>3684031.5000000019</v>
      </c>
      <c r="G261" s="99">
        <v>0</v>
      </c>
      <c r="H261" s="98" t="s">
        <v>225</v>
      </c>
      <c r="I261" s="99">
        <v>0</v>
      </c>
      <c r="J261" s="98" t="s">
        <v>225</v>
      </c>
      <c r="K261" s="99">
        <v>0</v>
      </c>
      <c r="L261" s="98" t="s">
        <v>225</v>
      </c>
      <c r="M261" s="98" t="s">
        <v>225</v>
      </c>
      <c r="N261" s="99">
        <v>0</v>
      </c>
      <c r="O261" s="100">
        <v>0</v>
      </c>
      <c r="P261" s="100">
        <v>0</v>
      </c>
      <c r="Q261" s="100">
        <v>0</v>
      </c>
    </row>
    <row r="262" spans="1:17" x14ac:dyDescent="0.35">
      <c r="A262" s="98" t="s">
        <v>15</v>
      </c>
      <c r="B262" s="98" t="s">
        <v>153</v>
      </c>
      <c r="C262" s="98" t="s">
        <v>240</v>
      </c>
      <c r="D262" s="99">
        <v>3296367</v>
      </c>
      <c r="E262" s="99">
        <v>3445374.4999999986</v>
      </c>
      <c r="F262" s="99">
        <v>3684031.5000000019</v>
      </c>
      <c r="G262" s="99">
        <v>0</v>
      </c>
      <c r="H262" s="98" t="s">
        <v>225</v>
      </c>
      <c r="I262" s="99">
        <v>549</v>
      </c>
      <c r="J262" s="98" t="s">
        <v>229</v>
      </c>
      <c r="K262" s="99">
        <v>267</v>
      </c>
      <c r="L262" s="98">
        <v>2021</v>
      </c>
      <c r="M262" s="98" t="s">
        <v>226</v>
      </c>
      <c r="N262" s="99">
        <v>306.86273803355084</v>
      </c>
      <c r="O262" s="100">
        <v>0</v>
      </c>
      <c r="P262" s="100">
        <v>1.5934407130487562</v>
      </c>
      <c r="Q262" s="100">
        <v>0.83295362168741138</v>
      </c>
    </row>
    <row r="263" spans="1:17" x14ac:dyDescent="0.35">
      <c r="A263" s="98" t="s">
        <v>15</v>
      </c>
      <c r="B263" s="98" t="s">
        <v>153</v>
      </c>
      <c r="C263" s="98" t="s">
        <v>241</v>
      </c>
      <c r="D263" s="99">
        <v>3296367</v>
      </c>
      <c r="E263" s="99">
        <v>3445374.4999999986</v>
      </c>
      <c r="F263" s="99">
        <v>3684031.5000000019</v>
      </c>
      <c r="G263" s="99">
        <v>0</v>
      </c>
      <c r="H263" s="98" t="s">
        <v>225</v>
      </c>
      <c r="I263" s="99">
        <v>0</v>
      </c>
      <c r="J263" s="98" t="s">
        <v>225</v>
      </c>
      <c r="K263" s="99">
        <v>0</v>
      </c>
      <c r="L263" s="98" t="s">
        <v>225</v>
      </c>
      <c r="M263" s="98" t="s">
        <v>225</v>
      </c>
      <c r="N263" s="99">
        <v>0</v>
      </c>
      <c r="O263" s="100">
        <v>0</v>
      </c>
      <c r="P263" s="100">
        <v>0</v>
      </c>
      <c r="Q263" s="100">
        <v>0</v>
      </c>
    </row>
    <row r="264" spans="1:17" x14ac:dyDescent="0.35">
      <c r="A264" s="98" t="s">
        <v>15</v>
      </c>
      <c r="B264" s="98" t="s">
        <v>153</v>
      </c>
      <c r="C264" s="98" t="s">
        <v>242</v>
      </c>
      <c r="D264" s="99">
        <v>3296367</v>
      </c>
      <c r="E264" s="99">
        <v>3445374.4999999986</v>
      </c>
      <c r="F264" s="99">
        <v>3684031.5000000019</v>
      </c>
      <c r="G264" s="99">
        <v>0</v>
      </c>
      <c r="H264" s="98" t="s">
        <v>225</v>
      </c>
      <c r="I264" s="99">
        <v>137</v>
      </c>
      <c r="J264" s="98" t="s">
        <v>229</v>
      </c>
      <c r="K264" s="99">
        <v>130</v>
      </c>
      <c r="L264" s="98">
        <v>2022</v>
      </c>
      <c r="M264" s="98" t="s">
        <v>226</v>
      </c>
      <c r="N264" s="99">
        <v>149.40882376165396</v>
      </c>
      <c r="O264" s="100">
        <v>0</v>
      </c>
      <c r="P264" s="100">
        <v>0.39763456773712136</v>
      </c>
      <c r="Q264" s="100">
        <v>0.40555794314368349</v>
      </c>
    </row>
    <row r="265" spans="1:17" x14ac:dyDescent="0.35">
      <c r="A265" s="98" t="s">
        <v>15</v>
      </c>
      <c r="B265" s="98" t="s">
        <v>153</v>
      </c>
      <c r="C265" s="98" t="s">
        <v>243</v>
      </c>
      <c r="D265" s="99">
        <v>3296367</v>
      </c>
      <c r="E265" s="99">
        <v>3445374.4999999986</v>
      </c>
      <c r="F265" s="99">
        <v>3684031.5000000019</v>
      </c>
      <c r="G265" s="99">
        <v>0</v>
      </c>
      <c r="H265" s="98" t="s">
        <v>225</v>
      </c>
      <c r="I265" s="99">
        <v>0</v>
      </c>
      <c r="J265" s="98" t="s">
        <v>225</v>
      </c>
      <c r="K265" s="99">
        <v>6</v>
      </c>
      <c r="L265" s="98">
        <v>2021</v>
      </c>
      <c r="M265" s="98" t="s">
        <v>225</v>
      </c>
      <c r="N265" s="99">
        <v>6</v>
      </c>
      <c r="O265" s="100">
        <v>0</v>
      </c>
      <c r="P265" s="100">
        <v>0</v>
      </c>
      <c r="Q265" s="100">
        <v>1.62865056935588E-2</v>
      </c>
    </row>
    <row r="266" spans="1:17" x14ac:dyDescent="0.35">
      <c r="A266" s="98" t="s">
        <v>15</v>
      </c>
      <c r="B266" s="98" t="s">
        <v>153</v>
      </c>
      <c r="C266" s="98" t="s">
        <v>244</v>
      </c>
      <c r="D266" s="99">
        <v>3296367</v>
      </c>
      <c r="E266" s="99">
        <v>3445374.4999999986</v>
      </c>
      <c r="F266" s="99">
        <v>3684031.5000000019</v>
      </c>
      <c r="G266" s="99">
        <v>0</v>
      </c>
      <c r="H266" s="98" t="s">
        <v>225</v>
      </c>
      <c r="I266" s="99">
        <v>0</v>
      </c>
      <c r="J266" s="98" t="s">
        <v>225</v>
      </c>
      <c r="K266" s="99">
        <v>0</v>
      </c>
      <c r="L266" s="98" t="s">
        <v>225</v>
      </c>
      <c r="M266" s="98" t="s">
        <v>225</v>
      </c>
      <c r="N266" s="99">
        <v>0</v>
      </c>
      <c r="O266" s="100">
        <v>0</v>
      </c>
      <c r="P266" s="100">
        <v>0</v>
      </c>
      <c r="Q266" s="100">
        <v>0</v>
      </c>
    </row>
    <row r="267" spans="1:17" x14ac:dyDescent="0.35">
      <c r="A267" s="98" t="s">
        <v>15</v>
      </c>
      <c r="B267" s="98" t="s">
        <v>153</v>
      </c>
      <c r="C267" s="98" t="s">
        <v>245</v>
      </c>
      <c r="D267" s="99">
        <v>3296367</v>
      </c>
      <c r="E267" s="99">
        <v>3445374.4999999986</v>
      </c>
      <c r="F267" s="99">
        <v>3684031.5000000019</v>
      </c>
      <c r="G267" s="99">
        <v>0</v>
      </c>
      <c r="H267" s="98" t="s">
        <v>225</v>
      </c>
      <c r="I267" s="99">
        <v>0</v>
      </c>
      <c r="J267" s="98" t="s">
        <v>225</v>
      </c>
      <c r="K267" s="99">
        <v>0</v>
      </c>
      <c r="L267" s="98" t="s">
        <v>225</v>
      </c>
      <c r="M267" s="98" t="s">
        <v>225</v>
      </c>
      <c r="N267" s="99">
        <v>0</v>
      </c>
      <c r="O267" s="100">
        <v>0</v>
      </c>
      <c r="P267" s="100">
        <v>0</v>
      </c>
      <c r="Q267" s="100">
        <v>0</v>
      </c>
    </row>
    <row r="268" spans="1:17" x14ac:dyDescent="0.35">
      <c r="A268" s="98" t="s">
        <v>17</v>
      </c>
      <c r="B268" s="98" t="s">
        <v>155</v>
      </c>
      <c r="C268" s="98" t="s">
        <v>224</v>
      </c>
      <c r="D268" s="99">
        <v>97084366.00000003</v>
      </c>
      <c r="E268" s="99">
        <v>111129438.00000001</v>
      </c>
      <c r="F268" s="99">
        <v>123379924.50000004</v>
      </c>
      <c r="G268" s="99">
        <v>0</v>
      </c>
      <c r="H268" s="98" t="s">
        <v>225</v>
      </c>
      <c r="I268" s="99">
        <v>37259</v>
      </c>
      <c r="J268" s="98">
        <v>2018</v>
      </c>
      <c r="K268" s="99">
        <v>41101</v>
      </c>
      <c r="L268" s="98">
        <v>2022</v>
      </c>
      <c r="M268" s="98" t="s">
        <v>225</v>
      </c>
      <c r="N268" s="99">
        <v>41101</v>
      </c>
      <c r="O268" s="100">
        <v>0</v>
      </c>
      <c r="P268" s="100">
        <v>3.352756989556628</v>
      </c>
      <c r="Q268" s="100">
        <v>3.3312550778874876</v>
      </c>
    </row>
    <row r="269" spans="1:17" x14ac:dyDescent="0.35">
      <c r="A269" s="98" t="s">
        <v>17</v>
      </c>
      <c r="B269" s="98" t="s">
        <v>155</v>
      </c>
      <c r="C269" s="98" t="s">
        <v>227</v>
      </c>
      <c r="D269" s="99">
        <v>97084366.00000003</v>
      </c>
      <c r="E269" s="99">
        <v>111129438.00000001</v>
      </c>
      <c r="F269" s="99">
        <v>123379924.50000004</v>
      </c>
      <c r="G269" s="99">
        <v>50</v>
      </c>
      <c r="H269" s="98">
        <v>2012</v>
      </c>
      <c r="I269" s="99">
        <v>1385</v>
      </c>
      <c r="J269" s="98">
        <v>2018</v>
      </c>
      <c r="K269" s="99">
        <v>1385</v>
      </c>
      <c r="L269" s="98">
        <v>2018</v>
      </c>
      <c r="M269" s="98" t="s">
        <v>225</v>
      </c>
      <c r="N269" s="99">
        <v>1385</v>
      </c>
      <c r="O269" s="100">
        <v>5.1501598104889499E-3</v>
      </c>
      <c r="P269" s="100">
        <v>0.12462944337035159</v>
      </c>
      <c r="Q269" s="100">
        <v>0.11225489119179996</v>
      </c>
    </row>
    <row r="270" spans="1:17" x14ac:dyDescent="0.35">
      <c r="A270" s="98" t="s">
        <v>17</v>
      </c>
      <c r="B270" s="98" t="s">
        <v>155</v>
      </c>
      <c r="C270" s="98" t="s">
        <v>228</v>
      </c>
      <c r="D270" s="99">
        <v>97084366.00000003</v>
      </c>
      <c r="E270" s="99">
        <v>111129438.00000001</v>
      </c>
      <c r="F270" s="99">
        <v>123379924.50000004</v>
      </c>
      <c r="G270" s="99">
        <v>461</v>
      </c>
      <c r="H270" s="98">
        <v>2012</v>
      </c>
      <c r="I270" s="99">
        <v>2662</v>
      </c>
      <c r="J270" s="98" t="s">
        <v>229</v>
      </c>
      <c r="K270" s="99">
        <v>5410</v>
      </c>
      <c r="L270" s="98">
        <v>2022</v>
      </c>
      <c r="M270" s="98" t="s">
        <v>225</v>
      </c>
      <c r="N270" s="99">
        <v>5410</v>
      </c>
      <c r="O270" s="100">
        <v>4.748447345270812E-2</v>
      </c>
      <c r="P270" s="100">
        <v>0.2395404897125458</v>
      </c>
      <c r="Q270" s="100">
        <v>0.438483004583132</v>
      </c>
    </row>
    <row r="271" spans="1:17" x14ac:dyDescent="0.35">
      <c r="A271" s="98" t="s">
        <v>17</v>
      </c>
      <c r="B271" s="98" t="s">
        <v>155</v>
      </c>
      <c r="C271" s="98" t="s">
        <v>230</v>
      </c>
      <c r="D271" s="99">
        <v>97084366.00000003</v>
      </c>
      <c r="E271" s="99">
        <v>111129438.00000001</v>
      </c>
      <c r="F271" s="99">
        <v>123379924.50000004</v>
      </c>
      <c r="G271" s="99">
        <v>0</v>
      </c>
      <c r="H271" s="98" t="s">
        <v>225</v>
      </c>
      <c r="I271" s="99">
        <v>0</v>
      </c>
      <c r="J271" s="98" t="s">
        <v>225</v>
      </c>
      <c r="K271" s="99">
        <v>0</v>
      </c>
      <c r="L271" s="98" t="s">
        <v>225</v>
      </c>
      <c r="M271" s="98" t="s">
        <v>225</v>
      </c>
      <c r="N271" s="99">
        <v>0</v>
      </c>
      <c r="O271" s="100">
        <v>0</v>
      </c>
      <c r="P271" s="100">
        <v>0</v>
      </c>
      <c r="Q271" s="100">
        <v>0</v>
      </c>
    </row>
    <row r="272" spans="1:17" x14ac:dyDescent="0.35">
      <c r="A272" s="98" t="s">
        <v>17</v>
      </c>
      <c r="B272" s="98" t="s">
        <v>155</v>
      </c>
      <c r="C272" s="98" t="s">
        <v>231</v>
      </c>
      <c r="D272" s="99">
        <v>97084366.00000003</v>
      </c>
      <c r="E272" s="99">
        <v>111129438.00000001</v>
      </c>
      <c r="F272" s="99">
        <v>123379924.50000004</v>
      </c>
      <c r="G272" s="99">
        <v>0</v>
      </c>
      <c r="H272" s="98" t="s">
        <v>225</v>
      </c>
      <c r="I272" s="99">
        <v>4365</v>
      </c>
      <c r="J272" s="98" t="s">
        <v>229</v>
      </c>
      <c r="K272" s="99">
        <v>4365</v>
      </c>
      <c r="L272" s="98" t="s">
        <v>229</v>
      </c>
      <c r="M272" s="98" t="s">
        <v>225</v>
      </c>
      <c r="N272" s="99">
        <v>4365</v>
      </c>
      <c r="O272" s="100">
        <v>0</v>
      </c>
      <c r="P272" s="100">
        <v>0.39278521322136078</v>
      </c>
      <c r="Q272" s="100">
        <v>0.35378527079581723</v>
      </c>
    </row>
    <row r="273" spans="1:17" x14ac:dyDescent="0.35">
      <c r="A273" s="98" t="s">
        <v>17</v>
      </c>
      <c r="B273" s="98" t="s">
        <v>155</v>
      </c>
      <c r="C273" s="98" t="s">
        <v>232</v>
      </c>
      <c r="D273" s="99">
        <v>97084366.00000003</v>
      </c>
      <c r="E273" s="99">
        <v>111129438.00000001</v>
      </c>
      <c r="F273" s="99">
        <v>123379924.50000004</v>
      </c>
      <c r="G273" s="99">
        <v>0</v>
      </c>
      <c r="H273" s="98" t="s">
        <v>225</v>
      </c>
      <c r="I273" s="99">
        <v>52</v>
      </c>
      <c r="J273" s="98" t="s">
        <v>229</v>
      </c>
      <c r="K273" s="99">
        <v>130</v>
      </c>
      <c r="L273" s="98">
        <v>2022</v>
      </c>
      <c r="M273" s="98" t="s">
        <v>225</v>
      </c>
      <c r="N273" s="99">
        <v>130</v>
      </c>
      <c r="O273" s="100">
        <v>0</v>
      </c>
      <c r="P273" s="100">
        <v>4.6792281987424423E-3</v>
      </c>
      <c r="Q273" s="100">
        <v>1.0536560184067867E-2</v>
      </c>
    </row>
    <row r="274" spans="1:17" x14ac:dyDescent="0.35">
      <c r="A274" s="98" t="s">
        <v>17</v>
      </c>
      <c r="B274" s="98" t="s">
        <v>155</v>
      </c>
      <c r="C274" s="98" t="s">
        <v>233</v>
      </c>
      <c r="D274" s="99">
        <v>97084366.00000003</v>
      </c>
      <c r="E274" s="99">
        <v>111129438.00000001</v>
      </c>
      <c r="F274" s="99">
        <v>123379924.50000004</v>
      </c>
      <c r="G274" s="99">
        <v>0</v>
      </c>
      <c r="H274" s="98" t="s">
        <v>225</v>
      </c>
      <c r="I274" s="99">
        <v>10450</v>
      </c>
      <c r="J274" s="98">
        <v>2018</v>
      </c>
      <c r="K274" s="99">
        <v>23757</v>
      </c>
      <c r="L274" s="98">
        <v>2022</v>
      </c>
      <c r="M274" s="98" t="s">
        <v>225</v>
      </c>
      <c r="N274" s="99">
        <v>23757</v>
      </c>
      <c r="O274" s="100">
        <v>0</v>
      </c>
      <c r="P274" s="100">
        <v>0.94034489763189466</v>
      </c>
      <c r="Q274" s="100">
        <v>1.9255158484069255</v>
      </c>
    </row>
    <row r="275" spans="1:17" x14ac:dyDescent="0.35">
      <c r="A275" s="98" t="s">
        <v>17</v>
      </c>
      <c r="B275" s="98" t="s">
        <v>155</v>
      </c>
      <c r="C275" s="98" t="s">
        <v>234</v>
      </c>
      <c r="D275" s="99">
        <v>97084366.00000003</v>
      </c>
      <c r="E275" s="99">
        <v>111129438.00000001</v>
      </c>
      <c r="F275" s="99">
        <v>123379924.50000004</v>
      </c>
      <c r="G275" s="99">
        <v>0</v>
      </c>
      <c r="H275" s="98" t="s">
        <v>225</v>
      </c>
      <c r="I275" s="99">
        <v>11536</v>
      </c>
      <c r="J275" s="98" t="s">
        <v>229</v>
      </c>
      <c r="K275" s="99">
        <v>11536</v>
      </c>
      <c r="L275" s="98" t="s">
        <v>229</v>
      </c>
      <c r="M275" s="98" t="s">
        <v>225</v>
      </c>
      <c r="N275" s="99">
        <v>11536</v>
      </c>
      <c r="O275" s="100">
        <v>0</v>
      </c>
      <c r="P275" s="100">
        <v>1.0380687788594771</v>
      </c>
      <c r="Q275" s="100">
        <v>0.93499814064159159</v>
      </c>
    </row>
    <row r="276" spans="1:17" x14ac:dyDescent="0.35">
      <c r="A276" s="98" t="s">
        <v>17</v>
      </c>
      <c r="B276" s="98" t="s">
        <v>155</v>
      </c>
      <c r="C276" s="98" t="s">
        <v>235</v>
      </c>
      <c r="D276" s="99">
        <v>97084366.00000003</v>
      </c>
      <c r="E276" s="99">
        <v>111129438.00000001</v>
      </c>
      <c r="F276" s="99">
        <v>123379924.50000004</v>
      </c>
      <c r="G276" s="99">
        <v>0</v>
      </c>
      <c r="H276" s="98" t="s">
        <v>225</v>
      </c>
      <c r="I276" s="99">
        <v>1041</v>
      </c>
      <c r="J276" s="98" t="s">
        <v>229</v>
      </c>
      <c r="K276" s="99">
        <v>2513</v>
      </c>
      <c r="L276" s="98">
        <v>2022</v>
      </c>
      <c r="M276" s="98" t="s">
        <v>225</v>
      </c>
      <c r="N276" s="99">
        <v>2513</v>
      </c>
      <c r="O276" s="100">
        <v>0</v>
      </c>
      <c r="P276" s="100">
        <v>9.3674549132516965E-2</v>
      </c>
      <c r="Q276" s="100">
        <v>0.20367981340432731</v>
      </c>
    </row>
    <row r="277" spans="1:17" x14ac:dyDescent="0.35">
      <c r="A277" s="98" t="s">
        <v>17</v>
      </c>
      <c r="B277" s="98" t="s">
        <v>155</v>
      </c>
      <c r="C277" s="98" t="s">
        <v>236</v>
      </c>
      <c r="D277" s="99">
        <v>97084366.00000003</v>
      </c>
      <c r="E277" s="99">
        <v>111129438.00000001</v>
      </c>
      <c r="F277" s="99">
        <v>123379924.50000004</v>
      </c>
      <c r="G277" s="99">
        <v>0</v>
      </c>
      <c r="H277" s="98" t="s">
        <v>225</v>
      </c>
      <c r="I277" s="99">
        <v>2953</v>
      </c>
      <c r="J277" s="98" t="s">
        <v>229</v>
      </c>
      <c r="K277" s="99">
        <v>2953</v>
      </c>
      <c r="L277" s="98" t="s">
        <v>229</v>
      </c>
      <c r="M277" s="98" t="s">
        <v>225</v>
      </c>
      <c r="N277" s="99">
        <v>2953</v>
      </c>
      <c r="O277" s="100">
        <v>0</v>
      </c>
      <c r="P277" s="100">
        <v>0.26572617059396986</v>
      </c>
      <c r="Q277" s="100">
        <v>0.23934201710424932</v>
      </c>
    </row>
    <row r="278" spans="1:17" x14ac:dyDescent="0.35">
      <c r="A278" s="98" t="s">
        <v>17</v>
      </c>
      <c r="B278" s="98" t="s">
        <v>155</v>
      </c>
      <c r="C278" s="98" t="s">
        <v>237</v>
      </c>
      <c r="D278" s="99">
        <v>97084366.00000003</v>
      </c>
      <c r="E278" s="99">
        <v>111129438.00000001</v>
      </c>
      <c r="F278" s="99">
        <v>123379924.50000004</v>
      </c>
      <c r="G278" s="99">
        <v>0</v>
      </c>
      <c r="H278" s="98" t="s">
        <v>225</v>
      </c>
      <c r="I278" s="99">
        <v>330</v>
      </c>
      <c r="J278" s="98" t="s">
        <v>229</v>
      </c>
      <c r="K278" s="99">
        <v>674</v>
      </c>
      <c r="L278" s="98">
        <v>2022</v>
      </c>
      <c r="M278" s="98" t="s">
        <v>225</v>
      </c>
      <c r="N278" s="99">
        <v>674</v>
      </c>
      <c r="O278" s="100">
        <v>0</v>
      </c>
      <c r="P278" s="100">
        <v>2.9695102030480883E-2</v>
      </c>
      <c r="Q278" s="100">
        <v>5.4628012031244171E-2</v>
      </c>
    </row>
    <row r="279" spans="1:17" x14ac:dyDescent="0.35">
      <c r="A279" s="98" t="s">
        <v>17</v>
      </c>
      <c r="B279" s="98" t="s">
        <v>155</v>
      </c>
      <c r="C279" s="98" t="s">
        <v>238</v>
      </c>
      <c r="D279" s="99">
        <v>97084366.00000003</v>
      </c>
      <c r="E279" s="99">
        <v>111129438.00000001</v>
      </c>
      <c r="F279" s="99">
        <v>123379924.50000004</v>
      </c>
      <c r="G279" s="99">
        <v>0</v>
      </c>
      <c r="H279" s="98" t="s">
        <v>225</v>
      </c>
      <c r="I279" s="99">
        <v>73174</v>
      </c>
      <c r="J279" s="98" t="s">
        <v>229</v>
      </c>
      <c r="K279" s="99">
        <v>73174</v>
      </c>
      <c r="L279" s="98" t="s">
        <v>229</v>
      </c>
      <c r="M279" s="98" t="s">
        <v>225</v>
      </c>
      <c r="N279" s="99">
        <v>73174</v>
      </c>
      <c r="O279" s="100">
        <v>0</v>
      </c>
      <c r="P279" s="100">
        <v>6.5845739272072974</v>
      </c>
      <c r="Q279" s="100">
        <v>5.930786576222939</v>
      </c>
    </row>
    <row r="280" spans="1:17" x14ac:dyDescent="0.35">
      <c r="A280" s="98" t="s">
        <v>17</v>
      </c>
      <c r="B280" s="98" t="s">
        <v>155</v>
      </c>
      <c r="C280" s="98" t="s">
        <v>239</v>
      </c>
      <c r="D280" s="99">
        <v>97084366.00000003</v>
      </c>
      <c r="E280" s="99">
        <v>111129438.00000001</v>
      </c>
      <c r="F280" s="99">
        <v>123379924.50000004</v>
      </c>
      <c r="G280" s="99">
        <v>0</v>
      </c>
      <c r="H280" s="98" t="s">
        <v>225</v>
      </c>
      <c r="I280" s="99">
        <v>2872</v>
      </c>
      <c r="J280" s="98" t="s">
        <v>229</v>
      </c>
      <c r="K280" s="99">
        <v>2872</v>
      </c>
      <c r="L280" s="98" t="s">
        <v>229</v>
      </c>
      <c r="M280" s="98" t="s">
        <v>225</v>
      </c>
      <c r="N280" s="99">
        <v>2872</v>
      </c>
      <c r="O280" s="100">
        <v>0</v>
      </c>
      <c r="P280" s="100">
        <v>0.25843737282285184</v>
      </c>
      <c r="Q280" s="100">
        <v>0.2327769296049455</v>
      </c>
    </row>
    <row r="281" spans="1:17" x14ac:dyDescent="0.35">
      <c r="A281" s="98" t="s">
        <v>17</v>
      </c>
      <c r="B281" s="98" t="s">
        <v>155</v>
      </c>
      <c r="C281" s="98" t="s">
        <v>240</v>
      </c>
      <c r="D281" s="99">
        <v>97084366.00000003</v>
      </c>
      <c r="E281" s="99">
        <v>111129438.00000001</v>
      </c>
      <c r="F281" s="99">
        <v>123379924.50000004</v>
      </c>
      <c r="G281" s="99">
        <v>0</v>
      </c>
      <c r="H281" s="98" t="s">
        <v>225</v>
      </c>
      <c r="I281" s="99">
        <v>10450</v>
      </c>
      <c r="J281" s="98" t="s">
        <v>229</v>
      </c>
      <c r="K281" s="99">
        <v>13915</v>
      </c>
      <c r="L281" s="98">
        <v>2022</v>
      </c>
      <c r="M281" s="98" t="s">
        <v>225</v>
      </c>
      <c r="N281" s="99">
        <v>13915</v>
      </c>
      <c r="O281" s="100">
        <v>0</v>
      </c>
      <c r="P281" s="100">
        <v>0.94034489763189466</v>
      </c>
      <c r="Q281" s="100">
        <v>1.1278171920100335</v>
      </c>
    </row>
    <row r="282" spans="1:17" x14ac:dyDescent="0.35">
      <c r="A282" s="98" t="s">
        <v>17</v>
      </c>
      <c r="B282" s="98" t="s">
        <v>155</v>
      </c>
      <c r="C282" s="98" t="s">
        <v>241</v>
      </c>
      <c r="D282" s="99">
        <v>97084366.00000003</v>
      </c>
      <c r="E282" s="99">
        <v>111129438.00000001</v>
      </c>
      <c r="F282" s="99">
        <v>123379924.50000004</v>
      </c>
      <c r="G282" s="99">
        <v>0</v>
      </c>
      <c r="H282" s="98" t="s">
        <v>225</v>
      </c>
      <c r="I282" s="99">
        <v>1285</v>
      </c>
      <c r="J282" s="98" t="s">
        <v>229</v>
      </c>
      <c r="K282" s="99">
        <v>1205</v>
      </c>
      <c r="L282" s="98">
        <v>2022</v>
      </c>
      <c r="M282" s="98" t="s">
        <v>226</v>
      </c>
      <c r="N282" s="99">
        <v>1230.1476924425951</v>
      </c>
      <c r="O282" s="100">
        <v>0</v>
      </c>
      <c r="P282" s="100">
        <v>0.1156309276035392</v>
      </c>
      <c r="Q282" s="100">
        <v>9.9704039974720104E-2</v>
      </c>
    </row>
    <row r="283" spans="1:17" x14ac:dyDescent="0.35">
      <c r="A283" s="98" t="s">
        <v>17</v>
      </c>
      <c r="B283" s="98" t="s">
        <v>155</v>
      </c>
      <c r="C283" s="98" t="s">
        <v>242</v>
      </c>
      <c r="D283" s="99">
        <v>97084366.00000003</v>
      </c>
      <c r="E283" s="99">
        <v>111129438.00000001</v>
      </c>
      <c r="F283" s="99">
        <v>123379924.50000004</v>
      </c>
      <c r="G283" s="99">
        <v>0</v>
      </c>
      <c r="H283" s="98" t="s">
        <v>225</v>
      </c>
      <c r="I283" s="99">
        <v>258</v>
      </c>
      <c r="J283" s="98" t="s">
        <v>229</v>
      </c>
      <c r="K283" s="99">
        <v>3275</v>
      </c>
      <c r="L283" s="98">
        <v>2022</v>
      </c>
      <c r="M283" s="98" t="s">
        <v>225</v>
      </c>
      <c r="N283" s="99">
        <v>3275</v>
      </c>
      <c r="O283" s="100">
        <v>0</v>
      </c>
      <c r="P283" s="100">
        <v>2.3216170678375964E-2</v>
      </c>
      <c r="Q283" s="100">
        <v>0.26544026617555588</v>
      </c>
    </row>
    <row r="284" spans="1:17" x14ac:dyDescent="0.35">
      <c r="A284" s="98" t="s">
        <v>17</v>
      </c>
      <c r="B284" s="98" t="s">
        <v>155</v>
      </c>
      <c r="C284" s="98" t="s">
        <v>243</v>
      </c>
      <c r="D284" s="99">
        <v>97084366.00000003</v>
      </c>
      <c r="E284" s="99">
        <v>111129438.00000001</v>
      </c>
      <c r="F284" s="99">
        <v>123379924.50000004</v>
      </c>
      <c r="G284" s="99">
        <v>0</v>
      </c>
      <c r="H284" s="98" t="s">
        <v>225</v>
      </c>
      <c r="I284" s="99">
        <v>0</v>
      </c>
      <c r="J284" s="98" t="s">
        <v>225</v>
      </c>
      <c r="K284" s="99">
        <v>0</v>
      </c>
      <c r="L284" s="98" t="s">
        <v>225</v>
      </c>
      <c r="M284" s="98" t="s">
        <v>225</v>
      </c>
      <c r="N284" s="99">
        <v>0</v>
      </c>
      <c r="O284" s="100">
        <v>0</v>
      </c>
      <c r="P284" s="100">
        <v>0</v>
      </c>
      <c r="Q284" s="100">
        <v>0</v>
      </c>
    </row>
    <row r="285" spans="1:17" x14ac:dyDescent="0.35">
      <c r="A285" s="98" t="s">
        <v>17</v>
      </c>
      <c r="B285" s="98" t="s">
        <v>155</v>
      </c>
      <c r="C285" s="98" t="s">
        <v>244</v>
      </c>
      <c r="D285" s="99">
        <v>97084366.00000003</v>
      </c>
      <c r="E285" s="99">
        <v>111129438.00000001</v>
      </c>
      <c r="F285" s="99">
        <v>123379924.50000004</v>
      </c>
      <c r="G285" s="99">
        <v>0</v>
      </c>
      <c r="H285" s="98" t="s">
        <v>225</v>
      </c>
      <c r="I285" s="99">
        <v>0</v>
      </c>
      <c r="J285" s="98" t="s">
        <v>225</v>
      </c>
      <c r="K285" s="99">
        <v>4</v>
      </c>
      <c r="L285" s="98">
        <v>2020</v>
      </c>
      <c r="M285" s="98" t="s">
        <v>225</v>
      </c>
      <c r="N285" s="99">
        <v>4</v>
      </c>
      <c r="O285" s="100">
        <v>0</v>
      </c>
      <c r="P285" s="100">
        <v>0</v>
      </c>
      <c r="Q285" s="100">
        <v>3.2420185181747282E-4</v>
      </c>
    </row>
    <row r="286" spans="1:17" x14ac:dyDescent="0.35">
      <c r="A286" s="98" t="s">
        <v>17</v>
      </c>
      <c r="B286" s="98" t="s">
        <v>155</v>
      </c>
      <c r="C286" s="98" t="s">
        <v>245</v>
      </c>
      <c r="D286" s="99">
        <v>97084366.00000003</v>
      </c>
      <c r="E286" s="99">
        <v>111129438.00000001</v>
      </c>
      <c r="F286" s="99">
        <v>123379924.50000004</v>
      </c>
      <c r="G286" s="99">
        <v>0</v>
      </c>
      <c r="H286" s="98" t="s">
        <v>225</v>
      </c>
      <c r="I286" s="99">
        <v>0</v>
      </c>
      <c r="J286" s="98" t="s">
        <v>225</v>
      </c>
      <c r="K286" s="99">
        <v>0</v>
      </c>
      <c r="L286" s="98" t="s">
        <v>225</v>
      </c>
      <c r="M286" s="98" t="s">
        <v>225</v>
      </c>
      <c r="N286" s="99">
        <v>0</v>
      </c>
      <c r="O286" s="100">
        <v>0</v>
      </c>
      <c r="P286" s="100">
        <v>0</v>
      </c>
      <c r="Q286" s="100">
        <v>0</v>
      </c>
    </row>
    <row r="287" spans="1:17" x14ac:dyDescent="0.35">
      <c r="A287" s="98" t="s">
        <v>18</v>
      </c>
      <c r="B287" s="98" t="s">
        <v>156</v>
      </c>
      <c r="C287" s="98" t="s">
        <v>224</v>
      </c>
      <c r="D287" s="99">
        <v>1902226.5000000007</v>
      </c>
      <c r="E287" s="99">
        <v>2192011.5</v>
      </c>
      <c r="F287" s="99">
        <v>2388992.5000000005</v>
      </c>
      <c r="G287" s="99">
        <v>0</v>
      </c>
      <c r="H287" s="98" t="s">
        <v>225</v>
      </c>
      <c r="I287" s="99">
        <v>117</v>
      </c>
      <c r="J287" s="98">
        <v>2019</v>
      </c>
      <c r="K287" s="99">
        <v>98</v>
      </c>
      <c r="L287" s="98">
        <v>2022</v>
      </c>
      <c r="M287" s="98" t="s">
        <v>226</v>
      </c>
      <c r="N287" s="99">
        <v>108.87462895058496</v>
      </c>
      <c r="O287" s="100">
        <v>0</v>
      </c>
      <c r="P287" s="100">
        <v>0.53375632381490701</v>
      </c>
      <c r="Q287" s="100">
        <v>0.45573449456448667</v>
      </c>
    </row>
    <row r="288" spans="1:17" x14ac:dyDescent="0.35">
      <c r="A288" s="98" t="s">
        <v>18</v>
      </c>
      <c r="B288" s="98" t="s">
        <v>156</v>
      </c>
      <c r="C288" s="98" t="s">
        <v>227</v>
      </c>
      <c r="D288" s="99">
        <v>1902226.5000000007</v>
      </c>
      <c r="E288" s="99">
        <v>2192011.5</v>
      </c>
      <c r="F288" s="99">
        <v>2388992.5000000005</v>
      </c>
      <c r="G288" s="99">
        <v>999</v>
      </c>
      <c r="H288" s="98">
        <v>2014</v>
      </c>
      <c r="I288" s="99">
        <v>6</v>
      </c>
      <c r="J288" s="98" t="s">
        <v>229</v>
      </c>
      <c r="K288" s="99">
        <v>6</v>
      </c>
      <c r="L288" s="98" t="s">
        <v>229</v>
      </c>
      <c r="M288" s="98" t="s">
        <v>225</v>
      </c>
      <c r="N288" s="99">
        <v>6</v>
      </c>
      <c r="O288" s="100">
        <v>5.2517405261676231</v>
      </c>
      <c r="P288" s="100">
        <v>2.737211916999523E-2</v>
      </c>
      <c r="Q288" s="100">
        <v>2.5115189771420375E-2</v>
      </c>
    </row>
    <row r="289" spans="1:17" x14ac:dyDescent="0.35">
      <c r="A289" s="98" t="s">
        <v>18</v>
      </c>
      <c r="B289" s="98" t="s">
        <v>156</v>
      </c>
      <c r="C289" s="98" t="s">
        <v>228</v>
      </c>
      <c r="D289" s="99">
        <v>1902226.5000000007</v>
      </c>
      <c r="E289" s="99">
        <v>2192011.5</v>
      </c>
      <c r="F289" s="99">
        <v>2388992.5000000005</v>
      </c>
      <c r="G289" s="99">
        <v>296</v>
      </c>
      <c r="H289" s="98">
        <v>2013</v>
      </c>
      <c r="I289" s="99">
        <v>312</v>
      </c>
      <c r="J289" s="98" t="s">
        <v>229</v>
      </c>
      <c r="K289" s="99">
        <v>312</v>
      </c>
      <c r="L289" s="98" t="s">
        <v>229</v>
      </c>
      <c r="M289" s="98" t="s">
        <v>225</v>
      </c>
      <c r="N289" s="99">
        <v>312</v>
      </c>
      <c r="O289" s="100">
        <v>1.5560712670126291</v>
      </c>
      <c r="P289" s="100">
        <v>1.4233501968397519</v>
      </c>
      <c r="Q289" s="100">
        <v>1.3059898681138595</v>
      </c>
    </row>
    <row r="290" spans="1:17" x14ac:dyDescent="0.35">
      <c r="A290" s="98" t="s">
        <v>18</v>
      </c>
      <c r="B290" s="98" t="s">
        <v>156</v>
      </c>
      <c r="C290" s="98" t="s">
        <v>230</v>
      </c>
      <c r="D290" s="99">
        <v>1902226.5000000007</v>
      </c>
      <c r="E290" s="99">
        <v>2192011.5</v>
      </c>
      <c r="F290" s="99">
        <v>2388992.5000000005</v>
      </c>
      <c r="G290" s="99">
        <v>0</v>
      </c>
      <c r="H290" s="98" t="s">
        <v>225</v>
      </c>
      <c r="I290" s="99">
        <v>86</v>
      </c>
      <c r="J290" s="98" t="s">
        <v>229</v>
      </c>
      <c r="K290" s="99">
        <v>70</v>
      </c>
      <c r="L290" s="98">
        <v>2022</v>
      </c>
      <c r="M290" s="98" t="s">
        <v>226</v>
      </c>
      <c r="N290" s="99">
        <v>77.767592107560688</v>
      </c>
      <c r="O290" s="100">
        <v>0</v>
      </c>
      <c r="P290" s="100">
        <v>0.39233370810326496</v>
      </c>
      <c r="Q290" s="100">
        <v>0.3255246389746333</v>
      </c>
    </row>
    <row r="291" spans="1:17" x14ac:dyDescent="0.35">
      <c r="A291" s="98" t="s">
        <v>18</v>
      </c>
      <c r="B291" s="98" t="s">
        <v>156</v>
      </c>
      <c r="C291" s="98" t="s">
        <v>231</v>
      </c>
      <c r="D291" s="99">
        <v>1902226.5000000007</v>
      </c>
      <c r="E291" s="99">
        <v>2192011.5</v>
      </c>
      <c r="F291" s="99">
        <v>2388992.5000000005</v>
      </c>
      <c r="G291" s="99">
        <v>0</v>
      </c>
      <c r="H291" s="98" t="s">
        <v>225</v>
      </c>
      <c r="I291" s="99">
        <v>318</v>
      </c>
      <c r="J291" s="98" t="s">
        <v>229</v>
      </c>
      <c r="K291" s="99">
        <v>390</v>
      </c>
      <c r="L291" s="98">
        <v>2020</v>
      </c>
      <c r="M291" s="98" t="s">
        <v>225</v>
      </c>
      <c r="N291" s="99">
        <v>390</v>
      </c>
      <c r="O291" s="100">
        <v>0</v>
      </c>
      <c r="P291" s="100">
        <v>1.4507223160097471</v>
      </c>
      <c r="Q291" s="100">
        <v>1.6324873351423244</v>
      </c>
    </row>
    <row r="292" spans="1:17" x14ac:dyDescent="0.35">
      <c r="A292" s="98" t="s">
        <v>18</v>
      </c>
      <c r="B292" s="98" t="s">
        <v>156</v>
      </c>
      <c r="C292" s="98" t="s">
        <v>232</v>
      </c>
      <c r="D292" s="99">
        <v>1902226.5000000007</v>
      </c>
      <c r="E292" s="99">
        <v>2192011.5</v>
      </c>
      <c r="F292" s="99">
        <v>2388992.5000000005</v>
      </c>
      <c r="G292" s="99">
        <v>0</v>
      </c>
      <c r="H292" s="98" t="s">
        <v>225</v>
      </c>
      <c r="I292" s="99">
        <v>46</v>
      </c>
      <c r="J292" s="98">
        <v>2017</v>
      </c>
      <c r="K292" s="99">
        <v>17</v>
      </c>
      <c r="L292" s="98">
        <v>2022</v>
      </c>
      <c r="M292" s="98" t="s">
        <v>226</v>
      </c>
      <c r="N292" s="99">
        <v>18.88641522612188</v>
      </c>
      <c r="O292" s="100">
        <v>0</v>
      </c>
      <c r="P292" s="100">
        <v>0.20985291363663011</v>
      </c>
      <c r="Q292" s="100">
        <v>7.9055983750982384E-2</v>
      </c>
    </row>
    <row r="293" spans="1:17" x14ac:dyDescent="0.35">
      <c r="A293" s="98" t="s">
        <v>18</v>
      </c>
      <c r="B293" s="98" t="s">
        <v>156</v>
      </c>
      <c r="C293" s="98" t="s">
        <v>233</v>
      </c>
      <c r="D293" s="99">
        <v>1902226.5000000007</v>
      </c>
      <c r="E293" s="99">
        <v>2192011.5</v>
      </c>
      <c r="F293" s="99">
        <v>2388992.5000000005</v>
      </c>
      <c r="G293" s="99">
        <v>0</v>
      </c>
      <c r="H293" s="98" t="s">
        <v>225</v>
      </c>
      <c r="I293" s="99">
        <v>439</v>
      </c>
      <c r="J293" s="98">
        <v>2018</v>
      </c>
      <c r="K293" s="99">
        <v>231</v>
      </c>
      <c r="L293" s="98">
        <v>2022</v>
      </c>
      <c r="M293" s="98" t="s">
        <v>226</v>
      </c>
      <c r="N293" s="99">
        <v>256.63305395495024</v>
      </c>
      <c r="O293" s="100">
        <v>0</v>
      </c>
      <c r="P293" s="100">
        <v>2.0027267192713176</v>
      </c>
      <c r="Q293" s="100">
        <v>1.07423130861629</v>
      </c>
    </row>
    <row r="294" spans="1:17" x14ac:dyDescent="0.35">
      <c r="A294" s="98" t="s">
        <v>18</v>
      </c>
      <c r="B294" s="98" t="s">
        <v>156</v>
      </c>
      <c r="C294" s="98" t="s">
        <v>234</v>
      </c>
      <c r="D294" s="99">
        <v>1902226.5000000007</v>
      </c>
      <c r="E294" s="99">
        <v>2192011.5</v>
      </c>
      <c r="F294" s="99">
        <v>2388992.5000000005</v>
      </c>
      <c r="G294" s="99">
        <v>0</v>
      </c>
      <c r="H294" s="98" t="s">
        <v>225</v>
      </c>
      <c r="I294" s="99">
        <v>18</v>
      </c>
      <c r="J294" s="98">
        <v>2017</v>
      </c>
      <c r="K294" s="99">
        <v>14</v>
      </c>
      <c r="L294" s="98">
        <v>2020</v>
      </c>
      <c r="M294" s="98" t="s">
        <v>226</v>
      </c>
      <c r="N294" s="99">
        <v>15.553518421512138</v>
      </c>
      <c r="O294" s="100">
        <v>0</v>
      </c>
      <c r="P294" s="100">
        <v>8.2116357509985693E-2</v>
      </c>
      <c r="Q294" s="100">
        <v>6.5104927794926673E-2</v>
      </c>
    </row>
    <row r="295" spans="1:17" x14ac:dyDescent="0.35">
      <c r="A295" s="98" t="s">
        <v>18</v>
      </c>
      <c r="B295" s="98" t="s">
        <v>156</v>
      </c>
      <c r="C295" s="98" t="s">
        <v>235</v>
      </c>
      <c r="D295" s="99">
        <v>1902226.5000000007</v>
      </c>
      <c r="E295" s="99">
        <v>2192011.5</v>
      </c>
      <c r="F295" s="99">
        <v>2388992.5000000005</v>
      </c>
      <c r="G295" s="99">
        <v>0</v>
      </c>
      <c r="H295" s="98" t="s">
        <v>225</v>
      </c>
      <c r="I295" s="99">
        <v>93</v>
      </c>
      <c r="J295" s="98">
        <v>2017</v>
      </c>
      <c r="K295" s="99">
        <v>478</v>
      </c>
      <c r="L295" s="98">
        <v>2022</v>
      </c>
      <c r="M295" s="98" t="s">
        <v>225</v>
      </c>
      <c r="N295" s="99">
        <v>478</v>
      </c>
      <c r="O295" s="100">
        <v>0</v>
      </c>
      <c r="P295" s="100">
        <v>0.42426784713492605</v>
      </c>
      <c r="Q295" s="100">
        <v>2.000843451789823</v>
      </c>
    </row>
    <row r="296" spans="1:17" x14ac:dyDescent="0.35">
      <c r="A296" s="98" t="s">
        <v>18</v>
      </c>
      <c r="B296" s="98" t="s">
        <v>156</v>
      </c>
      <c r="C296" s="98" t="s">
        <v>236</v>
      </c>
      <c r="D296" s="99">
        <v>1902226.5000000007</v>
      </c>
      <c r="E296" s="99">
        <v>2192011.5</v>
      </c>
      <c r="F296" s="99">
        <v>2388992.5000000005</v>
      </c>
      <c r="G296" s="99">
        <v>0</v>
      </c>
      <c r="H296" s="98" t="s">
        <v>225</v>
      </c>
      <c r="I296" s="99">
        <v>127</v>
      </c>
      <c r="J296" s="98" t="s">
        <v>229</v>
      </c>
      <c r="K296" s="99">
        <v>1</v>
      </c>
      <c r="L296" s="98" t="s">
        <v>229</v>
      </c>
      <c r="M296" s="98" t="s">
        <v>226</v>
      </c>
      <c r="N296" s="99">
        <v>1.1109656015365812</v>
      </c>
      <c r="O296" s="100">
        <v>0</v>
      </c>
      <c r="P296" s="100">
        <v>0.57937652243156568</v>
      </c>
      <c r="Q296" s="100">
        <v>4.6503519853519047E-3</v>
      </c>
    </row>
    <row r="297" spans="1:17" x14ac:dyDescent="0.35">
      <c r="A297" s="98" t="s">
        <v>18</v>
      </c>
      <c r="B297" s="98" t="s">
        <v>156</v>
      </c>
      <c r="C297" s="98" t="s">
        <v>237</v>
      </c>
      <c r="D297" s="99">
        <v>1902226.5000000007</v>
      </c>
      <c r="E297" s="99">
        <v>2192011.5</v>
      </c>
      <c r="F297" s="99">
        <v>2388992.5000000005</v>
      </c>
      <c r="G297" s="99">
        <v>0</v>
      </c>
      <c r="H297" s="98" t="s">
        <v>225</v>
      </c>
      <c r="I297" s="99">
        <v>5</v>
      </c>
      <c r="J297" s="98">
        <v>2017</v>
      </c>
      <c r="K297" s="99">
        <v>9</v>
      </c>
      <c r="L297" s="98">
        <v>2020</v>
      </c>
      <c r="M297" s="98" t="s">
        <v>225</v>
      </c>
      <c r="N297" s="99">
        <v>9</v>
      </c>
      <c r="O297" s="100">
        <v>0</v>
      </c>
      <c r="P297" s="100">
        <v>2.2810099308329359E-2</v>
      </c>
      <c r="Q297" s="100">
        <v>3.7672784657130559E-2</v>
      </c>
    </row>
    <row r="298" spans="1:17" x14ac:dyDescent="0.35">
      <c r="A298" s="98" t="s">
        <v>18</v>
      </c>
      <c r="B298" s="98" t="s">
        <v>156</v>
      </c>
      <c r="C298" s="98" t="s">
        <v>238</v>
      </c>
      <c r="D298" s="99">
        <v>1902226.5000000007</v>
      </c>
      <c r="E298" s="99">
        <v>2192011.5</v>
      </c>
      <c r="F298" s="99">
        <v>2388992.5000000005</v>
      </c>
      <c r="G298" s="99">
        <v>0</v>
      </c>
      <c r="H298" s="98" t="s">
        <v>225</v>
      </c>
      <c r="I298" s="99">
        <v>1939</v>
      </c>
      <c r="J298" s="98" t="s">
        <v>229</v>
      </c>
      <c r="K298" s="99">
        <v>947</v>
      </c>
      <c r="L298" s="98">
        <v>2020</v>
      </c>
      <c r="M298" s="98" t="s">
        <v>226</v>
      </c>
      <c r="N298" s="99">
        <v>1052.0844246551424</v>
      </c>
      <c r="O298" s="100">
        <v>0</v>
      </c>
      <c r="P298" s="100">
        <v>8.8457565117701247</v>
      </c>
      <c r="Q298" s="100">
        <v>4.4038833301282541</v>
      </c>
    </row>
    <row r="299" spans="1:17" x14ac:dyDescent="0.35">
      <c r="A299" s="98" t="s">
        <v>18</v>
      </c>
      <c r="B299" s="98" t="s">
        <v>156</v>
      </c>
      <c r="C299" s="98" t="s">
        <v>239</v>
      </c>
      <c r="D299" s="99">
        <v>1902226.5000000007</v>
      </c>
      <c r="E299" s="99">
        <v>2192011.5</v>
      </c>
      <c r="F299" s="99">
        <v>2388992.5000000005</v>
      </c>
      <c r="G299" s="99">
        <v>0</v>
      </c>
      <c r="H299" s="98" t="s">
        <v>225</v>
      </c>
      <c r="I299" s="99">
        <v>62</v>
      </c>
      <c r="J299" s="98" t="s">
        <v>229</v>
      </c>
      <c r="K299" s="99">
        <v>2714</v>
      </c>
      <c r="L299" s="98">
        <v>2020</v>
      </c>
      <c r="M299" s="98" t="s">
        <v>225</v>
      </c>
      <c r="N299" s="99">
        <v>2714</v>
      </c>
      <c r="O299" s="100">
        <v>0</v>
      </c>
      <c r="P299" s="100">
        <v>0.28284523142328405</v>
      </c>
      <c r="Q299" s="100">
        <v>11.360437506605816</v>
      </c>
    </row>
    <row r="300" spans="1:17" x14ac:dyDescent="0.35">
      <c r="A300" s="98" t="s">
        <v>18</v>
      </c>
      <c r="B300" s="98" t="s">
        <v>156</v>
      </c>
      <c r="C300" s="98" t="s">
        <v>240</v>
      </c>
      <c r="D300" s="99">
        <v>1902226.5000000007</v>
      </c>
      <c r="E300" s="99">
        <v>2192011.5</v>
      </c>
      <c r="F300" s="99">
        <v>2388992.5000000005</v>
      </c>
      <c r="G300" s="99">
        <v>0</v>
      </c>
      <c r="H300" s="98" t="s">
        <v>225</v>
      </c>
      <c r="I300" s="99">
        <v>439</v>
      </c>
      <c r="J300" s="98" t="s">
        <v>229</v>
      </c>
      <c r="K300" s="99">
        <v>228</v>
      </c>
      <c r="L300" s="98">
        <v>2022</v>
      </c>
      <c r="M300" s="98" t="s">
        <v>226</v>
      </c>
      <c r="N300" s="99">
        <v>253.30015715034051</v>
      </c>
      <c r="O300" s="100">
        <v>0</v>
      </c>
      <c r="P300" s="100">
        <v>2.0027267192713176</v>
      </c>
      <c r="Q300" s="100">
        <v>1.0602802526602342</v>
      </c>
    </row>
    <row r="301" spans="1:17" x14ac:dyDescent="0.35">
      <c r="A301" s="98" t="s">
        <v>18</v>
      </c>
      <c r="B301" s="98" t="s">
        <v>156</v>
      </c>
      <c r="C301" s="98" t="s">
        <v>241</v>
      </c>
      <c r="D301" s="99">
        <v>1902226.5000000007</v>
      </c>
      <c r="E301" s="99">
        <v>2192011.5</v>
      </c>
      <c r="F301" s="99">
        <v>2388992.5000000005</v>
      </c>
      <c r="G301" s="99">
        <v>0</v>
      </c>
      <c r="H301" s="98" t="s">
        <v>225</v>
      </c>
      <c r="I301" s="99">
        <v>58</v>
      </c>
      <c r="J301" s="98">
        <v>2017</v>
      </c>
      <c r="K301" s="99">
        <v>84</v>
      </c>
      <c r="L301" s="98">
        <v>2022</v>
      </c>
      <c r="M301" s="98" t="s">
        <v>225</v>
      </c>
      <c r="N301" s="99">
        <v>84</v>
      </c>
      <c r="O301" s="100">
        <v>0</v>
      </c>
      <c r="P301" s="100">
        <v>0.26459715197662054</v>
      </c>
      <c r="Q301" s="100">
        <v>0.35161265679988524</v>
      </c>
    </row>
    <row r="302" spans="1:17" x14ac:dyDescent="0.35">
      <c r="A302" s="98" t="s">
        <v>18</v>
      </c>
      <c r="B302" s="98" t="s">
        <v>156</v>
      </c>
      <c r="C302" s="98" t="s">
        <v>242</v>
      </c>
      <c r="D302" s="99">
        <v>1902226.5000000007</v>
      </c>
      <c r="E302" s="99">
        <v>2192011.5</v>
      </c>
      <c r="F302" s="99">
        <v>2388992.5000000005</v>
      </c>
      <c r="G302" s="99">
        <v>0</v>
      </c>
      <c r="H302" s="98" t="s">
        <v>225</v>
      </c>
      <c r="I302" s="99">
        <v>43</v>
      </c>
      <c r="J302" s="98">
        <v>2017</v>
      </c>
      <c r="K302" s="99">
        <v>2</v>
      </c>
      <c r="L302" s="98">
        <v>2022</v>
      </c>
      <c r="M302" s="98" t="s">
        <v>226</v>
      </c>
      <c r="N302" s="99">
        <v>2.2219312030731624</v>
      </c>
      <c r="O302" s="100">
        <v>0</v>
      </c>
      <c r="P302" s="100">
        <v>0.19616685405163248</v>
      </c>
      <c r="Q302" s="100">
        <v>9.3007039707038094E-3</v>
      </c>
    </row>
    <row r="303" spans="1:17" x14ac:dyDescent="0.35">
      <c r="A303" s="98" t="s">
        <v>18</v>
      </c>
      <c r="B303" s="98" t="s">
        <v>156</v>
      </c>
      <c r="C303" s="98" t="s">
        <v>243</v>
      </c>
      <c r="D303" s="99">
        <v>1902226.5000000007</v>
      </c>
      <c r="E303" s="99">
        <v>2192011.5</v>
      </c>
      <c r="F303" s="99">
        <v>2388992.5000000005</v>
      </c>
      <c r="G303" s="99">
        <v>0</v>
      </c>
      <c r="H303" s="98" t="s">
        <v>225</v>
      </c>
      <c r="I303" s="99">
        <v>119</v>
      </c>
      <c r="J303" s="98">
        <v>2019</v>
      </c>
      <c r="K303" s="99">
        <v>115</v>
      </c>
      <c r="L303" s="98">
        <v>2020</v>
      </c>
      <c r="M303" s="98" t="s">
        <v>226</v>
      </c>
      <c r="N303" s="99">
        <v>127.76104417670683</v>
      </c>
      <c r="O303" s="100">
        <v>0</v>
      </c>
      <c r="P303" s="100">
        <v>0.54288036353823876</v>
      </c>
      <c r="Q303" s="100">
        <v>0.534790478315469</v>
      </c>
    </row>
    <row r="304" spans="1:17" x14ac:dyDescent="0.35">
      <c r="A304" s="98" t="s">
        <v>18</v>
      </c>
      <c r="B304" s="98" t="s">
        <v>156</v>
      </c>
      <c r="C304" s="98" t="s">
        <v>244</v>
      </c>
      <c r="D304" s="99">
        <v>1902226.5000000007</v>
      </c>
      <c r="E304" s="99">
        <v>2192011.5</v>
      </c>
      <c r="F304" s="99">
        <v>2388992.5000000005</v>
      </c>
      <c r="G304" s="99">
        <v>0</v>
      </c>
      <c r="H304" s="98" t="s">
        <v>225</v>
      </c>
      <c r="I304" s="99">
        <v>2</v>
      </c>
      <c r="J304" s="98">
        <v>2017</v>
      </c>
      <c r="K304" s="99">
        <v>1</v>
      </c>
      <c r="L304" s="98">
        <v>2017</v>
      </c>
      <c r="M304" s="98" t="s">
        <v>226</v>
      </c>
      <c r="N304" s="99">
        <v>1.1109656015365812</v>
      </c>
      <c r="O304" s="100">
        <v>0</v>
      </c>
      <c r="P304" s="100">
        <v>9.1240397233317439E-3</v>
      </c>
      <c r="Q304" s="100">
        <v>4.6503519853519047E-3</v>
      </c>
    </row>
    <row r="305" spans="1:17" x14ac:dyDescent="0.35">
      <c r="A305" s="98" t="s">
        <v>18</v>
      </c>
      <c r="B305" s="98" t="s">
        <v>156</v>
      </c>
      <c r="C305" s="98" t="s">
        <v>245</v>
      </c>
      <c r="D305" s="99">
        <v>1902226.5000000007</v>
      </c>
      <c r="E305" s="99">
        <v>2192011.5</v>
      </c>
      <c r="F305" s="99">
        <v>2388992.5000000005</v>
      </c>
      <c r="G305" s="99">
        <v>0</v>
      </c>
      <c r="H305" s="98" t="s">
        <v>225</v>
      </c>
      <c r="I305" s="99">
        <v>99</v>
      </c>
      <c r="J305" s="98">
        <v>2017</v>
      </c>
      <c r="K305" s="99">
        <v>112</v>
      </c>
      <c r="L305" s="98">
        <v>2020</v>
      </c>
      <c r="M305" s="98" t="s">
        <v>225</v>
      </c>
      <c r="N305" s="99">
        <v>112</v>
      </c>
      <c r="O305" s="100">
        <v>0</v>
      </c>
      <c r="P305" s="100">
        <v>0.45163996630492131</v>
      </c>
      <c r="Q305" s="100">
        <v>0.46881687573318032</v>
      </c>
    </row>
    <row r="306" spans="1:17" x14ac:dyDescent="0.35">
      <c r="A306" s="98" t="s">
        <v>20</v>
      </c>
      <c r="B306" s="98" t="s">
        <v>159</v>
      </c>
      <c r="C306" s="98" t="s">
        <v>224</v>
      </c>
      <c r="D306" s="99">
        <v>27525596.999999989</v>
      </c>
      <c r="E306" s="99">
        <v>30870640.5</v>
      </c>
      <c r="F306" s="99">
        <v>33475870.500000011</v>
      </c>
      <c r="G306" s="99">
        <v>5293</v>
      </c>
      <c r="H306" s="98">
        <v>2013</v>
      </c>
      <c r="I306" s="99">
        <v>15820</v>
      </c>
      <c r="J306" s="98">
        <v>2018</v>
      </c>
      <c r="K306" s="99">
        <v>15820</v>
      </c>
      <c r="L306" s="98">
        <v>2018</v>
      </c>
      <c r="M306" s="98" t="s">
        <v>225</v>
      </c>
      <c r="N306" s="99">
        <v>15820</v>
      </c>
      <c r="O306" s="100">
        <v>1.92293740259294</v>
      </c>
      <c r="P306" s="100">
        <v>5.1246102263411091</v>
      </c>
      <c r="Q306" s="100">
        <v>4.7257919700699027</v>
      </c>
    </row>
    <row r="307" spans="1:17" x14ac:dyDescent="0.35">
      <c r="A307" s="98" t="s">
        <v>20</v>
      </c>
      <c r="B307" s="98" t="s">
        <v>159</v>
      </c>
      <c r="C307" s="98" t="s">
        <v>227</v>
      </c>
      <c r="D307" s="99">
        <v>27525596.999999989</v>
      </c>
      <c r="E307" s="99">
        <v>30870640.5</v>
      </c>
      <c r="F307" s="99">
        <v>33475870.500000011</v>
      </c>
      <c r="G307" s="99">
        <v>4</v>
      </c>
      <c r="H307" s="98">
        <v>2013</v>
      </c>
      <c r="I307" s="99">
        <v>0</v>
      </c>
      <c r="J307" s="98" t="s">
        <v>225</v>
      </c>
      <c r="K307" s="99">
        <v>3321</v>
      </c>
      <c r="L307" s="98">
        <v>2022</v>
      </c>
      <c r="M307" s="98" t="s">
        <v>225</v>
      </c>
      <c r="N307" s="99">
        <v>3321</v>
      </c>
      <c r="O307" s="100">
        <v>1.4531928226661176E-3</v>
      </c>
      <c r="P307" s="100">
        <v>0</v>
      </c>
      <c r="Q307" s="100">
        <v>0.99205784656145057</v>
      </c>
    </row>
    <row r="308" spans="1:17" x14ac:dyDescent="0.35">
      <c r="A308" s="98" t="s">
        <v>20</v>
      </c>
      <c r="B308" s="98" t="s">
        <v>159</v>
      </c>
      <c r="C308" s="98" t="s">
        <v>228</v>
      </c>
      <c r="D308" s="99">
        <v>27525596.999999989</v>
      </c>
      <c r="E308" s="99">
        <v>30870640.5</v>
      </c>
      <c r="F308" s="99">
        <v>33475870.500000011</v>
      </c>
      <c r="G308" s="99">
        <v>351</v>
      </c>
      <c r="H308" s="98">
        <v>2013</v>
      </c>
      <c r="I308" s="99">
        <v>47</v>
      </c>
      <c r="J308" s="98" t="s">
        <v>229</v>
      </c>
      <c r="K308" s="99">
        <v>4778</v>
      </c>
      <c r="L308" s="98">
        <v>2022</v>
      </c>
      <c r="M308" s="98" t="s">
        <v>225</v>
      </c>
      <c r="N308" s="99">
        <v>4778</v>
      </c>
      <c r="O308" s="100">
        <v>0.1275176701889518</v>
      </c>
      <c r="P308" s="100">
        <v>1.5224821784957782E-2</v>
      </c>
      <c r="Q308" s="100">
        <v>1.4272967151070795</v>
      </c>
    </row>
    <row r="309" spans="1:17" x14ac:dyDescent="0.35">
      <c r="A309" s="98" t="s">
        <v>20</v>
      </c>
      <c r="B309" s="98" t="s">
        <v>159</v>
      </c>
      <c r="C309" s="98" t="s">
        <v>230</v>
      </c>
      <c r="D309" s="99">
        <v>27525596.999999989</v>
      </c>
      <c r="E309" s="99">
        <v>30870640.5</v>
      </c>
      <c r="F309" s="99">
        <v>33475870.500000011</v>
      </c>
      <c r="G309" s="99">
        <v>0</v>
      </c>
      <c r="H309" s="98" t="s">
        <v>225</v>
      </c>
      <c r="I309" s="99">
        <v>4059</v>
      </c>
      <c r="J309" s="98" t="s">
        <v>229</v>
      </c>
      <c r="K309" s="99">
        <v>3602</v>
      </c>
      <c r="L309" s="98">
        <v>2022</v>
      </c>
      <c r="M309" s="98" t="s">
        <v>226</v>
      </c>
      <c r="N309" s="99">
        <v>4345.9371270962411</v>
      </c>
      <c r="O309" s="100">
        <v>0</v>
      </c>
      <c r="P309" s="100">
        <v>1.3148415239392264</v>
      </c>
      <c r="Q309" s="100">
        <v>1.2982297583855928</v>
      </c>
    </row>
    <row r="310" spans="1:17" x14ac:dyDescent="0.35">
      <c r="A310" s="98" t="s">
        <v>20</v>
      </c>
      <c r="B310" s="98" t="s">
        <v>159</v>
      </c>
      <c r="C310" s="98" t="s">
        <v>231</v>
      </c>
      <c r="D310" s="99">
        <v>27525596.999999989</v>
      </c>
      <c r="E310" s="99">
        <v>30870640.5</v>
      </c>
      <c r="F310" s="99">
        <v>33475870.500000011</v>
      </c>
      <c r="G310" s="99">
        <v>0</v>
      </c>
      <c r="H310" s="98" t="s">
        <v>225</v>
      </c>
      <c r="I310" s="99">
        <v>1033</v>
      </c>
      <c r="J310" s="98" t="s">
        <v>229</v>
      </c>
      <c r="K310" s="99">
        <v>1033</v>
      </c>
      <c r="L310" s="98" t="s">
        <v>229</v>
      </c>
      <c r="M310" s="98" t="s">
        <v>225</v>
      </c>
      <c r="N310" s="99">
        <v>1033</v>
      </c>
      <c r="O310" s="100">
        <v>0</v>
      </c>
      <c r="P310" s="100">
        <v>0.33462214689066783</v>
      </c>
      <c r="Q310" s="100">
        <v>0.30858047440469089</v>
      </c>
    </row>
    <row r="311" spans="1:17" x14ac:dyDescent="0.35">
      <c r="A311" s="98" t="s">
        <v>20</v>
      </c>
      <c r="B311" s="98" t="s">
        <v>159</v>
      </c>
      <c r="C311" s="98" t="s">
        <v>232</v>
      </c>
      <c r="D311" s="99">
        <v>27525596.999999989</v>
      </c>
      <c r="E311" s="99">
        <v>30870640.5</v>
      </c>
      <c r="F311" s="99">
        <v>33475870.500000011</v>
      </c>
      <c r="G311" s="99">
        <v>0</v>
      </c>
      <c r="H311" s="98" t="s">
        <v>225</v>
      </c>
      <c r="I311" s="99">
        <v>167</v>
      </c>
      <c r="J311" s="98">
        <v>2017</v>
      </c>
      <c r="K311" s="99">
        <v>1550</v>
      </c>
      <c r="L311" s="98">
        <v>2022</v>
      </c>
      <c r="M311" s="98" t="s">
        <v>225</v>
      </c>
      <c r="N311" s="99">
        <v>1550</v>
      </c>
      <c r="O311" s="100">
        <v>0</v>
      </c>
      <c r="P311" s="100">
        <v>5.4096707193360627E-2</v>
      </c>
      <c r="Q311" s="100">
        <v>0.46302007292088176</v>
      </c>
    </row>
    <row r="312" spans="1:17" x14ac:dyDescent="0.35">
      <c r="A312" s="98" t="s">
        <v>20</v>
      </c>
      <c r="B312" s="98" t="s">
        <v>159</v>
      </c>
      <c r="C312" s="98" t="s">
        <v>233</v>
      </c>
      <c r="D312" s="99">
        <v>27525596.999999989</v>
      </c>
      <c r="E312" s="99">
        <v>30870640.5</v>
      </c>
      <c r="F312" s="99">
        <v>33475870.500000011</v>
      </c>
      <c r="G312" s="99">
        <v>0</v>
      </c>
      <c r="H312" s="98" t="s">
        <v>225</v>
      </c>
      <c r="I312" s="99">
        <v>1563</v>
      </c>
      <c r="J312" s="98">
        <v>2018</v>
      </c>
      <c r="K312" s="99">
        <v>4227</v>
      </c>
      <c r="L312" s="98">
        <v>2022</v>
      </c>
      <c r="M312" s="98" t="s">
        <v>225</v>
      </c>
      <c r="N312" s="99">
        <v>4227</v>
      </c>
      <c r="O312" s="100">
        <v>0</v>
      </c>
      <c r="P312" s="100">
        <v>0.50630630744444705</v>
      </c>
      <c r="Q312" s="100">
        <v>1.2627005472493982</v>
      </c>
    </row>
    <row r="313" spans="1:17" x14ac:dyDescent="0.35">
      <c r="A313" s="98" t="s">
        <v>20</v>
      </c>
      <c r="B313" s="98" t="s">
        <v>159</v>
      </c>
      <c r="C313" s="98" t="s">
        <v>234</v>
      </c>
      <c r="D313" s="99">
        <v>27525596.999999989</v>
      </c>
      <c r="E313" s="99">
        <v>30870640.5</v>
      </c>
      <c r="F313" s="99">
        <v>33475870.500000011</v>
      </c>
      <c r="G313" s="99">
        <v>0</v>
      </c>
      <c r="H313" s="98" t="s">
        <v>225</v>
      </c>
      <c r="I313" s="99">
        <v>1671</v>
      </c>
      <c r="J313" s="98" t="s">
        <v>229</v>
      </c>
      <c r="K313" s="99">
        <v>2471</v>
      </c>
      <c r="L313" s="98">
        <v>2022</v>
      </c>
      <c r="M313" s="98" t="s">
        <v>225</v>
      </c>
      <c r="N313" s="99">
        <v>2471</v>
      </c>
      <c r="O313" s="100">
        <v>0</v>
      </c>
      <c r="P313" s="100">
        <v>0.5412910043120096</v>
      </c>
      <c r="Q313" s="100">
        <v>0.73814361302419285</v>
      </c>
    </row>
    <row r="314" spans="1:17" x14ac:dyDescent="0.35">
      <c r="A314" s="98" t="s">
        <v>20</v>
      </c>
      <c r="B314" s="98" t="s">
        <v>159</v>
      </c>
      <c r="C314" s="98" t="s">
        <v>235</v>
      </c>
      <c r="D314" s="99">
        <v>27525596.999999989</v>
      </c>
      <c r="E314" s="99">
        <v>30870640.5</v>
      </c>
      <c r="F314" s="99">
        <v>33475870.500000011</v>
      </c>
      <c r="G314" s="99">
        <v>0</v>
      </c>
      <c r="H314" s="98" t="s">
        <v>225</v>
      </c>
      <c r="I314" s="99">
        <v>1476</v>
      </c>
      <c r="J314" s="98" t="s">
        <v>229</v>
      </c>
      <c r="K314" s="99">
        <v>2703</v>
      </c>
      <c r="L314" s="98">
        <v>2022</v>
      </c>
      <c r="M314" s="98" t="s">
        <v>225</v>
      </c>
      <c r="N314" s="99">
        <v>2703</v>
      </c>
      <c r="O314" s="100">
        <v>0</v>
      </c>
      <c r="P314" s="100">
        <v>0.47812419052335503</v>
      </c>
      <c r="Q314" s="100">
        <v>0.80744726264847966</v>
      </c>
    </row>
    <row r="315" spans="1:17" x14ac:dyDescent="0.35">
      <c r="A315" s="98" t="s">
        <v>20</v>
      </c>
      <c r="B315" s="98" t="s">
        <v>159</v>
      </c>
      <c r="C315" s="98" t="s">
        <v>236</v>
      </c>
      <c r="D315" s="99">
        <v>27525596.999999989</v>
      </c>
      <c r="E315" s="99">
        <v>30870640.5</v>
      </c>
      <c r="F315" s="99">
        <v>33475870.500000011</v>
      </c>
      <c r="G315" s="99">
        <v>0</v>
      </c>
      <c r="H315" s="98" t="s">
        <v>225</v>
      </c>
      <c r="I315" s="99">
        <v>3883</v>
      </c>
      <c r="J315" s="98" t="s">
        <v>229</v>
      </c>
      <c r="K315" s="99">
        <v>3555</v>
      </c>
      <c r="L315" s="98">
        <v>2022</v>
      </c>
      <c r="M315" s="98" t="s">
        <v>226</v>
      </c>
      <c r="N315" s="99">
        <v>4289.2300074478444</v>
      </c>
      <c r="O315" s="100">
        <v>0</v>
      </c>
      <c r="P315" s="100">
        <v>1.2578294253402356</v>
      </c>
      <c r="Q315" s="100">
        <v>1.2812900585954421</v>
      </c>
    </row>
    <row r="316" spans="1:17" x14ac:dyDescent="0.35">
      <c r="A316" s="98" t="s">
        <v>20</v>
      </c>
      <c r="B316" s="98" t="s">
        <v>159</v>
      </c>
      <c r="C316" s="98" t="s">
        <v>237</v>
      </c>
      <c r="D316" s="99">
        <v>27525596.999999989</v>
      </c>
      <c r="E316" s="99">
        <v>30870640.5</v>
      </c>
      <c r="F316" s="99">
        <v>33475870.500000011</v>
      </c>
      <c r="G316" s="99">
        <v>0</v>
      </c>
      <c r="H316" s="98" t="s">
        <v>225</v>
      </c>
      <c r="I316" s="99">
        <v>143</v>
      </c>
      <c r="J316" s="98" t="s">
        <v>229</v>
      </c>
      <c r="K316" s="99">
        <v>309</v>
      </c>
      <c r="L316" s="98">
        <v>2022</v>
      </c>
      <c r="M316" s="98" t="s">
        <v>225</v>
      </c>
      <c r="N316" s="99">
        <v>309</v>
      </c>
      <c r="O316" s="100">
        <v>0</v>
      </c>
      <c r="P316" s="100">
        <v>4.6322330111680063E-2</v>
      </c>
      <c r="Q316" s="100">
        <v>9.2305291956485458E-2</v>
      </c>
    </row>
    <row r="317" spans="1:17" x14ac:dyDescent="0.35">
      <c r="A317" s="98" t="s">
        <v>20</v>
      </c>
      <c r="B317" s="98" t="s">
        <v>159</v>
      </c>
      <c r="C317" s="98" t="s">
        <v>238</v>
      </c>
      <c r="D317" s="99">
        <v>27525596.999999989</v>
      </c>
      <c r="E317" s="99">
        <v>30870640.5</v>
      </c>
      <c r="F317" s="99">
        <v>33475870.500000011</v>
      </c>
      <c r="G317" s="99">
        <v>0</v>
      </c>
      <c r="H317" s="98" t="s">
        <v>225</v>
      </c>
      <c r="I317" s="99">
        <v>23627</v>
      </c>
      <c r="J317" s="98" t="s">
        <v>229</v>
      </c>
      <c r="K317" s="99">
        <v>23627</v>
      </c>
      <c r="L317" s="98" t="s">
        <v>229</v>
      </c>
      <c r="M317" s="98" t="s">
        <v>225</v>
      </c>
      <c r="N317" s="99">
        <v>23627</v>
      </c>
      <c r="O317" s="100">
        <v>0</v>
      </c>
      <c r="P317" s="100">
        <v>7.6535503045361173</v>
      </c>
      <c r="Q317" s="100">
        <v>7.0579195244526929</v>
      </c>
    </row>
    <row r="318" spans="1:17" x14ac:dyDescent="0.35">
      <c r="A318" s="98" t="s">
        <v>20</v>
      </c>
      <c r="B318" s="98" t="s">
        <v>159</v>
      </c>
      <c r="C318" s="98" t="s">
        <v>239</v>
      </c>
      <c r="D318" s="99">
        <v>27525596.999999989</v>
      </c>
      <c r="E318" s="99">
        <v>30870640.5</v>
      </c>
      <c r="F318" s="99">
        <v>33475870.500000011</v>
      </c>
      <c r="G318" s="99">
        <v>0</v>
      </c>
      <c r="H318" s="98" t="s">
        <v>225</v>
      </c>
      <c r="I318" s="99">
        <v>1877</v>
      </c>
      <c r="J318" s="98" t="s">
        <v>229</v>
      </c>
      <c r="K318" s="99">
        <v>1877</v>
      </c>
      <c r="L318" s="98" t="s">
        <v>229</v>
      </c>
      <c r="M318" s="98" t="s">
        <v>225</v>
      </c>
      <c r="N318" s="99">
        <v>1877</v>
      </c>
      <c r="O318" s="100">
        <v>0</v>
      </c>
      <c r="P318" s="100">
        <v>0.60802107426310126</v>
      </c>
      <c r="Q318" s="100">
        <v>0.56070237217580332</v>
      </c>
    </row>
    <row r="319" spans="1:17" x14ac:dyDescent="0.35">
      <c r="A319" s="98" t="s">
        <v>20</v>
      </c>
      <c r="B319" s="98" t="s">
        <v>159</v>
      </c>
      <c r="C319" s="98" t="s">
        <v>240</v>
      </c>
      <c r="D319" s="99">
        <v>27525596.999999989</v>
      </c>
      <c r="E319" s="99">
        <v>30870640.5</v>
      </c>
      <c r="F319" s="99">
        <v>33475870.500000011</v>
      </c>
      <c r="G319" s="99">
        <v>3987</v>
      </c>
      <c r="H319" s="98">
        <v>2013</v>
      </c>
      <c r="I319" s="99">
        <v>1563</v>
      </c>
      <c r="J319" s="98" t="s">
        <v>229</v>
      </c>
      <c r="K319" s="99">
        <v>3748</v>
      </c>
      <c r="L319" s="98">
        <v>2022</v>
      </c>
      <c r="M319" s="98" t="s">
        <v>225</v>
      </c>
      <c r="N319" s="99">
        <v>3748</v>
      </c>
      <c r="O319" s="100">
        <v>1.4484699459924526</v>
      </c>
      <c r="P319" s="100">
        <v>0.50630630744444705</v>
      </c>
      <c r="Q319" s="100">
        <v>1.1196124085854613</v>
      </c>
    </row>
    <row r="320" spans="1:17" x14ac:dyDescent="0.35">
      <c r="A320" s="98" t="s">
        <v>20</v>
      </c>
      <c r="B320" s="98" t="s">
        <v>159</v>
      </c>
      <c r="C320" s="98" t="s">
        <v>241</v>
      </c>
      <c r="D320" s="99">
        <v>27525596.999999989</v>
      </c>
      <c r="E320" s="99">
        <v>30870640.5</v>
      </c>
      <c r="F320" s="99">
        <v>33475870.500000011</v>
      </c>
      <c r="G320" s="99">
        <v>0</v>
      </c>
      <c r="H320" s="98" t="s">
        <v>225</v>
      </c>
      <c r="I320" s="99">
        <v>2116</v>
      </c>
      <c r="J320" s="98" t="s">
        <v>229</v>
      </c>
      <c r="K320" s="99">
        <v>2656</v>
      </c>
      <c r="L320" s="98">
        <v>2022</v>
      </c>
      <c r="M320" s="98" t="s">
        <v>225</v>
      </c>
      <c r="N320" s="99">
        <v>2656</v>
      </c>
      <c r="O320" s="100">
        <v>0</v>
      </c>
      <c r="P320" s="100">
        <v>0.68544091270150354</v>
      </c>
      <c r="Q320" s="100">
        <v>0.79340729914700769</v>
      </c>
    </row>
    <row r="321" spans="1:17" x14ac:dyDescent="0.35">
      <c r="A321" s="98" t="s">
        <v>20</v>
      </c>
      <c r="B321" s="98" t="s">
        <v>159</v>
      </c>
      <c r="C321" s="98" t="s">
        <v>242</v>
      </c>
      <c r="D321" s="99">
        <v>27525596.999999989</v>
      </c>
      <c r="E321" s="99">
        <v>30870640.5</v>
      </c>
      <c r="F321" s="99">
        <v>33475870.500000011</v>
      </c>
      <c r="G321" s="99">
        <v>0</v>
      </c>
      <c r="H321" s="98" t="s">
        <v>225</v>
      </c>
      <c r="I321" s="99">
        <v>304</v>
      </c>
      <c r="J321" s="98" t="s">
        <v>229</v>
      </c>
      <c r="K321" s="99">
        <v>381</v>
      </c>
      <c r="L321" s="98">
        <v>2022</v>
      </c>
      <c r="M321" s="98" t="s">
        <v>225</v>
      </c>
      <c r="N321" s="99">
        <v>381</v>
      </c>
      <c r="O321" s="100">
        <v>0</v>
      </c>
      <c r="P321" s="100">
        <v>9.8475443034620552E-2</v>
      </c>
      <c r="Q321" s="100">
        <v>0.11381332115022964</v>
      </c>
    </row>
    <row r="322" spans="1:17" x14ac:dyDescent="0.35">
      <c r="A322" s="98" t="s">
        <v>20</v>
      </c>
      <c r="B322" s="98" t="s">
        <v>159</v>
      </c>
      <c r="C322" s="98" t="s">
        <v>243</v>
      </c>
      <c r="D322" s="99">
        <v>27525596.999999989</v>
      </c>
      <c r="E322" s="99">
        <v>30870640.5</v>
      </c>
      <c r="F322" s="99">
        <v>33475870.500000011</v>
      </c>
      <c r="G322" s="99">
        <v>6118</v>
      </c>
      <c r="H322" s="98">
        <v>2013</v>
      </c>
      <c r="I322" s="99">
        <v>0</v>
      </c>
      <c r="J322" s="98" t="s">
        <v>225</v>
      </c>
      <c r="K322" s="99">
        <v>0</v>
      </c>
      <c r="L322" s="98" t="s">
        <v>225</v>
      </c>
      <c r="M322" s="98" t="s">
        <v>225</v>
      </c>
      <c r="N322" s="99">
        <v>0</v>
      </c>
      <c r="O322" s="100">
        <v>2.2226584222678269</v>
      </c>
      <c r="P322" s="100">
        <v>0</v>
      </c>
      <c r="Q322" s="100">
        <v>0</v>
      </c>
    </row>
    <row r="323" spans="1:17" x14ac:dyDescent="0.35">
      <c r="A323" s="98" t="s">
        <v>20</v>
      </c>
      <c r="B323" s="98" t="s">
        <v>159</v>
      </c>
      <c r="C323" s="98" t="s">
        <v>244</v>
      </c>
      <c r="D323" s="99">
        <v>27525596.999999989</v>
      </c>
      <c r="E323" s="99">
        <v>30870640.5</v>
      </c>
      <c r="F323" s="99">
        <v>33475870.500000011</v>
      </c>
      <c r="G323" s="99">
        <v>0</v>
      </c>
      <c r="H323" s="98" t="s">
        <v>225</v>
      </c>
      <c r="I323" s="99">
        <v>0</v>
      </c>
      <c r="J323" s="98" t="s">
        <v>225</v>
      </c>
      <c r="K323" s="99">
        <v>30</v>
      </c>
      <c r="L323" s="98">
        <v>2022</v>
      </c>
      <c r="M323" s="98" t="s">
        <v>225</v>
      </c>
      <c r="N323" s="99">
        <v>30</v>
      </c>
      <c r="O323" s="100">
        <v>0</v>
      </c>
      <c r="P323" s="100">
        <v>0</v>
      </c>
      <c r="Q323" s="100">
        <v>8.9616788307267433E-3</v>
      </c>
    </row>
    <row r="324" spans="1:17" x14ac:dyDescent="0.35">
      <c r="A324" s="98" t="s">
        <v>20</v>
      </c>
      <c r="B324" s="98" t="s">
        <v>159</v>
      </c>
      <c r="C324" s="98" t="s">
        <v>245</v>
      </c>
      <c r="D324" s="99">
        <v>27525596.999999989</v>
      </c>
      <c r="E324" s="99">
        <v>30870640.5</v>
      </c>
      <c r="F324" s="99">
        <v>33475870.500000011</v>
      </c>
      <c r="G324" s="99">
        <v>8638</v>
      </c>
      <c r="H324" s="98">
        <v>2013</v>
      </c>
      <c r="I324" s="99">
        <v>3468</v>
      </c>
      <c r="J324" s="98" t="s">
        <v>229</v>
      </c>
      <c r="K324" s="99">
        <v>7</v>
      </c>
      <c r="L324" s="98">
        <v>2021</v>
      </c>
      <c r="M324" s="98" t="s">
        <v>226</v>
      </c>
      <c r="N324" s="99">
        <v>8.4457412242292307</v>
      </c>
      <c r="O324" s="100">
        <v>3.1381699005474806</v>
      </c>
      <c r="P324" s="100">
        <v>1.1233974883028424</v>
      </c>
      <c r="Q324" s="100">
        <v>2.5229340112990425E-3</v>
      </c>
    </row>
    <row r="325" spans="1:17" x14ac:dyDescent="0.35">
      <c r="A325" s="98" t="s">
        <v>21</v>
      </c>
      <c r="B325" s="98" t="s">
        <v>160</v>
      </c>
      <c r="C325" s="98" t="s">
        <v>224</v>
      </c>
      <c r="D325" s="99">
        <v>11055430.000000004</v>
      </c>
      <c r="E325" s="99">
        <v>12554864.499999998</v>
      </c>
      <c r="F325" s="99">
        <v>13859340.500000006</v>
      </c>
      <c r="G325" s="99">
        <v>6700</v>
      </c>
      <c r="H325" s="98">
        <v>2015</v>
      </c>
      <c r="I325" s="99">
        <v>16567</v>
      </c>
      <c r="J325" s="98">
        <v>2018</v>
      </c>
      <c r="K325" s="99">
        <v>16567</v>
      </c>
      <c r="L325" s="98">
        <v>2018</v>
      </c>
      <c r="M325" s="98" t="s">
        <v>225</v>
      </c>
      <c r="N325" s="99">
        <v>16567</v>
      </c>
      <c r="O325" s="100">
        <v>6.0603703338540411</v>
      </c>
      <c r="P325" s="100">
        <v>13.195682040216365</v>
      </c>
      <c r="Q325" s="100">
        <v>11.953671244313533</v>
      </c>
    </row>
    <row r="326" spans="1:17" x14ac:dyDescent="0.35">
      <c r="A326" s="98" t="s">
        <v>21</v>
      </c>
      <c r="B326" s="98" t="s">
        <v>160</v>
      </c>
      <c r="C326" s="98" t="s">
        <v>227</v>
      </c>
      <c r="D326" s="99">
        <v>11055430.000000004</v>
      </c>
      <c r="E326" s="99">
        <v>12554864.499999998</v>
      </c>
      <c r="F326" s="99">
        <v>13859340.500000006</v>
      </c>
      <c r="G326" s="99">
        <v>0</v>
      </c>
      <c r="H326" s="98" t="s">
        <v>225</v>
      </c>
      <c r="I326" s="99">
        <v>0</v>
      </c>
      <c r="J326" s="98" t="s">
        <v>225</v>
      </c>
      <c r="K326" s="99">
        <v>0</v>
      </c>
      <c r="L326" s="98" t="s">
        <v>225</v>
      </c>
      <c r="M326" s="98" t="s">
        <v>225</v>
      </c>
      <c r="N326" s="99">
        <v>0</v>
      </c>
      <c r="O326" s="100">
        <v>0</v>
      </c>
      <c r="P326" s="100">
        <v>0</v>
      </c>
      <c r="Q326" s="100">
        <v>0</v>
      </c>
    </row>
    <row r="327" spans="1:17" x14ac:dyDescent="0.35">
      <c r="A327" s="98" t="s">
        <v>21</v>
      </c>
      <c r="B327" s="98" t="s">
        <v>160</v>
      </c>
      <c r="C327" s="98" t="s">
        <v>228</v>
      </c>
      <c r="D327" s="99">
        <v>11055430.000000004</v>
      </c>
      <c r="E327" s="99">
        <v>12554864.499999998</v>
      </c>
      <c r="F327" s="99">
        <v>13859340.500000006</v>
      </c>
      <c r="G327" s="99">
        <v>0</v>
      </c>
      <c r="H327" s="98" t="s">
        <v>225</v>
      </c>
      <c r="I327" s="99">
        <v>363</v>
      </c>
      <c r="J327" s="98">
        <v>2019</v>
      </c>
      <c r="K327" s="99">
        <v>363</v>
      </c>
      <c r="L327" s="98">
        <v>2019</v>
      </c>
      <c r="M327" s="98" t="s">
        <v>225</v>
      </c>
      <c r="N327" s="99">
        <v>363</v>
      </c>
      <c r="O327" s="100">
        <v>0</v>
      </c>
      <c r="P327" s="100">
        <v>0.28913095796454041</v>
      </c>
      <c r="Q327" s="100">
        <v>0.26191722470488393</v>
      </c>
    </row>
    <row r="328" spans="1:17" x14ac:dyDescent="0.35">
      <c r="A328" s="98" t="s">
        <v>21</v>
      </c>
      <c r="B328" s="98" t="s">
        <v>160</v>
      </c>
      <c r="C328" s="98" t="s">
        <v>230</v>
      </c>
      <c r="D328" s="99">
        <v>11055430.000000004</v>
      </c>
      <c r="E328" s="99">
        <v>12554864.499999998</v>
      </c>
      <c r="F328" s="99">
        <v>13859340.500000006</v>
      </c>
      <c r="G328" s="99">
        <v>0</v>
      </c>
      <c r="H328" s="98" t="s">
        <v>225</v>
      </c>
      <c r="I328" s="99">
        <v>1</v>
      </c>
      <c r="J328" s="98" t="s">
        <v>229</v>
      </c>
      <c r="K328" s="99">
        <v>1</v>
      </c>
      <c r="L328" s="98" t="s">
        <v>229</v>
      </c>
      <c r="M328" s="98" t="s">
        <v>225</v>
      </c>
      <c r="N328" s="99">
        <v>1</v>
      </c>
      <c r="O328" s="100">
        <v>0</v>
      </c>
      <c r="P328" s="100">
        <v>7.9650401643124077E-4</v>
      </c>
      <c r="Q328" s="100">
        <v>7.2153505428342686E-4</v>
      </c>
    </row>
    <row r="329" spans="1:17" x14ac:dyDescent="0.35">
      <c r="A329" s="98" t="s">
        <v>21</v>
      </c>
      <c r="B329" s="98" t="s">
        <v>160</v>
      </c>
      <c r="C329" s="98" t="s">
        <v>231</v>
      </c>
      <c r="D329" s="99">
        <v>11055430.000000004</v>
      </c>
      <c r="E329" s="99">
        <v>12554864.499999998</v>
      </c>
      <c r="F329" s="99">
        <v>13859340.500000006</v>
      </c>
      <c r="G329" s="99">
        <v>0</v>
      </c>
      <c r="H329" s="98" t="s">
        <v>225</v>
      </c>
      <c r="I329" s="99">
        <v>189</v>
      </c>
      <c r="J329" s="98" t="s">
        <v>229</v>
      </c>
      <c r="K329" s="99">
        <v>189</v>
      </c>
      <c r="L329" s="98" t="s">
        <v>229</v>
      </c>
      <c r="M329" s="98" t="s">
        <v>225</v>
      </c>
      <c r="N329" s="99">
        <v>189</v>
      </c>
      <c r="O329" s="100">
        <v>0</v>
      </c>
      <c r="P329" s="100">
        <v>0.1505392591055045</v>
      </c>
      <c r="Q329" s="100">
        <v>0.13637012525956768</v>
      </c>
    </row>
    <row r="330" spans="1:17" x14ac:dyDescent="0.35">
      <c r="A330" s="98" t="s">
        <v>21</v>
      </c>
      <c r="B330" s="98" t="s">
        <v>160</v>
      </c>
      <c r="C330" s="98" t="s">
        <v>232</v>
      </c>
      <c r="D330" s="99">
        <v>11055430.000000004</v>
      </c>
      <c r="E330" s="99">
        <v>12554864.499999998</v>
      </c>
      <c r="F330" s="99">
        <v>13859340.500000006</v>
      </c>
      <c r="G330" s="99">
        <v>0</v>
      </c>
      <c r="H330" s="98" t="s">
        <v>225</v>
      </c>
      <c r="I330" s="99">
        <v>0</v>
      </c>
      <c r="J330" s="98" t="s">
        <v>225</v>
      </c>
      <c r="K330" s="99">
        <v>0</v>
      </c>
      <c r="L330" s="98" t="s">
        <v>225</v>
      </c>
      <c r="M330" s="98" t="s">
        <v>225</v>
      </c>
      <c r="N330" s="99">
        <v>0</v>
      </c>
      <c r="O330" s="100">
        <v>0</v>
      </c>
      <c r="P330" s="100">
        <v>0</v>
      </c>
      <c r="Q330" s="100">
        <v>0</v>
      </c>
    </row>
    <row r="331" spans="1:17" x14ac:dyDescent="0.35">
      <c r="A331" s="98" t="s">
        <v>21</v>
      </c>
      <c r="B331" s="98" t="s">
        <v>160</v>
      </c>
      <c r="C331" s="98" t="s">
        <v>233</v>
      </c>
      <c r="D331" s="99">
        <v>11055430.000000004</v>
      </c>
      <c r="E331" s="99">
        <v>12554864.499999998</v>
      </c>
      <c r="F331" s="99">
        <v>13859340.500000006</v>
      </c>
      <c r="G331" s="99">
        <v>0</v>
      </c>
      <c r="H331" s="98" t="s">
        <v>225</v>
      </c>
      <c r="I331" s="99">
        <v>181</v>
      </c>
      <c r="J331" s="98">
        <v>2018</v>
      </c>
      <c r="K331" s="99">
        <v>181</v>
      </c>
      <c r="L331" s="98">
        <v>2018</v>
      </c>
      <c r="M331" s="98" t="s">
        <v>225</v>
      </c>
      <c r="N331" s="99">
        <v>181</v>
      </c>
      <c r="O331" s="100">
        <v>0</v>
      </c>
      <c r="P331" s="100">
        <v>0.14416722697405457</v>
      </c>
      <c r="Q331" s="100">
        <v>0.13059784482530026</v>
      </c>
    </row>
    <row r="332" spans="1:17" x14ac:dyDescent="0.35">
      <c r="A332" s="98" t="s">
        <v>21</v>
      </c>
      <c r="B332" s="98" t="s">
        <v>160</v>
      </c>
      <c r="C332" s="98" t="s">
        <v>234</v>
      </c>
      <c r="D332" s="99">
        <v>11055430.000000004</v>
      </c>
      <c r="E332" s="99">
        <v>12554864.499999998</v>
      </c>
      <c r="F332" s="99">
        <v>13859340.500000006</v>
      </c>
      <c r="G332" s="99">
        <v>0</v>
      </c>
      <c r="H332" s="98" t="s">
        <v>225</v>
      </c>
      <c r="I332" s="99">
        <v>0</v>
      </c>
      <c r="J332" s="98" t="s">
        <v>225</v>
      </c>
      <c r="K332" s="99">
        <v>0</v>
      </c>
      <c r="L332" s="98" t="s">
        <v>225</v>
      </c>
      <c r="M332" s="98" t="s">
        <v>225</v>
      </c>
      <c r="N332" s="99">
        <v>0</v>
      </c>
      <c r="O332" s="100">
        <v>0</v>
      </c>
      <c r="P332" s="100">
        <v>0</v>
      </c>
      <c r="Q332" s="100">
        <v>0</v>
      </c>
    </row>
    <row r="333" spans="1:17" x14ac:dyDescent="0.35">
      <c r="A333" s="98" t="s">
        <v>21</v>
      </c>
      <c r="B333" s="98" t="s">
        <v>160</v>
      </c>
      <c r="C333" s="98" t="s">
        <v>235</v>
      </c>
      <c r="D333" s="99">
        <v>11055430.000000004</v>
      </c>
      <c r="E333" s="99">
        <v>12554864.499999998</v>
      </c>
      <c r="F333" s="99">
        <v>13859340.500000006</v>
      </c>
      <c r="G333" s="99">
        <v>0</v>
      </c>
      <c r="H333" s="98" t="s">
        <v>225</v>
      </c>
      <c r="I333" s="99">
        <v>0</v>
      </c>
      <c r="J333" s="98" t="s">
        <v>225</v>
      </c>
      <c r="K333" s="99">
        <v>0</v>
      </c>
      <c r="L333" s="98" t="s">
        <v>225</v>
      </c>
      <c r="M333" s="98" t="s">
        <v>225</v>
      </c>
      <c r="N333" s="99">
        <v>0</v>
      </c>
      <c r="O333" s="100">
        <v>0</v>
      </c>
      <c r="P333" s="100">
        <v>0</v>
      </c>
      <c r="Q333" s="100">
        <v>0</v>
      </c>
    </row>
    <row r="334" spans="1:17" x14ac:dyDescent="0.35">
      <c r="A334" s="98" t="s">
        <v>21</v>
      </c>
      <c r="B334" s="98" t="s">
        <v>160</v>
      </c>
      <c r="C334" s="98" t="s">
        <v>236</v>
      </c>
      <c r="D334" s="99">
        <v>11055430.000000004</v>
      </c>
      <c r="E334" s="99">
        <v>12554864.499999998</v>
      </c>
      <c r="F334" s="99">
        <v>13859340.500000006</v>
      </c>
      <c r="G334" s="99">
        <v>0</v>
      </c>
      <c r="H334" s="98" t="s">
        <v>225</v>
      </c>
      <c r="I334" s="99">
        <v>66</v>
      </c>
      <c r="J334" s="98" t="s">
        <v>229</v>
      </c>
      <c r="K334" s="99">
        <v>66</v>
      </c>
      <c r="L334" s="98" t="s">
        <v>229</v>
      </c>
      <c r="M334" s="98" t="s">
        <v>225</v>
      </c>
      <c r="N334" s="99">
        <v>66</v>
      </c>
      <c r="O334" s="100">
        <v>0</v>
      </c>
      <c r="P334" s="100">
        <v>5.2569265084461893E-2</v>
      </c>
      <c r="Q334" s="100">
        <v>4.7621313582706173E-2</v>
      </c>
    </row>
    <row r="335" spans="1:17" x14ac:dyDescent="0.35">
      <c r="A335" s="98" t="s">
        <v>21</v>
      </c>
      <c r="B335" s="98" t="s">
        <v>160</v>
      </c>
      <c r="C335" s="98" t="s">
        <v>237</v>
      </c>
      <c r="D335" s="99">
        <v>11055430.000000004</v>
      </c>
      <c r="E335" s="99">
        <v>12554864.499999998</v>
      </c>
      <c r="F335" s="99">
        <v>13859340.500000006</v>
      </c>
      <c r="G335" s="99">
        <v>0</v>
      </c>
      <c r="H335" s="98" t="s">
        <v>225</v>
      </c>
      <c r="I335" s="99">
        <v>0</v>
      </c>
      <c r="J335" s="98" t="s">
        <v>225</v>
      </c>
      <c r="K335" s="99">
        <v>0</v>
      </c>
      <c r="L335" s="98" t="s">
        <v>225</v>
      </c>
      <c r="M335" s="98" t="s">
        <v>225</v>
      </c>
      <c r="N335" s="99">
        <v>0</v>
      </c>
      <c r="O335" s="100">
        <v>0</v>
      </c>
      <c r="P335" s="100">
        <v>0</v>
      </c>
      <c r="Q335" s="100">
        <v>0</v>
      </c>
    </row>
    <row r="336" spans="1:17" x14ac:dyDescent="0.35">
      <c r="A336" s="98" t="s">
        <v>21</v>
      </c>
      <c r="B336" s="98" t="s">
        <v>160</v>
      </c>
      <c r="C336" s="98" t="s">
        <v>238</v>
      </c>
      <c r="D336" s="99">
        <v>11055430.000000004</v>
      </c>
      <c r="E336" s="99">
        <v>12554864.499999998</v>
      </c>
      <c r="F336" s="99">
        <v>13859340.500000006</v>
      </c>
      <c r="G336" s="99">
        <v>0</v>
      </c>
      <c r="H336" s="98" t="s">
        <v>225</v>
      </c>
      <c r="I336" s="99">
        <v>481</v>
      </c>
      <c r="J336" s="98" t="s">
        <v>229</v>
      </c>
      <c r="K336" s="99">
        <v>481</v>
      </c>
      <c r="L336" s="98" t="s">
        <v>229</v>
      </c>
      <c r="M336" s="98" t="s">
        <v>225</v>
      </c>
      <c r="N336" s="99">
        <v>481</v>
      </c>
      <c r="O336" s="100">
        <v>0</v>
      </c>
      <c r="P336" s="100">
        <v>0.38311843190342681</v>
      </c>
      <c r="Q336" s="100">
        <v>0.34705836111032828</v>
      </c>
    </row>
    <row r="337" spans="1:17" x14ac:dyDescent="0.35">
      <c r="A337" s="98" t="s">
        <v>21</v>
      </c>
      <c r="B337" s="98" t="s">
        <v>160</v>
      </c>
      <c r="C337" s="98" t="s">
        <v>239</v>
      </c>
      <c r="D337" s="99">
        <v>11055430.000000004</v>
      </c>
      <c r="E337" s="99">
        <v>12554864.499999998</v>
      </c>
      <c r="F337" s="99">
        <v>13859340.500000006</v>
      </c>
      <c r="G337" s="99">
        <v>0</v>
      </c>
      <c r="H337" s="98" t="s">
        <v>225</v>
      </c>
      <c r="I337" s="99">
        <v>0</v>
      </c>
      <c r="J337" s="98" t="s">
        <v>225</v>
      </c>
      <c r="K337" s="99">
        <v>0</v>
      </c>
      <c r="L337" s="98" t="s">
        <v>225</v>
      </c>
      <c r="M337" s="98" t="s">
        <v>225</v>
      </c>
      <c r="N337" s="99">
        <v>0</v>
      </c>
      <c r="O337" s="100">
        <v>0</v>
      </c>
      <c r="P337" s="100">
        <v>0</v>
      </c>
      <c r="Q337" s="100">
        <v>0</v>
      </c>
    </row>
    <row r="338" spans="1:17" x14ac:dyDescent="0.35">
      <c r="A338" s="98" t="s">
        <v>21</v>
      </c>
      <c r="B338" s="98" t="s">
        <v>160</v>
      </c>
      <c r="C338" s="98" t="s">
        <v>240</v>
      </c>
      <c r="D338" s="99">
        <v>11055430.000000004</v>
      </c>
      <c r="E338" s="99">
        <v>12554864.499999998</v>
      </c>
      <c r="F338" s="99">
        <v>13859340.500000006</v>
      </c>
      <c r="G338" s="99">
        <v>0</v>
      </c>
      <c r="H338" s="98" t="s">
        <v>225</v>
      </c>
      <c r="I338" s="99">
        <v>181</v>
      </c>
      <c r="J338" s="98" t="s">
        <v>229</v>
      </c>
      <c r="K338" s="99">
        <v>181</v>
      </c>
      <c r="L338" s="98" t="s">
        <v>229</v>
      </c>
      <c r="M338" s="98" t="s">
        <v>225</v>
      </c>
      <c r="N338" s="99">
        <v>181</v>
      </c>
      <c r="O338" s="100">
        <v>0</v>
      </c>
      <c r="P338" s="100">
        <v>0.14416722697405457</v>
      </c>
      <c r="Q338" s="100">
        <v>0.13059784482530026</v>
      </c>
    </row>
    <row r="339" spans="1:17" x14ac:dyDescent="0.35">
      <c r="A339" s="98" t="s">
        <v>21</v>
      </c>
      <c r="B339" s="98" t="s">
        <v>160</v>
      </c>
      <c r="C339" s="98" t="s">
        <v>241</v>
      </c>
      <c r="D339" s="99">
        <v>11055430.000000004</v>
      </c>
      <c r="E339" s="99">
        <v>12554864.499999998</v>
      </c>
      <c r="F339" s="99">
        <v>13859340.500000006</v>
      </c>
      <c r="G339" s="99">
        <v>0</v>
      </c>
      <c r="H339" s="98" t="s">
        <v>225</v>
      </c>
      <c r="I339" s="99">
        <v>62</v>
      </c>
      <c r="J339" s="98" t="s">
        <v>229</v>
      </c>
      <c r="K339" s="99">
        <v>62</v>
      </c>
      <c r="L339" s="98" t="s">
        <v>229</v>
      </c>
      <c r="M339" s="98" t="s">
        <v>225</v>
      </c>
      <c r="N339" s="99">
        <v>62</v>
      </c>
      <c r="O339" s="100">
        <v>0</v>
      </c>
      <c r="P339" s="100">
        <v>4.9383249018736926E-2</v>
      </c>
      <c r="Q339" s="100">
        <v>4.4735173365572464E-2</v>
      </c>
    </row>
    <row r="340" spans="1:17" x14ac:dyDescent="0.35">
      <c r="A340" s="98" t="s">
        <v>21</v>
      </c>
      <c r="B340" s="98" t="s">
        <v>160</v>
      </c>
      <c r="C340" s="98" t="s">
        <v>242</v>
      </c>
      <c r="D340" s="99">
        <v>11055430.000000004</v>
      </c>
      <c r="E340" s="99">
        <v>12554864.499999998</v>
      </c>
      <c r="F340" s="99">
        <v>13859340.500000006</v>
      </c>
      <c r="G340" s="99">
        <v>0</v>
      </c>
      <c r="H340" s="98" t="s">
        <v>225</v>
      </c>
      <c r="I340" s="99">
        <v>0</v>
      </c>
      <c r="J340" s="98" t="s">
        <v>225</v>
      </c>
      <c r="K340" s="99">
        <v>0</v>
      </c>
      <c r="L340" s="98" t="s">
        <v>225</v>
      </c>
      <c r="M340" s="98" t="s">
        <v>225</v>
      </c>
      <c r="N340" s="99">
        <v>0</v>
      </c>
      <c r="O340" s="100">
        <v>0</v>
      </c>
      <c r="P340" s="100">
        <v>0</v>
      </c>
      <c r="Q340" s="100">
        <v>0</v>
      </c>
    </row>
    <row r="341" spans="1:17" x14ac:dyDescent="0.35">
      <c r="A341" s="98" t="s">
        <v>21</v>
      </c>
      <c r="B341" s="98" t="s">
        <v>160</v>
      </c>
      <c r="C341" s="98" t="s">
        <v>243</v>
      </c>
      <c r="D341" s="99">
        <v>11055430.000000004</v>
      </c>
      <c r="E341" s="99">
        <v>12554864.499999998</v>
      </c>
      <c r="F341" s="99">
        <v>13859340.500000006</v>
      </c>
      <c r="G341" s="99">
        <v>0</v>
      </c>
      <c r="H341" s="98" t="s">
        <v>225</v>
      </c>
      <c r="I341" s="99">
        <v>0</v>
      </c>
      <c r="J341" s="98" t="s">
        <v>225</v>
      </c>
      <c r="K341" s="99">
        <v>0</v>
      </c>
      <c r="L341" s="98" t="s">
        <v>225</v>
      </c>
      <c r="M341" s="98" t="s">
        <v>225</v>
      </c>
      <c r="N341" s="99">
        <v>0</v>
      </c>
      <c r="O341" s="100">
        <v>0</v>
      </c>
      <c r="P341" s="100">
        <v>0</v>
      </c>
      <c r="Q341" s="100">
        <v>0</v>
      </c>
    </row>
    <row r="342" spans="1:17" x14ac:dyDescent="0.35">
      <c r="A342" s="98" t="s">
        <v>21</v>
      </c>
      <c r="B342" s="98" t="s">
        <v>160</v>
      </c>
      <c r="C342" s="98" t="s">
        <v>244</v>
      </c>
      <c r="D342" s="99">
        <v>11055430.000000004</v>
      </c>
      <c r="E342" s="99">
        <v>12554864.499999998</v>
      </c>
      <c r="F342" s="99">
        <v>13859340.500000006</v>
      </c>
      <c r="G342" s="99">
        <v>0</v>
      </c>
      <c r="H342" s="98" t="s">
        <v>225</v>
      </c>
      <c r="I342" s="99">
        <v>0</v>
      </c>
      <c r="J342" s="98" t="s">
        <v>225</v>
      </c>
      <c r="K342" s="99">
        <v>0</v>
      </c>
      <c r="L342" s="98" t="s">
        <v>225</v>
      </c>
      <c r="M342" s="98" t="s">
        <v>225</v>
      </c>
      <c r="N342" s="99">
        <v>0</v>
      </c>
      <c r="O342" s="100">
        <v>0</v>
      </c>
      <c r="P342" s="100">
        <v>0</v>
      </c>
      <c r="Q342" s="100">
        <v>0</v>
      </c>
    </row>
    <row r="343" spans="1:17" x14ac:dyDescent="0.35">
      <c r="A343" s="98" t="s">
        <v>21</v>
      </c>
      <c r="B343" s="98" t="s">
        <v>160</v>
      </c>
      <c r="C343" s="98" t="s">
        <v>245</v>
      </c>
      <c r="D343" s="99">
        <v>11055430.000000004</v>
      </c>
      <c r="E343" s="99">
        <v>12554864.499999998</v>
      </c>
      <c r="F343" s="99">
        <v>13859340.500000006</v>
      </c>
      <c r="G343" s="99">
        <v>0</v>
      </c>
      <c r="H343" s="98" t="s">
        <v>225</v>
      </c>
      <c r="I343" s="99">
        <v>0</v>
      </c>
      <c r="J343" s="98" t="s">
        <v>225</v>
      </c>
      <c r="K343" s="99">
        <v>0</v>
      </c>
      <c r="L343" s="98" t="s">
        <v>225</v>
      </c>
      <c r="M343" s="98" t="s">
        <v>225</v>
      </c>
      <c r="N343" s="99">
        <v>0</v>
      </c>
      <c r="O343" s="100">
        <v>0</v>
      </c>
      <c r="P343" s="100">
        <v>0</v>
      </c>
      <c r="Q343" s="100">
        <v>0</v>
      </c>
    </row>
    <row r="344" spans="1:17" x14ac:dyDescent="0.35">
      <c r="A344" s="98" t="s">
        <v>19</v>
      </c>
      <c r="B344" s="98" t="s">
        <v>158</v>
      </c>
      <c r="C344" s="98" t="s">
        <v>224</v>
      </c>
      <c r="D344" s="99">
        <v>2124869.5</v>
      </c>
      <c r="E344" s="99">
        <v>2444915.5000000014</v>
      </c>
      <c r="F344" s="99">
        <v>2705991.9999999995</v>
      </c>
      <c r="G344" s="99">
        <v>0</v>
      </c>
      <c r="H344" s="98" t="s">
        <v>225</v>
      </c>
      <c r="I344" s="99">
        <v>1553</v>
      </c>
      <c r="J344" s="98">
        <v>2018</v>
      </c>
      <c r="K344" s="99">
        <v>1553</v>
      </c>
      <c r="L344" s="98">
        <v>2018</v>
      </c>
      <c r="M344" s="98" t="s">
        <v>225</v>
      </c>
      <c r="N344" s="99">
        <v>1553</v>
      </c>
      <c r="O344" s="100">
        <v>0</v>
      </c>
      <c r="P344" s="100">
        <v>6.3519577670475691</v>
      </c>
      <c r="Q344" s="100">
        <v>5.7391152671552623</v>
      </c>
    </row>
    <row r="345" spans="1:17" x14ac:dyDescent="0.35">
      <c r="A345" s="98" t="s">
        <v>19</v>
      </c>
      <c r="B345" s="98" t="s">
        <v>158</v>
      </c>
      <c r="C345" s="98" t="s">
        <v>227</v>
      </c>
      <c r="D345" s="99">
        <v>2124869.5</v>
      </c>
      <c r="E345" s="99">
        <v>2444915.5000000014</v>
      </c>
      <c r="F345" s="99">
        <v>2705991.9999999995</v>
      </c>
      <c r="G345" s="99">
        <v>0</v>
      </c>
      <c r="H345" s="98" t="s">
        <v>225</v>
      </c>
      <c r="I345" s="99">
        <v>0</v>
      </c>
      <c r="J345" s="98" t="s">
        <v>225</v>
      </c>
      <c r="K345" s="99">
        <v>59</v>
      </c>
      <c r="L345" s="98">
        <v>2022</v>
      </c>
      <c r="M345" s="98" t="s">
        <v>225</v>
      </c>
      <c r="N345" s="99">
        <v>59</v>
      </c>
      <c r="O345" s="100">
        <v>0</v>
      </c>
      <c r="P345" s="100">
        <v>0</v>
      </c>
      <c r="Q345" s="100">
        <v>0.21803464311793977</v>
      </c>
    </row>
    <row r="346" spans="1:17" x14ac:dyDescent="0.35">
      <c r="A346" s="98" t="s">
        <v>19</v>
      </c>
      <c r="B346" s="98" t="s">
        <v>158</v>
      </c>
      <c r="C346" s="98" t="s">
        <v>228</v>
      </c>
      <c r="D346" s="99">
        <v>2124869.5</v>
      </c>
      <c r="E346" s="99">
        <v>2444915.5000000014</v>
      </c>
      <c r="F346" s="99">
        <v>2705991.9999999995</v>
      </c>
      <c r="G346" s="99">
        <v>0</v>
      </c>
      <c r="H346" s="98" t="s">
        <v>225</v>
      </c>
      <c r="I346" s="99">
        <v>316</v>
      </c>
      <c r="J346" s="98" t="s">
        <v>229</v>
      </c>
      <c r="K346" s="99">
        <v>2305</v>
      </c>
      <c r="L346" s="98">
        <v>2022</v>
      </c>
      <c r="M346" s="98" t="s">
        <v>225</v>
      </c>
      <c r="N346" s="99">
        <v>2305</v>
      </c>
      <c r="O346" s="100">
        <v>0</v>
      </c>
      <c r="P346" s="100">
        <v>1.2924782063020166</v>
      </c>
      <c r="Q346" s="100">
        <v>8.5181330913025626</v>
      </c>
    </row>
    <row r="347" spans="1:17" x14ac:dyDescent="0.35">
      <c r="A347" s="98" t="s">
        <v>19</v>
      </c>
      <c r="B347" s="98" t="s">
        <v>158</v>
      </c>
      <c r="C347" s="98" t="s">
        <v>230</v>
      </c>
      <c r="D347" s="99">
        <v>2124869.5</v>
      </c>
      <c r="E347" s="99">
        <v>2444915.5000000014</v>
      </c>
      <c r="F347" s="99">
        <v>2705991.9999999995</v>
      </c>
      <c r="G347" s="99">
        <v>0</v>
      </c>
      <c r="H347" s="98" t="s">
        <v>225</v>
      </c>
      <c r="I347" s="99">
        <v>0</v>
      </c>
      <c r="J347" s="98" t="s">
        <v>225</v>
      </c>
      <c r="K347" s="99">
        <v>0</v>
      </c>
      <c r="L347" s="98" t="s">
        <v>225</v>
      </c>
      <c r="M347" s="98" t="s">
        <v>225</v>
      </c>
      <c r="N347" s="99">
        <v>0</v>
      </c>
      <c r="O347" s="100">
        <v>0</v>
      </c>
      <c r="P347" s="100">
        <v>0</v>
      </c>
      <c r="Q347" s="100">
        <v>0</v>
      </c>
    </row>
    <row r="348" spans="1:17" x14ac:dyDescent="0.35">
      <c r="A348" s="98" t="s">
        <v>19</v>
      </c>
      <c r="B348" s="98" t="s">
        <v>158</v>
      </c>
      <c r="C348" s="98" t="s">
        <v>231</v>
      </c>
      <c r="D348" s="99">
        <v>2124869.5</v>
      </c>
      <c r="E348" s="99">
        <v>2444915.5000000014</v>
      </c>
      <c r="F348" s="99">
        <v>2705991.9999999995</v>
      </c>
      <c r="G348" s="99">
        <v>0</v>
      </c>
      <c r="H348" s="98" t="s">
        <v>225</v>
      </c>
      <c r="I348" s="99">
        <v>246</v>
      </c>
      <c r="J348" s="98">
        <v>2019</v>
      </c>
      <c r="K348" s="99">
        <v>522</v>
      </c>
      <c r="L348" s="98">
        <v>2021</v>
      </c>
      <c r="M348" s="98" t="s">
        <v>225</v>
      </c>
      <c r="N348" s="99">
        <v>522</v>
      </c>
      <c r="O348" s="100">
        <v>0</v>
      </c>
      <c r="P348" s="100">
        <v>1.0061697428806839</v>
      </c>
      <c r="Q348" s="100">
        <v>1.9290522662299079</v>
      </c>
    </row>
    <row r="349" spans="1:17" x14ac:dyDescent="0.35">
      <c r="A349" s="98" t="s">
        <v>19</v>
      </c>
      <c r="B349" s="98" t="s">
        <v>158</v>
      </c>
      <c r="C349" s="98" t="s">
        <v>232</v>
      </c>
      <c r="D349" s="99">
        <v>2124869.5</v>
      </c>
      <c r="E349" s="99">
        <v>2444915.5000000014</v>
      </c>
      <c r="F349" s="99">
        <v>2705991.9999999995</v>
      </c>
      <c r="G349" s="99">
        <v>3</v>
      </c>
      <c r="H349" s="98">
        <v>2015</v>
      </c>
      <c r="I349" s="99">
        <v>7</v>
      </c>
      <c r="J349" s="98">
        <v>2018</v>
      </c>
      <c r="K349" s="99">
        <v>6</v>
      </c>
      <c r="L349" s="98">
        <v>2021</v>
      </c>
      <c r="M349" s="98" t="s">
        <v>226</v>
      </c>
      <c r="N349" s="99">
        <v>6.1085626911314987</v>
      </c>
      <c r="O349" s="100">
        <v>1.4118514101689539E-2</v>
      </c>
      <c r="P349" s="100">
        <v>2.8630846342133282E-2</v>
      </c>
      <c r="Q349" s="100">
        <v>2.2574208242786747E-2</v>
      </c>
    </row>
    <row r="350" spans="1:17" x14ac:dyDescent="0.35">
      <c r="A350" s="98" t="s">
        <v>19</v>
      </c>
      <c r="B350" s="98" t="s">
        <v>158</v>
      </c>
      <c r="C350" s="98" t="s">
        <v>233</v>
      </c>
      <c r="D350" s="99">
        <v>2124869.5</v>
      </c>
      <c r="E350" s="99">
        <v>2444915.5000000014</v>
      </c>
      <c r="F350" s="99">
        <v>2705991.9999999995</v>
      </c>
      <c r="G350" s="99">
        <v>11</v>
      </c>
      <c r="H350" s="98">
        <v>2015</v>
      </c>
      <c r="I350" s="99">
        <v>138</v>
      </c>
      <c r="J350" s="98">
        <v>2018</v>
      </c>
      <c r="K350" s="99">
        <v>18</v>
      </c>
      <c r="L350" s="98">
        <v>2021</v>
      </c>
      <c r="M350" s="98" t="s">
        <v>226</v>
      </c>
      <c r="N350" s="99">
        <v>18.325688073394495</v>
      </c>
      <c r="O350" s="100">
        <v>5.1767885039528311E-2</v>
      </c>
      <c r="P350" s="100">
        <v>0.56443668503062749</v>
      </c>
      <c r="Q350" s="100">
        <v>6.7722624728360242E-2</v>
      </c>
    </row>
    <row r="351" spans="1:17" x14ac:dyDescent="0.35">
      <c r="A351" s="98" t="s">
        <v>19</v>
      </c>
      <c r="B351" s="98" t="s">
        <v>158</v>
      </c>
      <c r="C351" s="98" t="s">
        <v>234</v>
      </c>
      <c r="D351" s="99">
        <v>2124869.5</v>
      </c>
      <c r="E351" s="99">
        <v>2444915.5000000014</v>
      </c>
      <c r="F351" s="99">
        <v>2705991.9999999995</v>
      </c>
      <c r="G351" s="99">
        <v>0</v>
      </c>
      <c r="H351" s="98" t="s">
        <v>225</v>
      </c>
      <c r="I351" s="99">
        <v>0</v>
      </c>
      <c r="J351" s="98" t="s">
        <v>225</v>
      </c>
      <c r="K351" s="99">
        <v>0</v>
      </c>
      <c r="L351" s="98" t="s">
        <v>225</v>
      </c>
      <c r="M351" s="98" t="s">
        <v>225</v>
      </c>
      <c r="N351" s="99">
        <v>0</v>
      </c>
      <c r="O351" s="100">
        <v>0</v>
      </c>
      <c r="P351" s="100">
        <v>0</v>
      </c>
      <c r="Q351" s="100">
        <v>0</v>
      </c>
    </row>
    <row r="352" spans="1:17" x14ac:dyDescent="0.35">
      <c r="A352" s="98" t="s">
        <v>19</v>
      </c>
      <c r="B352" s="98" t="s">
        <v>158</v>
      </c>
      <c r="C352" s="98" t="s">
        <v>235</v>
      </c>
      <c r="D352" s="99">
        <v>2124869.5</v>
      </c>
      <c r="E352" s="99">
        <v>2444915.5000000014</v>
      </c>
      <c r="F352" s="99">
        <v>2705991.9999999995</v>
      </c>
      <c r="G352" s="99">
        <v>32</v>
      </c>
      <c r="H352" s="98">
        <v>2015</v>
      </c>
      <c r="I352" s="99">
        <v>149</v>
      </c>
      <c r="J352" s="98">
        <v>2019</v>
      </c>
      <c r="K352" s="99">
        <v>172</v>
      </c>
      <c r="L352" s="98">
        <v>2021</v>
      </c>
      <c r="M352" s="98" t="s">
        <v>225</v>
      </c>
      <c r="N352" s="99">
        <v>172</v>
      </c>
      <c r="O352" s="100">
        <v>0.15059748375135509</v>
      </c>
      <c r="P352" s="100">
        <v>0.60942801499683696</v>
      </c>
      <c r="Q352" s="100">
        <v>0.63562641722518043</v>
      </c>
    </row>
    <row r="353" spans="1:17" x14ac:dyDescent="0.35">
      <c r="A353" s="98" t="s">
        <v>19</v>
      </c>
      <c r="B353" s="98" t="s">
        <v>158</v>
      </c>
      <c r="C353" s="98" t="s">
        <v>236</v>
      </c>
      <c r="D353" s="99">
        <v>2124869.5</v>
      </c>
      <c r="E353" s="99">
        <v>2444915.5000000014</v>
      </c>
      <c r="F353" s="99">
        <v>2705991.9999999995</v>
      </c>
      <c r="G353" s="99">
        <v>0</v>
      </c>
      <c r="H353" s="98" t="s">
        <v>225</v>
      </c>
      <c r="I353" s="99">
        <v>0</v>
      </c>
      <c r="J353" s="98" t="s">
        <v>225</v>
      </c>
      <c r="K353" s="99">
        <v>0</v>
      </c>
      <c r="L353" s="98" t="s">
        <v>225</v>
      </c>
      <c r="M353" s="98" t="s">
        <v>225</v>
      </c>
      <c r="N353" s="99">
        <v>0</v>
      </c>
      <c r="O353" s="100">
        <v>0</v>
      </c>
      <c r="P353" s="100">
        <v>0</v>
      </c>
      <c r="Q353" s="100">
        <v>0</v>
      </c>
    </row>
    <row r="354" spans="1:17" x14ac:dyDescent="0.35">
      <c r="A354" s="98" t="s">
        <v>19</v>
      </c>
      <c r="B354" s="98" t="s">
        <v>158</v>
      </c>
      <c r="C354" s="98" t="s">
        <v>237</v>
      </c>
      <c r="D354" s="99">
        <v>2124869.5</v>
      </c>
      <c r="E354" s="99">
        <v>2444915.5000000014</v>
      </c>
      <c r="F354" s="99">
        <v>2705991.9999999995</v>
      </c>
      <c r="G354" s="99">
        <v>17</v>
      </c>
      <c r="H354" s="98">
        <v>2015</v>
      </c>
      <c r="I354" s="99">
        <v>16</v>
      </c>
      <c r="J354" s="98">
        <v>2019</v>
      </c>
      <c r="K354" s="99">
        <v>18</v>
      </c>
      <c r="L354" s="98">
        <v>2021</v>
      </c>
      <c r="M354" s="98" t="s">
        <v>225</v>
      </c>
      <c r="N354" s="99">
        <v>18</v>
      </c>
      <c r="O354" s="100">
        <v>8.0004913242907386E-2</v>
      </c>
      <c r="P354" s="100">
        <v>6.5441934496304643E-2</v>
      </c>
      <c r="Q354" s="100">
        <v>6.6519043663100269E-2</v>
      </c>
    </row>
    <row r="355" spans="1:17" x14ac:dyDescent="0.35">
      <c r="A355" s="98" t="s">
        <v>19</v>
      </c>
      <c r="B355" s="98" t="s">
        <v>158</v>
      </c>
      <c r="C355" s="98" t="s">
        <v>238</v>
      </c>
      <c r="D355" s="99">
        <v>2124869.5</v>
      </c>
      <c r="E355" s="99">
        <v>2444915.5000000014</v>
      </c>
      <c r="F355" s="99">
        <v>2705991.9999999995</v>
      </c>
      <c r="G355" s="99">
        <v>0</v>
      </c>
      <c r="H355" s="98" t="s">
        <v>225</v>
      </c>
      <c r="I355" s="99">
        <v>0</v>
      </c>
      <c r="J355" s="98" t="s">
        <v>225</v>
      </c>
      <c r="K355" s="99">
        <v>0</v>
      </c>
      <c r="L355" s="98" t="s">
        <v>225</v>
      </c>
      <c r="M355" s="98" t="s">
        <v>225</v>
      </c>
      <c r="N355" s="99">
        <v>0</v>
      </c>
      <c r="O355" s="100">
        <v>0</v>
      </c>
      <c r="P355" s="100">
        <v>0</v>
      </c>
      <c r="Q355" s="100">
        <v>0</v>
      </c>
    </row>
    <row r="356" spans="1:17" x14ac:dyDescent="0.35">
      <c r="A356" s="98" t="s">
        <v>19</v>
      </c>
      <c r="B356" s="98" t="s">
        <v>158</v>
      </c>
      <c r="C356" s="98" t="s">
        <v>239</v>
      </c>
      <c r="D356" s="99">
        <v>2124869.5</v>
      </c>
      <c r="E356" s="99">
        <v>2444915.5000000014</v>
      </c>
      <c r="F356" s="99">
        <v>2705991.9999999995</v>
      </c>
      <c r="G356" s="99">
        <v>0</v>
      </c>
      <c r="H356" s="98" t="s">
        <v>225</v>
      </c>
      <c r="I356" s="99">
        <v>0</v>
      </c>
      <c r="J356" s="98" t="s">
        <v>225</v>
      </c>
      <c r="K356" s="99">
        <v>2193</v>
      </c>
      <c r="L356" s="98">
        <v>2021</v>
      </c>
      <c r="M356" s="98" t="s">
        <v>225</v>
      </c>
      <c r="N356" s="99">
        <v>2193</v>
      </c>
      <c r="O356" s="100">
        <v>0</v>
      </c>
      <c r="P356" s="100">
        <v>0</v>
      </c>
      <c r="Q356" s="100">
        <v>8.1042368196210504</v>
      </c>
    </row>
    <row r="357" spans="1:17" x14ac:dyDescent="0.35">
      <c r="A357" s="98" t="s">
        <v>19</v>
      </c>
      <c r="B357" s="98" t="s">
        <v>158</v>
      </c>
      <c r="C357" s="98" t="s">
        <v>240</v>
      </c>
      <c r="D357" s="99">
        <v>2124869.5</v>
      </c>
      <c r="E357" s="99">
        <v>2444915.5000000014</v>
      </c>
      <c r="F357" s="99">
        <v>2705991.9999999995</v>
      </c>
      <c r="G357" s="99">
        <v>141</v>
      </c>
      <c r="H357" s="98">
        <v>2015</v>
      </c>
      <c r="I357" s="99">
        <v>138</v>
      </c>
      <c r="J357" s="98" t="s">
        <v>229</v>
      </c>
      <c r="K357" s="99">
        <v>138</v>
      </c>
      <c r="L357" s="98" t="s">
        <v>229</v>
      </c>
      <c r="M357" s="98" t="s">
        <v>225</v>
      </c>
      <c r="N357" s="99">
        <v>138</v>
      </c>
      <c r="O357" s="100">
        <v>0.66357016277940839</v>
      </c>
      <c r="P357" s="100">
        <v>0.56443668503062749</v>
      </c>
      <c r="Q357" s="100">
        <v>0.50997933475043544</v>
      </c>
    </row>
    <row r="358" spans="1:17" x14ac:dyDescent="0.35">
      <c r="A358" s="98" t="s">
        <v>19</v>
      </c>
      <c r="B358" s="98" t="s">
        <v>158</v>
      </c>
      <c r="C358" s="98" t="s">
        <v>241</v>
      </c>
      <c r="D358" s="99">
        <v>2124869.5</v>
      </c>
      <c r="E358" s="99">
        <v>2444915.5000000014</v>
      </c>
      <c r="F358" s="99">
        <v>2705991.9999999995</v>
      </c>
      <c r="G358" s="99">
        <v>0</v>
      </c>
      <c r="H358" s="98" t="s">
        <v>225</v>
      </c>
      <c r="I358" s="99">
        <v>39</v>
      </c>
      <c r="J358" s="98" t="s">
        <v>229</v>
      </c>
      <c r="K358" s="99">
        <v>39</v>
      </c>
      <c r="L358" s="98" t="s">
        <v>229</v>
      </c>
      <c r="M358" s="98" t="s">
        <v>225</v>
      </c>
      <c r="N358" s="99">
        <v>39</v>
      </c>
      <c r="O358" s="100">
        <v>0</v>
      </c>
      <c r="P358" s="100">
        <v>0.15951471533474257</v>
      </c>
      <c r="Q358" s="100">
        <v>0.14412459460338392</v>
      </c>
    </row>
    <row r="359" spans="1:17" x14ac:dyDescent="0.35">
      <c r="A359" s="98" t="s">
        <v>19</v>
      </c>
      <c r="B359" s="98" t="s">
        <v>158</v>
      </c>
      <c r="C359" s="98" t="s">
        <v>242</v>
      </c>
      <c r="D359" s="99">
        <v>2124869.5</v>
      </c>
      <c r="E359" s="99">
        <v>2444915.5000000014</v>
      </c>
      <c r="F359" s="99">
        <v>2705991.9999999995</v>
      </c>
      <c r="G359" s="99">
        <v>20</v>
      </c>
      <c r="H359" s="98">
        <v>2015</v>
      </c>
      <c r="I359" s="99">
        <v>23</v>
      </c>
      <c r="J359" s="98">
        <v>2019</v>
      </c>
      <c r="K359" s="99">
        <v>24</v>
      </c>
      <c r="L359" s="98">
        <v>2021</v>
      </c>
      <c r="M359" s="98" t="s">
        <v>225</v>
      </c>
      <c r="N359" s="99">
        <v>24</v>
      </c>
      <c r="O359" s="100">
        <v>9.412342734459693E-2</v>
      </c>
      <c r="P359" s="100">
        <v>9.4072780838437925E-2</v>
      </c>
      <c r="Q359" s="100">
        <v>8.8692058217467035E-2</v>
      </c>
    </row>
    <row r="360" spans="1:17" x14ac:dyDescent="0.35">
      <c r="A360" s="98" t="s">
        <v>19</v>
      </c>
      <c r="B360" s="98" t="s">
        <v>158</v>
      </c>
      <c r="C360" s="98" t="s">
        <v>243</v>
      </c>
      <c r="D360" s="99">
        <v>2124869.5</v>
      </c>
      <c r="E360" s="99">
        <v>2444915.5000000014</v>
      </c>
      <c r="F360" s="99">
        <v>2705991.9999999995</v>
      </c>
      <c r="G360" s="99">
        <v>127</v>
      </c>
      <c r="H360" s="98">
        <v>2012</v>
      </c>
      <c r="I360" s="99">
        <v>0</v>
      </c>
      <c r="J360" s="98" t="s">
        <v>225</v>
      </c>
      <c r="K360" s="99">
        <v>0</v>
      </c>
      <c r="L360" s="98" t="s">
        <v>225</v>
      </c>
      <c r="M360" s="98" t="s">
        <v>225</v>
      </c>
      <c r="N360" s="99">
        <v>0</v>
      </c>
      <c r="O360" s="100">
        <v>0.59768376363819053</v>
      </c>
      <c r="P360" s="100">
        <v>0</v>
      </c>
      <c r="Q360" s="100">
        <v>0</v>
      </c>
    </row>
    <row r="361" spans="1:17" x14ac:dyDescent="0.35">
      <c r="A361" s="98" t="s">
        <v>19</v>
      </c>
      <c r="B361" s="98" t="s">
        <v>158</v>
      </c>
      <c r="C361" s="98" t="s">
        <v>244</v>
      </c>
      <c r="D361" s="99">
        <v>2124869.5</v>
      </c>
      <c r="E361" s="99">
        <v>2444915.5000000014</v>
      </c>
      <c r="F361" s="99">
        <v>2705991.9999999995</v>
      </c>
      <c r="G361" s="99">
        <v>0</v>
      </c>
      <c r="H361" s="98" t="s">
        <v>225</v>
      </c>
      <c r="I361" s="99">
        <v>0</v>
      </c>
      <c r="J361" s="98" t="s">
        <v>225</v>
      </c>
      <c r="K361" s="99">
        <v>0</v>
      </c>
      <c r="L361" s="98" t="s">
        <v>225</v>
      </c>
      <c r="M361" s="98" t="s">
        <v>225</v>
      </c>
      <c r="N361" s="99">
        <v>0</v>
      </c>
      <c r="O361" s="100">
        <v>0</v>
      </c>
      <c r="P361" s="100">
        <v>0</v>
      </c>
      <c r="Q361" s="100">
        <v>0</v>
      </c>
    </row>
    <row r="362" spans="1:17" x14ac:dyDescent="0.35">
      <c r="A362" s="98" t="s">
        <v>19</v>
      </c>
      <c r="B362" s="98" t="s">
        <v>158</v>
      </c>
      <c r="C362" s="98" t="s">
        <v>245</v>
      </c>
      <c r="D362" s="99">
        <v>2124869.5</v>
      </c>
      <c r="E362" s="99">
        <v>2444915.5000000014</v>
      </c>
      <c r="F362" s="99">
        <v>2705991.9999999995</v>
      </c>
      <c r="G362" s="99">
        <v>656</v>
      </c>
      <c r="H362" s="98">
        <v>2012</v>
      </c>
      <c r="I362" s="99">
        <v>0</v>
      </c>
      <c r="J362" s="98" t="s">
        <v>225</v>
      </c>
      <c r="K362" s="99">
        <v>0</v>
      </c>
      <c r="L362" s="98" t="s">
        <v>225</v>
      </c>
      <c r="M362" s="98" t="s">
        <v>225</v>
      </c>
      <c r="N362" s="99">
        <v>0</v>
      </c>
      <c r="O362" s="100">
        <v>3.0872484169027792</v>
      </c>
      <c r="P362" s="100">
        <v>0</v>
      </c>
      <c r="Q362" s="100">
        <v>0</v>
      </c>
    </row>
    <row r="363" spans="1:17" x14ac:dyDescent="0.35">
      <c r="A363" s="98" t="s">
        <v>22</v>
      </c>
      <c r="B363" s="98" t="s">
        <v>161</v>
      </c>
      <c r="C363" s="98" t="s">
        <v>224</v>
      </c>
      <c r="D363" s="99">
        <v>1697752.4999999995</v>
      </c>
      <c r="E363" s="99">
        <v>1924954.4999999988</v>
      </c>
      <c r="F363" s="99">
        <v>2105565.4999999991</v>
      </c>
      <c r="G363" s="99">
        <v>0</v>
      </c>
      <c r="H363" s="98" t="s">
        <v>225</v>
      </c>
      <c r="I363" s="99">
        <v>4057</v>
      </c>
      <c r="J363" s="98" t="s">
        <v>229</v>
      </c>
      <c r="K363" s="99">
        <v>3975</v>
      </c>
      <c r="L363" s="98">
        <v>2022</v>
      </c>
      <c r="M363" s="98" t="s">
        <v>226</v>
      </c>
      <c r="N363" s="99">
        <v>4817.861216730038</v>
      </c>
      <c r="O363" s="100">
        <v>0</v>
      </c>
      <c r="P363" s="100">
        <v>21.07582283113706</v>
      </c>
      <c r="Q363" s="100">
        <v>22.881554702193021</v>
      </c>
    </row>
    <row r="364" spans="1:17" x14ac:dyDescent="0.35">
      <c r="A364" s="98" t="s">
        <v>22</v>
      </c>
      <c r="B364" s="98" t="s">
        <v>161</v>
      </c>
      <c r="C364" s="98" t="s">
        <v>227</v>
      </c>
      <c r="D364" s="99">
        <v>1697752.4999999995</v>
      </c>
      <c r="E364" s="99">
        <v>1924954.4999999988</v>
      </c>
      <c r="F364" s="99">
        <v>2105565.4999999991</v>
      </c>
      <c r="G364" s="99">
        <v>496</v>
      </c>
      <c r="H364" s="98">
        <v>2015</v>
      </c>
      <c r="I364" s="99">
        <v>0</v>
      </c>
      <c r="J364" s="98" t="s">
        <v>225</v>
      </c>
      <c r="K364" s="99">
        <v>0</v>
      </c>
      <c r="L364" s="98" t="s">
        <v>225</v>
      </c>
      <c r="M364" s="98" t="s">
        <v>225</v>
      </c>
      <c r="N364" s="99">
        <v>0</v>
      </c>
      <c r="O364" s="100">
        <v>2.921509466191333</v>
      </c>
      <c r="P364" s="100">
        <v>0</v>
      </c>
      <c r="Q364" s="100">
        <v>0</v>
      </c>
    </row>
    <row r="365" spans="1:17" x14ac:dyDescent="0.35">
      <c r="A365" s="98" t="s">
        <v>22</v>
      </c>
      <c r="B365" s="98" t="s">
        <v>161</v>
      </c>
      <c r="C365" s="98" t="s">
        <v>228</v>
      </c>
      <c r="D365" s="99">
        <v>1697752.4999999995</v>
      </c>
      <c r="E365" s="99">
        <v>1924954.4999999988</v>
      </c>
      <c r="F365" s="99">
        <v>2105565.4999999991</v>
      </c>
      <c r="G365" s="99">
        <v>0</v>
      </c>
      <c r="H365" s="98" t="s">
        <v>225</v>
      </c>
      <c r="I365" s="99">
        <v>3</v>
      </c>
      <c r="J365" s="98" t="s">
        <v>229</v>
      </c>
      <c r="K365" s="99">
        <v>3</v>
      </c>
      <c r="L365" s="98" t="s">
        <v>229</v>
      </c>
      <c r="M365" s="98" t="s">
        <v>225</v>
      </c>
      <c r="N365" s="99">
        <v>3</v>
      </c>
      <c r="O365" s="100">
        <v>0</v>
      </c>
      <c r="P365" s="100">
        <v>1.5584783952036278E-2</v>
      </c>
      <c r="Q365" s="100">
        <v>1.4247953815732644E-2</v>
      </c>
    </row>
    <row r="366" spans="1:17" x14ac:dyDescent="0.35">
      <c r="A366" s="98" t="s">
        <v>22</v>
      </c>
      <c r="B366" s="98" t="s">
        <v>161</v>
      </c>
      <c r="C366" s="98" t="s">
        <v>230</v>
      </c>
      <c r="D366" s="99">
        <v>1697752.4999999995</v>
      </c>
      <c r="E366" s="99">
        <v>1924954.4999999988</v>
      </c>
      <c r="F366" s="99">
        <v>2105565.4999999991</v>
      </c>
      <c r="G366" s="99">
        <v>0</v>
      </c>
      <c r="H366" s="98" t="s">
        <v>225</v>
      </c>
      <c r="I366" s="99">
        <v>0</v>
      </c>
      <c r="J366" s="98" t="s">
        <v>225</v>
      </c>
      <c r="K366" s="99">
        <v>0</v>
      </c>
      <c r="L366" s="98" t="s">
        <v>225</v>
      </c>
      <c r="M366" s="98" t="s">
        <v>225</v>
      </c>
      <c r="N366" s="99">
        <v>0</v>
      </c>
      <c r="O366" s="100">
        <v>0</v>
      </c>
      <c r="P366" s="100">
        <v>0</v>
      </c>
      <c r="Q366" s="100">
        <v>0</v>
      </c>
    </row>
    <row r="367" spans="1:17" x14ac:dyDescent="0.35">
      <c r="A367" s="98" t="s">
        <v>22</v>
      </c>
      <c r="B367" s="98" t="s">
        <v>161</v>
      </c>
      <c r="C367" s="98" t="s">
        <v>231</v>
      </c>
      <c r="D367" s="99">
        <v>1697752.4999999995</v>
      </c>
      <c r="E367" s="99">
        <v>1924954.4999999988</v>
      </c>
      <c r="F367" s="99">
        <v>2105565.4999999991</v>
      </c>
      <c r="G367" s="99">
        <v>0</v>
      </c>
      <c r="H367" s="98" t="s">
        <v>225</v>
      </c>
      <c r="I367" s="99">
        <v>130</v>
      </c>
      <c r="J367" s="98" t="s">
        <v>229</v>
      </c>
      <c r="K367" s="99">
        <v>130</v>
      </c>
      <c r="L367" s="98" t="s">
        <v>229</v>
      </c>
      <c r="M367" s="98" t="s">
        <v>225</v>
      </c>
      <c r="N367" s="99">
        <v>130</v>
      </c>
      <c r="O367" s="100">
        <v>0</v>
      </c>
      <c r="P367" s="100">
        <v>0.67534063792157206</v>
      </c>
      <c r="Q367" s="100">
        <v>0.61741133201508125</v>
      </c>
    </row>
    <row r="368" spans="1:17" x14ac:dyDescent="0.35">
      <c r="A368" s="98" t="s">
        <v>22</v>
      </c>
      <c r="B368" s="98" t="s">
        <v>161</v>
      </c>
      <c r="C368" s="98" t="s">
        <v>232</v>
      </c>
      <c r="D368" s="99">
        <v>1697752.4999999995</v>
      </c>
      <c r="E368" s="99">
        <v>1924954.4999999988</v>
      </c>
      <c r="F368" s="99">
        <v>2105565.4999999991</v>
      </c>
      <c r="G368" s="99">
        <v>0</v>
      </c>
      <c r="H368" s="98" t="s">
        <v>225</v>
      </c>
      <c r="I368" s="99">
        <v>5</v>
      </c>
      <c r="J368" s="98" t="s">
        <v>229</v>
      </c>
      <c r="K368" s="99">
        <v>2</v>
      </c>
      <c r="L368" s="98">
        <v>2022</v>
      </c>
      <c r="M368" s="98" t="s">
        <v>226</v>
      </c>
      <c r="N368" s="99">
        <v>2.4240811153358681</v>
      </c>
      <c r="O368" s="100">
        <v>0</v>
      </c>
      <c r="P368" s="100">
        <v>2.5974639920060463E-2</v>
      </c>
      <c r="Q368" s="100">
        <v>1.1512731925631708E-2</v>
      </c>
    </row>
    <row r="369" spans="1:17" x14ac:dyDescent="0.35">
      <c r="A369" s="98" t="s">
        <v>22</v>
      </c>
      <c r="B369" s="98" t="s">
        <v>161</v>
      </c>
      <c r="C369" s="98" t="s">
        <v>233</v>
      </c>
      <c r="D369" s="99">
        <v>1697752.4999999995</v>
      </c>
      <c r="E369" s="99">
        <v>1924954.4999999988</v>
      </c>
      <c r="F369" s="99">
        <v>2105565.4999999991</v>
      </c>
      <c r="G369" s="99">
        <v>0</v>
      </c>
      <c r="H369" s="98" t="s">
        <v>225</v>
      </c>
      <c r="I369" s="99">
        <v>53</v>
      </c>
      <c r="J369" s="98">
        <v>2018</v>
      </c>
      <c r="K369" s="99">
        <v>1</v>
      </c>
      <c r="L369" s="98">
        <v>2022</v>
      </c>
      <c r="M369" s="98" t="s">
        <v>226</v>
      </c>
      <c r="N369" s="99">
        <v>1.2120405576679341</v>
      </c>
      <c r="O369" s="100">
        <v>0</v>
      </c>
      <c r="P369" s="100">
        <v>0.27533118315264093</v>
      </c>
      <c r="Q369" s="100">
        <v>5.7563659628158542E-3</v>
      </c>
    </row>
    <row r="370" spans="1:17" x14ac:dyDescent="0.35">
      <c r="A370" s="98" t="s">
        <v>22</v>
      </c>
      <c r="B370" s="98" t="s">
        <v>161</v>
      </c>
      <c r="C370" s="98" t="s">
        <v>234</v>
      </c>
      <c r="D370" s="99">
        <v>1697752.4999999995</v>
      </c>
      <c r="E370" s="99">
        <v>1924954.4999999988</v>
      </c>
      <c r="F370" s="99">
        <v>2105565.4999999991</v>
      </c>
      <c r="G370" s="99">
        <v>0</v>
      </c>
      <c r="H370" s="98" t="s">
        <v>225</v>
      </c>
      <c r="I370" s="99">
        <v>0</v>
      </c>
      <c r="J370" s="98" t="s">
        <v>225</v>
      </c>
      <c r="K370" s="99">
        <v>0</v>
      </c>
      <c r="L370" s="98" t="s">
        <v>225</v>
      </c>
      <c r="M370" s="98" t="s">
        <v>225</v>
      </c>
      <c r="N370" s="99">
        <v>0</v>
      </c>
      <c r="O370" s="100">
        <v>0</v>
      </c>
      <c r="P370" s="100">
        <v>0</v>
      </c>
      <c r="Q370" s="100">
        <v>0</v>
      </c>
    </row>
    <row r="371" spans="1:17" x14ac:dyDescent="0.35">
      <c r="A371" s="98" t="s">
        <v>22</v>
      </c>
      <c r="B371" s="98" t="s">
        <v>161</v>
      </c>
      <c r="C371" s="98" t="s">
        <v>235</v>
      </c>
      <c r="D371" s="99">
        <v>1697752.4999999995</v>
      </c>
      <c r="E371" s="99">
        <v>1924954.4999999988</v>
      </c>
      <c r="F371" s="99">
        <v>2105565.4999999991</v>
      </c>
      <c r="G371" s="99">
        <v>0</v>
      </c>
      <c r="H371" s="98" t="s">
        <v>225</v>
      </c>
      <c r="I371" s="99">
        <v>17</v>
      </c>
      <c r="J371" s="98">
        <v>2018</v>
      </c>
      <c r="K371" s="99">
        <v>51</v>
      </c>
      <c r="L371" s="98">
        <v>2022</v>
      </c>
      <c r="M371" s="98" t="s">
        <v>225</v>
      </c>
      <c r="N371" s="99">
        <v>51</v>
      </c>
      <c r="O371" s="100">
        <v>0</v>
      </c>
      <c r="P371" s="100">
        <v>8.8313775728205576E-2</v>
      </c>
      <c r="Q371" s="100">
        <v>0.24221521486745495</v>
      </c>
    </row>
    <row r="372" spans="1:17" x14ac:dyDescent="0.35">
      <c r="A372" s="98" t="s">
        <v>22</v>
      </c>
      <c r="B372" s="98" t="s">
        <v>161</v>
      </c>
      <c r="C372" s="98" t="s">
        <v>236</v>
      </c>
      <c r="D372" s="99">
        <v>1697752.4999999995</v>
      </c>
      <c r="E372" s="99">
        <v>1924954.4999999988</v>
      </c>
      <c r="F372" s="99">
        <v>2105565.4999999991</v>
      </c>
      <c r="G372" s="99">
        <v>0</v>
      </c>
      <c r="H372" s="98" t="s">
        <v>225</v>
      </c>
      <c r="I372" s="99">
        <v>24</v>
      </c>
      <c r="J372" s="98" t="s">
        <v>229</v>
      </c>
      <c r="K372" s="99">
        <v>24</v>
      </c>
      <c r="L372" s="98" t="s">
        <v>229</v>
      </c>
      <c r="M372" s="98" t="s">
        <v>225</v>
      </c>
      <c r="N372" s="99">
        <v>24</v>
      </c>
      <c r="O372" s="100">
        <v>0</v>
      </c>
      <c r="P372" s="100">
        <v>0.12467827161629022</v>
      </c>
      <c r="Q372" s="100">
        <v>0.11398363052586115</v>
      </c>
    </row>
    <row r="373" spans="1:17" x14ac:dyDescent="0.35">
      <c r="A373" s="98" t="s">
        <v>22</v>
      </c>
      <c r="B373" s="98" t="s">
        <v>161</v>
      </c>
      <c r="C373" s="98" t="s">
        <v>237</v>
      </c>
      <c r="D373" s="99">
        <v>1697752.4999999995</v>
      </c>
      <c r="E373" s="99">
        <v>1924954.4999999988</v>
      </c>
      <c r="F373" s="99">
        <v>2105565.4999999991</v>
      </c>
      <c r="G373" s="99">
        <v>0</v>
      </c>
      <c r="H373" s="98" t="s">
        <v>225</v>
      </c>
      <c r="I373" s="99">
        <v>16</v>
      </c>
      <c r="J373" s="98" t="s">
        <v>229</v>
      </c>
      <c r="K373" s="99">
        <v>10</v>
      </c>
      <c r="L373" s="98">
        <v>2021</v>
      </c>
      <c r="M373" s="98" t="s">
        <v>226</v>
      </c>
      <c r="N373" s="99">
        <v>12.120405576679341</v>
      </c>
      <c r="O373" s="100">
        <v>0</v>
      </c>
      <c r="P373" s="100">
        <v>8.311884774419348E-2</v>
      </c>
      <c r="Q373" s="100">
        <v>5.7563659628158542E-2</v>
      </c>
    </row>
    <row r="374" spans="1:17" x14ac:dyDescent="0.35">
      <c r="A374" s="98" t="s">
        <v>22</v>
      </c>
      <c r="B374" s="98" t="s">
        <v>161</v>
      </c>
      <c r="C374" s="98" t="s">
        <v>238</v>
      </c>
      <c r="D374" s="99">
        <v>1697752.4999999995</v>
      </c>
      <c r="E374" s="99">
        <v>1924954.4999999988</v>
      </c>
      <c r="F374" s="99">
        <v>2105565.4999999991</v>
      </c>
      <c r="G374" s="99">
        <v>0</v>
      </c>
      <c r="H374" s="98" t="s">
        <v>225</v>
      </c>
      <c r="I374" s="99">
        <v>481</v>
      </c>
      <c r="J374" s="98" t="s">
        <v>229</v>
      </c>
      <c r="K374" s="99">
        <v>10</v>
      </c>
      <c r="L374" s="98">
        <v>2022</v>
      </c>
      <c r="M374" s="98" t="s">
        <v>226</v>
      </c>
      <c r="N374" s="99">
        <v>12.120405576679341</v>
      </c>
      <c r="O374" s="100">
        <v>0</v>
      </c>
      <c r="P374" s="100">
        <v>2.4987603603098165</v>
      </c>
      <c r="Q374" s="100">
        <v>5.7563659628158542E-2</v>
      </c>
    </row>
    <row r="375" spans="1:17" x14ac:dyDescent="0.35">
      <c r="A375" s="98" t="s">
        <v>22</v>
      </c>
      <c r="B375" s="98" t="s">
        <v>161</v>
      </c>
      <c r="C375" s="98" t="s">
        <v>239</v>
      </c>
      <c r="D375" s="99">
        <v>1697752.4999999995</v>
      </c>
      <c r="E375" s="99">
        <v>1924954.4999999988</v>
      </c>
      <c r="F375" s="99">
        <v>2105565.4999999991</v>
      </c>
      <c r="G375" s="99">
        <v>0</v>
      </c>
      <c r="H375" s="98" t="s">
        <v>225</v>
      </c>
      <c r="I375" s="99">
        <v>69</v>
      </c>
      <c r="J375" s="98" t="s">
        <v>229</v>
      </c>
      <c r="K375" s="99">
        <v>64</v>
      </c>
      <c r="L375" s="98">
        <v>2022</v>
      </c>
      <c r="M375" s="98" t="s">
        <v>226</v>
      </c>
      <c r="N375" s="99">
        <v>77.57059569074778</v>
      </c>
      <c r="O375" s="100">
        <v>0</v>
      </c>
      <c r="P375" s="100">
        <v>0.35845003089683442</v>
      </c>
      <c r="Q375" s="100">
        <v>0.36840742162021467</v>
      </c>
    </row>
    <row r="376" spans="1:17" x14ac:dyDescent="0.35">
      <c r="A376" s="98" t="s">
        <v>22</v>
      </c>
      <c r="B376" s="98" t="s">
        <v>161</v>
      </c>
      <c r="C376" s="98" t="s">
        <v>240</v>
      </c>
      <c r="D376" s="99">
        <v>1697752.4999999995</v>
      </c>
      <c r="E376" s="99">
        <v>1924954.4999999988</v>
      </c>
      <c r="F376" s="99">
        <v>2105565.4999999991</v>
      </c>
      <c r="G376" s="99">
        <v>0</v>
      </c>
      <c r="H376" s="98" t="s">
        <v>225</v>
      </c>
      <c r="I376" s="99">
        <v>172</v>
      </c>
      <c r="J376" s="98" t="s">
        <v>229</v>
      </c>
      <c r="K376" s="99">
        <v>197</v>
      </c>
      <c r="L376" s="98">
        <v>2022</v>
      </c>
      <c r="M376" s="98" t="s">
        <v>225</v>
      </c>
      <c r="N376" s="99">
        <v>197</v>
      </c>
      <c r="O376" s="100">
        <v>0</v>
      </c>
      <c r="P376" s="100">
        <v>0.89352761325008001</v>
      </c>
      <c r="Q376" s="100">
        <v>0.93561563389977698</v>
      </c>
    </row>
    <row r="377" spans="1:17" x14ac:dyDescent="0.35">
      <c r="A377" s="98" t="s">
        <v>22</v>
      </c>
      <c r="B377" s="98" t="s">
        <v>161</v>
      </c>
      <c r="C377" s="98" t="s">
        <v>241</v>
      </c>
      <c r="D377" s="99">
        <v>1697752.4999999995</v>
      </c>
      <c r="E377" s="99">
        <v>1924954.4999999988</v>
      </c>
      <c r="F377" s="99">
        <v>2105565.4999999991</v>
      </c>
      <c r="G377" s="99">
        <v>0</v>
      </c>
      <c r="H377" s="98" t="s">
        <v>225</v>
      </c>
      <c r="I377" s="99">
        <v>8</v>
      </c>
      <c r="J377" s="98" t="s">
        <v>229</v>
      </c>
      <c r="K377" s="99">
        <v>2</v>
      </c>
      <c r="L377" s="98">
        <v>2020</v>
      </c>
      <c r="M377" s="98" t="s">
        <v>226</v>
      </c>
      <c r="N377" s="99">
        <v>2.4240811153358681</v>
      </c>
      <c r="O377" s="100">
        <v>0</v>
      </c>
      <c r="P377" s="100">
        <v>4.155942387209674E-2</v>
      </c>
      <c r="Q377" s="100">
        <v>1.1512731925631708E-2</v>
      </c>
    </row>
    <row r="378" spans="1:17" x14ac:dyDescent="0.35">
      <c r="A378" s="98" t="s">
        <v>22</v>
      </c>
      <c r="B378" s="98" t="s">
        <v>161</v>
      </c>
      <c r="C378" s="98" t="s">
        <v>242</v>
      </c>
      <c r="D378" s="99">
        <v>1697752.4999999995</v>
      </c>
      <c r="E378" s="99">
        <v>1924954.4999999988</v>
      </c>
      <c r="F378" s="99">
        <v>2105565.4999999991</v>
      </c>
      <c r="G378" s="99">
        <v>0</v>
      </c>
      <c r="H378" s="98" t="s">
        <v>225</v>
      </c>
      <c r="I378" s="99">
        <v>15</v>
      </c>
      <c r="J378" s="98">
        <v>2018</v>
      </c>
      <c r="K378" s="99">
        <v>5</v>
      </c>
      <c r="L378" s="98">
        <v>2022</v>
      </c>
      <c r="M378" s="98" t="s">
        <v>226</v>
      </c>
      <c r="N378" s="99">
        <v>6.0602027883396703</v>
      </c>
      <c r="O378" s="100">
        <v>0</v>
      </c>
      <c r="P378" s="100">
        <v>7.7923919760181398E-2</v>
      </c>
      <c r="Q378" s="100">
        <v>2.8781829814079271E-2</v>
      </c>
    </row>
    <row r="379" spans="1:17" x14ac:dyDescent="0.35">
      <c r="A379" s="98" t="s">
        <v>22</v>
      </c>
      <c r="B379" s="98" t="s">
        <v>161</v>
      </c>
      <c r="C379" s="98" t="s">
        <v>243</v>
      </c>
      <c r="D379" s="99">
        <v>1697752.4999999995</v>
      </c>
      <c r="E379" s="99">
        <v>1924954.4999999988</v>
      </c>
      <c r="F379" s="99">
        <v>2105565.4999999991</v>
      </c>
      <c r="G379" s="99">
        <v>0</v>
      </c>
      <c r="H379" s="98" t="s">
        <v>225</v>
      </c>
      <c r="I379" s="99">
        <v>53</v>
      </c>
      <c r="J379" s="98">
        <v>2018</v>
      </c>
      <c r="K379" s="99">
        <v>68</v>
      </c>
      <c r="L379" s="98">
        <v>2022</v>
      </c>
      <c r="M379" s="98" t="s">
        <v>225</v>
      </c>
      <c r="N379" s="99">
        <v>68</v>
      </c>
      <c r="O379" s="100">
        <v>0</v>
      </c>
      <c r="P379" s="100">
        <v>0.27533118315264093</v>
      </c>
      <c r="Q379" s="100">
        <v>0.32295361982327325</v>
      </c>
    </row>
    <row r="380" spans="1:17" x14ac:dyDescent="0.35">
      <c r="A380" s="98" t="s">
        <v>22</v>
      </c>
      <c r="B380" s="98" t="s">
        <v>161</v>
      </c>
      <c r="C380" s="98" t="s">
        <v>244</v>
      </c>
      <c r="D380" s="99">
        <v>1697752.4999999995</v>
      </c>
      <c r="E380" s="99">
        <v>1924954.4999999988</v>
      </c>
      <c r="F380" s="99">
        <v>2105565.4999999991</v>
      </c>
      <c r="G380" s="99">
        <v>0</v>
      </c>
      <c r="H380" s="98" t="s">
        <v>225</v>
      </c>
      <c r="I380" s="99">
        <v>0</v>
      </c>
      <c r="J380" s="98" t="s">
        <v>225</v>
      </c>
      <c r="K380" s="99">
        <v>0</v>
      </c>
      <c r="L380" s="98" t="s">
        <v>225</v>
      </c>
      <c r="M380" s="98" t="s">
        <v>225</v>
      </c>
      <c r="N380" s="99">
        <v>0</v>
      </c>
      <c r="O380" s="100">
        <v>0</v>
      </c>
      <c r="P380" s="100">
        <v>0</v>
      </c>
      <c r="Q380" s="100">
        <v>0</v>
      </c>
    </row>
    <row r="381" spans="1:17" x14ac:dyDescent="0.35">
      <c r="A381" s="98" t="s">
        <v>22</v>
      </c>
      <c r="B381" s="98" t="s">
        <v>161</v>
      </c>
      <c r="C381" s="98" t="s">
        <v>245</v>
      </c>
      <c r="D381" s="99">
        <v>1697752.4999999995</v>
      </c>
      <c r="E381" s="99">
        <v>1924954.4999999988</v>
      </c>
      <c r="F381" s="99">
        <v>2105565.4999999991</v>
      </c>
      <c r="G381" s="99">
        <v>0</v>
      </c>
      <c r="H381" s="98" t="s">
        <v>225</v>
      </c>
      <c r="I381" s="99">
        <v>1063</v>
      </c>
      <c r="J381" s="98" t="s">
        <v>229</v>
      </c>
      <c r="K381" s="99">
        <v>1063</v>
      </c>
      <c r="L381" s="98" t="s">
        <v>229</v>
      </c>
      <c r="M381" s="98" t="s">
        <v>225</v>
      </c>
      <c r="N381" s="99">
        <v>1063</v>
      </c>
      <c r="O381" s="100">
        <v>0</v>
      </c>
      <c r="P381" s="100">
        <v>5.5222084470048545</v>
      </c>
      <c r="Q381" s="100">
        <v>5.0485249687079339</v>
      </c>
    </row>
    <row r="382" spans="1:17" x14ac:dyDescent="0.35">
      <c r="A382" s="98" t="s">
        <v>14</v>
      </c>
      <c r="B382" s="98" t="s">
        <v>152</v>
      </c>
      <c r="C382" s="98" t="s">
        <v>224</v>
      </c>
      <c r="D382" s="99">
        <v>1243941.0000000002</v>
      </c>
      <c r="E382" s="99">
        <v>1502091.5000000002</v>
      </c>
      <c r="F382" s="99">
        <v>1674908</v>
      </c>
      <c r="G382" s="99">
        <v>0</v>
      </c>
      <c r="H382" s="98" t="s">
        <v>225</v>
      </c>
      <c r="I382" s="99">
        <v>0</v>
      </c>
      <c r="J382" s="98" t="s">
        <v>225</v>
      </c>
      <c r="K382" s="99">
        <v>146</v>
      </c>
      <c r="L382" s="98">
        <v>2022</v>
      </c>
      <c r="M382" s="98" t="s">
        <v>225</v>
      </c>
      <c r="N382" s="99">
        <v>146</v>
      </c>
      <c r="O382" s="100">
        <v>0</v>
      </c>
      <c r="P382" s="100">
        <v>0</v>
      </c>
      <c r="Q382" s="100">
        <v>0.87168966892509914</v>
      </c>
    </row>
    <row r="383" spans="1:17" x14ac:dyDescent="0.35">
      <c r="A383" s="98" t="s">
        <v>14</v>
      </c>
      <c r="B383" s="98" t="s">
        <v>152</v>
      </c>
      <c r="C383" s="98" t="s">
        <v>227</v>
      </c>
      <c r="D383" s="99">
        <v>1243941.0000000002</v>
      </c>
      <c r="E383" s="99">
        <v>1502091.5000000002</v>
      </c>
      <c r="F383" s="99">
        <v>1674908</v>
      </c>
      <c r="G383" s="99">
        <v>5</v>
      </c>
      <c r="H383" s="98">
        <v>2014</v>
      </c>
      <c r="I383" s="99">
        <v>6</v>
      </c>
      <c r="J383" s="98">
        <v>2019</v>
      </c>
      <c r="K383" s="99">
        <v>25</v>
      </c>
      <c r="L383" s="98">
        <v>2022</v>
      </c>
      <c r="M383" s="98" t="s">
        <v>225</v>
      </c>
      <c r="N383" s="99">
        <v>25</v>
      </c>
      <c r="O383" s="100">
        <v>4.0194832391568402E-2</v>
      </c>
      <c r="P383" s="100">
        <v>3.994430432500283E-2</v>
      </c>
      <c r="Q383" s="100">
        <v>0.1492619296104622</v>
      </c>
    </row>
    <row r="384" spans="1:17" x14ac:dyDescent="0.35">
      <c r="A384" s="98" t="s">
        <v>14</v>
      </c>
      <c r="B384" s="98" t="s">
        <v>152</v>
      </c>
      <c r="C384" s="98" t="s">
        <v>228</v>
      </c>
      <c r="D384" s="99">
        <v>1243941.0000000002</v>
      </c>
      <c r="E384" s="99">
        <v>1502091.5000000002</v>
      </c>
      <c r="F384" s="99">
        <v>1674908</v>
      </c>
      <c r="G384" s="99">
        <v>1</v>
      </c>
      <c r="H384" s="98">
        <v>2014</v>
      </c>
      <c r="I384" s="99">
        <v>0</v>
      </c>
      <c r="J384" s="98" t="s">
        <v>225</v>
      </c>
      <c r="K384" s="99">
        <v>134</v>
      </c>
      <c r="L384" s="98">
        <v>2022</v>
      </c>
      <c r="M384" s="98" t="s">
        <v>225</v>
      </c>
      <c r="N384" s="99">
        <v>134</v>
      </c>
      <c r="O384" s="100">
        <v>8.0389664783136802E-3</v>
      </c>
      <c r="P384" s="100">
        <v>0</v>
      </c>
      <c r="Q384" s="100">
        <v>0.80004394271207735</v>
      </c>
    </row>
    <row r="385" spans="1:17" x14ac:dyDescent="0.35">
      <c r="A385" s="98" t="s">
        <v>14</v>
      </c>
      <c r="B385" s="98" t="s">
        <v>152</v>
      </c>
      <c r="C385" s="98" t="s">
        <v>230</v>
      </c>
      <c r="D385" s="99">
        <v>1243941.0000000002</v>
      </c>
      <c r="E385" s="99">
        <v>1502091.5000000002</v>
      </c>
      <c r="F385" s="99">
        <v>1674908</v>
      </c>
      <c r="G385" s="99">
        <v>0</v>
      </c>
      <c r="H385" s="98" t="s">
        <v>225</v>
      </c>
      <c r="I385" s="99">
        <v>1847</v>
      </c>
      <c r="J385" s="98" t="s">
        <v>229</v>
      </c>
      <c r="K385" s="99">
        <v>1847</v>
      </c>
      <c r="L385" s="98" t="s">
        <v>229</v>
      </c>
      <c r="M385" s="98" t="s">
        <v>225</v>
      </c>
      <c r="N385" s="99">
        <v>1847</v>
      </c>
      <c r="O385" s="100">
        <v>0</v>
      </c>
      <c r="P385" s="100">
        <v>12.296188348046705</v>
      </c>
      <c r="Q385" s="100">
        <v>11.027471359620947</v>
      </c>
    </row>
    <row r="386" spans="1:17" x14ac:dyDescent="0.35">
      <c r="A386" s="98" t="s">
        <v>14</v>
      </c>
      <c r="B386" s="98" t="s">
        <v>152</v>
      </c>
      <c r="C386" s="98" t="s">
        <v>231</v>
      </c>
      <c r="D386" s="99">
        <v>1243941.0000000002</v>
      </c>
      <c r="E386" s="99">
        <v>1502091.5000000002</v>
      </c>
      <c r="F386" s="99">
        <v>1674908</v>
      </c>
      <c r="G386" s="99">
        <v>0</v>
      </c>
      <c r="H386" s="98" t="s">
        <v>225</v>
      </c>
      <c r="I386" s="99">
        <v>0</v>
      </c>
      <c r="J386" s="98" t="s">
        <v>225</v>
      </c>
      <c r="K386" s="99">
        <v>0</v>
      </c>
      <c r="L386" s="98" t="s">
        <v>225</v>
      </c>
      <c r="M386" s="98" t="s">
        <v>225</v>
      </c>
      <c r="N386" s="99">
        <v>0</v>
      </c>
      <c r="O386" s="100">
        <v>0</v>
      </c>
      <c r="P386" s="100">
        <v>0</v>
      </c>
      <c r="Q386" s="100">
        <v>0</v>
      </c>
    </row>
    <row r="387" spans="1:17" x14ac:dyDescent="0.35">
      <c r="A387" s="98" t="s">
        <v>14</v>
      </c>
      <c r="B387" s="98" t="s">
        <v>152</v>
      </c>
      <c r="C387" s="98" t="s">
        <v>232</v>
      </c>
      <c r="D387" s="99">
        <v>1243941.0000000002</v>
      </c>
      <c r="E387" s="99">
        <v>1502091.5000000002</v>
      </c>
      <c r="F387" s="99">
        <v>1674908</v>
      </c>
      <c r="G387" s="99">
        <v>0</v>
      </c>
      <c r="H387" s="98" t="s">
        <v>225</v>
      </c>
      <c r="I387" s="99">
        <v>5</v>
      </c>
      <c r="J387" s="98" t="s">
        <v>229</v>
      </c>
      <c r="K387" s="99">
        <v>5</v>
      </c>
      <c r="L387" s="98" t="s">
        <v>229</v>
      </c>
      <c r="M387" s="98" t="s">
        <v>225</v>
      </c>
      <c r="N387" s="99">
        <v>5</v>
      </c>
      <c r="O387" s="100">
        <v>0</v>
      </c>
      <c r="P387" s="100">
        <v>3.3286920270835692E-2</v>
      </c>
      <c r="Q387" s="100">
        <v>2.9852385922092436E-2</v>
      </c>
    </row>
    <row r="388" spans="1:17" x14ac:dyDescent="0.35">
      <c r="A388" s="98" t="s">
        <v>14</v>
      </c>
      <c r="B388" s="98" t="s">
        <v>152</v>
      </c>
      <c r="C388" s="98" t="s">
        <v>233</v>
      </c>
      <c r="D388" s="99">
        <v>1243941.0000000002</v>
      </c>
      <c r="E388" s="99">
        <v>1502091.5000000002</v>
      </c>
      <c r="F388" s="99">
        <v>1674908</v>
      </c>
      <c r="G388" s="99">
        <v>0</v>
      </c>
      <c r="H388" s="98" t="s">
        <v>225</v>
      </c>
      <c r="I388" s="99">
        <v>134</v>
      </c>
      <c r="J388" s="98" t="s">
        <v>229</v>
      </c>
      <c r="K388" s="99">
        <v>134</v>
      </c>
      <c r="L388" s="98" t="s">
        <v>229</v>
      </c>
      <c r="M388" s="98" t="s">
        <v>225</v>
      </c>
      <c r="N388" s="99">
        <v>134</v>
      </c>
      <c r="O388" s="100">
        <v>0</v>
      </c>
      <c r="P388" s="100">
        <v>0.89208946325839655</v>
      </c>
      <c r="Q388" s="100">
        <v>0.80004394271207735</v>
      </c>
    </row>
    <row r="389" spans="1:17" x14ac:dyDescent="0.35">
      <c r="A389" s="98" t="s">
        <v>14</v>
      </c>
      <c r="B389" s="98" t="s">
        <v>152</v>
      </c>
      <c r="C389" s="98" t="s">
        <v>234</v>
      </c>
      <c r="D389" s="99">
        <v>1243941.0000000002</v>
      </c>
      <c r="E389" s="99">
        <v>1502091.5000000002</v>
      </c>
      <c r="F389" s="99">
        <v>1674908</v>
      </c>
      <c r="G389" s="99">
        <v>0</v>
      </c>
      <c r="H389" s="98" t="s">
        <v>225</v>
      </c>
      <c r="I389" s="99">
        <v>0</v>
      </c>
      <c r="J389" s="98" t="s">
        <v>225</v>
      </c>
      <c r="K389" s="99">
        <v>282</v>
      </c>
      <c r="L389" s="98">
        <v>2022</v>
      </c>
      <c r="M389" s="98" t="s">
        <v>225</v>
      </c>
      <c r="N389" s="99">
        <v>282</v>
      </c>
      <c r="O389" s="100">
        <v>0</v>
      </c>
      <c r="P389" s="100">
        <v>0</v>
      </c>
      <c r="Q389" s="100">
        <v>1.6836745660060135</v>
      </c>
    </row>
    <row r="390" spans="1:17" x14ac:dyDescent="0.35">
      <c r="A390" s="98" t="s">
        <v>14</v>
      </c>
      <c r="B390" s="98" t="s">
        <v>152</v>
      </c>
      <c r="C390" s="98" t="s">
        <v>235</v>
      </c>
      <c r="D390" s="99">
        <v>1243941.0000000002</v>
      </c>
      <c r="E390" s="99">
        <v>1502091.5000000002</v>
      </c>
      <c r="F390" s="99">
        <v>1674908</v>
      </c>
      <c r="G390" s="99">
        <v>0</v>
      </c>
      <c r="H390" s="98" t="s">
        <v>225</v>
      </c>
      <c r="I390" s="99">
        <v>0</v>
      </c>
      <c r="J390" s="98" t="s">
        <v>225</v>
      </c>
      <c r="K390" s="99">
        <v>0</v>
      </c>
      <c r="L390" s="98" t="s">
        <v>225</v>
      </c>
      <c r="M390" s="98" t="s">
        <v>225</v>
      </c>
      <c r="N390" s="99">
        <v>0</v>
      </c>
      <c r="O390" s="100">
        <v>0</v>
      </c>
      <c r="P390" s="100">
        <v>0</v>
      </c>
      <c r="Q390" s="100">
        <v>0</v>
      </c>
    </row>
    <row r="391" spans="1:17" x14ac:dyDescent="0.35">
      <c r="A391" s="98" t="s">
        <v>14</v>
      </c>
      <c r="B391" s="98" t="s">
        <v>152</v>
      </c>
      <c r="C391" s="98" t="s">
        <v>236</v>
      </c>
      <c r="D391" s="99">
        <v>1243941.0000000002</v>
      </c>
      <c r="E391" s="99">
        <v>1502091.5000000002</v>
      </c>
      <c r="F391" s="99">
        <v>1674908</v>
      </c>
      <c r="G391" s="99">
        <v>0</v>
      </c>
      <c r="H391" s="98" t="s">
        <v>225</v>
      </c>
      <c r="I391" s="99">
        <v>0</v>
      </c>
      <c r="J391" s="98" t="s">
        <v>225</v>
      </c>
      <c r="K391" s="99">
        <v>0</v>
      </c>
      <c r="L391" s="98" t="s">
        <v>225</v>
      </c>
      <c r="M391" s="98" t="s">
        <v>225</v>
      </c>
      <c r="N391" s="99">
        <v>0</v>
      </c>
      <c r="O391" s="100">
        <v>0</v>
      </c>
      <c r="P391" s="100">
        <v>0</v>
      </c>
      <c r="Q391" s="100">
        <v>0</v>
      </c>
    </row>
    <row r="392" spans="1:17" x14ac:dyDescent="0.35">
      <c r="A392" s="98" t="s">
        <v>14</v>
      </c>
      <c r="B392" s="98" t="s">
        <v>152</v>
      </c>
      <c r="C392" s="98" t="s">
        <v>237</v>
      </c>
      <c r="D392" s="99">
        <v>1243941.0000000002</v>
      </c>
      <c r="E392" s="99">
        <v>1502091.5000000002</v>
      </c>
      <c r="F392" s="99">
        <v>1674908</v>
      </c>
      <c r="G392" s="99">
        <v>0</v>
      </c>
      <c r="H392" s="98" t="s">
        <v>225</v>
      </c>
      <c r="I392" s="99">
        <v>0</v>
      </c>
      <c r="J392" s="98" t="s">
        <v>225</v>
      </c>
      <c r="K392" s="99">
        <v>0</v>
      </c>
      <c r="L392" s="98" t="s">
        <v>225</v>
      </c>
      <c r="M392" s="98" t="s">
        <v>225</v>
      </c>
      <c r="N392" s="99">
        <v>0</v>
      </c>
      <c r="O392" s="100">
        <v>0</v>
      </c>
      <c r="P392" s="100">
        <v>0</v>
      </c>
      <c r="Q392" s="100">
        <v>0</v>
      </c>
    </row>
    <row r="393" spans="1:17" x14ac:dyDescent="0.35">
      <c r="A393" s="98" t="s">
        <v>14</v>
      </c>
      <c r="B393" s="98" t="s">
        <v>152</v>
      </c>
      <c r="C393" s="98" t="s">
        <v>238</v>
      </c>
      <c r="D393" s="99">
        <v>1243941.0000000002</v>
      </c>
      <c r="E393" s="99">
        <v>1502091.5000000002</v>
      </c>
      <c r="F393" s="99">
        <v>1674908</v>
      </c>
      <c r="G393" s="99">
        <v>0</v>
      </c>
      <c r="H393" s="98" t="s">
        <v>225</v>
      </c>
      <c r="I393" s="99">
        <v>0</v>
      </c>
      <c r="J393" s="98" t="s">
        <v>225</v>
      </c>
      <c r="K393" s="99">
        <v>0</v>
      </c>
      <c r="L393" s="98" t="s">
        <v>225</v>
      </c>
      <c r="M393" s="98" t="s">
        <v>225</v>
      </c>
      <c r="N393" s="99">
        <v>0</v>
      </c>
      <c r="O393" s="100">
        <v>0</v>
      </c>
      <c r="P393" s="100">
        <v>0</v>
      </c>
      <c r="Q393" s="100">
        <v>0</v>
      </c>
    </row>
    <row r="394" spans="1:17" x14ac:dyDescent="0.35">
      <c r="A394" s="98" t="s">
        <v>14</v>
      </c>
      <c r="B394" s="98" t="s">
        <v>152</v>
      </c>
      <c r="C394" s="98" t="s">
        <v>239</v>
      </c>
      <c r="D394" s="99">
        <v>1243941.0000000002</v>
      </c>
      <c r="E394" s="99">
        <v>1502091.5000000002</v>
      </c>
      <c r="F394" s="99">
        <v>1674908</v>
      </c>
      <c r="G394" s="99">
        <v>0</v>
      </c>
      <c r="H394" s="98" t="s">
        <v>225</v>
      </c>
      <c r="I394" s="99">
        <v>0</v>
      </c>
      <c r="J394" s="98" t="s">
        <v>225</v>
      </c>
      <c r="K394" s="99">
        <v>0</v>
      </c>
      <c r="L394" s="98" t="s">
        <v>225</v>
      </c>
      <c r="M394" s="98" t="s">
        <v>225</v>
      </c>
      <c r="N394" s="99">
        <v>0</v>
      </c>
      <c r="O394" s="100">
        <v>0</v>
      </c>
      <c r="P394" s="100">
        <v>0</v>
      </c>
      <c r="Q394" s="100">
        <v>0</v>
      </c>
    </row>
    <row r="395" spans="1:17" x14ac:dyDescent="0.35">
      <c r="A395" s="98" t="s">
        <v>14</v>
      </c>
      <c r="B395" s="98" t="s">
        <v>152</v>
      </c>
      <c r="C395" s="98" t="s">
        <v>240</v>
      </c>
      <c r="D395" s="99">
        <v>1243941.0000000002</v>
      </c>
      <c r="E395" s="99">
        <v>1502091.5000000002</v>
      </c>
      <c r="F395" s="99">
        <v>1674908</v>
      </c>
      <c r="G395" s="99">
        <v>0</v>
      </c>
      <c r="H395" s="98" t="s">
        <v>225</v>
      </c>
      <c r="I395" s="99">
        <v>2</v>
      </c>
      <c r="J395" s="98" t="s">
        <v>229</v>
      </c>
      <c r="K395" s="99">
        <v>228</v>
      </c>
      <c r="L395" s="98">
        <v>2022</v>
      </c>
      <c r="M395" s="98" t="s">
        <v>225</v>
      </c>
      <c r="N395" s="99">
        <v>228</v>
      </c>
      <c r="O395" s="100">
        <v>0</v>
      </c>
      <c r="P395" s="100">
        <v>1.3314768108334277E-2</v>
      </c>
      <c r="Q395" s="100">
        <v>1.3612687980474152</v>
      </c>
    </row>
    <row r="396" spans="1:17" x14ac:dyDescent="0.35">
      <c r="A396" s="98" t="s">
        <v>14</v>
      </c>
      <c r="B396" s="98" t="s">
        <v>152</v>
      </c>
      <c r="C396" s="98" t="s">
        <v>241</v>
      </c>
      <c r="D396" s="99">
        <v>1243941.0000000002</v>
      </c>
      <c r="E396" s="99">
        <v>1502091.5000000002</v>
      </c>
      <c r="F396" s="99">
        <v>1674908</v>
      </c>
      <c r="G396" s="99">
        <v>0</v>
      </c>
      <c r="H396" s="98" t="s">
        <v>225</v>
      </c>
      <c r="I396" s="99">
        <v>0</v>
      </c>
      <c r="J396" s="98" t="s">
        <v>225</v>
      </c>
      <c r="K396" s="99">
        <v>101</v>
      </c>
      <c r="L396" s="98">
        <v>2022</v>
      </c>
      <c r="M396" s="98" t="s">
        <v>225</v>
      </c>
      <c r="N396" s="99">
        <v>101</v>
      </c>
      <c r="O396" s="100">
        <v>0</v>
      </c>
      <c r="P396" s="100">
        <v>0</v>
      </c>
      <c r="Q396" s="100">
        <v>0.60301819562626724</v>
      </c>
    </row>
    <row r="397" spans="1:17" x14ac:dyDescent="0.35">
      <c r="A397" s="98" t="s">
        <v>14</v>
      </c>
      <c r="B397" s="98" t="s">
        <v>152</v>
      </c>
      <c r="C397" s="98" t="s">
        <v>242</v>
      </c>
      <c r="D397" s="99">
        <v>1243941.0000000002</v>
      </c>
      <c r="E397" s="99">
        <v>1502091.5000000002</v>
      </c>
      <c r="F397" s="99">
        <v>1674908</v>
      </c>
      <c r="G397" s="99">
        <v>0</v>
      </c>
      <c r="H397" s="98" t="s">
        <v>225</v>
      </c>
      <c r="I397" s="99">
        <v>0</v>
      </c>
      <c r="J397" s="98" t="s">
        <v>225</v>
      </c>
      <c r="K397" s="99">
        <v>0</v>
      </c>
      <c r="L397" s="98" t="s">
        <v>225</v>
      </c>
      <c r="M397" s="98" t="s">
        <v>225</v>
      </c>
      <c r="N397" s="99">
        <v>0</v>
      </c>
      <c r="O397" s="100">
        <v>0</v>
      </c>
      <c r="P397" s="100">
        <v>0</v>
      </c>
      <c r="Q397" s="100">
        <v>0</v>
      </c>
    </row>
    <row r="398" spans="1:17" x14ac:dyDescent="0.35">
      <c r="A398" s="98" t="s">
        <v>14</v>
      </c>
      <c r="B398" s="98" t="s">
        <v>152</v>
      </c>
      <c r="C398" s="98" t="s">
        <v>243</v>
      </c>
      <c r="D398" s="99">
        <v>1243941.0000000002</v>
      </c>
      <c r="E398" s="99">
        <v>1502091.5000000002</v>
      </c>
      <c r="F398" s="99">
        <v>1674908</v>
      </c>
      <c r="G398" s="99">
        <v>0</v>
      </c>
      <c r="H398" s="98" t="s">
        <v>225</v>
      </c>
      <c r="I398" s="99">
        <v>0</v>
      </c>
      <c r="J398" s="98" t="s">
        <v>225</v>
      </c>
      <c r="K398" s="99">
        <v>0</v>
      </c>
      <c r="L398" s="98" t="s">
        <v>225</v>
      </c>
      <c r="M398" s="98" t="s">
        <v>225</v>
      </c>
      <c r="N398" s="99">
        <v>0</v>
      </c>
      <c r="O398" s="100">
        <v>0</v>
      </c>
      <c r="P398" s="100">
        <v>0</v>
      </c>
      <c r="Q398" s="100">
        <v>0</v>
      </c>
    </row>
    <row r="399" spans="1:17" x14ac:dyDescent="0.35">
      <c r="A399" s="98" t="s">
        <v>14</v>
      </c>
      <c r="B399" s="98" t="s">
        <v>152</v>
      </c>
      <c r="C399" s="98" t="s">
        <v>244</v>
      </c>
      <c r="D399" s="99">
        <v>1243941.0000000002</v>
      </c>
      <c r="E399" s="99">
        <v>1502091.5000000002</v>
      </c>
      <c r="F399" s="99">
        <v>1674908</v>
      </c>
      <c r="G399" s="99">
        <v>0</v>
      </c>
      <c r="H399" s="98" t="s">
        <v>225</v>
      </c>
      <c r="I399" s="99">
        <v>0</v>
      </c>
      <c r="J399" s="98" t="s">
        <v>225</v>
      </c>
      <c r="K399" s="99">
        <v>0</v>
      </c>
      <c r="L399" s="98" t="s">
        <v>225</v>
      </c>
      <c r="M399" s="98" t="s">
        <v>225</v>
      </c>
      <c r="N399" s="99">
        <v>0</v>
      </c>
      <c r="O399" s="100">
        <v>0</v>
      </c>
      <c r="P399" s="100">
        <v>0</v>
      </c>
      <c r="Q399" s="100">
        <v>0</v>
      </c>
    </row>
    <row r="400" spans="1:17" x14ac:dyDescent="0.35">
      <c r="A400" s="98" t="s">
        <v>14</v>
      </c>
      <c r="B400" s="98" t="s">
        <v>152</v>
      </c>
      <c r="C400" s="98" t="s">
        <v>245</v>
      </c>
      <c r="D400" s="99">
        <v>1243941.0000000002</v>
      </c>
      <c r="E400" s="99">
        <v>1502091.5000000002</v>
      </c>
      <c r="F400" s="99">
        <v>1674908</v>
      </c>
      <c r="G400" s="99">
        <v>0</v>
      </c>
      <c r="H400" s="98" t="s">
        <v>225</v>
      </c>
      <c r="I400" s="99">
        <v>0</v>
      </c>
      <c r="J400" s="98" t="s">
        <v>225</v>
      </c>
      <c r="K400" s="99">
        <v>0</v>
      </c>
      <c r="L400" s="98" t="s">
        <v>225</v>
      </c>
      <c r="M400" s="98" t="s">
        <v>225</v>
      </c>
      <c r="N400" s="99">
        <v>0</v>
      </c>
      <c r="O400" s="100">
        <v>0</v>
      </c>
      <c r="P400" s="100">
        <v>0</v>
      </c>
      <c r="Q400" s="100">
        <v>0</v>
      </c>
    </row>
    <row r="401" spans="1:17" x14ac:dyDescent="0.35">
      <c r="A401" s="98" t="s">
        <v>23</v>
      </c>
      <c r="B401" s="98" t="s">
        <v>162</v>
      </c>
      <c r="C401" s="98" t="s">
        <v>224</v>
      </c>
      <c r="D401" s="99">
        <v>44792368.000000007</v>
      </c>
      <c r="E401" s="99">
        <v>49953303.999999993</v>
      </c>
      <c r="F401" s="99">
        <v>54027486.999999985</v>
      </c>
      <c r="G401" s="99">
        <v>0</v>
      </c>
      <c r="H401" s="98" t="s">
        <v>225</v>
      </c>
      <c r="I401" s="99">
        <v>58079</v>
      </c>
      <c r="J401" s="98">
        <v>2018</v>
      </c>
      <c r="K401" s="99">
        <v>86423</v>
      </c>
      <c r="L401" s="98">
        <v>2022</v>
      </c>
      <c r="M401" s="98" t="s">
        <v>225</v>
      </c>
      <c r="N401" s="99">
        <v>86423</v>
      </c>
      <c r="O401" s="100">
        <v>0</v>
      </c>
      <c r="P401" s="100">
        <v>11.626658368783776</v>
      </c>
      <c r="Q401" s="100">
        <v>15.996116939512664</v>
      </c>
    </row>
    <row r="402" spans="1:17" x14ac:dyDescent="0.35">
      <c r="A402" s="98" t="s">
        <v>23</v>
      </c>
      <c r="B402" s="98" t="s">
        <v>162</v>
      </c>
      <c r="C402" s="98" t="s">
        <v>227</v>
      </c>
      <c r="D402" s="99">
        <v>44792368.000000007</v>
      </c>
      <c r="E402" s="99">
        <v>49953303.999999993</v>
      </c>
      <c r="F402" s="99">
        <v>54027486.999999985</v>
      </c>
      <c r="G402" s="99">
        <v>211</v>
      </c>
      <c r="H402" s="98">
        <v>2013</v>
      </c>
      <c r="I402" s="99">
        <v>1147</v>
      </c>
      <c r="J402" s="98" t="s">
        <v>229</v>
      </c>
      <c r="K402" s="99">
        <v>10071</v>
      </c>
      <c r="L402" s="98">
        <v>2022</v>
      </c>
      <c r="M402" s="98" t="s">
        <v>225</v>
      </c>
      <c r="N402" s="99">
        <v>10071</v>
      </c>
      <c r="O402" s="100">
        <v>4.7106239170030033E-2</v>
      </c>
      <c r="P402" s="100">
        <v>0.22961444151922367</v>
      </c>
      <c r="Q402" s="100">
        <v>1.8640511634383443</v>
      </c>
    </row>
    <row r="403" spans="1:17" x14ac:dyDescent="0.35">
      <c r="A403" s="98" t="s">
        <v>23</v>
      </c>
      <c r="B403" s="98" t="s">
        <v>162</v>
      </c>
      <c r="C403" s="98" t="s">
        <v>228</v>
      </c>
      <c r="D403" s="99">
        <v>44792368.000000007</v>
      </c>
      <c r="E403" s="99">
        <v>49953303.999999993</v>
      </c>
      <c r="F403" s="99">
        <v>54027486.999999985</v>
      </c>
      <c r="G403" s="99">
        <v>201</v>
      </c>
      <c r="H403" s="98">
        <v>2015</v>
      </c>
      <c r="I403" s="99">
        <v>5310</v>
      </c>
      <c r="J403" s="98" t="s">
        <v>229</v>
      </c>
      <c r="K403" s="99">
        <v>553</v>
      </c>
      <c r="L403" s="98">
        <v>2022</v>
      </c>
      <c r="M403" s="98" t="s">
        <v>226</v>
      </c>
      <c r="N403" s="99">
        <v>635.56215030918963</v>
      </c>
      <c r="O403" s="100">
        <v>4.4873715986616283E-2</v>
      </c>
      <c r="P403" s="100">
        <v>1.0629927501892569</v>
      </c>
      <c r="Q403" s="100">
        <v>0.11763681518431346</v>
      </c>
    </row>
    <row r="404" spans="1:17" x14ac:dyDescent="0.35">
      <c r="A404" s="98" t="s">
        <v>23</v>
      </c>
      <c r="B404" s="98" t="s">
        <v>162</v>
      </c>
      <c r="C404" s="98" t="s">
        <v>230</v>
      </c>
      <c r="D404" s="99">
        <v>44792368.000000007</v>
      </c>
      <c r="E404" s="99">
        <v>49953303.999999993</v>
      </c>
      <c r="F404" s="99">
        <v>54027486.999999985</v>
      </c>
      <c r="G404" s="99">
        <v>0</v>
      </c>
      <c r="H404" s="98" t="s">
        <v>225</v>
      </c>
      <c r="I404" s="99">
        <v>0</v>
      </c>
      <c r="J404" s="98" t="s">
        <v>225</v>
      </c>
      <c r="K404" s="99">
        <v>0</v>
      </c>
      <c r="L404" s="98" t="s">
        <v>225</v>
      </c>
      <c r="M404" s="98" t="s">
        <v>225</v>
      </c>
      <c r="N404" s="99">
        <v>0</v>
      </c>
      <c r="O404" s="100">
        <v>0</v>
      </c>
      <c r="P404" s="100">
        <v>0</v>
      </c>
      <c r="Q404" s="100">
        <v>0</v>
      </c>
    </row>
    <row r="405" spans="1:17" x14ac:dyDescent="0.35">
      <c r="A405" s="98" t="s">
        <v>23</v>
      </c>
      <c r="B405" s="98" t="s">
        <v>162</v>
      </c>
      <c r="C405" s="98" t="s">
        <v>231</v>
      </c>
      <c r="D405" s="99">
        <v>44792368.000000007</v>
      </c>
      <c r="E405" s="99">
        <v>49953303.999999993</v>
      </c>
      <c r="F405" s="99">
        <v>54027486.999999985</v>
      </c>
      <c r="G405" s="99">
        <v>0</v>
      </c>
      <c r="H405" s="98" t="s">
        <v>225</v>
      </c>
      <c r="I405" s="99">
        <v>0</v>
      </c>
      <c r="J405" s="98" t="s">
        <v>225</v>
      </c>
      <c r="K405" s="99">
        <v>0</v>
      </c>
      <c r="L405" s="98" t="s">
        <v>225</v>
      </c>
      <c r="M405" s="98" t="s">
        <v>225</v>
      </c>
      <c r="N405" s="99">
        <v>0</v>
      </c>
      <c r="O405" s="100">
        <v>0</v>
      </c>
      <c r="P405" s="100">
        <v>0</v>
      </c>
      <c r="Q405" s="100">
        <v>0</v>
      </c>
    </row>
    <row r="406" spans="1:17" x14ac:dyDescent="0.35">
      <c r="A406" s="98" t="s">
        <v>23</v>
      </c>
      <c r="B406" s="98" t="s">
        <v>162</v>
      </c>
      <c r="C406" s="98" t="s">
        <v>232</v>
      </c>
      <c r="D406" s="99">
        <v>44792368.000000007</v>
      </c>
      <c r="E406" s="99">
        <v>49953303.999999993</v>
      </c>
      <c r="F406" s="99">
        <v>54027486.999999985</v>
      </c>
      <c r="G406" s="99">
        <v>0</v>
      </c>
      <c r="H406" s="98" t="s">
        <v>225</v>
      </c>
      <c r="I406" s="99">
        <v>468</v>
      </c>
      <c r="J406" s="98" t="s">
        <v>229</v>
      </c>
      <c r="K406" s="99">
        <v>987</v>
      </c>
      <c r="L406" s="98">
        <v>2022</v>
      </c>
      <c r="M406" s="98" t="s">
        <v>225</v>
      </c>
      <c r="N406" s="99">
        <v>987</v>
      </c>
      <c r="O406" s="100">
        <v>0</v>
      </c>
      <c r="P406" s="100">
        <v>9.3687496626849762E-2</v>
      </c>
      <c r="Q406" s="100">
        <v>0.1826847878377168</v>
      </c>
    </row>
    <row r="407" spans="1:17" x14ac:dyDescent="0.35">
      <c r="A407" s="98" t="s">
        <v>23</v>
      </c>
      <c r="B407" s="98" t="s">
        <v>162</v>
      </c>
      <c r="C407" s="98" t="s">
        <v>233</v>
      </c>
      <c r="D407" s="99">
        <v>44792368.000000007</v>
      </c>
      <c r="E407" s="99">
        <v>49953303.999999993</v>
      </c>
      <c r="F407" s="99">
        <v>54027486.999999985</v>
      </c>
      <c r="G407" s="99">
        <v>0</v>
      </c>
      <c r="H407" s="98" t="s">
        <v>225</v>
      </c>
      <c r="I407" s="99">
        <v>0</v>
      </c>
      <c r="J407" s="98" t="s">
        <v>225</v>
      </c>
      <c r="K407" s="99">
        <v>10000</v>
      </c>
      <c r="L407" s="98">
        <v>2022</v>
      </c>
      <c r="M407" s="98" t="s">
        <v>225</v>
      </c>
      <c r="N407" s="99">
        <v>10000</v>
      </c>
      <c r="O407" s="100">
        <v>0</v>
      </c>
      <c r="P407" s="100">
        <v>0</v>
      </c>
      <c r="Q407" s="100">
        <v>1.8509097045361378</v>
      </c>
    </row>
    <row r="408" spans="1:17" x14ac:dyDescent="0.35">
      <c r="A408" s="98" t="s">
        <v>23</v>
      </c>
      <c r="B408" s="98" t="s">
        <v>162</v>
      </c>
      <c r="C408" s="98" t="s">
        <v>234</v>
      </c>
      <c r="D408" s="99">
        <v>44792368.000000007</v>
      </c>
      <c r="E408" s="99">
        <v>49953303.999999993</v>
      </c>
      <c r="F408" s="99">
        <v>54027486.999999985</v>
      </c>
      <c r="G408" s="99">
        <v>0</v>
      </c>
      <c r="H408" s="98" t="s">
        <v>225</v>
      </c>
      <c r="I408" s="99">
        <v>0</v>
      </c>
      <c r="J408" s="98" t="s">
        <v>225</v>
      </c>
      <c r="K408" s="99">
        <v>0</v>
      </c>
      <c r="L408" s="98" t="s">
        <v>225</v>
      </c>
      <c r="M408" s="98" t="s">
        <v>225</v>
      </c>
      <c r="N408" s="99">
        <v>0</v>
      </c>
      <c r="O408" s="100">
        <v>0</v>
      </c>
      <c r="P408" s="100">
        <v>0</v>
      </c>
      <c r="Q408" s="100">
        <v>0</v>
      </c>
    </row>
    <row r="409" spans="1:17" x14ac:dyDescent="0.35">
      <c r="A409" s="98" t="s">
        <v>23</v>
      </c>
      <c r="B409" s="98" t="s">
        <v>162</v>
      </c>
      <c r="C409" s="98" t="s">
        <v>235</v>
      </c>
      <c r="D409" s="99">
        <v>44792368.000000007</v>
      </c>
      <c r="E409" s="99">
        <v>49953303.999999993</v>
      </c>
      <c r="F409" s="99">
        <v>54027486.999999985</v>
      </c>
      <c r="G409" s="99">
        <v>0</v>
      </c>
      <c r="H409" s="98" t="s">
        <v>225</v>
      </c>
      <c r="I409" s="99">
        <v>430</v>
      </c>
      <c r="J409" s="98">
        <v>2018</v>
      </c>
      <c r="K409" s="99">
        <v>717</v>
      </c>
      <c r="L409" s="98">
        <v>2021</v>
      </c>
      <c r="M409" s="98" t="s">
        <v>225</v>
      </c>
      <c r="N409" s="99">
        <v>717</v>
      </c>
      <c r="O409" s="100">
        <v>0</v>
      </c>
      <c r="P409" s="100">
        <v>8.6080392199883324E-2</v>
      </c>
      <c r="Q409" s="100">
        <v>0.13271022581524108</v>
      </c>
    </row>
    <row r="410" spans="1:17" x14ac:dyDescent="0.35">
      <c r="A410" s="98" t="s">
        <v>23</v>
      </c>
      <c r="B410" s="98" t="s">
        <v>162</v>
      </c>
      <c r="C410" s="98" t="s">
        <v>236</v>
      </c>
      <c r="D410" s="99">
        <v>44792368.000000007</v>
      </c>
      <c r="E410" s="99">
        <v>49953303.999999993</v>
      </c>
      <c r="F410" s="99">
        <v>54027486.999999985</v>
      </c>
      <c r="G410" s="99">
        <v>0</v>
      </c>
      <c r="H410" s="98" t="s">
        <v>225</v>
      </c>
      <c r="I410" s="99">
        <v>2419</v>
      </c>
      <c r="J410" s="98" t="s">
        <v>229</v>
      </c>
      <c r="K410" s="99">
        <v>2419</v>
      </c>
      <c r="L410" s="98" t="s">
        <v>229</v>
      </c>
      <c r="M410" s="98" t="s">
        <v>225</v>
      </c>
      <c r="N410" s="99">
        <v>2419</v>
      </c>
      <c r="O410" s="100">
        <v>0</v>
      </c>
      <c r="P410" s="100">
        <v>0.48425225286399481</v>
      </c>
      <c r="Q410" s="100">
        <v>0.44773505752729176</v>
      </c>
    </row>
    <row r="411" spans="1:17" x14ac:dyDescent="0.35">
      <c r="A411" s="98" t="s">
        <v>23</v>
      </c>
      <c r="B411" s="98" t="s">
        <v>162</v>
      </c>
      <c r="C411" s="98" t="s">
        <v>237</v>
      </c>
      <c r="D411" s="99">
        <v>44792368.000000007</v>
      </c>
      <c r="E411" s="99">
        <v>49953303.999999993</v>
      </c>
      <c r="F411" s="99">
        <v>54027486.999999985</v>
      </c>
      <c r="G411" s="99">
        <v>0</v>
      </c>
      <c r="H411" s="98" t="s">
        <v>225</v>
      </c>
      <c r="I411" s="99">
        <v>0</v>
      </c>
      <c r="J411" s="98" t="s">
        <v>225</v>
      </c>
      <c r="K411" s="99">
        <v>0</v>
      </c>
      <c r="L411" s="98" t="s">
        <v>225</v>
      </c>
      <c r="M411" s="98" t="s">
        <v>225</v>
      </c>
      <c r="N411" s="99">
        <v>0</v>
      </c>
      <c r="O411" s="100">
        <v>0</v>
      </c>
      <c r="P411" s="100">
        <v>0</v>
      </c>
      <c r="Q411" s="100">
        <v>0</v>
      </c>
    </row>
    <row r="412" spans="1:17" x14ac:dyDescent="0.35">
      <c r="A412" s="98" t="s">
        <v>23</v>
      </c>
      <c r="B412" s="98" t="s">
        <v>162</v>
      </c>
      <c r="C412" s="98" t="s">
        <v>238</v>
      </c>
      <c r="D412" s="99">
        <v>44792368.000000007</v>
      </c>
      <c r="E412" s="99">
        <v>49953303.999999993</v>
      </c>
      <c r="F412" s="99">
        <v>54027486.999999985</v>
      </c>
      <c r="G412" s="99">
        <v>0</v>
      </c>
      <c r="H412" s="98" t="s">
        <v>225</v>
      </c>
      <c r="I412" s="99">
        <v>2759</v>
      </c>
      <c r="J412" s="98" t="s">
        <v>229</v>
      </c>
      <c r="K412" s="99">
        <v>3295</v>
      </c>
      <c r="L412" s="98">
        <v>2021</v>
      </c>
      <c r="M412" s="98" t="s">
        <v>225</v>
      </c>
      <c r="N412" s="99">
        <v>3295</v>
      </c>
      <c r="O412" s="100">
        <v>0</v>
      </c>
      <c r="P412" s="100">
        <v>0.55231581878948399</v>
      </c>
      <c r="Q412" s="100">
        <v>0.60987474764465743</v>
      </c>
    </row>
    <row r="413" spans="1:17" x14ac:dyDescent="0.35">
      <c r="A413" s="98" t="s">
        <v>23</v>
      </c>
      <c r="B413" s="98" t="s">
        <v>162</v>
      </c>
      <c r="C413" s="98" t="s">
        <v>239</v>
      </c>
      <c r="D413" s="99">
        <v>44792368.000000007</v>
      </c>
      <c r="E413" s="99">
        <v>49953303.999999993</v>
      </c>
      <c r="F413" s="99">
        <v>54027486.999999985</v>
      </c>
      <c r="G413" s="99">
        <v>0</v>
      </c>
      <c r="H413" s="98" t="s">
        <v>225</v>
      </c>
      <c r="I413" s="99">
        <v>0</v>
      </c>
      <c r="J413" s="98" t="s">
        <v>225</v>
      </c>
      <c r="K413" s="99">
        <v>11129</v>
      </c>
      <c r="L413" s="98">
        <v>2021</v>
      </c>
      <c r="M413" s="98" t="s">
        <v>225</v>
      </c>
      <c r="N413" s="99">
        <v>11129</v>
      </c>
      <c r="O413" s="100">
        <v>0</v>
      </c>
      <c r="P413" s="100">
        <v>0</v>
      </c>
      <c r="Q413" s="100">
        <v>2.059877410178268</v>
      </c>
    </row>
    <row r="414" spans="1:17" x14ac:dyDescent="0.35">
      <c r="A414" s="98" t="s">
        <v>23</v>
      </c>
      <c r="B414" s="98" t="s">
        <v>162</v>
      </c>
      <c r="C414" s="98" t="s">
        <v>240</v>
      </c>
      <c r="D414" s="99">
        <v>44792368.000000007</v>
      </c>
      <c r="E414" s="99">
        <v>49953303.999999993</v>
      </c>
      <c r="F414" s="99">
        <v>54027486.999999985</v>
      </c>
      <c r="G414" s="99">
        <v>0</v>
      </c>
      <c r="H414" s="98" t="s">
        <v>225</v>
      </c>
      <c r="I414" s="99">
        <v>0</v>
      </c>
      <c r="J414" s="98" t="s">
        <v>225</v>
      </c>
      <c r="K414" s="99">
        <v>1200</v>
      </c>
      <c r="L414" s="98">
        <v>2022</v>
      </c>
      <c r="M414" s="98" t="s">
        <v>225</v>
      </c>
      <c r="N414" s="99">
        <v>1200</v>
      </c>
      <c r="O414" s="100">
        <v>0</v>
      </c>
      <c r="P414" s="100">
        <v>0</v>
      </c>
      <c r="Q414" s="100">
        <v>0.22210916454433655</v>
      </c>
    </row>
    <row r="415" spans="1:17" x14ac:dyDescent="0.35">
      <c r="A415" s="98" t="s">
        <v>23</v>
      </c>
      <c r="B415" s="98" t="s">
        <v>162</v>
      </c>
      <c r="C415" s="98" t="s">
        <v>241</v>
      </c>
      <c r="D415" s="99">
        <v>44792368.000000007</v>
      </c>
      <c r="E415" s="99">
        <v>49953303.999999993</v>
      </c>
      <c r="F415" s="99">
        <v>54027486.999999985</v>
      </c>
      <c r="G415" s="99">
        <v>13216</v>
      </c>
      <c r="H415" s="98">
        <v>2013</v>
      </c>
      <c r="I415" s="99">
        <v>21942</v>
      </c>
      <c r="J415" s="98">
        <v>2018</v>
      </c>
      <c r="K415" s="99">
        <v>25400</v>
      </c>
      <c r="L415" s="98">
        <v>2022</v>
      </c>
      <c r="M415" s="98" t="s">
        <v>225</v>
      </c>
      <c r="N415" s="99">
        <v>25400</v>
      </c>
      <c r="O415" s="100">
        <v>2.9505026391996059</v>
      </c>
      <c r="P415" s="100">
        <v>4.392502245697302</v>
      </c>
      <c r="Q415" s="100">
        <v>4.7013106495217905</v>
      </c>
    </row>
    <row r="416" spans="1:17" x14ac:dyDescent="0.35">
      <c r="A416" s="98" t="s">
        <v>23</v>
      </c>
      <c r="B416" s="98" t="s">
        <v>162</v>
      </c>
      <c r="C416" s="98" t="s">
        <v>242</v>
      </c>
      <c r="D416" s="99">
        <v>44792368.000000007</v>
      </c>
      <c r="E416" s="99">
        <v>49953303.999999993</v>
      </c>
      <c r="F416" s="99">
        <v>54027486.999999985</v>
      </c>
      <c r="G416" s="99">
        <v>0</v>
      </c>
      <c r="H416" s="98" t="s">
        <v>225</v>
      </c>
      <c r="I416" s="99">
        <v>0</v>
      </c>
      <c r="J416" s="98" t="s">
        <v>225</v>
      </c>
      <c r="K416" s="99">
        <v>631</v>
      </c>
      <c r="L416" s="98">
        <v>2022</v>
      </c>
      <c r="M416" s="98" t="s">
        <v>225</v>
      </c>
      <c r="N416" s="99">
        <v>631</v>
      </c>
      <c r="O416" s="100">
        <v>0</v>
      </c>
      <c r="P416" s="100">
        <v>0</v>
      </c>
      <c r="Q416" s="100">
        <v>0.1167924023562303</v>
      </c>
    </row>
    <row r="417" spans="1:17" x14ac:dyDescent="0.35">
      <c r="A417" s="98" t="s">
        <v>23</v>
      </c>
      <c r="B417" s="98" t="s">
        <v>162</v>
      </c>
      <c r="C417" s="98" t="s">
        <v>243</v>
      </c>
      <c r="D417" s="99">
        <v>44792368.000000007</v>
      </c>
      <c r="E417" s="99">
        <v>49953303.999999993</v>
      </c>
      <c r="F417" s="99">
        <v>54027486.999999985</v>
      </c>
      <c r="G417" s="99">
        <v>0</v>
      </c>
      <c r="H417" s="98" t="s">
        <v>225</v>
      </c>
      <c r="I417" s="99">
        <v>0</v>
      </c>
      <c r="J417" s="98" t="s">
        <v>225</v>
      </c>
      <c r="K417" s="99">
        <v>642</v>
      </c>
      <c r="L417" s="98">
        <v>2022</v>
      </c>
      <c r="M417" s="98" t="s">
        <v>225</v>
      </c>
      <c r="N417" s="99">
        <v>642</v>
      </c>
      <c r="O417" s="100">
        <v>0</v>
      </c>
      <c r="P417" s="100">
        <v>0</v>
      </c>
      <c r="Q417" s="100">
        <v>0.11882840303122005</v>
      </c>
    </row>
    <row r="418" spans="1:17" x14ac:dyDescent="0.35">
      <c r="A418" s="98" t="s">
        <v>23</v>
      </c>
      <c r="B418" s="98" t="s">
        <v>162</v>
      </c>
      <c r="C418" s="98" t="s">
        <v>244</v>
      </c>
      <c r="D418" s="99">
        <v>44792368.000000007</v>
      </c>
      <c r="E418" s="99">
        <v>49953303.999999993</v>
      </c>
      <c r="F418" s="99">
        <v>54027486.999999985</v>
      </c>
      <c r="G418" s="99">
        <v>0</v>
      </c>
      <c r="H418" s="98" t="s">
        <v>225</v>
      </c>
      <c r="I418" s="99">
        <v>0</v>
      </c>
      <c r="J418" s="98" t="s">
        <v>225</v>
      </c>
      <c r="K418" s="99">
        <v>0</v>
      </c>
      <c r="L418" s="98" t="s">
        <v>225</v>
      </c>
      <c r="M418" s="98" t="s">
        <v>225</v>
      </c>
      <c r="N418" s="99">
        <v>0</v>
      </c>
      <c r="O418" s="100">
        <v>0</v>
      </c>
      <c r="P418" s="100">
        <v>0</v>
      </c>
      <c r="Q418" s="100">
        <v>0</v>
      </c>
    </row>
    <row r="419" spans="1:17" x14ac:dyDescent="0.35">
      <c r="A419" s="98" t="s">
        <v>23</v>
      </c>
      <c r="B419" s="98" t="s">
        <v>162</v>
      </c>
      <c r="C419" s="98" t="s">
        <v>245</v>
      </c>
      <c r="D419" s="99">
        <v>44792368.000000007</v>
      </c>
      <c r="E419" s="99">
        <v>49953303.999999993</v>
      </c>
      <c r="F419" s="99">
        <v>54027486.999999985</v>
      </c>
      <c r="G419" s="99">
        <v>0</v>
      </c>
      <c r="H419" s="98" t="s">
        <v>225</v>
      </c>
      <c r="I419" s="99">
        <v>0</v>
      </c>
      <c r="J419" s="98" t="s">
        <v>225</v>
      </c>
      <c r="K419" s="99">
        <v>0</v>
      </c>
      <c r="L419" s="98" t="s">
        <v>225</v>
      </c>
      <c r="M419" s="98" t="s">
        <v>225</v>
      </c>
      <c r="N419" s="99">
        <v>0</v>
      </c>
      <c r="O419" s="100">
        <v>0</v>
      </c>
      <c r="P419" s="100">
        <v>0</v>
      </c>
      <c r="Q419" s="100">
        <v>0</v>
      </c>
    </row>
    <row r="420" spans="1:17" x14ac:dyDescent="0.35">
      <c r="A420" s="98" t="s">
        <v>25</v>
      </c>
      <c r="B420" s="98" t="s">
        <v>164</v>
      </c>
      <c r="C420" s="98" t="s">
        <v>224</v>
      </c>
      <c r="D420" s="99">
        <v>4427312.4999999991</v>
      </c>
      <c r="E420" s="99">
        <v>4889391</v>
      </c>
      <c r="F420" s="99">
        <v>5302681.0000000028</v>
      </c>
      <c r="G420" s="99">
        <v>0</v>
      </c>
      <c r="H420" s="98" t="s">
        <v>225</v>
      </c>
      <c r="I420" s="99">
        <v>3391</v>
      </c>
      <c r="J420" s="98">
        <v>2018</v>
      </c>
      <c r="K420" s="99">
        <v>12625</v>
      </c>
      <c r="L420" s="98">
        <v>2020</v>
      </c>
      <c r="M420" s="98" t="s">
        <v>225</v>
      </c>
      <c r="N420" s="99">
        <v>12625</v>
      </c>
      <c r="O420" s="100">
        <v>0</v>
      </c>
      <c r="P420" s="100">
        <v>6.9354240640603297</v>
      </c>
      <c r="Q420" s="100">
        <v>23.808711102930751</v>
      </c>
    </row>
    <row r="421" spans="1:17" x14ac:dyDescent="0.35">
      <c r="A421" s="98" t="s">
        <v>25</v>
      </c>
      <c r="B421" s="98" t="s">
        <v>164</v>
      </c>
      <c r="C421" s="98" t="s">
        <v>227</v>
      </c>
      <c r="D421" s="99">
        <v>4427312.4999999991</v>
      </c>
      <c r="E421" s="99">
        <v>4889391</v>
      </c>
      <c r="F421" s="99">
        <v>5302681.0000000028</v>
      </c>
      <c r="G421" s="99">
        <v>0</v>
      </c>
      <c r="H421" s="98" t="s">
        <v>225</v>
      </c>
      <c r="I421" s="99">
        <v>0</v>
      </c>
      <c r="J421" s="98" t="s">
        <v>225</v>
      </c>
      <c r="K421" s="99">
        <v>0</v>
      </c>
      <c r="L421" s="98" t="s">
        <v>225</v>
      </c>
      <c r="M421" s="98" t="s">
        <v>225</v>
      </c>
      <c r="N421" s="99">
        <v>0</v>
      </c>
      <c r="O421" s="100">
        <v>0</v>
      </c>
      <c r="P421" s="100">
        <v>0</v>
      </c>
      <c r="Q421" s="100">
        <v>0</v>
      </c>
    </row>
    <row r="422" spans="1:17" x14ac:dyDescent="0.35">
      <c r="A422" s="98" t="s">
        <v>25</v>
      </c>
      <c r="B422" s="98" t="s">
        <v>164</v>
      </c>
      <c r="C422" s="98" t="s">
        <v>228</v>
      </c>
      <c r="D422" s="99">
        <v>4427312.4999999991</v>
      </c>
      <c r="E422" s="99">
        <v>4889391</v>
      </c>
      <c r="F422" s="99">
        <v>5302681.0000000028</v>
      </c>
      <c r="G422" s="99">
        <v>2036</v>
      </c>
      <c r="H422" s="98">
        <v>2014</v>
      </c>
      <c r="I422" s="99">
        <v>285</v>
      </c>
      <c r="J422" s="98" t="s">
        <v>229</v>
      </c>
      <c r="K422" s="99">
        <v>285</v>
      </c>
      <c r="L422" s="98" t="s">
        <v>229</v>
      </c>
      <c r="M422" s="98" t="s">
        <v>225</v>
      </c>
      <c r="N422" s="99">
        <v>285</v>
      </c>
      <c r="O422" s="100">
        <v>4.5987266541496687</v>
      </c>
      <c r="P422" s="100">
        <v>0.58289467952143736</v>
      </c>
      <c r="Q422" s="100">
        <v>0.53746397341269414</v>
      </c>
    </row>
    <row r="423" spans="1:17" x14ac:dyDescent="0.35">
      <c r="A423" s="98" t="s">
        <v>25</v>
      </c>
      <c r="B423" s="98" t="s">
        <v>164</v>
      </c>
      <c r="C423" s="98" t="s">
        <v>230</v>
      </c>
      <c r="D423" s="99">
        <v>4427312.4999999991</v>
      </c>
      <c r="E423" s="99">
        <v>4889391</v>
      </c>
      <c r="F423" s="99">
        <v>5302681.0000000028</v>
      </c>
      <c r="G423" s="99">
        <v>0</v>
      </c>
      <c r="H423" s="98" t="s">
        <v>225</v>
      </c>
      <c r="I423" s="99">
        <v>148</v>
      </c>
      <c r="J423" s="98" t="s">
        <v>229</v>
      </c>
      <c r="K423" s="99">
        <v>148</v>
      </c>
      <c r="L423" s="98" t="s">
        <v>229</v>
      </c>
      <c r="M423" s="98" t="s">
        <v>225</v>
      </c>
      <c r="N423" s="99">
        <v>148</v>
      </c>
      <c r="O423" s="100">
        <v>0</v>
      </c>
      <c r="P423" s="100">
        <v>0.30269618445323765</v>
      </c>
      <c r="Q423" s="100">
        <v>0.2791040984739605</v>
      </c>
    </row>
    <row r="424" spans="1:17" x14ac:dyDescent="0.35">
      <c r="A424" s="98" t="s">
        <v>25</v>
      </c>
      <c r="B424" s="98" t="s">
        <v>164</v>
      </c>
      <c r="C424" s="98" t="s">
        <v>231</v>
      </c>
      <c r="D424" s="99">
        <v>4427312.4999999991</v>
      </c>
      <c r="E424" s="99">
        <v>4889391</v>
      </c>
      <c r="F424" s="99">
        <v>5302681.0000000028</v>
      </c>
      <c r="G424" s="99">
        <v>0</v>
      </c>
      <c r="H424" s="98" t="s">
        <v>225</v>
      </c>
      <c r="I424" s="99">
        <v>1404</v>
      </c>
      <c r="J424" s="98" t="s">
        <v>229</v>
      </c>
      <c r="K424" s="99">
        <v>1404</v>
      </c>
      <c r="L424" s="98" t="s">
        <v>229</v>
      </c>
      <c r="M424" s="98" t="s">
        <v>225</v>
      </c>
      <c r="N424" s="99">
        <v>1404</v>
      </c>
      <c r="O424" s="100">
        <v>0</v>
      </c>
      <c r="P424" s="100">
        <v>2.8715232633266599</v>
      </c>
      <c r="Q424" s="100">
        <v>2.6477172584962196</v>
      </c>
    </row>
    <row r="425" spans="1:17" x14ac:dyDescent="0.35">
      <c r="A425" s="98" t="s">
        <v>25</v>
      </c>
      <c r="B425" s="98" t="s">
        <v>164</v>
      </c>
      <c r="C425" s="98" t="s">
        <v>232</v>
      </c>
      <c r="D425" s="99">
        <v>4427312.4999999991</v>
      </c>
      <c r="E425" s="99">
        <v>4889391</v>
      </c>
      <c r="F425" s="99">
        <v>5302681.0000000028</v>
      </c>
      <c r="G425" s="99">
        <v>0</v>
      </c>
      <c r="H425" s="98" t="s">
        <v>225</v>
      </c>
      <c r="I425" s="99">
        <v>0</v>
      </c>
      <c r="J425" s="98" t="s">
        <v>225</v>
      </c>
      <c r="K425" s="99">
        <v>0</v>
      </c>
      <c r="L425" s="98" t="s">
        <v>225</v>
      </c>
      <c r="M425" s="98" t="s">
        <v>225</v>
      </c>
      <c r="N425" s="99">
        <v>0</v>
      </c>
      <c r="O425" s="100">
        <v>0</v>
      </c>
      <c r="P425" s="100">
        <v>0</v>
      </c>
      <c r="Q425" s="100">
        <v>0</v>
      </c>
    </row>
    <row r="426" spans="1:17" x14ac:dyDescent="0.35">
      <c r="A426" s="98" t="s">
        <v>25</v>
      </c>
      <c r="B426" s="98" t="s">
        <v>164</v>
      </c>
      <c r="C426" s="98" t="s">
        <v>233</v>
      </c>
      <c r="D426" s="99">
        <v>4427312.4999999991</v>
      </c>
      <c r="E426" s="99">
        <v>4889391</v>
      </c>
      <c r="F426" s="99">
        <v>5302681.0000000028</v>
      </c>
      <c r="G426" s="99">
        <v>0</v>
      </c>
      <c r="H426" s="98" t="s">
        <v>225</v>
      </c>
      <c r="I426" s="99">
        <v>115</v>
      </c>
      <c r="J426" s="98" t="s">
        <v>229</v>
      </c>
      <c r="K426" s="99">
        <v>115</v>
      </c>
      <c r="L426" s="98" t="s">
        <v>229</v>
      </c>
      <c r="M426" s="98" t="s">
        <v>225</v>
      </c>
      <c r="N426" s="99">
        <v>115</v>
      </c>
      <c r="O426" s="100">
        <v>0</v>
      </c>
      <c r="P426" s="100">
        <v>0.23520311629812385</v>
      </c>
      <c r="Q426" s="100">
        <v>0.21687142786828009</v>
      </c>
    </row>
    <row r="427" spans="1:17" x14ac:dyDescent="0.35">
      <c r="A427" s="98" t="s">
        <v>25</v>
      </c>
      <c r="B427" s="98" t="s">
        <v>164</v>
      </c>
      <c r="C427" s="98" t="s">
        <v>234</v>
      </c>
      <c r="D427" s="99">
        <v>4427312.4999999991</v>
      </c>
      <c r="E427" s="99">
        <v>4889391</v>
      </c>
      <c r="F427" s="99">
        <v>5302681.0000000028</v>
      </c>
      <c r="G427" s="99">
        <v>0</v>
      </c>
      <c r="H427" s="98" t="s">
        <v>225</v>
      </c>
      <c r="I427" s="99">
        <v>527</v>
      </c>
      <c r="J427" s="98" t="s">
        <v>229</v>
      </c>
      <c r="K427" s="99">
        <v>527</v>
      </c>
      <c r="L427" s="98" t="s">
        <v>229</v>
      </c>
      <c r="M427" s="98" t="s">
        <v>225</v>
      </c>
      <c r="N427" s="99">
        <v>527</v>
      </c>
      <c r="O427" s="100">
        <v>0</v>
      </c>
      <c r="P427" s="100">
        <v>1.0778438459922719</v>
      </c>
      <c r="Q427" s="100">
        <v>0.99383689118768359</v>
      </c>
    </row>
    <row r="428" spans="1:17" x14ac:dyDescent="0.35">
      <c r="A428" s="98" t="s">
        <v>25</v>
      </c>
      <c r="B428" s="98" t="s">
        <v>164</v>
      </c>
      <c r="C428" s="98" t="s">
        <v>235</v>
      </c>
      <c r="D428" s="99">
        <v>4427312.4999999991</v>
      </c>
      <c r="E428" s="99">
        <v>4889391</v>
      </c>
      <c r="F428" s="99">
        <v>5302681.0000000028</v>
      </c>
      <c r="G428" s="99">
        <v>0</v>
      </c>
      <c r="H428" s="98" t="s">
        <v>225</v>
      </c>
      <c r="I428" s="99">
        <v>9</v>
      </c>
      <c r="J428" s="98" t="s">
        <v>229</v>
      </c>
      <c r="K428" s="99">
        <v>9</v>
      </c>
      <c r="L428" s="98" t="s">
        <v>229</v>
      </c>
      <c r="M428" s="98" t="s">
        <v>225</v>
      </c>
      <c r="N428" s="99">
        <v>9</v>
      </c>
      <c r="O428" s="100">
        <v>0</v>
      </c>
      <c r="P428" s="100">
        <v>1.8407200405940127E-2</v>
      </c>
      <c r="Q428" s="100">
        <v>1.6972546528821922E-2</v>
      </c>
    </row>
    <row r="429" spans="1:17" x14ac:dyDescent="0.35">
      <c r="A429" s="98" t="s">
        <v>25</v>
      </c>
      <c r="B429" s="98" t="s">
        <v>164</v>
      </c>
      <c r="C429" s="98" t="s">
        <v>236</v>
      </c>
      <c r="D429" s="99">
        <v>4427312.4999999991</v>
      </c>
      <c r="E429" s="99">
        <v>4889391</v>
      </c>
      <c r="F429" s="99">
        <v>5302681.0000000028</v>
      </c>
      <c r="G429" s="99">
        <v>0</v>
      </c>
      <c r="H429" s="98" t="s">
        <v>225</v>
      </c>
      <c r="I429" s="99">
        <v>65</v>
      </c>
      <c r="J429" s="98" t="s">
        <v>229</v>
      </c>
      <c r="K429" s="99">
        <v>65</v>
      </c>
      <c r="L429" s="98" t="s">
        <v>229</v>
      </c>
      <c r="M429" s="98" t="s">
        <v>225</v>
      </c>
      <c r="N429" s="99">
        <v>65</v>
      </c>
      <c r="O429" s="100">
        <v>0</v>
      </c>
      <c r="P429" s="100">
        <v>0.1329408918206787</v>
      </c>
      <c r="Q429" s="100">
        <v>0.12257950270815832</v>
      </c>
    </row>
    <row r="430" spans="1:17" x14ac:dyDescent="0.35">
      <c r="A430" s="98" t="s">
        <v>25</v>
      </c>
      <c r="B430" s="98" t="s">
        <v>164</v>
      </c>
      <c r="C430" s="98" t="s">
        <v>237</v>
      </c>
      <c r="D430" s="99">
        <v>4427312.4999999991</v>
      </c>
      <c r="E430" s="99">
        <v>4889391</v>
      </c>
      <c r="F430" s="99">
        <v>5302681.0000000028</v>
      </c>
      <c r="G430" s="99">
        <v>0</v>
      </c>
      <c r="H430" s="98" t="s">
        <v>225</v>
      </c>
      <c r="I430" s="99">
        <v>5</v>
      </c>
      <c r="J430" s="98" t="s">
        <v>229</v>
      </c>
      <c r="K430" s="99">
        <v>5</v>
      </c>
      <c r="L430" s="98" t="s">
        <v>229</v>
      </c>
      <c r="M430" s="98" t="s">
        <v>225</v>
      </c>
      <c r="N430" s="99">
        <v>5</v>
      </c>
      <c r="O430" s="100">
        <v>0</v>
      </c>
      <c r="P430" s="100">
        <v>1.0226222447744515E-2</v>
      </c>
      <c r="Q430" s="100">
        <v>9.4291925160121786E-3</v>
      </c>
    </row>
    <row r="431" spans="1:17" x14ac:dyDescent="0.35">
      <c r="A431" s="98" t="s">
        <v>25</v>
      </c>
      <c r="B431" s="98" t="s">
        <v>164</v>
      </c>
      <c r="C431" s="98" t="s">
        <v>238</v>
      </c>
      <c r="D431" s="99">
        <v>4427312.4999999991</v>
      </c>
      <c r="E431" s="99">
        <v>4889391</v>
      </c>
      <c r="F431" s="99">
        <v>5302681.0000000028</v>
      </c>
      <c r="G431" s="99">
        <v>0</v>
      </c>
      <c r="H431" s="98" t="s">
        <v>225</v>
      </c>
      <c r="I431" s="99">
        <v>4311</v>
      </c>
      <c r="J431" s="98" t="s">
        <v>229</v>
      </c>
      <c r="K431" s="99">
        <v>4311</v>
      </c>
      <c r="L431" s="98" t="s">
        <v>229</v>
      </c>
      <c r="M431" s="98" t="s">
        <v>225</v>
      </c>
      <c r="N431" s="99">
        <v>4311</v>
      </c>
      <c r="O431" s="100">
        <v>0</v>
      </c>
      <c r="P431" s="100">
        <v>8.8170489944453205</v>
      </c>
      <c r="Q431" s="100">
        <v>8.1298497873056998</v>
      </c>
    </row>
    <row r="432" spans="1:17" x14ac:dyDescent="0.35">
      <c r="A432" s="98" t="s">
        <v>25</v>
      </c>
      <c r="B432" s="98" t="s">
        <v>164</v>
      </c>
      <c r="C432" s="98" t="s">
        <v>239</v>
      </c>
      <c r="D432" s="99">
        <v>4427312.4999999991</v>
      </c>
      <c r="E432" s="99">
        <v>4889391</v>
      </c>
      <c r="F432" s="99">
        <v>5302681.0000000028</v>
      </c>
      <c r="G432" s="99">
        <v>0</v>
      </c>
      <c r="H432" s="98" t="s">
        <v>225</v>
      </c>
      <c r="I432" s="99">
        <v>3601</v>
      </c>
      <c r="J432" s="98" t="s">
        <v>229</v>
      </c>
      <c r="K432" s="99">
        <v>3601</v>
      </c>
      <c r="L432" s="98" t="s">
        <v>229</v>
      </c>
      <c r="M432" s="98" t="s">
        <v>225</v>
      </c>
      <c r="N432" s="99">
        <v>3601</v>
      </c>
      <c r="O432" s="100">
        <v>0</v>
      </c>
      <c r="P432" s="100">
        <v>7.3649254068655994</v>
      </c>
      <c r="Q432" s="100">
        <v>6.7909044500319711</v>
      </c>
    </row>
    <row r="433" spans="1:17" x14ac:dyDescent="0.35">
      <c r="A433" s="98" t="s">
        <v>25</v>
      </c>
      <c r="B433" s="98" t="s">
        <v>164</v>
      </c>
      <c r="C433" s="98" t="s">
        <v>240</v>
      </c>
      <c r="D433" s="99">
        <v>4427312.4999999991</v>
      </c>
      <c r="E433" s="99">
        <v>4889391</v>
      </c>
      <c r="F433" s="99">
        <v>5302681.0000000028</v>
      </c>
      <c r="G433" s="99">
        <v>0</v>
      </c>
      <c r="H433" s="98" t="s">
        <v>225</v>
      </c>
      <c r="I433" s="99">
        <v>0</v>
      </c>
      <c r="J433" s="98" t="s">
        <v>225</v>
      </c>
      <c r="K433" s="99">
        <v>0</v>
      </c>
      <c r="L433" s="98" t="s">
        <v>225</v>
      </c>
      <c r="M433" s="98" t="s">
        <v>225</v>
      </c>
      <c r="N433" s="99">
        <v>0</v>
      </c>
      <c r="O433" s="100">
        <v>0</v>
      </c>
      <c r="P433" s="100">
        <v>0</v>
      </c>
      <c r="Q433" s="100">
        <v>0</v>
      </c>
    </row>
    <row r="434" spans="1:17" x14ac:dyDescent="0.35">
      <c r="A434" s="98" t="s">
        <v>25</v>
      </c>
      <c r="B434" s="98" t="s">
        <v>164</v>
      </c>
      <c r="C434" s="98" t="s">
        <v>241</v>
      </c>
      <c r="D434" s="99">
        <v>4427312.4999999991</v>
      </c>
      <c r="E434" s="99">
        <v>4889391</v>
      </c>
      <c r="F434" s="99">
        <v>5302681.0000000028</v>
      </c>
      <c r="G434" s="99">
        <v>0</v>
      </c>
      <c r="H434" s="98" t="s">
        <v>225</v>
      </c>
      <c r="I434" s="99">
        <v>0</v>
      </c>
      <c r="J434" s="98" t="s">
        <v>225</v>
      </c>
      <c r="K434" s="99">
        <v>0</v>
      </c>
      <c r="L434" s="98" t="s">
        <v>225</v>
      </c>
      <c r="M434" s="98" t="s">
        <v>225</v>
      </c>
      <c r="N434" s="99">
        <v>0</v>
      </c>
      <c r="O434" s="100">
        <v>0</v>
      </c>
      <c r="P434" s="100">
        <v>0</v>
      </c>
      <c r="Q434" s="100">
        <v>0</v>
      </c>
    </row>
    <row r="435" spans="1:17" x14ac:dyDescent="0.35">
      <c r="A435" s="98" t="s">
        <v>25</v>
      </c>
      <c r="B435" s="98" t="s">
        <v>164</v>
      </c>
      <c r="C435" s="98" t="s">
        <v>242</v>
      </c>
      <c r="D435" s="99">
        <v>4427312.4999999991</v>
      </c>
      <c r="E435" s="99">
        <v>4889391</v>
      </c>
      <c r="F435" s="99">
        <v>5302681.0000000028</v>
      </c>
      <c r="G435" s="99">
        <v>0</v>
      </c>
      <c r="H435" s="98" t="s">
        <v>225</v>
      </c>
      <c r="I435" s="99">
        <v>3</v>
      </c>
      <c r="J435" s="98" t="s">
        <v>229</v>
      </c>
      <c r="K435" s="99">
        <v>3</v>
      </c>
      <c r="L435" s="98" t="s">
        <v>229</v>
      </c>
      <c r="M435" s="98" t="s">
        <v>225</v>
      </c>
      <c r="N435" s="99">
        <v>3</v>
      </c>
      <c r="O435" s="100">
        <v>0</v>
      </c>
      <c r="P435" s="100">
        <v>6.1357334686467091E-3</v>
      </c>
      <c r="Q435" s="100">
        <v>5.657515509607307E-3</v>
      </c>
    </row>
    <row r="436" spans="1:17" x14ac:dyDescent="0.35">
      <c r="A436" s="98" t="s">
        <v>25</v>
      </c>
      <c r="B436" s="98" t="s">
        <v>164</v>
      </c>
      <c r="C436" s="98" t="s">
        <v>243</v>
      </c>
      <c r="D436" s="99">
        <v>4427312.4999999991</v>
      </c>
      <c r="E436" s="99">
        <v>4889391</v>
      </c>
      <c r="F436" s="99">
        <v>5302681.0000000028</v>
      </c>
      <c r="G436" s="99">
        <v>0</v>
      </c>
      <c r="H436" s="98" t="s">
        <v>225</v>
      </c>
      <c r="I436" s="99">
        <v>0</v>
      </c>
      <c r="J436" s="98" t="s">
        <v>225</v>
      </c>
      <c r="K436" s="99">
        <v>0</v>
      </c>
      <c r="L436" s="98" t="s">
        <v>225</v>
      </c>
      <c r="M436" s="98" t="s">
        <v>225</v>
      </c>
      <c r="N436" s="99">
        <v>0</v>
      </c>
      <c r="O436" s="100">
        <v>0</v>
      </c>
      <c r="P436" s="100">
        <v>0</v>
      </c>
      <c r="Q436" s="100">
        <v>0</v>
      </c>
    </row>
    <row r="437" spans="1:17" x14ac:dyDescent="0.35">
      <c r="A437" s="98" t="s">
        <v>25</v>
      </c>
      <c r="B437" s="98" t="s">
        <v>164</v>
      </c>
      <c r="C437" s="98" t="s">
        <v>244</v>
      </c>
      <c r="D437" s="99">
        <v>4427312.4999999991</v>
      </c>
      <c r="E437" s="99">
        <v>4889391</v>
      </c>
      <c r="F437" s="99">
        <v>5302681.0000000028</v>
      </c>
      <c r="G437" s="99">
        <v>0</v>
      </c>
      <c r="H437" s="98" t="s">
        <v>225</v>
      </c>
      <c r="I437" s="99">
        <v>0</v>
      </c>
      <c r="J437" s="98" t="s">
        <v>225</v>
      </c>
      <c r="K437" s="99">
        <v>0</v>
      </c>
      <c r="L437" s="98" t="s">
        <v>225</v>
      </c>
      <c r="M437" s="98" t="s">
        <v>225</v>
      </c>
      <c r="N437" s="99">
        <v>0</v>
      </c>
      <c r="O437" s="100">
        <v>0</v>
      </c>
      <c r="P437" s="100">
        <v>0</v>
      </c>
      <c r="Q437" s="100">
        <v>0</v>
      </c>
    </row>
    <row r="438" spans="1:17" x14ac:dyDescent="0.35">
      <c r="A438" s="98" t="s">
        <v>25</v>
      </c>
      <c r="B438" s="98" t="s">
        <v>164</v>
      </c>
      <c r="C438" s="98" t="s">
        <v>245</v>
      </c>
      <c r="D438" s="99">
        <v>4427312.4999999991</v>
      </c>
      <c r="E438" s="99">
        <v>4889391</v>
      </c>
      <c r="F438" s="99">
        <v>5302681.0000000028</v>
      </c>
      <c r="G438" s="99">
        <v>0</v>
      </c>
      <c r="H438" s="98" t="s">
        <v>225</v>
      </c>
      <c r="I438" s="99">
        <v>0</v>
      </c>
      <c r="J438" s="98" t="s">
        <v>225</v>
      </c>
      <c r="K438" s="99">
        <v>0</v>
      </c>
      <c r="L438" s="98" t="s">
        <v>225</v>
      </c>
      <c r="M438" s="98" t="s">
        <v>225</v>
      </c>
      <c r="N438" s="99">
        <v>0</v>
      </c>
      <c r="O438" s="100">
        <v>0</v>
      </c>
      <c r="P438" s="100">
        <v>0</v>
      </c>
      <c r="Q438" s="100">
        <v>0</v>
      </c>
    </row>
    <row r="439" spans="1:17" x14ac:dyDescent="0.35">
      <c r="A439" s="98" t="s">
        <v>24</v>
      </c>
      <c r="B439" s="98" t="s">
        <v>163</v>
      </c>
      <c r="C439" s="98" t="s">
        <v>224</v>
      </c>
      <c r="D439" s="99">
        <v>2073938.4999999998</v>
      </c>
      <c r="E439" s="99">
        <v>2198017</v>
      </c>
      <c r="F439" s="99">
        <v>2305825.5000000019</v>
      </c>
      <c r="G439" s="99">
        <v>0</v>
      </c>
      <c r="H439" s="98" t="s">
        <v>225</v>
      </c>
      <c r="I439" s="99">
        <v>14508</v>
      </c>
      <c r="J439" s="98">
        <v>2018</v>
      </c>
      <c r="K439" s="99">
        <v>14508</v>
      </c>
      <c r="L439" s="98">
        <v>2021</v>
      </c>
      <c r="M439" s="98" t="s">
        <v>225</v>
      </c>
      <c r="N439" s="99">
        <v>14508</v>
      </c>
      <c r="O439" s="100">
        <v>0</v>
      </c>
      <c r="P439" s="100">
        <v>66.004949006308863</v>
      </c>
      <c r="Q439" s="100">
        <v>62.918898242733405</v>
      </c>
    </row>
    <row r="440" spans="1:17" x14ac:dyDescent="0.35">
      <c r="A440" s="98" t="s">
        <v>24</v>
      </c>
      <c r="B440" s="98" t="s">
        <v>163</v>
      </c>
      <c r="C440" s="98" t="s">
        <v>227</v>
      </c>
      <c r="D440" s="99">
        <v>2073938.4999999998</v>
      </c>
      <c r="E440" s="99">
        <v>2198017</v>
      </c>
      <c r="F440" s="99">
        <v>2305825.5000000019</v>
      </c>
      <c r="G440" s="99">
        <v>11</v>
      </c>
      <c r="H440" s="98">
        <v>2013</v>
      </c>
      <c r="I440" s="99">
        <v>29</v>
      </c>
      <c r="J440" s="98" t="s">
        <v>229</v>
      </c>
      <c r="K440" s="99">
        <v>43</v>
      </c>
      <c r="L440" s="98">
        <v>2020</v>
      </c>
      <c r="M440" s="98" t="s">
        <v>225</v>
      </c>
      <c r="N440" s="99">
        <v>43</v>
      </c>
      <c r="O440" s="100">
        <v>5.3039181248624299E-2</v>
      </c>
      <c r="P440" s="100">
        <v>0.13193710512703041</v>
      </c>
      <c r="Q440" s="100">
        <v>0.18648418971860606</v>
      </c>
    </row>
    <row r="441" spans="1:17" x14ac:dyDescent="0.35">
      <c r="A441" s="98" t="s">
        <v>24</v>
      </c>
      <c r="B441" s="98" t="s">
        <v>163</v>
      </c>
      <c r="C441" s="98" t="s">
        <v>228</v>
      </c>
      <c r="D441" s="99">
        <v>2073938.4999999998</v>
      </c>
      <c r="E441" s="99">
        <v>2198017</v>
      </c>
      <c r="F441" s="99">
        <v>2305825.5000000019</v>
      </c>
      <c r="G441" s="99">
        <v>205</v>
      </c>
      <c r="H441" s="98">
        <v>2013</v>
      </c>
      <c r="I441" s="99">
        <v>144</v>
      </c>
      <c r="J441" s="98" t="s">
        <v>229</v>
      </c>
      <c r="K441" s="99">
        <v>144</v>
      </c>
      <c r="L441" s="98">
        <v>2021</v>
      </c>
      <c r="M441" s="98" t="s">
        <v>225</v>
      </c>
      <c r="N441" s="99">
        <v>144</v>
      </c>
      <c r="O441" s="100">
        <v>0.98845746872436202</v>
      </c>
      <c r="P441" s="100">
        <v>0.65513597028594406</v>
      </c>
      <c r="Q441" s="100">
        <v>0.6245051934762621</v>
      </c>
    </row>
    <row r="442" spans="1:17" x14ac:dyDescent="0.35">
      <c r="A442" s="98" t="s">
        <v>24</v>
      </c>
      <c r="B442" s="98" t="s">
        <v>163</v>
      </c>
      <c r="C442" s="98" t="s">
        <v>230</v>
      </c>
      <c r="D442" s="99">
        <v>2073938.4999999998</v>
      </c>
      <c r="E442" s="99">
        <v>2198017</v>
      </c>
      <c r="F442" s="99">
        <v>2305825.5000000019</v>
      </c>
      <c r="G442" s="99">
        <v>0</v>
      </c>
      <c r="H442" s="98" t="s">
        <v>225</v>
      </c>
      <c r="I442" s="99">
        <v>849</v>
      </c>
      <c r="J442" s="98" t="s">
        <v>229</v>
      </c>
      <c r="K442" s="99">
        <v>849</v>
      </c>
      <c r="L442" s="98" t="s">
        <v>229</v>
      </c>
      <c r="M442" s="98" t="s">
        <v>225</v>
      </c>
      <c r="N442" s="99">
        <v>849</v>
      </c>
      <c r="O442" s="100">
        <v>0</v>
      </c>
      <c r="P442" s="100">
        <v>3.8625724914775454</v>
      </c>
      <c r="Q442" s="100">
        <v>3.6819785365371289</v>
      </c>
    </row>
    <row r="443" spans="1:17" x14ac:dyDescent="0.35">
      <c r="A443" s="98" t="s">
        <v>24</v>
      </c>
      <c r="B443" s="98" t="s">
        <v>163</v>
      </c>
      <c r="C443" s="98" t="s">
        <v>231</v>
      </c>
      <c r="D443" s="99">
        <v>2073938.4999999998</v>
      </c>
      <c r="E443" s="99">
        <v>2198017</v>
      </c>
      <c r="F443" s="99">
        <v>2305825.5000000019</v>
      </c>
      <c r="G443" s="99">
        <v>0</v>
      </c>
      <c r="H443" s="98" t="s">
        <v>225</v>
      </c>
      <c r="I443" s="99">
        <v>110</v>
      </c>
      <c r="J443" s="98" t="s">
        <v>229</v>
      </c>
      <c r="K443" s="99">
        <v>33</v>
      </c>
      <c r="L443" s="98">
        <v>2022</v>
      </c>
      <c r="M443" s="98" t="s">
        <v>226</v>
      </c>
      <c r="N443" s="99">
        <v>42.162196889826042</v>
      </c>
      <c r="O443" s="100">
        <v>0</v>
      </c>
      <c r="P443" s="100">
        <v>0.500451088412874</v>
      </c>
      <c r="Q443" s="100">
        <v>0.18285077031989633</v>
      </c>
    </row>
    <row r="444" spans="1:17" x14ac:dyDescent="0.35">
      <c r="A444" s="98" t="s">
        <v>24</v>
      </c>
      <c r="B444" s="98" t="s">
        <v>163</v>
      </c>
      <c r="C444" s="98" t="s">
        <v>232</v>
      </c>
      <c r="D444" s="99">
        <v>2073938.4999999998</v>
      </c>
      <c r="E444" s="99">
        <v>2198017</v>
      </c>
      <c r="F444" s="99">
        <v>2305825.5000000019</v>
      </c>
      <c r="G444" s="99">
        <v>0</v>
      </c>
      <c r="H444" s="98" t="s">
        <v>225</v>
      </c>
      <c r="I444" s="99">
        <v>10</v>
      </c>
      <c r="J444" s="98" t="s">
        <v>229</v>
      </c>
      <c r="K444" s="99">
        <v>13</v>
      </c>
      <c r="L444" s="98">
        <v>2021</v>
      </c>
      <c r="M444" s="98" t="s">
        <v>225</v>
      </c>
      <c r="N444" s="99">
        <v>13</v>
      </c>
      <c r="O444" s="100">
        <v>0</v>
      </c>
      <c r="P444" s="100">
        <v>4.5495553492079455E-2</v>
      </c>
      <c r="Q444" s="100">
        <v>5.6378941077718105E-2</v>
      </c>
    </row>
    <row r="445" spans="1:17" x14ac:dyDescent="0.35">
      <c r="A445" s="98" t="s">
        <v>24</v>
      </c>
      <c r="B445" s="98" t="s">
        <v>163</v>
      </c>
      <c r="C445" s="98" t="s">
        <v>233</v>
      </c>
      <c r="D445" s="99">
        <v>2073938.4999999998</v>
      </c>
      <c r="E445" s="99">
        <v>2198017</v>
      </c>
      <c r="F445" s="99">
        <v>2305825.5000000019</v>
      </c>
      <c r="G445" s="99">
        <v>0</v>
      </c>
      <c r="H445" s="98" t="s">
        <v>225</v>
      </c>
      <c r="I445" s="99">
        <v>416</v>
      </c>
      <c r="J445" s="98" t="s">
        <v>229</v>
      </c>
      <c r="K445" s="99">
        <v>416</v>
      </c>
      <c r="L445" s="98" t="s">
        <v>229</v>
      </c>
      <c r="M445" s="98" t="s">
        <v>225</v>
      </c>
      <c r="N445" s="99">
        <v>416</v>
      </c>
      <c r="O445" s="100">
        <v>0</v>
      </c>
      <c r="P445" s="100">
        <v>1.8926150252705052</v>
      </c>
      <c r="Q445" s="100">
        <v>1.8041261144869793</v>
      </c>
    </row>
    <row r="446" spans="1:17" x14ac:dyDescent="0.35">
      <c r="A446" s="98" t="s">
        <v>24</v>
      </c>
      <c r="B446" s="98" t="s">
        <v>163</v>
      </c>
      <c r="C446" s="98" t="s">
        <v>234</v>
      </c>
      <c r="D446" s="99">
        <v>2073938.4999999998</v>
      </c>
      <c r="E446" s="99">
        <v>2198017</v>
      </c>
      <c r="F446" s="99">
        <v>2305825.5000000019</v>
      </c>
      <c r="G446" s="99">
        <v>0</v>
      </c>
      <c r="H446" s="98" t="s">
        <v>225</v>
      </c>
      <c r="I446" s="99">
        <v>71</v>
      </c>
      <c r="J446" s="98" t="s">
        <v>229</v>
      </c>
      <c r="K446" s="99">
        <v>5</v>
      </c>
      <c r="L446" s="98">
        <v>2022</v>
      </c>
      <c r="M446" s="98" t="s">
        <v>226</v>
      </c>
      <c r="N446" s="99">
        <v>6.388211649973643</v>
      </c>
      <c r="O446" s="100">
        <v>0</v>
      </c>
      <c r="P446" s="100">
        <v>0.32301842979376411</v>
      </c>
      <c r="Q446" s="100">
        <v>2.7704662169681264E-2</v>
      </c>
    </row>
    <row r="447" spans="1:17" x14ac:dyDescent="0.35">
      <c r="A447" s="98" t="s">
        <v>24</v>
      </c>
      <c r="B447" s="98" t="s">
        <v>163</v>
      </c>
      <c r="C447" s="98" t="s">
        <v>235</v>
      </c>
      <c r="D447" s="99">
        <v>2073938.4999999998</v>
      </c>
      <c r="E447" s="99">
        <v>2198017</v>
      </c>
      <c r="F447" s="99">
        <v>2305825.5000000019</v>
      </c>
      <c r="G447" s="99">
        <v>0</v>
      </c>
      <c r="H447" s="98" t="s">
        <v>225</v>
      </c>
      <c r="I447" s="99">
        <v>41</v>
      </c>
      <c r="J447" s="98" t="s">
        <v>229</v>
      </c>
      <c r="K447" s="99">
        <v>76</v>
      </c>
      <c r="L447" s="98">
        <v>2022</v>
      </c>
      <c r="M447" s="98" t="s">
        <v>225</v>
      </c>
      <c r="N447" s="99">
        <v>76</v>
      </c>
      <c r="O447" s="100">
        <v>0</v>
      </c>
      <c r="P447" s="100">
        <v>0.18653176931752574</v>
      </c>
      <c r="Q447" s="100">
        <v>0.32959996322358276</v>
      </c>
    </row>
    <row r="448" spans="1:17" x14ac:dyDescent="0.35">
      <c r="A448" s="98" t="s">
        <v>24</v>
      </c>
      <c r="B448" s="98" t="s">
        <v>163</v>
      </c>
      <c r="C448" s="98" t="s">
        <v>236</v>
      </c>
      <c r="D448" s="99">
        <v>2073938.4999999998</v>
      </c>
      <c r="E448" s="99">
        <v>2198017</v>
      </c>
      <c r="F448" s="99">
        <v>2305825.5000000019</v>
      </c>
      <c r="G448" s="99">
        <v>0</v>
      </c>
      <c r="H448" s="98" t="s">
        <v>225</v>
      </c>
      <c r="I448" s="99">
        <v>349</v>
      </c>
      <c r="J448" s="98" t="s">
        <v>229</v>
      </c>
      <c r="K448" s="99">
        <v>349</v>
      </c>
      <c r="L448" s="98" t="s">
        <v>229</v>
      </c>
      <c r="M448" s="98" t="s">
        <v>225</v>
      </c>
      <c r="N448" s="99">
        <v>349</v>
      </c>
      <c r="O448" s="100">
        <v>0</v>
      </c>
      <c r="P448" s="100">
        <v>1.5877948168735729</v>
      </c>
      <c r="Q448" s="100">
        <v>1.5135577258556629</v>
      </c>
    </row>
    <row r="449" spans="1:17" x14ac:dyDescent="0.35">
      <c r="A449" s="98" t="s">
        <v>24</v>
      </c>
      <c r="B449" s="98" t="s">
        <v>163</v>
      </c>
      <c r="C449" s="98" t="s">
        <v>237</v>
      </c>
      <c r="D449" s="99">
        <v>2073938.4999999998</v>
      </c>
      <c r="E449" s="99">
        <v>2198017</v>
      </c>
      <c r="F449" s="99">
        <v>2305825.5000000019</v>
      </c>
      <c r="G449" s="99">
        <v>0</v>
      </c>
      <c r="H449" s="98" t="s">
        <v>225</v>
      </c>
      <c r="I449" s="99">
        <v>8</v>
      </c>
      <c r="J449" s="98" t="s">
        <v>229</v>
      </c>
      <c r="K449" s="99">
        <v>13</v>
      </c>
      <c r="L449" s="98">
        <v>2021</v>
      </c>
      <c r="M449" s="98" t="s">
        <v>225</v>
      </c>
      <c r="N449" s="99">
        <v>13</v>
      </c>
      <c r="O449" s="100">
        <v>0</v>
      </c>
      <c r="P449" s="100">
        <v>3.639644279366356E-2</v>
      </c>
      <c r="Q449" s="100">
        <v>5.6378941077718105E-2</v>
      </c>
    </row>
    <row r="450" spans="1:17" x14ac:dyDescent="0.35">
      <c r="A450" s="98" t="s">
        <v>24</v>
      </c>
      <c r="B450" s="98" t="s">
        <v>163</v>
      </c>
      <c r="C450" s="98" t="s">
        <v>238</v>
      </c>
      <c r="D450" s="99">
        <v>2073938.4999999998</v>
      </c>
      <c r="E450" s="99">
        <v>2198017</v>
      </c>
      <c r="F450" s="99">
        <v>2305825.5000000019</v>
      </c>
      <c r="G450" s="99">
        <v>0</v>
      </c>
      <c r="H450" s="98" t="s">
        <v>225</v>
      </c>
      <c r="I450" s="99">
        <v>2130</v>
      </c>
      <c r="J450" s="98" t="s">
        <v>229</v>
      </c>
      <c r="K450" s="99">
        <v>620</v>
      </c>
      <c r="L450" s="98">
        <v>2022</v>
      </c>
      <c r="M450" s="98" t="s">
        <v>226</v>
      </c>
      <c r="N450" s="99">
        <v>792.13824459673174</v>
      </c>
      <c r="O450" s="100">
        <v>0</v>
      </c>
      <c r="P450" s="100">
        <v>9.6905528938129226</v>
      </c>
      <c r="Q450" s="100">
        <v>3.4353781090404762</v>
      </c>
    </row>
    <row r="451" spans="1:17" x14ac:dyDescent="0.35">
      <c r="A451" s="98" t="s">
        <v>24</v>
      </c>
      <c r="B451" s="98" t="s">
        <v>163</v>
      </c>
      <c r="C451" s="98" t="s">
        <v>239</v>
      </c>
      <c r="D451" s="99">
        <v>2073938.4999999998</v>
      </c>
      <c r="E451" s="99">
        <v>2198017</v>
      </c>
      <c r="F451" s="99">
        <v>2305825.5000000019</v>
      </c>
      <c r="G451" s="99">
        <v>0</v>
      </c>
      <c r="H451" s="98" t="s">
        <v>225</v>
      </c>
      <c r="I451" s="99">
        <v>58</v>
      </c>
      <c r="J451" s="98" t="s">
        <v>229</v>
      </c>
      <c r="K451" s="99">
        <v>58</v>
      </c>
      <c r="L451" s="98" t="s">
        <v>229</v>
      </c>
      <c r="M451" s="98" t="s">
        <v>225</v>
      </c>
      <c r="N451" s="99">
        <v>58</v>
      </c>
      <c r="O451" s="100">
        <v>0</v>
      </c>
      <c r="P451" s="100">
        <v>0.26387421025406083</v>
      </c>
      <c r="Q451" s="100">
        <v>0.25153681403905004</v>
      </c>
    </row>
    <row r="452" spans="1:17" x14ac:dyDescent="0.35">
      <c r="A452" s="98" t="s">
        <v>24</v>
      </c>
      <c r="B452" s="98" t="s">
        <v>163</v>
      </c>
      <c r="C452" s="98" t="s">
        <v>240</v>
      </c>
      <c r="D452" s="99">
        <v>2073938.4999999998</v>
      </c>
      <c r="E452" s="99">
        <v>2198017</v>
      </c>
      <c r="F452" s="99">
        <v>2305825.5000000019</v>
      </c>
      <c r="G452" s="99">
        <v>0</v>
      </c>
      <c r="H452" s="98" t="s">
        <v>225</v>
      </c>
      <c r="I452" s="99">
        <v>205</v>
      </c>
      <c r="J452" s="98" t="s">
        <v>229</v>
      </c>
      <c r="K452" s="99">
        <v>273</v>
      </c>
      <c r="L452" s="98">
        <v>2021</v>
      </c>
      <c r="M452" s="98" t="s">
        <v>225</v>
      </c>
      <c r="N452" s="99">
        <v>273</v>
      </c>
      <c r="O452" s="100">
        <v>0</v>
      </c>
      <c r="P452" s="100">
        <v>0.93265884658762876</v>
      </c>
      <c r="Q452" s="100">
        <v>1.1839577626320803</v>
      </c>
    </row>
    <row r="453" spans="1:17" x14ac:dyDescent="0.35">
      <c r="A453" s="98" t="s">
        <v>24</v>
      </c>
      <c r="B453" s="98" t="s">
        <v>163</v>
      </c>
      <c r="C453" s="98" t="s">
        <v>241</v>
      </c>
      <c r="D453" s="99">
        <v>2073938.4999999998</v>
      </c>
      <c r="E453" s="99">
        <v>2198017</v>
      </c>
      <c r="F453" s="99">
        <v>2305825.5000000019</v>
      </c>
      <c r="G453" s="99">
        <v>0</v>
      </c>
      <c r="H453" s="98" t="s">
        <v>225</v>
      </c>
      <c r="I453" s="99">
        <v>4</v>
      </c>
      <c r="J453" s="98" t="s">
        <v>229</v>
      </c>
      <c r="K453" s="99">
        <v>2</v>
      </c>
      <c r="L453" s="98">
        <v>2022</v>
      </c>
      <c r="M453" s="98" t="s">
        <v>226</v>
      </c>
      <c r="N453" s="99">
        <v>2.5552846599894572</v>
      </c>
      <c r="O453" s="100">
        <v>0</v>
      </c>
      <c r="P453" s="100">
        <v>1.819822139683178E-2</v>
      </c>
      <c r="Q453" s="100">
        <v>1.1081864867872505E-2</v>
      </c>
    </row>
    <row r="454" spans="1:17" x14ac:dyDescent="0.35">
      <c r="A454" s="98" t="s">
        <v>24</v>
      </c>
      <c r="B454" s="98" t="s">
        <v>163</v>
      </c>
      <c r="C454" s="98" t="s">
        <v>242</v>
      </c>
      <c r="D454" s="99">
        <v>2073938.4999999998</v>
      </c>
      <c r="E454" s="99">
        <v>2198017</v>
      </c>
      <c r="F454" s="99">
        <v>2305825.5000000019</v>
      </c>
      <c r="G454" s="99">
        <v>0</v>
      </c>
      <c r="H454" s="98" t="s">
        <v>225</v>
      </c>
      <c r="I454" s="99">
        <v>22</v>
      </c>
      <c r="J454" s="98" t="s">
        <v>229</v>
      </c>
      <c r="K454" s="99">
        <v>7</v>
      </c>
      <c r="L454" s="98">
        <v>2022</v>
      </c>
      <c r="M454" s="98" t="s">
        <v>226</v>
      </c>
      <c r="N454" s="99">
        <v>8.9434963099631002</v>
      </c>
      <c r="O454" s="100">
        <v>0</v>
      </c>
      <c r="P454" s="100">
        <v>0.1000902176825748</v>
      </c>
      <c r="Q454" s="100">
        <v>3.8786527037553767E-2</v>
      </c>
    </row>
    <row r="455" spans="1:17" x14ac:dyDescent="0.35">
      <c r="A455" s="98" t="s">
        <v>24</v>
      </c>
      <c r="B455" s="98" t="s">
        <v>163</v>
      </c>
      <c r="C455" s="98" t="s">
        <v>243</v>
      </c>
      <c r="D455" s="99">
        <v>2073938.4999999998</v>
      </c>
      <c r="E455" s="99">
        <v>2198017</v>
      </c>
      <c r="F455" s="99">
        <v>2305825.5000000019</v>
      </c>
      <c r="G455" s="99">
        <v>0</v>
      </c>
      <c r="H455" s="98" t="s">
        <v>225</v>
      </c>
      <c r="I455" s="99">
        <v>0</v>
      </c>
      <c r="J455" s="98" t="s">
        <v>225</v>
      </c>
      <c r="K455" s="99">
        <v>0</v>
      </c>
      <c r="L455" s="98" t="s">
        <v>225</v>
      </c>
      <c r="M455" s="98" t="s">
        <v>225</v>
      </c>
      <c r="N455" s="99">
        <v>0</v>
      </c>
      <c r="O455" s="100">
        <v>0</v>
      </c>
      <c r="P455" s="100">
        <v>0</v>
      </c>
      <c r="Q455" s="100">
        <v>0</v>
      </c>
    </row>
    <row r="456" spans="1:17" x14ac:dyDescent="0.35">
      <c r="A456" s="98" t="s">
        <v>24</v>
      </c>
      <c r="B456" s="98" t="s">
        <v>163</v>
      </c>
      <c r="C456" s="98" t="s">
        <v>244</v>
      </c>
      <c r="D456" s="99">
        <v>2073938.4999999998</v>
      </c>
      <c r="E456" s="99">
        <v>2198017</v>
      </c>
      <c r="F456" s="99">
        <v>2305825.5000000019</v>
      </c>
      <c r="G456" s="99">
        <v>0</v>
      </c>
      <c r="H456" s="98" t="s">
        <v>225</v>
      </c>
      <c r="I456" s="99">
        <v>0</v>
      </c>
      <c r="J456" s="98" t="s">
        <v>225</v>
      </c>
      <c r="K456" s="99">
        <v>0</v>
      </c>
      <c r="L456" s="98" t="s">
        <v>225</v>
      </c>
      <c r="M456" s="98" t="s">
        <v>225</v>
      </c>
      <c r="N456" s="99">
        <v>0</v>
      </c>
      <c r="O456" s="100">
        <v>0</v>
      </c>
      <c r="P456" s="100">
        <v>0</v>
      </c>
      <c r="Q456" s="100">
        <v>0</v>
      </c>
    </row>
    <row r="457" spans="1:17" x14ac:dyDescent="0.35">
      <c r="A457" s="98" t="s">
        <v>24</v>
      </c>
      <c r="B457" s="98" t="s">
        <v>163</v>
      </c>
      <c r="C457" s="98" t="s">
        <v>245</v>
      </c>
      <c r="D457" s="99">
        <v>2073938.4999999998</v>
      </c>
      <c r="E457" s="99">
        <v>2198017</v>
      </c>
      <c r="F457" s="99">
        <v>2305825.5000000019</v>
      </c>
      <c r="G457" s="99">
        <v>0</v>
      </c>
      <c r="H457" s="98" t="s">
        <v>225</v>
      </c>
      <c r="I457" s="99">
        <v>6097</v>
      </c>
      <c r="J457" s="98" t="s">
        <v>229</v>
      </c>
      <c r="K457" s="99">
        <v>6097</v>
      </c>
      <c r="L457" s="98" t="s">
        <v>229</v>
      </c>
      <c r="M457" s="98" t="s">
        <v>225</v>
      </c>
      <c r="N457" s="99">
        <v>6097</v>
      </c>
      <c r="O457" s="100">
        <v>0</v>
      </c>
      <c r="P457" s="100">
        <v>27.738638964120842</v>
      </c>
      <c r="Q457" s="100">
        <v>26.441723365449793</v>
      </c>
    </row>
    <row r="458" spans="1:17" x14ac:dyDescent="0.35">
      <c r="A458" s="98" t="s">
        <v>26</v>
      </c>
      <c r="B458" s="98" t="s">
        <v>165</v>
      </c>
      <c r="C458" s="98" t="s">
        <v>224</v>
      </c>
      <c r="D458" s="99">
        <v>23588073.5</v>
      </c>
      <c r="E458" s="99">
        <v>26846541</v>
      </c>
      <c r="F458" s="99">
        <v>29611714.000000004</v>
      </c>
      <c r="G458" s="99">
        <v>0</v>
      </c>
      <c r="H458" s="98" t="s">
        <v>225</v>
      </c>
      <c r="I458" s="99">
        <v>35000</v>
      </c>
      <c r="J458" s="98">
        <v>2018</v>
      </c>
      <c r="K458" s="99">
        <v>41616</v>
      </c>
      <c r="L458" s="98">
        <v>2020</v>
      </c>
      <c r="M458" s="98" t="s">
        <v>225</v>
      </c>
      <c r="N458" s="99">
        <v>41616</v>
      </c>
      <c r="O458" s="100">
        <v>0</v>
      </c>
      <c r="P458" s="100">
        <v>13.037061273554757</v>
      </c>
      <c r="Q458" s="100">
        <v>14.053897724393797</v>
      </c>
    </row>
    <row r="459" spans="1:17" x14ac:dyDescent="0.35">
      <c r="A459" s="98" t="s">
        <v>26</v>
      </c>
      <c r="B459" s="98" t="s">
        <v>165</v>
      </c>
      <c r="C459" s="98" t="s">
        <v>227</v>
      </c>
      <c r="D459" s="99">
        <v>23588073.5</v>
      </c>
      <c r="E459" s="99">
        <v>26846541</v>
      </c>
      <c r="F459" s="99">
        <v>29611714.000000004</v>
      </c>
      <c r="G459" s="99">
        <v>0</v>
      </c>
      <c r="H459" s="98" t="s">
        <v>225</v>
      </c>
      <c r="I459" s="99">
        <v>414</v>
      </c>
      <c r="J459" s="98" t="s">
        <v>229</v>
      </c>
      <c r="K459" s="99">
        <v>414</v>
      </c>
      <c r="L459" s="98" t="s">
        <v>229</v>
      </c>
      <c r="M459" s="98" t="s">
        <v>225</v>
      </c>
      <c r="N459" s="99">
        <v>414</v>
      </c>
      <c r="O459" s="100">
        <v>0</v>
      </c>
      <c r="P459" s="100">
        <v>0.15420981049290483</v>
      </c>
      <c r="Q459" s="100">
        <v>0.13980953618557843</v>
      </c>
    </row>
    <row r="460" spans="1:17" x14ac:dyDescent="0.35">
      <c r="A460" s="98" t="s">
        <v>26</v>
      </c>
      <c r="B460" s="98" t="s">
        <v>165</v>
      </c>
      <c r="C460" s="98" t="s">
        <v>228</v>
      </c>
      <c r="D460" s="99">
        <v>23588073.5</v>
      </c>
      <c r="E460" s="99">
        <v>26846541</v>
      </c>
      <c r="F460" s="99">
        <v>29611714.000000004</v>
      </c>
      <c r="G460" s="99">
        <v>174</v>
      </c>
      <c r="H460" s="98">
        <v>2014</v>
      </c>
      <c r="I460" s="99">
        <v>15</v>
      </c>
      <c r="J460" s="98" t="s">
        <v>229</v>
      </c>
      <c r="K460" s="99">
        <v>254</v>
      </c>
      <c r="L460" s="98">
        <v>2020</v>
      </c>
      <c r="M460" s="98" t="s">
        <v>225</v>
      </c>
      <c r="N460" s="99">
        <v>254</v>
      </c>
      <c r="O460" s="100">
        <v>7.376609200407995E-2</v>
      </c>
      <c r="P460" s="100">
        <v>5.5873119743806102E-3</v>
      </c>
      <c r="Q460" s="100">
        <v>8.5776865195982904E-2</v>
      </c>
    </row>
    <row r="461" spans="1:17" x14ac:dyDescent="0.35">
      <c r="A461" s="98" t="s">
        <v>26</v>
      </c>
      <c r="B461" s="98" t="s">
        <v>165</v>
      </c>
      <c r="C461" s="98" t="s">
        <v>230</v>
      </c>
      <c r="D461" s="99">
        <v>23588073.5</v>
      </c>
      <c r="E461" s="99">
        <v>26846541</v>
      </c>
      <c r="F461" s="99">
        <v>29611714.000000004</v>
      </c>
      <c r="G461" s="99">
        <v>0</v>
      </c>
      <c r="H461" s="98" t="s">
        <v>225</v>
      </c>
      <c r="I461" s="99">
        <v>311</v>
      </c>
      <c r="J461" s="98" t="s">
        <v>229</v>
      </c>
      <c r="K461" s="99">
        <v>311</v>
      </c>
      <c r="L461" s="98" t="s">
        <v>229</v>
      </c>
      <c r="M461" s="98" t="s">
        <v>225</v>
      </c>
      <c r="N461" s="99">
        <v>311</v>
      </c>
      <c r="O461" s="100">
        <v>0</v>
      </c>
      <c r="P461" s="100">
        <v>0.11584360160215798</v>
      </c>
      <c r="Q461" s="100">
        <v>0.10502600423602632</v>
      </c>
    </row>
    <row r="462" spans="1:17" x14ac:dyDescent="0.35">
      <c r="A462" s="98" t="s">
        <v>26</v>
      </c>
      <c r="B462" s="98" t="s">
        <v>165</v>
      </c>
      <c r="C462" s="98" t="s">
        <v>231</v>
      </c>
      <c r="D462" s="99">
        <v>23588073.5</v>
      </c>
      <c r="E462" s="99">
        <v>26846541</v>
      </c>
      <c r="F462" s="99">
        <v>29611714.000000004</v>
      </c>
      <c r="G462" s="99">
        <v>0</v>
      </c>
      <c r="H462" s="98" t="s">
        <v>225</v>
      </c>
      <c r="I462" s="99">
        <v>411</v>
      </c>
      <c r="J462" s="98" t="s">
        <v>229</v>
      </c>
      <c r="K462" s="99">
        <v>411</v>
      </c>
      <c r="L462" s="98" t="s">
        <v>229</v>
      </c>
      <c r="M462" s="98" t="s">
        <v>225</v>
      </c>
      <c r="N462" s="99">
        <v>411</v>
      </c>
      <c r="O462" s="100">
        <v>0</v>
      </c>
      <c r="P462" s="100">
        <v>0.15309234809802871</v>
      </c>
      <c r="Q462" s="100">
        <v>0.13879642360452352</v>
      </c>
    </row>
    <row r="463" spans="1:17" x14ac:dyDescent="0.35">
      <c r="A463" s="98" t="s">
        <v>26</v>
      </c>
      <c r="B463" s="98" t="s">
        <v>165</v>
      </c>
      <c r="C463" s="98" t="s">
        <v>232</v>
      </c>
      <c r="D463" s="99">
        <v>23588073.5</v>
      </c>
      <c r="E463" s="99">
        <v>26846541</v>
      </c>
      <c r="F463" s="99">
        <v>29611714.000000004</v>
      </c>
      <c r="G463" s="99">
        <v>0</v>
      </c>
      <c r="H463" s="98" t="s">
        <v>225</v>
      </c>
      <c r="I463" s="99">
        <v>52</v>
      </c>
      <c r="J463" s="98" t="s">
        <v>229</v>
      </c>
      <c r="K463" s="99">
        <v>12</v>
      </c>
      <c r="L463" s="98" t="s">
        <v>229</v>
      </c>
      <c r="M463" s="98" t="s">
        <v>226</v>
      </c>
      <c r="N463" s="99">
        <v>13.375262199878652</v>
      </c>
      <c r="O463" s="100">
        <v>0</v>
      </c>
      <c r="P463" s="100">
        <v>1.9369348177852783E-2</v>
      </c>
      <c r="Q463" s="100">
        <v>4.516882136535106E-3</v>
      </c>
    </row>
    <row r="464" spans="1:17" x14ac:dyDescent="0.35">
      <c r="A464" s="98" t="s">
        <v>26</v>
      </c>
      <c r="B464" s="98" t="s">
        <v>165</v>
      </c>
      <c r="C464" s="98" t="s">
        <v>233</v>
      </c>
      <c r="D464" s="99">
        <v>23588073.5</v>
      </c>
      <c r="E464" s="99">
        <v>26846541</v>
      </c>
      <c r="F464" s="99">
        <v>29611714.000000004</v>
      </c>
      <c r="G464" s="99">
        <v>0</v>
      </c>
      <c r="H464" s="98" t="s">
        <v>225</v>
      </c>
      <c r="I464" s="99">
        <v>306</v>
      </c>
      <c r="J464" s="98">
        <v>2018</v>
      </c>
      <c r="K464" s="99">
        <v>306</v>
      </c>
      <c r="L464" s="98">
        <v>2018</v>
      </c>
      <c r="M464" s="98" t="s">
        <v>225</v>
      </c>
      <c r="N464" s="99">
        <v>306</v>
      </c>
      <c r="O464" s="100">
        <v>0</v>
      </c>
      <c r="P464" s="100">
        <v>0.11398116427736445</v>
      </c>
      <c r="Q464" s="100">
        <v>0.10333748326760145</v>
      </c>
    </row>
    <row r="465" spans="1:17" x14ac:dyDescent="0.35">
      <c r="A465" s="98" t="s">
        <v>26</v>
      </c>
      <c r="B465" s="98" t="s">
        <v>165</v>
      </c>
      <c r="C465" s="98" t="s">
        <v>234</v>
      </c>
      <c r="D465" s="99">
        <v>23588073.5</v>
      </c>
      <c r="E465" s="99">
        <v>26846541</v>
      </c>
      <c r="F465" s="99">
        <v>29611714.000000004</v>
      </c>
      <c r="G465" s="99">
        <v>0</v>
      </c>
      <c r="H465" s="98" t="s">
        <v>225</v>
      </c>
      <c r="I465" s="99">
        <v>0</v>
      </c>
      <c r="J465" s="98" t="s">
        <v>225</v>
      </c>
      <c r="K465" s="99">
        <v>0</v>
      </c>
      <c r="L465" s="98" t="s">
        <v>225</v>
      </c>
      <c r="M465" s="98" t="s">
        <v>225</v>
      </c>
      <c r="N465" s="99">
        <v>0</v>
      </c>
      <c r="O465" s="100">
        <v>0</v>
      </c>
      <c r="P465" s="100">
        <v>0</v>
      </c>
      <c r="Q465" s="100">
        <v>0</v>
      </c>
    </row>
    <row r="466" spans="1:17" x14ac:dyDescent="0.35">
      <c r="A466" s="98" t="s">
        <v>26</v>
      </c>
      <c r="B466" s="98" t="s">
        <v>165</v>
      </c>
      <c r="C466" s="98" t="s">
        <v>235</v>
      </c>
      <c r="D466" s="99">
        <v>23588073.5</v>
      </c>
      <c r="E466" s="99">
        <v>26846541</v>
      </c>
      <c r="F466" s="99">
        <v>29611714.000000004</v>
      </c>
      <c r="G466" s="99">
        <v>0</v>
      </c>
      <c r="H466" s="98" t="s">
        <v>225</v>
      </c>
      <c r="I466" s="99">
        <v>214</v>
      </c>
      <c r="J466" s="98" t="s">
        <v>229</v>
      </c>
      <c r="K466" s="99">
        <v>214</v>
      </c>
      <c r="L466" s="98" t="s">
        <v>229</v>
      </c>
      <c r="M466" s="98" t="s">
        <v>225</v>
      </c>
      <c r="N466" s="99">
        <v>214</v>
      </c>
      <c r="O466" s="100">
        <v>0</v>
      </c>
      <c r="P466" s="100">
        <v>7.9712317501163366E-2</v>
      </c>
      <c r="Q466" s="100">
        <v>7.2268697448584024E-2</v>
      </c>
    </row>
    <row r="467" spans="1:17" x14ac:dyDescent="0.35">
      <c r="A467" s="98" t="s">
        <v>26</v>
      </c>
      <c r="B467" s="98" t="s">
        <v>165</v>
      </c>
      <c r="C467" s="98" t="s">
        <v>236</v>
      </c>
      <c r="D467" s="99">
        <v>23588073.5</v>
      </c>
      <c r="E467" s="99">
        <v>26846541</v>
      </c>
      <c r="F467" s="99">
        <v>29611714.000000004</v>
      </c>
      <c r="G467" s="99">
        <v>0</v>
      </c>
      <c r="H467" s="98" t="s">
        <v>225</v>
      </c>
      <c r="I467" s="99">
        <v>11</v>
      </c>
      <c r="J467" s="98" t="s">
        <v>229</v>
      </c>
      <c r="K467" s="99">
        <v>11</v>
      </c>
      <c r="L467" s="98" t="s">
        <v>229</v>
      </c>
      <c r="M467" s="98" t="s">
        <v>225</v>
      </c>
      <c r="N467" s="99">
        <v>11</v>
      </c>
      <c r="O467" s="100">
        <v>0</v>
      </c>
      <c r="P467" s="100">
        <v>4.0973621145457811E-3</v>
      </c>
      <c r="Q467" s="100">
        <v>3.7147461305346925E-3</v>
      </c>
    </row>
    <row r="468" spans="1:17" x14ac:dyDescent="0.35">
      <c r="A468" s="98" t="s">
        <v>26</v>
      </c>
      <c r="B468" s="98" t="s">
        <v>165</v>
      </c>
      <c r="C468" s="98" t="s">
        <v>237</v>
      </c>
      <c r="D468" s="99">
        <v>23588073.5</v>
      </c>
      <c r="E468" s="99">
        <v>26846541</v>
      </c>
      <c r="F468" s="99">
        <v>29611714.000000004</v>
      </c>
      <c r="G468" s="99">
        <v>0</v>
      </c>
      <c r="H468" s="98" t="s">
        <v>225</v>
      </c>
      <c r="I468" s="99">
        <v>56</v>
      </c>
      <c r="J468" s="98" t="s">
        <v>229</v>
      </c>
      <c r="K468" s="99">
        <v>56</v>
      </c>
      <c r="L468" s="98" t="s">
        <v>229</v>
      </c>
      <c r="M468" s="98" t="s">
        <v>225</v>
      </c>
      <c r="N468" s="99">
        <v>56</v>
      </c>
      <c r="O468" s="100">
        <v>0</v>
      </c>
      <c r="P468" s="100">
        <v>2.0859298037687612E-2</v>
      </c>
      <c r="Q468" s="100">
        <v>1.8911434846358436E-2</v>
      </c>
    </row>
    <row r="469" spans="1:17" x14ac:dyDescent="0.35">
      <c r="A469" s="98" t="s">
        <v>26</v>
      </c>
      <c r="B469" s="98" t="s">
        <v>165</v>
      </c>
      <c r="C469" s="98" t="s">
        <v>238</v>
      </c>
      <c r="D469" s="99">
        <v>23588073.5</v>
      </c>
      <c r="E469" s="99">
        <v>26846541</v>
      </c>
      <c r="F469" s="99">
        <v>29611714.000000004</v>
      </c>
      <c r="G469" s="99">
        <v>0</v>
      </c>
      <c r="H469" s="98" t="s">
        <v>225</v>
      </c>
      <c r="I469" s="99">
        <v>6355</v>
      </c>
      <c r="J469" s="98" t="s">
        <v>229</v>
      </c>
      <c r="K469" s="99">
        <v>6355</v>
      </c>
      <c r="L469" s="98" t="s">
        <v>229</v>
      </c>
      <c r="M469" s="98" t="s">
        <v>225</v>
      </c>
      <c r="N469" s="99">
        <v>6355</v>
      </c>
      <c r="O469" s="100">
        <v>0</v>
      </c>
      <c r="P469" s="100">
        <v>2.367157839812585</v>
      </c>
      <c r="Q469" s="100">
        <v>2.1461101508679974</v>
      </c>
    </row>
    <row r="470" spans="1:17" x14ac:dyDescent="0.35">
      <c r="A470" s="98" t="s">
        <v>26</v>
      </c>
      <c r="B470" s="98" t="s">
        <v>165</v>
      </c>
      <c r="C470" s="98" t="s">
        <v>239</v>
      </c>
      <c r="D470" s="99">
        <v>23588073.5</v>
      </c>
      <c r="E470" s="99">
        <v>26846541</v>
      </c>
      <c r="F470" s="99">
        <v>29611714.000000004</v>
      </c>
      <c r="G470" s="99">
        <v>0</v>
      </c>
      <c r="H470" s="98" t="s">
        <v>225</v>
      </c>
      <c r="I470" s="99">
        <v>0</v>
      </c>
      <c r="J470" s="98" t="s">
        <v>225</v>
      </c>
      <c r="K470" s="99">
        <v>0</v>
      </c>
      <c r="L470" s="98" t="s">
        <v>225</v>
      </c>
      <c r="M470" s="98" t="s">
        <v>225</v>
      </c>
      <c r="N470" s="99">
        <v>0</v>
      </c>
      <c r="O470" s="100">
        <v>0</v>
      </c>
      <c r="P470" s="100">
        <v>0</v>
      </c>
      <c r="Q470" s="100">
        <v>0</v>
      </c>
    </row>
    <row r="471" spans="1:17" x14ac:dyDescent="0.35">
      <c r="A471" s="98" t="s">
        <v>26</v>
      </c>
      <c r="B471" s="98" t="s">
        <v>165</v>
      </c>
      <c r="C471" s="98" t="s">
        <v>240</v>
      </c>
      <c r="D471" s="99">
        <v>23588073.5</v>
      </c>
      <c r="E471" s="99">
        <v>26846541</v>
      </c>
      <c r="F471" s="99">
        <v>29611714.000000004</v>
      </c>
      <c r="G471" s="99">
        <v>0</v>
      </c>
      <c r="H471" s="98" t="s">
        <v>225</v>
      </c>
      <c r="I471" s="99">
        <v>306</v>
      </c>
      <c r="J471" s="98" t="s">
        <v>229</v>
      </c>
      <c r="K471" s="99">
        <v>306</v>
      </c>
      <c r="L471" s="98" t="s">
        <v>229</v>
      </c>
      <c r="M471" s="98" t="s">
        <v>225</v>
      </c>
      <c r="N471" s="99">
        <v>306</v>
      </c>
      <c r="O471" s="100">
        <v>0</v>
      </c>
      <c r="P471" s="100">
        <v>0.11398116427736445</v>
      </c>
      <c r="Q471" s="100">
        <v>0.10333748326760145</v>
      </c>
    </row>
    <row r="472" spans="1:17" x14ac:dyDescent="0.35">
      <c r="A472" s="98" t="s">
        <v>26</v>
      </c>
      <c r="B472" s="98" t="s">
        <v>165</v>
      </c>
      <c r="C472" s="98" t="s">
        <v>241</v>
      </c>
      <c r="D472" s="99">
        <v>23588073.5</v>
      </c>
      <c r="E472" s="99">
        <v>26846541</v>
      </c>
      <c r="F472" s="99">
        <v>29611714.000000004</v>
      </c>
      <c r="G472" s="99">
        <v>0</v>
      </c>
      <c r="H472" s="98" t="s">
        <v>225</v>
      </c>
      <c r="I472" s="99">
        <v>0</v>
      </c>
      <c r="J472" s="98" t="s">
        <v>225</v>
      </c>
      <c r="K472" s="99">
        <v>0</v>
      </c>
      <c r="L472" s="98" t="s">
        <v>225</v>
      </c>
      <c r="M472" s="98" t="s">
        <v>225</v>
      </c>
      <c r="N472" s="99">
        <v>0</v>
      </c>
      <c r="O472" s="100">
        <v>0</v>
      </c>
      <c r="P472" s="100">
        <v>0</v>
      </c>
      <c r="Q472" s="100">
        <v>0</v>
      </c>
    </row>
    <row r="473" spans="1:17" x14ac:dyDescent="0.35">
      <c r="A473" s="98" t="s">
        <v>26</v>
      </c>
      <c r="B473" s="98" t="s">
        <v>165</v>
      </c>
      <c r="C473" s="98" t="s">
        <v>242</v>
      </c>
      <c r="D473" s="99">
        <v>23588073.5</v>
      </c>
      <c r="E473" s="99">
        <v>26846541</v>
      </c>
      <c r="F473" s="99">
        <v>29611714.000000004</v>
      </c>
      <c r="G473" s="99">
        <v>0</v>
      </c>
      <c r="H473" s="98" t="s">
        <v>225</v>
      </c>
      <c r="I473" s="99">
        <v>99</v>
      </c>
      <c r="J473" s="98" t="s">
        <v>229</v>
      </c>
      <c r="K473" s="99">
        <v>99</v>
      </c>
      <c r="L473" s="98" t="s">
        <v>229</v>
      </c>
      <c r="M473" s="98" t="s">
        <v>225</v>
      </c>
      <c r="N473" s="99">
        <v>99</v>
      </c>
      <c r="O473" s="100">
        <v>0</v>
      </c>
      <c r="P473" s="100">
        <v>3.6876259030912024E-2</v>
      </c>
      <c r="Q473" s="100">
        <v>3.3432715174812236E-2</v>
      </c>
    </row>
    <row r="474" spans="1:17" x14ac:dyDescent="0.35">
      <c r="A474" s="98" t="s">
        <v>26</v>
      </c>
      <c r="B474" s="98" t="s">
        <v>165</v>
      </c>
      <c r="C474" s="98" t="s">
        <v>243</v>
      </c>
      <c r="D474" s="99">
        <v>23588073.5</v>
      </c>
      <c r="E474" s="99">
        <v>26846541</v>
      </c>
      <c r="F474" s="99">
        <v>29611714.000000004</v>
      </c>
      <c r="G474" s="99">
        <v>0</v>
      </c>
      <c r="H474" s="98" t="s">
        <v>225</v>
      </c>
      <c r="I474" s="99">
        <v>0</v>
      </c>
      <c r="J474" s="98" t="s">
        <v>225</v>
      </c>
      <c r="K474" s="99">
        <v>0</v>
      </c>
      <c r="L474" s="98" t="s">
        <v>225</v>
      </c>
      <c r="M474" s="98" t="s">
        <v>225</v>
      </c>
      <c r="N474" s="99">
        <v>0</v>
      </c>
      <c r="O474" s="100">
        <v>0</v>
      </c>
      <c r="P474" s="100">
        <v>0</v>
      </c>
      <c r="Q474" s="100">
        <v>0</v>
      </c>
    </row>
    <row r="475" spans="1:17" x14ac:dyDescent="0.35">
      <c r="A475" s="98" t="s">
        <v>26</v>
      </c>
      <c r="B475" s="98" t="s">
        <v>165</v>
      </c>
      <c r="C475" s="98" t="s">
        <v>244</v>
      </c>
      <c r="D475" s="99">
        <v>23588073.5</v>
      </c>
      <c r="E475" s="99">
        <v>26846541</v>
      </c>
      <c r="F475" s="99">
        <v>29611714.000000004</v>
      </c>
      <c r="G475" s="99">
        <v>0</v>
      </c>
      <c r="H475" s="98" t="s">
        <v>225</v>
      </c>
      <c r="I475" s="99">
        <v>0</v>
      </c>
      <c r="J475" s="98" t="s">
        <v>225</v>
      </c>
      <c r="K475" s="99">
        <v>0</v>
      </c>
      <c r="L475" s="98" t="s">
        <v>225</v>
      </c>
      <c r="M475" s="98" t="s">
        <v>225</v>
      </c>
      <c r="N475" s="99">
        <v>0</v>
      </c>
      <c r="O475" s="100">
        <v>0</v>
      </c>
      <c r="P475" s="100">
        <v>0</v>
      </c>
      <c r="Q475" s="100">
        <v>0</v>
      </c>
    </row>
    <row r="476" spans="1:17" x14ac:dyDescent="0.35">
      <c r="A476" s="98" t="s">
        <v>26</v>
      </c>
      <c r="B476" s="98" t="s">
        <v>165</v>
      </c>
      <c r="C476" s="98" t="s">
        <v>245</v>
      </c>
      <c r="D476" s="99">
        <v>23588073.5</v>
      </c>
      <c r="E476" s="99">
        <v>26846541</v>
      </c>
      <c r="F476" s="99">
        <v>29611714.000000004</v>
      </c>
      <c r="G476" s="99">
        <v>0</v>
      </c>
      <c r="H476" s="98" t="s">
        <v>225</v>
      </c>
      <c r="I476" s="99">
        <v>602</v>
      </c>
      <c r="J476" s="98" t="s">
        <v>229</v>
      </c>
      <c r="K476" s="99">
        <v>602</v>
      </c>
      <c r="L476" s="98" t="s">
        <v>229</v>
      </c>
      <c r="M476" s="98" t="s">
        <v>225</v>
      </c>
      <c r="N476" s="99">
        <v>602</v>
      </c>
      <c r="O476" s="100">
        <v>0</v>
      </c>
      <c r="P476" s="100">
        <v>0.22423745390514183</v>
      </c>
      <c r="Q476" s="100">
        <v>0.20329792459835319</v>
      </c>
    </row>
    <row r="477" spans="1:17" x14ac:dyDescent="0.35">
      <c r="A477" s="98" t="s">
        <v>28</v>
      </c>
      <c r="B477" s="98" t="s">
        <v>167</v>
      </c>
      <c r="C477" s="98" t="s">
        <v>224</v>
      </c>
      <c r="D477" s="99">
        <v>17004032.499999996</v>
      </c>
      <c r="E477" s="99">
        <v>19934298.000000004</v>
      </c>
      <c r="F477" s="99">
        <v>22593590.500000022</v>
      </c>
      <c r="G477" s="99">
        <v>0</v>
      </c>
      <c r="H477" s="98" t="s">
        <v>225</v>
      </c>
      <c r="I477" s="99">
        <v>1152</v>
      </c>
      <c r="J477" s="98">
        <v>2018</v>
      </c>
      <c r="K477" s="99">
        <v>3303</v>
      </c>
      <c r="L477" s="98">
        <v>2020</v>
      </c>
      <c r="M477" s="98" t="s">
        <v>225</v>
      </c>
      <c r="N477" s="99">
        <v>3303</v>
      </c>
      <c r="O477" s="100">
        <v>0</v>
      </c>
      <c r="P477" s="100">
        <v>0.57789845421193153</v>
      </c>
      <c r="Q477" s="100">
        <v>1.4619190340729584</v>
      </c>
    </row>
    <row r="478" spans="1:17" x14ac:dyDescent="0.35">
      <c r="A478" s="98" t="s">
        <v>28</v>
      </c>
      <c r="B478" s="98" t="s">
        <v>167</v>
      </c>
      <c r="C478" s="98" t="s">
        <v>227</v>
      </c>
      <c r="D478" s="99">
        <v>17004032.499999996</v>
      </c>
      <c r="E478" s="99">
        <v>19934298.000000004</v>
      </c>
      <c r="F478" s="99">
        <v>22593590.500000022</v>
      </c>
      <c r="G478" s="99">
        <v>0</v>
      </c>
      <c r="H478" s="98" t="s">
        <v>225</v>
      </c>
      <c r="I478" s="99">
        <v>7</v>
      </c>
      <c r="J478" s="98" t="s">
        <v>229</v>
      </c>
      <c r="K478" s="99">
        <v>3342</v>
      </c>
      <c r="L478" s="98">
        <v>2022</v>
      </c>
      <c r="M478" s="98" t="s">
        <v>225</v>
      </c>
      <c r="N478" s="99">
        <v>3342</v>
      </c>
      <c r="O478" s="100">
        <v>0</v>
      </c>
      <c r="P478" s="100">
        <v>3.5115357460794448E-3</v>
      </c>
      <c r="Q478" s="100">
        <v>1.4791805667186881</v>
      </c>
    </row>
    <row r="479" spans="1:17" x14ac:dyDescent="0.35">
      <c r="A479" s="98" t="s">
        <v>28</v>
      </c>
      <c r="B479" s="98" t="s">
        <v>167</v>
      </c>
      <c r="C479" s="98" t="s">
        <v>228</v>
      </c>
      <c r="D479" s="99">
        <v>17004032.499999996</v>
      </c>
      <c r="E479" s="99">
        <v>19934298.000000004</v>
      </c>
      <c r="F479" s="99">
        <v>22593590.500000022</v>
      </c>
      <c r="G479" s="99">
        <v>0</v>
      </c>
      <c r="H479" s="98" t="s">
        <v>225</v>
      </c>
      <c r="I479" s="99">
        <v>78</v>
      </c>
      <c r="J479" s="98" t="s">
        <v>229</v>
      </c>
      <c r="K479" s="99">
        <v>3642</v>
      </c>
      <c r="L479" s="98">
        <v>2022</v>
      </c>
      <c r="M479" s="98" t="s">
        <v>225</v>
      </c>
      <c r="N479" s="99">
        <v>3642</v>
      </c>
      <c r="O479" s="100">
        <v>0</v>
      </c>
      <c r="P479" s="100">
        <v>3.912854117059953E-2</v>
      </c>
      <c r="Q479" s="100">
        <v>1.6119615870704553</v>
      </c>
    </row>
    <row r="480" spans="1:17" x14ac:dyDescent="0.35">
      <c r="A480" s="98" t="s">
        <v>28</v>
      </c>
      <c r="B480" s="98" t="s">
        <v>167</v>
      </c>
      <c r="C480" s="98" t="s">
        <v>230</v>
      </c>
      <c r="D480" s="99">
        <v>17004032.499999996</v>
      </c>
      <c r="E480" s="99">
        <v>19934298.000000004</v>
      </c>
      <c r="F480" s="99">
        <v>22593590.500000022</v>
      </c>
      <c r="G480" s="99">
        <v>0</v>
      </c>
      <c r="H480" s="98" t="s">
        <v>225</v>
      </c>
      <c r="I480" s="99">
        <v>2153</v>
      </c>
      <c r="J480" s="98" t="s">
        <v>229</v>
      </c>
      <c r="K480" s="99">
        <v>2153</v>
      </c>
      <c r="L480" s="98" t="s">
        <v>229</v>
      </c>
      <c r="M480" s="98" t="s">
        <v>225</v>
      </c>
      <c r="N480" s="99">
        <v>2153</v>
      </c>
      <c r="O480" s="100">
        <v>0</v>
      </c>
      <c r="P480" s="100">
        <v>1.0800480659012921</v>
      </c>
      <c r="Q480" s="100">
        <v>0.9529251227245169</v>
      </c>
    </row>
    <row r="481" spans="1:17" x14ac:dyDescent="0.35">
      <c r="A481" s="98" t="s">
        <v>28</v>
      </c>
      <c r="B481" s="98" t="s">
        <v>167</v>
      </c>
      <c r="C481" s="98" t="s">
        <v>231</v>
      </c>
      <c r="D481" s="99">
        <v>17004032.499999996</v>
      </c>
      <c r="E481" s="99">
        <v>19934298.000000004</v>
      </c>
      <c r="F481" s="99">
        <v>22593590.500000022</v>
      </c>
      <c r="G481" s="99">
        <v>0</v>
      </c>
      <c r="H481" s="98" t="s">
        <v>225</v>
      </c>
      <c r="I481" s="99">
        <v>25</v>
      </c>
      <c r="J481" s="98" t="s">
        <v>229</v>
      </c>
      <c r="K481" s="99">
        <v>25</v>
      </c>
      <c r="L481" s="98" t="s">
        <v>229</v>
      </c>
      <c r="M481" s="98" t="s">
        <v>225</v>
      </c>
      <c r="N481" s="99">
        <v>25</v>
      </c>
      <c r="O481" s="100">
        <v>0</v>
      </c>
      <c r="P481" s="100">
        <v>1.2541199093140875E-2</v>
      </c>
      <c r="Q481" s="100">
        <v>1.1065085029313944E-2</v>
      </c>
    </row>
    <row r="482" spans="1:17" x14ac:dyDescent="0.35">
      <c r="A482" s="98" t="s">
        <v>28</v>
      </c>
      <c r="B482" s="98" t="s">
        <v>167</v>
      </c>
      <c r="C482" s="98" t="s">
        <v>232</v>
      </c>
      <c r="D482" s="99">
        <v>17004032.499999996</v>
      </c>
      <c r="E482" s="99">
        <v>19934298.000000004</v>
      </c>
      <c r="F482" s="99">
        <v>22593590.500000022</v>
      </c>
      <c r="G482" s="99">
        <v>0</v>
      </c>
      <c r="H482" s="98" t="s">
        <v>225</v>
      </c>
      <c r="I482" s="99">
        <v>15</v>
      </c>
      <c r="J482" s="98">
        <v>2018</v>
      </c>
      <c r="K482" s="99">
        <v>15</v>
      </c>
      <c r="L482" s="98">
        <v>2018</v>
      </c>
      <c r="M482" s="98" t="s">
        <v>225</v>
      </c>
      <c r="N482" s="99">
        <v>15</v>
      </c>
      <c r="O482" s="100">
        <v>0</v>
      </c>
      <c r="P482" s="100">
        <v>7.5247194558845246E-3</v>
      </c>
      <c r="Q482" s="100">
        <v>6.6390510175883665E-3</v>
      </c>
    </row>
    <row r="483" spans="1:17" x14ac:dyDescent="0.35">
      <c r="A483" s="98" t="s">
        <v>28</v>
      </c>
      <c r="B483" s="98" t="s">
        <v>167</v>
      </c>
      <c r="C483" s="98" t="s">
        <v>233</v>
      </c>
      <c r="D483" s="99">
        <v>17004032.499999996</v>
      </c>
      <c r="E483" s="99">
        <v>19934298.000000004</v>
      </c>
      <c r="F483" s="99">
        <v>22593590.500000022</v>
      </c>
      <c r="G483" s="99">
        <v>0</v>
      </c>
      <c r="H483" s="98" t="s">
        <v>225</v>
      </c>
      <c r="I483" s="99">
        <v>1496</v>
      </c>
      <c r="J483" s="98" t="s">
        <v>229</v>
      </c>
      <c r="K483" s="99">
        <v>1496</v>
      </c>
      <c r="L483" s="98" t="s">
        <v>229</v>
      </c>
      <c r="M483" s="98" t="s">
        <v>225</v>
      </c>
      <c r="N483" s="99">
        <v>1496</v>
      </c>
      <c r="O483" s="100">
        <v>0</v>
      </c>
      <c r="P483" s="100">
        <v>0.75046535373354994</v>
      </c>
      <c r="Q483" s="100">
        <v>0.66213468815414644</v>
      </c>
    </row>
    <row r="484" spans="1:17" x14ac:dyDescent="0.35">
      <c r="A484" s="98" t="s">
        <v>28</v>
      </c>
      <c r="B484" s="98" t="s">
        <v>167</v>
      </c>
      <c r="C484" s="98" t="s">
        <v>234</v>
      </c>
      <c r="D484" s="99">
        <v>17004032.499999996</v>
      </c>
      <c r="E484" s="99">
        <v>19934298.000000004</v>
      </c>
      <c r="F484" s="99">
        <v>22593590.500000022</v>
      </c>
      <c r="G484" s="99">
        <v>0</v>
      </c>
      <c r="H484" s="98" t="s">
        <v>225</v>
      </c>
      <c r="I484" s="99">
        <v>1041</v>
      </c>
      <c r="J484" s="98" t="s">
        <v>229</v>
      </c>
      <c r="K484" s="99">
        <v>1481</v>
      </c>
      <c r="L484" s="98">
        <v>2022</v>
      </c>
      <c r="M484" s="98" t="s">
        <v>225</v>
      </c>
      <c r="N484" s="99">
        <v>1481</v>
      </c>
      <c r="O484" s="100">
        <v>0</v>
      </c>
      <c r="P484" s="100">
        <v>0.52221553023838607</v>
      </c>
      <c r="Q484" s="100">
        <v>0.65549563713655801</v>
      </c>
    </row>
    <row r="485" spans="1:17" x14ac:dyDescent="0.35">
      <c r="A485" s="98" t="s">
        <v>28</v>
      </c>
      <c r="B485" s="98" t="s">
        <v>167</v>
      </c>
      <c r="C485" s="98" t="s">
        <v>235</v>
      </c>
      <c r="D485" s="99">
        <v>17004032.499999996</v>
      </c>
      <c r="E485" s="99">
        <v>19934298.000000004</v>
      </c>
      <c r="F485" s="99">
        <v>22593590.500000022</v>
      </c>
      <c r="G485" s="99">
        <v>0</v>
      </c>
      <c r="H485" s="98" t="s">
        <v>225</v>
      </c>
      <c r="I485" s="99">
        <v>0</v>
      </c>
      <c r="J485" s="98" t="s">
        <v>225</v>
      </c>
      <c r="K485" s="99">
        <v>0</v>
      </c>
      <c r="L485" s="98" t="s">
        <v>225</v>
      </c>
      <c r="M485" s="98" t="s">
        <v>225</v>
      </c>
      <c r="N485" s="99">
        <v>0</v>
      </c>
      <c r="O485" s="100">
        <v>0</v>
      </c>
      <c r="P485" s="100">
        <v>0</v>
      </c>
      <c r="Q485" s="100">
        <v>0</v>
      </c>
    </row>
    <row r="486" spans="1:17" x14ac:dyDescent="0.35">
      <c r="A486" s="98" t="s">
        <v>28</v>
      </c>
      <c r="B486" s="98" t="s">
        <v>167</v>
      </c>
      <c r="C486" s="98" t="s">
        <v>236</v>
      </c>
      <c r="D486" s="99">
        <v>17004032.499999996</v>
      </c>
      <c r="E486" s="99">
        <v>19934298.000000004</v>
      </c>
      <c r="F486" s="99">
        <v>22593590.500000022</v>
      </c>
      <c r="G486" s="99">
        <v>0</v>
      </c>
      <c r="H486" s="98" t="s">
        <v>225</v>
      </c>
      <c r="I486" s="99">
        <v>0</v>
      </c>
      <c r="J486" s="98" t="s">
        <v>225</v>
      </c>
      <c r="K486" s="99">
        <v>0</v>
      </c>
      <c r="L486" s="98" t="s">
        <v>225</v>
      </c>
      <c r="M486" s="98" t="s">
        <v>225</v>
      </c>
      <c r="N486" s="99">
        <v>0</v>
      </c>
      <c r="O486" s="100">
        <v>0</v>
      </c>
      <c r="P486" s="100">
        <v>0</v>
      </c>
      <c r="Q486" s="100">
        <v>0</v>
      </c>
    </row>
    <row r="487" spans="1:17" x14ac:dyDescent="0.35">
      <c r="A487" s="98" t="s">
        <v>28</v>
      </c>
      <c r="B487" s="98" t="s">
        <v>167</v>
      </c>
      <c r="C487" s="98" t="s">
        <v>237</v>
      </c>
      <c r="D487" s="99">
        <v>17004032.499999996</v>
      </c>
      <c r="E487" s="99">
        <v>19934298.000000004</v>
      </c>
      <c r="F487" s="99">
        <v>22593590.500000022</v>
      </c>
      <c r="G487" s="99">
        <v>0</v>
      </c>
      <c r="H487" s="98" t="s">
        <v>225</v>
      </c>
      <c r="I487" s="99">
        <v>0</v>
      </c>
      <c r="J487" s="98" t="s">
        <v>225</v>
      </c>
      <c r="K487" s="99">
        <v>0</v>
      </c>
      <c r="L487" s="98" t="s">
        <v>225</v>
      </c>
      <c r="M487" s="98" t="s">
        <v>225</v>
      </c>
      <c r="N487" s="99">
        <v>0</v>
      </c>
      <c r="O487" s="100">
        <v>0</v>
      </c>
      <c r="P487" s="100">
        <v>0</v>
      </c>
      <c r="Q487" s="100">
        <v>0</v>
      </c>
    </row>
    <row r="488" spans="1:17" x14ac:dyDescent="0.35">
      <c r="A488" s="98" t="s">
        <v>28</v>
      </c>
      <c r="B488" s="98" t="s">
        <v>167</v>
      </c>
      <c r="C488" s="98" t="s">
        <v>238</v>
      </c>
      <c r="D488" s="99">
        <v>17004032.499999996</v>
      </c>
      <c r="E488" s="99">
        <v>19934298.000000004</v>
      </c>
      <c r="F488" s="99">
        <v>22593590.500000022</v>
      </c>
      <c r="G488" s="99">
        <v>0</v>
      </c>
      <c r="H488" s="98" t="s">
        <v>225</v>
      </c>
      <c r="I488" s="99">
        <v>8306</v>
      </c>
      <c r="J488" s="98" t="s">
        <v>229</v>
      </c>
      <c r="K488" s="99">
        <v>8306</v>
      </c>
      <c r="L488" s="98" t="s">
        <v>229</v>
      </c>
      <c r="M488" s="98" t="s">
        <v>225</v>
      </c>
      <c r="N488" s="99">
        <v>8306</v>
      </c>
      <c r="O488" s="100">
        <v>0</v>
      </c>
      <c r="P488" s="100">
        <v>4.1666879867051243</v>
      </c>
      <c r="Q488" s="100">
        <v>3.6762638501392648</v>
      </c>
    </row>
    <row r="489" spans="1:17" x14ac:dyDescent="0.35">
      <c r="A489" s="98" t="s">
        <v>28</v>
      </c>
      <c r="B489" s="98" t="s">
        <v>167</v>
      </c>
      <c r="C489" s="98" t="s">
        <v>239</v>
      </c>
      <c r="D489" s="99">
        <v>17004032.499999996</v>
      </c>
      <c r="E489" s="99">
        <v>19934298.000000004</v>
      </c>
      <c r="F489" s="99">
        <v>22593590.500000022</v>
      </c>
      <c r="G489" s="99">
        <v>0</v>
      </c>
      <c r="H489" s="98" t="s">
        <v>225</v>
      </c>
      <c r="I489" s="99">
        <v>0</v>
      </c>
      <c r="J489" s="98" t="s">
        <v>225</v>
      </c>
      <c r="K489" s="99">
        <v>0</v>
      </c>
      <c r="L489" s="98" t="s">
        <v>225</v>
      </c>
      <c r="M489" s="98" t="s">
        <v>225</v>
      </c>
      <c r="N489" s="99">
        <v>0</v>
      </c>
      <c r="O489" s="100">
        <v>0</v>
      </c>
      <c r="P489" s="100">
        <v>0</v>
      </c>
      <c r="Q489" s="100">
        <v>0</v>
      </c>
    </row>
    <row r="490" spans="1:17" x14ac:dyDescent="0.35">
      <c r="A490" s="98" t="s">
        <v>28</v>
      </c>
      <c r="B490" s="98" t="s">
        <v>167</v>
      </c>
      <c r="C490" s="98" t="s">
        <v>240</v>
      </c>
      <c r="D490" s="99">
        <v>17004032.499999996</v>
      </c>
      <c r="E490" s="99">
        <v>19934298.000000004</v>
      </c>
      <c r="F490" s="99">
        <v>22593590.500000022</v>
      </c>
      <c r="G490" s="99">
        <v>0</v>
      </c>
      <c r="H490" s="98" t="s">
        <v>225</v>
      </c>
      <c r="I490" s="99">
        <v>0</v>
      </c>
      <c r="J490" s="98" t="s">
        <v>225</v>
      </c>
      <c r="K490" s="99">
        <v>0</v>
      </c>
      <c r="L490" s="98" t="s">
        <v>225</v>
      </c>
      <c r="M490" s="98" t="s">
        <v>225</v>
      </c>
      <c r="N490" s="99">
        <v>0</v>
      </c>
      <c r="O490" s="100">
        <v>0</v>
      </c>
      <c r="P490" s="100">
        <v>0</v>
      </c>
      <c r="Q490" s="100">
        <v>0</v>
      </c>
    </row>
    <row r="491" spans="1:17" x14ac:dyDescent="0.35">
      <c r="A491" s="98" t="s">
        <v>28</v>
      </c>
      <c r="B491" s="98" t="s">
        <v>167</v>
      </c>
      <c r="C491" s="98" t="s">
        <v>241</v>
      </c>
      <c r="D491" s="99">
        <v>17004032.499999996</v>
      </c>
      <c r="E491" s="99">
        <v>19934298.000000004</v>
      </c>
      <c r="F491" s="99">
        <v>22593590.500000022</v>
      </c>
      <c r="G491" s="99">
        <v>0</v>
      </c>
      <c r="H491" s="98" t="s">
        <v>225</v>
      </c>
      <c r="I491" s="99">
        <v>0</v>
      </c>
      <c r="J491" s="98" t="s">
        <v>225</v>
      </c>
      <c r="K491" s="99">
        <v>0</v>
      </c>
      <c r="L491" s="98" t="s">
        <v>225</v>
      </c>
      <c r="M491" s="98" t="s">
        <v>225</v>
      </c>
      <c r="N491" s="99">
        <v>0</v>
      </c>
      <c r="O491" s="100">
        <v>0</v>
      </c>
      <c r="P491" s="100">
        <v>0</v>
      </c>
      <c r="Q491" s="100">
        <v>0</v>
      </c>
    </row>
    <row r="492" spans="1:17" x14ac:dyDescent="0.35">
      <c r="A492" s="98" t="s">
        <v>28</v>
      </c>
      <c r="B492" s="98" t="s">
        <v>167</v>
      </c>
      <c r="C492" s="98" t="s">
        <v>242</v>
      </c>
      <c r="D492" s="99">
        <v>17004032.499999996</v>
      </c>
      <c r="E492" s="99">
        <v>19934298.000000004</v>
      </c>
      <c r="F492" s="99">
        <v>22593590.500000022</v>
      </c>
      <c r="G492" s="99">
        <v>0</v>
      </c>
      <c r="H492" s="98" t="s">
        <v>225</v>
      </c>
      <c r="I492" s="99">
        <v>0</v>
      </c>
      <c r="J492" s="98" t="s">
        <v>225</v>
      </c>
      <c r="K492" s="99">
        <v>0</v>
      </c>
      <c r="L492" s="98" t="s">
        <v>225</v>
      </c>
      <c r="M492" s="98" t="s">
        <v>225</v>
      </c>
      <c r="N492" s="99">
        <v>0</v>
      </c>
      <c r="O492" s="100">
        <v>0</v>
      </c>
      <c r="P492" s="100">
        <v>0</v>
      </c>
      <c r="Q492" s="100">
        <v>0</v>
      </c>
    </row>
    <row r="493" spans="1:17" x14ac:dyDescent="0.35">
      <c r="A493" s="98" t="s">
        <v>28</v>
      </c>
      <c r="B493" s="98" t="s">
        <v>167</v>
      </c>
      <c r="C493" s="98" t="s">
        <v>243</v>
      </c>
      <c r="D493" s="99">
        <v>17004032.499999996</v>
      </c>
      <c r="E493" s="99">
        <v>19934298.000000004</v>
      </c>
      <c r="F493" s="99">
        <v>22593590.500000022</v>
      </c>
      <c r="G493" s="99">
        <v>0</v>
      </c>
      <c r="H493" s="98" t="s">
        <v>225</v>
      </c>
      <c r="I493" s="99">
        <v>0</v>
      </c>
      <c r="J493" s="98" t="s">
        <v>225</v>
      </c>
      <c r="K493" s="99">
        <v>0</v>
      </c>
      <c r="L493" s="98" t="s">
        <v>225</v>
      </c>
      <c r="M493" s="98" t="s">
        <v>225</v>
      </c>
      <c r="N493" s="99">
        <v>0</v>
      </c>
      <c r="O493" s="100">
        <v>0</v>
      </c>
      <c r="P493" s="100">
        <v>0</v>
      </c>
      <c r="Q493" s="100">
        <v>0</v>
      </c>
    </row>
    <row r="494" spans="1:17" x14ac:dyDescent="0.35">
      <c r="A494" s="98" t="s">
        <v>28</v>
      </c>
      <c r="B494" s="98" t="s">
        <v>167</v>
      </c>
      <c r="C494" s="98" t="s">
        <v>244</v>
      </c>
      <c r="D494" s="99">
        <v>17004032.499999996</v>
      </c>
      <c r="E494" s="99">
        <v>19934298.000000004</v>
      </c>
      <c r="F494" s="99">
        <v>22593590.500000022</v>
      </c>
      <c r="G494" s="99">
        <v>0</v>
      </c>
      <c r="H494" s="98" t="s">
        <v>225</v>
      </c>
      <c r="I494" s="99">
        <v>0</v>
      </c>
      <c r="J494" s="98" t="s">
        <v>225</v>
      </c>
      <c r="K494" s="99">
        <v>0</v>
      </c>
      <c r="L494" s="98" t="s">
        <v>225</v>
      </c>
      <c r="M494" s="98" t="s">
        <v>225</v>
      </c>
      <c r="N494" s="99">
        <v>0</v>
      </c>
      <c r="O494" s="100">
        <v>0</v>
      </c>
      <c r="P494" s="100">
        <v>0</v>
      </c>
      <c r="Q494" s="100">
        <v>0</v>
      </c>
    </row>
    <row r="495" spans="1:17" x14ac:dyDescent="0.35">
      <c r="A495" s="98" t="s">
        <v>28</v>
      </c>
      <c r="B495" s="98" t="s">
        <v>167</v>
      </c>
      <c r="C495" s="98" t="s">
        <v>245</v>
      </c>
      <c r="D495" s="99">
        <v>17004032.499999996</v>
      </c>
      <c r="E495" s="99">
        <v>19934298.000000004</v>
      </c>
      <c r="F495" s="99">
        <v>22593590.500000022</v>
      </c>
      <c r="G495" s="99">
        <v>0</v>
      </c>
      <c r="H495" s="98" t="s">
        <v>225</v>
      </c>
      <c r="I495" s="99">
        <v>4</v>
      </c>
      <c r="J495" s="98" t="s">
        <v>229</v>
      </c>
      <c r="K495" s="99">
        <v>4</v>
      </c>
      <c r="L495" s="98" t="s">
        <v>229</v>
      </c>
      <c r="M495" s="98" t="s">
        <v>225</v>
      </c>
      <c r="N495" s="99">
        <v>4</v>
      </c>
      <c r="O495" s="100">
        <v>0</v>
      </c>
      <c r="P495" s="100">
        <v>2.0065918549025401E-3</v>
      </c>
      <c r="Q495" s="100">
        <v>1.770413604690231E-3</v>
      </c>
    </row>
    <row r="496" spans="1:17" x14ac:dyDescent="0.35">
      <c r="A496" s="98" t="s">
        <v>31</v>
      </c>
      <c r="B496" s="98" t="s">
        <v>170</v>
      </c>
      <c r="C496" s="98" t="s">
        <v>224</v>
      </c>
      <c r="D496" s="99">
        <v>25251730.999999993</v>
      </c>
      <c r="E496" s="99">
        <v>29423878.499999993</v>
      </c>
      <c r="F496" s="99">
        <v>32969518.500000007</v>
      </c>
      <c r="G496" s="99">
        <v>1204</v>
      </c>
      <c r="H496" s="98">
        <v>2013</v>
      </c>
      <c r="I496" s="99">
        <v>4787</v>
      </c>
      <c r="J496" s="98">
        <v>2018</v>
      </c>
      <c r="K496" s="99">
        <v>6992</v>
      </c>
      <c r="L496" s="98">
        <v>2022</v>
      </c>
      <c r="M496" s="98" t="s">
        <v>225</v>
      </c>
      <c r="N496" s="99">
        <v>6992</v>
      </c>
      <c r="O496" s="100">
        <v>0.47679899647275681</v>
      </c>
      <c r="P496" s="100">
        <v>1.6269099262355917</v>
      </c>
      <c r="Q496" s="100">
        <v>2.120746774024012</v>
      </c>
    </row>
    <row r="497" spans="1:17" x14ac:dyDescent="0.35">
      <c r="A497" s="98" t="s">
        <v>31</v>
      </c>
      <c r="B497" s="98" t="s">
        <v>170</v>
      </c>
      <c r="C497" s="98" t="s">
        <v>227</v>
      </c>
      <c r="D497" s="99">
        <v>25251730.999999993</v>
      </c>
      <c r="E497" s="99">
        <v>29423878.499999993</v>
      </c>
      <c r="F497" s="99">
        <v>32969518.500000007</v>
      </c>
      <c r="G497" s="99">
        <v>0</v>
      </c>
      <c r="H497" s="98" t="s">
        <v>225</v>
      </c>
      <c r="I497" s="99">
        <v>0</v>
      </c>
      <c r="J497" s="98" t="s">
        <v>225</v>
      </c>
      <c r="K497" s="99">
        <v>856</v>
      </c>
      <c r="L497" s="98">
        <v>2022</v>
      </c>
      <c r="M497" s="98" t="s">
        <v>225</v>
      </c>
      <c r="N497" s="99">
        <v>856</v>
      </c>
      <c r="O497" s="100">
        <v>0</v>
      </c>
      <c r="P497" s="100">
        <v>0</v>
      </c>
      <c r="Q497" s="100">
        <v>0.25963375837593738</v>
      </c>
    </row>
    <row r="498" spans="1:17" x14ac:dyDescent="0.35">
      <c r="A498" s="98" t="s">
        <v>31</v>
      </c>
      <c r="B498" s="98" t="s">
        <v>170</v>
      </c>
      <c r="C498" s="98" t="s">
        <v>228</v>
      </c>
      <c r="D498" s="99">
        <v>25251730.999999993</v>
      </c>
      <c r="E498" s="99">
        <v>29423878.499999993</v>
      </c>
      <c r="F498" s="99">
        <v>32969518.500000007</v>
      </c>
      <c r="G498" s="99">
        <v>85</v>
      </c>
      <c r="H498" s="98">
        <v>2012</v>
      </c>
      <c r="I498" s="99">
        <v>0</v>
      </c>
      <c r="J498" s="98" t="s">
        <v>225</v>
      </c>
      <c r="K498" s="99">
        <v>6</v>
      </c>
      <c r="L498" s="98">
        <v>2022</v>
      </c>
      <c r="M498" s="98" t="s">
        <v>225</v>
      </c>
      <c r="N498" s="99">
        <v>6</v>
      </c>
      <c r="O498" s="100">
        <v>3.3661058721083326E-2</v>
      </c>
      <c r="P498" s="100">
        <v>0</v>
      </c>
      <c r="Q498" s="100">
        <v>1.8198627923547014E-3</v>
      </c>
    </row>
    <row r="499" spans="1:17" x14ac:dyDescent="0.35">
      <c r="A499" s="98" t="s">
        <v>31</v>
      </c>
      <c r="B499" s="98" t="s">
        <v>170</v>
      </c>
      <c r="C499" s="98" t="s">
        <v>230</v>
      </c>
      <c r="D499" s="99">
        <v>25251730.999999993</v>
      </c>
      <c r="E499" s="99">
        <v>29423878.499999993</v>
      </c>
      <c r="F499" s="99">
        <v>32969518.500000007</v>
      </c>
      <c r="G499" s="99">
        <v>0</v>
      </c>
      <c r="H499" s="98" t="s">
        <v>225</v>
      </c>
      <c r="I499" s="99">
        <v>0</v>
      </c>
      <c r="J499" s="98" t="s">
        <v>225</v>
      </c>
      <c r="K499" s="99">
        <v>0</v>
      </c>
      <c r="L499" s="98" t="s">
        <v>225</v>
      </c>
      <c r="M499" s="98" t="s">
        <v>225</v>
      </c>
      <c r="N499" s="99">
        <v>0</v>
      </c>
      <c r="O499" s="100">
        <v>0</v>
      </c>
      <c r="P499" s="100">
        <v>0</v>
      </c>
      <c r="Q499" s="100">
        <v>0</v>
      </c>
    </row>
    <row r="500" spans="1:17" x14ac:dyDescent="0.35">
      <c r="A500" s="98" t="s">
        <v>31</v>
      </c>
      <c r="B500" s="98" t="s">
        <v>170</v>
      </c>
      <c r="C500" s="98" t="s">
        <v>231</v>
      </c>
      <c r="D500" s="99">
        <v>25251730.999999993</v>
      </c>
      <c r="E500" s="99">
        <v>29423878.499999993</v>
      </c>
      <c r="F500" s="99">
        <v>32969518.500000007</v>
      </c>
      <c r="G500" s="99">
        <v>0</v>
      </c>
      <c r="H500" s="98" t="s">
        <v>225</v>
      </c>
      <c r="I500" s="99">
        <v>2466</v>
      </c>
      <c r="J500" s="98">
        <v>2017</v>
      </c>
      <c r="K500" s="99">
        <v>3337</v>
      </c>
      <c r="L500" s="98">
        <v>2022</v>
      </c>
      <c r="M500" s="98" t="s">
        <v>225</v>
      </c>
      <c r="N500" s="99">
        <v>3337</v>
      </c>
      <c r="O500" s="100">
        <v>0</v>
      </c>
      <c r="P500" s="100">
        <v>0.83809481472675351</v>
      </c>
      <c r="Q500" s="100">
        <v>1.0121470230146064</v>
      </c>
    </row>
    <row r="501" spans="1:17" x14ac:dyDescent="0.35">
      <c r="A501" s="98" t="s">
        <v>31</v>
      </c>
      <c r="B501" s="98" t="s">
        <v>170</v>
      </c>
      <c r="C501" s="98" t="s">
        <v>232</v>
      </c>
      <c r="D501" s="99">
        <v>25251730.999999993</v>
      </c>
      <c r="E501" s="99">
        <v>29423878.499999993</v>
      </c>
      <c r="F501" s="99">
        <v>32969518.500000007</v>
      </c>
      <c r="G501" s="99">
        <v>44</v>
      </c>
      <c r="H501" s="98">
        <v>2013</v>
      </c>
      <c r="I501" s="99">
        <v>304</v>
      </c>
      <c r="J501" s="98">
        <v>2018</v>
      </c>
      <c r="K501" s="99">
        <v>72</v>
      </c>
      <c r="L501" s="98">
        <v>2022</v>
      </c>
      <c r="M501" s="98" t="s">
        <v>226</v>
      </c>
      <c r="N501" s="99">
        <v>82.749502391069896</v>
      </c>
      <c r="O501" s="100">
        <v>1.74245480438549E-2</v>
      </c>
      <c r="P501" s="100">
        <v>0.10331744674652599</v>
      </c>
      <c r="Q501" s="100">
        <v>2.5098790081229082E-2</v>
      </c>
    </row>
    <row r="502" spans="1:17" x14ac:dyDescent="0.35">
      <c r="A502" s="98" t="s">
        <v>31</v>
      </c>
      <c r="B502" s="98" t="s">
        <v>170</v>
      </c>
      <c r="C502" s="98" t="s">
        <v>233</v>
      </c>
      <c r="D502" s="99">
        <v>25251730.999999993</v>
      </c>
      <c r="E502" s="99">
        <v>29423878.499999993</v>
      </c>
      <c r="F502" s="99">
        <v>32969518.500000007</v>
      </c>
      <c r="G502" s="99">
        <v>1908</v>
      </c>
      <c r="H502" s="98">
        <v>2013</v>
      </c>
      <c r="I502" s="99">
        <v>5726</v>
      </c>
      <c r="J502" s="98" t="s">
        <v>229</v>
      </c>
      <c r="K502" s="99">
        <v>1908</v>
      </c>
      <c r="L502" s="98">
        <v>2022</v>
      </c>
      <c r="M502" s="98" t="s">
        <v>226</v>
      </c>
      <c r="N502" s="99">
        <v>2192.8618133633522</v>
      </c>
      <c r="O502" s="100">
        <v>0.75559176517443516</v>
      </c>
      <c r="P502" s="100">
        <v>1.9460384870743677</v>
      </c>
      <c r="Q502" s="100">
        <v>0.66511793715257062</v>
      </c>
    </row>
    <row r="503" spans="1:17" x14ac:dyDescent="0.35">
      <c r="A503" s="98" t="s">
        <v>31</v>
      </c>
      <c r="B503" s="98" t="s">
        <v>170</v>
      </c>
      <c r="C503" s="98" t="s">
        <v>234</v>
      </c>
      <c r="D503" s="99">
        <v>25251730.999999993</v>
      </c>
      <c r="E503" s="99">
        <v>29423878.499999993</v>
      </c>
      <c r="F503" s="99">
        <v>32969518.500000007</v>
      </c>
      <c r="G503" s="99">
        <v>0</v>
      </c>
      <c r="H503" s="98" t="s">
        <v>225</v>
      </c>
      <c r="I503" s="99">
        <v>0</v>
      </c>
      <c r="J503" s="98" t="s">
        <v>225</v>
      </c>
      <c r="K503" s="99">
        <v>0</v>
      </c>
      <c r="L503" s="98" t="s">
        <v>225</v>
      </c>
      <c r="M503" s="98" t="s">
        <v>225</v>
      </c>
      <c r="N503" s="99">
        <v>0</v>
      </c>
      <c r="O503" s="100">
        <v>0</v>
      </c>
      <c r="P503" s="100">
        <v>0</v>
      </c>
      <c r="Q503" s="100">
        <v>0</v>
      </c>
    </row>
    <row r="504" spans="1:17" x14ac:dyDescent="0.35">
      <c r="A504" s="98" t="s">
        <v>31</v>
      </c>
      <c r="B504" s="98" t="s">
        <v>170</v>
      </c>
      <c r="C504" s="98" t="s">
        <v>235</v>
      </c>
      <c r="D504" s="99">
        <v>25251730.999999993</v>
      </c>
      <c r="E504" s="99">
        <v>29423878.499999993</v>
      </c>
      <c r="F504" s="99">
        <v>32969518.500000007</v>
      </c>
      <c r="G504" s="99">
        <v>238</v>
      </c>
      <c r="H504" s="98">
        <v>2013</v>
      </c>
      <c r="I504" s="99">
        <v>206</v>
      </c>
      <c r="J504" s="98" t="s">
        <v>229</v>
      </c>
      <c r="K504" s="99">
        <v>276</v>
      </c>
      <c r="L504" s="98">
        <v>2022</v>
      </c>
      <c r="M504" s="98" t="s">
        <v>225</v>
      </c>
      <c r="N504" s="99">
        <v>276</v>
      </c>
      <c r="O504" s="100">
        <v>9.4250964419033315E-2</v>
      </c>
      <c r="P504" s="100">
        <v>7.0011164571659054E-2</v>
      </c>
      <c r="Q504" s="100">
        <v>8.3713688448316267E-2</v>
      </c>
    </row>
    <row r="505" spans="1:17" x14ac:dyDescent="0.35">
      <c r="A505" s="98" t="s">
        <v>31</v>
      </c>
      <c r="B505" s="98" t="s">
        <v>170</v>
      </c>
      <c r="C505" s="98" t="s">
        <v>236</v>
      </c>
      <c r="D505" s="99">
        <v>25251730.999999993</v>
      </c>
      <c r="E505" s="99">
        <v>29423878.499999993</v>
      </c>
      <c r="F505" s="99">
        <v>32969518.500000007</v>
      </c>
      <c r="G505" s="99">
        <v>0</v>
      </c>
      <c r="H505" s="98" t="s">
        <v>225</v>
      </c>
      <c r="I505" s="99">
        <v>59</v>
      </c>
      <c r="J505" s="98" t="s">
        <v>229</v>
      </c>
      <c r="K505" s="99">
        <v>172</v>
      </c>
      <c r="L505" s="98">
        <v>2022</v>
      </c>
      <c r="M505" s="98" t="s">
        <v>225</v>
      </c>
      <c r="N505" s="99">
        <v>172</v>
      </c>
      <c r="O505" s="100">
        <v>0</v>
      </c>
      <c r="P505" s="100">
        <v>2.0051741309358662E-2</v>
      </c>
      <c r="Q505" s="100">
        <v>5.2169400047501438E-2</v>
      </c>
    </row>
    <row r="506" spans="1:17" x14ac:dyDescent="0.35">
      <c r="A506" s="98" t="s">
        <v>31</v>
      </c>
      <c r="B506" s="98" t="s">
        <v>170</v>
      </c>
      <c r="C506" s="98" t="s">
        <v>237</v>
      </c>
      <c r="D506" s="99">
        <v>25251730.999999993</v>
      </c>
      <c r="E506" s="99">
        <v>29423878.499999993</v>
      </c>
      <c r="F506" s="99">
        <v>32969518.500000007</v>
      </c>
      <c r="G506" s="99">
        <v>115</v>
      </c>
      <c r="H506" s="98">
        <v>2013</v>
      </c>
      <c r="I506" s="99">
        <v>150</v>
      </c>
      <c r="J506" s="98">
        <v>2018</v>
      </c>
      <c r="K506" s="99">
        <v>154</v>
      </c>
      <c r="L506" s="98">
        <v>2022</v>
      </c>
      <c r="M506" s="98" t="s">
        <v>225</v>
      </c>
      <c r="N506" s="99">
        <v>154</v>
      </c>
      <c r="O506" s="100">
        <v>4.5541432387348035E-2</v>
      </c>
      <c r="P506" s="100">
        <v>5.0979003328877955E-2</v>
      </c>
      <c r="Q506" s="100">
        <v>4.6709811670437335E-2</v>
      </c>
    </row>
    <row r="507" spans="1:17" x14ac:dyDescent="0.35">
      <c r="A507" s="98" t="s">
        <v>31</v>
      </c>
      <c r="B507" s="98" t="s">
        <v>170</v>
      </c>
      <c r="C507" s="98" t="s">
        <v>238</v>
      </c>
      <c r="D507" s="99">
        <v>25251730.999999993</v>
      </c>
      <c r="E507" s="99">
        <v>29423878.499999993</v>
      </c>
      <c r="F507" s="99">
        <v>32969518.500000007</v>
      </c>
      <c r="G507" s="99">
        <v>0</v>
      </c>
      <c r="H507" s="98" t="s">
        <v>225</v>
      </c>
      <c r="I507" s="99">
        <v>26735</v>
      </c>
      <c r="J507" s="98" t="s">
        <v>229</v>
      </c>
      <c r="K507" s="99">
        <v>696</v>
      </c>
      <c r="L507" s="98">
        <v>2022</v>
      </c>
      <c r="M507" s="98" t="s">
        <v>226</v>
      </c>
      <c r="N507" s="99">
        <v>799.91185644700897</v>
      </c>
      <c r="O507" s="100">
        <v>0</v>
      </c>
      <c r="P507" s="100">
        <v>9.0861576933170127</v>
      </c>
      <c r="Q507" s="100">
        <v>0.24262163745188114</v>
      </c>
    </row>
    <row r="508" spans="1:17" x14ac:dyDescent="0.35">
      <c r="A508" s="98" t="s">
        <v>31</v>
      </c>
      <c r="B508" s="98" t="s">
        <v>170</v>
      </c>
      <c r="C508" s="98" t="s">
        <v>239</v>
      </c>
      <c r="D508" s="99">
        <v>25251730.999999993</v>
      </c>
      <c r="E508" s="99">
        <v>29423878.499999993</v>
      </c>
      <c r="F508" s="99">
        <v>32969518.500000007</v>
      </c>
      <c r="G508" s="99">
        <v>0</v>
      </c>
      <c r="H508" s="98" t="s">
        <v>225</v>
      </c>
      <c r="I508" s="99">
        <v>26735</v>
      </c>
      <c r="J508" s="98">
        <v>2017</v>
      </c>
      <c r="K508" s="99">
        <v>12261</v>
      </c>
      <c r="L508" s="98">
        <v>2022</v>
      </c>
      <c r="M508" s="98" t="s">
        <v>226</v>
      </c>
      <c r="N508" s="99">
        <v>14091.550678012611</v>
      </c>
      <c r="O508" s="100">
        <v>0</v>
      </c>
      <c r="P508" s="100">
        <v>9.0861576933170127</v>
      </c>
      <c r="Q508" s="100">
        <v>4.2741147942493019</v>
      </c>
    </row>
    <row r="509" spans="1:17" x14ac:dyDescent="0.35">
      <c r="A509" s="98" t="s">
        <v>31</v>
      </c>
      <c r="B509" s="98" t="s">
        <v>170</v>
      </c>
      <c r="C509" s="98" t="s">
        <v>240</v>
      </c>
      <c r="D509" s="99">
        <v>25251730.999999993</v>
      </c>
      <c r="E509" s="99">
        <v>29423878.499999993</v>
      </c>
      <c r="F509" s="99">
        <v>32969518.500000007</v>
      </c>
      <c r="G509" s="99">
        <v>1465</v>
      </c>
      <c r="H509" s="98">
        <v>2013</v>
      </c>
      <c r="I509" s="99">
        <v>1951</v>
      </c>
      <c r="J509" s="98" t="s">
        <v>229</v>
      </c>
      <c r="K509" s="99">
        <v>2040</v>
      </c>
      <c r="L509" s="98">
        <v>2022</v>
      </c>
      <c r="M509" s="98" t="s">
        <v>225</v>
      </c>
      <c r="N509" s="99">
        <v>2040</v>
      </c>
      <c r="O509" s="100">
        <v>0.58015824736925969</v>
      </c>
      <c r="P509" s="100">
        <v>0.66306690329760587</v>
      </c>
      <c r="Q509" s="100">
        <v>0.61875334940059845</v>
      </c>
    </row>
    <row r="510" spans="1:17" x14ac:dyDescent="0.35">
      <c r="A510" s="98" t="s">
        <v>31</v>
      </c>
      <c r="B510" s="98" t="s">
        <v>170</v>
      </c>
      <c r="C510" s="98" t="s">
        <v>241</v>
      </c>
      <c r="D510" s="99">
        <v>25251730.999999993</v>
      </c>
      <c r="E510" s="99">
        <v>29423878.499999993</v>
      </c>
      <c r="F510" s="99">
        <v>32969518.500000007</v>
      </c>
      <c r="G510" s="99">
        <v>0</v>
      </c>
      <c r="H510" s="98" t="s">
        <v>225</v>
      </c>
      <c r="I510" s="99">
        <v>6281</v>
      </c>
      <c r="J510" s="98">
        <v>2017</v>
      </c>
      <c r="K510" s="99">
        <v>6873</v>
      </c>
      <c r="L510" s="98">
        <v>2022</v>
      </c>
      <c r="M510" s="98" t="s">
        <v>225</v>
      </c>
      <c r="N510" s="99">
        <v>6873</v>
      </c>
      <c r="O510" s="100">
        <v>0</v>
      </c>
      <c r="P510" s="100">
        <v>2.1346607993912161</v>
      </c>
      <c r="Q510" s="100">
        <v>2.0846528286423105</v>
      </c>
    </row>
    <row r="511" spans="1:17" x14ac:dyDescent="0.35">
      <c r="A511" s="98" t="s">
        <v>31</v>
      </c>
      <c r="B511" s="98" t="s">
        <v>170</v>
      </c>
      <c r="C511" s="98" t="s">
        <v>242</v>
      </c>
      <c r="D511" s="99">
        <v>25251730.999999993</v>
      </c>
      <c r="E511" s="99">
        <v>29423878.499999993</v>
      </c>
      <c r="F511" s="99">
        <v>32969518.500000007</v>
      </c>
      <c r="G511" s="99">
        <v>287</v>
      </c>
      <c r="H511" s="98">
        <v>2013</v>
      </c>
      <c r="I511" s="99">
        <v>377</v>
      </c>
      <c r="J511" s="98">
        <v>2017</v>
      </c>
      <c r="K511" s="99">
        <v>553</v>
      </c>
      <c r="L511" s="98">
        <v>2022</v>
      </c>
      <c r="M511" s="98" t="s">
        <v>225</v>
      </c>
      <c r="N511" s="99">
        <v>553</v>
      </c>
      <c r="O511" s="100">
        <v>0.11365557474059901</v>
      </c>
      <c r="P511" s="100">
        <v>0.12812722836657991</v>
      </c>
      <c r="Q511" s="100">
        <v>0.16773068736202498</v>
      </c>
    </row>
    <row r="512" spans="1:17" x14ac:dyDescent="0.35">
      <c r="A512" s="98" t="s">
        <v>31</v>
      </c>
      <c r="B512" s="98" t="s">
        <v>170</v>
      </c>
      <c r="C512" s="98" t="s">
        <v>243</v>
      </c>
      <c r="D512" s="99">
        <v>25251730.999999993</v>
      </c>
      <c r="E512" s="99">
        <v>29423878.499999993</v>
      </c>
      <c r="F512" s="99">
        <v>32969518.500000007</v>
      </c>
      <c r="G512" s="99">
        <v>0</v>
      </c>
      <c r="H512" s="98" t="s">
        <v>225</v>
      </c>
      <c r="I512" s="99">
        <v>338</v>
      </c>
      <c r="J512" s="98">
        <v>2018</v>
      </c>
      <c r="K512" s="99">
        <v>342</v>
      </c>
      <c r="L512" s="98">
        <v>2022</v>
      </c>
      <c r="M512" s="98" t="s">
        <v>225</v>
      </c>
      <c r="N512" s="99">
        <v>342</v>
      </c>
      <c r="O512" s="100">
        <v>0</v>
      </c>
      <c r="P512" s="100">
        <v>0.11487268750107164</v>
      </c>
      <c r="Q512" s="100">
        <v>0.10373217916421798</v>
      </c>
    </row>
    <row r="513" spans="1:17" x14ac:dyDescent="0.35">
      <c r="A513" s="98" t="s">
        <v>31</v>
      </c>
      <c r="B513" s="98" t="s">
        <v>170</v>
      </c>
      <c r="C513" s="98" t="s">
        <v>244</v>
      </c>
      <c r="D513" s="99">
        <v>25251730.999999993</v>
      </c>
      <c r="E513" s="99">
        <v>29423878.499999993</v>
      </c>
      <c r="F513" s="99">
        <v>32969518.500000007</v>
      </c>
      <c r="G513" s="99">
        <v>0</v>
      </c>
      <c r="H513" s="98" t="s">
        <v>225</v>
      </c>
      <c r="I513" s="99">
        <v>3</v>
      </c>
      <c r="J513" s="98">
        <v>2018</v>
      </c>
      <c r="K513" s="99">
        <v>2</v>
      </c>
      <c r="L513" s="98">
        <v>2018</v>
      </c>
      <c r="M513" s="98" t="s">
        <v>226</v>
      </c>
      <c r="N513" s="99">
        <v>2.2985972886408303</v>
      </c>
      <c r="O513" s="100">
        <v>0</v>
      </c>
      <c r="P513" s="100">
        <v>1.019580066577559E-3</v>
      </c>
      <c r="Q513" s="100">
        <v>6.9718861336747449E-4</v>
      </c>
    </row>
    <row r="514" spans="1:17" x14ac:dyDescent="0.35">
      <c r="A514" s="98" t="s">
        <v>31</v>
      </c>
      <c r="B514" s="98" t="s">
        <v>170</v>
      </c>
      <c r="C514" s="98" t="s">
        <v>245</v>
      </c>
      <c r="D514" s="99">
        <v>25251730.999999993</v>
      </c>
      <c r="E514" s="99">
        <v>29423878.499999993</v>
      </c>
      <c r="F514" s="99">
        <v>32969518.500000007</v>
      </c>
      <c r="G514" s="99">
        <v>0</v>
      </c>
      <c r="H514" s="98" t="s">
        <v>225</v>
      </c>
      <c r="I514" s="99">
        <v>0</v>
      </c>
      <c r="J514" s="98" t="s">
        <v>225</v>
      </c>
      <c r="K514" s="99">
        <v>99942</v>
      </c>
      <c r="L514" s="98">
        <v>2022</v>
      </c>
      <c r="M514" s="98" t="s">
        <v>225</v>
      </c>
      <c r="N514" s="99">
        <v>99942</v>
      </c>
      <c r="O514" s="100">
        <v>0</v>
      </c>
      <c r="P514" s="100">
        <v>0</v>
      </c>
      <c r="Q514" s="100">
        <v>30.313454532252262</v>
      </c>
    </row>
    <row r="515" spans="1:17" x14ac:dyDescent="0.35">
      <c r="A515" s="98" t="s">
        <v>29</v>
      </c>
      <c r="B515" s="98" t="s">
        <v>168</v>
      </c>
      <c r="C515" s="98" t="s">
        <v>224</v>
      </c>
      <c r="D515" s="99">
        <v>3742958.9999999981</v>
      </c>
      <c r="E515" s="99">
        <v>4270711.4999999972</v>
      </c>
      <c r="F515" s="99">
        <v>4736138.9999999991</v>
      </c>
      <c r="G515" s="99">
        <v>0</v>
      </c>
      <c r="H515" s="98" t="s">
        <v>225</v>
      </c>
      <c r="I515" s="99">
        <v>500</v>
      </c>
      <c r="J515" s="98" t="s">
        <v>229</v>
      </c>
      <c r="K515" s="99">
        <v>500</v>
      </c>
      <c r="L515" s="98" t="s">
        <v>229</v>
      </c>
      <c r="M515" s="98" t="s">
        <v>225</v>
      </c>
      <c r="N515" s="99">
        <v>500</v>
      </c>
      <c r="O515" s="100">
        <v>0</v>
      </c>
      <c r="P515" s="100">
        <v>1.1707651055333528</v>
      </c>
      <c r="Q515" s="100">
        <v>1.0557122584451177</v>
      </c>
    </row>
    <row r="516" spans="1:17" x14ac:dyDescent="0.35">
      <c r="A516" s="98" t="s">
        <v>29</v>
      </c>
      <c r="B516" s="98" t="s">
        <v>168</v>
      </c>
      <c r="C516" s="98" t="s">
        <v>227</v>
      </c>
      <c r="D516" s="99">
        <v>3742958.9999999981</v>
      </c>
      <c r="E516" s="99">
        <v>4270711.4999999972</v>
      </c>
      <c r="F516" s="99">
        <v>4736138.9999999991</v>
      </c>
      <c r="G516" s="99">
        <v>35</v>
      </c>
      <c r="H516" s="98">
        <v>2013</v>
      </c>
      <c r="I516" s="99">
        <v>4038</v>
      </c>
      <c r="J516" s="98">
        <v>2018</v>
      </c>
      <c r="K516" s="99">
        <v>4038</v>
      </c>
      <c r="L516" s="98">
        <v>2018</v>
      </c>
      <c r="M516" s="98" t="s">
        <v>225</v>
      </c>
      <c r="N516" s="99">
        <v>4038</v>
      </c>
      <c r="O516" s="100">
        <v>9.3508905654590441E-2</v>
      </c>
      <c r="P516" s="100">
        <v>9.4550989922873576</v>
      </c>
      <c r="Q516" s="100">
        <v>8.5259321992027708</v>
      </c>
    </row>
    <row r="517" spans="1:17" x14ac:dyDescent="0.35">
      <c r="A517" s="98" t="s">
        <v>29</v>
      </c>
      <c r="B517" s="98" t="s">
        <v>168</v>
      </c>
      <c r="C517" s="98" t="s">
        <v>228</v>
      </c>
      <c r="D517" s="99">
        <v>3742958.9999999981</v>
      </c>
      <c r="E517" s="99">
        <v>4270711.4999999972</v>
      </c>
      <c r="F517" s="99">
        <v>4736138.9999999991</v>
      </c>
      <c r="G517" s="99">
        <v>209</v>
      </c>
      <c r="H517" s="98">
        <v>2013</v>
      </c>
      <c r="I517" s="99">
        <v>4745</v>
      </c>
      <c r="J517" s="98">
        <v>2018</v>
      </c>
      <c r="K517" s="99">
        <v>4745</v>
      </c>
      <c r="L517" s="98">
        <v>2018</v>
      </c>
      <c r="M517" s="98" t="s">
        <v>225</v>
      </c>
      <c r="N517" s="99">
        <v>4745</v>
      </c>
      <c r="O517" s="100">
        <v>0.55838175090884001</v>
      </c>
      <c r="P517" s="100">
        <v>11.110560851511517</v>
      </c>
      <c r="Q517" s="100">
        <v>10.018709332644166</v>
      </c>
    </row>
    <row r="518" spans="1:17" x14ac:dyDescent="0.35">
      <c r="A518" s="98" t="s">
        <v>29</v>
      </c>
      <c r="B518" s="98" t="s">
        <v>168</v>
      </c>
      <c r="C518" s="98" t="s">
        <v>230</v>
      </c>
      <c r="D518" s="99">
        <v>3742958.9999999981</v>
      </c>
      <c r="E518" s="99">
        <v>4270711.4999999972</v>
      </c>
      <c r="F518" s="99">
        <v>4736138.9999999991</v>
      </c>
      <c r="G518" s="99">
        <v>0</v>
      </c>
      <c r="H518" s="98" t="s">
        <v>225</v>
      </c>
      <c r="I518" s="99">
        <v>38</v>
      </c>
      <c r="J518" s="98" t="s">
        <v>229</v>
      </c>
      <c r="K518" s="99">
        <v>38</v>
      </c>
      <c r="L518" s="98" t="s">
        <v>229</v>
      </c>
      <c r="M518" s="98" t="s">
        <v>225</v>
      </c>
      <c r="N518" s="99">
        <v>38</v>
      </c>
      <c r="O518" s="100">
        <v>0</v>
      </c>
      <c r="P518" s="100">
        <v>8.8978148020534803E-2</v>
      </c>
      <c r="Q518" s="100">
        <v>8.0234131641828937E-2</v>
      </c>
    </row>
    <row r="519" spans="1:17" x14ac:dyDescent="0.35">
      <c r="A519" s="98" t="s">
        <v>29</v>
      </c>
      <c r="B519" s="98" t="s">
        <v>168</v>
      </c>
      <c r="C519" s="98" t="s">
        <v>231</v>
      </c>
      <c r="D519" s="99">
        <v>3742958.9999999981</v>
      </c>
      <c r="E519" s="99">
        <v>4270711.4999999972</v>
      </c>
      <c r="F519" s="99">
        <v>4736138.9999999991</v>
      </c>
      <c r="G519" s="99">
        <v>0</v>
      </c>
      <c r="H519" s="98" t="s">
        <v>225</v>
      </c>
      <c r="I519" s="99">
        <v>20</v>
      </c>
      <c r="J519" s="98" t="s">
        <v>229</v>
      </c>
      <c r="K519" s="99">
        <v>20</v>
      </c>
      <c r="L519" s="98" t="s">
        <v>229</v>
      </c>
      <c r="M519" s="98" t="s">
        <v>225</v>
      </c>
      <c r="N519" s="99">
        <v>20</v>
      </c>
      <c r="O519" s="100">
        <v>0</v>
      </c>
      <c r="P519" s="100">
        <v>4.6830604221334109E-2</v>
      </c>
      <c r="Q519" s="100">
        <v>4.2228490337804708E-2</v>
      </c>
    </row>
    <row r="520" spans="1:17" x14ac:dyDescent="0.35">
      <c r="A520" s="98" t="s">
        <v>29</v>
      </c>
      <c r="B520" s="98" t="s">
        <v>168</v>
      </c>
      <c r="C520" s="98" t="s">
        <v>232</v>
      </c>
      <c r="D520" s="99">
        <v>3742958.9999999981</v>
      </c>
      <c r="E520" s="99">
        <v>4270711.4999999972</v>
      </c>
      <c r="F520" s="99">
        <v>4736138.9999999991</v>
      </c>
      <c r="G520" s="99">
        <v>0</v>
      </c>
      <c r="H520" s="98" t="s">
        <v>225</v>
      </c>
      <c r="I520" s="99">
        <v>9</v>
      </c>
      <c r="J520" s="98" t="s">
        <v>229</v>
      </c>
      <c r="K520" s="99">
        <v>9</v>
      </c>
      <c r="L520" s="98" t="s">
        <v>229</v>
      </c>
      <c r="M520" s="98" t="s">
        <v>225</v>
      </c>
      <c r="N520" s="99">
        <v>9</v>
      </c>
      <c r="O520" s="100">
        <v>0</v>
      </c>
      <c r="P520" s="100">
        <v>2.1073771899600351E-2</v>
      </c>
      <c r="Q520" s="100">
        <v>1.9002820652012118E-2</v>
      </c>
    </row>
    <row r="521" spans="1:17" x14ac:dyDescent="0.35">
      <c r="A521" s="98" t="s">
        <v>29</v>
      </c>
      <c r="B521" s="98" t="s">
        <v>168</v>
      </c>
      <c r="C521" s="98" t="s">
        <v>233</v>
      </c>
      <c r="D521" s="99">
        <v>3742958.9999999981</v>
      </c>
      <c r="E521" s="99">
        <v>4270711.4999999972</v>
      </c>
      <c r="F521" s="99">
        <v>4736138.9999999991</v>
      </c>
      <c r="G521" s="99">
        <v>0</v>
      </c>
      <c r="H521" s="98" t="s">
        <v>225</v>
      </c>
      <c r="I521" s="99">
        <v>326</v>
      </c>
      <c r="J521" s="98" t="s">
        <v>229</v>
      </c>
      <c r="K521" s="99">
        <v>326</v>
      </c>
      <c r="L521" s="98" t="s">
        <v>229</v>
      </c>
      <c r="M521" s="98" t="s">
        <v>225</v>
      </c>
      <c r="N521" s="99">
        <v>326</v>
      </c>
      <c r="O521" s="100">
        <v>0</v>
      </c>
      <c r="P521" s="100">
        <v>0.76333884880774605</v>
      </c>
      <c r="Q521" s="100">
        <v>0.68832439250621669</v>
      </c>
    </row>
    <row r="522" spans="1:17" x14ac:dyDescent="0.35">
      <c r="A522" s="98" t="s">
        <v>29</v>
      </c>
      <c r="B522" s="98" t="s">
        <v>168</v>
      </c>
      <c r="C522" s="98" t="s">
        <v>234</v>
      </c>
      <c r="D522" s="99">
        <v>3742958.9999999981</v>
      </c>
      <c r="E522" s="99">
        <v>4270711.4999999972</v>
      </c>
      <c r="F522" s="99">
        <v>4736138.9999999991</v>
      </c>
      <c r="G522" s="99">
        <v>0</v>
      </c>
      <c r="H522" s="98" t="s">
        <v>225</v>
      </c>
      <c r="I522" s="99">
        <v>0</v>
      </c>
      <c r="J522" s="98" t="s">
        <v>225</v>
      </c>
      <c r="K522" s="99">
        <v>0</v>
      </c>
      <c r="L522" s="98" t="s">
        <v>225</v>
      </c>
      <c r="M522" s="98" t="s">
        <v>225</v>
      </c>
      <c r="N522" s="99">
        <v>0</v>
      </c>
      <c r="O522" s="100">
        <v>0</v>
      </c>
      <c r="P522" s="100">
        <v>0</v>
      </c>
      <c r="Q522" s="100">
        <v>0</v>
      </c>
    </row>
    <row r="523" spans="1:17" x14ac:dyDescent="0.35">
      <c r="A523" s="98" t="s">
        <v>29</v>
      </c>
      <c r="B523" s="98" t="s">
        <v>168</v>
      </c>
      <c r="C523" s="98" t="s">
        <v>235</v>
      </c>
      <c r="D523" s="99">
        <v>3742958.9999999981</v>
      </c>
      <c r="E523" s="99">
        <v>4270711.4999999972</v>
      </c>
      <c r="F523" s="99">
        <v>4736138.9999999991</v>
      </c>
      <c r="G523" s="99">
        <v>0</v>
      </c>
      <c r="H523" s="98" t="s">
        <v>225</v>
      </c>
      <c r="I523" s="99">
        <v>0</v>
      </c>
      <c r="J523" s="98" t="s">
        <v>225</v>
      </c>
      <c r="K523" s="99">
        <v>0</v>
      </c>
      <c r="L523" s="98" t="s">
        <v>225</v>
      </c>
      <c r="M523" s="98" t="s">
        <v>225</v>
      </c>
      <c r="N523" s="99">
        <v>0</v>
      </c>
      <c r="O523" s="100">
        <v>0</v>
      </c>
      <c r="P523" s="100">
        <v>0</v>
      </c>
      <c r="Q523" s="100">
        <v>0</v>
      </c>
    </row>
    <row r="524" spans="1:17" x14ac:dyDescent="0.35">
      <c r="A524" s="98" t="s">
        <v>29</v>
      </c>
      <c r="B524" s="98" t="s">
        <v>168</v>
      </c>
      <c r="C524" s="98" t="s">
        <v>236</v>
      </c>
      <c r="D524" s="99">
        <v>3742958.9999999981</v>
      </c>
      <c r="E524" s="99">
        <v>4270711.4999999972</v>
      </c>
      <c r="F524" s="99">
        <v>4736138.9999999991</v>
      </c>
      <c r="G524" s="99">
        <v>0</v>
      </c>
      <c r="H524" s="98" t="s">
        <v>225</v>
      </c>
      <c r="I524" s="99">
        <v>15</v>
      </c>
      <c r="J524" s="98" t="s">
        <v>229</v>
      </c>
      <c r="K524" s="99">
        <v>15</v>
      </c>
      <c r="L524" s="98" t="s">
        <v>229</v>
      </c>
      <c r="M524" s="98" t="s">
        <v>225</v>
      </c>
      <c r="N524" s="99">
        <v>15</v>
      </c>
      <c r="O524" s="100">
        <v>0</v>
      </c>
      <c r="P524" s="100">
        <v>3.512295316600058E-2</v>
      </c>
      <c r="Q524" s="100">
        <v>3.1671367753353531E-2</v>
      </c>
    </row>
    <row r="525" spans="1:17" x14ac:dyDescent="0.35">
      <c r="A525" s="98" t="s">
        <v>29</v>
      </c>
      <c r="B525" s="98" t="s">
        <v>168</v>
      </c>
      <c r="C525" s="98" t="s">
        <v>237</v>
      </c>
      <c r="D525" s="99">
        <v>3742958.9999999981</v>
      </c>
      <c r="E525" s="99">
        <v>4270711.4999999972</v>
      </c>
      <c r="F525" s="99">
        <v>4736138.9999999991</v>
      </c>
      <c r="G525" s="99">
        <v>0</v>
      </c>
      <c r="H525" s="98" t="s">
        <v>225</v>
      </c>
      <c r="I525" s="99">
        <v>0</v>
      </c>
      <c r="J525" s="98" t="s">
        <v>225</v>
      </c>
      <c r="K525" s="99">
        <v>0</v>
      </c>
      <c r="L525" s="98" t="s">
        <v>225</v>
      </c>
      <c r="M525" s="98" t="s">
        <v>225</v>
      </c>
      <c r="N525" s="99">
        <v>0</v>
      </c>
      <c r="O525" s="100">
        <v>0</v>
      </c>
      <c r="P525" s="100">
        <v>0</v>
      </c>
      <c r="Q525" s="100">
        <v>0</v>
      </c>
    </row>
    <row r="526" spans="1:17" x14ac:dyDescent="0.35">
      <c r="A526" s="98" t="s">
        <v>29</v>
      </c>
      <c r="B526" s="98" t="s">
        <v>168</v>
      </c>
      <c r="C526" s="98" t="s">
        <v>238</v>
      </c>
      <c r="D526" s="99">
        <v>3742958.9999999981</v>
      </c>
      <c r="E526" s="99">
        <v>4270711.4999999972</v>
      </c>
      <c r="F526" s="99">
        <v>4736138.9999999991</v>
      </c>
      <c r="G526" s="99">
        <v>0</v>
      </c>
      <c r="H526" s="98" t="s">
        <v>225</v>
      </c>
      <c r="I526" s="99">
        <v>1532</v>
      </c>
      <c r="J526" s="98" t="s">
        <v>229</v>
      </c>
      <c r="K526" s="99">
        <v>1532</v>
      </c>
      <c r="L526" s="98" t="s">
        <v>229</v>
      </c>
      <c r="M526" s="98" t="s">
        <v>225</v>
      </c>
      <c r="N526" s="99">
        <v>1532</v>
      </c>
      <c r="O526" s="100">
        <v>0</v>
      </c>
      <c r="P526" s="100">
        <v>3.587224283354193</v>
      </c>
      <c r="Q526" s="100">
        <v>3.2347023598758406</v>
      </c>
    </row>
    <row r="527" spans="1:17" x14ac:dyDescent="0.35">
      <c r="A527" s="98" t="s">
        <v>29</v>
      </c>
      <c r="B527" s="98" t="s">
        <v>168</v>
      </c>
      <c r="C527" s="98" t="s">
        <v>239</v>
      </c>
      <c r="D527" s="99">
        <v>3742958.9999999981</v>
      </c>
      <c r="E527" s="99">
        <v>4270711.4999999972</v>
      </c>
      <c r="F527" s="99">
        <v>4736138.9999999991</v>
      </c>
      <c r="G527" s="99">
        <v>0</v>
      </c>
      <c r="H527" s="98" t="s">
        <v>225</v>
      </c>
      <c r="I527" s="99">
        <v>4</v>
      </c>
      <c r="J527" s="98" t="s">
        <v>229</v>
      </c>
      <c r="K527" s="99">
        <v>4</v>
      </c>
      <c r="L527" s="98" t="s">
        <v>229</v>
      </c>
      <c r="M527" s="98" t="s">
        <v>225</v>
      </c>
      <c r="N527" s="99">
        <v>4</v>
      </c>
      <c r="O527" s="100">
        <v>0</v>
      </c>
      <c r="P527" s="100">
        <v>9.3661208442668217E-3</v>
      </c>
      <c r="Q527" s="100">
        <v>8.445698067560941E-3</v>
      </c>
    </row>
    <row r="528" spans="1:17" x14ac:dyDescent="0.35">
      <c r="A528" s="98" t="s">
        <v>29</v>
      </c>
      <c r="B528" s="98" t="s">
        <v>168</v>
      </c>
      <c r="C528" s="98" t="s">
        <v>240</v>
      </c>
      <c r="D528" s="99">
        <v>3742958.9999999981</v>
      </c>
      <c r="E528" s="99">
        <v>4270711.4999999972</v>
      </c>
      <c r="F528" s="99">
        <v>4736138.9999999991</v>
      </c>
      <c r="G528" s="99">
        <v>0</v>
      </c>
      <c r="H528" s="98" t="s">
        <v>225</v>
      </c>
      <c r="I528" s="99">
        <v>122</v>
      </c>
      <c r="J528" s="98" t="s">
        <v>229</v>
      </c>
      <c r="K528" s="99">
        <v>122</v>
      </c>
      <c r="L528" s="98" t="s">
        <v>229</v>
      </c>
      <c r="M528" s="98" t="s">
        <v>225</v>
      </c>
      <c r="N528" s="99">
        <v>122</v>
      </c>
      <c r="O528" s="100">
        <v>0</v>
      </c>
      <c r="P528" s="100">
        <v>0.28566668575013809</v>
      </c>
      <c r="Q528" s="100">
        <v>0.2575937910606087</v>
      </c>
    </row>
    <row r="529" spans="1:17" x14ac:dyDescent="0.35">
      <c r="A529" s="98" t="s">
        <v>29</v>
      </c>
      <c r="B529" s="98" t="s">
        <v>168</v>
      </c>
      <c r="C529" s="98" t="s">
        <v>241</v>
      </c>
      <c r="D529" s="99">
        <v>3742958.9999999981</v>
      </c>
      <c r="E529" s="99">
        <v>4270711.4999999972</v>
      </c>
      <c r="F529" s="99">
        <v>4736138.9999999991</v>
      </c>
      <c r="G529" s="99">
        <v>0</v>
      </c>
      <c r="H529" s="98" t="s">
        <v>225</v>
      </c>
      <c r="I529" s="99">
        <v>65</v>
      </c>
      <c r="J529" s="98" t="s">
        <v>229</v>
      </c>
      <c r="K529" s="99">
        <v>65</v>
      </c>
      <c r="L529" s="98" t="s">
        <v>229</v>
      </c>
      <c r="M529" s="98" t="s">
        <v>225</v>
      </c>
      <c r="N529" s="99">
        <v>65</v>
      </c>
      <c r="O529" s="100">
        <v>0</v>
      </c>
      <c r="P529" s="100">
        <v>0.15219946371933585</v>
      </c>
      <c r="Q529" s="100">
        <v>0.13724259359786528</v>
      </c>
    </row>
    <row r="530" spans="1:17" x14ac:dyDescent="0.35">
      <c r="A530" s="98" t="s">
        <v>29</v>
      </c>
      <c r="B530" s="98" t="s">
        <v>168</v>
      </c>
      <c r="C530" s="98" t="s">
        <v>242</v>
      </c>
      <c r="D530" s="99">
        <v>3742958.9999999981</v>
      </c>
      <c r="E530" s="99">
        <v>4270711.4999999972</v>
      </c>
      <c r="F530" s="99">
        <v>4736138.9999999991</v>
      </c>
      <c r="G530" s="99">
        <v>0</v>
      </c>
      <c r="H530" s="98" t="s">
        <v>225</v>
      </c>
      <c r="I530" s="99">
        <v>7</v>
      </c>
      <c r="J530" s="98" t="s">
        <v>229</v>
      </c>
      <c r="K530" s="99">
        <v>7</v>
      </c>
      <c r="L530" s="98" t="s">
        <v>229</v>
      </c>
      <c r="M530" s="98" t="s">
        <v>225</v>
      </c>
      <c r="N530" s="99">
        <v>7</v>
      </c>
      <c r="O530" s="100">
        <v>0</v>
      </c>
      <c r="P530" s="100">
        <v>1.639071147746694E-2</v>
      </c>
      <c r="Q530" s="100">
        <v>1.4779971618231648E-2</v>
      </c>
    </row>
    <row r="531" spans="1:17" x14ac:dyDescent="0.35">
      <c r="A531" s="98" t="s">
        <v>29</v>
      </c>
      <c r="B531" s="98" t="s">
        <v>168</v>
      </c>
      <c r="C531" s="98" t="s">
        <v>243</v>
      </c>
      <c r="D531" s="99">
        <v>3742958.9999999981</v>
      </c>
      <c r="E531" s="99">
        <v>4270711.4999999972</v>
      </c>
      <c r="F531" s="99">
        <v>4736138.9999999991</v>
      </c>
      <c r="G531" s="99">
        <v>0</v>
      </c>
      <c r="H531" s="98" t="s">
        <v>225</v>
      </c>
      <c r="I531" s="99">
        <v>0</v>
      </c>
      <c r="J531" s="98" t="s">
        <v>225</v>
      </c>
      <c r="K531" s="99">
        <v>0</v>
      </c>
      <c r="L531" s="98" t="s">
        <v>225</v>
      </c>
      <c r="M531" s="98" t="s">
        <v>225</v>
      </c>
      <c r="N531" s="99">
        <v>0</v>
      </c>
      <c r="O531" s="100">
        <v>0</v>
      </c>
      <c r="P531" s="100">
        <v>0</v>
      </c>
      <c r="Q531" s="100">
        <v>0</v>
      </c>
    </row>
    <row r="532" spans="1:17" x14ac:dyDescent="0.35">
      <c r="A532" s="98" t="s">
        <v>29</v>
      </c>
      <c r="B532" s="98" t="s">
        <v>168</v>
      </c>
      <c r="C532" s="98" t="s">
        <v>244</v>
      </c>
      <c r="D532" s="99">
        <v>3742958.9999999981</v>
      </c>
      <c r="E532" s="99">
        <v>4270711.4999999972</v>
      </c>
      <c r="F532" s="99">
        <v>4736138.9999999991</v>
      </c>
      <c r="G532" s="99">
        <v>0</v>
      </c>
      <c r="H532" s="98" t="s">
        <v>225</v>
      </c>
      <c r="I532" s="99">
        <v>0</v>
      </c>
      <c r="J532" s="98" t="s">
        <v>225</v>
      </c>
      <c r="K532" s="99">
        <v>0</v>
      </c>
      <c r="L532" s="98" t="s">
        <v>225</v>
      </c>
      <c r="M532" s="98" t="s">
        <v>225</v>
      </c>
      <c r="N532" s="99">
        <v>0</v>
      </c>
      <c r="O532" s="100">
        <v>0</v>
      </c>
      <c r="P532" s="100">
        <v>0</v>
      </c>
      <c r="Q532" s="100">
        <v>0</v>
      </c>
    </row>
    <row r="533" spans="1:17" x14ac:dyDescent="0.35">
      <c r="A533" s="98" t="s">
        <v>29</v>
      </c>
      <c r="B533" s="98" t="s">
        <v>168</v>
      </c>
      <c r="C533" s="98" t="s">
        <v>245</v>
      </c>
      <c r="D533" s="99">
        <v>3742958.9999999981</v>
      </c>
      <c r="E533" s="99">
        <v>4270711.4999999972</v>
      </c>
      <c r="F533" s="99">
        <v>4736138.9999999991</v>
      </c>
      <c r="G533" s="99">
        <v>0</v>
      </c>
      <c r="H533" s="98" t="s">
        <v>225</v>
      </c>
      <c r="I533" s="99">
        <v>42</v>
      </c>
      <c r="J533" s="98" t="s">
        <v>229</v>
      </c>
      <c r="K533" s="99">
        <v>42</v>
      </c>
      <c r="L533" s="98" t="s">
        <v>229</v>
      </c>
      <c r="M533" s="98" t="s">
        <v>225</v>
      </c>
      <c r="N533" s="99">
        <v>42</v>
      </c>
      <c r="O533" s="100">
        <v>0</v>
      </c>
      <c r="P533" s="100">
        <v>9.8344268864801632E-2</v>
      </c>
      <c r="Q533" s="100">
        <v>8.8679829709389882E-2</v>
      </c>
    </row>
    <row r="534" spans="1:17" x14ac:dyDescent="0.35">
      <c r="A534" s="98" t="s">
        <v>30</v>
      </c>
      <c r="B534" s="98" t="s">
        <v>169</v>
      </c>
      <c r="C534" s="98" t="s">
        <v>224</v>
      </c>
      <c r="D534" s="99">
        <v>1290691.4999999998</v>
      </c>
      <c r="E534" s="99">
        <v>1295381.5000000005</v>
      </c>
      <c r="F534" s="99">
        <v>1299468.9999999986</v>
      </c>
      <c r="G534" s="99">
        <v>0</v>
      </c>
      <c r="H534" s="98" t="s">
        <v>225</v>
      </c>
      <c r="I534" s="99">
        <v>180</v>
      </c>
      <c r="J534" s="98">
        <v>2018</v>
      </c>
      <c r="K534" s="99">
        <v>916</v>
      </c>
      <c r="L534" s="98">
        <v>2022</v>
      </c>
      <c r="M534" s="98" t="s">
        <v>225</v>
      </c>
      <c r="N534" s="99">
        <v>916</v>
      </c>
      <c r="O534" s="100">
        <v>0</v>
      </c>
      <c r="P534" s="100">
        <v>1.3895520354428401</v>
      </c>
      <c r="Q534" s="100">
        <v>7.0490331050606132</v>
      </c>
    </row>
    <row r="535" spans="1:17" x14ac:dyDescent="0.35">
      <c r="A535" s="98" t="s">
        <v>30</v>
      </c>
      <c r="B535" s="98" t="s">
        <v>169</v>
      </c>
      <c r="C535" s="98" t="s">
        <v>227</v>
      </c>
      <c r="D535" s="99">
        <v>1290691.4999999998</v>
      </c>
      <c r="E535" s="99">
        <v>1295381.5000000005</v>
      </c>
      <c r="F535" s="99">
        <v>1299468.9999999986</v>
      </c>
      <c r="G535" s="99">
        <v>0</v>
      </c>
      <c r="H535" s="98" t="s">
        <v>225</v>
      </c>
      <c r="I535" s="99">
        <v>61</v>
      </c>
      <c r="J535" s="98">
        <v>2017</v>
      </c>
      <c r="K535" s="99">
        <v>1</v>
      </c>
      <c r="L535" s="98">
        <v>2017</v>
      </c>
      <c r="M535" s="98" t="s">
        <v>226</v>
      </c>
      <c r="N535" s="99">
        <v>1.1791996777225728</v>
      </c>
      <c r="O535" s="100">
        <v>0</v>
      </c>
      <c r="P535" s="100">
        <v>0.47090374534451801</v>
      </c>
      <c r="Q535" s="100">
        <v>9.0744733250471849E-3</v>
      </c>
    </row>
    <row r="536" spans="1:17" x14ac:dyDescent="0.35">
      <c r="A536" s="98" t="s">
        <v>30</v>
      </c>
      <c r="B536" s="98" t="s">
        <v>169</v>
      </c>
      <c r="C536" s="98" t="s">
        <v>228</v>
      </c>
      <c r="D536" s="99">
        <v>1290691.4999999998</v>
      </c>
      <c r="E536" s="99">
        <v>1295381.5000000005</v>
      </c>
      <c r="F536" s="99">
        <v>1299468.9999999986</v>
      </c>
      <c r="G536" s="99">
        <v>0</v>
      </c>
      <c r="H536" s="98" t="s">
        <v>225</v>
      </c>
      <c r="I536" s="99">
        <v>48</v>
      </c>
      <c r="J536" s="98" t="s">
        <v>229</v>
      </c>
      <c r="K536" s="99">
        <v>311</v>
      </c>
      <c r="L536" s="98" t="s">
        <v>229</v>
      </c>
      <c r="M536" s="98" t="s">
        <v>225</v>
      </c>
      <c r="N536" s="99">
        <v>311</v>
      </c>
      <c r="O536" s="100">
        <v>0</v>
      </c>
      <c r="P536" s="100">
        <v>0.370547209451424</v>
      </c>
      <c r="Q536" s="100">
        <v>2.3932852572858634</v>
      </c>
    </row>
    <row r="537" spans="1:17" x14ac:dyDescent="0.35">
      <c r="A537" s="98" t="s">
        <v>30</v>
      </c>
      <c r="B537" s="98" t="s">
        <v>169</v>
      </c>
      <c r="C537" s="98" t="s">
        <v>230</v>
      </c>
      <c r="D537" s="99">
        <v>1290691.4999999998</v>
      </c>
      <c r="E537" s="99">
        <v>1295381.5000000005</v>
      </c>
      <c r="F537" s="99">
        <v>1299468.9999999986</v>
      </c>
      <c r="G537" s="99">
        <v>0</v>
      </c>
      <c r="H537" s="98" t="s">
        <v>225</v>
      </c>
      <c r="I537" s="99">
        <v>1153</v>
      </c>
      <c r="J537" s="98" t="s">
        <v>229</v>
      </c>
      <c r="K537" s="99">
        <v>1153</v>
      </c>
      <c r="L537" s="98" t="s">
        <v>229</v>
      </c>
      <c r="M537" s="98" t="s">
        <v>225</v>
      </c>
      <c r="N537" s="99">
        <v>1153</v>
      </c>
      <c r="O537" s="100">
        <v>0</v>
      </c>
      <c r="P537" s="100">
        <v>8.9008527603644154</v>
      </c>
      <c r="Q537" s="100">
        <v>8.8728549892302251</v>
      </c>
    </row>
    <row r="538" spans="1:17" x14ac:dyDescent="0.35">
      <c r="A538" s="98" t="s">
        <v>30</v>
      </c>
      <c r="B538" s="98" t="s">
        <v>169</v>
      </c>
      <c r="C538" s="98" t="s">
        <v>231</v>
      </c>
      <c r="D538" s="99">
        <v>1290691.4999999998</v>
      </c>
      <c r="E538" s="99">
        <v>1295381.5000000005</v>
      </c>
      <c r="F538" s="99">
        <v>1299468.9999999986</v>
      </c>
      <c r="G538" s="99">
        <v>0</v>
      </c>
      <c r="H538" s="98" t="s">
        <v>225</v>
      </c>
      <c r="I538" s="99">
        <v>315</v>
      </c>
      <c r="J538" s="98" t="s">
        <v>229</v>
      </c>
      <c r="K538" s="99">
        <v>315</v>
      </c>
      <c r="L538" s="98" t="s">
        <v>229</v>
      </c>
      <c r="M538" s="98" t="s">
        <v>225</v>
      </c>
      <c r="N538" s="99">
        <v>315</v>
      </c>
      <c r="O538" s="100">
        <v>0</v>
      </c>
      <c r="P538" s="100">
        <v>2.4317160620249703</v>
      </c>
      <c r="Q538" s="100">
        <v>2.4240670612380928</v>
      </c>
    </row>
    <row r="539" spans="1:17" x14ac:dyDescent="0.35">
      <c r="A539" s="98" t="s">
        <v>30</v>
      </c>
      <c r="B539" s="98" t="s">
        <v>169</v>
      </c>
      <c r="C539" s="98" t="s">
        <v>232</v>
      </c>
      <c r="D539" s="99">
        <v>1290691.4999999998</v>
      </c>
      <c r="E539" s="99">
        <v>1295381.5000000005</v>
      </c>
      <c r="F539" s="99">
        <v>1299468.9999999986</v>
      </c>
      <c r="G539" s="99">
        <v>0</v>
      </c>
      <c r="H539" s="98" t="s">
        <v>225</v>
      </c>
      <c r="I539" s="99">
        <v>12</v>
      </c>
      <c r="J539" s="98" t="s">
        <v>229</v>
      </c>
      <c r="K539" s="99">
        <v>15</v>
      </c>
      <c r="L539" s="98" t="s">
        <v>229</v>
      </c>
      <c r="M539" s="98" t="s">
        <v>225</v>
      </c>
      <c r="N539" s="99">
        <v>15</v>
      </c>
      <c r="O539" s="100">
        <v>0</v>
      </c>
      <c r="P539" s="100">
        <v>9.2636802362855999E-2</v>
      </c>
      <c r="Q539" s="100">
        <v>0.11543176482086157</v>
      </c>
    </row>
    <row r="540" spans="1:17" x14ac:dyDescent="0.35">
      <c r="A540" s="98" t="s">
        <v>30</v>
      </c>
      <c r="B540" s="98" t="s">
        <v>169</v>
      </c>
      <c r="C540" s="98" t="s">
        <v>233</v>
      </c>
      <c r="D540" s="99">
        <v>1290691.4999999998</v>
      </c>
      <c r="E540" s="99">
        <v>1295381.5000000005</v>
      </c>
      <c r="F540" s="99">
        <v>1299468.9999999986</v>
      </c>
      <c r="G540" s="99">
        <v>0</v>
      </c>
      <c r="H540" s="98" t="s">
        <v>225</v>
      </c>
      <c r="I540" s="99">
        <v>291</v>
      </c>
      <c r="J540" s="98">
        <v>2018</v>
      </c>
      <c r="K540" s="99">
        <v>270</v>
      </c>
      <c r="L540" s="98">
        <v>2022</v>
      </c>
      <c r="M540" s="98" t="s">
        <v>226</v>
      </c>
      <c r="N540" s="99">
        <v>318.38391298509464</v>
      </c>
      <c r="O540" s="100">
        <v>0</v>
      </c>
      <c r="P540" s="100">
        <v>2.2464424572992581</v>
      </c>
      <c r="Q540" s="100">
        <v>2.4501077977627399</v>
      </c>
    </row>
    <row r="541" spans="1:17" x14ac:dyDescent="0.35">
      <c r="A541" s="98" t="s">
        <v>30</v>
      </c>
      <c r="B541" s="98" t="s">
        <v>169</v>
      </c>
      <c r="C541" s="98" t="s">
        <v>234</v>
      </c>
      <c r="D541" s="99">
        <v>1290691.4999999998</v>
      </c>
      <c r="E541" s="99">
        <v>1295381.5000000005</v>
      </c>
      <c r="F541" s="99">
        <v>1299468.9999999986</v>
      </c>
      <c r="G541" s="99">
        <v>0</v>
      </c>
      <c r="H541" s="98" t="s">
        <v>225</v>
      </c>
      <c r="I541" s="99">
        <v>9</v>
      </c>
      <c r="J541" s="98" t="s">
        <v>229</v>
      </c>
      <c r="K541" s="99">
        <v>9</v>
      </c>
      <c r="L541" s="98" t="s">
        <v>229</v>
      </c>
      <c r="M541" s="98" t="s">
        <v>225</v>
      </c>
      <c r="N541" s="99">
        <v>9</v>
      </c>
      <c r="O541" s="100">
        <v>0</v>
      </c>
      <c r="P541" s="100">
        <v>6.9477601772142003E-2</v>
      </c>
      <c r="Q541" s="100">
        <v>6.9259058892516948E-2</v>
      </c>
    </row>
    <row r="542" spans="1:17" x14ac:dyDescent="0.35">
      <c r="A542" s="98" t="s">
        <v>30</v>
      </c>
      <c r="B542" s="98" t="s">
        <v>169</v>
      </c>
      <c r="C542" s="98" t="s">
        <v>235</v>
      </c>
      <c r="D542" s="99">
        <v>1290691.4999999998</v>
      </c>
      <c r="E542" s="99">
        <v>1295381.5000000005</v>
      </c>
      <c r="F542" s="99">
        <v>1299468.9999999986</v>
      </c>
      <c r="G542" s="99">
        <v>0</v>
      </c>
      <c r="H542" s="98" t="s">
        <v>225</v>
      </c>
      <c r="I542" s="99">
        <v>213</v>
      </c>
      <c r="J542" s="98" t="s">
        <v>229</v>
      </c>
      <c r="K542" s="99">
        <v>213</v>
      </c>
      <c r="L542" s="98" t="s">
        <v>229</v>
      </c>
      <c r="M542" s="98" t="s">
        <v>225</v>
      </c>
      <c r="N542" s="99">
        <v>213</v>
      </c>
      <c r="O542" s="100">
        <v>0</v>
      </c>
      <c r="P542" s="100">
        <v>1.644303241940694</v>
      </c>
      <c r="Q542" s="100">
        <v>1.6391310604562344</v>
      </c>
    </row>
    <row r="543" spans="1:17" x14ac:dyDescent="0.35">
      <c r="A543" s="98" t="s">
        <v>30</v>
      </c>
      <c r="B543" s="98" t="s">
        <v>169</v>
      </c>
      <c r="C543" s="98" t="s">
        <v>236</v>
      </c>
      <c r="D543" s="99">
        <v>1290691.4999999998</v>
      </c>
      <c r="E543" s="99">
        <v>1295381.5000000005</v>
      </c>
      <c r="F543" s="99">
        <v>1299468.9999999986</v>
      </c>
      <c r="G543" s="99">
        <v>0</v>
      </c>
      <c r="H543" s="98" t="s">
        <v>225</v>
      </c>
      <c r="I543" s="99">
        <v>416</v>
      </c>
      <c r="J543" s="98" t="s">
        <v>229</v>
      </c>
      <c r="K543" s="99">
        <v>378</v>
      </c>
      <c r="L543" s="98">
        <v>2022</v>
      </c>
      <c r="M543" s="98" t="s">
        <v>226</v>
      </c>
      <c r="N543" s="99">
        <v>445.73747817913255</v>
      </c>
      <c r="O543" s="100">
        <v>0</v>
      </c>
      <c r="P543" s="100">
        <v>3.2114091485790084</v>
      </c>
      <c r="Q543" s="100">
        <v>3.4301509168678366</v>
      </c>
    </row>
    <row r="544" spans="1:17" x14ac:dyDescent="0.35">
      <c r="A544" s="98" t="s">
        <v>30</v>
      </c>
      <c r="B544" s="98" t="s">
        <v>169</v>
      </c>
      <c r="C544" s="98" t="s">
        <v>237</v>
      </c>
      <c r="D544" s="99">
        <v>1290691.4999999998</v>
      </c>
      <c r="E544" s="99">
        <v>1295381.5000000005</v>
      </c>
      <c r="F544" s="99">
        <v>1299468.9999999986</v>
      </c>
      <c r="G544" s="99">
        <v>0</v>
      </c>
      <c r="H544" s="98" t="s">
        <v>225</v>
      </c>
      <c r="I544" s="99">
        <v>0</v>
      </c>
      <c r="J544" s="98" t="s">
        <v>225</v>
      </c>
      <c r="K544" s="99">
        <v>6</v>
      </c>
      <c r="L544" s="98">
        <v>2022</v>
      </c>
      <c r="M544" s="98" t="s">
        <v>225</v>
      </c>
      <c r="N544" s="99">
        <v>6</v>
      </c>
      <c r="O544" s="100">
        <v>0</v>
      </c>
      <c r="P544" s="100">
        <v>0</v>
      </c>
      <c r="Q544" s="100">
        <v>4.6172705928344625E-2</v>
      </c>
    </row>
    <row r="545" spans="1:17" x14ac:dyDescent="0.35">
      <c r="A545" s="98" t="s">
        <v>30</v>
      </c>
      <c r="B545" s="98" t="s">
        <v>169</v>
      </c>
      <c r="C545" s="98" t="s">
        <v>238</v>
      </c>
      <c r="D545" s="99">
        <v>1290691.4999999998</v>
      </c>
      <c r="E545" s="99">
        <v>1295381.5000000005</v>
      </c>
      <c r="F545" s="99">
        <v>1299468.9999999986</v>
      </c>
      <c r="G545" s="99">
        <v>0</v>
      </c>
      <c r="H545" s="98" t="s">
        <v>225</v>
      </c>
      <c r="I545" s="99">
        <v>3295</v>
      </c>
      <c r="J545" s="98" t="s">
        <v>229</v>
      </c>
      <c r="K545" s="99">
        <v>3295</v>
      </c>
      <c r="L545" s="98" t="s">
        <v>229</v>
      </c>
      <c r="M545" s="98" t="s">
        <v>225</v>
      </c>
      <c r="N545" s="99">
        <v>3295</v>
      </c>
      <c r="O545" s="100">
        <v>0</v>
      </c>
      <c r="P545" s="100">
        <v>25.436521982134213</v>
      </c>
      <c r="Q545" s="100">
        <v>25.356511005649256</v>
      </c>
    </row>
    <row r="546" spans="1:17" x14ac:dyDescent="0.35">
      <c r="A546" s="98" t="s">
        <v>30</v>
      </c>
      <c r="B546" s="98" t="s">
        <v>169</v>
      </c>
      <c r="C546" s="98" t="s">
        <v>239</v>
      </c>
      <c r="D546" s="99">
        <v>1290691.4999999998</v>
      </c>
      <c r="E546" s="99">
        <v>1295381.5000000005</v>
      </c>
      <c r="F546" s="99">
        <v>1299468.9999999986</v>
      </c>
      <c r="G546" s="99">
        <v>0</v>
      </c>
      <c r="H546" s="98" t="s">
        <v>225</v>
      </c>
      <c r="I546" s="99">
        <v>0</v>
      </c>
      <c r="J546" s="98" t="s">
        <v>225</v>
      </c>
      <c r="K546" s="99">
        <v>0</v>
      </c>
      <c r="L546" s="98" t="s">
        <v>225</v>
      </c>
      <c r="M546" s="98" t="s">
        <v>225</v>
      </c>
      <c r="N546" s="99">
        <v>0</v>
      </c>
      <c r="O546" s="100">
        <v>0</v>
      </c>
      <c r="P546" s="100">
        <v>0</v>
      </c>
      <c r="Q546" s="100">
        <v>0</v>
      </c>
    </row>
    <row r="547" spans="1:17" x14ac:dyDescent="0.35">
      <c r="A547" s="98" t="s">
        <v>30</v>
      </c>
      <c r="B547" s="98" t="s">
        <v>169</v>
      </c>
      <c r="C547" s="98" t="s">
        <v>240</v>
      </c>
      <c r="D547" s="99">
        <v>1290691.4999999998</v>
      </c>
      <c r="E547" s="99">
        <v>1295381.5000000005</v>
      </c>
      <c r="F547" s="99">
        <v>1299468.9999999986</v>
      </c>
      <c r="G547" s="99">
        <v>0</v>
      </c>
      <c r="H547" s="98" t="s">
        <v>225</v>
      </c>
      <c r="I547" s="99">
        <v>291</v>
      </c>
      <c r="J547" s="98" t="s">
        <v>229</v>
      </c>
      <c r="K547" s="99">
        <v>224</v>
      </c>
      <c r="L547" s="98">
        <v>2022</v>
      </c>
      <c r="M547" s="98" t="s">
        <v>226</v>
      </c>
      <c r="N547" s="99">
        <v>264.14072780985634</v>
      </c>
      <c r="O547" s="100">
        <v>0</v>
      </c>
      <c r="P547" s="100">
        <v>2.2464424572992581</v>
      </c>
      <c r="Q547" s="100">
        <v>2.0326820248105699</v>
      </c>
    </row>
    <row r="548" spans="1:17" x14ac:dyDescent="0.35">
      <c r="A548" s="98" t="s">
        <v>30</v>
      </c>
      <c r="B548" s="98" t="s">
        <v>169</v>
      </c>
      <c r="C548" s="98" t="s">
        <v>241</v>
      </c>
      <c r="D548" s="99">
        <v>1290691.4999999998</v>
      </c>
      <c r="E548" s="99">
        <v>1295381.5000000005</v>
      </c>
      <c r="F548" s="99">
        <v>1299468.9999999986</v>
      </c>
      <c r="G548" s="99">
        <v>0</v>
      </c>
      <c r="H548" s="98" t="s">
        <v>225</v>
      </c>
      <c r="I548" s="99">
        <v>24</v>
      </c>
      <c r="J548" s="98" t="s">
        <v>229</v>
      </c>
      <c r="K548" s="99">
        <v>24</v>
      </c>
      <c r="L548" s="98" t="s">
        <v>229</v>
      </c>
      <c r="M548" s="98" t="s">
        <v>225</v>
      </c>
      <c r="N548" s="99">
        <v>24</v>
      </c>
      <c r="O548" s="100">
        <v>0</v>
      </c>
      <c r="P548" s="100">
        <v>0.185273604725712</v>
      </c>
      <c r="Q548" s="100">
        <v>0.1846908237133785</v>
      </c>
    </row>
    <row r="549" spans="1:17" x14ac:dyDescent="0.35">
      <c r="A549" s="98" t="s">
        <v>30</v>
      </c>
      <c r="B549" s="98" t="s">
        <v>169</v>
      </c>
      <c r="C549" s="98" t="s">
        <v>242</v>
      </c>
      <c r="D549" s="99">
        <v>1290691.4999999998</v>
      </c>
      <c r="E549" s="99">
        <v>1295381.5000000005</v>
      </c>
      <c r="F549" s="99">
        <v>1299468.9999999986</v>
      </c>
      <c r="G549" s="99">
        <v>0</v>
      </c>
      <c r="H549" s="98" t="s">
        <v>225</v>
      </c>
      <c r="I549" s="99">
        <v>64</v>
      </c>
      <c r="J549" s="98" t="s">
        <v>229</v>
      </c>
      <c r="K549" s="99">
        <v>64</v>
      </c>
      <c r="L549" s="98" t="s">
        <v>229</v>
      </c>
      <c r="M549" s="98" t="s">
        <v>225</v>
      </c>
      <c r="N549" s="99">
        <v>64</v>
      </c>
      <c r="O549" s="100">
        <v>0</v>
      </c>
      <c r="P549" s="100">
        <v>0.49406294593523203</v>
      </c>
      <c r="Q549" s="100">
        <v>0.492508863235676</v>
      </c>
    </row>
    <row r="550" spans="1:17" x14ac:dyDescent="0.35">
      <c r="A550" s="98" t="s">
        <v>30</v>
      </c>
      <c r="B550" s="98" t="s">
        <v>169</v>
      </c>
      <c r="C550" s="98" t="s">
        <v>243</v>
      </c>
      <c r="D550" s="99">
        <v>1290691.4999999998</v>
      </c>
      <c r="E550" s="99">
        <v>1295381.5000000005</v>
      </c>
      <c r="F550" s="99">
        <v>1299468.9999999986</v>
      </c>
      <c r="G550" s="99">
        <v>0</v>
      </c>
      <c r="H550" s="98" t="s">
        <v>225</v>
      </c>
      <c r="I550" s="99">
        <v>0</v>
      </c>
      <c r="J550" s="98" t="s">
        <v>225</v>
      </c>
      <c r="K550" s="99">
        <v>0</v>
      </c>
      <c r="L550" s="98" t="s">
        <v>225</v>
      </c>
      <c r="M550" s="98" t="s">
        <v>225</v>
      </c>
      <c r="N550" s="99">
        <v>0</v>
      </c>
      <c r="O550" s="100">
        <v>0</v>
      </c>
      <c r="P550" s="100">
        <v>0</v>
      </c>
      <c r="Q550" s="100">
        <v>0</v>
      </c>
    </row>
    <row r="551" spans="1:17" x14ac:dyDescent="0.35">
      <c r="A551" s="98" t="s">
        <v>30</v>
      </c>
      <c r="B551" s="98" t="s">
        <v>169</v>
      </c>
      <c r="C551" s="98" t="s">
        <v>244</v>
      </c>
      <c r="D551" s="99">
        <v>1290691.4999999998</v>
      </c>
      <c r="E551" s="99">
        <v>1295381.5000000005</v>
      </c>
      <c r="F551" s="99">
        <v>1299468.9999999986</v>
      </c>
      <c r="G551" s="99">
        <v>0</v>
      </c>
      <c r="H551" s="98" t="s">
        <v>225</v>
      </c>
      <c r="I551" s="99">
        <v>0</v>
      </c>
      <c r="J551" s="98" t="s">
        <v>225</v>
      </c>
      <c r="K551" s="99">
        <v>27</v>
      </c>
      <c r="L551" s="98">
        <v>2022</v>
      </c>
      <c r="M551" s="98" t="s">
        <v>225</v>
      </c>
      <c r="N551" s="99">
        <v>27</v>
      </c>
      <c r="O551" s="100">
        <v>0</v>
      </c>
      <c r="P551" s="100">
        <v>0</v>
      </c>
      <c r="Q551" s="100">
        <v>0.20777717667755083</v>
      </c>
    </row>
    <row r="552" spans="1:17" x14ac:dyDescent="0.35">
      <c r="A552" s="98" t="s">
        <v>30</v>
      </c>
      <c r="B552" s="98" t="s">
        <v>169</v>
      </c>
      <c r="C552" s="98" t="s">
        <v>245</v>
      </c>
      <c r="D552" s="99">
        <v>1290691.4999999998</v>
      </c>
      <c r="E552" s="99">
        <v>1295381.5000000005</v>
      </c>
      <c r="F552" s="99">
        <v>1299468.9999999986</v>
      </c>
      <c r="G552" s="99">
        <v>0</v>
      </c>
      <c r="H552" s="98" t="s">
        <v>225</v>
      </c>
      <c r="I552" s="99">
        <v>5</v>
      </c>
      <c r="J552" s="98" t="s">
        <v>229</v>
      </c>
      <c r="K552" s="99">
        <v>5</v>
      </c>
      <c r="L552" s="98" t="s">
        <v>229</v>
      </c>
      <c r="M552" s="98" t="s">
        <v>225</v>
      </c>
      <c r="N552" s="99">
        <v>5</v>
      </c>
      <c r="O552" s="100">
        <v>0</v>
      </c>
      <c r="P552" s="100">
        <v>3.8598667651190001E-2</v>
      </c>
      <c r="Q552" s="100">
        <v>3.8477254940287191E-2</v>
      </c>
    </row>
    <row r="553" spans="1:17" x14ac:dyDescent="0.35">
      <c r="A553" s="98" t="s">
        <v>27</v>
      </c>
      <c r="B553" s="98" t="s">
        <v>166</v>
      </c>
      <c r="C553" s="98" t="s">
        <v>224</v>
      </c>
      <c r="D553" s="99">
        <v>16024775.499999996</v>
      </c>
      <c r="E553" s="99">
        <v>18367882.999999985</v>
      </c>
      <c r="F553" s="99">
        <v>20405316.500000019</v>
      </c>
      <c r="G553" s="99">
        <v>0</v>
      </c>
      <c r="H553" s="98" t="s">
        <v>225</v>
      </c>
      <c r="I553" s="99">
        <v>10016</v>
      </c>
      <c r="J553" s="98">
        <v>2018</v>
      </c>
      <c r="K553" s="99">
        <v>10747</v>
      </c>
      <c r="L553" s="98">
        <v>2022</v>
      </c>
      <c r="M553" s="98" t="s">
        <v>225</v>
      </c>
      <c r="N553" s="99">
        <v>10747</v>
      </c>
      <c r="O553" s="100">
        <v>0</v>
      </c>
      <c r="P553" s="100">
        <v>5.4529964068259842</v>
      </c>
      <c r="Q553" s="100">
        <v>5.2667646689038072</v>
      </c>
    </row>
    <row r="554" spans="1:17" x14ac:dyDescent="0.35">
      <c r="A554" s="98" t="s">
        <v>27</v>
      </c>
      <c r="B554" s="98" t="s">
        <v>166</v>
      </c>
      <c r="C554" s="98" t="s">
        <v>227</v>
      </c>
      <c r="D554" s="99">
        <v>16024775.499999996</v>
      </c>
      <c r="E554" s="99">
        <v>18367882.999999985</v>
      </c>
      <c r="F554" s="99">
        <v>20405316.500000019</v>
      </c>
      <c r="G554" s="99">
        <v>0</v>
      </c>
      <c r="H554" s="98" t="s">
        <v>225</v>
      </c>
      <c r="I554" s="99">
        <v>25</v>
      </c>
      <c r="J554" s="98" t="s">
        <v>229</v>
      </c>
      <c r="K554" s="99">
        <v>9</v>
      </c>
      <c r="L554" s="98">
        <v>2020</v>
      </c>
      <c r="M554" s="98" t="s">
        <v>226</v>
      </c>
      <c r="N554" s="99">
        <v>9.9719618239660672</v>
      </c>
      <c r="O554" s="100">
        <v>0</v>
      </c>
      <c r="P554" s="100">
        <v>1.3610713874865177E-2</v>
      </c>
      <c r="Q554" s="100">
        <v>4.8869429807501677E-3</v>
      </c>
    </row>
    <row r="555" spans="1:17" x14ac:dyDescent="0.35">
      <c r="A555" s="98" t="s">
        <v>27</v>
      </c>
      <c r="B555" s="98" t="s">
        <v>166</v>
      </c>
      <c r="C555" s="98" t="s">
        <v>228</v>
      </c>
      <c r="D555" s="99">
        <v>16024775.499999996</v>
      </c>
      <c r="E555" s="99">
        <v>18367882.999999985</v>
      </c>
      <c r="F555" s="99">
        <v>20405316.500000019</v>
      </c>
      <c r="G555" s="99">
        <v>0</v>
      </c>
      <c r="H555" s="98" t="s">
        <v>225</v>
      </c>
      <c r="I555" s="99">
        <v>35</v>
      </c>
      <c r="J555" s="98" t="s">
        <v>229</v>
      </c>
      <c r="K555" s="99">
        <v>35</v>
      </c>
      <c r="L555" s="98" t="s">
        <v>229</v>
      </c>
      <c r="M555" s="98" t="s">
        <v>225</v>
      </c>
      <c r="N555" s="99">
        <v>35</v>
      </c>
      <c r="O555" s="100">
        <v>0</v>
      </c>
      <c r="P555" s="100">
        <v>1.9054999424811248E-2</v>
      </c>
      <c r="Q555" s="100">
        <v>1.7152392612974156E-2</v>
      </c>
    </row>
    <row r="556" spans="1:17" x14ac:dyDescent="0.35">
      <c r="A556" s="98" t="s">
        <v>27</v>
      </c>
      <c r="B556" s="98" t="s">
        <v>166</v>
      </c>
      <c r="C556" s="98" t="s">
        <v>230</v>
      </c>
      <c r="D556" s="99">
        <v>16024775.499999996</v>
      </c>
      <c r="E556" s="99">
        <v>18367882.999999985</v>
      </c>
      <c r="F556" s="99">
        <v>20405316.500000019</v>
      </c>
      <c r="G556" s="99">
        <v>0</v>
      </c>
      <c r="H556" s="98" t="s">
        <v>225</v>
      </c>
      <c r="I556" s="99">
        <v>178</v>
      </c>
      <c r="J556" s="98" t="s">
        <v>229</v>
      </c>
      <c r="K556" s="99">
        <v>178</v>
      </c>
      <c r="L556" s="98" t="s">
        <v>229</v>
      </c>
      <c r="M556" s="98" t="s">
        <v>225</v>
      </c>
      <c r="N556" s="99">
        <v>178</v>
      </c>
      <c r="O556" s="100">
        <v>0</v>
      </c>
      <c r="P556" s="100">
        <v>9.6908282789040054E-2</v>
      </c>
      <c r="Q556" s="100">
        <v>8.723216814598285E-2</v>
      </c>
    </row>
    <row r="557" spans="1:17" x14ac:dyDescent="0.35">
      <c r="A557" s="98" t="s">
        <v>27</v>
      </c>
      <c r="B557" s="98" t="s">
        <v>166</v>
      </c>
      <c r="C557" s="98" t="s">
        <v>231</v>
      </c>
      <c r="D557" s="99">
        <v>16024775.499999996</v>
      </c>
      <c r="E557" s="99">
        <v>18367882.999999985</v>
      </c>
      <c r="F557" s="99">
        <v>20405316.500000019</v>
      </c>
      <c r="G557" s="99">
        <v>0</v>
      </c>
      <c r="H557" s="98" t="s">
        <v>225</v>
      </c>
      <c r="I557" s="99">
        <v>178</v>
      </c>
      <c r="J557" s="98" t="s">
        <v>229</v>
      </c>
      <c r="K557" s="99">
        <v>561</v>
      </c>
      <c r="L557" s="98">
        <v>2022</v>
      </c>
      <c r="M557" s="98" t="s">
        <v>225</v>
      </c>
      <c r="N557" s="99">
        <v>561</v>
      </c>
      <c r="O557" s="100">
        <v>0</v>
      </c>
      <c r="P557" s="100">
        <v>9.6908282789040054E-2</v>
      </c>
      <c r="Q557" s="100">
        <v>0.27492835016795719</v>
      </c>
    </row>
    <row r="558" spans="1:17" x14ac:dyDescent="0.35">
      <c r="A558" s="98" t="s">
        <v>27</v>
      </c>
      <c r="B558" s="98" t="s">
        <v>166</v>
      </c>
      <c r="C558" s="98" t="s">
        <v>232</v>
      </c>
      <c r="D558" s="99">
        <v>16024775.499999996</v>
      </c>
      <c r="E558" s="99">
        <v>18367882.999999985</v>
      </c>
      <c r="F558" s="99">
        <v>20405316.500000019</v>
      </c>
      <c r="G558" s="99">
        <v>0</v>
      </c>
      <c r="H558" s="98" t="s">
        <v>225</v>
      </c>
      <c r="I558" s="99">
        <v>0</v>
      </c>
      <c r="J558" s="98" t="s">
        <v>225</v>
      </c>
      <c r="K558" s="99">
        <v>12</v>
      </c>
      <c r="L558" s="98">
        <v>2022</v>
      </c>
      <c r="M558" s="98" t="s">
        <v>225</v>
      </c>
      <c r="N558" s="99">
        <v>12</v>
      </c>
      <c r="O558" s="100">
        <v>0</v>
      </c>
      <c r="P558" s="100">
        <v>0</v>
      </c>
      <c r="Q558" s="100">
        <v>5.8808203244482826E-3</v>
      </c>
    </row>
    <row r="559" spans="1:17" x14ac:dyDescent="0.35">
      <c r="A559" s="98" t="s">
        <v>27</v>
      </c>
      <c r="B559" s="98" t="s">
        <v>166</v>
      </c>
      <c r="C559" s="98" t="s">
        <v>233</v>
      </c>
      <c r="D559" s="99">
        <v>16024775.499999996</v>
      </c>
      <c r="E559" s="99">
        <v>18367882.999999985</v>
      </c>
      <c r="F559" s="99">
        <v>20405316.500000019</v>
      </c>
      <c r="G559" s="99">
        <v>0</v>
      </c>
      <c r="H559" s="98" t="s">
        <v>225</v>
      </c>
      <c r="I559" s="99">
        <v>542</v>
      </c>
      <c r="J559" s="98">
        <v>2018</v>
      </c>
      <c r="K559" s="99">
        <v>81</v>
      </c>
      <c r="L559" s="98">
        <v>2022</v>
      </c>
      <c r="M559" s="98" t="s">
        <v>226</v>
      </c>
      <c r="N559" s="99">
        <v>89.747656415694607</v>
      </c>
      <c r="O559" s="100">
        <v>0</v>
      </c>
      <c r="P559" s="100">
        <v>0.29508027680707705</v>
      </c>
      <c r="Q559" s="100">
        <v>4.3982486826751509E-2</v>
      </c>
    </row>
    <row r="560" spans="1:17" x14ac:dyDescent="0.35">
      <c r="A560" s="98" t="s">
        <v>27</v>
      </c>
      <c r="B560" s="98" t="s">
        <v>166</v>
      </c>
      <c r="C560" s="98" t="s">
        <v>234</v>
      </c>
      <c r="D560" s="99">
        <v>16024775.499999996</v>
      </c>
      <c r="E560" s="99">
        <v>18367882.999999985</v>
      </c>
      <c r="F560" s="99">
        <v>20405316.500000019</v>
      </c>
      <c r="G560" s="99">
        <v>0</v>
      </c>
      <c r="H560" s="98" t="s">
        <v>225</v>
      </c>
      <c r="I560" s="99">
        <v>2804</v>
      </c>
      <c r="J560" s="98" t="s">
        <v>229</v>
      </c>
      <c r="K560" s="99">
        <v>1661</v>
      </c>
      <c r="L560" s="98">
        <v>2022</v>
      </c>
      <c r="M560" s="98" t="s">
        <v>226</v>
      </c>
      <c r="N560" s="99">
        <v>1840.3809544008486</v>
      </c>
      <c r="O560" s="100">
        <v>0</v>
      </c>
      <c r="P560" s="100">
        <v>1.5265776682048782</v>
      </c>
      <c r="Q560" s="100">
        <v>0.90191247678066988</v>
      </c>
    </row>
    <row r="561" spans="1:17" x14ac:dyDescent="0.35">
      <c r="A561" s="98" t="s">
        <v>27</v>
      </c>
      <c r="B561" s="98" t="s">
        <v>166</v>
      </c>
      <c r="C561" s="98" t="s">
        <v>235</v>
      </c>
      <c r="D561" s="99">
        <v>16024775.499999996</v>
      </c>
      <c r="E561" s="99">
        <v>18367882.999999985</v>
      </c>
      <c r="F561" s="99">
        <v>20405316.500000019</v>
      </c>
      <c r="G561" s="99">
        <v>0</v>
      </c>
      <c r="H561" s="98" t="s">
        <v>225</v>
      </c>
      <c r="I561" s="99">
        <v>44</v>
      </c>
      <c r="J561" s="98" t="s">
        <v>229</v>
      </c>
      <c r="K561" s="99">
        <v>610</v>
      </c>
      <c r="L561" s="98">
        <v>2022</v>
      </c>
      <c r="M561" s="98" t="s">
        <v>225</v>
      </c>
      <c r="N561" s="99">
        <v>610</v>
      </c>
      <c r="O561" s="100">
        <v>0</v>
      </c>
      <c r="P561" s="100">
        <v>2.3954856419762711E-2</v>
      </c>
      <c r="Q561" s="100">
        <v>0.29894169982612101</v>
      </c>
    </row>
    <row r="562" spans="1:17" x14ac:dyDescent="0.35">
      <c r="A562" s="98" t="s">
        <v>27</v>
      </c>
      <c r="B562" s="98" t="s">
        <v>166</v>
      </c>
      <c r="C562" s="98" t="s">
        <v>236</v>
      </c>
      <c r="D562" s="99">
        <v>16024775.499999996</v>
      </c>
      <c r="E562" s="99">
        <v>18367882.999999985</v>
      </c>
      <c r="F562" s="99">
        <v>20405316.500000019</v>
      </c>
      <c r="G562" s="99">
        <v>0</v>
      </c>
      <c r="H562" s="98" t="s">
        <v>225</v>
      </c>
      <c r="I562" s="99">
        <v>306</v>
      </c>
      <c r="J562" s="98" t="s">
        <v>229</v>
      </c>
      <c r="K562" s="99">
        <v>306</v>
      </c>
      <c r="L562" s="98" t="s">
        <v>229</v>
      </c>
      <c r="M562" s="98" t="s">
        <v>225</v>
      </c>
      <c r="N562" s="99">
        <v>306</v>
      </c>
      <c r="O562" s="100">
        <v>0</v>
      </c>
      <c r="P562" s="100">
        <v>0.16659513782834975</v>
      </c>
      <c r="Q562" s="100">
        <v>0.14996091827343119</v>
      </c>
    </row>
    <row r="563" spans="1:17" x14ac:dyDescent="0.35">
      <c r="A563" s="98" t="s">
        <v>27</v>
      </c>
      <c r="B563" s="98" t="s">
        <v>166</v>
      </c>
      <c r="C563" s="98" t="s">
        <v>237</v>
      </c>
      <c r="D563" s="99">
        <v>16024775.499999996</v>
      </c>
      <c r="E563" s="99">
        <v>18367882.999999985</v>
      </c>
      <c r="F563" s="99">
        <v>20405316.500000019</v>
      </c>
      <c r="G563" s="99">
        <v>0</v>
      </c>
      <c r="H563" s="98" t="s">
        <v>225</v>
      </c>
      <c r="I563" s="99">
        <v>13</v>
      </c>
      <c r="J563" s="98" t="s">
        <v>229</v>
      </c>
      <c r="K563" s="99">
        <v>73</v>
      </c>
      <c r="L563" s="98">
        <v>2022</v>
      </c>
      <c r="M563" s="98" t="s">
        <v>225</v>
      </c>
      <c r="N563" s="99">
        <v>73</v>
      </c>
      <c r="O563" s="100">
        <v>0</v>
      </c>
      <c r="P563" s="100">
        <v>7.077571214929892E-3</v>
      </c>
      <c r="Q563" s="100">
        <v>3.5774990307060384E-2</v>
      </c>
    </row>
    <row r="564" spans="1:17" x14ac:dyDescent="0.35">
      <c r="A564" s="98" t="s">
        <v>27</v>
      </c>
      <c r="B564" s="98" t="s">
        <v>166</v>
      </c>
      <c r="C564" s="98" t="s">
        <v>238</v>
      </c>
      <c r="D564" s="99">
        <v>16024775.499999996</v>
      </c>
      <c r="E564" s="99">
        <v>18367882.999999985</v>
      </c>
      <c r="F564" s="99">
        <v>20405316.500000019</v>
      </c>
      <c r="G564" s="99">
        <v>0</v>
      </c>
      <c r="H564" s="98" t="s">
        <v>225</v>
      </c>
      <c r="I564" s="99">
        <v>0</v>
      </c>
      <c r="J564" s="98" t="s">
        <v>225</v>
      </c>
      <c r="K564" s="99">
        <v>0</v>
      </c>
      <c r="L564" s="98" t="s">
        <v>225</v>
      </c>
      <c r="M564" s="98" t="s">
        <v>225</v>
      </c>
      <c r="N564" s="99">
        <v>0</v>
      </c>
      <c r="O564" s="100">
        <v>0</v>
      </c>
      <c r="P564" s="100">
        <v>0</v>
      </c>
      <c r="Q564" s="100">
        <v>0</v>
      </c>
    </row>
    <row r="565" spans="1:17" x14ac:dyDescent="0.35">
      <c r="A565" s="98" t="s">
        <v>27</v>
      </c>
      <c r="B565" s="98" t="s">
        <v>166</v>
      </c>
      <c r="C565" s="98" t="s">
        <v>239</v>
      </c>
      <c r="D565" s="99">
        <v>16024775.499999996</v>
      </c>
      <c r="E565" s="99">
        <v>18367882.999999985</v>
      </c>
      <c r="F565" s="99">
        <v>20405316.500000019</v>
      </c>
      <c r="G565" s="99">
        <v>0</v>
      </c>
      <c r="H565" s="98" t="s">
        <v>225</v>
      </c>
      <c r="I565" s="99">
        <v>0</v>
      </c>
      <c r="J565" s="98" t="s">
        <v>225</v>
      </c>
      <c r="K565" s="99">
        <v>11178</v>
      </c>
      <c r="L565" s="98">
        <v>2022</v>
      </c>
      <c r="M565" s="98" t="s">
        <v>225</v>
      </c>
      <c r="N565" s="99">
        <v>11178</v>
      </c>
      <c r="O565" s="100">
        <v>0</v>
      </c>
      <c r="P565" s="100">
        <v>0</v>
      </c>
      <c r="Q565" s="100">
        <v>5.4779841322235754</v>
      </c>
    </row>
    <row r="566" spans="1:17" x14ac:dyDescent="0.35">
      <c r="A566" s="98" t="s">
        <v>27</v>
      </c>
      <c r="B566" s="98" t="s">
        <v>166</v>
      </c>
      <c r="C566" s="98" t="s">
        <v>240</v>
      </c>
      <c r="D566" s="99">
        <v>16024775.499999996</v>
      </c>
      <c r="E566" s="99">
        <v>18367882.999999985</v>
      </c>
      <c r="F566" s="99">
        <v>20405316.500000019</v>
      </c>
      <c r="G566" s="99">
        <v>0</v>
      </c>
      <c r="H566" s="98" t="s">
        <v>225</v>
      </c>
      <c r="I566" s="99">
        <v>542</v>
      </c>
      <c r="J566" s="98" t="s">
        <v>229</v>
      </c>
      <c r="K566" s="99">
        <v>189</v>
      </c>
      <c r="L566" s="98">
        <v>2022</v>
      </c>
      <c r="M566" s="98" t="s">
        <v>226</v>
      </c>
      <c r="N566" s="99">
        <v>209.41119830328739</v>
      </c>
      <c r="O566" s="100">
        <v>0</v>
      </c>
      <c r="P566" s="100">
        <v>0.29508027680707705</v>
      </c>
      <c r="Q566" s="100">
        <v>0.1026258025957535</v>
      </c>
    </row>
    <row r="567" spans="1:17" x14ac:dyDescent="0.35">
      <c r="A567" s="98" t="s">
        <v>27</v>
      </c>
      <c r="B567" s="98" t="s">
        <v>166</v>
      </c>
      <c r="C567" s="98" t="s">
        <v>241</v>
      </c>
      <c r="D567" s="99">
        <v>16024775.499999996</v>
      </c>
      <c r="E567" s="99">
        <v>18367882.999999985</v>
      </c>
      <c r="F567" s="99">
        <v>20405316.500000019</v>
      </c>
      <c r="G567" s="99">
        <v>0</v>
      </c>
      <c r="H567" s="98" t="s">
        <v>225</v>
      </c>
      <c r="I567" s="99">
        <v>98</v>
      </c>
      <c r="J567" s="98" t="s">
        <v>229</v>
      </c>
      <c r="K567" s="99">
        <v>37</v>
      </c>
      <c r="L567" s="98">
        <v>2022</v>
      </c>
      <c r="M567" s="98" t="s">
        <v>226</v>
      </c>
      <c r="N567" s="99">
        <v>40.995843054082719</v>
      </c>
      <c r="O567" s="100">
        <v>0</v>
      </c>
      <c r="P567" s="100">
        <v>5.3353998389471489E-2</v>
      </c>
      <c r="Q567" s="100">
        <v>2.0090765587528467E-2</v>
      </c>
    </row>
    <row r="568" spans="1:17" x14ac:dyDescent="0.35">
      <c r="A568" s="98" t="s">
        <v>27</v>
      </c>
      <c r="B568" s="98" t="s">
        <v>166</v>
      </c>
      <c r="C568" s="98" t="s">
        <v>242</v>
      </c>
      <c r="D568" s="99">
        <v>16024775.499999996</v>
      </c>
      <c r="E568" s="99">
        <v>18367882.999999985</v>
      </c>
      <c r="F568" s="99">
        <v>20405316.500000019</v>
      </c>
      <c r="G568" s="99">
        <v>0</v>
      </c>
      <c r="H568" s="98" t="s">
        <v>225</v>
      </c>
      <c r="I568" s="99">
        <v>52</v>
      </c>
      <c r="J568" s="98" t="s">
        <v>229</v>
      </c>
      <c r="K568" s="99">
        <v>248</v>
      </c>
      <c r="L568" s="98">
        <v>2022</v>
      </c>
      <c r="M568" s="98" t="s">
        <v>225</v>
      </c>
      <c r="N568" s="99">
        <v>248</v>
      </c>
      <c r="O568" s="100">
        <v>0</v>
      </c>
      <c r="P568" s="100">
        <v>2.8310284859719568E-2</v>
      </c>
      <c r="Q568" s="100">
        <v>0.12153695337193117</v>
      </c>
    </row>
    <row r="569" spans="1:17" x14ac:dyDescent="0.35">
      <c r="A569" s="98" t="s">
        <v>27</v>
      </c>
      <c r="B569" s="98" t="s">
        <v>166</v>
      </c>
      <c r="C569" s="98" t="s">
        <v>243</v>
      </c>
      <c r="D569" s="99">
        <v>16024775.499999996</v>
      </c>
      <c r="E569" s="99">
        <v>18367882.999999985</v>
      </c>
      <c r="F569" s="99">
        <v>20405316.500000019</v>
      </c>
      <c r="G569" s="99">
        <v>0</v>
      </c>
      <c r="H569" s="98" t="s">
        <v>225</v>
      </c>
      <c r="I569" s="99">
        <v>0</v>
      </c>
      <c r="J569" s="98" t="s">
        <v>225</v>
      </c>
      <c r="K569" s="99">
        <v>72</v>
      </c>
      <c r="L569" s="98">
        <v>2022</v>
      </c>
      <c r="M569" s="98" t="s">
        <v>225</v>
      </c>
      <c r="N569" s="99">
        <v>72</v>
      </c>
      <c r="O569" s="100">
        <v>0</v>
      </c>
      <c r="P569" s="100">
        <v>0</v>
      </c>
      <c r="Q569" s="100">
        <v>3.5284921946689696E-2</v>
      </c>
    </row>
    <row r="570" spans="1:17" x14ac:dyDescent="0.35">
      <c r="A570" s="98" t="s">
        <v>27</v>
      </c>
      <c r="B570" s="98" t="s">
        <v>166</v>
      </c>
      <c r="C570" s="98" t="s">
        <v>244</v>
      </c>
      <c r="D570" s="99">
        <v>16024775.499999996</v>
      </c>
      <c r="E570" s="99">
        <v>18367882.999999985</v>
      </c>
      <c r="F570" s="99">
        <v>20405316.500000019</v>
      </c>
      <c r="G570" s="99">
        <v>0</v>
      </c>
      <c r="H570" s="98" t="s">
        <v>225</v>
      </c>
      <c r="I570" s="99">
        <v>0</v>
      </c>
      <c r="J570" s="98" t="s">
        <v>225</v>
      </c>
      <c r="K570" s="99">
        <v>0</v>
      </c>
      <c r="L570" s="98" t="s">
        <v>225</v>
      </c>
      <c r="M570" s="98" t="s">
        <v>225</v>
      </c>
      <c r="N570" s="99">
        <v>0</v>
      </c>
      <c r="O570" s="100">
        <v>0</v>
      </c>
      <c r="P570" s="100">
        <v>0</v>
      </c>
      <c r="Q570" s="100">
        <v>0</v>
      </c>
    </row>
    <row r="571" spans="1:17" x14ac:dyDescent="0.35">
      <c r="A571" s="98" t="s">
        <v>27</v>
      </c>
      <c r="B571" s="98" t="s">
        <v>166</v>
      </c>
      <c r="C571" s="98" t="s">
        <v>245</v>
      </c>
      <c r="D571" s="99">
        <v>16024775.499999996</v>
      </c>
      <c r="E571" s="99">
        <v>18367882.999999985</v>
      </c>
      <c r="F571" s="99">
        <v>20405316.500000019</v>
      </c>
      <c r="G571" s="99">
        <v>0</v>
      </c>
      <c r="H571" s="98" t="s">
        <v>225</v>
      </c>
      <c r="I571" s="99">
        <v>0</v>
      </c>
      <c r="J571" s="98" t="s">
        <v>225</v>
      </c>
      <c r="K571" s="99">
        <v>2</v>
      </c>
      <c r="L571" s="98">
        <v>2022</v>
      </c>
      <c r="M571" s="98" t="s">
        <v>225</v>
      </c>
      <c r="N571" s="99">
        <v>2</v>
      </c>
      <c r="O571" s="100">
        <v>0</v>
      </c>
      <c r="P571" s="100">
        <v>0</v>
      </c>
      <c r="Q571" s="100">
        <v>9.8013672074138036E-4</v>
      </c>
    </row>
    <row r="572" spans="1:17" x14ac:dyDescent="0.35">
      <c r="A572" s="98" t="s">
        <v>32</v>
      </c>
      <c r="B572" s="98" t="s">
        <v>171</v>
      </c>
      <c r="C572" s="98" t="s">
        <v>224</v>
      </c>
      <c r="D572" s="99">
        <v>2204510.0000000005</v>
      </c>
      <c r="E572" s="99">
        <v>2405680.5000000005</v>
      </c>
      <c r="F572" s="99">
        <v>2567012.4999999995</v>
      </c>
      <c r="G572" s="99">
        <v>0</v>
      </c>
      <c r="H572" s="98" t="s">
        <v>225</v>
      </c>
      <c r="I572" s="99">
        <v>2292</v>
      </c>
      <c r="J572" s="98">
        <v>2018</v>
      </c>
      <c r="K572" s="99">
        <v>2292</v>
      </c>
      <c r="L572" s="98">
        <v>2018</v>
      </c>
      <c r="M572" s="98" t="s">
        <v>225</v>
      </c>
      <c r="N572" s="99">
        <v>2292</v>
      </c>
      <c r="O572" s="100">
        <v>0</v>
      </c>
      <c r="P572" s="100">
        <v>9.5274497174500095</v>
      </c>
      <c r="Q572" s="100">
        <v>8.928667078948779</v>
      </c>
    </row>
    <row r="573" spans="1:17" x14ac:dyDescent="0.35">
      <c r="A573" s="98" t="s">
        <v>32</v>
      </c>
      <c r="B573" s="98" t="s">
        <v>171</v>
      </c>
      <c r="C573" s="98" t="s">
        <v>227</v>
      </c>
      <c r="D573" s="99">
        <v>2204510.0000000005</v>
      </c>
      <c r="E573" s="99">
        <v>2405680.5000000005</v>
      </c>
      <c r="F573" s="99">
        <v>2567012.4999999995</v>
      </c>
      <c r="G573" s="99">
        <v>0</v>
      </c>
      <c r="H573" s="98" t="s">
        <v>225</v>
      </c>
      <c r="I573" s="99">
        <v>33</v>
      </c>
      <c r="J573" s="98" t="s">
        <v>229</v>
      </c>
      <c r="K573" s="99">
        <v>33</v>
      </c>
      <c r="L573" s="98">
        <v>2022</v>
      </c>
      <c r="M573" s="98" t="s">
        <v>225</v>
      </c>
      <c r="N573" s="99">
        <v>33</v>
      </c>
      <c r="O573" s="100">
        <v>0</v>
      </c>
      <c r="P573" s="100">
        <v>0.13717532315700273</v>
      </c>
      <c r="Q573" s="100">
        <v>0.12855410715763949</v>
      </c>
    </row>
    <row r="574" spans="1:17" x14ac:dyDescent="0.35">
      <c r="A574" s="98" t="s">
        <v>32</v>
      </c>
      <c r="B574" s="98" t="s">
        <v>171</v>
      </c>
      <c r="C574" s="98" t="s">
        <v>228</v>
      </c>
      <c r="D574" s="99">
        <v>2204510.0000000005</v>
      </c>
      <c r="E574" s="99">
        <v>2405680.5000000005</v>
      </c>
      <c r="F574" s="99">
        <v>2567012.4999999995</v>
      </c>
      <c r="G574" s="99">
        <v>0</v>
      </c>
      <c r="H574" s="98" t="s">
        <v>225</v>
      </c>
      <c r="I574" s="99">
        <v>218</v>
      </c>
      <c r="J574" s="98" t="s">
        <v>229</v>
      </c>
      <c r="K574" s="99">
        <v>172</v>
      </c>
      <c r="L574" s="98">
        <v>2020</v>
      </c>
      <c r="M574" s="98" t="s">
        <v>226</v>
      </c>
      <c r="N574" s="99">
        <v>260.54243369734792</v>
      </c>
      <c r="O574" s="100">
        <v>0</v>
      </c>
      <c r="P574" s="100">
        <v>0.90618849843110905</v>
      </c>
      <c r="Q574" s="100">
        <v>1.0149636345648803</v>
      </c>
    </row>
    <row r="575" spans="1:17" x14ac:dyDescent="0.35">
      <c r="A575" s="98" t="s">
        <v>32</v>
      </c>
      <c r="B575" s="98" t="s">
        <v>171</v>
      </c>
      <c r="C575" s="98" t="s">
        <v>230</v>
      </c>
      <c r="D575" s="99">
        <v>2204510.0000000005</v>
      </c>
      <c r="E575" s="99">
        <v>2405680.5000000005</v>
      </c>
      <c r="F575" s="99">
        <v>2567012.4999999995</v>
      </c>
      <c r="G575" s="99">
        <v>0</v>
      </c>
      <c r="H575" s="98" t="s">
        <v>225</v>
      </c>
      <c r="I575" s="99">
        <v>0</v>
      </c>
      <c r="J575" s="98" t="s">
        <v>225</v>
      </c>
      <c r="K575" s="99">
        <v>889</v>
      </c>
      <c r="L575" s="98">
        <v>2022</v>
      </c>
      <c r="M575" s="98" t="s">
        <v>225</v>
      </c>
      <c r="N575" s="99">
        <v>889</v>
      </c>
      <c r="O575" s="100">
        <v>0</v>
      </c>
      <c r="P575" s="100">
        <v>0</v>
      </c>
      <c r="Q575" s="100">
        <v>3.4631697352467126</v>
      </c>
    </row>
    <row r="576" spans="1:17" x14ac:dyDescent="0.35">
      <c r="A576" s="98" t="s">
        <v>32</v>
      </c>
      <c r="B576" s="98" t="s">
        <v>171</v>
      </c>
      <c r="C576" s="98" t="s">
        <v>231</v>
      </c>
      <c r="D576" s="99">
        <v>2204510.0000000005</v>
      </c>
      <c r="E576" s="99">
        <v>2405680.5000000005</v>
      </c>
      <c r="F576" s="99">
        <v>2567012.4999999995</v>
      </c>
      <c r="G576" s="99">
        <v>0</v>
      </c>
      <c r="H576" s="98" t="s">
        <v>225</v>
      </c>
      <c r="I576" s="99">
        <v>313</v>
      </c>
      <c r="J576" s="98" t="s">
        <v>229</v>
      </c>
      <c r="K576" s="99">
        <v>51</v>
      </c>
      <c r="L576" s="98">
        <v>2022</v>
      </c>
      <c r="M576" s="98" t="s">
        <v>226</v>
      </c>
      <c r="N576" s="99">
        <v>77.253861154446184</v>
      </c>
      <c r="O576" s="100">
        <v>0</v>
      </c>
      <c r="P576" s="100">
        <v>1.3010871560042987</v>
      </c>
      <c r="Q576" s="100">
        <v>0.30094851955121449</v>
      </c>
    </row>
    <row r="577" spans="1:17" x14ac:dyDescent="0.35">
      <c r="A577" s="98" t="s">
        <v>32</v>
      </c>
      <c r="B577" s="98" t="s">
        <v>171</v>
      </c>
      <c r="C577" s="98" t="s">
        <v>232</v>
      </c>
      <c r="D577" s="99">
        <v>2204510.0000000005</v>
      </c>
      <c r="E577" s="99">
        <v>2405680.5000000005</v>
      </c>
      <c r="F577" s="99">
        <v>2567012.4999999995</v>
      </c>
      <c r="G577" s="99">
        <v>0</v>
      </c>
      <c r="H577" s="98" t="s">
        <v>225</v>
      </c>
      <c r="I577" s="99">
        <v>470</v>
      </c>
      <c r="J577" s="98" t="s">
        <v>229</v>
      </c>
      <c r="K577" s="99">
        <v>10</v>
      </c>
      <c r="L577" s="98">
        <v>2022</v>
      </c>
      <c r="M577" s="98" t="s">
        <v>226</v>
      </c>
      <c r="N577" s="99">
        <v>15.147815912636506</v>
      </c>
      <c r="O577" s="100">
        <v>0</v>
      </c>
      <c r="P577" s="100">
        <v>1.9537091479936755</v>
      </c>
      <c r="Q577" s="100">
        <v>5.9009513637493037E-2</v>
      </c>
    </row>
    <row r="578" spans="1:17" x14ac:dyDescent="0.35">
      <c r="A578" s="98" t="s">
        <v>32</v>
      </c>
      <c r="B578" s="98" t="s">
        <v>171</v>
      </c>
      <c r="C578" s="98" t="s">
        <v>233</v>
      </c>
      <c r="D578" s="99">
        <v>2204510.0000000005</v>
      </c>
      <c r="E578" s="99">
        <v>2405680.5000000005</v>
      </c>
      <c r="F578" s="99">
        <v>2567012.4999999995</v>
      </c>
      <c r="G578" s="99">
        <v>0</v>
      </c>
      <c r="H578" s="98" t="s">
        <v>225</v>
      </c>
      <c r="I578" s="99">
        <v>1739</v>
      </c>
      <c r="J578" s="98" t="s">
        <v>229</v>
      </c>
      <c r="K578" s="99">
        <v>64</v>
      </c>
      <c r="L578" s="98">
        <v>2022</v>
      </c>
      <c r="M578" s="98" t="s">
        <v>226</v>
      </c>
      <c r="N578" s="99">
        <v>96.946021840873641</v>
      </c>
      <c r="O578" s="100">
        <v>0</v>
      </c>
      <c r="P578" s="100">
        <v>7.2287238475765987</v>
      </c>
      <c r="Q578" s="100">
        <v>0.37766088727995545</v>
      </c>
    </row>
    <row r="579" spans="1:17" x14ac:dyDescent="0.35">
      <c r="A579" s="98" t="s">
        <v>32</v>
      </c>
      <c r="B579" s="98" t="s">
        <v>171</v>
      </c>
      <c r="C579" s="98" t="s">
        <v>234</v>
      </c>
      <c r="D579" s="99">
        <v>2204510.0000000005</v>
      </c>
      <c r="E579" s="99">
        <v>2405680.5000000005</v>
      </c>
      <c r="F579" s="99">
        <v>2567012.4999999995</v>
      </c>
      <c r="G579" s="99">
        <v>0</v>
      </c>
      <c r="H579" s="98" t="s">
        <v>225</v>
      </c>
      <c r="I579" s="99">
        <v>21</v>
      </c>
      <c r="J579" s="98" t="s">
        <v>229</v>
      </c>
      <c r="K579" s="99">
        <v>5</v>
      </c>
      <c r="L579" s="98">
        <v>2022</v>
      </c>
      <c r="M579" s="98" t="s">
        <v>226</v>
      </c>
      <c r="N579" s="99">
        <v>7.5739079563182532</v>
      </c>
      <c r="O579" s="100">
        <v>0</v>
      </c>
      <c r="P579" s="100">
        <v>8.7293387463547201E-2</v>
      </c>
      <c r="Q579" s="100">
        <v>2.9504756818746519E-2</v>
      </c>
    </row>
    <row r="580" spans="1:17" x14ac:dyDescent="0.35">
      <c r="A580" s="98" t="s">
        <v>32</v>
      </c>
      <c r="B580" s="98" t="s">
        <v>171</v>
      </c>
      <c r="C580" s="98" t="s">
        <v>235</v>
      </c>
      <c r="D580" s="99">
        <v>2204510.0000000005</v>
      </c>
      <c r="E580" s="99">
        <v>2405680.5000000005</v>
      </c>
      <c r="F580" s="99">
        <v>2567012.4999999995</v>
      </c>
      <c r="G580" s="99">
        <v>0</v>
      </c>
      <c r="H580" s="98" t="s">
        <v>225</v>
      </c>
      <c r="I580" s="99">
        <v>303</v>
      </c>
      <c r="J580" s="98" t="s">
        <v>229</v>
      </c>
      <c r="K580" s="99">
        <v>289</v>
      </c>
      <c r="L580" s="98">
        <v>2022</v>
      </c>
      <c r="M580" s="98" t="s">
        <v>226</v>
      </c>
      <c r="N580" s="99">
        <v>437.77187987519505</v>
      </c>
      <c r="O580" s="100">
        <v>0</v>
      </c>
      <c r="P580" s="100">
        <v>1.2595188762597525</v>
      </c>
      <c r="Q580" s="100">
        <v>1.7053749441235486</v>
      </c>
    </row>
    <row r="581" spans="1:17" x14ac:dyDescent="0.35">
      <c r="A581" s="98" t="s">
        <v>32</v>
      </c>
      <c r="B581" s="98" t="s">
        <v>171</v>
      </c>
      <c r="C581" s="98" t="s">
        <v>236</v>
      </c>
      <c r="D581" s="99">
        <v>2204510.0000000005</v>
      </c>
      <c r="E581" s="99">
        <v>2405680.5000000005</v>
      </c>
      <c r="F581" s="99">
        <v>2567012.4999999995</v>
      </c>
      <c r="G581" s="99">
        <v>0</v>
      </c>
      <c r="H581" s="98" t="s">
        <v>225</v>
      </c>
      <c r="I581" s="99">
        <v>37</v>
      </c>
      <c r="J581" s="98" t="s">
        <v>229</v>
      </c>
      <c r="K581" s="99">
        <v>37</v>
      </c>
      <c r="L581" s="98" t="s">
        <v>229</v>
      </c>
      <c r="M581" s="98" t="s">
        <v>225</v>
      </c>
      <c r="N581" s="99">
        <v>37</v>
      </c>
      <c r="O581" s="100">
        <v>0</v>
      </c>
      <c r="P581" s="100">
        <v>0.15380263505482125</v>
      </c>
      <c r="Q581" s="100">
        <v>0.14413642317674732</v>
      </c>
    </row>
    <row r="582" spans="1:17" x14ac:dyDescent="0.35">
      <c r="A582" s="98" t="s">
        <v>32</v>
      </c>
      <c r="B582" s="98" t="s">
        <v>171</v>
      </c>
      <c r="C582" s="98" t="s">
        <v>237</v>
      </c>
      <c r="D582" s="99">
        <v>2204510.0000000005</v>
      </c>
      <c r="E582" s="99">
        <v>2405680.5000000005</v>
      </c>
      <c r="F582" s="99">
        <v>2567012.4999999995</v>
      </c>
      <c r="G582" s="99">
        <v>0</v>
      </c>
      <c r="H582" s="98" t="s">
        <v>225</v>
      </c>
      <c r="I582" s="99">
        <v>147</v>
      </c>
      <c r="J582" s="98" t="s">
        <v>229</v>
      </c>
      <c r="K582" s="99">
        <v>107</v>
      </c>
      <c r="L582" s="98">
        <v>2022</v>
      </c>
      <c r="M582" s="98" t="s">
        <v>226</v>
      </c>
      <c r="N582" s="99">
        <v>162.08163026521061</v>
      </c>
      <c r="O582" s="100">
        <v>0</v>
      </c>
      <c r="P582" s="100">
        <v>0.6110537122448304</v>
      </c>
      <c r="Q582" s="100">
        <v>0.63140179592117551</v>
      </c>
    </row>
    <row r="583" spans="1:17" x14ac:dyDescent="0.35">
      <c r="A583" s="98" t="s">
        <v>32</v>
      </c>
      <c r="B583" s="98" t="s">
        <v>171</v>
      </c>
      <c r="C583" s="98" t="s">
        <v>238</v>
      </c>
      <c r="D583" s="99">
        <v>2204510.0000000005</v>
      </c>
      <c r="E583" s="99">
        <v>2405680.5000000005</v>
      </c>
      <c r="F583" s="99">
        <v>2567012.4999999995</v>
      </c>
      <c r="G583" s="99">
        <v>0</v>
      </c>
      <c r="H583" s="98" t="s">
        <v>225</v>
      </c>
      <c r="I583" s="99">
        <v>2157</v>
      </c>
      <c r="J583" s="98" t="s">
        <v>229</v>
      </c>
      <c r="K583" s="99">
        <v>2157</v>
      </c>
      <c r="L583" s="98" t="s">
        <v>229</v>
      </c>
      <c r="M583" s="98" t="s">
        <v>225</v>
      </c>
      <c r="N583" s="99">
        <v>2157</v>
      </c>
      <c r="O583" s="100">
        <v>0</v>
      </c>
      <c r="P583" s="100">
        <v>8.9662779408986335</v>
      </c>
      <c r="Q583" s="100">
        <v>8.4027639133038914</v>
      </c>
    </row>
    <row r="584" spans="1:17" x14ac:dyDescent="0.35">
      <c r="A584" s="98" t="s">
        <v>32</v>
      </c>
      <c r="B584" s="98" t="s">
        <v>171</v>
      </c>
      <c r="C584" s="98" t="s">
        <v>239</v>
      </c>
      <c r="D584" s="99">
        <v>2204510.0000000005</v>
      </c>
      <c r="E584" s="99">
        <v>2405680.5000000005</v>
      </c>
      <c r="F584" s="99">
        <v>2567012.4999999995</v>
      </c>
      <c r="G584" s="99">
        <v>0</v>
      </c>
      <c r="H584" s="98" t="s">
        <v>225</v>
      </c>
      <c r="I584" s="99">
        <v>0</v>
      </c>
      <c r="J584" s="98" t="s">
        <v>225</v>
      </c>
      <c r="K584" s="99">
        <v>0</v>
      </c>
      <c r="L584" s="98" t="s">
        <v>225</v>
      </c>
      <c r="M584" s="98" t="s">
        <v>225</v>
      </c>
      <c r="N584" s="99">
        <v>0</v>
      </c>
      <c r="O584" s="100">
        <v>0</v>
      </c>
      <c r="P584" s="100">
        <v>0</v>
      </c>
      <c r="Q584" s="100">
        <v>0</v>
      </c>
    </row>
    <row r="585" spans="1:17" x14ac:dyDescent="0.35">
      <c r="A585" s="98" t="s">
        <v>32</v>
      </c>
      <c r="B585" s="98" t="s">
        <v>171</v>
      </c>
      <c r="C585" s="98" t="s">
        <v>240</v>
      </c>
      <c r="D585" s="99">
        <v>2204510.0000000005</v>
      </c>
      <c r="E585" s="99">
        <v>2405680.5000000005</v>
      </c>
      <c r="F585" s="99">
        <v>2567012.4999999995</v>
      </c>
      <c r="G585" s="99">
        <v>0</v>
      </c>
      <c r="H585" s="98" t="s">
        <v>225</v>
      </c>
      <c r="I585" s="99">
        <v>510</v>
      </c>
      <c r="J585" s="98" t="s">
        <v>229</v>
      </c>
      <c r="K585" s="99">
        <v>1065</v>
      </c>
      <c r="L585" s="98">
        <v>2022</v>
      </c>
      <c r="M585" s="98" t="s">
        <v>225</v>
      </c>
      <c r="N585" s="99">
        <v>1065</v>
      </c>
      <c r="O585" s="100">
        <v>0</v>
      </c>
      <c r="P585" s="100">
        <v>2.1199822669718604</v>
      </c>
      <c r="Q585" s="100">
        <v>4.1487916400874569</v>
      </c>
    </row>
    <row r="586" spans="1:17" x14ac:dyDescent="0.35">
      <c r="A586" s="98" t="s">
        <v>32</v>
      </c>
      <c r="B586" s="98" t="s">
        <v>171</v>
      </c>
      <c r="C586" s="98" t="s">
        <v>241</v>
      </c>
      <c r="D586" s="99">
        <v>2204510.0000000005</v>
      </c>
      <c r="E586" s="99">
        <v>2405680.5000000005</v>
      </c>
      <c r="F586" s="99">
        <v>2567012.4999999995</v>
      </c>
      <c r="G586" s="99">
        <v>0</v>
      </c>
      <c r="H586" s="98" t="s">
        <v>225</v>
      </c>
      <c r="I586" s="99">
        <v>1053</v>
      </c>
      <c r="J586" s="98" t="s">
        <v>229</v>
      </c>
      <c r="K586" s="99">
        <v>82</v>
      </c>
      <c r="L586" s="98">
        <v>2022</v>
      </c>
      <c r="M586" s="98" t="s">
        <v>226</v>
      </c>
      <c r="N586" s="99">
        <v>124.21209048361935</v>
      </c>
      <c r="O586" s="100">
        <v>0</v>
      </c>
      <c r="P586" s="100">
        <v>4.3771398571007243</v>
      </c>
      <c r="Q586" s="100">
        <v>0.48387801182744283</v>
      </c>
    </row>
    <row r="587" spans="1:17" x14ac:dyDescent="0.35">
      <c r="A587" s="98" t="s">
        <v>32</v>
      </c>
      <c r="B587" s="98" t="s">
        <v>171</v>
      </c>
      <c r="C587" s="98" t="s">
        <v>242</v>
      </c>
      <c r="D587" s="99">
        <v>2204510.0000000005</v>
      </c>
      <c r="E587" s="99">
        <v>2405680.5000000005</v>
      </c>
      <c r="F587" s="99">
        <v>2567012.4999999995</v>
      </c>
      <c r="G587" s="99">
        <v>0</v>
      </c>
      <c r="H587" s="98" t="s">
        <v>225</v>
      </c>
      <c r="I587" s="99">
        <v>233</v>
      </c>
      <c r="J587" s="98" t="s">
        <v>229</v>
      </c>
      <c r="K587" s="99">
        <v>155</v>
      </c>
      <c r="L587" s="98">
        <v>2022</v>
      </c>
      <c r="M587" s="98" t="s">
        <v>226</v>
      </c>
      <c r="N587" s="99">
        <v>234.79114664586584</v>
      </c>
      <c r="O587" s="100">
        <v>0</v>
      </c>
      <c r="P587" s="100">
        <v>0.96854091804792841</v>
      </c>
      <c r="Q587" s="100">
        <v>0.91464746138114195</v>
      </c>
    </row>
    <row r="588" spans="1:17" x14ac:dyDescent="0.35">
      <c r="A588" s="98" t="s">
        <v>32</v>
      </c>
      <c r="B588" s="98" t="s">
        <v>171</v>
      </c>
      <c r="C588" s="98" t="s">
        <v>243</v>
      </c>
      <c r="D588" s="99">
        <v>2204510.0000000005</v>
      </c>
      <c r="E588" s="99">
        <v>2405680.5000000005</v>
      </c>
      <c r="F588" s="99">
        <v>2567012.4999999995</v>
      </c>
      <c r="G588" s="99">
        <v>0</v>
      </c>
      <c r="H588" s="98" t="s">
        <v>225</v>
      </c>
      <c r="I588" s="99">
        <v>509</v>
      </c>
      <c r="J588" s="98" t="s">
        <v>229</v>
      </c>
      <c r="K588" s="99">
        <v>509</v>
      </c>
      <c r="L588" s="98" t="s">
        <v>229</v>
      </c>
      <c r="M588" s="98" t="s">
        <v>225</v>
      </c>
      <c r="N588" s="99">
        <v>509</v>
      </c>
      <c r="O588" s="100">
        <v>0</v>
      </c>
      <c r="P588" s="100">
        <v>2.115825438997406</v>
      </c>
      <c r="Q588" s="100">
        <v>1.9828497134314698</v>
      </c>
    </row>
    <row r="589" spans="1:17" x14ac:dyDescent="0.35">
      <c r="A589" s="98" t="s">
        <v>32</v>
      </c>
      <c r="B589" s="98" t="s">
        <v>171</v>
      </c>
      <c r="C589" s="98" t="s">
        <v>244</v>
      </c>
      <c r="D589" s="99">
        <v>2204510.0000000005</v>
      </c>
      <c r="E589" s="99">
        <v>2405680.5000000005</v>
      </c>
      <c r="F589" s="99">
        <v>2567012.4999999995</v>
      </c>
      <c r="G589" s="99">
        <v>0</v>
      </c>
      <c r="H589" s="98" t="s">
        <v>225</v>
      </c>
      <c r="I589" s="99">
        <v>0</v>
      </c>
      <c r="J589" s="98" t="s">
        <v>225</v>
      </c>
      <c r="K589" s="99">
        <v>29</v>
      </c>
      <c r="L589" s="98">
        <v>2022</v>
      </c>
      <c r="M589" s="98" t="s">
        <v>225</v>
      </c>
      <c r="N589" s="99">
        <v>29</v>
      </c>
      <c r="O589" s="100">
        <v>0</v>
      </c>
      <c r="P589" s="100">
        <v>0</v>
      </c>
      <c r="Q589" s="100">
        <v>0.11297179113853167</v>
      </c>
    </row>
    <row r="590" spans="1:17" x14ac:dyDescent="0.35">
      <c r="A590" s="98" t="s">
        <v>32</v>
      </c>
      <c r="B590" s="98" t="s">
        <v>171</v>
      </c>
      <c r="C590" s="98" t="s">
        <v>245</v>
      </c>
      <c r="D590" s="99">
        <v>2204510.0000000005</v>
      </c>
      <c r="E590" s="99">
        <v>2405680.5000000005</v>
      </c>
      <c r="F590" s="99">
        <v>2567012.4999999995</v>
      </c>
      <c r="G590" s="99">
        <v>0</v>
      </c>
      <c r="H590" s="98" t="s">
        <v>225</v>
      </c>
      <c r="I590" s="99">
        <v>8</v>
      </c>
      <c r="J590" s="98" t="s">
        <v>229</v>
      </c>
      <c r="K590" s="99">
        <v>8</v>
      </c>
      <c r="L590" s="98" t="s">
        <v>229</v>
      </c>
      <c r="M590" s="98" t="s">
        <v>225</v>
      </c>
      <c r="N590" s="99">
        <v>8</v>
      </c>
      <c r="O590" s="100">
        <v>0</v>
      </c>
      <c r="P590" s="100">
        <v>3.3254623795637026E-2</v>
      </c>
      <c r="Q590" s="100">
        <v>3.1164632038215637E-2</v>
      </c>
    </row>
    <row r="591" spans="1:17" x14ac:dyDescent="0.35">
      <c r="A591" s="98" t="s">
        <v>33</v>
      </c>
      <c r="B591" s="98" t="s">
        <v>172</v>
      </c>
      <c r="C591" s="98" t="s">
        <v>224</v>
      </c>
      <c r="D591" s="99">
        <v>18653199</v>
      </c>
      <c r="E591" s="99">
        <v>22577057.999999996</v>
      </c>
      <c r="F591" s="99">
        <v>26207976.5</v>
      </c>
      <c r="G591" s="99">
        <v>6560</v>
      </c>
      <c r="H591" s="98">
        <v>2013</v>
      </c>
      <c r="I591" s="99">
        <v>55</v>
      </c>
      <c r="J591" s="98" t="s">
        <v>229</v>
      </c>
      <c r="K591" s="99">
        <v>2239</v>
      </c>
      <c r="L591" s="98">
        <v>2022</v>
      </c>
      <c r="M591" s="98" t="s">
        <v>225</v>
      </c>
      <c r="N591" s="99">
        <v>2239</v>
      </c>
      <c r="O591" s="100">
        <v>3.5168230393081639</v>
      </c>
      <c r="P591" s="100">
        <v>2.4361012847643838E-2</v>
      </c>
      <c r="Q591" s="100">
        <v>0.85432005786482601</v>
      </c>
    </row>
    <row r="592" spans="1:17" x14ac:dyDescent="0.35">
      <c r="A592" s="98" t="s">
        <v>33</v>
      </c>
      <c r="B592" s="98" t="s">
        <v>172</v>
      </c>
      <c r="C592" s="98" t="s">
        <v>227</v>
      </c>
      <c r="D592" s="99">
        <v>18653199</v>
      </c>
      <c r="E592" s="99">
        <v>22577057.999999996</v>
      </c>
      <c r="F592" s="99">
        <v>26207976.5</v>
      </c>
      <c r="G592" s="99">
        <v>0</v>
      </c>
      <c r="H592" s="98" t="s">
        <v>225</v>
      </c>
      <c r="I592" s="99">
        <v>42</v>
      </c>
      <c r="J592" s="98" t="s">
        <v>229</v>
      </c>
      <c r="K592" s="99">
        <v>42</v>
      </c>
      <c r="L592" s="98" t="s">
        <v>229</v>
      </c>
      <c r="M592" s="98" t="s">
        <v>225</v>
      </c>
      <c r="N592" s="99">
        <v>42</v>
      </c>
      <c r="O592" s="100">
        <v>0</v>
      </c>
      <c r="P592" s="100">
        <v>1.8602955265473477E-2</v>
      </c>
      <c r="Q592" s="100">
        <v>1.6025655395409868E-2</v>
      </c>
    </row>
    <row r="593" spans="1:17" x14ac:dyDescent="0.35">
      <c r="A593" s="98" t="s">
        <v>33</v>
      </c>
      <c r="B593" s="98" t="s">
        <v>172</v>
      </c>
      <c r="C593" s="98" t="s">
        <v>228</v>
      </c>
      <c r="D593" s="99">
        <v>18653199</v>
      </c>
      <c r="E593" s="99">
        <v>22577057.999999996</v>
      </c>
      <c r="F593" s="99">
        <v>26207976.5</v>
      </c>
      <c r="G593" s="99">
        <v>0</v>
      </c>
      <c r="H593" s="98" t="s">
        <v>225</v>
      </c>
      <c r="I593" s="99">
        <v>101</v>
      </c>
      <c r="J593" s="98" t="s">
        <v>229</v>
      </c>
      <c r="K593" s="99">
        <v>101</v>
      </c>
      <c r="L593" s="98" t="s">
        <v>229</v>
      </c>
      <c r="M593" s="98" t="s">
        <v>225</v>
      </c>
      <c r="N593" s="99">
        <v>101</v>
      </c>
      <c r="O593" s="100">
        <v>0</v>
      </c>
      <c r="P593" s="100">
        <v>4.47356781384005E-2</v>
      </c>
      <c r="Q593" s="100">
        <v>3.8537885593723731E-2</v>
      </c>
    </row>
    <row r="594" spans="1:17" x14ac:dyDescent="0.35">
      <c r="A594" s="98" t="s">
        <v>33</v>
      </c>
      <c r="B594" s="98" t="s">
        <v>172</v>
      </c>
      <c r="C594" s="98" t="s">
        <v>230</v>
      </c>
      <c r="D594" s="99">
        <v>18653199</v>
      </c>
      <c r="E594" s="99">
        <v>22577057.999999996</v>
      </c>
      <c r="F594" s="99">
        <v>26207976.5</v>
      </c>
      <c r="G594" s="99">
        <v>0</v>
      </c>
      <c r="H594" s="98" t="s">
        <v>225</v>
      </c>
      <c r="I594" s="99">
        <v>152</v>
      </c>
      <c r="J594" s="98" t="s">
        <v>229</v>
      </c>
      <c r="K594" s="99">
        <v>152</v>
      </c>
      <c r="L594" s="98" t="s">
        <v>229</v>
      </c>
      <c r="M594" s="98" t="s">
        <v>225</v>
      </c>
      <c r="N594" s="99">
        <v>152</v>
      </c>
      <c r="O594" s="100">
        <v>0</v>
      </c>
      <c r="P594" s="100">
        <v>6.7324980960761158E-2</v>
      </c>
      <c r="Q594" s="100">
        <v>5.7997610002435709E-2</v>
      </c>
    </row>
    <row r="595" spans="1:17" x14ac:dyDescent="0.35">
      <c r="A595" s="98" t="s">
        <v>33</v>
      </c>
      <c r="B595" s="98" t="s">
        <v>172</v>
      </c>
      <c r="C595" s="98" t="s">
        <v>231</v>
      </c>
      <c r="D595" s="99">
        <v>18653199</v>
      </c>
      <c r="E595" s="99">
        <v>22577057.999999996</v>
      </c>
      <c r="F595" s="99">
        <v>26207976.5</v>
      </c>
      <c r="G595" s="99">
        <v>0</v>
      </c>
      <c r="H595" s="98" t="s">
        <v>225</v>
      </c>
      <c r="I595" s="99">
        <v>226</v>
      </c>
      <c r="J595" s="98" t="s">
        <v>229</v>
      </c>
      <c r="K595" s="99">
        <v>226</v>
      </c>
      <c r="L595" s="98" t="s">
        <v>229</v>
      </c>
      <c r="M595" s="98" t="s">
        <v>225</v>
      </c>
      <c r="N595" s="99">
        <v>226</v>
      </c>
      <c r="O595" s="100">
        <v>0</v>
      </c>
      <c r="P595" s="100">
        <v>0.10010161642850013</v>
      </c>
      <c r="Q595" s="100">
        <v>8.623328855625309E-2</v>
      </c>
    </row>
    <row r="596" spans="1:17" x14ac:dyDescent="0.35">
      <c r="A596" s="98" t="s">
        <v>33</v>
      </c>
      <c r="B596" s="98" t="s">
        <v>172</v>
      </c>
      <c r="C596" s="98" t="s">
        <v>232</v>
      </c>
      <c r="D596" s="99">
        <v>18653199</v>
      </c>
      <c r="E596" s="99">
        <v>22577057.999999996</v>
      </c>
      <c r="F596" s="99">
        <v>26207976.5</v>
      </c>
      <c r="G596" s="99">
        <v>0</v>
      </c>
      <c r="H596" s="98" t="s">
        <v>225</v>
      </c>
      <c r="I596" s="99">
        <v>11</v>
      </c>
      <c r="J596" s="98" t="s">
        <v>229</v>
      </c>
      <c r="K596" s="99">
        <v>6</v>
      </c>
      <c r="L596" s="98">
        <v>2022</v>
      </c>
      <c r="M596" s="98" t="s">
        <v>226</v>
      </c>
      <c r="N596" s="99">
        <v>6.895791865922491</v>
      </c>
      <c r="O596" s="100">
        <v>0</v>
      </c>
      <c r="P596" s="100">
        <v>4.8722025695287679E-3</v>
      </c>
      <c r="Q596" s="100">
        <v>2.6311805743272441E-3</v>
      </c>
    </row>
    <row r="597" spans="1:17" x14ac:dyDescent="0.35">
      <c r="A597" s="98" t="s">
        <v>33</v>
      </c>
      <c r="B597" s="98" t="s">
        <v>172</v>
      </c>
      <c r="C597" s="98" t="s">
        <v>233</v>
      </c>
      <c r="D597" s="99">
        <v>18653199</v>
      </c>
      <c r="E597" s="99">
        <v>22577057.999999996</v>
      </c>
      <c r="F597" s="99">
        <v>26207976.5</v>
      </c>
      <c r="G597" s="99">
        <v>0</v>
      </c>
      <c r="H597" s="98" t="s">
        <v>225</v>
      </c>
      <c r="I597" s="99">
        <v>432</v>
      </c>
      <c r="J597" s="98">
        <v>2018</v>
      </c>
      <c r="K597" s="99">
        <v>432</v>
      </c>
      <c r="L597" s="98">
        <v>2018</v>
      </c>
      <c r="M597" s="98" t="s">
        <v>225</v>
      </c>
      <c r="N597" s="99">
        <v>432</v>
      </c>
      <c r="O597" s="100">
        <v>0</v>
      </c>
      <c r="P597" s="100">
        <v>0.19134468273058433</v>
      </c>
      <c r="Q597" s="100">
        <v>0.16483531263850149</v>
      </c>
    </row>
    <row r="598" spans="1:17" x14ac:dyDescent="0.35">
      <c r="A598" s="98" t="s">
        <v>33</v>
      </c>
      <c r="B598" s="98" t="s">
        <v>172</v>
      </c>
      <c r="C598" s="98" t="s">
        <v>234</v>
      </c>
      <c r="D598" s="99">
        <v>18653199</v>
      </c>
      <c r="E598" s="99">
        <v>22577057.999999996</v>
      </c>
      <c r="F598" s="99">
        <v>26207976.5</v>
      </c>
      <c r="G598" s="99">
        <v>0</v>
      </c>
      <c r="H598" s="98" t="s">
        <v>225</v>
      </c>
      <c r="I598" s="99">
        <v>439</v>
      </c>
      <c r="J598" s="98">
        <v>2018</v>
      </c>
      <c r="K598" s="99">
        <v>439</v>
      </c>
      <c r="L598" s="98">
        <v>2018</v>
      </c>
      <c r="M598" s="98" t="s">
        <v>225</v>
      </c>
      <c r="N598" s="99">
        <v>439</v>
      </c>
      <c r="O598" s="100">
        <v>0</v>
      </c>
      <c r="P598" s="100">
        <v>0.19444517527482991</v>
      </c>
      <c r="Q598" s="100">
        <v>0.16750625520440313</v>
      </c>
    </row>
    <row r="599" spans="1:17" x14ac:dyDescent="0.35">
      <c r="A599" s="98" t="s">
        <v>33</v>
      </c>
      <c r="B599" s="98" t="s">
        <v>172</v>
      </c>
      <c r="C599" s="98" t="s">
        <v>235</v>
      </c>
      <c r="D599" s="99">
        <v>18653199</v>
      </c>
      <c r="E599" s="99">
        <v>22577057.999999996</v>
      </c>
      <c r="F599" s="99">
        <v>26207976.5</v>
      </c>
      <c r="G599" s="99">
        <v>0</v>
      </c>
      <c r="H599" s="98" t="s">
        <v>225</v>
      </c>
      <c r="I599" s="99">
        <v>82</v>
      </c>
      <c r="J599" s="98" t="s">
        <v>229</v>
      </c>
      <c r="K599" s="99">
        <v>82</v>
      </c>
      <c r="L599" s="98" t="s">
        <v>229</v>
      </c>
      <c r="M599" s="98" t="s">
        <v>225</v>
      </c>
      <c r="N599" s="99">
        <v>82</v>
      </c>
      <c r="O599" s="100">
        <v>0</v>
      </c>
      <c r="P599" s="100">
        <v>3.6320055518305361E-2</v>
      </c>
      <c r="Q599" s="100">
        <v>3.1288184343419262E-2</v>
      </c>
    </row>
    <row r="600" spans="1:17" x14ac:dyDescent="0.35">
      <c r="A600" s="98" t="s">
        <v>33</v>
      </c>
      <c r="B600" s="98" t="s">
        <v>172</v>
      </c>
      <c r="C600" s="98" t="s">
        <v>236</v>
      </c>
      <c r="D600" s="99">
        <v>18653199</v>
      </c>
      <c r="E600" s="99">
        <v>22577057.999999996</v>
      </c>
      <c r="F600" s="99">
        <v>26207976.5</v>
      </c>
      <c r="G600" s="99">
        <v>0</v>
      </c>
      <c r="H600" s="98" t="s">
        <v>225</v>
      </c>
      <c r="I600" s="99">
        <v>22</v>
      </c>
      <c r="J600" s="98" t="s">
        <v>229</v>
      </c>
      <c r="K600" s="99">
        <v>22</v>
      </c>
      <c r="L600" s="98" t="s">
        <v>229</v>
      </c>
      <c r="M600" s="98" t="s">
        <v>225</v>
      </c>
      <c r="N600" s="99">
        <v>22</v>
      </c>
      <c r="O600" s="100">
        <v>0</v>
      </c>
      <c r="P600" s="100">
        <v>9.7444051390575357E-3</v>
      </c>
      <c r="Q600" s="100">
        <v>8.394390921405169E-3</v>
      </c>
    </row>
    <row r="601" spans="1:17" x14ac:dyDescent="0.35">
      <c r="A601" s="98" t="s">
        <v>33</v>
      </c>
      <c r="B601" s="98" t="s">
        <v>172</v>
      </c>
      <c r="C601" s="98" t="s">
        <v>237</v>
      </c>
      <c r="D601" s="99">
        <v>18653199</v>
      </c>
      <c r="E601" s="99">
        <v>22577057.999999996</v>
      </c>
      <c r="F601" s="99">
        <v>26207976.5</v>
      </c>
      <c r="G601" s="99">
        <v>0</v>
      </c>
      <c r="H601" s="98" t="s">
        <v>225</v>
      </c>
      <c r="I601" s="99">
        <v>0</v>
      </c>
      <c r="J601" s="98" t="s">
        <v>225</v>
      </c>
      <c r="K601" s="99">
        <v>0</v>
      </c>
      <c r="L601" s="98" t="s">
        <v>225</v>
      </c>
      <c r="M601" s="98" t="s">
        <v>225</v>
      </c>
      <c r="N601" s="99">
        <v>0</v>
      </c>
      <c r="O601" s="100">
        <v>0</v>
      </c>
      <c r="P601" s="100">
        <v>0</v>
      </c>
      <c r="Q601" s="100">
        <v>0</v>
      </c>
    </row>
    <row r="602" spans="1:17" x14ac:dyDescent="0.35">
      <c r="A602" s="98" t="s">
        <v>33</v>
      </c>
      <c r="B602" s="98" t="s">
        <v>172</v>
      </c>
      <c r="C602" s="98" t="s">
        <v>238</v>
      </c>
      <c r="D602" s="99">
        <v>18653199</v>
      </c>
      <c r="E602" s="99">
        <v>22577057.999999996</v>
      </c>
      <c r="F602" s="99">
        <v>26207976.5</v>
      </c>
      <c r="G602" s="99">
        <v>0</v>
      </c>
      <c r="H602" s="98" t="s">
        <v>225</v>
      </c>
      <c r="I602" s="99">
        <v>542</v>
      </c>
      <c r="J602" s="98" t="s">
        <v>229</v>
      </c>
      <c r="K602" s="99">
        <v>542</v>
      </c>
      <c r="L602" s="98" t="s">
        <v>229</v>
      </c>
      <c r="M602" s="98" t="s">
        <v>225</v>
      </c>
      <c r="N602" s="99">
        <v>542</v>
      </c>
      <c r="O602" s="100">
        <v>0</v>
      </c>
      <c r="P602" s="100">
        <v>0.24006670842587199</v>
      </c>
      <c r="Q602" s="100">
        <v>0.20680726724552734</v>
      </c>
    </row>
    <row r="603" spans="1:17" x14ac:dyDescent="0.35">
      <c r="A603" s="98" t="s">
        <v>33</v>
      </c>
      <c r="B603" s="98" t="s">
        <v>172</v>
      </c>
      <c r="C603" s="98" t="s">
        <v>239</v>
      </c>
      <c r="D603" s="99">
        <v>18653199</v>
      </c>
      <c r="E603" s="99">
        <v>22577057.999999996</v>
      </c>
      <c r="F603" s="99">
        <v>26207976.5</v>
      </c>
      <c r="G603" s="99">
        <v>0</v>
      </c>
      <c r="H603" s="98" t="s">
        <v>225</v>
      </c>
      <c r="I603" s="99">
        <v>462</v>
      </c>
      <c r="J603" s="98" t="s">
        <v>229</v>
      </c>
      <c r="K603" s="99">
        <v>462</v>
      </c>
      <c r="L603" s="98" t="s">
        <v>229</v>
      </c>
      <c r="M603" s="98" t="s">
        <v>225</v>
      </c>
      <c r="N603" s="99">
        <v>462</v>
      </c>
      <c r="O603" s="100">
        <v>0</v>
      </c>
      <c r="P603" s="100">
        <v>0.20463250792020823</v>
      </c>
      <c r="Q603" s="100">
        <v>0.17628220934950853</v>
      </c>
    </row>
    <row r="604" spans="1:17" x14ac:dyDescent="0.35">
      <c r="A604" s="98" t="s">
        <v>33</v>
      </c>
      <c r="B604" s="98" t="s">
        <v>172</v>
      </c>
      <c r="C604" s="98" t="s">
        <v>240</v>
      </c>
      <c r="D604" s="99">
        <v>18653199</v>
      </c>
      <c r="E604" s="99">
        <v>22577057.999999996</v>
      </c>
      <c r="F604" s="99">
        <v>26207976.5</v>
      </c>
      <c r="G604" s="99">
        <v>0</v>
      </c>
      <c r="H604" s="98" t="s">
        <v>225</v>
      </c>
      <c r="I604" s="99">
        <v>432</v>
      </c>
      <c r="J604" s="98" t="s">
        <v>229</v>
      </c>
      <c r="K604" s="99">
        <v>418</v>
      </c>
      <c r="L604" s="98">
        <v>2022</v>
      </c>
      <c r="M604" s="98" t="s">
        <v>226</v>
      </c>
      <c r="N604" s="99">
        <v>480.40683332593352</v>
      </c>
      <c r="O604" s="100">
        <v>0</v>
      </c>
      <c r="P604" s="100">
        <v>0.19134468273058433</v>
      </c>
      <c r="Q604" s="100">
        <v>0.18330558001146463</v>
      </c>
    </row>
    <row r="605" spans="1:17" x14ac:dyDescent="0.35">
      <c r="A605" s="98" t="s">
        <v>33</v>
      </c>
      <c r="B605" s="98" t="s">
        <v>172</v>
      </c>
      <c r="C605" s="98" t="s">
        <v>241</v>
      </c>
      <c r="D605" s="99">
        <v>18653199</v>
      </c>
      <c r="E605" s="99">
        <v>22577057.999999996</v>
      </c>
      <c r="F605" s="99">
        <v>26207976.5</v>
      </c>
      <c r="G605" s="99">
        <v>0</v>
      </c>
      <c r="H605" s="98" t="s">
        <v>225</v>
      </c>
      <c r="I605" s="99">
        <v>598</v>
      </c>
      <c r="J605" s="98" t="s">
        <v>229</v>
      </c>
      <c r="K605" s="99">
        <v>1592</v>
      </c>
      <c r="L605" s="98">
        <v>2022</v>
      </c>
      <c r="M605" s="98" t="s">
        <v>225</v>
      </c>
      <c r="N605" s="99">
        <v>1592</v>
      </c>
      <c r="O605" s="100">
        <v>0</v>
      </c>
      <c r="P605" s="100">
        <v>0.26487064877983663</v>
      </c>
      <c r="Q605" s="100">
        <v>0.60744865213077404</v>
      </c>
    </row>
    <row r="606" spans="1:17" x14ac:dyDescent="0.35">
      <c r="A606" s="98" t="s">
        <v>33</v>
      </c>
      <c r="B606" s="98" t="s">
        <v>172</v>
      </c>
      <c r="C606" s="98" t="s">
        <v>242</v>
      </c>
      <c r="D606" s="99">
        <v>18653199</v>
      </c>
      <c r="E606" s="99">
        <v>22577057.999999996</v>
      </c>
      <c r="F606" s="99">
        <v>26207976.5</v>
      </c>
      <c r="G606" s="99">
        <v>0</v>
      </c>
      <c r="H606" s="98" t="s">
        <v>225</v>
      </c>
      <c r="I606" s="99">
        <v>0</v>
      </c>
      <c r="J606" s="98" t="s">
        <v>225</v>
      </c>
      <c r="K606" s="99">
        <v>0</v>
      </c>
      <c r="L606" s="98" t="s">
        <v>225</v>
      </c>
      <c r="M606" s="98" t="s">
        <v>225</v>
      </c>
      <c r="N606" s="99">
        <v>0</v>
      </c>
      <c r="O606" s="100">
        <v>0</v>
      </c>
      <c r="P606" s="100">
        <v>0</v>
      </c>
      <c r="Q606" s="100">
        <v>0</v>
      </c>
    </row>
    <row r="607" spans="1:17" x14ac:dyDescent="0.35">
      <c r="A607" s="98" t="s">
        <v>33</v>
      </c>
      <c r="B607" s="98" t="s">
        <v>172</v>
      </c>
      <c r="C607" s="98" t="s">
        <v>243</v>
      </c>
      <c r="D607" s="99">
        <v>18653199</v>
      </c>
      <c r="E607" s="99">
        <v>22577057.999999996</v>
      </c>
      <c r="F607" s="99">
        <v>26207976.5</v>
      </c>
      <c r="G607" s="99">
        <v>0</v>
      </c>
      <c r="H607" s="98" t="s">
        <v>225</v>
      </c>
      <c r="I607" s="99">
        <v>0</v>
      </c>
      <c r="J607" s="98" t="s">
        <v>225</v>
      </c>
      <c r="K607" s="99">
        <v>0</v>
      </c>
      <c r="L607" s="98" t="s">
        <v>225</v>
      </c>
      <c r="M607" s="98" t="s">
        <v>225</v>
      </c>
      <c r="N607" s="99">
        <v>0</v>
      </c>
      <c r="O607" s="100">
        <v>0</v>
      </c>
      <c r="P607" s="100">
        <v>0</v>
      </c>
      <c r="Q607" s="100">
        <v>0</v>
      </c>
    </row>
    <row r="608" spans="1:17" x14ac:dyDescent="0.35">
      <c r="A608" s="98" t="s">
        <v>33</v>
      </c>
      <c r="B608" s="98" t="s">
        <v>172</v>
      </c>
      <c r="C608" s="98" t="s">
        <v>244</v>
      </c>
      <c r="D608" s="99">
        <v>18653199</v>
      </c>
      <c r="E608" s="99">
        <v>22577057.999999996</v>
      </c>
      <c r="F608" s="99">
        <v>26207976.5</v>
      </c>
      <c r="G608" s="99">
        <v>0</v>
      </c>
      <c r="H608" s="98" t="s">
        <v>225</v>
      </c>
      <c r="I608" s="99">
        <v>0</v>
      </c>
      <c r="J608" s="98" t="s">
        <v>225</v>
      </c>
      <c r="K608" s="99">
        <v>0</v>
      </c>
      <c r="L608" s="98" t="s">
        <v>225</v>
      </c>
      <c r="M608" s="98" t="s">
        <v>225</v>
      </c>
      <c r="N608" s="99">
        <v>0</v>
      </c>
      <c r="O608" s="100">
        <v>0</v>
      </c>
      <c r="P608" s="100">
        <v>0</v>
      </c>
      <c r="Q608" s="100">
        <v>0</v>
      </c>
    </row>
    <row r="609" spans="1:17" x14ac:dyDescent="0.35">
      <c r="A609" s="98" t="s">
        <v>33</v>
      </c>
      <c r="B609" s="98" t="s">
        <v>172</v>
      </c>
      <c r="C609" s="98" t="s">
        <v>245</v>
      </c>
      <c r="D609" s="99">
        <v>18653199</v>
      </c>
      <c r="E609" s="99">
        <v>22577057.999999996</v>
      </c>
      <c r="F609" s="99">
        <v>26207976.5</v>
      </c>
      <c r="G609" s="99">
        <v>0</v>
      </c>
      <c r="H609" s="98" t="s">
        <v>225</v>
      </c>
      <c r="I609" s="99">
        <v>0</v>
      </c>
      <c r="J609" s="98" t="s">
        <v>225</v>
      </c>
      <c r="K609" s="99">
        <v>0</v>
      </c>
      <c r="L609" s="98" t="s">
        <v>225</v>
      </c>
      <c r="M609" s="98" t="s">
        <v>225</v>
      </c>
      <c r="N609" s="99">
        <v>0</v>
      </c>
      <c r="O609" s="100">
        <v>0</v>
      </c>
      <c r="P609" s="100">
        <v>0</v>
      </c>
      <c r="Q609" s="100">
        <v>0</v>
      </c>
    </row>
    <row r="610" spans="1:17" x14ac:dyDescent="0.35">
      <c r="A610" s="98" t="s">
        <v>34</v>
      </c>
      <c r="B610" s="98" t="s">
        <v>173</v>
      </c>
      <c r="C610" s="98" t="s">
        <v>224</v>
      </c>
      <c r="D610" s="99">
        <v>174726123.50000006</v>
      </c>
      <c r="E610" s="99">
        <v>198387623.50000006</v>
      </c>
      <c r="F610" s="99">
        <v>218541211.50000003</v>
      </c>
      <c r="G610" s="99">
        <v>0</v>
      </c>
      <c r="H610" s="98" t="s">
        <v>225</v>
      </c>
      <c r="I610" s="99">
        <v>116454</v>
      </c>
      <c r="J610" s="98">
        <v>2018</v>
      </c>
      <c r="K610" s="99">
        <v>154477</v>
      </c>
      <c r="L610" s="98">
        <v>2022</v>
      </c>
      <c r="M610" s="98" t="s">
        <v>225</v>
      </c>
      <c r="N610" s="99">
        <v>154477</v>
      </c>
      <c r="O610" s="100">
        <v>0</v>
      </c>
      <c r="P610" s="100">
        <v>5.8700234392393922</v>
      </c>
      <c r="Q610" s="100">
        <v>7.0685523769048926</v>
      </c>
    </row>
    <row r="611" spans="1:17" x14ac:dyDescent="0.35">
      <c r="A611" s="98" t="s">
        <v>34</v>
      </c>
      <c r="B611" s="98" t="s">
        <v>173</v>
      </c>
      <c r="C611" s="98" t="s">
        <v>227</v>
      </c>
      <c r="D611" s="99">
        <v>174726123.50000006</v>
      </c>
      <c r="E611" s="99">
        <v>198387623.50000006</v>
      </c>
      <c r="F611" s="99">
        <v>218541211.50000003</v>
      </c>
      <c r="G611" s="99">
        <v>0</v>
      </c>
      <c r="H611" s="98" t="s">
        <v>225</v>
      </c>
      <c r="I611" s="99">
        <v>7</v>
      </c>
      <c r="J611" s="98">
        <v>2018</v>
      </c>
      <c r="K611" s="99">
        <v>77</v>
      </c>
      <c r="L611" s="98">
        <v>2021</v>
      </c>
      <c r="M611" s="98" t="s">
        <v>225</v>
      </c>
      <c r="N611" s="99">
        <v>77</v>
      </c>
      <c r="O611" s="100">
        <v>0</v>
      </c>
      <c r="P611" s="100">
        <v>3.5284459163855038E-4</v>
      </c>
      <c r="Q611" s="100">
        <v>3.5233629150079088E-3</v>
      </c>
    </row>
    <row r="612" spans="1:17" x14ac:dyDescent="0.35">
      <c r="A612" s="98" t="s">
        <v>34</v>
      </c>
      <c r="B612" s="98" t="s">
        <v>173</v>
      </c>
      <c r="C612" s="98" t="s">
        <v>228</v>
      </c>
      <c r="D612" s="99">
        <v>174726123.50000006</v>
      </c>
      <c r="E612" s="99">
        <v>198387623.50000006</v>
      </c>
      <c r="F612" s="99">
        <v>218541211.50000003</v>
      </c>
      <c r="G612" s="99">
        <v>0</v>
      </c>
      <c r="H612" s="98" t="s">
        <v>225</v>
      </c>
      <c r="I612" s="99">
        <v>14645</v>
      </c>
      <c r="J612" s="98" t="s">
        <v>229</v>
      </c>
      <c r="K612" s="99">
        <v>14645</v>
      </c>
      <c r="L612" s="98" t="s">
        <v>229</v>
      </c>
      <c r="M612" s="98" t="s">
        <v>225</v>
      </c>
      <c r="N612" s="99">
        <v>14645</v>
      </c>
      <c r="O612" s="100">
        <v>0</v>
      </c>
      <c r="P612" s="100">
        <v>0.73820129207808149</v>
      </c>
      <c r="Q612" s="100">
        <v>0.6701253232505302</v>
      </c>
    </row>
    <row r="613" spans="1:17" x14ac:dyDescent="0.35">
      <c r="A613" s="98" t="s">
        <v>34</v>
      </c>
      <c r="B613" s="98" t="s">
        <v>173</v>
      </c>
      <c r="C613" s="98" t="s">
        <v>230</v>
      </c>
      <c r="D613" s="99">
        <v>174726123.50000006</v>
      </c>
      <c r="E613" s="99">
        <v>198387623.50000006</v>
      </c>
      <c r="F613" s="99">
        <v>218541211.50000003</v>
      </c>
      <c r="G613" s="99">
        <v>0</v>
      </c>
      <c r="H613" s="98" t="s">
        <v>225</v>
      </c>
      <c r="I613" s="99">
        <v>0</v>
      </c>
      <c r="J613" s="98" t="s">
        <v>225</v>
      </c>
      <c r="K613" s="99">
        <v>0</v>
      </c>
      <c r="L613" s="98" t="s">
        <v>225</v>
      </c>
      <c r="M613" s="98" t="s">
        <v>225</v>
      </c>
      <c r="N613" s="99">
        <v>0</v>
      </c>
      <c r="O613" s="100">
        <v>0</v>
      </c>
      <c r="P613" s="100">
        <v>0</v>
      </c>
      <c r="Q613" s="100">
        <v>0</v>
      </c>
    </row>
    <row r="614" spans="1:17" x14ac:dyDescent="0.35">
      <c r="A614" s="98" t="s">
        <v>34</v>
      </c>
      <c r="B614" s="98" t="s">
        <v>173</v>
      </c>
      <c r="C614" s="98" t="s">
        <v>231</v>
      </c>
      <c r="D614" s="99">
        <v>174726123.50000006</v>
      </c>
      <c r="E614" s="99">
        <v>198387623.50000006</v>
      </c>
      <c r="F614" s="99">
        <v>218541211.50000003</v>
      </c>
      <c r="G614" s="99">
        <v>0</v>
      </c>
      <c r="H614" s="98" t="s">
        <v>225</v>
      </c>
      <c r="I614" s="99">
        <v>0</v>
      </c>
      <c r="J614" s="98" t="s">
        <v>225</v>
      </c>
      <c r="K614" s="99">
        <v>0</v>
      </c>
      <c r="L614" s="98" t="s">
        <v>225</v>
      </c>
      <c r="M614" s="98" t="s">
        <v>225</v>
      </c>
      <c r="N614" s="99">
        <v>0</v>
      </c>
      <c r="O614" s="100">
        <v>0</v>
      </c>
      <c r="P614" s="100">
        <v>0</v>
      </c>
      <c r="Q614" s="100">
        <v>0</v>
      </c>
    </row>
    <row r="615" spans="1:17" x14ac:dyDescent="0.35">
      <c r="A615" s="98" t="s">
        <v>34</v>
      </c>
      <c r="B615" s="98" t="s">
        <v>173</v>
      </c>
      <c r="C615" s="98" t="s">
        <v>232</v>
      </c>
      <c r="D615" s="99">
        <v>174726123.50000006</v>
      </c>
      <c r="E615" s="99">
        <v>198387623.50000006</v>
      </c>
      <c r="F615" s="99">
        <v>218541211.50000003</v>
      </c>
      <c r="G615" s="99">
        <v>0</v>
      </c>
      <c r="H615" s="98" t="s">
        <v>225</v>
      </c>
      <c r="I615" s="99">
        <v>6165</v>
      </c>
      <c r="J615" s="98">
        <v>2018</v>
      </c>
      <c r="K615" s="99">
        <v>280</v>
      </c>
      <c r="L615" s="98">
        <v>2022</v>
      </c>
      <c r="M615" s="98" t="s">
        <v>226</v>
      </c>
      <c r="N615" s="99">
        <v>321.80362040971625</v>
      </c>
      <c r="O615" s="100">
        <v>0</v>
      </c>
      <c r="P615" s="100">
        <v>0.3107552724930947</v>
      </c>
      <c r="Q615" s="100">
        <v>1.4725077169699693E-2</v>
      </c>
    </row>
    <row r="616" spans="1:17" x14ac:dyDescent="0.35">
      <c r="A616" s="98" t="s">
        <v>34</v>
      </c>
      <c r="B616" s="98" t="s">
        <v>173</v>
      </c>
      <c r="C616" s="98" t="s">
        <v>233</v>
      </c>
      <c r="D616" s="99">
        <v>174726123.50000006</v>
      </c>
      <c r="E616" s="99">
        <v>198387623.50000006</v>
      </c>
      <c r="F616" s="99">
        <v>218541211.50000003</v>
      </c>
      <c r="G616" s="99">
        <v>0</v>
      </c>
      <c r="H616" s="98" t="s">
        <v>225</v>
      </c>
      <c r="I616" s="99">
        <v>26677</v>
      </c>
      <c r="J616" s="98">
        <v>2018</v>
      </c>
      <c r="K616" s="99">
        <v>36833</v>
      </c>
      <c r="L616" s="98">
        <v>2022</v>
      </c>
      <c r="M616" s="98" t="s">
        <v>225</v>
      </c>
      <c r="N616" s="99">
        <v>36833</v>
      </c>
      <c r="O616" s="100">
        <v>0</v>
      </c>
      <c r="P616" s="100">
        <v>1.3446907387345155</v>
      </c>
      <c r="Q616" s="100">
        <v>1.6854029382920299</v>
      </c>
    </row>
    <row r="617" spans="1:17" x14ac:dyDescent="0.35">
      <c r="A617" s="98" t="s">
        <v>34</v>
      </c>
      <c r="B617" s="98" t="s">
        <v>173</v>
      </c>
      <c r="C617" s="98" t="s">
        <v>234</v>
      </c>
      <c r="D617" s="99">
        <v>174726123.50000006</v>
      </c>
      <c r="E617" s="99">
        <v>198387623.50000006</v>
      </c>
      <c r="F617" s="99">
        <v>218541211.50000003</v>
      </c>
      <c r="G617" s="99">
        <v>0</v>
      </c>
      <c r="H617" s="98" t="s">
        <v>225</v>
      </c>
      <c r="I617" s="99">
        <v>0</v>
      </c>
      <c r="J617" s="98" t="s">
        <v>225</v>
      </c>
      <c r="K617" s="99">
        <v>0</v>
      </c>
      <c r="L617" s="98" t="s">
        <v>225</v>
      </c>
      <c r="M617" s="98" t="s">
        <v>225</v>
      </c>
      <c r="N617" s="99">
        <v>0</v>
      </c>
      <c r="O617" s="100">
        <v>0</v>
      </c>
      <c r="P617" s="100">
        <v>0</v>
      </c>
      <c r="Q617" s="100">
        <v>0</v>
      </c>
    </row>
    <row r="618" spans="1:17" x14ac:dyDescent="0.35">
      <c r="A618" s="98" t="s">
        <v>34</v>
      </c>
      <c r="B618" s="98" t="s">
        <v>173</v>
      </c>
      <c r="C618" s="98" t="s">
        <v>235</v>
      </c>
      <c r="D618" s="99">
        <v>174726123.50000006</v>
      </c>
      <c r="E618" s="99">
        <v>198387623.50000006</v>
      </c>
      <c r="F618" s="99">
        <v>218541211.50000003</v>
      </c>
      <c r="G618" s="99">
        <v>0</v>
      </c>
      <c r="H618" s="98" t="s">
        <v>225</v>
      </c>
      <c r="I618" s="99">
        <v>2648</v>
      </c>
      <c r="J618" s="98" t="s">
        <v>229</v>
      </c>
      <c r="K618" s="99">
        <v>4262</v>
      </c>
      <c r="L618" s="98">
        <v>2022</v>
      </c>
      <c r="M618" s="98" t="s">
        <v>225</v>
      </c>
      <c r="N618" s="99">
        <v>4262</v>
      </c>
      <c r="O618" s="100">
        <v>0</v>
      </c>
      <c r="P618" s="100">
        <v>0.13347606837984019</v>
      </c>
      <c r="Q618" s="100">
        <v>0.19502042524368451</v>
      </c>
    </row>
    <row r="619" spans="1:17" x14ac:dyDescent="0.35">
      <c r="A619" s="98" t="s">
        <v>34</v>
      </c>
      <c r="B619" s="98" t="s">
        <v>173</v>
      </c>
      <c r="C619" s="98" t="s">
        <v>236</v>
      </c>
      <c r="D619" s="99">
        <v>174726123.50000006</v>
      </c>
      <c r="E619" s="99">
        <v>198387623.50000006</v>
      </c>
      <c r="F619" s="99">
        <v>218541211.50000003</v>
      </c>
      <c r="G619" s="99">
        <v>0</v>
      </c>
      <c r="H619" s="98" t="s">
        <v>225</v>
      </c>
      <c r="I619" s="99">
        <v>34393</v>
      </c>
      <c r="J619" s="98" t="s">
        <v>229</v>
      </c>
      <c r="K619" s="99">
        <v>27247</v>
      </c>
      <c r="L619" s="98" t="s">
        <v>229</v>
      </c>
      <c r="M619" s="98" t="s">
        <v>226</v>
      </c>
      <c r="N619" s="99">
        <v>31314.940161798353</v>
      </c>
      <c r="O619" s="100">
        <v>0</v>
      </c>
      <c r="P619" s="100">
        <v>1.7336262914606662</v>
      </c>
      <c r="Q619" s="100">
        <v>1.4329077772957413</v>
      </c>
    </row>
    <row r="620" spans="1:17" x14ac:dyDescent="0.35">
      <c r="A620" s="98" t="s">
        <v>34</v>
      </c>
      <c r="B620" s="98" t="s">
        <v>173</v>
      </c>
      <c r="C620" s="98" t="s">
        <v>237</v>
      </c>
      <c r="D620" s="99">
        <v>174726123.50000006</v>
      </c>
      <c r="E620" s="99">
        <v>198387623.50000006</v>
      </c>
      <c r="F620" s="99">
        <v>218541211.50000003</v>
      </c>
      <c r="G620" s="99">
        <v>0</v>
      </c>
      <c r="H620" s="98" t="s">
        <v>225</v>
      </c>
      <c r="I620" s="99">
        <v>5371</v>
      </c>
      <c r="J620" s="98" t="s">
        <v>229</v>
      </c>
      <c r="K620" s="99">
        <v>5632</v>
      </c>
      <c r="L620" s="98">
        <v>2022</v>
      </c>
      <c r="M620" s="98" t="s">
        <v>225</v>
      </c>
      <c r="N620" s="99">
        <v>5632</v>
      </c>
      <c r="O620" s="100">
        <v>0</v>
      </c>
      <c r="P620" s="100">
        <v>0.27073261452723629</v>
      </c>
      <c r="Q620" s="100">
        <v>0.25770883035486419</v>
      </c>
    </row>
    <row r="621" spans="1:17" x14ac:dyDescent="0.35">
      <c r="A621" s="98" t="s">
        <v>34</v>
      </c>
      <c r="B621" s="98" t="s">
        <v>173</v>
      </c>
      <c r="C621" s="98" t="s">
        <v>238</v>
      </c>
      <c r="D621" s="99">
        <v>174726123.50000006</v>
      </c>
      <c r="E621" s="99">
        <v>198387623.50000006</v>
      </c>
      <c r="F621" s="99">
        <v>218541211.50000003</v>
      </c>
      <c r="G621" s="99">
        <v>0</v>
      </c>
      <c r="H621" s="98" t="s">
        <v>225</v>
      </c>
      <c r="I621" s="99">
        <v>0</v>
      </c>
      <c r="J621" s="98" t="s">
        <v>225</v>
      </c>
      <c r="K621" s="99">
        <v>0</v>
      </c>
      <c r="L621" s="98" t="s">
        <v>225</v>
      </c>
      <c r="M621" s="98" t="s">
        <v>225</v>
      </c>
      <c r="N621" s="99">
        <v>0</v>
      </c>
      <c r="O621" s="100">
        <v>0</v>
      </c>
      <c r="P621" s="100">
        <v>0</v>
      </c>
      <c r="Q621" s="100">
        <v>0</v>
      </c>
    </row>
    <row r="622" spans="1:17" x14ac:dyDescent="0.35">
      <c r="A622" s="98" t="s">
        <v>34</v>
      </c>
      <c r="B622" s="98" t="s">
        <v>173</v>
      </c>
      <c r="C622" s="98" t="s">
        <v>239</v>
      </c>
      <c r="D622" s="99">
        <v>174726123.50000006</v>
      </c>
      <c r="E622" s="99">
        <v>198387623.50000006</v>
      </c>
      <c r="F622" s="99">
        <v>218541211.50000003</v>
      </c>
      <c r="G622" s="99">
        <v>0</v>
      </c>
      <c r="H622" s="98" t="s">
        <v>225</v>
      </c>
      <c r="I622" s="99">
        <v>3919</v>
      </c>
      <c r="J622" s="98" t="s">
        <v>229</v>
      </c>
      <c r="K622" s="99">
        <v>3919</v>
      </c>
      <c r="L622" s="98" t="s">
        <v>229</v>
      </c>
      <c r="M622" s="98" t="s">
        <v>225</v>
      </c>
      <c r="N622" s="99">
        <v>3919</v>
      </c>
      <c r="O622" s="100">
        <v>0</v>
      </c>
      <c r="P622" s="100">
        <v>0.19754256494735412</v>
      </c>
      <c r="Q622" s="100">
        <v>0.17932544498592201</v>
      </c>
    </row>
    <row r="623" spans="1:17" x14ac:dyDescent="0.35">
      <c r="A623" s="98" t="s">
        <v>34</v>
      </c>
      <c r="B623" s="98" t="s">
        <v>173</v>
      </c>
      <c r="C623" s="98" t="s">
        <v>240</v>
      </c>
      <c r="D623" s="99">
        <v>174726123.50000006</v>
      </c>
      <c r="E623" s="99">
        <v>198387623.50000006</v>
      </c>
      <c r="F623" s="99">
        <v>218541211.50000003</v>
      </c>
      <c r="G623" s="99">
        <v>0</v>
      </c>
      <c r="H623" s="98" t="s">
        <v>225</v>
      </c>
      <c r="I623" s="99">
        <v>311269</v>
      </c>
      <c r="J623" s="98" t="s">
        <v>229</v>
      </c>
      <c r="K623" s="99">
        <v>38712</v>
      </c>
      <c r="L623" s="98">
        <v>2022</v>
      </c>
      <c r="M623" s="98" t="s">
        <v>226</v>
      </c>
      <c r="N623" s="99">
        <v>44491.649118931913</v>
      </c>
      <c r="O623" s="100">
        <v>0</v>
      </c>
      <c r="P623" s="100">
        <v>15.689940456391419</v>
      </c>
      <c r="Q623" s="100">
        <v>2.0358470978336234</v>
      </c>
    </row>
    <row r="624" spans="1:17" x14ac:dyDescent="0.35">
      <c r="A624" s="98" t="s">
        <v>34</v>
      </c>
      <c r="B624" s="98" t="s">
        <v>173</v>
      </c>
      <c r="C624" s="98" t="s">
        <v>241</v>
      </c>
      <c r="D624" s="99">
        <v>174726123.50000006</v>
      </c>
      <c r="E624" s="99">
        <v>198387623.50000006</v>
      </c>
      <c r="F624" s="99">
        <v>218541211.50000003</v>
      </c>
      <c r="G624" s="99">
        <v>0</v>
      </c>
      <c r="H624" s="98" t="s">
        <v>225</v>
      </c>
      <c r="I624" s="99">
        <v>30</v>
      </c>
      <c r="J624" s="98" t="s">
        <v>229</v>
      </c>
      <c r="K624" s="99">
        <v>30</v>
      </c>
      <c r="L624" s="98" t="s">
        <v>229</v>
      </c>
      <c r="M624" s="98" t="s">
        <v>225</v>
      </c>
      <c r="N624" s="99">
        <v>30</v>
      </c>
      <c r="O624" s="100">
        <v>0</v>
      </c>
      <c r="P624" s="100">
        <v>1.5121911070223588E-3</v>
      </c>
      <c r="Q624" s="100">
        <v>1.3727387980550293E-3</v>
      </c>
    </row>
    <row r="625" spans="1:17" x14ac:dyDescent="0.35">
      <c r="A625" s="98" t="s">
        <v>34</v>
      </c>
      <c r="B625" s="98" t="s">
        <v>173</v>
      </c>
      <c r="C625" s="98" t="s">
        <v>242</v>
      </c>
      <c r="D625" s="99">
        <v>174726123.50000006</v>
      </c>
      <c r="E625" s="99">
        <v>198387623.50000006</v>
      </c>
      <c r="F625" s="99">
        <v>218541211.50000003</v>
      </c>
      <c r="G625" s="99">
        <v>0</v>
      </c>
      <c r="H625" s="98" t="s">
        <v>225</v>
      </c>
      <c r="I625" s="99">
        <v>15823</v>
      </c>
      <c r="J625" s="98" t="s">
        <v>229</v>
      </c>
      <c r="K625" s="99">
        <v>6479</v>
      </c>
      <c r="L625" s="98">
        <v>2022</v>
      </c>
      <c r="M625" s="98" t="s">
        <v>226</v>
      </c>
      <c r="N625" s="99">
        <v>7446.3059165519699</v>
      </c>
      <c r="O625" s="100">
        <v>0</v>
      </c>
      <c r="P625" s="100">
        <v>0.79757999621382603</v>
      </c>
      <c r="Q625" s="100">
        <v>0.34072776779458686</v>
      </c>
    </row>
    <row r="626" spans="1:17" x14ac:dyDescent="0.35">
      <c r="A626" s="98" t="s">
        <v>34</v>
      </c>
      <c r="B626" s="98" t="s">
        <v>173</v>
      </c>
      <c r="C626" s="98" t="s">
        <v>243</v>
      </c>
      <c r="D626" s="99">
        <v>174726123.50000006</v>
      </c>
      <c r="E626" s="99">
        <v>198387623.50000006</v>
      </c>
      <c r="F626" s="99">
        <v>218541211.50000003</v>
      </c>
      <c r="G626" s="99">
        <v>68565</v>
      </c>
      <c r="H626" s="98">
        <v>2013</v>
      </c>
      <c r="I626" s="99">
        <v>0</v>
      </c>
      <c r="J626" s="98" t="s">
        <v>225</v>
      </c>
      <c r="K626" s="99">
        <v>0</v>
      </c>
      <c r="L626" s="98" t="s">
        <v>225</v>
      </c>
      <c r="M626" s="98" t="s">
        <v>225</v>
      </c>
      <c r="N626" s="99">
        <v>0</v>
      </c>
      <c r="O626" s="100">
        <v>3.9241413147931468</v>
      </c>
      <c r="P626" s="100">
        <v>0</v>
      </c>
      <c r="Q626" s="100">
        <v>0</v>
      </c>
    </row>
    <row r="627" spans="1:17" x14ac:dyDescent="0.35">
      <c r="A627" s="98" t="s">
        <v>34</v>
      </c>
      <c r="B627" s="98" t="s">
        <v>173</v>
      </c>
      <c r="C627" s="98" t="s">
        <v>244</v>
      </c>
      <c r="D627" s="99">
        <v>174726123.50000006</v>
      </c>
      <c r="E627" s="99">
        <v>198387623.50000006</v>
      </c>
      <c r="F627" s="99">
        <v>218541211.50000003</v>
      </c>
      <c r="G627" s="99">
        <v>0</v>
      </c>
      <c r="H627" s="98" t="s">
        <v>225</v>
      </c>
      <c r="I627" s="99">
        <v>56</v>
      </c>
      <c r="J627" s="98">
        <v>2018</v>
      </c>
      <c r="K627" s="99">
        <v>168</v>
      </c>
      <c r="L627" s="98">
        <v>2022</v>
      </c>
      <c r="M627" s="98" t="s">
        <v>225</v>
      </c>
      <c r="N627" s="99">
        <v>168</v>
      </c>
      <c r="O627" s="100">
        <v>0</v>
      </c>
      <c r="P627" s="100">
        <v>2.822756733108403E-3</v>
      </c>
      <c r="Q627" s="100">
        <v>7.6873372691081644E-3</v>
      </c>
    </row>
    <row r="628" spans="1:17" x14ac:dyDescent="0.35">
      <c r="A628" s="98" t="s">
        <v>34</v>
      </c>
      <c r="B628" s="98" t="s">
        <v>173</v>
      </c>
      <c r="C628" s="98" t="s">
        <v>245</v>
      </c>
      <c r="D628" s="99">
        <v>174726123.50000006</v>
      </c>
      <c r="E628" s="99">
        <v>198387623.50000006</v>
      </c>
      <c r="F628" s="99">
        <v>218541211.50000003</v>
      </c>
      <c r="G628" s="99">
        <v>262512</v>
      </c>
      <c r="H628" s="98">
        <v>2013</v>
      </c>
      <c r="I628" s="99">
        <v>32</v>
      </c>
      <c r="J628" s="98">
        <v>2019</v>
      </c>
      <c r="K628" s="99">
        <v>32</v>
      </c>
      <c r="L628" s="98">
        <v>2019</v>
      </c>
      <c r="M628" s="98" t="s">
        <v>225</v>
      </c>
      <c r="N628" s="99">
        <v>32</v>
      </c>
      <c r="O628" s="100">
        <v>15.024198714052046</v>
      </c>
      <c r="P628" s="100">
        <v>1.6130038474905159E-3</v>
      </c>
      <c r="Q628" s="100">
        <v>1.4642547179253647E-3</v>
      </c>
    </row>
    <row r="629" spans="1:17" x14ac:dyDescent="0.35">
      <c r="A629" s="98" t="s">
        <v>35</v>
      </c>
      <c r="B629" s="98" t="s">
        <v>174</v>
      </c>
      <c r="C629" s="98" t="s">
        <v>224</v>
      </c>
      <c r="D629" s="99">
        <v>11101349.499999996</v>
      </c>
      <c r="E629" s="99">
        <v>12531807.499999998</v>
      </c>
      <c r="F629" s="99">
        <v>13776697.499999994</v>
      </c>
      <c r="G629" s="99">
        <v>0</v>
      </c>
      <c r="H629" s="98" t="s">
        <v>225</v>
      </c>
      <c r="I629" s="99">
        <v>45000</v>
      </c>
      <c r="J629" s="98">
        <v>2018</v>
      </c>
      <c r="K629" s="99">
        <v>58567</v>
      </c>
      <c r="L629" s="98">
        <v>2020</v>
      </c>
      <c r="M629" s="98" t="s">
        <v>225</v>
      </c>
      <c r="N629" s="99">
        <v>58567</v>
      </c>
      <c r="O629" s="100">
        <v>0</v>
      </c>
      <c r="P629" s="100">
        <v>35.908626907969982</v>
      </c>
      <c r="Q629" s="100">
        <v>42.511639672715482</v>
      </c>
    </row>
    <row r="630" spans="1:17" x14ac:dyDescent="0.35">
      <c r="A630" s="98" t="s">
        <v>35</v>
      </c>
      <c r="B630" s="98" t="s">
        <v>174</v>
      </c>
      <c r="C630" s="98" t="s">
        <v>227</v>
      </c>
      <c r="D630" s="99">
        <v>11101349.499999996</v>
      </c>
      <c r="E630" s="99">
        <v>12531807.499999998</v>
      </c>
      <c r="F630" s="99">
        <v>13776697.499999994</v>
      </c>
      <c r="G630" s="99">
        <v>0</v>
      </c>
      <c r="H630" s="98" t="s">
        <v>225</v>
      </c>
      <c r="I630" s="99">
        <v>0</v>
      </c>
      <c r="J630" s="98" t="s">
        <v>225</v>
      </c>
      <c r="K630" s="99">
        <v>207</v>
      </c>
      <c r="L630" s="98">
        <v>2021</v>
      </c>
      <c r="M630" s="98" t="s">
        <v>225</v>
      </c>
      <c r="N630" s="99">
        <v>207</v>
      </c>
      <c r="O630" s="100">
        <v>0</v>
      </c>
      <c r="P630" s="100">
        <v>0</v>
      </c>
      <c r="Q630" s="100">
        <v>0.15025371646579311</v>
      </c>
    </row>
    <row r="631" spans="1:17" x14ac:dyDescent="0.35">
      <c r="A631" s="98" t="s">
        <v>35</v>
      </c>
      <c r="B631" s="98" t="s">
        <v>174</v>
      </c>
      <c r="C631" s="98" t="s">
        <v>228</v>
      </c>
      <c r="D631" s="99">
        <v>11101349.499999996</v>
      </c>
      <c r="E631" s="99">
        <v>12531807.499999998</v>
      </c>
      <c r="F631" s="99">
        <v>13776697.499999994</v>
      </c>
      <c r="G631" s="99">
        <v>0</v>
      </c>
      <c r="H631" s="98" t="s">
        <v>225</v>
      </c>
      <c r="I631" s="99">
        <v>0</v>
      </c>
      <c r="J631" s="98" t="s">
        <v>225</v>
      </c>
      <c r="K631" s="99">
        <v>226</v>
      </c>
      <c r="L631" s="98">
        <v>2021</v>
      </c>
      <c r="M631" s="98" t="s">
        <v>225</v>
      </c>
      <c r="N631" s="99">
        <v>226</v>
      </c>
      <c r="O631" s="100">
        <v>0</v>
      </c>
      <c r="P631" s="100">
        <v>0</v>
      </c>
      <c r="Q631" s="100">
        <v>0.16404512039260505</v>
      </c>
    </row>
    <row r="632" spans="1:17" x14ac:dyDescent="0.35">
      <c r="A632" s="98" t="s">
        <v>35</v>
      </c>
      <c r="B632" s="98" t="s">
        <v>174</v>
      </c>
      <c r="C632" s="98" t="s">
        <v>230</v>
      </c>
      <c r="D632" s="99">
        <v>11101349.499999996</v>
      </c>
      <c r="E632" s="99">
        <v>12531807.499999998</v>
      </c>
      <c r="F632" s="99">
        <v>13776697.499999994</v>
      </c>
      <c r="G632" s="99">
        <v>0</v>
      </c>
      <c r="H632" s="98" t="s">
        <v>225</v>
      </c>
      <c r="I632" s="99">
        <v>0</v>
      </c>
      <c r="J632" s="98" t="s">
        <v>225</v>
      </c>
      <c r="K632" s="99">
        <v>0</v>
      </c>
      <c r="L632" s="98" t="s">
        <v>225</v>
      </c>
      <c r="M632" s="98" t="s">
        <v>225</v>
      </c>
      <c r="N632" s="99">
        <v>0</v>
      </c>
      <c r="O632" s="100">
        <v>0</v>
      </c>
      <c r="P632" s="100">
        <v>0</v>
      </c>
      <c r="Q632" s="100">
        <v>0</v>
      </c>
    </row>
    <row r="633" spans="1:17" x14ac:dyDescent="0.35">
      <c r="A633" s="98" t="s">
        <v>35</v>
      </c>
      <c r="B633" s="98" t="s">
        <v>174</v>
      </c>
      <c r="C633" s="98" t="s">
        <v>231</v>
      </c>
      <c r="D633" s="99">
        <v>11101349.499999996</v>
      </c>
      <c r="E633" s="99">
        <v>12531807.499999998</v>
      </c>
      <c r="F633" s="99">
        <v>13776697.499999994</v>
      </c>
      <c r="G633" s="99">
        <v>0</v>
      </c>
      <c r="H633" s="98" t="s">
        <v>225</v>
      </c>
      <c r="I633" s="99">
        <v>0</v>
      </c>
      <c r="J633" s="98" t="s">
        <v>225</v>
      </c>
      <c r="K633" s="99">
        <v>0</v>
      </c>
      <c r="L633" s="98" t="s">
        <v>225</v>
      </c>
      <c r="M633" s="98" t="s">
        <v>225</v>
      </c>
      <c r="N633" s="99">
        <v>0</v>
      </c>
      <c r="O633" s="100">
        <v>0</v>
      </c>
      <c r="P633" s="100">
        <v>0</v>
      </c>
      <c r="Q633" s="100">
        <v>0</v>
      </c>
    </row>
    <row r="634" spans="1:17" x14ac:dyDescent="0.35">
      <c r="A634" s="98" t="s">
        <v>35</v>
      </c>
      <c r="B634" s="98" t="s">
        <v>174</v>
      </c>
      <c r="C634" s="98" t="s">
        <v>232</v>
      </c>
      <c r="D634" s="99">
        <v>11101349.499999996</v>
      </c>
      <c r="E634" s="99">
        <v>12531807.499999998</v>
      </c>
      <c r="F634" s="99">
        <v>13776697.499999994</v>
      </c>
      <c r="G634" s="99">
        <v>23</v>
      </c>
      <c r="H634" s="98">
        <v>2015</v>
      </c>
      <c r="I634" s="99">
        <v>0</v>
      </c>
      <c r="J634" s="98" t="s">
        <v>225</v>
      </c>
      <c r="K634" s="99">
        <v>0</v>
      </c>
      <c r="L634" s="98" t="s">
        <v>225</v>
      </c>
      <c r="M634" s="98" t="s">
        <v>225</v>
      </c>
      <c r="N634" s="99">
        <v>0</v>
      </c>
      <c r="O634" s="100">
        <v>2.0718201872664228E-2</v>
      </c>
      <c r="P634" s="100">
        <v>0</v>
      </c>
      <c r="Q634" s="100">
        <v>0</v>
      </c>
    </row>
    <row r="635" spans="1:17" x14ac:dyDescent="0.35">
      <c r="A635" s="98" t="s">
        <v>35</v>
      </c>
      <c r="B635" s="98" t="s">
        <v>174</v>
      </c>
      <c r="C635" s="98" t="s">
        <v>233</v>
      </c>
      <c r="D635" s="99">
        <v>11101349.499999996</v>
      </c>
      <c r="E635" s="99">
        <v>12531807.499999998</v>
      </c>
      <c r="F635" s="99">
        <v>13776697.499999994</v>
      </c>
      <c r="G635" s="99">
        <v>0</v>
      </c>
      <c r="H635" s="98" t="s">
        <v>225</v>
      </c>
      <c r="I635" s="99">
        <v>1990</v>
      </c>
      <c r="J635" s="98">
        <v>2018</v>
      </c>
      <c r="K635" s="99">
        <v>1990</v>
      </c>
      <c r="L635" s="98">
        <v>2018</v>
      </c>
      <c r="M635" s="98" t="s">
        <v>225</v>
      </c>
      <c r="N635" s="99">
        <v>1990</v>
      </c>
      <c r="O635" s="100">
        <v>0</v>
      </c>
      <c r="P635" s="100">
        <v>1.587959278819117</v>
      </c>
      <c r="Q635" s="100">
        <v>1.4444680954924072</v>
      </c>
    </row>
    <row r="636" spans="1:17" x14ac:dyDescent="0.35">
      <c r="A636" s="98" t="s">
        <v>35</v>
      </c>
      <c r="B636" s="98" t="s">
        <v>174</v>
      </c>
      <c r="C636" s="98" t="s">
        <v>234</v>
      </c>
      <c r="D636" s="99">
        <v>11101349.499999996</v>
      </c>
      <c r="E636" s="99">
        <v>12531807.499999998</v>
      </c>
      <c r="F636" s="99">
        <v>13776697.499999994</v>
      </c>
      <c r="G636" s="99">
        <v>0</v>
      </c>
      <c r="H636" s="98" t="s">
        <v>225</v>
      </c>
      <c r="I636" s="99">
        <v>0</v>
      </c>
      <c r="J636" s="98" t="s">
        <v>225</v>
      </c>
      <c r="K636" s="99">
        <v>0</v>
      </c>
      <c r="L636" s="98" t="s">
        <v>225</v>
      </c>
      <c r="M636" s="98" t="s">
        <v>225</v>
      </c>
      <c r="N636" s="99">
        <v>0</v>
      </c>
      <c r="O636" s="100">
        <v>0</v>
      </c>
      <c r="P636" s="100">
        <v>0</v>
      </c>
      <c r="Q636" s="100">
        <v>0</v>
      </c>
    </row>
    <row r="637" spans="1:17" x14ac:dyDescent="0.35">
      <c r="A637" s="98" t="s">
        <v>35</v>
      </c>
      <c r="B637" s="98" t="s">
        <v>174</v>
      </c>
      <c r="C637" s="98" t="s">
        <v>235</v>
      </c>
      <c r="D637" s="99">
        <v>11101349.499999996</v>
      </c>
      <c r="E637" s="99">
        <v>12531807.499999998</v>
      </c>
      <c r="F637" s="99">
        <v>13776697.499999994</v>
      </c>
      <c r="G637" s="99">
        <v>116</v>
      </c>
      <c r="H637" s="98">
        <v>2015</v>
      </c>
      <c r="I637" s="99">
        <v>152</v>
      </c>
      <c r="J637" s="98">
        <v>2018</v>
      </c>
      <c r="K637" s="99">
        <v>152</v>
      </c>
      <c r="L637" s="98">
        <v>2018</v>
      </c>
      <c r="M637" s="98" t="s">
        <v>225</v>
      </c>
      <c r="N637" s="99">
        <v>152</v>
      </c>
      <c r="O637" s="100">
        <v>0.10449180074908915</v>
      </c>
      <c r="P637" s="100">
        <v>0.12129136200025417</v>
      </c>
      <c r="Q637" s="100">
        <v>0.11033123141449543</v>
      </c>
    </row>
    <row r="638" spans="1:17" x14ac:dyDescent="0.35">
      <c r="A638" s="98" t="s">
        <v>35</v>
      </c>
      <c r="B638" s="98" t="s">
        <v>174</v>
      </c>
      <c r="C638" s="98" t="s">
        <v>236</v>
      </c>
      <c r="D638" s="99">
        <v>11101349.499999996</v>
      </c>
      <c r="E638" s="99">
        <v>12531807.499999998</v>
      </c>
      <c r="F638" s="99">
        <v>13776697.499999994</v>
      </c>
      <c r="G638" s="99">
        <v>0</v>
      </c>
      <c r="H638" s="98" t="s">
        <v>225</v>
      </c>
      <c r="I638" s="99">
        <v>0</v>
      </c>
      <c r="J638" s="98" t="s">
        <v>225</v>
      </c>
      <c r="K638" s="99">
        <v>0</v>
      </c>
      <c r="L638" s="98" t="s">
        <v>225</v>
      </c>
      <c r="M638" s="98" t="s">
        <v>225</v>
      </c>
      <c r="N638" s="99">
        <v>0</v>
      </c>
      <c r="O638" s="100">
        <v>0</v>
      </c>
      <c r="P638" s="100">
        <v>0</v>
      </c>
      <c r="Q638" s="100">
        <v>0</v>
      </c>
    </row>
    <row r="639" spans="1:17" x14ac:dyDescent="0.35">
      <c r="A639" s="98" t="s">
        <v>35</v>
      </c>
      <c r="B639" s="98" t="s">
        <v>174</v>
      </c>
      <c r="C639" s="98" t="s">
        <v>237</v>
      </c>
      <c r="D639" s="99">
        <v>11101349.499999996</v>
      </c>
      <c r="E639" s="99">
        <v>12531807.499999998</v>
      </c>
      <c r="F639" s="99">
        <v>13776697.499999994</v>
      </c>
      <c r="G639" s="99">
        <v>0</v>
      </c>
      <c r="H639" s="98" t="s">
        <v>225</v>
      </c>
      <c r="I639" s="99">
        <v>13</v>
      </c>
      <c r="J639" s="98">
        <v>2018</v>
      </c>
      <c r="K639" s="99">
        <v>13</v>
      </c>
      <c r="L639" s="98">
        <v>2018</v>
      </c>
      <c r="M639" s="98" t="s">
        <v>225</v>
      </c>
      <c r="N639" s="99">
        <v>13</v>
      </c>
      <c r="O639" s="100">
        <v>0</v>
      </c>
      <c r="P639" s="100">
        <v>1.0373603328969108E-2</v>
      </c>
      <c r="Q639" s="100">
        <v>9.4362237393976357E-3</v>
      </c>
    </row>
    <row r="640" spans="1:17" x14ac:dyDescent="0.35">
      <c r="A640" s="98" t="s">
        <v>35</v>
      </c>
      <c r="B640" s="98" t="s">
        <v>174</v>
      </c>
      <c r="C640" s="98" t="s">
        <v>238</v>
      </c>
      <c r="D640" s="99">
        <v>11101349.499999996</v>
      </c>
      <c r="E640" s="99">
        <v>12531807.499999998</v>
      </c>
      <c r="F640" s="99">
        <v>13776697.499999994</v>
      </c>
      <c r="G640" s="99">
        <v>0</v>
      </c>
      <c r="H640" s="98" t="s">
        <v>225</v>
      </c>
      <c r="I640" s="99">
        <v>0</v>
      </c>
      <c r="J640" s="98" t="s">
        <v>225</v>
      </c>
      <c r="K640" s="99">
        <v>0</v>
      </c>
      <c r="L640" s="98" t="s">
        <v>225</v>
      </c>
      <c r="M640" s="98" t="s">
        <v>225</v>
      </c>
      <c r="N640" s="99">
        <v>0</v>
      </c>
      <c r="O640" s="100">
        <v>0</v>
      </c>
      <c r="P640" s="100">
        <v>0</v>
      </c>
      <c r="Q640" s="100">
        <v>0</v>
      </c>
    </row>
    <row r="641" spans="1:17" x14ac:dyDescent="0.35">
      <c r="A641" s="98" t="s">
        <v>35</v>
      </c>
      <c r="B641" s="98" t="s">
        <v>174</v>
      </c>
      <c r="C641" s="98" t="s">
        <v>239</v>
      </c>
      <c r="D641" s="99">
        <v>11101349.499999996</v>
      </c>
      <c r="E641" s="99">
        <v>12531807.499999998</v>
      </c>
      <c r="F641" s="99">
        <v>13776697.499999994</v>
      </c>
      <c r="G641" s="99">
        <v>0</v>
      </c>
      <c r="H641" s="98" t="s">
        <v>225</v>
      </c>
      <c r="I641" s="99">
        <v>0</v>
      </c>
      <c r="J641" s="98" t="s">
        <v>225</v>
      </c>
      <c r="K641" s="99">
        <v>0</v>
      </c>
      <c r="L641" s="98" t="s">
        <v>225</v>
      </c>
      <c r="M641" s="98" t="s">
        <v>225</v>
      </c>
      <c r="N641" s="99">
        <v>0</v>
      </c>
      <c r="O641" s="100">
        <v>0</v>
      </c>
      <c r="P641" s="100">
        <v>0</v>
      </c>
      <c r="Q641" s="100">
        <v>0</v>
      </c>
    </row>
    <row r="642" spans="1:17" x14ac:dyDescent="0.35">
      <c r="A642" s="98" t="s">
        <v>35</v>
      </c>
      <c r="B642" s="98" t="s">
        <v>174</v>
      </c>
      <c r="C642" s="98" t="s">
        <v>240</v>
      </c>
      <c r="D642" s="99">
        <v>11101349.499999996</v>
      </c>
      <c r="E642" s="99">
        <v>12531807.499999998</v>
      </c>
      <c r="F642" s="99">
        <v>13776697.499999994</v>
      </c>
      <c r="G642" s="99">
        <v>1545</v>
      </c>
      <c r="H642" s="98">
        <v>2015</v>
      </c>
      <c r="I642" s="99">
        <v>1990</v>
      </c>
      <c r="J642" s="98">
        <v>2017</v>
      </c>
      <c r="K642" s="99">
        <v>1990</v>
      </c>
      <c r="L642" s="98">
        <v>2017</v>
      </c>
      <c r="M642" s="98" t="s">
        <v>225</v>
      </c>
      <c r="N642" s="99">
        <v>1990</v>
      </c>
      <c r="O642" s="100">
        <v>1.3917226910115752</v>
      </c>
      <c r="P642" s="100">
        <v>1.587959278819117</v>
      </c>
      <c r="Q642" s="100">
        <v>1.4444680954924072</v>
      </c>
    </row>
    <row r="643" spans="1:17" x14ac:dyDescent="0.35">
      <c r="A643" s="98" t="s">
        <v>35</v>
      </c>
      <c r="B643" s="98" t="s">
        <v>174</v>
      </c>
      <c r="C643" s="98" t="s">
        <v>241</v>
      </c>
      <c r="D643" s="99">
        <v>11101349.499999996</v>
      </c>
      <c r="E643" s="99">
        <v>12531807.499999998</v>
      </c>
      <c r="F643" s="99">
        <v>13776697.499999994</v>
      </c>
      <c r="G643" s="99">
        <v>0</v>
      </c>
      <c r="H643" s="98" t="s">
        <v>225</v>
      </c>
      <c r="I643" s="99">
        <v>0</v>
      </c>
      <c r="J643" s="98" t="s">
        <v>225</v>
      </c>
      <c r="K643" s="99">
        <v>0</v>
      </c>
      <c r="L643" s="98" t="s">
        <v>225</v>
      </c>
      <c r="M643" s="98" t="s">
        <v>225</v>
      </c>
      <c r="N643" s="99">
        <v>0</v>
      </c>
      <c r="O643" s="100">
        <v>0</v>
      </c>
      <c r="P643" s="100">
        <v>0</v>
      </c>
      <c r="Q643" s="100">
        <v>0</v>
      </c>
    </row>
    <row r="644" spans="1:17" x14ac:dyDescent="0.35">
      <c r="A644" s="98" t="s">
        <v>35</v>
      </c>
      <c r="B644" s="98" t="s">
        <v>174</v>
      </c>
      <c r="C644" s="98" t="s">
        <v>242</v>
      </c>
      <c r="D644" s="99">
        <v>11101349.499999996</v>
      </c>
      <c r="E644" s="99">
        <v>12531807.499999998</v>
      </c>
      <c r="F644" s="99">
        <v>13776697.499999994</v>
      </c>
      <c r="G644" s="99">
        <v>125</v>
      </c>
      <c r="H644" s="98">
        <v>2015</v>
      </c>
      <c r="I644" s="99">
        <v>225</v>
      </c>
      <c r="J644" s="98">
        <v>2018</v>
      </c>
      <c r="K644" s="99">
        <v>225</v>
      </c>
      <c r="L644" s="98">
        <v>2018</v>
      </c>
      <c r="M644" s="98" t="s">
        <v>225</v>
      </c>
      <c r="N644" s="99">
        <v>225</v>
      </c>
      <c r="O644" s="100">
        <v>0.11259892322100123</v>
      </c>
      <c r="P644" s="100">
        <v>0.17954313453984994</v>
      </c>
      <c r="Q644" s="100">
        <v>0.16331925702803599</v>
      </c>
    </row>
    <row r="645" spans="1:17" x14ac:dyDescent="0.35">
      <c r="A645" s="98" t="s">
        <v>35</v>
      </c>
      <c r="B645" s="98" t="s">
        <v>174</v>
      </c>
      <c r="C645" s="98" t="s">
        <v>243</v>
      </c>
      <c r="D645" s="99">
        <v>11101349.499999996</v>
      </c>
      <c r="E645" s="99">
        <v>12531807.499999998</v>
      </c>
      <c r="F645" s="99">
        <v>13776697.499999994</v>
      </c>
      <c r="G645" s="99">
        <v>886</v>
      </c>
      <c r="H645" s="98">
        <v>2015</v>
      </c>
      <c r="I645" s="99">
        <v>0</v>
      </c>
      <c r="J645" s="98" t="s">
        <v>225</v>
      </c>
      <c r="K645" s="99">
        <v>0</v>
      </c>
      <c r="L645" s="98" t="s">
        <v>225</v>
      </c>
      <c r="M645" s="98" t="s">
        <v>225</v>
      </c>
      <c r="N645" s="99">
        <v>0</v>
      </c>
      <c r="O645" s="100">
        <v>0.7981011677904567</v>
      </c>
      <c r="P645" s="100">
        <v>0</v>
      </c>
      <c r="Q645" s="100">
        <v>0</v>
      </c>
    </row>
    <row r="646" spans="1:17" x14ac:dyDescent="0.35">
      <c r="A646" s="98" t="s">
        <v>35</v>
      </c>
      <c r="B646" s="98" t="s">
        <v>174</v>
      </c>
      <c r="C646" s="98" t="s">
        <v>244</v>
      </c>
      <c r="D646" s="99">
        <v>11101349.499999996</v>
      </c>
      <c r="E646" s="99">
        <v>12531807.499999998</v>
      </c>
      <c r="F646" s="99">
        <v>13776697.499999994</v>
      </c>
      <c r="G646" s="99">
        <v>0</v>
      </c>
      <c r="H646" s="98" t="s">
        <v>225</v>
      </c>
      <c r="I646" s="99">
        <v>0</v>
      </c>
      <c r="J646" s="98" t="s">
        <v>225</v>
      </c>
      <c r="K646" s="99">
        <v>0</v>
      </c>
      <c r="L646" s="98" t="s">
        <v>225</v>
      </c>
      <c r="M646" s="98" t="s">
        <v>225</v>
      </c>
      <c r="N646" s="99">
        <v>0</v>
      </c>
      <c r="O646" s="100">
        <v>0</v>
      </c>
      <c r="P646" s="100">
        <v>0</v>
      </c>
      <c r="Q646" s="100">
        <v>0</v>
      </c>
    </row>
    <row r="647" spans="1:17" x14ac:dyDescent="0.35">
      <c r="A647" s="98" t="s">
        <v>35</v>
      </c>
      <c r="B647" s="98" t="s">
        <v>174</v>
      </c>
      <c r="C647" s="98" t="s">
        <v>245</v>
      </c>
      <c r="D647" s="99">
        <v>11101349.499999996</v>
      </c>
      <c r="E647" s="99">
        <v>12531807.499999998</v>
      </c>
      <c r="F647" s="99">
        <v>13776697.499999994</v>
      </c>
      <c r="G647" s="99">
        <v>0</v>
      </c>
      <c r="H647" s="98" t="s">
        <v>225</v>
      </c>
      <c r="I647" s="99">
        <v>0</v>
      </c>
      <c r="J647" s="98" t="s">
        <v>225</v>
      </c>
      <c r="K647" s="99">
        <v>0</v>
      </c>
      <c r="L647" s="98" t="s">
        <v>225</v>
      </c>
      <c r="M647" s="98" t="s">
        <v>225</v>
      </c>
      <c r="N647" s="99">
        <v>0</v>
      </c>
      <c r="O647" s="100">
        <v>0</v>
      </c>
      <c r="P647" s="100">
        <v>0</v>
      </c>
      <c r="Q647" s="100">
        <v>0</v>
      </c>
    </row>
    <row r="648" spans="1:17" x14ac:dyDescent="0.35">
      <c r="A648" s="98" t="s">
        <v>37</v>
      </c>
      <c r="B648" s="98" t="s">
        <v>177</v>
      </c>
      <c r="C648" s="98" t="s">
        <v>224</v>
      </c>
      <c r="D648" s="99">
        <v>13595565.499999993</v>
      </c>
      <c r="E648" s="99">
        <v>15574908.999999998</v>
      </c>
      <c r="F648" s="99">
        <v>17316449</v>
      </c>
      <c r="G648" s="99">
        <v>770</v>
      </c>
      <c r="H648" s="98">
        <v>2015</v>
      </c>
      <c r="I648" s="99">
        <v>17417</v>
      </c>
      <c r="J648" s="98">
        <v>2018</v>
      </c>
      <c r="K648" s="99">
        <v>18757</v>
      </c>
      <c r="L648" s="98">
        <v>2022</v>
      </c>
      <c r="M648" s="98" t="s">
        <v>225</v>
      </c>
      <c r="N648" s="99">
        <v>18757</v>
      </c>
      <c r="O648" s="100">
        <v>0.56636114180024388</v>
      </c>
      <c r="P648" s="100">
        <v>11.182729863782834</v>
      </c>
      <c r="Q648" s="100">
        <v>10.831897463504209</v>
      </c>
    </row>
    <row r="649" spans="1:17" x14ac:dyDescent="0.35">
      <c r="A649" s="98" t="s">
        <v>37</v>
      </c>
      <c r="B649" s="98" t="s">
        <v>177</v>
      </c>
      <c r="C649" s="98" t="s">
        <v>227</v>
      </c>
      <c r="D649" s="99">
        <v>13595565.499999993</v>
      </c>
      <c r="E649" s="99">
        <v>15574908.999999998</v>
      </c>
      <c r="F649" s="99">
        <v>17316449</v>
      </c>
      <c r="G649" s="99">
        <v>0</v>
      </c>
      <c r="H649" s="98" t="s">
        <v>225</v>
      </c>
      <c r="I649" s="99">
        <v>4</v>
      </c>
      <c r="J649" s="98" t="s">
        <v>229</v>
      </c>
      <c r="K649" s="99">
        <v>4</v>
      </c>
      <c r="L649" s="98" t="s">
        <v>229</v>
      </c>
      <c r="M649" s="98" t="s">
        <v>225</v>
      </c>
      <c r="N649" s="99">
        <v>4</v>
      </c>
      <c r="O649" s="100">
        <v>0</v>
      </c>
      <c r="P649" s="100">
        <v>2.5682333039634456E-3</v>
      </c>
      <c r="Q649" s="100">
        <v>2.3099424137131117E-3</v>
      </c>
    </row>
    <row r="650" spans="1:17" x14ac:dyDescent="0.35">
      <c r="A650" s="98" t="s">
        <v>37</v>
      </c>
      <c r="B650" s="98" t="s">
        <v>177</v>
      </c>
      <c r="C650" s="98" t="s">
        <v>228</v>
      </c>
      <c r="D650" s="99">
        <v>13595565.499999993</v>
      </c>
      <c r="E650" s="99">
        <v>15574908.999999998</v>
      </c>
      <c r="F650" s="99">
        <v>17316449</v>
      </c>
      <c r="G650" s="99">
        <v>3518</v>
      </c>
      <c r="H650" s="98">
        <v>2014</v>
      </c>
      <c r="I650" s="99">
        <v>1925</v>
      </c>
      <c r="J650" s="98">
        <v>2018</v>
      </c>
      <c r="K650" s="99">
        <v>2494</v>
      </c>
      <c r="L650" s="98">
        <v>2020</v>
      </c>
      <c r="M650" s="98" t="s">
        <v>225</v>
      </c>
      <c r="N650" s="99">
        <v>2494</v>
      </c>
      <c r="O650" s="100">
        <v>2.5876084374717636</v>
      </c>
      <c r="P650" s="100">
        <v>1.2359622775324082</v>
      </c>
      <c r="Q650" s="100">
        <v>1.4402490949501252</v>
      </c>
    </row>
    <row r="651" spans="1:17" x14ac:dyDescent="0.35">
      <c r="A651" s="98" t="s">
        <v>37</v>
      </c>
      <c r="B651" s="98" t="s">
        <v>177</v>
      </c>
      <c r="C651" s="98" t="s">
        <v>230</v>
      </c>
      <c r="D651" s="99">
        <v>13595565.499999993</v>
      </c>
      <c r="E651" s="99">
        <v>15574908.999999998</v>
      </c>
      <c r="F651" s="99">
        <v>17316449</v>
      </c>
      <c r="G651" s="99">
        <v>0</v>
      </c>
      <c r="H651" s="98" t="s">
        <v>225</v>
      </c>
      <c r="I651" s="99">
        <v>1670</v>
      </c>
      <c r="J651" s="98" t="s">
        <v>229</v>
      </c>
      <c r="K651" s="99">
        <v>3378</v>
      </c>
      <c r="L651" s="98">
        <v>2022</v>
      </c>
      <c r="M651" s="98" t="s">
        <v>225</v>
      </c>
      <c r="N651" s="99">
        <v>3378</v>
      </c>
      <c r="O651" s="100">
        <v>0</v>
      </c>
      <c r="P651" s="100">
        <v>1.0722374044047385</v>
      </c>
      <c r="Q651" s="100">
        <v>1.9507463683807229</v>
      </c>
    </row>
    <row r="652" spans="1:17" x14ac:dyDescent="0.35">
      <c r="A652" s="98" t="s">
        <v>37</v>
      </c>
      <c r="B652" s="98" t="s">
        <v>177</v>
      </c>
      <c r="C652" s="98" t="s">
        <v>231</v>
      </c>
      <c r="D652" s="99">
        <v>13595565.499999993</v>
      </c>
      <c r="E652" s="99">
        <v>15574908.999999998</v>
      </c>
      <c r="F652" s="99">
        <v>17316449</v>
      </c>
      <c r="G652" s="99">
        <v>0</v>
      </c>
      <c r="H652" s="98" t="s">
        <v>225</v>
      </c>
      <c r="I652" s="99">
        <v>135</v>
      </c>
      <c r="J652" s="98" t="s">
        <v>229</v>
      </c>
      <c r="K652" s="99">
        <v>188</v>
      </c>
      <c r="L652" s="98">
        <v>2021</v>
      </c>
      <c r="M652" s="98" t="s">
        <v>225</v>
      </c>
      <c r="N652" s="99">
        <v>188</v>
      </c>
      <c r="O652" s="100">
        <v>0</v>
      </c>
      <c r="P652" s="100">
        <v>8.6677874008766295E-2</v>
      </c>
      <c r="Q652" s="100">
        <v>0.10856729344451625</v>
      </c>
    </row>
    <row r="653" spans="1:17" x14ac:dyDescent="0.35">
      <c r="A653" s="98" t="s">
        <v>37</v>
      </c>
      <c r="B653" s="98" t="s">
        <v>177</v>
      </c>
      <c r="C653" s="98" t="s">
        <v>232</v>
      </c>
      <c r="D653" s="99">
        <v>13595565.499999993</v>
      </c>
      <c r="E653" s="99">
        <v>15574908.999999998</v>
      </c>
      <c r="F653" s="99">
        <v>17316449</v>
      </c>
      <c r="G653" s="99">
        <v>0</v>
      </c>
      <c r="H653" s="98" t="s">
        <v>225</v>
      </c>
      <c r="I653" s="99">
        <v>100</v>
      </c>
      <c r="J653" s="98" t="s">
        <v>229</v>
      </c>
      <c r="K653" s="99">
        <v>15</v>
      </c>
      <c r="L653" s="98">
        <v>2022</v>
      </c>
      <c r="M653" s="98" t="s">
        <v>226</v>
      </c>
      <c r="N653" s="99">
        <v>17.556185826093202</v>
      </c>
      <c r="O653" s="100">
        <v>0</v>
      </c>
      <c r="P653" s="100">
        <v>6.4205832599086146E-2</v>
      </c>
      <c r="Q653" s="100">
        <v>1.0138444565680414E-2</v>
      </c>
    </row>
    <row r="654" spans="1:17" x14ac:dyDescent="0.35">
      <c r="A654" s="98" t="s">
        <v>37</v>
      </c>
      <c r="B654" s="98" t="s">
        <v>177</v>
      </c>
      <c r="C654" s="98" t="s">
        <v>233</v>
      </c>
      <c r="D654" s="99">
        <v>13595565.499999993</v>
      </c>
      <c r="E654" s="99">
        <v>15574908.999999998</v>
      </c>
      <c r="F654" s="99">
        <v>17316449</v>
      </c>
      <c r="G654" s="99">
        <v>0</v>
      </c>
      <c r="H654" s="98" t="s">
        <v>225</v>
      </c>
      <c r="I654" s="99">
        <v>1045</v>
      </c>
      <c r="J654" s="98" t="s">
        <v>229</v>
      </c>
      <c r="K654" s="99">
        <v>434</v>
      </c>
      <c r="L654" s="98">
        <v>2021</v>
      </c>
      <c r="M654" s="98" t="s">
        <v>226</v>
      </c>
      <c r="N654" s="99">
        <v>507.95897656829663</v>
      </c>
      <c r="O654" s="100">
        <v>0</v>
      </c>
      <c r="P654" s="100">
        <v>0.67095095066045018</v>
      </c>
      <c r="Q654" s="100">
        <v>0.2933389961003533</v>
      </c>
    </row>
    <row r="655" spans="1:17" x14ac:dyDescent="0.35">
      <c r="A655" s="98" t="s">
        <v>37</v>
      </c>
      <c r="B655" s="98" t="s">
        <v>177</v>
      </c>
      <c r="C655" s="98" t="s">
        <v>234</v>
      </c>
      <c r="D655" s="99">
        <v>13595565.499999993</v>
      </c>
      <c r="E655" s="99">
        <v>15574908.999999998</v>
      </c>
      <c r="F655" s="99">
        <v>17316449</v>
      </c>
      <c r="G655" s="99">
        <v>0</v>
      </c>
      <c r="H655" s="98" t="s">
        <v>225</v>
      </c>
      <c r="I655" s="99">
        <v>2543</v>
      </c>
      <c r="J655" s="98" t="s">
        <v>229</v>
      </c>
      <c r="K655" s="99">
        <v>1482</v>
      </c>
      <c r="L655" s="98">
        <v>2020</v>
      </c>
      <c r="M655" s="98" t="s">
        <v>226</v>
      </c>
      <c r="N655" s="99">
        <v>1734.5511596180083</v>
      </c>
      <c r="O655" s="100">
        <v>0</v>
      </c>
      <c r="P655" s="100">
        <v>1.6327543229947605</v>
      </c>
      <c r="Q655" s="100">
        <v>1.0016783230892248</v>
      </c>
    </row>
    <row r="656" spans="1:17" x14ac:dyDescent="0.35">
      <c r="A656" s="98" t="s">
        <v>37</v>
      </c>
      <c r="B656" s="98" t="s">
        <v>177</v>
      </c>
      <c r="C656" s="98" t="s">
        <v>235</v>
      </c>
      <c r="D656" s="99">
        <v>13595565.499999993</v>
      </c>
      <c r="E656" s="99">
        <v>15574908.999999998</v>
      </c>
      <c r="F656" s="99">
        <v>17316449</v>
      </c>
      <c r="G656" s="99">
        <v>22</v>
      </c>
      <c r="H656" s="98">
        <v>2013</v>
      </c>
      <c r="I656" s="99">
        <v>542</v>
      </c>
      <c r="J656" s="98" t="s">
        <v>229</v>
      </c>
      <c r="K656" s="99">
        <v>237</v>
      </c>
      <c r="L656" s="98">
        <v>2022</v>
      </c>
      <c r="M656" s="98" t="s">
        <v>226</v>
      </c>
      <c r="N656" s="99">
        <v>277.3877360522726</v>
      </c>
      <c r="O656" s="100">
        <v>1.6181746908578397E-2</v>
      </c>
      <c r="P656" s="100">
        <v>0.34799561268704687</v>
      </c>
      <c r="Q656" s="100">
        <v>0.16018742413775053</v>
      </c>
    </row>
    <row r="657" spans="1:17" x14ac:dyDescent="0.35">
      <c r="A657" s="98" t="s">
        <v>37</v>
      </c>
      <c r="B657" s="98" t="s">
        <v>177</v>
      </c>
      <c r="C657" s="98" t="s">
        <v>236</v>
      </c>
      <c r="D657" s="99">
        <v>13595565.499999993</v>
      </c>
      <c r="E657" s="99">
        <v>15574908.999999998</v>
      </c>
      <c r="F657" s="99">
        <v>17316449</v>
      </c>
      <c r="G657" s="99">
        <v>0</v>
      </c>
      <c r="H657" s="98" t="s">
        <v>225</v>
      </c>
      <c r="I657" s="99">
        <v>17</v>
      </c>
      <c r="J657" s="98" t="s">
        <v>229</v>
      </c>
      <c r="K657" s="99">
        <v>2</v>
      </c>
      <c r="L657" s="98">
        <v>2021</v>
      </c>
      <c r="M657" s="98" t="s">
        <v>226</v>
      </c>
      <c r="N657" s="99">
        <v>2.3408247768124268</v>
      </c>
      <c r="O657" s="100">
        <v>0</v>
      </c>
      <c r="P657" s="100">
        <v>1.0914991541844644E-2</v>
      </c>
      <c r="Q657" s="100">
        <v>1.3517926087573883E-3</v>
      </c>
    </row>
    <row r="658" spans="1:17" x14ac:dyDescent="0.35">
      <c r="A658" s="98" t="s">
        <v>37</v>
      </c>
      <c r="B658" s="98" t="s">
        <v>177</v>
      </c>
      <c r="C658" s="98" t="s">
        <v>237</v>
      </c>
      <c r="D658" s="99">
        <v>13595565.499999993</v>
      </c>
      <c r="E658" s="99">
        <v>15574908.999999998</v>
      </c>
      <c r="F658" s="99">
        <v>17316449</v>
      </c>
      <c r="G658" s="99">
        <v>0</v>
      </c>
      <c r="H658" s="98" t="s">
        <v>225</v>
      </c>
      <c r="I658" s="99">
        <v>108</v>
      </c>
      <c r="J658" s="98" t="s">
        <v>229</v>
      </c>
      <c r="K658" s="99">
        <v>107</v>
      </c>
      <c r="L658" s="98">
        <v>2021</v>
      </c>
      <c r="M658" s="98" t="s">
        <v>226</v>
      </c>
      <c r="N658" s="99">
        <v>125.23412555946484</v>
      </c>
      <c r="O658" s="100">
        <v>0</v>
      </c>
      <c r="P658" s="100">
        <v>6.9342299207013028E-2</v>
      </c>
      <c r="Q658" s="100">
        <v>7.2320904568520278E-2</v>
      </c>
    </row>
    <row r="659" spans="1:17" x14ac:dyDescent="0.35">
      <c r="A659" s="98" t="s">
        <v>37</v>
      </c>
      <c r="B659" s="98" t="s">
        <v>177</v>
      </c>
      <c r="C659" s="98" t="s">
        <v>238</v>
      </c>
      <c r="D659" s="99">
        <v>13595565.499999993</v>
      </c>
      <c r="E659" s="99">
        <v>15574908.999999998</v>
      </c>
      <c r="F659" s="99">
        <v>17316449</v>
      </c>
      <c r="G659" s="99">
        <v>0</v>
      </c>
      <c r="H659" s="98" t="s">
        <v>225</v>
      </c>
      <c r="I659" s="99">
        <v>5868</v>
      </c>
      <c r="J659" s="98" t="s">
        <v>229</v>
      </c>
      <c r="K659" s="99">
        <v>16</v>
      </c>
      <c r="L659" s="98">
        <v>2021</v>
      </c>
      <c r="M659" s="98" t="s">
        <v>226</v>
      </c>
      <c r="N659" s="99">
        <v>18.726598214499415</v>
      </c>
      <c r="O659" s="100">
        <v>0</v>
      </c>
      <c r="P659" s="100">
        <v>3.7675982569143747</v>
      </c>
      <c r="Q659" s="100">
        <v>1.0814340870059107E-2</v>
      </c>
    </row>
    <row r="660" spans="1:17" x14ac:dyDescent="0.35">
      <c r="A660" s="98" t="s">
        <v>37</v>
      </c>
      <c r="B660" s="98" t="s">
        <v>177</v>
      </c>
      <c r="C660" s="98" t="s">
        <v>239</v>
      </c>
      <c r="D660" s="99">
        <v>13595565.499999993</v>
      </c>
      <c r="E660" s="99">
        <v>15574908.999999998</v>
      </c>
      <c r="F660" s="99">
        <v>17316449</v>
      </c>
      <c r="G660" s="99">
        <v>0</v>
      </c>
      <c r="H660" s="98" t="s">
        <v>225</v>
      </c>
      <c r="I660" s="99">
        <v>1722</v>
      </c>
      <c r="J660" s="98">
        <v>2019</v>
      </c>
      <c r="K660" s="99">
        <v>344</v>
      </c>
      <c r="L660" s="98">
        <v>2021</v>
      </c>
      <c r="M660" s="98" t="s">
        <v>226</v>
      </c>
      <c r="N660" s="99">
        <v>402.62186161173742</v>
      </c>
      <c r="O660" s="100">
        <v>0</v>
      </c>
      <c r="P660" s="100">
        <v>1.1056244373562634</v>
      </c>
      <c r="Q660" s="100">
        <v>0.23250832870627078</v>
      </c>
    </row>
    <row r="661" spans="1:17" x14ac:dyDescent="0.35">
      <c r="A661" s="98" t="s">
        <v>37</v>
      </c>
      <c r="B661" s="98" t="s">
        <v>177</v>
      </c>
      <c r="C661" s="98" t="s">
        <v>240</v>
      </c>
      <c r="D661" s="99">
        <v>13595565.499999993</v>
      </c>
      <c r="E661" s="99">
        <v>15574908.999999998</v>
      </c>
      <c r="F661" s="99">
        <v>17316449</v>
      </c>
      <c r="G661" s="99">
        <v>546</v>
      </c>
      <c r="H661" s="98">
        <v>2013</v>
      </c>
      <c r="I661" s="99">
        <v>328</v>
      </c>
      <c r="J661" s="98" t="s">
        <v>229</v>
      </c>
      <c r="K661" s="99">
        <v>252</v>
      </c>
      <c r="L661" s="98">
        <v>2022</v>
      </c>
      <c r="M661" s="98" t="s">
        <v>226</v>
      </c>
      <c r="N661" s="99">
        <v>294.94392187836576</v>
      </c>
      <c r="O661" s="100">
        <v>0.40160153691290024</v>
      </c>
      <c r="P661" s="100">
        <v>0.21059513092500254</v>
      </c>
      <c r="Q661" s="100">
        <v>0.17032586870343092</v>
      </c>
    </row>
    <row r="662" spans="1:17" x14ac:dyDescent="0.35">
      <c r="A662" s="98" t="s">
        <v>37</v>
      </c>
      <c r="B662" s="98" t="s">
        <v>177</v>
      </c>
      <c r="C662" s="98" t="s">
        <v>241</v>
      </c>
      <c r="D662" s="99">
        <v>13595565.499999993</v>
      </c>
      <c r="E662" s="99">
        <v>15574908.999999998</v>
      </c>
      <c r="F662" s="99">
        <v>17316449</v>
      </c>
      <c r="G662" s="99">
        <v>11</v>
      </c>
      <c r="H662" s="98">
        <v>2013</v>
      </c>
      <c r="I662" s="99">
        <v>505</v>
      </c>
      <c r="J662" s="98" t="s">
        <v>229</v>
      </c>
      <c r="K662" s="99">
        <v>1083</v>
      </c>
      <c r="L662" s="98">
        <v>2022</v>
      </c>
      <c r="M662" s="98" t="s">
        <v>225</v>
      </c>
      <c r="N662" s="99">
        <v>1083</v>
      </c>
      <c r="O662" s="100">
        <v>8.0908734542891984E-3</v>
      </c>
      <c r="P662" s="100">
        <v>0.324239454625385</v>
      </c>
      <c r="Q662" s="100">
        <v>0.62541690851282505</v>
      </c>
    </row>
    <row r="663" spans="1:17" x14ac:dyDescent="0.35">
      <c r="A663" s="98" t="s">
        <v>37</v>
      </c>
      <c r="B663" s="98" t="s">
        <v>177</v>
      </c>
      <c r="C663" s="98" t="s">
        <v>242</v>
      </c>
      <c r="D663" s="99">
        <v>13595565.499999993</v>
      </c>
      <c r="E663" s="99">
        <v>15574908.999999998</v>
      </c>
      <c r="F663" s="99">
        <v>17316449</v>
      </c>
      <c r="G663" s="99">
        <v>11</v>
      </c>
      <c r="H663" s="98">
        <v>2013</v>
      </c>
      <c r="I663" s="99">
        <v>0</v>
      </c>
      <c r="J663" s="98" t="s">
        <v>225</v>
      </c>
      <c r="K663" s="99">
        <v>94</v>
      </c>
      <c r="L663" s="98">
        <v>2022</v>
      </c>
      <c r="M663" s="98" t="s">
        <v>225</v>
      </c>
      <c r="N663" s="99">
        <v>94</v>
      </c>
      <c r="O663" s="100">
        <v>8.0908734542891984E-3</v>
      </c>
      <c r="P663" s="100">
        <v>0</v>
      </c>
      <c r="Q663" s="100">
        <v>5.4283646722258126E-2</v>
      </c>
    </row>
    <row r="664" spans="1:17" x14ac:dyDescent="0.35">
      <c r="A664" s="98" t="s">
        <v>37</v>
      </c>
      <c r="B664" s="98" t="s">
        <v>177</v>
      </c>
      <c r="C664" s="98" t="s">
        <v>243</v>
      </c>
      <c r="D664" s="99">
        <v>13595565.499999993</v>
      </c>
      <c r="E664" s="99">
        <v>15574908.999999998</v>
      </c>
      <c r="F664" s="99">
        <v>17316449</v>
      </c>
      <c r="G664" s="99">
        <v>0</v>
      </c>
      <c r="H664" s="98" t="s">
        <v>225</v>
      </c>
      <c r="I664" s="99">
        <v>402</v>
      </c>
      <c r="J664" s="98">
        <v>2019</v>
      </c>
      <c r="K664" s="99">
        <v>543</v>
      </c>
      <c r="L664" s="98">
        <v>2022</v>
      </c>
      <c r="M664" s="98" t="s">
        <v>225</v>
      </c>
      <c r="N664" s="99">
        <v>543</v>
      </c>
      <c r="O664" s="100">
        <v>0</v>
      </c>
      <c r="P664" s="100">
        <v>0.25810744704832628</v>
      </c>
      <c r="Q664" s="100">
        <v>0.31357468266155492</v>
      </c>
    </row>
    <row r="665" spans="1:17" x14ac:dyDescent="0.35">
      <c r="A665" s="98" t="s">
        <v>37</v>
      </c>
      <c r="B665" s="98" t="s">
        <v>177</v>
      </c>
      <c r="C665" s="98" t="s">
        <v>244</v>
      </c>
      <c r="D665" s="99">
        <v>13595565.499999993</v>
      </c>
      <c r="E665" s="99">
        <v>15574908.999999998</v>
      </c>
      <c r="F665" s="99">
        <v>17316449</v>
      </c>
      <c r="G665" s="99">
        <v>0</v>
      </c>
      <c r="H665" s="98" t="s">
        <v>225</v>
      </c>
      <c r="I665" s="99">
        <v>2</v>
      </c>
      <c r="J665" s="98">
        <v>2019</v>
      </c>
      <c r="K665" s="99">
        <v>1</v>
      </c>
      <c r="L665" s="98">
        <v>2020</v>
      </c>
      <c r="M665" s="98" t="s">
        <v>226</v>
      </c>
      <c r="N665" s="99">
        <v>1.1704123884062134</v>
      </c>
      <c r="O665" s="100">
        <v>0</v>
      </c>
      <c r="P665" s="100">
        <v>1.2841166519817228E-3</v>
      </c>
      <c r="Q665" s="100">
        <v>6.7589630437869417E-4</v>
      </c>
    </row>
    <row r="666" spans="1:17" x14ac:dyDescent="0.35">
      <c r="A666" s="98" t="s">
        <v>37</v>
      </c>
      <c r="B666" s="98" t="s">
        <v>177</v>
      </c>
      <c r="C666" s="98" t="s">
        <v>245</v>
      </c>
      <c r="D666" s="99">
        <v>13595565.499999993</v>
      </c>
      <c r="E666" s="99">
        <v>15574908.999999998</v>
      </c>
      <c r="F666" s="99">
        <v>17316449</v>
      </c>
      <c r="G666" s="99">
        <v>54</v>
      </c>
      <c r="H666" s="98">
        <v>2013</v>
      </c>
      <c r="I666" s="99">
        <v>0</v>
      </c>
      <c r="J666" s="98" t="s">
        <v>225</v>
      </c>
      <c r="K666" s="99">
        <v>0</v>
      </c>
      <c r="L666" s="98" t="s">
        <v>225</v>
      </c>
      <c r="M666" s="98" t="s">
        <v>225</v>
      </c>
      <c r="N666" s="99">
        <v>0</v>
      </c>
      <c r="O666" s="100">
        <v>3.9718833321056066E-2</v>
      </c>
      <c r="P666" s="100">
        <v>0</v>
      </c>
      <c r="Q666" s="100">
        <v>0</v>
      </c>
    </row>
    <row r="667" spans="1:17" x14ac:dyDescent="0.35">
      <c r="A667" s="98" t="s">
        <v>39</v>
      </c>
      <c r="B667" s="98" t="s">
        <v>179</v>
      </c>
      <c r="C667" s="98" t="s">
        <v>224</v>
      </c>
      <c r="D667" s="99">
        <v>6964858.4999999972</v>
      </c>
      <c r="E667" s="99">
        <v>7861281</v>
      </c>
      <c r="F667" s="99">
        <v>8605718.0000000056</v>
      </c>
      <c r="G667" s="99">
        <v>0</v>
      </c>
      <c r="H667" s="98" t="s">
        <v>225</v>
      </c>
      <c r="I667" s="99">
        <v>505</v>
      </c>
      <c r="J667" s="98" t="s">
        <v>229</v>
      </c>
      <c r="K667" s="99">
        <v>13966</v>
      </c>
      <c r="L667" s="98">
        <v>2020</v>
      </c>
      <c r="M667" s="98" t="s">
        <v>225</v>
      </c>
      <c r="N667" s="99">
        <v>13966</v>
      </c>
      <c r="O667" s="100">
        <v>0</v>
      </c>
      <c r="P667" s="100">
        <v>0.64238894399017155</v>
      </c>
      <c r="Q667" s="100">
        <v>16.228744655588287</v>
      </c>
    </row>
    <row r="668" spans="1:17" x14ac:dyDescent="0.35">
      <c r="A668" s="98" t="s">
        <v>39</v>
      </c>
      <c r="B668" s="98" t="s">
        <v>179</v>
      </c>
      <c r="C668" s="98" t="s">
        <v>227</v>
      </c>
      <c r="D668" s="99">
        <v>6964858.4999999972</v>
      </c>
      <c r="E668" s="99">
        <v>7861281</v>
      </c>
      <c r="F668" s="99">
        <v>8605718.0000000056</v>
      </c>
      <c r="G668" s="99">
        <v>0</v>
      </c>
      <c r="H668" s="98" t="s">
        <v>225</v>
      </c>
      <c r="I668" s="99">
        <v>103</v>
      </c>
      <c r="J668" s="98" t="s">
        <v>229</v>
      </c>
      <c r="K668" s="99">
        <v>120</v>
      </c>
      <c r="L668" s="98">
        <v>2021</v>
      </c>
      <c r="M668" s="98" t="s">
        <v>225</v>
      </c>
      <c r="N668" s="99">
        <v>120</v>
      </c>
      <c r="O668" s="100">
        <v>0</v>
      </c>
      <c r="P668" s="100">
        <v>0.13102190342769837</v>
      </c>
      <c r="Q668" s="100">
        <v>0.13944217089149322</v>
      </c>
    </row>
    <row r="669" spans="1:17" x14ac:dyDescent="0.35">
      <c r="A669" s="98" t="s">
        <v>39</v>
      </c>
      <c r="B669" s="98" t="s">
        <v>179</v>
      </c>
      <c r="C669" s="98" t="s">
        <v>228</v>
      </c>
      <c r="D669" s="99">
        <v>6964858.4999999972</v>
      </c>
      <c r="E669" s="99">
        <v>7861281</v>
      </c>
      <c r="F669" s="99">
        <v>8605718.0000000056</v>
      </c>
      <c r="G669" s="99">
        <v>0</v>
      </c>
      <c r="H669" s="98" t="s">
        <v>225</v>
      </c>
      <c r="I669" s="99">
        <v>406</v>
      </c>
      <c r="J669" s="98" t="s">
        <v>229</v>
      </c>
      <c r="K669" s="99">
        <v>790</v>
      </c>
      <c r="L669" s="98">
        <v>2021</v>
      </c>
      <c r="M669" s="98" t="s">
        <v>225</v>
      </c>
      <c r="N669" s="99">
        <v>790</v>
      </c>
      <c r="O669" s="100">
        <v>0</v>
      </c>
      <c r="P669" s="100">
        <v>0.51645526982180134</v>
      </c>
      <c r="Q669" s="100">
        <v>0.91799429170233038</v>
      </c>
    </row>
    <row r="670" spans="1:17" x14ac:dyDescent="0.35">
      <c r="A670" s="98" t="s">
        <v>39</v>
      </c>
      <c r="B670" s="98" t="s">
        <v>179</v>
      </c>
      <c r="C670" s="98" t="s">
        <v>230</v>
      </c>
      <c r="D670" s="99">
        <v>6964858.4999999972</v>
      </c>
      <c r="E670" s="99">
        <v>7861281</v>
      </c>
      <c r="F670" s="99">
        <v>8605718.0000000056</v>
      </c>
      <c r="G670" s="99">
        <v>0</v>
      </c>
      <c r="H670" s="98" t="s">
        <v>225</v>
      </c>
      <c r="I670" s="99">
        <v>0</v>
      </c>
      <c r="J670" s="98" t="s">
        <v>225</v>
      </c>
      <c r="K670" s="99">
        <v>2251</v>
      </c>
      <c r="L670" s="98">
        <v>2020</v>
      </c>
      <c r="M670" s="98" t="s">
        <v>225</v>
      </c>
      <c r="N670" s="99">
        <v>2251</v>
      </c>
      <c r="O670" s="100">
        <v>0</v>
      </c>
      <c r="P670" s="100">
        <v>0</v>
      </c>
      <c r="Q670" s="100">
        <v>2.6157027223062603</v>
      </c>
    </row>
    <row r="671" spans="1:17" x14ac:dyDescent="0.35">
      <c r="A671" s="98" t="s">
        <v>39</v>
      </c>
      <c r="B671" s="98" t="s">
        <v>179</v>
      </c>
      <c r="C671" s="98" t="s">
        <v>231</v>
      </c>
      <c r="D671" s="99">
        <v>6964858.4999999972</v>
      </c>
      <c r="E671" s="99">
        <v>7861281</v>
      </c>
      <c r="F671" s="99">
        <v>8605718.0000000056</v>
      </c>
      <c r="G671" s="99">
        <v>0</v>
      </c>
      <c r="H671" s="98" t="s">
        <v>225</v>
      </c>
      <c r="I671" s="99">
        <v>93</v>
      </c>
      <c r="J671" s="98">
        <v>2019</v>
      </c>
      <c r="K671" s="99">
        <v>487</v>
      </c>
      <c r="L671" s="98">
        <v>2020</v>
      </c>
      <c r="M671" s="98" t="s">
        <v>225</v>
      </c>
      <c r="N671" s="99">
        <v>487</v>
      </c>
      <c r="O671" s="100">
        <v>0</v>
      </c>
      <c r="P671" s="100">
        <v>0.11830133027937813</v>
      </c>
      <c r="Q671" s="100">
        <v>0.56590281020130995</v>
      </c>
    </row>
    <row r="672" spans="1:17" x14ac:dyDescent="0.35">
      <c r="A672" s="98" t="s">
        <v>39</v>
      </c>
      <c r="B672" s="98" t="s">
        <v>179</v>
      </c>
      <c r="C672" s="98" t="s">
        <v>232</v>
      </c>
      <c r="D672" s="99">
        <v>6964858.4999999972</v>
      </c>
      <c r="E672" s="99">
        <v>7861281</v>
      </c>
      <c r="F672" s="99">
        <v>8605718.0000000056</v>
      </c>
      <c r="G672" s="99">
        <v>0</v>
      </c>
      <c r="H672" s="98" t="s">
        <v>225</v>
      </c>
      <c r="I672" s="99">
        <v>128</v>
      </c>
      <c r="J672" s="98" t="s">
        <v>229</v>
      </c>
      <c r="K672" s="99">
        <v>13</v>
      </c>
      <c r="L672" s="98">
        <v>2022</v>
      </c>
      <c r="M672" s="98" t="s">
        <v>226</v>
      </c>
      <c r="N672" s="99">
        <v>14.940882376165398</v>
      </c>
      <c r="O672" s="100">
        <v>0</v>
      </c>
      <c r="P672" s="100">
        <v>0.16282333629849893</v>
      </c>
      <c r="Q672" s="100">
        <v>1.7361575613057956E-2</v>
      </c>
    </row>
    <row r="673" spans="1:17" x14ac:dyDescent="0.35">
      <c r="A673" s="98" t="s">
        <v>39</v>
      </c>
      <c r="B673" s="98" t="s">
        <v>179</v>
      </c>
      <c r="C673" s="98" t="s">
        <v>233</v>
      </c>
      <c r="D673" s="99">
        <v>6964858.4999999972</v>
      </c>
      <c r="E673" s="99">
        <v>7861281</v>
      </c>
      <c r="F673" s="99">
        <v>8605718.0000000056</v>
      </c>
      <c r="G673" s="99">
        <v>0</v>
      </c>
      <c r="H673" s="98" t="s">
        <v>225</v>
      </c>
      <c r="I673" s="99">
        <v>311</v>
      </c>
      <c r="J673" s="98">
        <v>2018</v>
      </c>
      <c r="K673" s="99">
        <v>20</v>
      </c>
      <c r="L673" s="98">
        <v>2022</v>
      </c>
      <c r="M673" s="98" t="s">
        <v>226</v>
      </c>
      <c r="N673" s="99">
        <v>22.985972886408305</v>
      </c>
      <c r="O673" s="100">
        <v>0</v>
      </c>
      <c r="P673" s="100">
        <v>0.39560982491275914</v>
      </c>
      <c r="Q673" s="100">
        <v>2.6710116327781471E-2</v>
      </c>
    </row>
    <row r="674" spans="1:17" x14ac:dyDescent="0.35">
      <c r="A674" s="98" t="s">
        <v>39</v>
      </c>
      <c r="B674" s="98" t="s">
        <v>179</v>
      </c>
      <c r="C674" s="98" t="s">
        <v>234</v>
      </c>
      <c r="D674" s="99">
        <v>6964858.4999999972</v>
      </c>
      <c r="E674" s="99">
        <v>7861281</v>
      </c>
      <c r="F674" s="99">
        <v>8605718.0000000056</v>
      </c>
      <c r="G674" s="99">
        <v>0</v>
      </c>
      <c r="H674" s="98" t="s">
        <v>225</v>
      </c>
      <c r="I674" s="99">
        <v>0</v>
      </c>
      <c r="J674" s="98" t="s">
        <v>225</v>
      </c>
      <c r="K674" s="99">
        <v>0</v>
      </c>
      <c r="L674" s="98" t="s">
        <v>225</v>
      </c>
      <c r="M674" s="98" t="s">
        <v>225</v>
      </c>
      <c r="N674" s="99">
        <v>0</v>
      </c>
      <c r="O674" s="100">
        <v>0</v>
      </c>
      <c r="P674" s="100">
        <v>0</v>
      </c>
      <c r="Q674" s="100">
        <v>0</v>
      </c>
    </row>
    <row r="675" spans="1:17" x14ac:dyDescent="0.35">
      <c r="A675" s="98" t="s">
        <v>39</v>
      </c>
      <c r="B675" s="98" t="s">
        <v>179</v>
      </c>
      <c r="C675" s="98" t="s">
        <v>235</v>
      </c>
      <c r="D675" s="99">
        <v>6964858.4999999972</v>
      </c>
      <c r="E675" s="99">
        <v>7861281</v>
      </c>
      <c r="F675" s="99">
        <v>8605718.0000000056</v>
      </c>
      <c r="G675" s="99">
        <v>0</v>
      </c>
      <c r="H675" s="98" t="s">
        <v>225</v>
      </c>
      <c r="I675" s="99">
        <v>22</v>
      </c>
      <c r="J675" s="98" t="s">
        <v>229</v>
      </c>
      <c r="K675" s="99">
        <v>50</v>
      </c>
      <c r="L675" s="98">
        <v>2022</v>
      </c>
      <c r="M675" s="98" t="s">
        <v>225</v>
      </c>
      <c r="N675" s="99">
        <v>50</v>
      </c>
      <c r="O675" s="100">
        <v>0</v>
      </c>
      <c r="P675" s="100">
        <v>2.7985260926304503E-2</v>
      </c>
      <c r="Q675" s="100">
        <v>5.8100904538122174E-2</v>
      </c>
    </row>
    <row r="676" spans="1:17" x14ac:dyDescent="0.35">
      <c r="A676" s="98" t="s">
        <v>39</v>
      </c>
      <c r="B676" s="98" t="s">
        <v>179</v>
      </c>
      <c r="C676" s="98" t="s">
        <v>236</v>
      </c>
      <c r="D676" s="99">
        <v>6964858.4999999972</v>
      </c>
      <c r="E676" s="99">
        <v>7861281</v>
      </c>
      <c r="F676" s="99">
        <v>8605718.0000000056</v>
      </c>
      <c r="G676" s="99">
        <v>0</v>
      </c>
      <c r="H676" s="98" t="s">
        <v>225</v>
      </c>
      <c r="I676" s="99">
        <v>64</v>
      </c>
      <c r="J676" s="98">
        <v>2019</v>
      </c>
      <c r="K676" s="99">
        <v>195</v>
      </c>
      <c r="L676" s="98">
        <v>2022</v>
      </c>
      <c r="M676" s="98" t="s">
        <v>225</v>
      </c>
      <c r="N676" s="99">
        <v>195</v>
      </c>
      <c r="O676" s="100">
        <v>0</v>
      </c>
      <c r="P676" s="100">
        <v>8.1411668149249466E-2</v>
      </c>
      <c r="Q676" s="100">
        <v>0.22659352769867647</v>
      </c>
    </row>
    <row r="677" spans="1:17" x14ac:dyDescent="0.35">
      <c r="A677" s="98" t="s">
        <v>39</v>
      </c>
      <c r="B677" s="98" t="s">
        <v>179</v>
      </c>
      <c r="C677" s="98" t="s">
        <v>237</v>
      </c>
      <c r="D677" s="99">
        <v>6964858.4999999972</v>
      </c>
      <c r="E677" s="99">
        <v>7861281</v>
      </c>
      <c r="F677" s="99">
        <v>8605718.0000000056</v>
      </c>
      <c r="G677" s="99">
        <v>0</v>
      </c>
      <c r="H677" s="98" t="s">
        <v>225</v>
      </c>
      <c r="I677" s="99">
        <v>13</v>
      </c>
      <c r="J677" s="98" t="s">
        <v>229</v>
      </c>
      <c r="K677" s="99">
        <v>2</v>
      </c>
      <c r="L677" s="98">
        <v>2022</v>
      </c>
      <c r="M677" s="98" t="s">
        <v>226</v>
      </c>
      <c r="N677" s="99">
        <v>2.2985972886408303</v>
      </c>
      <c r="O677" s="100">
        <v>0</v>
      </c>
      <c r="P677" s="100">
        <v>1.6536745092816298E-2</v>
      </c>
      <c r="Q677" s="100">
        <v>2.6710116327781472E-3</v>
      </c>
    </row>
    <row r="678" spans="1:17" x14ac:dyDescent="0.35">
      <c r="A678" s="98" t="s">
        <v>39</v>
      </c>
      <c r="B678" s="98" t="s">
        <v>179</v>
      </c>
      <c r="C678" s="98" t="s">
        <v>238</v>
      </c>
      <c r="D678" s="99">
        <v>6964858.4999999972</v>
      </c>
      <c r="E678" s="99">
        <v>7861281</v>
      </c>
      <c r="F678" s="99">
        <v>8605718.0000000056</v>
      </c>
      <c r="G678" s="99">
        <v>0</v>
      </c>
      <c r="H678" s="98" t="s">
        <v>225</v>
      </c>
      <c r="I678" s="99">
        <v>0</v>
      </c>
      <c r="J678" s="98" t="s">
        <v>225</v>
      </c>
      <c r="K678" s="99">
        <v>0</v>
      </c>
      <c r="L678" s="98" t="s">
        <v>225</v>
      </c>
      <c r="M678" s="98" t="s">
        <v>225</v>
      </c>
      <c r="N678" s="99">
        <v>0</v>
      </c>
      <c r="O678" s="100">
        <v>0</v>
      </c>
      <c r="P678" s="100">
        <v>0</v>
      </c>
      <c r="Q678" s="100">
        <v>0</v>
      </c>
    </row>
    <row r="679" spans="1:17" x14ac:dyDescent="0.35">
      <c r="A679" s="98" t="s">
        <v>39</v>
      </c>
      <c r="B679" s="98" t="s">
        <v>179</v>
      </c>
      <c r="C679" s="98" t="s">
        <v>239</v>
      </c>
      <c r="D679" s="99">
        <v>6964858.4999999972</v>
      </c>
      <c r="E679" s="99">
        <v>7861281</v>
      </c>
      <c r="F679" s="99">
        <v>8605718.0000000056</v>
      </c>
      <c r="G679" s="99">
        <v>0</v>
      </c>
      <c r="H679" s="98" t="s">
        <v>225</v>
      </c>
      <c r="I679" s="99">
        <v>0</v>
      </c>
      <c r="J679" s="98" t="s">
        <v>225</v>
      </c>
      <c r="K679" s="99">
        <v>0</v>
      </c>
      <c r="L679" s="98" t="s">
        <v>225</v>
      </c>
      <c r="M679" s="98" t="s">
        <v>225</v>
      </c>
      <c r="N679" s="99">
        <v>0</v>
      </c>
      <c r="O679" s="100">
        <v>0</v>
      </c>
      <c r="P679" s="100">
        <v>0</v>
      </c>
      <c r="Q679" s="100">
        <v>0</v>
      </c>
    </row>
    <row r="680" spans="1:17" x14ac:dyDescent="0.35">
      <c r="A680" s="98" t="s">
        <v>39</v>
      </c>
      <c r="B680" s="98" t="s">
        <v>179</v>
      </c>
      <c r="C680" s="98" t="s">
        <v>240</v>
      </c>
      <c r="D680" s="99">
        <v>6964858.4999999972</v>
      </c>
      <c r="E680" s="99">
        <v>7861281</v>
      </c>
      <c r="F680" s="99">
        <v>8605718.0000000056</v>
      </c>
      <c r="G680" s="99">
        <v>0</v>
      </c>
      <c r="H680" s="98" t="s">
        <v>225</v>
      </c>
      <c r="I680" s="99">
        <v>311</v>
      </c>
      <c r="J680" s="98" t="s">
        <v>229</v>
      </c>
      <c r="K680" s="99">
        <v>298</v>
      </c>
      <c r="L680" s="98">
        <v>2022</v>
      </c>
      <c r="M680" s="98" t="s">
        <v>226</v>
      </c>
      <c r="N680" s="99">
        <v>342.49099600748372</v>
      </c>
      <c r="O680" s="100">
        <v>0</v>
      </c>
      <c r="P680" s="100">
        <v>0.39560982491275914</v>
      </c>
      <c r="Q680" s="100">
        <v>0.3979807332839439</v>
      </c>
    </row>
    <row r="681" spans="1:17" x14ac:dyDescent="0.35">
      <c r="A681" s="98" t="s">
        <v>39</v>
      </c>
      <c r="B681" s="98" t="s">
        <v>179</v>
      </c>
      <c r="C681" s="98" t="s">
        <v>241</v>
      </c>
      <c r="D681" s="99">
        <v>6964858.4999999972</v>
      </c>
      <c r="E681" s="99">
        <v>7861281</v>
      </c>
      <c r="F681" s="99">
        <v>8605718.0000000056</v>
      </c>
      <c r="G681" s="99">
        <v>0</v>
      </c>
      <c r="H681" s="98" t="s">
        <v>225</v>
      </c>
      <c r="I681" s="99">
        <v>319</v>
      </c>
      <c r="J681" s="98">
        <v>2019</v>
      </c>
      <c r="K681" s="99">
        <v>650</v>
      </c>
      <c r="L681" s="98">
        <v>2020</v>
      </c>
      <c r="M681" s="98" t="s">
        <v>225</v>
      </c>
      <c r="N681" s="99">
        <v>650</v>
      </c>
      <c r="O681" s="100">
        <v>0</v>
      </c>
      <c r="P681" s="100">
        <v>0.40578628343141532</v>
      </c>
      <c r="Q681" s="100">
        <v>0.75531175899558822</v>
      </c>
    </row>
    <row r="682" spans="1:17" x14ac:dyDescent="0.35">
      <c r="A682" s="98" t="s">
        <v>39</v>
      </c>
      <c r="B682" s="98" t="s">
        <v>179</v>
      </c>
      <c r="C682" s="98" t="s">
        <v>242</v>
      </c>
      <c r="D682" s="99">
        <v>6964858.4999999972</v>
      </c>
      <c r="E682" s="99">
        <v>7861281</v>
      </c>
      <c r="F682" s="99">
        <v>8605718.0000000056</v>
      </c>
      <c r="G682" s="99">
        <v>0</v>
      </c>
      <c r="H682" s="98" t="s">
        <v>225</v>
      </c>
      <c r="I682" s="99">
        <v>13</v>
      </c>
      <c r="J682" s="98" t="s">
        <v>229</v>
      </c>
      <c r="K682" s="99">
        <v>6</v>
      </c>
      <c r="L682" s="98">
        <v>2020</v>
      </c>
      <c r="M682" s="98" t="s">
        <v>226</v>
      </c>
      <c r="N682" s="99">
        <v>6.895791865922491</v>
      </c>
      <c r="O682" s="100">
        <v>0</v>
      </c>
      <c r="P682" s="100">
        <v>1.6536745092816298E-2</v>
      </c>
      <c r="Q682" s="100">
        <v>8.013034898334442E-3</v>
      </c>
    </row>
    <row r="683" spans="1:17" x14ac:dyDescent="0.35">
      <c r="A683" s="98" t="s">
        <v>39</v>
      </c>
      <c r="B683" s="98" t="s">
        <v>179</v>
      </c>
      <c r="C683" s="98" t="s">
        <v>243</v>
      </c>
      <c r="D683" s="99">
        <v>6964858.4999999972</v>
      </c>
      <c r="E683" s="99">
        <v>7861281</v>
      </c>
      <c r="F683" s="99">
        <v>8605718.0000000056</v>
      </c>
      <c r="G683" s="99">
        <v>1511</v>
      </c>
      <c r="H683" s="98">
        <v>2014</v>
      </c>
      <c r="I683" s="99">
        <v>0</v>
      </c>
      <c r="J683" s="98" t="s">
        <v>225</v>
      </c>
      <c r="K683" s="99">
        <v>0</v>
      </c>
      <c r="L683" s="98" t="s">
        <v>225</v>
      </c>
      <c r="M683" s="98" t="s">
        <v>225</v>
      </c>
      <c r="N683" s="99">
        <v>0</v>
      </c>
      <c r="O683" s="100">
        <v>2.169462595686618</v>
      </c>
      <c r="P683" s="100">
        <v>0</v>
      </c>
      <c r="Q683" s="100">
        <v>0</v>
      </c>
    </row>
    <row r="684" spans="1:17" x14ac:dyDescent="0.35">
      <c r="A684" s="98" t="s">
        <v>39</v>
      </c>
      <c r="B684" s="98" t="s">
        <v>179</v>
      </c>
      <c r="C684" s="98" t="s">
        <v>244</v>
      </c>
      <c r="D684" s="99">
        <v>6964858.4999999972</v>
      </c>
      <c r="E684" s="99">
        <v>7861281</v>
      </c>
      <c r="F684" s="99">
        <v>8605718.0000000056</v>
      </c>
      <c r="G684" s="99">
        <v>0</v>
      </c>
      <c r="H684" s="98" t="s">
        <v>225</v>
      </c>
      <c r="I684" s="99">
        <v>0</v>
      </c>
      <c r="J684" s="98" t="s">
        <v>225</v>
      </c>
      <c r="K684" s="99">
        <v>0</v>
      </c>
      <c r="L684" s="98" t="s">
        <v>225</v>
      </c>
      <c r="M684" s="98" t="s">
        <v>225</v>
      </c>
      <c r="N684" s="99">
        <v>0</v>
      </c>
      <c r="O684" s="100">
        <v>0</v>
      </c>
      <c r="P684" s="100">
        <v>0</v>
      </c>
      <c r="Q684" s="100">
        <v>0</v>
      </c>
    </row>
    <row r="685" spans="1:17" x14ac:dyDescent="0.35">
      <c r="A685" s="98" t="s">
        <v>39</v>
      </c>
      <c r="B685" s="98" t="s">
        <v>179</v>
      </c>
      <c r="C685" s="98" t="s">
        <v>245</v>
      </c>
      <c r="D685" s="99">
        <v>6964858.4999999972</v>
      </c>
      <c r="E685" s="99">
        <v>7861281</v>
      </c>
      <c r="F685" s="99">
        <v>8605718.0000000056</v>
      </c>
      <c r="G685" s="99">
        <v>3046</v>
      </c>
      <c r="H685" s="98">
        <v>2014</v>
      </c>
      <c r="I685" s="99">
        <v>0</v>
      </c>
      <c r="J685" s="98" t="s">
        <v>225</v>
      </c>
      <c r="K685" s="99">
        <v>0</v>
      </c>
      <c r="L685" s="98" t="s">
        <v>225</v>
      </c>
      <c r="M685" s="98" t="s">
        <v>225</v>
      </c>
      <c r="N685" s="99">
        <v>0</v>
      </c>
      <c r="O685" s="100">
        <v>4.3733838957388746</v>
      </c>
      <c r="P685" s="100">
        <v>0</v>
      </c>
      <c r="Q685" s="100">
        <v>0</v>
      </c>
    </row>
    <row r="686" spans="1:17" x14ac:dyDescent="0.35">
      <c r="A686" s="98" t="s">
        <v>41</v>
      </c>
      <c r="B686" s="98" t="s">
        <v>181</v>
      </c>
      <c r="C686" s="98" t="s">
        <v>224</v>
      </c>
      <c r="D686" s="99">
        <v>11106031.000000004</v>
      </c>
      <c r="E686" s="99">
        <v>10395329.5</v>
      </c>
      <c r="F686" s="99">
        <v>10913163.5</v>
      </c>
      <c r="G686" s="99">
        <v>0</v>
      </c>
      <c r="H686" s="98" t="s">
        <v>225</v>
      </c>
      <c r="I686" s="99">
        <v>1455</v>
      </c>
      <c r="J686" s="98">
        <v>2018</v>
      </c>
      <c r="K686" s="99">
        <v>2826</v>
      </c>
      <c r="L686" s="98">
        <v>2020</v>
      </c>
      <c r="M686" s="98" t="s">
        <v>225</v>
      </c>
      <c r="N686" s="99">
        <v>2826</v>
      </c>
      <c r="O686" s="100">
        <v>0</v>
      </c>
      <c r="P686" s="100">
        <v>1.3996670331613827</v>
      </c>
      <c r="Q686" s="100">
        <v>2.5895332732804746</v>
      </c>
    </row>
    <row r="687" spans="1:17" x14ac:dyDescent="0.35">
      <c r="A687" s="98" t="s">
        <v>41</v>
      </c>
      <c r="B687" s="98" t="s">
        <v>181</v>
      </c>
      <c r="C687" s="98" t="s">
        <v>227</v>
      </c>
      <c r="D687" s="99">
        <v>11106031.000000004</v>
      </c>
      <c r="E687" s="99">
        <v>10395329.5</v>
      </c>
      <c r="F687" s="99">
        <v>10913163.5</v>
      </c>
      <c r="G687" s="99">
        <v>0</v>
      </c>
      <c r="H687" s="98" t="s">
        <v>225</v>
      </c>
      <c r="I687" s="99">
        <v>22</v>
      </c>
      <c r="J687" s="98" t="s">
        <v>229</v>
      </c>
      <c r="K687" s="99">
        <v>22</v>
      </c>
      <c r="L687" s="98" t="s">
        <v>229</v>
      </c>
      <c r="M687" s="98" t="s">
        <v>225</v>
      </c>
      <c r="N687" s="99">
        <v>22</v>
      </c>
      <c r="O687" s="100">
        <v>0</v>
      </c>
      <c r="P687" s="100">
        <v>2.1163350329587917E-2</v>
      </c>
      <c r="Q687" s="100">
        <v>2.0159140839409215E-2</v>
      </c>
    </row>
    <row r="688" spans="1:17" x14ac:dyDescent="0.35">
      <c r="A688" s="98" t="s">
        <v>41</v>
      </c>
      <c r="B688" s="98" t="s">
        <v>181</v>
      </c>
      <c r="C688" s="98" t="s">
        <v>228</v>
      </c>
      <c r="D688" s="99">
        <v>11106031.000000004</v>
      </c>
      <c r="E688" s="99">
        <v>10395329.5</v>
      </c>
      <c r="F688" s="99">
        <v>10913163.5</v>
      </c>
      <c r="G688" s="99">
        <v>0</v>
      </c>
      <c r="H688" s="98" t="s">
        <v>225</v>
      </c>
      <c r="I688" s="99">
        <v>250</v>
      </c>
      <c r="J688" s="98" t="s">
        <v>229</v>
      </c>
      <c r="K688" s="99">
        <v>250</v>
      </c>
      <c r="L688" s="98" t="s">
        <v>229</v>
      </c>
      <c r="M688" s="98" t="s">
        <v>225</v>
      </c>
      <c r="N688" s="99">
        <v>250</v>
      </c>
      <c r="O688" s="100">
        <v>0</v>
      </c>
      <c r="P688" s="100">
        <v>0.24049261738168087</v>
      </c>
      <c r="Q688" s="100">
        <v>0.22908114590237744</v>
      </c>
    </row>
    <row r="689" spans="1:17" x14ac:dyDescent="0.35">
      <c r="A689" s="98" t="s">
        <v>41</v>
      </c>
      <c r="B689" s="98" t="s">
        <v>181</v>
      </c>
      <c r="C689" s="98" t="s">
        <v>230</v>
      </c>
      <c r="D689" s="99">
        <v>11106031.000000004</v>
      </c>
      <c r="E689" s="99">
        <v>10395329.5</v>
      </c>
      <c r="F689" s="99">
        <v>10913163.5</v>
      </c>
      <c r="G689" s="99">
        <v>0</v>
      </c>
      <c r="H689" s="98" t="s">
        <v>225</v>
      </c>
      <c r="I689" s="99">
        <v>5870</v>
      </c>
      <c r="J689" s="98">
        <v>2019</v>
      </c>
      <c r="K689" s="99">
        <v>5870</v>
      </c>
      <c r="L689" s="98">
        <v>2019</v>
      </c>
      <c r="M689" s="98" t="s">
        <v>225</v>
      </c>
      <c r="N689" s="99">
        <v>5870</v>
      </c>
      <c r="O689" s="100">
        <v>0</v>
      </c>
      <c r="P689" s="100">
        <v>5.6467666561218675</v>
      </c>
      <c r="Q689" s="100">
        <v>5.3788253057878226</v>
      </c>
    </row>
    <row r="690" spans="1:17" x14ac:dyDescent="0.35">
      <c r="A690" s="98" t="s">
        <v>41</v>
      </c>
      <c r="B690" s="98" t="s">
        <v>181</v>
      </c>
      <c r="C690" s="98" t="s">
        <v>231</v>
      </c>
      <c r="D690" s="99">
        <v>11106031.000000004</v>
      </c>
      <c r="E690" s="99">
        <v>10395329.5</v>
      </c>
      <c r="F690" s="99">
        <v>10913163.5</v>
      </c>
      <c r="G690" s="99">
        <v>0</v>
      </c>
      <c r="H690" s="98" t="s">
        <v>225</v>
      </c>
      <c r="I690" s="99">
        <v>20</v>
      </c>
      <c r="J690" s="98" t="s">
        <v>229</v>
      </c>
      <c r="K690" s="99">
        <v>20</v>
      </c>
      <c r="L690" s="98" t="s">
        <v>229</v>
      </c>
      <c r="M690" s="98" t="s">
        <v>225</v>
      </c>
      <c r="N690" s="99">
        <v>20</v>
      </c>
      <c r="O690" s="100">
        <v>0</v>
      </c>
      <c r="P690" s="100">
        <v>1.9239409390534472E-2</v>
      </c>
      <c r="Q690" s="100">
        <v>1.8326491672190196E-2</v>
      </c>
    </row>
    <row r="691" spans="1:17" x14ac:dyDescent="0.35">
      <c r="A691" s="98" t="s">
        <v>41</v>
      </c>
      <c r="B691" s="98" t="s">
        <v>181</v>
      </c>
      <c r="C691" s="98" t="s">
        <v>232</v>
      </c>
      <c r="D691" s="99">
        <v>11106031.000000004</v>
      </c>
      <c r="E691" s="99">
        <v>10395329.5</v>
      </c>
      <c r="F691" s="99">
        <v>10913163.5</v>
      </c>
      <c r="G691" s="99">
        <v>0</v>
      </c>
      <c r="H691" s="98" t="s">
        <v>225</v>
      </c>
      <c r="I691" s="99">
        <v>21</v>
      </c>
      <c r="J691" s="98" t="s">
        <v>229</v>
      </c>
      <c r="K691" s="99">
        <v>21</v>
      </c>
      <c r="L691" s="98" t="s">
        <v>229</v>
      </c>
      <c r="M691" s="98" t="s">
        <v>225</v>
      </c>
      <c r="N691" s="99">
        <v>21</v>
      </c>
      <c r="O691" s="100">
        <v>0</v>
      </c>
      <c r="P691" s="100">
        <v>2.0201379860061194E-2</v>
      </c>
      <c r="Q691" s="100">
        <v>1.9242816255799704E-2</v>
      </c>
    </row>
    <row r="692" spans="1:17" x14ac:dyDescent="0.35">
      <c r="A692" s="98" t="s">
        <v>41</v>
      </c>
      <c r="B692" s="98" t="s">
        <v>181</v>
      </c>
      <c r="C692" s="98" t="s">
        <v>233</v>
      </c>
      <c r="D692" s="99">
        <v>11106031.000000004</v>
      </c>
      <c r="E692" s="99">
        <v>10395329.5</v>
      </c>
      <c r="F692" s="99">
        <v>10913163.5</v>
      </c>
      <c r="G692" s="99">
        <v>0</v>
      </c>
      <c r="H692" s="98" t="s">
        <v>225</v>
      </c>
      <c r="I692" s="99">
        <v>272</v>
      </c>
      <c r="J692" s="98">
        <v>2018</v>
      </c>
      <c r="K692" s="99">
        <v>635</v>
      </c>
      <c r="L692" s="98">
        <v>2020</v>
      </c>
      <c r="M692" s="98" t="s">
        <v>225</v>
      </c>
      <c r="N692" s="99">
        <v>635</v>
      </c>
      <c r="O692" s="100">
        <v>0</v>
      </c>
      <c r="P692" s="100">
        <v>0.26165596771126881</v>
      </c>
      <c r="Q692" s="100">
        <v>0.58186611059203874</v>
      </c>
    </row>
    <row r="693" spans="1:17" x14ac:dyDescent="0.35">
      <c r="A693" s="98" t="s">
        <v>41</v>
      </c>
      <c r="B693" s="98" t="s">
        <v>181</v>
      </c>
      <c r="C693" s="98" t="s">
        <v>234</v>
      </c>
      <c r="D693" s="99">
        <v>11106031.000000004</v>
      </c>
      <c r="E693" s="99">
        <v>10395329.5</v>
      </c>
      <c r="F693" s="99">
        <v>10913163.5</v>
      </c>
      <c r="G693" s="99">
        <v>0</v>
      </c>
      <c r="H693" s="98" t="s">
        <v>225</v>
      </c>
      <c r="I693" s="99">
        <v>1306</v>
      </c>
      <c r="J693" s="98" t="s">
        <v>229</v>
      </c>
      <c r="K693" s="99">
        <v>1306</v>
      </c>
      <c r="L693" s="98" t="s">
        <v>229</v>
      </c>
      <c r="M693" s="98" t="s">
        <v>225</v>
      </c>
      <c r="N693" s="99">
        <v>1306</v>
      </c>
      <c r="O693" s="100">
        <v>0</v>
      </c>
      <c r="P693" s="100">
        <v>1.2563334332019009</v>
      </c>
      <c r="Q693" s="100">
        <v>1.1967199061940197</v>
      </c>
    </row>
    <row r="694" spans="1:17" x14ac:dyDescent="0.35">
      <c r="A694" s="98" t="s">
        <v>41</v>
      </c>
      <c r="B694" s="98" t="s">
        <v>181</v>
      </c>
      <c r="C694" s="98" t="s">
        <v>235</v>
      </c>
      <c r="D694" s="99">
        <v>11106031.000000004</v>
      </c>
      <c r="E694" s="99">
        <v>10395329.5</v>
      </c>
      <c r="F694" s="99">
        <v>10913163.5</v>
      </c>
      <c r="G694" s="99">
        <v>0</v>
      </c>
      <c r="H694" s="98" t="s">
        <v>225</v>
      </c>
      <c r="I694" s="99">
        <v>6</v>
      </c>
      <c r="J694" s="98" t="s">
        <v>229</v>
      </c>
      <c r="K694" s="99">
        <v>16</v>
      </c>
      <c r="L694" s="98">
        <v>2020</v>
      </c>
      <c r="M694" s="98" t="s">
        <v>225</v>
      </c>
      <c r="N694" s="99">
        <v>16</v>
      </c>
      <c r="O694" s="100">
        <v>0</v>
      </c>
      <c r="P694" s="100">
        <v>5.7718228171603414E-3</v>
      </c>
      <c r="Q694" s="100">
        <v>1.4661193337752156E-2</v>
      </c>
    </row>
    <row r="695" spans="1:17" x14ac:dyDescent="0.35">
      <c r="A695" s="98" t="s">
        <v>41</v>
      </c>
      <c r="B695" s="98" t="s">
        <v>181</v>
      </c>
      <c r="C695" s="98" t="s">
        <v>236</v>
      </c>
      <c r="D695" s="99">
        <v>11106031.000000004</v>
      </c>
      <c r="E695" s="99">
        <v>10395329.5</v>
      </c>
      <c r="F695" s="99">
        <v>10913163.5</v>
      </c>
      <c r="G695" s="99">
        <v>0</v>
      </c>
      <c r="H695" s="98" t="s">
        <v>225</v>
      </c>
      <c r="I695" s="99">
        <v>57</v>
      </c>
      <c r="J695" s="98" t="s">
        <v>229</v>
      </c>
      <c r="K695" s="99">
        <v>1006</v>
      </c>
      <c r="L695" s="98">
        <v>2020</v>
      </c>
      <c r="M695" s="98" t="s">
        <v>225</v>
      </c>
      <c r="N695" s="99">
        <v>1006</v>
      </c>
      <c r="O695" s="100">
        <v>0</v>
      </c>
      <c r="P695" s="100">
        <v>5.4832316763023241E-2</v>
      </c>
      <c r="Q695" s="100">
        <v>0.92182253111116685</v>
      </c>
    </row>
    <row r="696" spans="1:17" x14ac:dyDescent="0.35">
      <c r="A696" s="98" t="s">
        <v>41</v>
      </c>
      <c r="B696" s="98" t="s">
        <v>181</v>
      </c>
      <c r="C696" s="98" t="s">
        <v>237</v>
      </c>
      <c r="D696" s="99">
        <v>11106031.000000004</v>
      </c>
      <c r="E696" s="99">
        <v>10395329.5</v>
      </c>
      <c r="F696" s="99">
        <v>10913163.5</v>
      </c>
      <c r="G696" s="99">
        <v>0</v>
      </c>
      <c r="H696" s="98" t="s">
        <v>225</v>
      </c>
      <c r="I696" s="99">
        <v>7</v>
      </c>
      <c r="J696" s="98" t="s">
        <v>229</v>
      </c>
      <c r="K696" s="99">
        <v>24</v>
      </c>
      <c r="L696" s="98">
        <v>2020</v>
      </c>
      <c r="M696" s="98" t="s">
        <v>225</v>
      </c>
      <c r="N696" s="99">
        <v>24</v>
      </c>
      <c r="O696" s="100">
        <v>0</v>
      </c>
      <c r="P696" s="100">
        <v>6.7337932866870648E-3</v>
      </c>
      <c r="Q696" s="100">
        <v>2.1991790006628233E-2</v>
      </c>
    </row>
    <row r="697" spans="1:17" x14ac:dyDescent="0.35">
      <c r="A697" s="98" t="s">
        <v>41</v>
      </c>
      <c r="B697" s="98" t="s">
        <v>181</v>
      </c>
      <c r="C697" s="98" t="s">
        <v>238</v>
      </c>
      <c r="D697" s="99">
        <v>11106031.000000004</v>
      </c>
      <c r="E697" s="99">
        <v>10395329.5</v>
      </c>
      <c r="F697" s="99">
        <v>10913163.5</v>
      </c>
      <c r="G697" s="99">
        <v>0</v>
      </c>
      <c r="H697" s="98" t="s">
        <v>225</v>
      </c>
      <c r="I697" s="99">
        <v>0</v>
      </c>
      <c r="J697" s="98" t="s">
        <v>225</v>
      </c>
      <c r="K697" s="99">
        <v>0</v>
      </c>
      <c r="L697" s="98" t="s">
        <v>225</v>
      </c>
      <c r="M697" s="98" t="s">
        <v>225</v>
      </c>
      <c r="N697" s="99">
        <v>0</v>
      </c>
      <c r="O697" s="100">
        <v>0</v>
      </c>
      <c r="P697" s="100">
        <v>0</v>
      </c>
      <c r="Q697" s="100">
        <v>0</v>
      </c>
    </row>
    <row r="698" spans="1:17" x14ac:dyDescent="0.35">
      <c r="A698" s="98" t="s">
        <v>41</v>
      </c>
      <c r="B698" s="98" t="s">
        <v>181</v>
      </c>
      <c r="C698" s="98" t="s">
        <v>239</v>
      </c>
      <c r="D698" s="99">
        <v>11106031.000000004</v>
      </c>
      <c r="E698" s="99">
        <v>10395329.5</v>
      </c>
      <c r="F698" s="99">
        <v>10913163.5</v>
      </c>
      <c r="G698" s="99">
        <v>0</v>
      </c>
      <c r="H698" s="98" t="s">
        <v>225</v>
      </c>
      <c r="I698" s="99">
        <v>0</v>
      </c>
      <c r="J698" s="98" t="s">
        <v>225</v>
      </c>
      <c r="K698" s="99">
        <v>0</v>
      </c>
      <c r="L698" s="98" t="s">
        <v>225</v>
      </c>
      <c r="M698" s="98" t="s">
        <v>225</v>
      </c>
      <c r="N698" s="99">
        <v>0</v>
      </c>
      <c r="O698" s="100">
        <v>0</v>
      </c>
      <c r="P698" s="100">
        <v>0</v>
      </c>
      <c r="Q698" s="100">
        <v>0</v>
      </c>
    </row>
    <row r="699" spans="1:17" x14ac:dyDescent="0.35">
      <c r="A699" s="98" t="s">
        <v>41</v>
      </c>
      <c r="B699" s="98" t="s">
        <v>181</v>
      </c>
      <c r="C699" s="98" t="s">
        <v>240</v>
      </c>
      <c r="D699" s="99">
        <v>11106031.000000004</v>
      </c>
      <c r="E699" s="99">
        <v>10395329.5</v>
      </c>
      <c r="F699" s="99">
        <v>10913163.5</v>
      </c>
      <c r="G699" s="99">
        <v>0</v>
      </c>
      <c r="H699" s="98" t="s">
        <v>225</v>
      </c>
      <c r="I699" s="99">
        <v>272</v>
      </c>
      <c r="J699" s="98" t="s">
        <v>229</v>
      </c>
      <c r="K699" s="99">
        <v>272</v>
      </c>
      <c r="L699" s="98" t="s">
        <v>229</v>
      </c>
      <c r="M699" s="98" t="s">
        <v>225</v>
      </c>
      <c r="N699" s="99">
        <v>272</v>
      </c>
      <c r="O699" s="100">
        <v>0</v>
      </c>
      <c r="P699" s="100">
        <v>0.26165596771126881</v>
      </c>
      <c r="Q699" s="100">
        <v>0.24924028674178664</v>
      </c>
    </row>
    <row r="700" spans="1:17" x14ac:dyDescent="0.35">
      <c r="A700" s="98" t="s">
        <v>41</v>
      </c>
      <c r="B700" s="98" t="s">
        <v>181</v>
      </c>
      <c r="C700" s="98" t="s">
        <v>241</v>
      </c>
      <c r="D700" s="99">
        <v>11106031.000000004</v>
      </c>
      <c r="E700" s="99">
        <v>10395329.5</v>
      </c>
      <c r="F700" s="99">
        <v>10913163.5</v>
      </c>
      <c r="G700" s="99">
        <v>0</v>
      </c>
      <c r="H700" s="98" t="s">
        <v>225</v>
      </c>
      <c r="I700" s="99">
        <v>580</v>
      </c>
      <c r="J700" s="98">
        <v>2019</v>
      </c>
      <c r="K700" s="99">
        <v>623</v>
      </c>
      <c r="L700" s="98">
        <v>2020</v>
      </c>
      <c r="M700" s="98" t="s">
        <v>225</v>
      </c>
      <c r="N700" s="99">
        <v>623</v>
      </c>
      <c r="O700" s="100">
        <v>0</v>
      </c>
      <c r="P700" s="100">
        <v>0.55794287232549966</v>
      </c>
      <c r="Q700" s="100">
        <v>0.57087021558872453</v>
      </c>
    </row>
    <row r="701" spans="1:17" x14ac:dyDescent="0.35">
      <c r="A701" s="98" t="s">
        <v>41</v>
      </c>
      <c r="B701" s="98" t="s">
        <v>181</v>
      </c>
      <c r="C701" s="98" t="s">
        <v>242</v>
      </c>
      <c r="D701" s="99">
        <v>11106031.000000004</v>
      </c>
      <c r="E701" s="99">
        <v>10395329.5</v>
      </c>
      <c r="F701" s="99">
        <v>10913163.5</v>
      </c>
      <c r="G701" s="99">
        <v>0</v>
      </c>
      <c r="H701" s="98" t="s">
        <v>225</v>
      </c>
      <c r="I701" s="99">
        <v>9</v>
      </c>
      <c r="J701" s="98" t="s">
        <v>229</v>
      </c>
      <c r="K701" s="99">
        <v>17</v>
      </c>
      <c r="L701" s="98">
        <v>2020</v>
      </c>
      <c r="M701" s="98" t="s">
        <v>225</v>
      </c>
      <c r="N701" s="99">
        <v>17</v>
      </c>
      <c r="O701" s="100">
        <v>0</v>
      </c>
      <c r="P701" s="100">
        <v>8.6577342257405116E-3</v>
      </c>
      <c r="Q701" s="100">
        <v>1.5577517921361665E-2</v>
      </c>
    </row>
    <row r="702" spans="1:17" x14ac:dyDescent="0.35">
      <c r="A702" s="98" t="s">
        <v>41</v>
      </c>
      <c r="B702" s="98" t="s">
        <v>181</v>
      </c>
      <c r="C702" s="98" t="s">
        <v>243</v>
      </c>
      <c r="D702" s="99">
        <v>11106031.000000004</v>
      </c>
      <c r="E702" s="99">
        <v>10395329.5</v>
      </c>
      <c r="F702" s="99">
        <v>10913163.5</v>
      </c>
      <c r="G702" s="99">
        <v>0</v>
      </c>
      <c r="H702" s="98" t="s">
        <v>225</v>
      </c>
      <c r="I702" s="99">
        <v>0</v>
      </c>
      <c r="J702" s="98" t="s">
        <v>225</v>
      </c>
      <c r="K702" s="99">
        <v>0</v>
      </c>
      <c r="L702" s="98" t="s">
        <v>225</v>
      </c>
      <c r="M702" s="98" t="s">
        <v>225</v>
      </c>
      <c r="N702" s="99">
        <v>0</v>
      </c>
      <c r="O702" s="100">
        <v>0</v>
      </c>
      <c r="P702" s="100">
        <v>0</v>
      </c>
      <c r="Q702" s="100">
        <v>0</v>
      </c>
    </row>
    <row r="703" spans="1:17" x14ac:dyDescent="0.35">
      <c r="A703" s="98" t="s">
        <v>41</v>
      </c>
      <c r="B703" s="98" t="s">
        <v>181</v>
      </c>
      <c r="C703" s="98" t="s">
        <v>244</v>
      </c>
      <c r="D703" s="99">
        <v>11106031.000000004</v>
      </c>
      <c r="E703" s="99">
        <v>10395329.5</v>
      </c>
      <c r="F703" s="99">
        <v>10913163.5</v>
      </c>
      <c r="G703" s="99">
        <v>0</v>
      </c>
      <c r="H703" s="98" t="s">
        <v>225</v>
      </c>
      <c r="I703" s="99">
        <v>0</v>
      </c>
      <c r="J703" s="98" t="s">
        <v>225</v>
      </c>
      <c r="K703" s="99">
        <v>0</v>
      </c>
      <c r="L703" s="98" t="s">
        <v>225</v>
      </c>
      <c r="M703" s="98" t="s">
        <v>225</v>
      </c>
      <c r="N703" s="99">
        <v>0</v>
      </c>
      <c r="O703" s="100">
        <v>0</v>
      </c>
      <c r="P703" s="100">
        <v>0</v>
      </c>
      <c r="Q703" s="100">
        <v>0</v>
      </c>
    </row>
    <row r="704" spans="1:17" x14ac:dyDescent="0.35">
      <c r="A704" s="98" t="s">
        <v>41</v>
      </c>
      <c r="B704" s="98" t="s">
        <v>181</v>
      </c>
      <c r="C704" s="98" t="s">
        <v>245</v>
      </c>
      <c r="D704" s="99">
        <v>11106031.000000004</v>
      </c>
      <c r="E704" s="99">
        <v>10395329.5</v>
      </c>
      <c r="F704" s="99">
        <v>10913163.5</v>
      </c>
      <c r="G704" s="99">
        <v>0</v>
      </c>
      <c r="H704" s="98" t="s">
        <v>225</v>
      </c>
      <c r="I704" s="99">
        <v>0</v>
      </c>
      <c r="J704" s="98" t="s">
        <v>225</v>
      </c>
      <c r="K704" s="99">
        <v>0</v>
      </c>
      <c r="L704" s="98" t="s">
        <v>225</v>
      </c>
      <c r="M704" s="98" t="s">
        <v>225</v>
      </c>
      <c r="N704" s="99">
        <v>0</v>
      </c>
      <c r="O704" s="100">
        <v>0</v>
      </c>
      <c r="P704" s="100">
        <v>0</v>
      </c>
      <c r="Q704" s="100">
        <v>0</v>
      </c>
    </row>
    <row r="705" spans="1:17" x14ac:dyDescent="0.35">
      <c r="A705" s="98" t="s">
        <v>36</v>
      </c>
      <c r="B705" s="98" t="s">
        <v>176</v>
      </c>
      <c r="C705" s="98" t="s">
        <v>224</v>
      </c>
      <c r="D705" s="99">
        <v>193756.99999999997</v>
      </c>
      <c r="E705" s="99">
        <v>211344</v>
      </c>
      <c r="F705" s="99">
        <v>227379.5</v>
      </c>
      <c r="G705" s="99">
        <v>0</v>
      </c>
      <c r="H705" s="98" t="s">
        <v>225</v>
      </c>
      <c r="I705" s="99">
        <v>0</v>
      </c>
      <c r="J705" s="98" t="s">
        <v>225</v>
      </c>
      <c r="K705" s="99">
        <v>0</v>
      </c>
      <c r="L705" s="98" t="s">
        <v>225</v>
      </c>
      <c r="M705" s="98" t="s">
        <v>225</v>
      </c>
      <c r="N705" s="99">
        <v>0</v>
      </c>
      <c r="O705" s="100">
        <v>0</v>
      </c>
      <c r="P705" s="100">
        <v>0</v>
      </c>
      <c r="Q705" s="100">
        <v>0</v>
      </c>
    </row>
    <row r="706" spans="1:17" x14ac:dyDescent="0.35">
      <c r="A706" s="98" t="s">
        <v>36</v>
      </c>
      <c r="B706" s="98" t="s">
        <v>176</v>
      </c>
      <c r="C706" s="98" t="s">
        <v>227</v>
      </c>
      <c r="D706" s="99">
        <v>193756.99999999997</v>
      </c>
      <c r="E706" s="99">
        <v>211344</v>
      </c>
      <c r="F706" s="99">
        <v>227379.5</v>
      </c>
      <c r="G706" s="99">
        <v>4</v>
      </c>
      <c r="H706" s="98">
        <v>2013</v>
      </c>
      <c r="I706" s="99">
        <v>61</v>
      </c>
      <c r="J706" s="98">
        <v>2017</v>
      </c>
      <c r="K706" s="99">
        <v>44</v>
      </c>
      <c r="L706" s="98">
        <v>2021</v>
      </c>
      <c r="M706" s="98" t="s">
        <v>226</v>
      </c>
      <c r="N706" s="99">
        <v>50.569140350098266</v>
      </c>
      <c r="O706" s="100">
        <v>0.20644415427571652</v>
      </c>
      <c r="P706" s="100">
        <v>2.8862896509955331</v>
      </c>
      <c r="Q706" s="100">
        <v>2.223997341453309</v>
      </c>
    </row>
    <row r="707" spans="1:17" x14ac:dyDescent="0.35">
      <c r="A707" s="98" t="s">
        <v>36</v>
      </c>
      <c r="B707" s="98" t="s">
        <v>176</v>
      </c>
      <c r="C707" s="98" t="s">
        <v>228</v>
      </c>
      <c r="D707" s="99">
        <v>193756.99999999997</v>
      </c>
      <c r="E707" s="99">
        <v>211344</v>
      </c>
      <c r="F707" s="99">
        <v>227379.5</v>
      </c>
      <c r="G707" s="99">
        <v>24</v>
      </c>
      <c r="H707" s="98">
        <v>2013</v>
      </c>
      <c r="I707" s="99">
        <v>548</v>
      </c>
      <c r="J707" s="98">
        <v>2017</v>
      </c>
      <c r="K707" s="99">
        <v>245</v>
      </c>
      <c r="L707" s="98">
        <v>2021</v>
      </c>
      <c r="M707" s="98" t="s">
        <v>226</v>
      </c>
      <c r="N707" s="99">
        <v>281.57816785850173</v>
      </c>
      <c r="O707" s="100">
        <v>1.2386649256542992</v>
      </c>
      <c r="P707" s="100">
        <v>25.92929063517299</v>
      </c>
      <c r="Q707" s="100">
        <v>12.383621560365016</v>
      </c>
    </row>
    <row r="708" spans="1:17" x14ac:dyDescent="0.35">
      <c r="A708" s="98" t="s">
        <v>36</v>
      </c>
      <c r="B708" s="98" t="s">
        <v>176</v>
      </c>
      <c r="C708" s="98" t="s">
        <v>230</v>
      </c>
      <c r="D708" s="99">
        <v>193756.99999999997</v>
      </c>
      <c r="E708" s="99">
        <v>211344</v>
      </c>
      <c r="F708" s="99">
        <v>227379.5</v>
      </c>
      <c r="G708" s="99">
        <v>0</v>
      </c>
      <c r="H708" s="98" t="s">
        <v>225</v>
      </c>
      <c r="I708" s="99">
        <v>0</v>
      </c>
      <c r="J708" s="98" t="s">
        <v>225</v>
      </c>
      <c r="K708" s="99">
        <v>0</v>
      </c>
      <c r="L708" s="98" t="s">
        <v>225</v>
      </c>
      <c r="M708" s="98" t="s">
        <v>225</v>
      </c>
      <c r="N708" s="99">
        <v>0</v>
      </c>
      <c r="O708" s="100">
        <v>0</v>
      </c>
      <c r="P708" s="100">
        <v>0</v>
      </c>
      <c r="Q708" s="100">
        <v>0</v>
      </c>
    </row>
    <row r="709" spans="1:17" x14ac:dyDescent="0.35">
      <c r="A709" s="98" t="s">
        <v>36</v>
      </c>
      <c r="B709" s="98" t="s">
        <v>176</v>
      </c>
      <c r="C709" s="98" t="s">
        <v>231</v>
      </c>
      <c r="D709" s="99">
        <v>193756.99999999997</v>
      </c>
      <c r="E709" s="99">
        <v>211344</v>
      </c>
      <c r="F709" s="99">
        <v>227379.5</v>
      </c>
      <c r="G709" s="99">
        <v>0</v>
      </c>
      <c r="H709" s="98" t="s">
        <v>225</v>
      </c>
      <c r="I709" s="99">
        <v>79</v>
      </c>
      <c r="J709" s="98" t="s">
        <v>229</v>
      </c>
      <c r="K709" s="99">
        <v>79</v>
      </c>
      <c r="L709" s="98" t="s">
        <v>229</v>
      </c>
      <c r="M709" s="98" t="s">
        <v>225</v>
      </c>
      <c r="N709" s="99">
        <v>79</v>
      </c>
      <c r="O709" s="100">
        <v>0</v>
      </c>
      <c r="P709" s="100">
        <v>3.7379816791581497</v>
      </c>
      <c r="Q709" s="100">
        <v>3.4743677420347923</v>
      </c>
    </row>
    <row r="710" spans="1:17" x14ac:dyDescent="0.35">
      <c r="A710" s="98" t="s">
        <v>36</v>
      </c>
      <c r="B710" s="98" t="s">
        <v>176</v>
      </c>
      <c r="C710" s="98" t="s">
        <v>232</v>
      </c>
      <c r="D710" s="99">
        <v>193756.99999999997</v>
      </c>
      <c r="E710" s="99">
        <v>211344</v>
      </c>
      <c r="F710" s="99">
        <v>227379.5</v>
      </c>
      <c r="G710" s="99">
        <v>0</v>
      </c>
      <c r="H710" s="98" t="s">
        <v>225</v>
      </c>
      <c r="I710" s="99">
        <v>0</v>
      </c>
      <c r="J710" s="98" t="s">
        <v>225</v>
      </c>
      <c r="K710" s="99">
        <v>0</v>
      </c>
      <c r="L710" s="98" t="s">
        <v>225</v>
      </c>
      <c r="M710" s="98" t="s">
        <v>225</v>
      </c>
      <c r="N710" s="99">
        <v>0</v>
      </c>
      <c r="O710" s="100">
        <v>0</v>
      </c>
      <c r="P710" s="100">
        <v>0</v>
      </c>
      <c r="Q710" s="100">
        <v>0</v>
      </c>
    </row>
    <row r="711" spans="1:17" x14ac:dyDescent="0.35">
      <c r="A711" s="98" t="s">
        <v>36</v>
      </c>
      <c r="B711" s="98" t="s">
        <v>176</v>
      </c>
      <c r="C711" s="98" t="s">
        <v>233</v>
      </c>
      <c r="D711" s="99">
        <v>193756.99999999997</v>
      </c>
      <c r="E711" s="99">
        <v>211344</v>
      </c>
      <c r="F711" s="99">
        <v>227379.5</v>
      </c>
      <c r="G711" s="99">
        <v>0</v>
      </c>
      <c r="H711" s="98" t="s">
        <v>225</v>
      </c>
      <c r="I711" s="99">
        <v>146</v>
      </c>
      <c r="J711" s="98" t="s">
        <v>229</v>
      </c>
      <c r="K711" s="99">
        <v>146</v>
      </c>
      <c r="L711" s="98" t="s">
        <v>229</v>
      </c>
      <c r="M711" s="98" t="s">
        <v>225</v>
      </c>
      <c r="N711" s="99">
        <v>146</v>
      </c>
      <c r="O711" s="100">
        <v>0</v>
      </c>
      <c r="P711" s="100">
        <v>6.908168672874555</v>
      </c>
      <c r="Q711" s="100">
        <v>6.4209834219883497</v>
      </c>
    </row>
    <row r="712" spans="1:17" x14ac:dyDescent="0.35">
      <c r="A712" s="98" t="s">
        <v>36</v>
      </c>
      <c r="B712" s="98" t="s">
        <v>176</v>
      </c>
      <c r="C712" s="98" t="s">
        <v>234</v>
      </c>
      <c r="D712" s="99">
        <v>193756.99999999997</v>
      </c>
      <c r="E712" s="99">
        <v>211344</v>
      </c>
      <c r="F712" s="99">
        <v>227379.5</v>
      </c>
      <c r="G712" s="99">
        <v>0</v>
      </c>
      <c r="H712" s="98" t="s">
        <v>225</v>
      </c>
      <c r="I712" s="99">
        <v>0</v>
      </c>
      <c r="J712" s="98" t="s">
        <v>225</v>
      </c>
      <c r="K712" s="99">
        <v>0</v>
      </c>
      <c r="L712" s="98" t="s">
        <v>225</v>
      </c>
      <c r="M712" s="98" t="s">
        <v>225</v>
      </c>
      <c r="N712" s="99">
        <v>0</v>
      </c>
      <c r="O712" s="100">
        <v>0</v>
      </c>
      <c r="P712" s="100">
        <v>0</v>
      </c>
      <c r="Q712" s="100">
        <v>0</v>
      </c>
    </row>
    <row r="713" spans="1:17" x14ac:dyDescent="0.35">
      <c r="A713" s="98" t="s">
        <v>36</v>
      </c>
      <c r="B713" s="98" t="s">
        <v>176</v>
      </c>
      <c r="C713" s="98" t="s">
        <v>235</v>
      </c>
      <c r="D713" s="99">
        <v>193756.99999999997</v>
      </c>
      <c r="E713" s="99">
        <v>211344</v>
      </c>
      <c r="F713" s="99">
        <v>227379.5</v>
      </c>
      <c r="G713" s="99">
        <v>0</v>
      </c>
      <c r="H713" s="98" t="s">
        <v>225</v>
      </c>
      <c r="I713" s="99">
        <v>0</v>
      </c>
      <c r="J713" s="98" t="s">
        <v>225</v>
      </c>
      <c r="K713" s="99">
        <v>0</v>
      </c>
      <c r="L713" s="98" t="s">
        <v>225</v>
      </c>
      <c r="M713" s="98" t="s">
        <v>225</v>
      </c>
      <c r="N713" s="99">
        <v>0</v>
      </c>
      <c r="O713" s="100">
        <v>0</v>
      </c>
      <c r="P713" s="100">
        <v>0</v>
      </c>
      <c r="Q713" s="100">
        <v>0</v>
      </c>
    </row>
    <row r="714" spans="1:17" x14ac:dyDescent="0.35">
      <c r="A714" s="98" t="s">
        <v>36</v>
      </c>
      <c r="B714" s="98" t="s">
        <v>176</v>
      </c>
      <c r="C714" s="98" t="s">
        <v>236</v>
      </c>
      <c r="D714" s="99">
        <v>193756.99999999997</v>
      </c>
      <c r="E714" s="99">
        <v>211344</v>
      </c>
      <c r="F714" s="99">
        <v>227379.5</v>
      </c>
      <c r="G714" s="99">
        <v>0</v>
      </c>
      <c r="H714" s="98" t="s">
        <v>225</v>
      </c>
      <c r="I714" s="99">
        <v>0</v>
      </c>
      <c r="J714" s="98" t="s">
        <v>225</v>
      </c>
      <c r="K714" s="99">
        <v>0</v>
      </c>
      <c r="L714" s="98" t="s">
        <v>225</v>
      </c>
      <c r="M714" s="98" t="s">
        <v>225</v>
      </c>
      <c r="N714" s="99">
        <v>0</v>
      </c>
      <c r="O714" s="100">
        <v>0</v>
      </c>
      <c r="P714" s="100">
        <v>0</v>
      </c>
      <c r="Q714" s="100">
        <v>0</v>
      </c>
    </row>
    <row r="715" spans="1:17" x14ac:dyDescent="0.35">
      <c r="A715" s="98" t="s">
        <v>36</v>
      </c>
      <c r="B715" s="98" t="s">
        <v>176</v>
      </c>
      <c r="C715" s="98" t="s">
        <v>237</v>
      </c>
      <c r="D715" s="99">
        <v>193756.99999999997</v>
      </c>
      <c r="E715" s="99">
        <v>211344</v>
      </c>
      <c r="F715" s="99">
        <v>227379.5</v>
      </c>
      <c r="G715" s="99">
        <v>0</v>
      </c>
      <c r="H715" s="98" t="s">
        <v>225</v>
      </c>
      <c r="I715" s="99">
        <v>0</v>
      </c>
      <c r="J715" s="98" t="s">
        <v>225</v>
      </c>
      <c r="K715" s="99">
        <v>0</v>
      </c>
      <c r="L715" s="98" t="s">
        <v>225</v>
      </c>
      <c r="M715" s="98" t="s">
        <v>225</v>
      </c>
      <c r="N715" s="99">
        <v>0</v>
      </c>
      <c r="O715" s="100">
        <v>0</v>
      </c>
      <c r="P715" s="100">
        <v>0</v>
      </c>
      <c r="Q715" s="100">
        <v>0</v>
      </c>
    </row>
    <row r="716" spans="1:17" x14ac:dyDescent="0.35">
      <c r="A716" s="98" t="s">
        <v>36</v>
      </c>
      <c r="B716" s="98" t="s">
        <v>176</v>
      </c>
      <c r="C716" s="98" t="s">
        <v>238</v>
      </c>
      <c r="D716" s="99">
        <v>193756.99999999997</v>
      </c>
      <c r="E716" s="99">
        <v>211344</v>
      </c>
      <c r="F716" s="99">
        <v>227379.5</v>
      </c>
      <c r="G716" s="99">
        <v>0</v>
      </c>
      <c r="H716" s="98" t="s">
        <v>225</v>
      </c>
      <c r="I716" s="99">
        <v>0</v>
      </c>
      <c r="J716" s="98" t="s">
        <v>225</v>
      </c>
      <c r="K716" s="99">
        <v>0</v>
      </c>
      <c r="L716" s="98" t="s">
        <v>225</v>
      </c>
      <c r="M716" s="98" t="s">
        <v>225</v>
      </c>
      <c r="N716" s="99">
        <v>0</v>
      </c>
      <c r="O716" s="100">
        <v>0</v>
      </c>
      <c r="P716" s="100">
        <v>0</v>
      </c>
      <c r="Q716" s="100">
        <v>0</v>
      </c>
    </row>
    <row r="717" spans="1:17" x14ac:dyDescent="0.35">
      <c r="A717" s="98" t="s">
        <v>36</v>
      </c>
      <c r="B717" s="98" t="s">
        <v>176</v>
      </c>
      <c r="C717" s="98" t="s">
        <v>239</v>
      </c>
      <c r="D717" s="99">
        <v>193756.99999999997</v>
      </c>
      <c r="E717" s="99">
        <v>211344</v>
      </c>
      <c r="F717" s="99">
        <v>227379.5</v>
      </c>
      <c r="G717" s="99">
        <v>0</v>
      </c>
      <c r="H717" s="98" t="s">
        <v>225</v>
      </c>
      <c r="I717" s="99">
        <v>271</v>
      </c>
      <c r="J717" s="98" t="s">
        <v>229</v>
      </c>
      <c r="K717" s="99">
        <v>271</v>
      </c>
      <c r="L717" s="98" t="s">
        <v>229</v>
      </c>
      <c r="M717" s="98" t="s">
        <v>225</v>
      </c>
      <c r="N717" s="99">
        <v>271</v>
      </c>
      <c r="O717" s="100">
        <v>0</v>
      </c>
      <c r="P717" s="100">
        <v>12.822696646226058</v>
      </c>
      <c r="Q717" s="100">
        <v>11.91840073533454</v>
      </c>
    </row>
    <row r="718" spans="1:17" x14ac:dyDescent="0.35">
      <c r="A718" s="98" t="s">
        <v>36</v>
      </c>
      <c r="B718" s="98" t="s">
        <v>176</v>
      </c>
      <c r="C718" s="98" t="s">
        <v>240</v>
      </c>
      <c r="D718" s="99">
        <v>193756.99999999997</v>
      </c>
      <c r="E718" s="99">
        <v>211344</v>
      </c>
      <c r="F718" s="99">
        <v>227379.5</v>
      </c>
      <c r="G718" s="99">
        <v>0</v>
      </c>
      <c r="H718" s="98" t="s">
        <v>225</v>
      </c>
      <c r="I718" s="99">
        <v>0</v>
      </c>
      <c r="J718" s="98" t="s">
        <v>225</v>
      </c>
      <c r="K718" s="99">
        <v>0</v>
      </c>
      <c r="L718" s="98" t="s">
        <v>225</v>
      </c>
      <c r="M718" s="98" t="s">
        <v>225</v>
      </c>
      <c r="N718" s="99">
        <v>0</v>
      </c>
      <c r="O718" s="100">
        <v>0</v>
      </c>
      <c r="P718" s="100">
        <v>0</v>
      </c>
      <c r="Q718" s="100">
        <v>0</v>
      </c>
    </row>
    <row r="719" spans="1:17" x14ac:dyDescent="0.35">
      <c r="A719" s="98" t="s">
        <v>36</v>
      </c>
      <c r="B719" s="98" t="s">
        <v>176</v>
      </c>
      <c r="C719" s="98" t="s">
        <v>241</v>
      </c>
      <c r="D719" s="99">
        <v>193756.99999999997</v>
      </c>
      <c r="E719" s="99">
        <v>211344</v>
      </c>
      <c r="F719" s="99">
        <v>227379.5</v>
      </c>
      <c r="G719" s="99">
        <v>0</v>
      </c>
      <c r="H719" s="98" t="s">
        <v>225</v>
      </c>
      <c r="I719" s="99">
        <v>0</v>
      </c>
      <c r="J719" s="98" t="s">
        <v>225</v>
      </c>
      <c r="K719" s="99">
        <v>0</v>
      </c>
      <c r="L719" s="98" t="s">
        <v>225</v>
      </c>
      <c r="M719" s="98" t="s">
        <v>225</v>
      </c>
      <c r="N719" s="99">
        <v>0</v>
      </c>
      <c r="O719" s="100">
        <v>0</v>
      </c>
      <c r="P719" s="100">
        <v>0</v>
      </c>
      <c r="Q719" s="100">
        <v>0</v>
      </c>
    </row>
    <row r="720" spans="1:17" x14ac:dyDescent="0.35">
      <c r="A720" s="98" t="s">
        <v>36</v>
      </c>
      <c r="B720" s="98" t="s">
        <v>176</v>
      </c>
      <c r="C720" s="98" t="s">
        <v>242</v>
      </c>
      <c r="D720" s="99">
        <v>193756.99999999997</v>
      </c>
      <c r="E720" s="99">
        <v>211344</v>
      </c>
      <c r="F720" s="99">
        <v>227379.5</v>
      </c>
      <c r="G720" s="99">
        <v>0</v>
      </c>
      <c r="H720" s="98" t="s">
        <v>225</v>
      </c>
      <c r="I720" s="99">
        <v>0</v>
      </c>
      <c r="J720" s="98" t="s">
        <v>225</v>
      </c>
      <c r="K720" s="99">
        <v>0</v>
      </c>
      <c r="L720" s="98" t="s">
        <v>225</v>
      </c>
      <c r="M720" s="98" t="s">
        <v>225</v>
      </c>
      <c r="N720" s="99">
        <v>0</v>
      </c>
      <c r="O720" s="100">
        <v>0</v>
      </c>
      <c r="P720" s="100">
        <v>0</v>
      </c>
      <c r="Q720" s="100">
        <v>0</v>
      </c>
    </row>
    <row r="721" spans="1:17" x14ac:dyDescent="0.35">
      <c r="A721" s="98" t="s">
        <v>36</v>
      </c>
      <c r="B721" s="98" t="s">
        <v>176</v>
      </c>
      <c r="C721" s="98" t="s">
        <v>243</v>
      </c>
      <c r="D721" s="99">
        <v>193756.99999999997</v>
      </c>
      <c r="E721" s="99">
        <v>211344</v>
      </c>
      <c r="F721" s="99">
        <v>227379.5</v>
      </c>
      <c r="G721" s="99">
        <v>0</v>
      </c>
      <c r="H721" s="98" t="s">
        <v>225</v>
      </c>
      <c r="I721" s="99">
        <v>0</v>
      </c>
      <c r="J721" s="98" t="s">
        <v>225</v>
      </c>
      <c r="K721" s="99">
        <v>0</v>
      </c>
      <c r="L721" s="98" t="s">
        <v>225</v>
      </c>
      <c r="M721" s="98" t="s">
        <v>225</v>
      </c>
      <c r="N721" s="99">
        <v>0</v>
      </c>
      <c r="O721" s="100">
        <v>0</v>
      </c>
      <c r="P721" s="100">
        <v>0</v>
      </c>
      <c r="Q721" s="100">
        <v>0</v>
      </c>
    </row>
    <row r="722" spans="1:17" x14ac:dyDescent="0.35">
      <c r="A722" s="98" t="s">
        <v>36</v>
      </c>
      <c r="B722" s="98" t="s">
        <v>176</v>
      </c>
      <c r="C722" s="98" t="s">
        <v>244</v>
      </c>
      <c r="D722" s="99">
        <v>193756.99999999997</v>
      </c>
      <c r="E722" s="99">
        <v>211344</v>
      </c>
      <c r="F722" s="99">
        <v>227379.5</v>
      </c>
      <c r="G722" s="99">
        <v>0</v>
      </c>
      <c r="H722" s="98" t="s">
        <v>225</v>
      </c>
      <c r="I722" s="99">
        <v>0</v>
      </c>
      <c r="J722" s="98" t="s">
        <v>225</v>
      </c>
      <c r="K722" s="99">
        <v>0</v>
      </c>
      <c r="L722" s="98" t="s">
        <v>225</v>
      </c>
      <c r="M722" s="98" t="s">
        <v>225</v>
      </c>
      <c r="N722" s="99">
        <v>0</v>
      </c>
      <c r="O722" s="100">
        <v>0</v>
      </c>
      <c r="P722" s="100">
        <v>0</v>
      </c>
      <c r="Q722" s="100">
        <v>0</v>
      </c>
    </row>
    <row r="723" spans="1:17" x14ac:dyDescent="0.35">
      <c r="A723" s="98" t="s">
        <v>36</v>
      </c>
      <c r="B723" s="98" t="s">
        <v>176</v>
      </c>
      <c r="C723" s="98" t="s">
        <v>245</v>
      </c>
      <c r="D723" s="99">
        <v>193756.99999999997</v>
      </c>
      <c r="E723" s="99">
        <v>211344</v>
      </c>
      <c r="F723" s="99">
        <v>227379.5</v>
      </c>
      <c r="G723" s="99">
        <v>0</v>
      </c>
      <c r="H723" s="98" t="s">
        <v>225</v>
      </c>
      <c r="I723" s="99">
        <v>0</v>
      </c>
      <c r="J723" s="98" t="s">
        <v>225</v>
      </c>
      <c r="K723" s="99">
        <v>0</v>
      </c>
      <c r="L723" s="98" t="s">
        <v>225</v>
      </c>
      <c r="M723" s="98" t="s">
        <v>225</v>
      </c>
      <c r="N723" s="99">
        <v>0</v>
      </c>
      <c r="O723" s="100">
        <v>0</v>
      </c>
      <c r="P723" s="100">
        <v>0</v>
      </c>
      <c r="Q723" s="100">
        <v>0</v>
      </c>
    </row>
    <row r="724" spans="1:17" x14ac:dyDescent="0.35">
      <c r="A724" s="98" t="s">
        <v>16</v>
      </c>
      <c r="B724" s="98" t="s">
        <v>154</v>
      </c>
      <c r="C724" s="98" t="s">
        <v>224</v>
      </c>
      <c r="D724" s="99">
        <v>1118318.9999999998</v>
      </c>
      <c r="E724" s="99">
        <v>1160427.5</v>
      </c>
      <c r="F724" s="99">
        <v>1201670.4999999995</v>
      </c>
      <c r="G724" s="99">
        <v>0</v>
      </c>
      <c r="H724" s="98" t="s">
        <v>225</v>
      </c>
      <c r="I724" s="99">
        <v>6324</v>
      </c>
      <c r="J724" s="98">
        <v>2018</v>
      </c>
      <c r="K724" s="99">
        <v>3200</v>
      </c>
      <c r="L724" s="98">
        <v>2022</v>
      </c>
      <c r="M724" s="98" t="s">
        <v>226</v>
      </c>
      <c r="N724" s="99">
        <v>4586.4308415089126</v>
      </c>
      <c r="O724" s="100">
        <v>0</v>
      </c>
      <c r="P724" s="100">
        <v>54.497157297633848</v>
      </c>
      <c r="Q724" s="100">
        <v>38.167125193710874</v>
      </c>
    </row>
    <row r="725" spans="1:17" x14ac:dyDescent="0.35">
      <c r="A725" s="98" t="s">
        <v>16</v>
      </c>
      <c r="B725" s="98" t="s">
        <v>154</v>
      </c>
      <c r="C725" s="98" t="s">
        <v>227</v>
      </c>
      <c r="D725" s="99">
        <v>1118318.9999999998</v>
      </c>
      <c r="E725" s="99">
        <v>1160427.5</v>
      </c>
      <c r="F725" s="99">
        <v>1201670.4999999995</v>
      </c>
      <c r="G725" s="99">
        <v>15</v>
      </c>
      <c r="H725" s="98">
        <v>2015</v>
      </c>
      <c r="I725" s="99">
        <v>31</v>
      </c>
      <c r="J725" s="98">
        <v>2018</v>
      </c>
      <c r="K725" s="99">
        <v>10</v>
      </c>
      <c r="L725" s="98">
        <v>2022</v>
      </c>
      <c r="M725" s="98" t="s">
        <v>226</v>
      </c>
      <c r="N725" s="99">
        <v>14.332596379715351</v>
      </c>
      <c r="O725" s="100">
        <v>0.13412988601642289</v>
      </c>
      <c r="P725" s="100">
        <v>0.26714292792957767</v>
      </c>
      <c r="Q725" s="100">
        <v>0.11927226623034649</v>
      </c>
    </row>
    <row r="726" spans="1:17" x14ac:dyDescent="0.35">
      <c r="A726" s="98" t="s">
        <v>16</v>
      </c>
      <c r="B726" s="98" t="s">
        <v>154</v>
      </c>
      <c r="C726" s="98" t="s">
        <v>228</v>
      </c>
      <c r="D726" s="99">
        <v>1118318.9999999998</v>
      </c>
      <c r="E726" s="99">
        <v>1160427.5</v>
      </c>
      <c r="F726" s="99">
        <v>1201670.4999999995</v>
      </c>
      <c r="G726" s="99">
        <v>4646</v>
      </c>
      <c r="H726" s="98">
        <v>2012</v>
      </c>
      <c r="I726" s="99">
        <v>275</v>
      </c>
      <c r="J726" s="98">
        <v>2018</v>
      </c>
      <c r="K726" s="99">
        <v>83</v>
      </c>
      <c r="L726" s="98">
        <v>2022</v>
      </c>
      <c r="M726" s="98" t="s">
        <v>226</v>
      </c>
      <c r="N726" s="99">
        <v>118.96054995163742</v>
      </c>
      <c r="O726" s="100">
        <v>41.544496695486714</v>
      </c>
      <c r="P726" s="100">
        <v>2.3698162961494793</v>
      </c>
      <c r="Q726" s="100">
        <v>0.9899598097118758</v>
      </c>
    </row>
    <row r="727" spans="1:17" x14ac:dyDescent="0.35">
      <c r="A727" s="98" t="s">
        <v>16</v>
      </c>
      <c r="B727" s="98" t="s">
        <v>154</v>
      </c>
      <c r="C727" s="98" t="s">
        <v>230</v>
      </c>
      <c r="D727" s="99">
        <v>1118318.9999999998</v>
      </c>
      <c r="E727" s="99">
        <v>1160427.5</v>
      </c>
      <c r="F727" s="99">
        <v>1201670.4999999995</v>
      </c>
      <c r="G727" s="99">
        <v>0</v>
      </c>
      <c r="H727" s="98" t="s">
        <v>225</v>
      </c>
      <c r="I727" s="99">
        <v>927</v>
      </c>
      <c r="J727" s="98" t="s">
        <v>229</v>
      </c>
      <c r="K727" s="99">
        <v>927</v>
      </c>
      <c r="L727" s="98" t="s">
        <v>229</v>
      </c>
      <c r="M727" s="98" t="s">
        <v>225</v>
      </c>
      <c r="N727" s="99">
        <v>927</v>
      </c>
      <c r="O727" s="100">
        <v>0</v>
      </c>
      <c r="P727" s="100">
        <v>7.9884352964747904</v>
      </c>
      <c r="Q727" s="100">
        <v>7.7142611056857966</v>
      </c>
    </row>
    <row r="728" spans="1:17" x14ac:dyDescent="0.35">
      <c r="A728" s="98" t="s">
        <v>16</v>
      </c>
      <c r="B728" s="98" t="s">
        <v>154</v>
      </c>
      <c r="C728" s="98" t="s">
        <v>231</v>
      </c>
      <c r="D728" s="99">
        <v>1118318.9999999998</v>
      </c>
      <c r="E728" s="99">
        <v>1160427.5</v>
      </c>
      <c r="F728" s="99">
        <v>1201670.4999999995</v>
      </c>
      <c r="G728" s="99">
        <v>0</v>
      </c>
      <c r="H728" s="98" t="s">
        <v>225</v>
      </c>
      <c r="I728" s="99">
        <v>195</v>
      </c>
      <c r="J728" s="98" t="s">
        <v>229</v>
      </c>
      <c r="K728" s="99">
        <v>195</v>
      </c>
      <c r="L728" s="98" t="s">
        <v>229</v>
      </c>
      <c r="M728" s="98" t="s">
        <v>225</v>
      </c>
      <c r="N728" s="99">
        <v>195</v>
      </c>
      <c r="O728" s="100">
        <v>0</v>
      </c>
      <c r="P728" s="100">
        <v>1.6804151918150854</v>
      </c>
      <c r="Q728" s="100">
        <v>1.6227410092866561</v>
      </c>
    </row>
    <row r="729" spans="1:17" x14ac:dyDescent="0.35">
      <c r="A729" s="98" t="s">
        <v>16</v>
      </c>
      <c r="B729" s="98" t="s">
        <v>154</v>
      </c>
      <c r="C729" s="98" t="s">
        <v>232</v>
      </c>
      <c r="D729" s="99">
        <v>1118318.9999999998</v>
      </c>
      <c r="E729" s="99">
        <v>1160427.5</v>
      </c>
      <c r="F729" s="99">
        <v>1201670.4999999995</v>
      </c>
      <c r="G729" s="99">
        <v>0</v>
      </c>
      <c r="H729" s="98" t="s">
        <v>225</v>
      </c>
      <c r="I729" s="99">
        <v>3</v>
      </c>
      <c r="J729" s="98">
        <v>2019</v>
      </c>
      <c r="K729" s="99">
        <v>3</v>
      </c>
      <c r="L729" s="98">
        <v>2019</v>
      </c>
      <c r="M729" s="98" t="s">
        <v>225</v>
      </c>
      <c r="N729" s="99">
        <v>3</v>
      </c>
      <c r="O729" s="100">
        <v>0</v>
      </c>
      <c r="P729" s="100">
        <v>2.5852541412539776E-2</v>
      </c>
      <c r="Q729" s="100">
        <v>2.4965246296717786E-2</v>
      </c>
    </row>
    <row r="730" spans="1:17" x14ac:dyDescent="0.35">
      <c r="A730" s="98" t="s">
        <v>16</v>
      </c>
      <c r="B730" s="98" t="s">
        <v>154</v>
      </c>
      <c r="C730" s="98" t="s">
        <v>233</v>
      </c>
      <c r="D730" s="99">
        <v>1118318.9999999998</v>
      </c>
      <c r="E730" s="99">
        <v>1160427.5</v>
      </c>
      <c r="F730" s="99">
        <v>1201670.4999999995</v>
      </c>
      <c r="G730" s="99">
        <v>0</v>
      </c>
      <c r="H730" s="98" t="s">
        <v>225</v>
      </c>
      <c r="I730" s="99">
        <v>370</v>
      </c>
      <c r="J730" s="98">
        <v>2018</v>
      </c>
      <c r="K730" s="99">
        <v>130</v>
      </c>
      <c r="L730" s="98">
        <v>2022</v>
      </c>
      <c r="M730" s="98" t="s">
        <v>226</v>
      </c>
      <c r="N730" s="99">
        <v>186.32375293629957</v>
      </c>
      <c r="O730" s="100">
        <v>0</v>
      </c>
      <c r="P730" s="100">
        <v>3.1884801075465723</v>
      </c>
      <c r="Q730" s="100">
        <v>1.5505394609945042</v>
      </c>
    </row>
    <row r="731" spans="1:17" x14ac:dyDescent="0.35">
      <c r="A731" s="98" t="s">
        <v>16</v>
      </c>
      <c r="B731" s="98" t="s">
        <v>154</v>
      </c>
      <c r="C731" s="98" t="s">
        <v>234</v>
      </c>
      <c r="D731" s="99">
        <v>1118318.9999999998</v>
      </c>
      <c r="E731" s="99">
        <v>1160427.5</v>
      </c>
      <c r="F731" s="99">
        <v>1201670.4999999995</v>
      </c>
      <c r="G731" s="99">
        <v>0</v>
      </c>
      <c r="H731" s="98" t="s">
        <v>225</v>
      </c>
      <c r="I731" s="99">
        <v>28</v>
      </c>
      <c r="J731" s="98" t="s">
        <v>229</v>
      </c>
      <c r="K731" s="99">
        <v>30</v>
      </c>
      <c r="L731" s="98">
        <v>2020</v>
      </c>
      <c r="M731" s="98" t="s">
        <v>225</v>
      </c>
      <c r="N731" s="99">
        <v>30</v>
      </c>
      <c r="O731" s="100">
        <v>0</v>
      </c>
      <c r="P731" s="100">
        <v>0.24129038651703791</v>
      </c>
      <c r="Q731" s="100">
        <v>0.24965246296717788</v>
      </c>
    </row>
    <row r="732" spans="1:17" x14ac:dyDescent="0.35">
      <c r="A732" s="98" t="s">
        <v>16</v>
      </c>
      <c r="B732" s="98" t="s">
        <v>154</v>
      </c>
      <c r="C732" s="98" t="s">
        <v>235</v>
      </c>
      <c r="D732" s="99">
        <v>1118318.9999999998</v>
      </c>
      <c r="E732" s="99">
        <v>1160427.5</v>
      </c>
      <c r="F732" s="99">
        <v>1201670.4999999995</v>
      </c>
      <c r="G732" s="99">
        <v>0</v>
      </c>
      <c r="H732" s="98" t="s">
        <v>225</v>
      </c>
      <c r="I732" s="99">
        <v>47</v>
      </c>
      <c r="J732" s="98" t="s">
        <v>229</v>
      </c>
      <c r="K732" s="99">
        <v>64</v>
      </c>
      <c r="L732" s="98">
        <v>2022</v>
      </c>
      <c r="M732" s="98" t="s">
        <v>225</v>
      </c>
      <c r="N732" s="99">
        <v>64</v>
      </c>
      <c r="O732" s="100">
        <v>0</v>
      </c>
      <c r="P732" s="100">
        <v>0.40502314879645646</v>
      </c>
      <c r="Q732" s="100">
        <v>0.5325919209966461</v>
      </c>
    </row>
    <row r="733" spans="1:17" x14ac:dyDescent="0.35">
      <c r="A733" s="98" t="s">
        <v>16</v>
      </c>
      <c r="B733" s="98" t="s">
        <v>154</v>
      </c>
      <c r="C733" s="98" t="s">
        <v>236</v>
      </c>
      <c r="D733" s="99">
        <v>1118318.9999999998</v>
      </c>
      <c r="E733" s="99">
        <v>1160427.5</v>
      </c>
      <c r="F733" s="99">
        <v>1201670.4999999995</v>
      </c>
      <c r="G733" s="99">
        <v>0</v>
      </c>
      <c r="H733" s="98" t="s">
        <v>225</v>
      </c>
      <c r="I733" s="99">
        <v>2084</v>
      </c>
      <c r="J733" s="98" t="s">
        <v>229</v>
      </c>
      <c r="K733" s="99">
        <v>2084</v>
      </c>
      <c r="L733" s="98" t="s">
        <v>229</v>
      </c>
      <c r="M733" s="98" t="s">
        <v>225</v>
      </c>
      <c r="N733" s="99">
        <v>2084</v>
      </c>
      <c r="O733" s="100">
        <v>0</v>
      </c>
      <c r="P733" s="100">
        <v>17.958898767910963</v>
      </c>
      <c r="Q733" s="100">
        <v>17.342524427453288</v>
      </c>
    </row>
    <row r="734" spans="1:17" x14ac:dyDescent="0.35">
      <c r="A734" s="98" t="s">
        <v>16</v>
      </c>
      <c r="B734" s="98" t="s">
        <v>154</v>
      </c>
      <c r="C734" s="98" t="s">
        <v>237</v>
      </c>
      <c r="D734" s="99">
        <v>1118318.9999999998</v>
      </c>
      <c r="E734" s="99">
        <v>1160427.5</v>
      </c>
      <c r="F734" s="99">
        <v>1201670.4999999995</v>
      </c>
      <c r="G734" s="99">
        <v>0</v>
      </c>
      <c r="H734" s="98" t="s">
        <v>225</v>
      </c>
      <c r="I734" s="99">
        <v>12</v>
      </c>
      <c r="J734" s="98" t="s">
        <v>229</v>
      </c>
      <c r="K734" s="99">
        <v>6</v>
      </c>
      <c r="L734" s="98">
        <v>2020</v>
      </c>
      <c r="M734" s="98" t="s">
        <v>226</v>
      </c>
      <c r="N734" s="99">
        <v>8.5995578278292122</v>
      </c>
      <c r="O734" s="100">
        <v>0</v>
      </c>
      <c r="P734" s="100">
        <v>0.10341016565015911</v>
      </c>
      <c r="Q734" s="100">
        <v>7.1563359738207891E-2</v>
      </c>
    </row>
    <row r="735" spans="1:17" x14ac:dyDescent="0.35">
      <c r="A735" s="98" t="s">
        <v>16</v>
      </c>
      <c r="B735" s="98" t="s">
        <v>154</v>
      </c>
      <c r="C735" s="98" t="s">
        <v>238</v>
      </c>
      <c r="D735" s="99">
        <v>1118318.9999999998</v>
      </c>
      <c r="E735" s="99">
        <v>1160427.5</v>
      </c>
      <c r="F735" s="99">
        <v>1201670.4999999995</v>
      </c>
      <c r="G735" s="99">
        <v>0</v>
      </c>
      <c r="H735" s="98" t="s">
        <v>225</v>
      </c>
      <c r="I735" s="99">
        <v>1215</v>
      </c>
      <c r="J735" s="98" t="s">
        <v>229</v>
      </c>
      <c r="K735" s="99">
        <v>52</v>
      </c>
      <c r="L735" s="98">
        <v>2020</v>
      </c>
      <c r="M735" s="98" t="s">
        <v>226</v>
      </c>
      <c r="N735" s="99">
        <v>74.529501174519837</v>
      </c>
      <c r="O735" s="100">
        <v>0</v>
      </c>
      <c r="P735" s="100">
        <v>10.470279272078608</v>
      </c>
      <c r="Q735" s="100">
        <v>0.62021578439780178</v>
      </c>
    </row>
    <row r="736" spans="1:17" x14ac:dyDescent="0.35">
      <c r="A736" s="98" t="s">
        <v>16</v>
      </c>
      <c r="B736" s="98" t="s">
        <v>154</v>
      </c>
      <c r="C736" s="98" t="s">
        <v>239</v>
      </c>
      <c r="D736" s="99">
        <v>1118318.9999999998</v>
      </c>
      <c r="E736" s="99">
        <v>1160427.5</v>
      </c>
      <c r="F736" s="99">
        <v>1201670.4999999995</v>
      </c>
      <c r="G736" s="99">
        <v>0</v>
      </c>
      <c r="H736" s="98" t="s">
        <v>225</v>
      </c>
      <c r="I736" s="99">
        <v>85</v>
      </c>
      <c r="J736" s="98" t="s">
        <v>229</v>
      </c>
      <c r="K736" s="99">
        <v>1861</v>
      </c>
      <c r="L736" s="98">
        <v>2020</v>
      </c>
      <c r="M736" s="98" t="s">
        <v>225</v>
      </c>
      <c r="N736" s="99">
        <v>1861</v>
      </c>
      <c r="O736" s="100">
        <v>0</v>
      </c>
      <c r="P736" s="100">
        <v>0.73248867335529366</v>
      </c>
      <c r="Q736" s="100">
        <v>15.4867744527306</v>
      </c>
    </row>
    <row r="737" spans="1:17" x14ac:dyDescent="0.35">
      <c r="A737" s="98" t="s">
        <v>16</v>
      </c>
      <c r="B737" s="98" t="s">
        <v>154</v>
      </c>
      <c r="C737" s="98" t="s">
        <v>240</v>
      </c>
      <c r="D737" s="99">
        <v>1118318.9999999998</v>
      </c>
      <c r="E737" s="99">
        <v>1160427.5</v>
      </c>
      <c r="F737" s="99">
        <v>1201670.4999999995</v>
      </c>
      <c r="G737" s="99">
        <v>0</v>
      </c>
      <c r="H737" s="98" t="s">
        <v>225</v>
      </c>
      <c r="I737" s="99">
        <v>370</v>
      </c>
      <c r="J737" s="98" t="s">
        <v>229</v>
      </c>
      <c r="K737" s="99">
        <v>249</v>
      </c>
      <c r="L737" s="98">
        <v>2022</v>
      </c>
      <c r="M737" s="98" t="s">
        <v>226</v>
      </c>
      <c r="N737" s="99">
        <v>356.88164985491227</v>
      </c>
      <c r="O737" s="100">
        <v>0</v>
      </c>
      <c r="P737" s="100">
        <v>3.1884801075465723</v>
      </c>
      <c r="Q737" s="100">
        <v>2.9698794291356276</v>
      </c>
    </row>
    <row r="738" spans="1:17" x14ac:dyDescent="0.35">
      <c r="A738" s="98" t="s">
        <v>16</v>
      </c>
      <c r="B738" s="98" t="s">
        <v>154</v>
      </c>
      <c r="C738" s="98" t="s">
        <v>241</v>
      </c>
      <c r="D738" s="99">
        <v>1118318.9999999998</v>
      </c>
      <c r="E738" s="99">
        <v>1160427.5</v>
      </c>
      <c r="F738" s="99">
        <v>1201670.4999999995</v>
      </c>
      <c r="G738" s="99">
        <v>0</v>
      </c>
      <c r="H738" s="98" t="s">
        <v>225</v>
      </c>
      <c r="I738" s="99">
        <v>29</v>
      </c>
      <c r="J738" s="98" t="s">
        <v>229</v>
      </c>
      <c r="K738" s="99">
        <v>29</v>
      </c>
      <c r="L738" s="98" t="s">
        <v>229</v>
      </c>
      <c r="M738" s="98" t="s">
        <v>225</v>
      </c>
      <c r="N738" s="99">
        <v>29</v>
      </c>
      <c r="O738" s="100">
        <v>0</v>
      </c>
      <c r="P738" s="100">
        <v>0.24990790032121782</v>
      </c>
      <c r="Q738" s="100">
        <v>0.24133071420160526</v>
      </c>
    </row>
    <row r="739" spans="1:17" x14ac:dyDescent="0.35">
      <c r="A739" s="98" t="s">
        <v>16</v>
      </c>
      <c r="B739" s="98" t="s">
        <v>154</v>
      </c>
      <c r="C739" s="98" t="s">
        <v>242</v>
      </c>
      <c r="D739" s="99">
        <v>1118318.9999999998</v>
      </c>
      <c r="E739" s="99">
        <v>1160427.5</v>
      </c>
      <c r="F739" s="99">
        <v>1201670.4999999995</v>
      </c>
      <c r="G739" s="99">
        <v>0</v>
      </c>
      <c r="H739" s="98" t="s">
        <v>225</v>
      </c>
      <c r="I739" s="99">
        <v>29</v>
      </c>
      <c r="J739" s="98" t="s">
        <v>229</v>
      </c>
      <c r="K739" s="99">
        <v>32</v>
      </c>
      <c r="L739" s="98">
        <v>2022</v>
      </c>
      <c r="M739" s="98" t="s">
        <v>225</v>
      </c>
      <c r="N739" s="99">
        <v>32</v>
      </c>
      <c r="O739" s="100">
        <v>0</v>
      </c>
      <c r="P739" s="100">
        <v>0.24990790032121782</v>
      </c>
      <c r="Q739" s="100">
        <v>0.26629596049832305</v>
      </c>
    </row>
    <row r="740" spans="1:17" x14ac:dyDescent="0.35">
      <c r="A740" s="98" t="s">
        <v>16</v>
      </c>
      <c r="B740" s="98" t="s">
        <v>154</v>
      </c>
      <c r="C740" s="98" t="s">
        <v>243</v>
      </c>
      <c r="D740" s="99">
        <v>1118318.9999999998</v>
      </c>
      <c r="E740" s="99">
        <v>1160427.5</v>
      </c>
      <c r="F740" s="99">
        <v>1201670.4999999995</v>
      </c>
      <c r="G740" s="99">
        <v>0</v>
      </c>
      <c r="H740" s="98" t="s">
        <v>225</v>
      </c>
      <c r="I740" s="99">
        <v>0</v>
      </c>
      <c r="J740" s="98" t="s">
        <v>225</v>
      </c>
      <c r="K740" s="99">
        <v>38</v>
      </c>
      <c r="L740" s="98">
        <v>2020</v>
      </c>
      <c r="M740" s="98" t="s">
        <v>225</v>
      </c>
      <c r="N740" s="99">
        <v>38</v>
      </c>
      <c r="O740" s="100">
        <v>0</v>
      </c>
      <c r="P740" s="100">
        <v>0</v>
      </c>
      <c r="Q740" s="100">
        <v>0.31622645309175862</v>
      </c>
    </row>
    <row r="741" spans="1:17" x14ac:dyDescent="0.35">
      <c r="A741" s="98" t="s">
        <v>16</v>
      </c>
      <c r="B741" s="98" t="s">
        <v>154</v>
      </c>
      <c r="C741" s="98" t="s">
        <v>244</v>
      </c>
      <c r="D741" s="99">
        <v>1118318.9999999998</v>
      </c>
      <c r="E741" s="99">
        <v>1160427.5</v>
      </c>
      <c r="F741" s="99">
        <v>1201670.4999999995</v>
      </c>
      <c r="G741" s="99">
        <v>0</v>
      </c>
      <c r="H741" s="98" t="s">
        <v>225</v>
      </c>
      <c r="I741" s="99">
        <v>0</v>
      </c>
      <c r="J741" s="98" t="s">
        <v>225</v>
      </c>
      <c r="K741" s="99">
        <v>14</v>
      </c>
      <c r="L741" s="98">
        <v>2022</v>
      </c>
      <c r="M741" s="98" t="s">
        <v>225</v>
      </c>
      <c r="N741" s="99">
        <v>14</v>
      </c>
      <c r="O741" s="100">
        <v>0</v>
      </c>
      <c r="P741" s="100">
        <v>0</v>
      </c>
      <c r="Q741" s="100">
        <v>0.11650448271801633</v>
      </c>
    </row>
    <row r="742" spans="1:17" x14ac:dyDescent="0.35">
      <c r="A742" s="98" t="s">
        <v>16</v>
      </c>
      <c r="B742" s="98" t="s">
        <v>154</v>
      </c>
      <c r="C742" s="98" t="s">
        <v>245</v>
      </c>
      <c r="D742" s="99">
        <v>1118318.9999999998</v>
      </c>
      <c r="E742" s="99">
        <v>1160427.5</v>
      </c>
      <c r="F742" s="99">
        <v>1201670.4999999995</v>
      </c>
      <c r="G742" s="99">
        <v>0</v>
      </c>
      <c r="H742" s="98" t="s">
        <v>225</v>
      </c>
      <c r="I742" s="99">
        <v>7</v>
      </c>
      <c r="J742" s="98" t="s">
        <v>229</v>
      </c>
      <c r="K742" s="99">
        <v>7</v>
      </c>
      <c r="L742" s="98" t="s">
        <v>229</v>
      </c>
      <c r="M742" s="98" t="s">
        <v>225</v>
      </c>
      <c r="N742" s="99">
        <v>7</v>
      </c>
      <c r="O742" s="100">
        <v>0</v>
      </c>
      <c r="P742" s="100">
        <v>6.0322596629259477E-2</v>
      </c>
      <c r="Q742" s="100">
        <v>5.8252241359008167E-2</v>
      </c>
    </row>
    <row r="743" spans="1:17" x14ac:dyDescent="0.35">
      <c r="A743" s="98" t="s">
        <v>38</v>
      </c>
      <c r="B743" s="98" t="s">
        <v>178</v>
      </c>
      <c r="C743" s="98" t="s">
        <v>224</v>
      </c>
      <c r="D743" s="99">
        <v>96714</v>
      </c>
      <c r="E743" s="99">
        <v>103101.00000000003</v>
      </c>
      <c r="F743" s="99">
        <v>107118.5</v>
      </c>
      <c r="G743" s="99">
        <v>0</v>
      </c>
      <c r="H743" s="98" t="s">
        <v>225</v>
      </c>
      <c r="I743" s="99">
        <v>0</v>
      </c>
      <c r="J743" s="98" t="s">
        <v>225</v>
      </c>
      <c r="K743" s="99">
        <v>0</v>
      </c>
      <c r="L743" s="98" t="s">
        <v>225</v>
      </c>
      <c r="M743" s="98" t="s">
        <v>225</v>
      </c>
      <c r="N743" s="99">
        <v>0</v>
      </c>
      <c r="O743" s="100">
        <v>0</v>
      </c>
      <c r="P743" s="100">
        <v>0</v>
      </c>
      <c r="Q743" s="100">
        <v>0</v>
      </c>
    </row>
    <row r="744" spans="1:17" x14ac:dyDescent="0.35">
      <c r="A744" s="98" t="s">
        <v>38</v>
      </c>
      <c r="B744" s="98" t="s">
        <v>178</v>
      </c>
      <c r="C744" s="98" t="s">
        <v>227</v>
      </c>
      <c r="D744" s="99">
        <v>96714</v>
      </c>
      <c r="E744" s="99">
        <v>103101.00000000003</v>
      </c>
      <c r="F744" s="99">
        <v>107118.5</v>
      </c>
      <c r="G744" s="99">
        <v>0</v>
      </c>
      <c r="H744" s="98" t="s">
        <v>225</v>
      </c>
      <c r="I744" s="99">
        <v>5</v>
      </c>
      <c r="J744" s="98" t="s">
        <v>229</v>
      </c>
      <c r="K744" s="99">
        <v>5</v>
      </c>
      <c r="L744" s="98" t="s">
        <v>229</v>
      </c>
      <c r="M744" s="98" t="s">
        <v>225</v>
      </c>
      <c r="N744" s="99">
        <v>5</v>
      </c>
      <c r="O744" s="100">
        <v>0</v>
      </c>
      <c r="P744" s="100">
        <v>0.48496134858051798</v>
      </c>
      <c r="Q744" s="100">
        <v>0.46677277967858027</v>
      </c>
    </row>
    <row r="745" spans="1:17" x14ac:dyDescent="0.35">
      <c r="A745" s="98" t="s">
        <v>38</v>
      </c>
      <c r="B745" s="98" t="s">
        <v>178</v>
      </c>
      <c r="C745" s="98" t="s">
        <v>228</v>
      </c>
      <c r="D745" s="99">
        <v>96714</v>
      </c>
      <c r="E745" s="99">
        <v>103101.00000000003</v>
      </c>
      <c r="F745" s="99">
        <v>107118.5</v>
      </c>
      <c r="G745" s="99">
        <v>0</v>
      </c>
      <c r="H745" s="98" t="s">
        <v>225</v>
      </c>
      <c r="I745" s="99">
        <v>50</v>
      </c>
      <c r="J745" s="98" t="s">
        <v>229</v>
      </c>
      <c r="K745" s="99">
        <v>50</v>
      </c>
      <c r="L745" s="98" t="s">
        <v>229</v>
      </c>
      <c r="M745" s="98" t="s">
        <v>225</v>
      </c>
      <c r="N745" s="99">
        <v>50</v>
      </c>
      <c r="O745" s="100">
        <v>0</v>
      </c>
      <c r="P745" s="100">
        <v>4.8496134858051798</v>
      </c>
      <c r="Q745" s="100">
        <v>4.6677277967858029</v>
      </c>
    </row>
    <row r="746" spans="1:17" x14ac:dyDescent="0.35">
      <c r="A746" s="98" t="s">
        <v>38</v>
      </c>
      <c r="B746" s="98" t="s">
        <v>178</v>
      </c>
      <c r="C746" s="98" t="s">
        <v>230</v>
      </c>
      <c r="D746" s="99">
        <v>96714</v>
      </c>
      <c r="E746" s="99">
        <v>103101.00000000003</v>
      </c>
      <c r="F746" s="99">
        <v>107118.5</v>
      </c>
      <c r="G746" s="99">
        <v>0</v>
      </c>
      <c r="H746" s="98" t="s">
        <v>225</v>
      </c>
      <c r="I746" s="99">
        <v>258</v>
      </c>
      <c r="J746" s="98" t="s">
        <v>229</v>
      </c>
      <c r="K746" s="99">
        <v>258</v>
      </c>
      <c r="L746" s="98" t="s">
        <v>229</v>
      </c>
      <c r="M746" s="98" t="s">
        <v>225</v>
      </c>
      <c r="N746" s="99">
        <v>258</v>
      </c>
      <c r="O746" s="100">
        <v>0</v>
      </c>
      <c r="P746" s="100">
        <v>25.024005586754729</v>
      </c>
      <c r="Q746" s="100">
        <v>24.085475431414743</v>
      </c>
    </row>
    <row r="747" spans="1:17" x14ac:dyDescent="0.35">
      <c r="A747" s="98" t="s">
        <v>38</v>
      </c>
      <c r="B747" s="98" t="s">
        <v>178</v>
      </c>
      <c r="C747" s="98" t="s">
        <v>231</v>
      </c>
      <c r="D747" s="99">
        <v>96714</v>
      </c>
      <c r="E747" s="99">
        <v>103101.00000000003</v>
      </c>
      <c r="F747" s="99">
        <v>107118.5</v>
      </c>
      <c r="G747" s="99">
        <v>0</v>
      </c>
      <c r="H747" s="98" t="s">
        <v>225</v>
      </c>
      <c r="I747" s="99">
        <v>0</v>
      </c>
      <c r="J747" s="98" t="s">
        <v>225</v>
      </c>
      <c r="K747" s="99">
        <v>0</v>
      </c>
      <c r="L747" s="98" t="s">
        <v>225</v>
      </c>
      <c r="M747" s="98" t="s">
        <v>225</v>
      </c>
      <c r="N747" s="99">
        <v>0</v>
      </c>
      <c r="O747" s="100">
        <v>0</v>
      </c>
      <c r="P747" s="100">
        <v>0</v>
      </c>
      <c r="Q747" s="100">
        <v>0</v>
      </c>
    </row>
    <row r="748" spans="1:17" x14ac:dyDescent="0.35">
      <c r="A748" s="98" t="s">
        <v>38</v>
      </c>
      <c r="B748" s="98" t="s">
        <v>178</v>
      </c>
      <c r="C748" s="98" t="s">
        <v>232</v>
      </c>
      <c r="D748" s="99">
        <v>96714</v>
      </c>
      <c r="E748" s="99">
        <v>103101.00000000003</v>
      </c>
      <c r="F748" s="99">
        <v>107118.5</v>
      </c>
      <c r="G748" s="99">
        <v>0</v>
      </c>
      <c r="H748" s="98" t="s">
        <v>225</v>
      </c>
      <c r="I748" s="99">
        <v>2</v>
      </c>
      <c r="J748" s="98" t="s">
        <v>229</v>
      </c>
      <c r="K748" s="99">
        <v>11</v>
      </c>
      <c r="L748" s="98">
        <v>2022</v>
      </c>
      <c r="M748" s="98" t="s">
        <v>225</v>
      </c>
      <c r="N748" s="99">
        <v>11</v>
      </c>
      <c r="O748" s="100">
        <v>0</v>
      </c>
      <c r="P748" s="100">
        <v>0.1939845394322072</v>
      </c>
      <c r="Q748" s="100">
        <v>1.0269001152928765</v>
      </c>
    </row>
    <row r="749" spans="1:17" x14ac:dyDescent="0.35">
      <c r="A749" s="98" t="s">
        <v>38</v>
      </c>
      <c r="B749" s="98" t="s">
        <v>178</v>
      </c>
      <c r="C749" s="98" t="s">
        <v>233</v>
      </c>
      <c r="D749" s="99">
        <v>96714</v>
      </c>
      <c r="E749" s="99">
        <v>103101.00000000003</v>
      </c>
      <c r="F749" s="99">
        <v>107118.5</v>
      </c>
      <c r="G749" s="99">
        <v>0</v>
      </c>
      <c r="H749" s="98" t="s">
        <v>225</v>
      </c>
      <c r="I749" s="99">
        <v>71</v>
      </c>
      <c r="J749" s="98">
        <v>2018</v>
      </c>
      <c r="K749" s="99">
        <v>71</v>
      </c>
      <c r="L749" s="98">
        <v>2018</v>
      </c>
      <c r="M749" s="98" t="s">
        <v>225</v>
      </c>
      <c r="N749" s="99">
        <v>71</v>
      </c>
      <c r="O749" s="100">
        <v>0</v>
      </c>
      <c r="P749" s="100">
        <v>6.8864511498433556</v>
      </c>
      <c r="Q749" s="100">
        <v>6.62817347143584</v>
      </c>
    </row>
    <row r="750" spans="1:17" x14ac:dyDescent="0.35">
      <c r="A750" s="98" t="s">
        <v>38</v>
      </c>
      <c r="B750" s="98" t="s">
        <v>178</v>
      </c>
      <c r="C750" s="98" t="s">
        <v>234</v>
      </c>
      <c r="D750" s="99">
        <v>96714</v>
      </c>
      <c r="E750" s="99">
        <v>103101.00000000003</v>
      </c>
      <c r="F750" s="99">
        <v>107118.5</v>
      </c>
      <c r="G750" s="99">
        <v>0</v>
      </c>
      <c r="H750" s="98" t="s">
        <v>225</v>
      </c>
      <c r="I750" s="99">
        <v>0</v>
      </c>
      <c r="J750" s="98" t="s">
        <v>225</v>
      </c>
      <c r="K750" s="99">
        <v>0</v>
      </c>
      <c r="L750" s="98" t="s">
        <v>225</v>
      </c>
      <c r="M750" s="98" t="s">
        <v>225</v>
      </c>
      <c r="N750" s="99">
        <v>0</v>
      </c>
      <c r="O750" s="100">
        <v>0</v>
      </c>
      <c r="P750" s="100">
        <v>0</v>
      </c>
      <c r="Q750" s="100">
        <v>0</v>
      </c>
    </row>
    <row r="751" spans="1:17" x14ac:dyDescent="0.35">
      <c r="A751" s="98" t="s">
        <v>38</v>
      </c>
      <c r="B751" s="98" t="s">
        <v>178</v>
      </c>
      <c r="C751" s="98" t="s">
        <v>235</v>
      </c>
      <c r="D751" s="99">
        <v>96714</v>
      </c>
      <c r="E751" s="99">
        <v>103101.00000000003</v>
      </c>
      <c r="F751" s="99">
        <v>107118.5</v>
      </c>
      <c r="G751" s="99">
        <v>0</v>
      </c>
      <c r="H751" s="98" t="s">
        <v>225</v>
      </c>
      <c r="I751" s="99">
        <v>7</v>
      </c>
      <c r="J751" s="98" t="s">
        <v>229</v>
      </c>
      <c r="K751" s="99">
        <v>7</v>
      </c>
      <c r="L751" s="98" t="s">
        <v>229</v>
      </c>
      <c r="M751" s="98" t="s">
        <v>225</v>
      </c>
      <c r="N751" s="99">
        <v>7</v>
      </c>
      <c r="O751" s="100">
        <v>0</v>
      </c>
      <c r="P751" s="100">
        <v>0.67894588801272515</v>
      </c>
      <c r="Q751" s="100">
        <v>0.65348189155001235</v>
      </c>
    </row>
    <row r="752" spans="1:17" x14ac:dyDescent="0.35">
      <c r="A752" s="98" t="s">
        <v>38</v>
      </c>
      <c r="B752" s="98" t="s">
        <v>178</v>
      </c>
      <c r="C752" s="98" t="s">
        <v>236</v>
      </c>
      <c r="D752" s="99">
        <v>96714</v>
      </c>
      <c r="E752" s="99">
        <v>103101.00000000003</v>
      </c>
      <c r="F752" s="99">
        <v>107118.5</v>
      </c>
      <c r="G752" s="99">
        <v>0</v>
      </c>
      <c r="H752" s="98" t="s">
        <v>225</v>
      </c>
      <c r="I752" s="99">
        <v>0</v>
      </c>
      <c r="J752" s="98" t="s">
        <v>225</v>
      </c>
      <c r="K752" s="99">
        <v>0</v>
      </c>
      <c r="L752" s="98" t="s">
        <v>225</v>
      </c>
      <c r="M752" s="98" t="s">
        <v>225</v>
      </c>
      <c r="N752" s="99">
        <v>0</v>
      </c>
      <c r="O752" s="100">
        <v>0</v>
      </c>
      <c r="P752" s="100">
        <v>0</v>
      </c>
      <c r="Q752" s="100">
        <v>0</v>
      </c>
    </row>
    <row r="753" spans="1:17" x14ac:dyDescent="0.35">
      <c r="A753" s="98" t="s">
        <v>38</v>
      </c>
      <c r="B753" s="98" t="s">
        <v>178</v>
      </c>
      <c r="C753" s="98" t="s">
        <v>237</v>
      </c>
      <c r="D753" s="99">
        <v>96714</v>
      </c>
      <c r="E753" s="99">
        <v>103101.00000000003</v>
      </c>
      <c r="F753" s="99">
        <v>107118.5</v>
      </c>
      <c r="G753" s="99">
        <v>0</v>
      </c>
      <c r="H753" s="98" t="s">
        <v>225</v>
      </c>
      <c r="I753" s="99">
        <v>28</v>
      </c>
      <c r="J753" s="98" t="s">
        <v>229</v>
      </c>
      <c r="K753" s="99">
        <v>22</v>
      </c>
      <c r="L753" s="98">
        <v>2021</v>
      </c>
      <c r="M753" s="98" t="s">
        <v>226</v>
      </c>
      <c r="N753" s="99">
        <v>25.284570175049133</v>
      </c>
      <c r="O753" s="100">
        <v>0</v>
      </c>
      <c r="P753" s="100">
        <v>2.7157835520509006</v>
      </c>
      <c r="Q753" s="100">
        <v>2.3604298207171621</v>
      </c>
    </row>
    <row r="754" spans="1:17" x14ac:dyDescent="0.35">
      <c r="A754" s="98" t="s">
        <v>38</v>
      </c>
      <c r="B754" s="98" t="s">
        <v>178</v>
      </c>
      <c r="C754" s="98" t="s">
        <v>238</v>
      </c>
      <c r="D754" s="99">
        <v>96714</v>
      </c>
      <c r="E754" s="99">
        <v>103101.00000000003</v>
      </c>
      <c r="F754" s="99">
        <v>107118.5</v>
      </c>
      <c r="G754" s="99">
        <v>0</v>
      </c>
      <c r="H754" s="98" t="s">
        <v>225</v>
      </c>
      <c r="I754" s="99">
        <v>0</v>
      </c>
      <c r="J754" s="98" t="s">
        <v>225</v>
      </c>
      <c r="K754" s="99">
        <v>0</v>
      </c>
      <c r="L754" s="98" t="s">
        <v>225</v>
      </c>
      <c r="M754" s="98" t="s">
        <v>225</v>
      </c>
      <c r="N754" s="99">
        <v>0</v>
      </c>
      <c r="O754" s="100">
        <v>0</v>
      </c>
      <c r="P754" s="100">
        <v>0</v>
      </c>
      <c r="Q754" s="100">
        <v>0</v>
      </c>
    </row>
    <row r="755" spans="1:17" x14ac:dyDescent="0.35">
      <c r="A755" s="98" t="s">
        <v>38</v>
      </c>
      <c r="B755" s="98" t="s">
        <v>178</v>
      </c>
      <c r="C755" s="98" t="s">
        <v>239</v>
      </c>
      <c r="D755" s="99">
        <v>96714</v>
      </c>
      <c r="E755" s="99">
        <v>103101.00000000003</v>
      </c>
      <c r="F755" s="99">
        <v>107118.5</v>
      </c>
      <c r="G755" s="99">
        <v>0</v>
      </c>
      <c r="H755" s="98" t="s">
        <v>225</v>
      </c>
      <c r="I755" s="99">
        <v>0</v>
      </c>
      <c r="J755" s="98" t="s">
        <v>225</v>
      </c>
      <c r="K755" s="99">
        <v>0</v>
      </c>
      <c r="L755" s="98" t="s">
        <v>225</v>
      </c>
      <c r="M755" s="98" t="s">
        <v>225</v>
      </c>
      <c r="N755" s="99">
        <v>0</v>
      </c>
      <c r="O755" s="100">
        <v>0</v>
      </c>
      <c r="P755" s="100">
        <v>0</v>
      </c>
      <c r="Q755" s="100">
        <v>0</v>
      </c>
    </row>
    <row r="756" spans="1:17" x14ac:dyDescent="0.35">
      <c r="A756" s="98" t="s">
        <v>38</v>
      </c>
      <c r="B756" s="98" t="s">
        <v>178</v>
      </c>
      <c r="C756" s="98" t="s">
        <v>240</v>
      </c>
      <c r="D756" s="99">
        <v>96714</v>
      </c>
      <c r="E756" s="99">
        <v>103101.00000000003</v>
      </c>
      <c r="F756" s="99">
        <v>107118.5</v>
      </c>
      <c r="G756" s="99">
        <v>0</v>
      </c>
      <c r="H756" s="98" t="s">
        <v>225</v>
      </c>
      <c r="I756" s="99">
        <v>71</v>
      </c>
      <c r="J756" s="98" t="s">
        <v>229</v>
      </c>
      <c r="K756" s="99">
        <v>71</v>
      </c>
      <c r="L756" s="98" t="s">
        <v>229</v>
      </c>
      <c r="M756" s="98" t="s">
        <v>225</v>
      </c>
      <c r="N756" s="99">
        <v>71</v>
      </c>
      <c r="O756" s="100">
        <v>0</v>
      </c>
      <c r="P756" s="100">
        <v>6.8864511498433556</v>
      </c>
      <c r="Q756" s="100">
        <v>6.62817347143584</v>
      </c>
    </row>
    <row r="757" spans="1:17" x14ac:dyDescent="0.35">
      <c r="A757" s="98" t="s">
        <v>38</v>
      </c>
      <c r="B757" s="98" t="s">
        <v>178</v>
      </c>
      <c r="C757" s="98" t="s">
        <v>241</v>
      </c>
      <c r="D757" s="99">
        <v>96714</v>
      </c>
      <c r="E757" s="99">
        <v>103101.00000000003</v>
      </c>
      <c r="F757" s="99">
        <v>107118.5</v>
      </c>
      <c r="G757" s="99">
        <v>0</v>
      </c>
      <c r="H757" s="98" t="s">
        <v>225</v>
      </c>
      <c r="I757" s="99">
        <v>0</v>
      </c>
      <c r="J757" s="98" t="s">
        <v>225</v>
      </c>
      <c r="K757" s="99">
        <v>0</v>
      </c>
      <c r="L757" s="98" t="s">
        <v>225</v>
      </c>
      <c r="M757" s="98" t="s">
        <v>225</v>
      </c>
      <c r="N757" s="99">
        <v>0</v>
      </c>
      <c r="O757" s="100">
        <v>0</v>
      </c>
      <c r="P757" s="100">
        <v>0</v>
      </c>
      <c r="Q757" s="100">
        <v>0</v>
      </c>
    </row>
    <row r="758" spans="1:17" x14ac:dyDescent="0.35">
      <c r="A758" s="98" t="s">
        <v>38</v>
      </c>
      <c r="B758" s="98" t="s">
        <v>178</v>
      </c>
      <c r="C758" s="98" t="s">
        <v>242</v>
      </c>
      <c r="D758" s="99">
        <v>96714</v>
      </c>
      <c r="E758" s="99">
        <v>103101.00000000003</v>
      </c>
      <c r="F758" s="99">
        <v>107118.5</v>
      </c>
      <c r="G758" s="99">
        <v>0</v>
      </c>
      <c r="H758" s="98" t="s">
        <v>225</v>
      </c>
      <c r="I758" s="99">
        <v>33</v>
      </c>
      <c r="J758" s="98" t="s">
        <v>229</v>
      </c>
      <c r="K758" s="99">
        <v>60</v>
      </c>
      <c r="L758" s="98">
        <v>2021</v>
      </c>
      <c r="M758" s="98" t="s">
        <v>225</v>
      </c>
      <c r="N758" s="99">
        <v>60</v>
      </c>
      <c r="O758" s="100">
        <v>0</v>
      </c>
      <c r="P758" s="100">
        <v>3.2007449006314186</v>
      </c>
      <c r="Q758" s="100">
        <v>5.6012733561429631</v>
      </c>
    </row>
    <row r="759" spans="1:17" x14ac:dyDescent="0.35">
      <c r="A759" s="98" t="s">
        <v>38</v>
      </c>
      <c r="B759" s="98" t="s">
        <v>178</v>
      </c>
      <c r="C759" s="98" t="s">
        <v>243</v>
      </c>
      <c r="D759" s="99">
        <v>96714</v>
      </c>
      <c r="E759" s="99">
        <v>103101.00000000003</v>
      </c>
      <c r="F759" s="99">
        <v>107118.5</v>
      </c>
      <c r="G759" s="99">
        <v>0</v>
      </c>
      <c r="H759" s="98" t="s">
        <v>225</v>
      </c>
      <c r="I759" s="99">
        <v>0</v>
      </c>
      <c r="J759" s="98" t="s">
        <v>225</v>
      </c>
      <c r="K759" s="99">
        <v>2</v>
      </c>
      <c r="L759" s="98">
        <v>2021</v>
      </c>
      <c r="M759" s="98" t="s">
        <v>225</v>
      </c>
      <c r="N759" s="99">
        <v>2</v>
      </c>
      <c r="O759" s="100">
        <v>0</v>
      </c>
      <c r="P759" s="100">
        <v>0</v>
      </c>
      <c r="Q759" s="100">
        <v>0.1867091118714321</v>
      </c>
    </row>
    <row r="760" spans="1:17" x14ac:dyDescent="0.35">
      <c r="A760" s="98" t="s">
        <v>38</v>
      </c>
      <c r="B760" s="98" t="s">
        <v>178</v>
      </c>
      <c r="C760" s="98" t="s">
        <v>244</v>
      </c>
      <c r="D760" s="99">
        <v>96714</v>
      </c>
      <c r="E760" s="99">
        <v>103101.00000000003</v>
      </c>
      <c r="F760" s="99">
        <v>107118.5</v>
      </c>
      <c r="G760" s="99">
        <v>0</v>
      </c>
      <c r="H760" s="98" t="s">
        <v>225</v>
      </c>
      <c r="I760" s="99">
        <v>0</v>
      </c>
      <c r="J760" s="98" t="s">
        <v>225</v>
      </c>
      <c r="K760" s="99">
        <v>5</v>
      </c>
      <c r="L760" s="98">
        <v>2021</v>
      </c>
      <c r="M760" s="98" t="s">
        <v>225</v>
      </c>
      <c r="N760" s="99">
        <v>5</v>
      </c>
      <c r="O760" s="100">
        <v>0</v>
      </c>
      <c r="P760" s="100">
        <v>0</v>
      </c>
      <c r="Q760" s="100">
        <v>0.46677277967858027</v>
      </c>
    </row>
    <row r="761" spans="1:17" x14ac:dyDescent="0.35">
      <c r="A761" s="98" t="s">
        <v>38</v>
      </c>
      <c r="B761" s="98" t="s">
        <v>178</v>
      </c>
      <c r="C761" s="98" t="s">
        <v>245</v>
      </c>
      <c r="D761" s="99">
        <v>96714</v>
      </c>
      <c r="E761" s="99">
        <v>103101.00000000003</v>
      </c>
      <c r="F761" s="99">
        <v>107118.5</v>
      </c>
      <c r="G761" s="99">
        <v>0</v>
      </c>
      <c r="H761" s="98" t="s">
        <v>225</v>
      </c>
      <c r="I761" s="99">
        <v>0</v>
      </c>
      <c r="J761" s="98" t="s">
        <v>225</v>
      </c>
      <c r="K761" s="99">
        <v>2</v>
      </c>
      <c r="L761" s="98">
        <v>2021</v>
      </c>
      <c r="M761" s="98" t="s">
        <v>225</v>
      </c>
      <c r="N761" s="99">
        <v>2</v>
      </c>
      <c r="O761" s="100">
        <v>0</v>
      </c>
      <c r="P761" s="100">
        <v>0</v>
      </c>
      <c r="Q761" s="100">
        <v>0.1867091118714321</v>
      </c>
    </row>
    <row r="762" spans="1:17" x14ac:dyDescent="0.35">
      <c r="A762" s="98" t="s">
        <v>9</v>
      </c>
      <c r="B762" s="98" t="s">
        <v>145</v>
      </c>
      <c r="C762" s="98" t="s">
        <v>224</v>
      </c>
      <c r="D762" s="99">
        <v>13216766.5</v>
      </c>
      <c r="E762" s="99">
        <v>15604210</v>
      </c>
      <c r="F762" s="99">
        <v>17723314.500000004</v>
      </c>
      <c r="G762" s="99">
        <v>0</v>
      </c>
      <c r="H762" s="98" t="s">
        <v>225</v>
      </c>
      <c r="I762" s="99">
        <v>7</v>
      </c>
      <c r="J762" s="98" t="s">
        <v>229</v>
      </c>
      <c r="K762" s="99">
        <v>8077</v>
      </c>
      <c r="L762" s="98">
        <v>2021</v>
      </c>
      <c r="M762" s="98" t="s">
        <v>225</v>
      </c>
      <c r="N762" s="99">
        <v>8077</v>
      </c>
      <c r="O762" s="100">
        <v>0</v>
      </c>
      <c r="P762" s="100">
        <v>4.4859688507140061E-3</v>
      </c>
      <c r="Q762" s="100">
        <v>4.5572739794241075</v>
      </c>
    </row>
    <row r="763" spans="1:17" x14ac:dyDescent="0.35">
      <c r="A763" s="98" t="s">
        <v>9</v>
      </c>
      <c r="B763" s="98" t="s">
        <v>145</v>
      </c>
      <c r="C763" s="98" t="s">
        <v>227</v>
      </c>
      <c r="D763" s="99">
        <v>13216766.5</v>
      </c>
      <c r="E763" s="99">
        <v>15604210</v>
      </c>
      <c r="F763" s="99">
        <v>17723314.500000004</v>
      </c>
      <c r="G763" s="99">
        <v>406</v>
      </c>
      <c r="H763" s="98">
        <v>2012</v>
      </c>
      <c r="I763" s="99">
        <v>58</v>
      </c>
      <c r="J763" s="98" t="s">
        <v>229</v>
      </c>
      <c r="K763" s="99">
        <v>58</v>
      </c>
      <c r="L763" s="98" t="s">
        <v>229</v>
      </c>
      <c r="M763" s="98" t="s">
        <v>225</v>
      </c>
      <c r="N763" s="99">
        <v>58</v>
      </c>
      <c r="O763" s="100">
        <v>0.30718557371804972</v>
      </c>
      <c r="P763" s="100">
        <v>3.7169456191630333E-2</v>
      </c>
      <c r="Q763" s="100">
        <v>3.2725255764095358E-2</v>
      </c>
    </row>
    <row r="764" spans="1:17" x14ac:dyDescent="0.35">
      <c r="A764" s="98" t="s">
        <v>9</v>
      </c>
      <c r="B764" s="98" t="s">
        <v>145</v>
      </c>
      <c r="C764" s="98" t="s">
        <v>228</v>
      </c>
      <c r="D764" s="99">
        <v>13216766.5</v>
      </c>
      <c r="E764" s="99">
        <v>15604210</v>
      </c>
      <c r="F764" s="99">
        <v>17723314.500000004</v>
      </c>
      <c r="G764" s="99">
        <v>1258</v>
      </c>
      <c r="H764" s="98">
        <v>2012</v>
      </c>
      <c r="I764" s="99">
        <v>76</v>
      </c>
      <c r="J764" s="98" t="s">
        <v>229</v>
      </c>
      <c r="K764" s="99">
        <v>76</v>
      </c>
      <c r="L764" s="98" t="s">
        <v>229</v>
      </c>
      <c r="M764" s="98" t="s">
        <v>225</v>
      </c>
      <c r="N764" s="99">
        <v>76</v>
      </c>
      <c r="O764" s="100">
        <v>0.95182130969779943</v>
      </c>
      <c r="P764" s="100">
        <v>4.8704804664894921E-2</v>
      </c>
      <c r="Q764" s="100">
        <v>4.2881369621918061E-2</v>
      </c>
    </row>
    <row r="765" spans="1:17" x14ac:dyDescent="0.35">
      <c r="A765" s="98" t="s">
        <v>9</v>
      </c>
      <c r="B765" s="98" t="s">
        <v>145</v>
      </c>
      <c r="C765" s="98" t="s">
        <v>230</v>
      </c>
      <c r="D765" s="99">
        <v>13216766.5</v>
      </c>
      <c r="E765" s="99">
        <v>15604210</v>
      </c>
      <c r="F765" s="99">
        <v>17723314.500000004</v>
      </c>
      <c r="G765" s="99">
        <v>0</v>
      </c>
      <c r="H765" s="98" t="s">
        <v>225</v>
      </c>
      <c r="I765" s="99">
        <v>738</v>
      </c>
      <c r="J765" s="98" t="s">
        <v>229</v>
      </c>
      <c r="K765" s="99">
        <v>208</v>
      </c>
      <c r="L765" s="98" t="s">
        <v>229</v>
      </c>
      <c r="M765" s="98" t="s">
        <v>226</v>
      </c>
      <c r="N765" s="99">
        <v>240.20714655618852</v>
      </c>
      <c r="O765" s="100">
        <v>0</v>
      </c>
      <c r="P765" s="100">
        <v>0.47294928740384806</v>
      </c>
      <c r="Q765" s="100">
        <v>0.13553172943818634</v>
      </c>
    </row>
    <row r="766" spans="1:17" x14ac:dyDescent="0.35">
      <c r="A766" s="98" t="s">
        <v>9</v>
      </c>
      <c r="B766" s="98" t="s">
        <v>145</v>
      </c>
      <c r="C766" s="98" t="s">
        <v>231</v>
      </c>
      <c r="D766" s="99">
        <v>13216766.5</v>
      </c>
      <c r="E766" s="99">
        <v>15604210</v>
      </c>
      <c r="F766" s="99">
        <v>17723314.500000004</v>
      </c>
      <c r="G766" s="99">
        <v>0</v>
      </c>
      <c r="H766" s="98" t="s">
        <v>225</v>
      </c>
      <c r="I766" s="99">
        <v>732</v>
      </c>
      <c r="J766" s="98" t="s">
        <v>229</v>
      </c>
      <c r="K766" s="99">
        <v>371</v>
      </c>
      <c r="L766" s="98">
        <v>2021</v>
      </c>
      <c r="M766" s="98" t="s">
        <v>226</v>
      </c>
      <c r="N766" s="99">
        <v>428.44640082858621</v>
      </c>
      <c r="O766" s="100">
        <v>0</v>
      </c>
      <c r="P766" s="100">
        <v>0.46910417124609322</v>
      </c>
      <c r="Q766" s="100">
        <v>0.24174169048830349</v>
      </c>
    </row>
    <row r="767" spans="1:17" x14ac:dyDescent="0.35">
      <c r="A767" s="98" t="s">
        <v>9</v>
      </c>
      <c r="B767" s="98" t="s">
        <v>145</v>
      </c>
      <c r="C767" s="98" t="s">
        <v>232</v>
      </c>
      <c r="D767" s="99">
        <v>13216766.5</v>
      </c>
      <c r="E767" s="99">
        <v>15604210</v>
      </c>
      <c r="F767" s="99">
        <v>17723314.500000004</v>
      </c>
      <c r="G767" s="99">
        <v>0</v>
      </c>
      <c r="H767" s="98" t="s">
        <v>225</v>
      </c>
      <c r="I767" s="99">
        <v>0</v>
      </c>
      <c r="J767" s="98" t="s">
        <v>225</v>
      </c>
      <c r="K767" s="99">
        <v>11</v>
      </c>
      <c r="L767" s="98">
        <v>2022</v>
      </c>
      <c r="M767" s="98" t="s">
        <v>225</v>
      </c>
      <c r="N767" s="99">
        <v>11</v>
      </c>
      <c r="O767" s="100">
        <v>0</v>
      </c>
      <c r="P767" s="100">
        <v>0</v>
      </c>
      <c r="Q767" s="100">
        <v>6.206514024224982E-3</v>
      </c>
    </row>
    <row r="768" spans="1:17" x14ac:dyDescent="0.35">
      <c r="A768" s="98" t="s">
        <v>9</v>
      </c>
      <c r="B768" s="98" t="s">
        <v>145</v>
      </c>
      <c r="C768" s="98" t="s">
        <v>233</v>
      </c>
      <c r="D768" s="99">
        <v>13216766.5</v>
      </c>
      <c r="E768" s="99">
        <v>15604210</v>
      </c>
      <c r="F768" s="99">
        <v>17723314.500000004</v>
      </c>
      <c r="G768" s="99">
        <v>0</v>
      </c>
      <c r="H768" s="98" t="s">
        <v>225</v>
      </c>
      <c r="I768" s="99">
        <v>814</v>
      </c>
      <c r="J768" s="98" t="s">
        <v>229</v>
      </c>
      <c r="K768" s="99">
        <v>1028</v>
      </c>
      <c r="L768" s="98">
        <v>2022</v>
      </c>
      <c r="M768" s="98" t="s">
        <v>225</v>
      </c>
      <c r="N768" s="99">
        <v>1028</v>
      </c>
      <c r="O768" s="100">
        <v>0</v>
      </c>
      <c r="P768" s="100">
        <v>0.52165409206874302</v>
      </c>
      <c r="Q768" s="100">
        <v>0.58002694699120738</v>
      </c>
    </row>
    <row r="769" spans="1:17" x14ac:dyDescent="0.35">
      <c r="A769" s="98" t="s">
        <v>9</v>
      </c>
      <c r="B769" s="98" t="s">
        <v>145</v>
      </c>
      <c r="C769" s="98" t="s">
        <v>234</v>
      </c>
      <c r="D769" s="99">
        <v>13216766.5</v>
      </c>
      <c r="E769" s="99">
        <v>15604210</v>
      </c>
      <c r="F769" s="99">
        <v>17723314.500000004</v>
      </c>
      <c r="G769" s="99">
        <v>0</v>
      </c>
      <c r="H769" s="98" t="s">
        <v>225</v>
      </c>
      <c r="I769" s="99">
        <v>42</v>
      </c>
      <c r="J769" s="98" t="s">
        <v>229</v>
      </c>
      <c r="K769" s="99">
        <v>104</v>
      </c>
      <c r="L769" s="98">
        <v>2021</v>
      </c>
      <c r="M769" s="98" t="s">
        <v>225</v>
      </c>
      <c r="N769" s="99">
        <v>104</v>
      </c>
      <c r="O769" s="100">
        <v>0</v>
      </c>
      <c r="P769" s="100">
        <v>2.6915813104284037E-2</v>
      </c>
      <c r="Q769" s="100">
        <v>5.8679768956308921E-2</v>
      </c>
    </row>
    <row r="770" spans="1:17" x14ac:dyDescent="0.35">
      <c r="A770" s="98" t="s">
        <v>9</v>
      </c>
      <c r="B770" s="98" t="s">
        <v>145</v>
      </c>
      <c r="C770" s="98" t="s">
        <v>235</v>
      </c>
      <c r="D770" s="99">
        <v>13216766.5</v>
      </c>
      <c r="E770" s="99">
        <v>15604210</v>
      </c>
      <c r="F770" s="99">
        <v>17723314.500000004</v>
      </c>
      <c r="G770" s="99">
        <v>0</v>
      </c>
      <c r="H770" s="98" t="s">
        <v>225</v>
      </c>
      <c r="I770" s="99">
        <v>25</v>
      </c>
      <c r="J770" s="98" t="s">
        <v>229</v>
      </c>
      <c r="K770" s="99">
        <v>48</v>
      </c>
      <c r="L770" s="98" t="s">
        <v>229</v>
      </c>
      <c r="M770" s="98" t="s">
        <v>225</v>
      </c>
      <c r="N770" s="99">
        <v>48</v>
      </c>
      <c r="O770" s="100">
        <v>0</v>
      </c>
      <c r="P770" s="100">
        <v>1.6021317323978594E-2</v>
      </c>
      <c r="Q770" s="100">
        <v>2.7082970287527194E-2</v>
      </c>
    </row>
    <row r="771" spans="1:17" x14ac:dyDescent="0.35">
      <c r="A771" s="98" t="s">
        <v>9</v>
      </c>
      <c r="B771" s="98" t="s">
        <v>145</v>
      </c>
      <c r="C771" s="98" t="s">
        <v>236</v>
      </c>
      <c r="D771" s="99">
        <v>13216766.5</v>
      </c>
      <c r="E771" s="99">
        <v>15604210</v>
      </c>
      <c r="F771" s="99">
        <v>17723314.500000004</v>
      </c>
      <c r="G771" s="99">
        <v>0</v>
      </c>
      <c r="H771" s="98" t="s">
        <v>225</v>
      </c>
      <c r="I771" s="99">
        <v>6</v>
      </c>
      <c r="J771" s="98" t="s">
        <v>229</v>
      </c>
      <c r="K771" s="99">
        <v>6</v>
      </c>
      <c r="L771" s="98" t="s">
        <v>229</v>
      </c>
      <c r="M771" s="98" t="s">
        <v>225</v>
      </c>
      <c r="N771" s="99">
        <v>6</v>
      </c>
      <c r="O771" s="100">
        <v>0</v>
      </c>
      <c r="P771" s="100">
        <v>3.8451161577548621E-3</v>
      </c>
      <c r="Q771" s="100">
        <v>3.3853712859408993E-3</v>
      </c>
    </row>
    <row r="772" spans="1:17" x14ac:dyDescent="0.35">
      <c r="A772" s="98" t="s">
        <v>9</v>
      </c>
      <c r="B772" s="98" t="s">
        <v>145</v>
      </c>
      <c r="C772" s="98" t="s">
        <v>237</v>
      </c>
      <c r="D772" s="99">
        <v>13216766.5</v>
      </c>
      <c r="E772" s="99">
        <v>15604210</v>
      </c>
      <c r="F772" s="99">
        <v>17723314.500000004</v>
      </c>
      <c r="G772" s="99">
        <v>0</v>
      </c>
      <c r="H772" s="98" t="s">
        <v>225</v>
      </c>
      <c r="I772" s="99">
        <v>6</v>
      </c>
      <c r="J772" s="98" t="s">
        <v>229</v>
      </c>
      <c r="K772" s="99">
        <v>1</v>
      </c>
      <c r="L772" s="98">
        <v>2020</v>
      </c>
      <c r="M772" s="98" t="s">
        <v>226</v>
      </c>
      <c r="N772" s="99">
        <v>1.1548420507509063</v>
      </c>
      <c r="O772" s="100">
        <v>0</v>
      </c>
      <c r="P772" s="100">
        <v>3.8451161577548621E-3</v>
      </c>
      <c r="Q772" s="100">
        <v>6.5159485306820356E-4</v>
      </c>
    </row>
    <row r="773" spans="1:17" x14ac:dyDescent="0.35">
      <c r="A773" s="98" t="s">
        <v>9</v>
      </c>
      <c r="B773" s="98" t="s">
        <v>145</v>
      </c>
      <c r="C773" s="98" t="s">
        <v>238</v>
      </c>
      <c r="D773" s="99">
        <v>13216766.5</v>
      </c>
      <c r="E773" s="99">
        <v>15604210</v>
      </c>
      <c r="F773" s="99">
        <v>17723314.500000004</v>
      </c>
      <c r="G773" s="99">
        <v>0</v>
      </c>
      <c r="H773" s="98" t="s">
        <v>225</v>
      </c>
      <c r="I773" s="99">
        <v>436</v>
      </c>
      <c r="J773" s="98" t="s">
        <v>229</v>
      </c>
      <c r="K773" s="99">
        <v>6</v>
      </c>
      <c r="L773" s="98" t="s">
        <v>229</v>
      </c>
      <c r="M773" s="98" t="s">
        <v>226</v>
      </c>
      <c r="N773" s="99">
        <v>6.9290523045054382</v>
      </c>
      <c r="O773" s="100">
        <v>0</v>
      </c>
      <c r="P773" s="100">
        <v>0.27941177413018664</v>
      </c>
      <c r="Q773" s="100">
        <v>3.9095691184092207E-3</v>
      </c>
    </row>
    <row r="774" spans="1:17" x14ac:dyDescent="0.35">
      <c r="A774" s="98" t="s">
        <v>9</v>
      </c>
      <c r="B774" s="98" t="s">
        <v>145</v>
      </c>
      <c r="C774" s="98" t="s">
        <v>239</v>
      </c>
      <c r="D774" s="99">
        <v>13216766.5</v>
      </c>
      <c r="E774" s="99">
        <v>15604210</v>
      </c>
      <c r="F774" s="99">
        <v>17723314.500000004</v>
      </c>
      <c r="G774" s="99">
        <v>0</v>
      </c>
      <c r="H774" s="98" t="s">
        <v>225</v>
      </c>
      <c r="I774" s="99">
        <v>90</v>
      </c>
      <c r="J774" s="98" t="s">
        <v>229</v>
      </c>
      <c r="K774" s="99">
        <v>791</v>
      </c>
      <c r="L774" s="98" t="s">
        <v>229</v>
      </c>
      <c r="M774" s="98" t="s">
        <v>225</v>
      </c>
      <c r="N774" s="99">
        <v>791</v>
      </c>
      <c r="O774" s="100">
        <v>0</v>
      </c>
      <c r="P774" s="100">
        <v>5.7676742366322933E-2</v>
      </c>
      <c r="Q774" s="100">
        <v>0.44630478119654188</v>
      </c>
    </row>
    <row r="775" spans="1:17" x14ac:dyDescent="0.35">
      <c r="A775" s="98" t="s">
        <v>9</v>
      </c>
      <c r="B775" s="98" t="s">
        <v>145</v>
      </c>
      <c r="C775" s="98" t="s">
        <v>240</v>
      </c>
      <c r="D775" s="99">
        <v>13216766.5</v>
      </c>
      <c r="E775" s="99">
        <v>15604210</v>
      </c>
      <c r="F775" s="99">
        <v>17723314.500000004</v>
      </c>
      <c r="G775" s="99">
        <v>0</v>
      </c>
      <c r="H775" s="98" t="s">
        <v>225</v>
      </c>
      <c r="I775" s="99">
        <v>749</v>
      </c>
      <c r="J775" s="98" t="s">
        <v>229</v>
      </c>
      <c r="K775" s="99">
        <v>1028</v>
      </c>
      <c r="L775" s="98">
        <v>2022</v>
      </c>
      <c r="M775" s="98" t="s">
        <v>225</v>
      </c>
      <c r="N775" s="99">
        <v>1028</v>
      </c>
      <c r="O775" s="100">
        <v>0</v>
      </c>
      <c r="P775" s="100">
        <v>0.47999866702639865</v>
      </c>
      <c r="Q775" s="100">
        <v>0.58002694699120738</v>
      </c>
    </row>
    <row r="776" spans="1:17" x14ac:dyDescent="0.35">
      <c r="A776" s="98" t="s">
        <v>9</v>
      </c>
      <c r="B776" s="98" t="s">
        <v>145</v>
      </c>
      <c r="C776" s="98" t="s">
        <v>241</v>
      </c>
      <c r="D776" s="99">
        <v>13216766.5</v>
      </c>
      <c r="E776" s="99">
        <v>15604210</v>
      </c>
      <c r="F776" s="99">
        <v>17723314.500000004</v>
      </c>
      <c r="G776" s="99">
        <v>0</v>
      </c>
      <c r="H776" s="98" t="s">
        <v>225</v>
      </c>
      <c r="I776" s="99">
        <v>0</v>
      </c>
      <c r="J776" s="98" t="s">
        <v>225</v>
      </c>
      <c r="K776" s="99">
        <v>0</v>
      </c>
      <c r="L776" s="98" t="s">
        <v>225</v>
      </c>
      <c r="M776" s="98" t="s">
        <v>225</v>
      </c>
      <c r="N776" s="99">
        <v>0</v>
      </c>
      <c r="O776" s="100">
        <v>0</v>
      </c>
      <c r="P776" s="100">
        <v>0</v>
      </c>
      <c r="Q776" s="100">
        <v>0</v>
      </c>
    </row>
    <row r="777" spans="1:17" x14ac:dyDescent="0.35">
      <c r="A777" s="98" t="s">
        <v>9</v>
      </c>
      <c r="B777" s="98" t="s">
        <v>145</v>
      </c>
      <c r="C777" s="98" t="s">
        <v>242</v>
      </c>
      <c r="D777" s="99">
        <v>13216766.5</v>
      </c>
      <c r="E777" s="99">
        <v>15604210</v>
      </c>
      <c r="F777" s="99">
        <v>17723314.500000004</v>
      </c>
      <c r="G777" s="99">
        <v>0</v>
      </c>
      <c r="H777" s="98" t="s">
        <v>225</v>
      </c>
      <c r="I777" s="99">
        <v>2</v>
      </c>
      <c r="J777" s="98" t="s">
        <v>229</v>
      </c>
      <c r="K777" s="99">
        <v>18</v>
      </c>
      <c r="L777" s="98" t="s">
        <v>229</v>
      </c>
      <c r="M777" s="98" t="s">
        <v>225</v>
      </c>
      <c r="N777" s="99">
        <v>18</v>
      </c>
      <c r="O777" s="100">
        <v>0</v>
      </c>
      <c r="P777" s="100">
        <v>1.2817053859182875E-3</v>
      </c>
      <c r="Q777" s="100">
        <v>1.0156113857822698E-2</v>
      </c>
    </row>
    <row r="778" spans="1:17" x14ac:dyDescent="0.35">
      <c r="A778" s="98" t="s">
        <v>9</v>
      </c>
      <c r="B778" s="98" t="s">
        <v>145</v>
      </c>
      <c r="C778" s="98" t="s">
        <v>243</v>
      </c>
      <c r="D778" s="99">
        <v>13216766.5</v>
      </c>
      <c r="E778" s="99">
        <v>15604210</v>
      </c>
      <c r="F778" s="99">
        <v>17723314.500000004</v>
      </c>
      <c r="G778" s="99">
        <v>0</v>
      </c>
      <c r="H778" s="98" t="s">
        <v>225</v>
      </c>
      <c r="I778" s="99">
        <v>19</v>
      </c>
      <c r="J778" s="98">
        <v>2019</v>
      </c>
      <c r="K778" s="99">
        <v>19</v>
      </c>
      <c r="L778" s="98">
        <v>2019</v>
      </c>
      <c r="M778" s="98" t="s">
        <v>225</v>
      </c>
      <c r="N778" s="99">
        <v>19</v>
      </c>
      <c r="O778" s="100">
        <v>0</v>
      </c>
      <c r="P778" s="100">
        <v>1.217620116622373E-2</v>
      </c>
      <c r="Q778" s="100">
        <v>1.0720342405479515E-2</v>
      </c>
    </row>
    <row r="779" spans="1:17" x14ac:dyDescent="0.35">
      <c r="A779" s="98" t="s">
        <v>9</v>
      </c>
      <c r="B779" s="98" t="s">
        <v>145</v>
      </c>
      <c r="C779" s="98" t="s">
        <v>244</v>
      </c>
      <c r="D779" s="99">
        <v>13216766.5</v>
      </c>
      <c r="E779" s="99">
        <v>15604210</v>
      </c>
      <c r="F779" s="99">
        <v>17723314.500000004</v>
      </c>
      <c r="G779" s="99">
        <v>0</v>
      </c>
      <c r="H779" s="98" t="s">
        <v>225</v>
      </c>
      <c r="I779" s="99">
        <v>0</v>
      </c>
      <c r="J779" s="98" t="s">
        <v>225</v>
      </c>
      <c r="K779" s="99">
        <v>0</v>
      </c>
      <c r="L779" s="98" t="s">
        <v>225</v>
      </c>
      <c r="M779" s="98" t="s">
        <v>225</v>
      </c>
      <c r="N779" s="99">
        <v>0</v>
      </c>
      <c r="O779" s="100">
        <v>0</v>
      </c>
      <c r="P779" s="100">
        <v>0</v>
      </c>
      <c r="Q779" s="100">
        <v>0</v>
      </c>
    </row>
    <row r="780" spans="1:17" x14ac:dyDescent="0.35">
      <c r="A780" s="98" t="s">
        <v>9</v>
      </c>
      <c r="B780" s="98" t="s">
        <v>145</v>
      </c>
      <c r="C780" s="98" t="s">
        <v>245</v>
      </c>
      <c r="D780" s="99">
        <v>13216766.5</v>
      </c>
      <c r="E780" s="99">
        <v>15604210</v>
      </c>
      <c r="F780" s="99">
        <v>17723314.500000004</v>
      </c>
      <c r="G780" s="99">
        <v>0</v>
      </c>
      <c r="H780" s="98" t="s">
        <v>225</v>
      </c>
      <c r="I780" s="99">
        <v>0</v>
      </c>
      <c r="J780" s="98" t="s">
        <v>225</v>
      </c>
      <c r="K780" s="99">
        <v>21983</v>
      </c>
      <c r="L780" s="98">
        <v>2022</v>
      </c>
      <c r="M780" s="98" t="s">
        <v>225</v>
      </c>
      <c r="N780" s="99">
        <v>21983</v>
      </c>
      <c r="O780" s="100">
        <v>0</v>
      </c>
      <c r="P780" s="100">
        <v>0</v>
      </c>
      <c r="Q780" s="100">
        <v>12.403436163139798</v>
      </c>
    </row>
    <row r="781" spans="1:17" x14ac:dyDescent="0.35">
      <c r="A781" s="98" t="s">
        <v>43</v>
      </c>
      <c r="B781" s="98" t="s">
        <v>182</v>
      </c>
      <c r="C781" s="98" t="s">
        <v>224</v>
      </c>
      <c r="D781" s="99">
        <v>7106229</v>
      </c>
      <c r="E781" s="99">
        <v>8046679</v>
      </c>
      <c r="F781" s="99">
        <v>8848698.5000000019</v>
      </c>
      <c r="G781" s="99">
        <v>0</v>
      </c>
      <c r="H781" s="98" t="s">
        <v>225</v>
      </c>
      <c r="I781" s="99">
        <v>7500</v>
      </c>
      <c r="J781" s="98" t="s">
        <v>229</v>
      </c>
      <c r="K781" s="99">
        <v>7500</v>
      </c>
      <c r="L781" s="98">
        <v>2021</v>
      </c>
      <c r="M781" s="98" t="s">
        <v>225</v>
      </c>
      <c r="N781" s="99">
        <v>7500</v>
      </c>
      <c r="O781" s="100">
        <v>0</v>
      </c>
      <c r="P781" s="100">
        <v>9.3206153743674882</v>
      </c>
      <c r="Q781" s="100">
        <v>8.4758227438758347</v>
      </c>
    </row>
    <row r="782" spans="1:17" x14ac:dyDescent="0.35">
      <c r="A782" s="98" t="s">
        <v>43</v>
      </c>
      <c r="B782" s="98" t="s">
        <v>182</v>
      </c>
      <c r="C782" s="98" t="s">
        <v>227</v>
      </c>
      <c r="D782" s="99">
        <v>7106229</v>
      </c>
      <c r="E782" s="99">
        <v>8046679</v>
      </c>
      <c r="F782" s="99">
        <v>8848698.5000000019</v>
      </c>
      <c r="G782" s="99">
        <v>0</v>
      </c>
      <c r="H782" s="98" t="s">
        <v>225</v>
      </c>
      <c r="I782" s="99">
        <v>12</v>
      </c>
      <c r="J782" s="98" t="s">
        <v>229</v>
      </c>
      <c r="K782" s="99">
        <v>12</v>
      </c>
      <c r="L782" s="98" t="s">
        <v>229</v>
      </c>
      <c r="M782" s="98" t="s">
        <v>225</v>
      </c>
      <c r="N782" s="99">
        <v>12</v>
      </c>
      <c r="O782" s="100">
        <v>0</v>
      </c>
      <c r="P782" s="100">
        <v>1.491298459898798E-2</v>
      </c>
      <c r="Q782" s="100">
        <v>1.3561316390201335E-2</v>
      </c>
    </row>
    <row r="783" spans="1:17" x14ac:dyDescent="0.35">
      <c r="A783" s="98" t="s">
        <v>43</v>
      </c>
      <c r="B783" s="98" t="s">
        <v>182</v>
      </c>
      <c r="C783" s="98" t="s">
        <v>228</v>
      </c>
      <c r="D783" s="99">
        <v>7106229</v>
      </c>
      <c r="E783" s="99">
        <v>8046679</v>
      </c>
      <c r="F783" s="99">
        <v>8848698.5000000019</v>
      </c>
      <c r="G783" s="99">
        <v>0</v>
      </c>
      <c r="H783" s="98" t="s">
        <v>225</v>
      </c>
      <c r="I783" s="99">
        <v>340</v>
      </c>
      <c r="J783" s="98" t="s">
        <v>229</v>
      </c>
      <c r="K783" s="99">
        <v>340</v>
      </c>
      <c r="L783" s="98" t="s">
        <v>229</v>
      </c>
      <c r="M783" s="98" t="s">
        <v>225</v>
      </c>
      <c r="N783" s="99">
        <v>340</v>
      </c>
      <c r="O783" s="100">
        <v>0</v>
      </c>
      <c r="P783" s="100">
        <v>0.42253456363799274</v>
      </c>
      <c r="Q783" s="100">
        <v>0.3842372977223712</v>
      </c>
    </row>
    <row r="784" spans="1:17" x14ac:dyDescent="0.35">
      <c r="A784" s="98" t="s">
        <v>43</v>
      </c>
      <c r="B784" s="98" t="s">
        <v>182</v>
      </c>
      <c r="C784" s="98" t="s">
        <v>230</v>
      </c>
      <c r="D784" s="99">
        <v>7106229</v>
      </c>
      <c r="E784" s="99">
        <v>8046679</v>
      </c>
      <c r="F784" s="99">
        <v>8848698.5000000019</v>
      </c>
      <c r="G784" s="99">
        <v>0</v>
      </c>
      <c r="H784" s="98" t="s">
        <v>225</v>
      </c>
      <c r="I784" s="99">
        <v>3903</v>
      </c>
      <c r="J784" s="98">
        <v>2018</v>
      </c>
      <c r="K784" s="99">
        <v>2974</v>
      </c>
      <c r="L784" s="98">
        <v>2021</v>
      </c>
      <c r="M784" s="98" t="s">
        <v>226</v>
      </c>
      <c r="N784" s="99">
        <v>3595.1391245334239</v>
      </c>
      <c r="O784" s="100">
        <v>0</v>
      </c>
      <c r="P784" s="100">
        <v>4.8504482408208407</v>
      </c>
      <c r="Q784" s="100">
        <v>4.0629015945490998</v>
      </c>
    </row>
    <row r="785" spans="1:17" x14ac:dyDescent="0.35">
      <c r="A785" s="98" t="s">
        <v>43</v>
      </c>
      <c r="B785" s="98" t="s">
        <v>182</v>
      </c>
      <c r="C785" s="98" t="s">
        <v>231</v>
      </c>
      <c r="D785" s="99">
        <v>7106229</v>
      </c>
      <c r="E785" s="99">
        <v>8046679</v>
      </c>
      <c r="F785" s="99">
        <v>8848698.5000000019</v>
      </c>
      <c r="G785" s="99">
        <v>0</v>
      </c>
      <c r="H785" s="98" t="s">
        <v>225</v>
      </c>
      <c r="I785" s="99">
        <v>63</v>
      </c>
      <c r="J785" s="98" t="s">
        <v>229</v>
      </c>
      <c r="K785" s="99">
        <v>1377</v>
      </c>
      <c r="L785" s="98">
        <v>2022</v>
      </c>
      <c r="M785" s="98" t="s">
        <v>225</v>
      </c>
      <c r="N785" s="99">
        <v>1377</v>
      </c>
      <c r="O785" s="100">
        <v>0</v>
      </c>
      <c r="P785" s="100">
        <v>7.8293169144686897E-2</v>
      </c>
      <c r="Q785" s="100">
        <v>1.5561610557756034</v>
      </c>
    </row>
    <row r="786" spans="1:17" x14ac:dyDescent="0.35">
      <c r="A786" s="98" t="s">
        <v>43</v>
      </c>
      <c r="B786" s="98" t="s">
        <v>182</v>
      </c>
      <c r="C786" s="98" t="s">
        <v>232</v>
      </c>
      <c r="D786" s="99">
        <v>7106229</v>
      </c>
      <c r="E786" s="99">
        <v>8046679</v>
      </c>
      <c r="F786" s="99">
        <v>8848698.5000000019</v>
      </c>
      <c r="G786" s="99">
        <v>0</v>
      </c>
      <c r="H786" s="98" t="s">
        <v>225</v>
      </c>
      <c r="I786" s="99">
        <v>55</v>
      </c>
      <c r="J786" s="98">
        <v>2018</v>
      </c>
      <c r="K786" s="99">
        <v>19</v>
      </c>
      <c r="L786" s="98">
        <v>2021</v>
      </c>
      <c r="M786" s="98" t="s">
        <v>226</v>
      </c>
      <c r="N786" s="99">
        <v>22.968272819816764</v>
      </c>
      <c r="O786" s="100">
        <v>0</v>
      </c>
      <c r="P786" s="100">
        <v>6.8351179412028243E-2</v>
      </c>
      <c r="Q786" s="100">
        <v>2.5956667887166409E-2</v>
      </c>
    </row>
    <row r="787" spans="1:17" x14ac:dyDescent="0.35">
      <c r="A787" s="98" t="s">
        <v>43</v>
      </c>
      <c r="B787" s="98" t="s">
        <v>182</v>
      </c>
      <c r="C787" s="98" t="s">
        <v>233</v>
      </c>
      <c r="D787" s="99">
        <v>7106229</v>
      </c>
      <c r="E787" s="99">
        <v>8046679</v>
      </c>
      <c r="F787" s="99">
        <v>8848698.5000000019</v>
      </c>
      <c r="G787" s="99">
        <v>407</v>
      </c>
      <c r="H787" s="98">
        <v>2015</v>
      </c>
      <c r="I787" s="99">
        <v>857</v>
      </c>
      <c r="J787" s="98" t="s">
        <v>229</v>
      </c>
      <c r="K787" s="99">
        <v>446</v>
      </c>
      <c r="L787" s="98">
        <v>2021</v>
      </c>
      <c r="M787" s="98" t="s">
        <v>226</v>
      </c>
      <c r="N787" s="99">
        <v>539.14998303359357</v>
      </c>
      <c r="O787" s="100">
        <v>0.57273696077061409</v>
      </c>
      <c r="P787" s="100">
        <v>1.0650356501110583</v>
      </c>
      <c r="Q787" s="100">
        <v>0.60929862514085376</v>
      </c>
    </row>
    <row r="788" spans="1:17" x14ac:dyDescent="0.35">
      <c r="A788" s="98" t="s">
        <v>43</v>
      </c>
      <c r="B788" s="98" t="s">
        <v>182</v>
      </c>
      <c r="C788" s="98" t="s">
        <v>234</v>
      </c>
      <c r="D788" s="99">
        <v>7106229</v>
      </c>
      <c r="E788" s="99">
        <v>8046679</v>
      </c>
      <c r="F788" s="99">
        <v>8848698.5000000019</v>
      </c>
      <c r="G788" s="99">
        <v>0</v>
      </c>
      <c r="H788" s="98" t="s">
        <v>225</v>
      </c>
      <c r="I788" s="99">
        <v>1075</v>
      </c>
      <c r="J788" s="98" t="s">
        <v>229</v>
      </c>
      <c r="K788" s="99">
        <v>595</v>
      </c>
      <c r="L788" s="98">
        <v>2022</v>
      </c>
      <c r="M788" s="98" t="s">
        <v>226</v>
      </c>
      <c r="N788" s="99">
        <v>719.26959619952504</v>
      </c>
      <c r="O788" s="100">
        <v>0</v>
      </c>
      <c r="P788" s="100">
        <v>1.3359548703260065</v>
      </c>
      <c r="Q788" s="100">
        <v>0.81285354699284296</v>
      </c>
    </row>
    <row r="789" spans="1:17" x14ac:dyDescent="0.35">
      <c r="A789" s="98" t="s">
        <v>43</v>
      </c>
      <c r="B789" s="98" t="s">
        <v>182</v>
      </c>
      <c r="C789" s="98" t="s">
        <v>235</v>
      </c>
      <c r="D789" s="99">
        <v>7106229</v>
      </c>
      <c r="E789" s="99">
        <v>8046679</v>
      </c>
      <c r="F789" s="99">
        <v>8848698.5000000019</v>
      </c>
      <c r="G789" s="99">
        <v>0</v>
      </c>
      <c r="H789" s="98" t="s">
        <v>225</v>
      </c>
      <c r="I789" s="99">
        <v>148</v>
      </c>
      <c r="J789" s="98">
        <v>2018</v>
      </c>
      <c r="K789" s="99">
        <v>95</v>
      </c>
      <c r="L789" s="98">
        <v>2021</v>
      </c>
      <c r="M789" s="98" t="s">
        <v>226</v>
      </c>
      <c r="N789" s="99">
        <v>114.84136409908382</v>
      </c>
      <c r="O789" s="100">
        <v>0</v>
      </c>
      <c r="P789" s="100">
        <v>0.1839268100541851</v>
      </c>
      <c r="Q789" s="100">
        <v>0.12978333943583206</v>
      </c>
    </row>
    <row r="790" spans="1:17" x14ac:dyDescent="0.35">
      <c r="A790" s="98" t="s">
        <v>43</v>
      </c>
      <c r="B790" s="98" t="s">
        <v>182</v>
      </c>
      <c r="C790" s="98" t="s">
        <v>236</v>
      </c>
      <c r="D790" s="99">
        <v>7106229</v>
      </c>
      <c r="E790" s="99">
        <v>8046679</v>
      </c>
      <c r="F790" s="99">
        <v>8848698.5000000019</v>
      </c>
      <c r="G790" s="99">
        <v>0</v>
      </c>
      <c r="H790" s="98" t="s">
        <v>225</v>
      </c>
      <c r="I790" s="99">
        <v>0</v>
      </c>
      <c r="J790" s="98" t="s">
        <v>225</v>
      </c>
      <c r="K790" s="99">
        <v>0</v>
      </c>
      <c r="L790" s="98" t="s">
        <v>225</v>
      </c>
      <c r="M790" s="98" t="s">
        <v>225</v>
      </c>
      <c r="N790" s="99">
        <v>0</v>
      </c>
      <c r="O790" s="100">
        <v>0</v>
      </c>
      <c r="P790" s="100">
        <v>0</v>
      </c>
      <c r="Q790" s="100">
        <v>0</v>
      </c>
    </row>
    <row r="791" spans="1:17" x14ac:dyDescent="0.35">
      <c r="A791" s="98" t="s">
        <v>43</v>
      </c>
      <c r="B791" s="98" t="s">
        <v>182</v>
      </c>
      <c r="C791" s="98" t="s">
        <v>237</v>
      </c>
      <c r="D791" s="99">
        <v>7106229</v>
      </c>
      <c r="E791" s="99">
        <v>8046679</v>
      </c>
      <c r="F791" s="99">
        <v>8848698.5000000019</v>
      </c>
      <c r="G791" s="99">
        <v>0</v>
      </c>
      <c r="H791" s="98" t="s">
        <v>225</v>
      </c>
      <c r="I791" s="99">
        <v>5</v>
      </c>
      <c r="J791" s="98">
        <v>2018</v>
      </c>
      <c r="K791" s="99">
        <v>2</v>
      </c>
      <c r="L791" s="98">
        <v>2022</v>
      </c>
      <c r="M791" s="98" t="s">
        <v>226</v>
      </c>
      <c r="N791" s="99">
        <v>2.4177129284017647</v>
      </c>
      <c r="O791" s="100">
        <v>0</v>
      </c>
      <c r="P791" s="100">
        <v>6.213743582911658E-3</v>
      </c>
      <c r="Q791" s="100">
        <v>2.7322808302280431E-3</v>
      </c>
    </row>
    <row r="792" spans="1:17" x14ac:dyDescent="0.35">
      <c r="A792" s="98" t="s">
        <v>43</v>
      </c>
      <c r="B792" s="98" t="s">
        <v>182</v>
      </c>
      <c r="C792" s="98" t="s">
        <v>238</v>
      </c>
      <c r="D792" s="99">
        <v>7106229</v>
      </c>
      <c r="E792" s="99">
        <v>8046679</v>
      </c>
      <c r="F792" s="99">
        <v>8848698.5000000019</v>
      </c>
      <c r="G792" s="99">
        <v>0</v>
      </c>
      <c r="H792" s="98" t="s">
        <v>225</v>
      </c>
      <c r="I792" s="99">
        <v>4010</v>
      </c>
      <c r="J792" s="98" t="s">
        <v>229</v>
      </c>
      <c r="K792" s="99">
        <v>2139</v>
      </c>
      <c r="L792" s="98">
        <v>2021</v>
      </c>
      <c r="M792" s="98" t="s">
        <v>226</v>
      </c>
      <c r="N792" s="99">
        <v>2585.7439769256871</v>
      </c>
      <c r="O792" s="100">
        <v>0</v>
      </c>
      <c r="P792" s="100">
        <v>4.9834223534951496</v>
      </c>
      <c r="Q792" s="100">
        <v>2.922174347928892</v>
      </c>
    </row>
    <row r="793" spans="1:17" x14ac:dyDescent="0.35">
      <c r="A793" s="98" t="s">
        <v>43</v>
      </c>
      <c r="B793" s="98" t="s">
        <v>182</v>
      </c>
      <c r="C793" s="98" t="s">
        <v>239</v>
      </c>
      <c r="D793" s="99">
        <v>7106229</v>
      </c>
      <c r="E793" s="99">
        <v>8046679</v>
      </c>
      <c r="F793" s="99">
        <v>8848698.5000000019</v>
      </c>
      <c r="G793" s="99">
        <v>0</v>
      </c>
      <c r="H793" s="98" t="s">
        <v>225</v>
      </c>
      <c r="I793" s="99">
        <v>1554</v>
      </c>
      <c r="J793" s="98">
        <v>2018</v>
      </c>
      <c r="K793" s="99">
        <v>1371</v>
      </c>
      <c r="L793" s="98">
        <v>2020</v>
      </c>
      <c r="M793" s="98" t="s">
        <v>226</v>
      </c>
      <c r="N793" s="99">
        <v>1657.3422124194096</v>
      </c>
      <c r="O793" s="100">
        <v>0</v>
      </c>
      <c r="P793" s="100">
        <v>1.9312315055689435</v>
      </c>
      <c r="Q793" s="100">
        <v>1.8729785091213238</v>
      </c>
    </row>
    <row r="794" spans="1:17" x14ac:dyDescent="0.35">
      <c r="A794" s="98" t="s">
        <v>43</v>
      </c>
      <c r="B794" s="98" t="s">
        <v>182</v>
      </c>
      <c r="C794" s="98" t="s">
        <v>240</v>
      </c>
      <c r="D794" s="99">
        <v>7106229</v>
      </c>
      <c r="E794" s="99">
        <v>8046679</v>
      </c>
      <c r="F794" s="99">
        <v>8848698.5000000019</v>
      </c>
      <c r="G794" s="99">
        <v>0</v>
      </c>
      <c r="H794" s="98" t="s">
        <v>225</v>
      </c>
      <c r="I794" s="99">
        <v>615</v>
      </c>
      <c r="J794" s="98" t="s">
        <v>229</v>
      </c>
      <c r="K794" s="99">
        <v>887</v>
      </c>
      <c r="L794" s="98">
        <v>2022</v>
      </c>
      <c r="M794" s="98" t="s">
        <v>225</v>
      </c>
      <c r="N794" s="99">
        <v>887</v>
      </c>
      <c r="O794" s="100">
        <v>0</v>
      </c>
      <c r="P794" s="100">
        <v>0.764290460698134</v>
      </c>
      <c r="Q794" s="100">
        <v>1.0024073031757155</v>
      </c>
    </row>
    <row r="795" spans="1:17" x14ac:dyDescent="0.35">
      <c r="A795" s="98" t="s">
        <v>43</v>
      </c>
      <c r="B795" s="98" t="s">
        <v>182</v>
      </c>
      <c r="C795" s="98" t="s">
        <v>241</v>
      </c>
      <c r="D795" s="99">
        <v>7106229</v>
      </c>
      <c r="E795" s="99">
        <v>8046679</v>
      </c>
      <c r="F795" s="99">
        <v>8848698.5000000019</v>
      </c>
      <c r="G795" s="99">
        <v>0</v>
      </c>
      <c r="H795" s="98" t="s">
        <v>225</v>
      </c>
      <c r="I795" s="99">
        <v>978</v>
      </c>
      <c r="J795" s="98">
        <v>2018</v>
      </c>
      <c r="K795" s="99">
        <v>390</v>
      </c>
      <c r="L795" s="98">
        <v>2022</v>
      </c>
      <c r="M795" s="98" t="s">
        <v>226</v>
      </c>
      <c r="N795" s="99">
        <v>471.45402103834408</v>
      </c>
      <c r="O795" s="100">
        <v>0</v>
      </c>
      <c r="P795" s="100">
        <v>1.2154082448175203</v>
      </c>
      <c r="Q795" s="100">
        <v>0.53279476189446839</v>
      </c>
    </row>
    <row r="796" spans="1:17" x14ac:dyDescent="0.35">
      <c r="A796" s="98" t="s">
        <v>43</v>
      </c>
      <c r="B796" s="98" t="s">
        <v>182</v>
      </c>
      <c r="C796" s="98" t="s">
        <v>242</v>
      </c>
      <c r="D796" s="99">
        <v>7106229</v>
      </c>
      <c r="E796" s="99">
        <v>8046679</v>
      </c>
      <c r="F796" s="99">
        <v>8848698.5000000019</v>
      </c>
      <c r="G796" s="99">
        <v>231</v>
      </c>
      <c r="H796" s="98">
        <v>2015</v>
      </c>
      <c r="I796" s="99">
        <v>252</v>
      </c>
      <c r="J796" s="98" t="s">
        <v>229</v>
      </c>
      <c r="K796" s="99">
        <v>183</v>
      </c>
      <c r="L796" s="98">
        <v>2022</v>
      </c>
      <c r="M796" s="98" t="s">
        <v>226</v>
      </c>
      <c r="N796" s="99">
        <v>221.22073294876148</v>
      </c>
      <c r="O796" s="100">
        <v>0.32506692368061879</v>
      </c>
      <c r="P796" s="100">
        <v>0.31317267657874759</v>
      </c>
      <c r="Q796" s="100">
        <v>0.25000369596586597</v>
      </c>
    </row>
    <row r="797" spans="1:17" x14ac:dyDescent="0.35">
      <c r="A797" s="98" t="s">
        <v>43</v>
      </c>
      <c r="B797" s="98" t="s">
        <v>182</v>
      </c>
      <c r="C797" s="98" t="s">
        <v>243</v>
      </c>
      <c r="D797" s="99">
        <v>7106229</v>
      </c>
      <c r="E797" s="99">
        <v>8046679</v>
      </c>
      <c r="F797" s="99">
        <v>8848698.5000000019</v>
      </c>
      <c r="G797" s="99">
        <v>0</v>
      </c>
      <c r="H797" s="98" t="s">
        <v>225</v>
      </c>
      <c r="I797" s="99">
        <v>62</v>
      </c>
      <c r="J797" s="98">
        <v>2017</v>
      </c>
      <c r="K797" s="99">
        <v>56</v>
      </c>
      <c r="L797" s="98">
        <v>2021</v>
      </c>
      <c r="M797" s="98" t="s">
        <v>226</v>
      </c>
      <c r="N797" s="99">
        <v>67.695961995249405</v>
      </c>
      <c r="O797" s="100">
        <v>0</v>
      </c>
      <c r="P797" s="100">
        <v>7.705042042810456E-2</v>
      </c>
      <c r="Q797" s="100">
        <v>7.6503863246385209E-2</v>
      </c>
    </row>
    <row r="798" spans="1:17" x14ac:dyDescent="0.35">
      <c r="A798" s="98" t="s">
        <v>43</v>
      </c>
      <c r="B798" s="98" t="s">
        <v>182</v>
      </c>
      <c r="C798" s="98" t="s">
        <v>244</v>
      </c>
      <c r="D798" s="99">
        <v>7106229</v>
      </c>
      <c r="E798" s="99">
        <v>8046679</v>
      </c>
      <c r="F798" s="99">
        <v>8848698.5000000019</v>
      </c>
      <c r="G798" s="99">
        <v>0</v>
      </c>
      <c r="H798" s="98" t="s">
        <v>225</v>
      </c>
      <c r="I798" s="99">
        <v>25</v>
      </c>
      <c r="J798" s="98">
        <v>2018</v>
      </c>
      <c r="K798" s="99">
        <v>33</v>
      </c>
      <c r="L798" s="98">
        <v>2021</v>
      </c>
      <c r="M798" s="98" t="s">
        <v>225</v>
      </c>
      <c r="N798" s="99">
        <v>33</v>
      </c>
      <c r="O798" s="100">
        <v>0</v>
      </c>
      <c r="P798" s="100">
        <v>3.1068717914558293E-2</v>
      </c>
      <c r="Q798" s="100">
        <v>3.7293620073053674E-2</v>
      </c>
    </row>
    <row r="799" spans="1:17" x14ac:dyDescent="0.35">
      <c r="A799" s="98" t="s">
        <v>43</v>
      </c>
      <c r="B799" s="98" t="s">
        <v>182</v>
      </c>
      <c r="C799" s="98" t="s">
        <v>245</v>
      </c>
      <c r="D799" s="99">
        <v>7106229</v>
      </c>
      <c r="E799" s="99">
        <v>8046679</v>
      </c>
      <c r="F799" s="99">
        <v>8848698.5000000019</v>
      </c>
      <c r="G799" s="99">
        <v>0</v>
      </c>
      <c r="H799" s="98" t="s">
        <v>225</v>
      </c>
      <c r="I799" s="99">
        <v>987</v>
      </c>
      <c r="J799" s="98" t="s">
        <v>229</v>
      </c>
      <c r="K799" s="99">
        <v>987</v>
      </c>
      <c r="L799" s="98" t="s">
        <v>229</v>
      </c>
      <c r="M799" s="98" t="s">
        <v>225</v>
      </c>
      <c r="N799" s="99">
        <v>987</v>
      </c>
      <c r="O799" s="100">
        <v>0</v>
      </c>
      <c r="P799" s="100">
        <v>1.2265929832667612</v>
      </c>
      <c r="Q799" s="100">
        <v>1.1154182730940598</v>
      </c>
    </row>
    <row r="800" spans="1:17" x14ac:dyDescent="0.35">
      <c r="A800" s="98" t="s">
        <v>42</v>
      </c>
      <c r="B800" s="98" t="s">
        <v>184</v>
      </c>
      <c r="C800" s="98" t="s">
        <v>224</v>
      </c>
      <c r="D800" s="99">
        <v>49253643.5</v>
      </c>
      <c r="E800" s="99">
        <v>58090443.000000007</v>
      </c>
      <c r="F800" s="99">
        <v>65497748.000000045</v>
      </c>
      <c r="G800" s="99">
        <v>0</v>
      </c>
      <c r="H800" s="98" t="s">
        <v>225</v>
      </c>
      <c r="I800" s="99">
        <v>0</v>
      </c>
      <c r="J800" s="98" t="s">
        <v>225</v>
      </c>
      <c r="K800" s="99">
        <v>20737</v>
      </c>
      <c r="L800" s="98">
        <v>2022</v>
      </c>
      <c r="M800" s="98" t="s">
        <v>225</v>
      </c>
      <c r="N800" s="99">
        <v>20737</v>
      </c>
      <c r="O800" s="100">
        <v>0</v>
      </c>
      <c r="P800" s="100">
        <v>0</v>
      </c>
      <c r="Q800" s="100">
        <v>3.166063053038096</v>
      </c>
    </row>
    <row r="801" spans="1:17" x14ac:dyDescent="0.35">
      <c r="A801" s="98" t="s">
        <v>42</v>
      </c>
      <c r="B801" s="98" t="s">
        <v>184</v>
      </c>
      <c r="C801" s="98" t="s">
        <v>227</v>
      </c>
      <c r="D801" s="99">
        <v>49253643.5</v>
      </c>
      <c r="E801" s="99">
        <v>58090443.000000007</v>
      </c>
      <c r="F801" s="99">
        <v>65497748.000000045</v>
      </c>
      <c r="G801" s="99">
        <v>0</v>
      </c>
      <c r="H801" s="98" t="s">
        <v>225</v>
      </c>
      <c r="I801" s="99">
        <v>855</v>
      </c>
      <c r="J801" s="98">
        <v>2018</v>
      </c>
      <c r="K801" s="99">
        <v>65</v>
      </c>
      <c r="L801" s="98">
        <v>2022</v>
      </c>
      <c r="M801" s="98" t="s">
        <v>226</v>
      </c>
      <c r="N801" s="99">
        <v>84.207649746486481</v>
      </c>
      <c r="O801" s="100">
        <v>0</v>
      </c>
      <c r="P801" s="100">
        <v>0.14718427952081548</v>
      </c>
      <c r="Q801" s="100">
        <v>1.2856571762816399E-2</v>
      </c>
    </row>
    <row r="802" spans="1:17" x14ac:dyDescent="0.35">
      <c r="A802" s="98" t="s">
        <v>42</v>
      </c>
      <c r="B802" s="98" t="s">
        <v>184</v>
      </c>
      <c r="C802" s="98" t="s">
        <v>228</v>
      </c>
      <c r="D802" s="99">
        <v>49253643.5</v>
      </c>
      <c r="E802" s="99">
        <v>58090443.000000007</v>
      </c>
      <c r="F802" s="99">
        <v>65497748.000000045</v>
      </c>
      <c r="G802" s="99">
        <v>3255</v>
      </c>
      <c r="H802" s="98">
        <v>2012</v>
      </c>
      <c r="I802" s="99">
        <v>1905</v>
      </c>
      <c r="J802" s="98">
        <v>2018</v>
      </c>
      <c r="K802" s="99">
        <v>929</v>
      </c>
      <c r="L802" s="98">
        <v>2022</v>
      </c>
      <c r="M802" s="98" t="s">
        <v>226</v>
      </c>
      <c r="N802" s="99">
        <v>1203.5216402228605</v>
      </c>
      <c r="O802" s="100">
        <v>0.66086481500602079</v>
      </c>
      <c r="P802" s="100">
        <v>0.32793690349374677</v>
      </c>
      <c r="Q802" s="100">
        <v>0.18375007950240665</v>
      </c>
    </row>
    <row r="803" spans="1:17" x14ac:dyDescent="0.35">
      <c r="A803" s="98" t="s">
        <v>42</v>
      </c>
      <c r="B803" s="98" t="s">
        <v>184</v>
      </c>
      <c r="C803" s="98" t="s">
        <v>230</v>
      </c>
      <c r="D803" s="99">
        <v>49253643.5</v>
      </c>
      <c r="E803" s="99">
        <v>58090443.000000007</v>
      </c>
      <c r="F803" s="99">
        <v>65497748.000000045</v>
      </c>
      <c r="G803" s="99">
        <v>0</v>
      </c>
      <c r="H803" s="98" t="s">
        <v>225</v>
      </c>
      <c r="I803" s="99">
        <v>25803</v>
      </c>
      <c r="J803" s="98" t="s">
        <v>229</v>
      </c>
      <c r="K803" s="99">
        <v>25803</v>
      </c>
      <c r="L803" s="98" t="s">
        <v>229</v>
      </c>
      <c r="M803" s="98" t="s">
        <v>225</v>
      </c>
      <c r="N803" s="99">
        <v>25803</v>
      </c>
      <c r="O803" s="100">
        <v>0</v>
      </c>
      <c r="P803" s="100">
        <v>4.4418666251176626</v>
      </c>
      <c r="Q803" s="100">
        <v>3.9395247604543568</v>
      </c>
    </row>
    <row r="804" spans="1:17" x14ac:dyDescent="0.35">
      <c r="A804" s="98" t="s">
        <v>42</v>
      </c>
      <c r="B804" s="98" t="s">
        <v>184</v>
      </c>
      <c r="C804" s="98" t="s">
        <v>231</v>
      </c>
      <c r="D804" s="99">
        <v>49253643.5</v>
      </c>
      <c r="E804" s="99">
        <v>58090443.000000007</v>
      </c>
      <c r="F804" s="99">
        <v>65497748.000000045</v>
      </c>
      <c r="G804" s="99">
        <v>0</v>
      </c>
      <c r="H804" s="98" t="s">
        <v>225</v>
      </c>
      <c r="I804" s="99">
        <v>633</v>
      </c>
      <c r="J804" s="98" t="s">
        <v>229</v>
      </c>
      <c r="K804" s="99">
        <v>633</v>
      </c>
      <c r="L804" s="98" t="s">
        <v>229</v>
      </c>
      <c r="M804" s="98" t="s">
        <v>225</v>
      </c>
      <c r="N804" s="99">
        <v>633</v>
      </c>
      <c r="O804" s="100">
        <v>0</v>
      </c>
      <c r="P804" s="100">
        <v>0.10896801045225286</v>
      </c>
      <c r="Q804" s="100">
        <v>9.6644544175778307E-2</v>
      </c>
    </row>
    <row r="805" spans="1:17" x14ac:dyDescent="0.35">
      <c r="A805" s="98" t="s">
        <v>42</v>
      </c>
      <c r="B805" s="98" t="s">
        <v>184</v>
      </c>
      <c r="C805" s="98" t="s">
        <v>232</v>
      </c>
      <c r="D805" s="99">
        <v>49253643.5</v>
      </c>
      <c r="E805" s="99">
        <v>58090443.000000007</v>
      </c>
      <c r="F805" s="99">
        <v>65497748.000000045</v>
      </c>
      <c r="G805" s="99">
        <v>60</v>
      </c>
      <c r="H805" s="98">
        <v>2012</v>
      </c>
      <c r="I805" s="99">
        <v>89</v>
      </c>
      <c r="J805" s="98">
        <v>2018</v>
      </c>
      <c r="K805" s="99">
        <v>12</v>
      </c>
      <c r="L805" s="98">
        <v>2022</v>
      </c>
      <c r="M805" s="98" t="s">
        <v>226</v>
      </c>
      <c r="N805" s="99">
        <v>15.546027645505195</v>
      </c>
      <c r="O805" s="100">
        <v>1.2181839907945084E-2</v>
      </c>
      <c r="P805" s="100">
        <v>1.5320936698657986E-2</v>
      </c>
      <c r="Q805" s="100">
        <v>2.3735209408276424E-3</v>
      </c>
    </row>
    <row r="806" spans="1:17" x14ac:dyDescent="0.35">
      <c r="A806" s="98" t="s">
        <v>42</v>
      </c>
      <c r="B806" s="98" t="s">
        <v>184</v>
      </c>
      <c r="C806" s="98" t="s">
        <v>233</v>
      </c>
      <c r="D806" s="99">
        <v>49253643.5</v>
      </c>
      <c r="E806" s="99">
        <v>58090443.000000007</v>
      </c>
      <c r="F806" s="99">
        <v>65497748.000000045</v>
      </c>
      <c r="G806" s="99">
        <v>89</v>
      </c>
      <c r="H806" s="98">
        <v>2012</v>
      </c>
      <c r="I806" s="99">
        <v>4361</v>
      </c>
      <c r="J806" s="98">
        <v>2018</v>
      </c>
      <c r="K806" s="99">
        <v>1198</v>
      </c>
      <c r="L806" s="98">
        <v>2022</v>
      </c>
      <c r="M806" s="98" t="s">
        <v>226</v>
      </c>
      <c r="N806" s="99">
        <v>1552.0117599429354</v>
      </c>
      <c r="O806" s="100">
        <v>1.8069729196785209E-2</v>
      </c>
      <c r="P806" s="100">
        <v>0.7507258982342413</v>
      </c>
      <c r="Q806" s="100">
        <v>0.23695650725929299</v>
      </c>
    </row>
    <row r="807" spans="1:17" x14ac:dyDescent="0.35">
      <c r="A807" s="98" t="s">
        <v>42</v>
      </c>
      <c r="B807" s="98" t="s">
        <v>184</v>
      </c>
      <c r="C807" s="98" t="s">
        <v>234</v>
      </c>
      <c r="D807" s="99">
        <v>49253643.5</v>
      </c>
      <c r="E807" s="99">
        <v>58090443.000000007</v>
      </c>
      <c r="F807" s="99">
        <v>65497748.000000045</v>
      </c>
      <c r="G807" s="99">
        <v>0</v>
      </c>
      <c r="H807" s="98" t="s">
        <v>225</v>
      </c>
      <c r="I807" s="99">
        <v>9250</v>
      </c>
      <c r="J807" s="98" t="s">
        <v>229</v>
      </c>
      <c r="K807" s="99">
        <v>2337</v>
      </c>
      <c r="L807" s="98">
        <v>2022</v>
      </c>
      <c r="M807" s="98" t="s">
        <v>226</v>
      </c>
      <c r="N807" s="99">
        <v>3027.5888839621371</v>
      </c>
      <c r="O807" s="100">
        <v>0</v>
      </c>
      <c r="P807" s="100">
        <v>1.5923445445234423</v>
      </c>
      <c r="Q807" s="100">
        <v>0.4622432032261834</v>
      </c>
    </row>
    <row r="808" spans="1:17" x14ac:dyDescent="0.35">
      <c r="A808" s="98" t="s">
        <v>42</v>
      </c>
      <c r="B808" s="98" t="s">
        <v>184</v>
      </c>
      <c r="C808" s="98" t="s">
        <v>235</v>
      </c>
      <c r="D808" s="99">
        <v>49253643.5</v>
      </c>
      <c r="E808" s="99">
        <v>58090443.000000007</v>
      </c>
      <c r="F808" s="99">
        <v>65497748.000000045</v>
      </c>
      <c r="G808" s="99">
        <v>223</v>
      </c>
      <c r="H808" s="98">
        <v>2012</v>
      </c>
      <c r="I808" s="99">
        <v>681</v>
      </c>
      <c r="J808" s="98" t="s">
        <v>229</v>
      </c>
      <c r="K808" s="99">
        <v>543</v>
      </c>
      <c r="L808" s="98">
        <v>2022</v>
      </c>
      <c r="M808" s="98" t="s">
        <v>226</v>
      </c>
      <c r="N808" s="99">
        <v>703.45775095911006</v>
      </c>
      <c r="O808" s="100">
        <v>4.5275838324529229E-2</v>
      </c>
      <c r="P808" s="100">
        <v>0.11723098754815829</v>
      </c>
      <c r="Q808" s="100">
        <v>0.10740182257245083</v>
      </c>
    </row>
    <row r="809" spans="1:17" x14ac:dyDescent="0.35">
      <c r="A809" s="98" t="s">
        <v>42</v>
      </c>
      <c r="B809" s="98" t="s">
        <v>184</v>
      </c>
      <c r="C809" s="98" t="s">
        <v>236</v>
      </c>
      <c r="D809" s="99">
        <v>49253643.5</v>
      </c>
      <c r="E809" s="99">
        <v>58090443.000000007</v>
      </c>
      <c r="F809" s="99">
        <v>65497748.000000045</v>
      </c>
      <c r="G809" s="99">
        <v>470</v>
      </c>
      <c r="H809" s="98">
        <v>2012</v>
      </c>
      <c r="I809" s="99">
        <v>724</v>
      </c>
      <c r="J809" s="98" t="s">
        <v>229</v>
      </c>
      <c r="K809" s="99">
        <v>724</v>
      </c>
      <c r="L809" s="98">
        <v>2022</v>
      </c>
      <c r="M809" s="98" t="s">
        <v>225</v>
      </c>
      <c r="N809" s="99">
        <v>724</v>
      </c>
      <c r="O809" s="100">
        <v>9.5424412612236498E-2</v>
      </c>
      <c r="P809" s="100">
        <v>0.12463323786324024</v>
      </c>
      <c r="Q809" s="100">
        <v>0.1105381516323278</v>
      </c>
    </row>
    <row r="810" spans="1:17" x14ac:dyDescent="0.35">
      <c r="A810" s="98" t="s">
        <v>42</v>
      </c>
      <c r="B810" s="98" t="s">
        <v>184</v>
      </c>
      <c r="C810" s="98" t="s">
        <v>237</v>
      </c>
      <c r="D810" s="99">
        <v>49253643.5</v>
      </c>
      <c r="E810" s="99">
        <v>58090443.000000007</v>
      </c>
      <c r="F810" s="99">
        <v>65497748.000000045</v>
      </c>
      <c r="G810" s="99">
        <v>82</v>
      </c>
      <c r="H810" s="98">
        <v>2012</v>
      </c>
      <c r="I810" s="99">
        <v>213</v>
      </c>
      <c r="J810" s="98" t="s">
        <v>229</v>
      </c>
      <c r="K810" s="99">
        <v>201</v>
      </c>
      <c r="L810" s="98">
        <v>2022</v>
      </c>
      <c r="M810" s="98" t="s">
        <v>226</v>
      </c>
      <c r="N810" s="99">
        <v>260.39596306221205</v>
      </c>
      <c r="O810" s="100">
        <v>1.6648514540858281E-2</v>
      </c>
      <c r="P810" s="100">
        <v>3.6666960863080349E-2</v>
      </c>
      <c r="Q810" s="100">
        <v>3.975647575886302E-2</v>
      </c>
    </row>
    <row r="811" spans="1:17" x14ac:dyDescent="0.35">
      <c r="A811" s="98" t="s">
        <v>42</v>
      </c>
      <c r="B811" s="98" t="s">
        <v>184</v>
      </c>
      <c r="C811" s="98" t="s">
        <v>238</v>
      </c>
      <c r="D811" s="99">
        <v>49253643.5</v>
      </c>
      <c r="E811" s="99">
        <v>58090443.000000007</v>
      </c>
      <c r="F811" s="99">
        <v>65497748.000000045</v>
      </c>
      <c r="G811" s="99">
        <v>0</v>
      </c>
      <c r="H811" s="98" t="s">
        <v>225</v>
      </c>
      <c r="I811" s="99">
        <v>0</v>
      </c>
      <c r="J811" s="98" t="s">
        <v>225</v>
      </c>
      <c r="K811" s="99">
        <v>0</v>
      </c>
      <c r="L811" s="98" t="s">
        <v>225</v>
      </c>
      <c r="M811" s="98" t="s">
        <v>225</v>
      </c>
      <c r="N811" s="99">
        <v>0</v>
      </c>
      <c r="O811" s="100">
        <v>0</v>
      </c>
      <c r="P811" s="100">
        <v>0</v>
      </c>
      <c r="Q811" s="100">
        <v>0</v>
      </c>
    </row>
    <row r="812" spans="1:17" x14ac:dyDescent="0.35">
      <c r="A812" s="98" t="s">
        <v>42</v>
      </c>
      <c r="B812" s="98" t="s">
        <v>184</v>
      </c>
      <c r="C812" s="98" t="s">
        <v>239</v>
      </c>
      <c r="D812" s="99">
        <v>49253643.5</v>
      </c>
      <c r="E812" s="99">
        <v>58090443.000000007</v>
      </c>
      <c r="F812" s="99">
        <v>65497748.000000045</v>
      </c>
      <c r="G812" s="99">
        <v>0</v>
      </c>
      <c r="H812" s="98" t="s">
        <v>225</v>
      </c>
      <c r="I812" s="99">
        <v>3630</v>
      </c>
      <c r="J812" s="98" t="s">
        <v>229</v>
      </c>
      <c r="K812" s="99">
        <v>2</v>
      </c>
      <c r="L812" s="98">
        <v>2022</v>
      </c>
      <c r="M812" s="98" t="s">
        <v>226</v>
      </c>
      <c r="N812" s="99">
        <v>2.5910046075841993</v>
      </c>
      <c r="O812" s="100">
        <v>0</v>
      </c>
      <c r="P812" s="100">
        <v>0.62488764287784815</v>
      </c>
      <c r="Q812" s="100">
        <v>3.9558682347127377E-4</v>
      </c>
    </row>
    <row r="813" spans="1:17" x14ac:dyDescent="0.35">
      <c r="A813" s="98" t="s">
        <v>42</v>
      </c>
      <c r="B813" s="98" t="s">
        <v>184</v>
      </c>
      <c r="C813" s="98" t="s">
        <v>240</v>
      </c>
      <c r="D813" s="99">
        <v>49253643.5</v>
      </c>
      <c r="E813" s="99">
        <v>58090443.000000007</v>
      </c>
      <c r="F813" s="99">
        <v>65497748.000000045</v>
      </c>
      <c r="G813" s="99">
        <v>1997</v>
      </c>
      <c r="H813" s="98">
        <v>2012</v>
      </c>
      <c r="I813" s="99">
        <v>4361</v>
      </c>
      <c r="J813" s="98" t="s">
        <v>229</v>
      </c>
      <c r="K813" s="99">
        <v>4743</v>
      </c>
      <c r="L813" s="98">
        <v>2022</v>
      </c>
      <c r="M813" s="98" t="s">
        <v>225</v>
      </c>
      <c r="N813" s="99">
        <v>4743</v>
      </c>
      <c r="O813" s="100">
        <v>0.40545223826943888</v>
      </c>
      <c r="P813" s="100">
        <v>0.7507258982342413</v>
      </c>
      <c r="Q813" s="100">
        <v>0.7241470347957607</v>
      </c>
    </row>
    <row r="814" spans="1:17" x14ac:dyDescent="0.35">
      <c r="A814" s="98" t="s">
        <v>42</v>
      </c>
      <c r="B814" s="98" t="s">
        <v>184</v>
      </c>
      <c r="C814" s="98" t="s">
        <v>241</v>
      </c>
      <c r="D814" s="99">
        <v>49253643.5</v>
      </c>
      <c r="E814" s="99">
        <v>58090443.000000007</v>
      </c>
      <c r="F814" s="99">
        <v>65497748.000000045</v>
      </c>
      <c r="G814" s="99">
        <v>8787</v>
      </c>
      <c r="H814" s="98">
        <v>2012</v>
      </c>
      <c r="I814" s="99">
        <v>1963</v>
      </c>
      <c r="J814" s="98" t="s">
        <v>229</v>
      </c>
      <c r="K814" s="99">
        <v>71119</v>
      </c>
      <c r="L814" s="98">
        <v>2022</v>
      </c>
      <c r="M814" s="98" t="s">
        <v>225</v>
      </c>
      <c r="N814" s="99">
        <v>71119</v>
      </c>
      <c r="O814" s="100">
        <v>1.7840304545185577</v>
      </c>
      <c r="P814" s="100">
        <v>0.33792133415129916</v>
      </c>
      <c r="Q814" s="100">
        <v>10.858235919805969</v>
      </c>
    </row>
    <row r="815" spans="1:17" x14ac:dyDescent="0.35">
      <c r="A815" s="98" t="s">
        <v>42</v>
      </c>
      <c r="B815" s="98" t="s">
        <v>184</v>
      </c>
      <c r="C815" s="98" t="s">
        <v>242</v>
      </c>
      <c r="D815" s="99">
        <v>49253643.5</v>
      </c>
      <c r="E815" s="99">
        <v>58090443.000000007</v>
      </c>
      <c r="F815" s="99">
        <v>65497748.000000045</v>
      </c>
      <c r="G815" s="99">
        <v>130</v>
      </c>
      <c r="H815" s="98">
        <v>2012</v>
      </c>
      <c r="I815" s="99">
        <v>103</v>
      </c>
      <c r="J815" s="98" t="s">
        <v>229</v>
      </c>
      <c r="K815" s="99">
        <v>1358</v>
      </c>
      <c r="L815" s="98">
        <v>2022</v>
      </c>
      <c r="M815" s="98" t="s">
        <v>225</v>
      </c>
      <c r="N815" s="99">
        <v>1358</v>
      </c>
      <c r="O815" s="100">
        <v>2.6393986467214348E-2</v>
      </c>
      <c r="P815" s="100">
        <v>1.7730971684963737E-2</v>
      </c>
      <c r="Q815" s="100">
        <v>0.20733537281312314</v>
      </c>
    </row>
    <row r="816" spans="1:17" x14ac:dyDescent="0.35">
      <c r="A816" s="98" t="s">
        <v>42</v>
      </c>
      <c r="B816" s="98" t="s">
        <v>184</v>
      </c>
      <c r="C816" s="98" t="s">
        <v>243</v>
      </c>
      <c r="D816" s="99">
        <v>49253643.5</v>
      </c>
      <c r="E816" s="99">
        <v>58090443.000000007</v>
      </c>
      <c r="F816" s="99">
        <v>65497748.000000045</v>
      </c>
      <c r="G816" s="99">
        <v>0</v>
      </c>
      <c r="H816" s="98" t="s">
        <v>225</v>
      </c>
      <c r="I816" s="99">
        <v>0</v>
      </c>
      <c r="J816" s="98" t="s">
        <v>225</v>
      </c>
      <c r="K816" s="99">
        <v>0</v>
      </c>
      <c r="L816" s="98" t="s">
        <v>225</v>
      </c>
      <c r="M816" s="98" t="s">
        <v>225</v>
      </c>
      <c r="N816" s="99">
        <v>0</v>
      </c>
      <c r="O816" s="100">
        <v>0</v>
      </c>
      <c r="P816" s="100">
        <v>0</v>
      </c>
      <c r="Q816" s="100">
        <v>0</v>
      </c>
    </row>
    <row r="817" spans="1:17" x14ac:dyDescent="0.35">
      <c r="A817" s="98" t="s">
        <v>42</v>
      </c>
      <c r="B817" s="98" t="s">
        <v>184</v>
      </c>
      <c r="C817" s="98" t="s">
        <v>244</v>
      </c>
      <c r="D817" s="99">
        <v>49253643.5</v>
      </c>
      <c r="E817" s="99">
        <v>58090443.000000007</v>
      </c>
      <c r="F817" s="99">
        <v>65497748.000000045</v>
      </c>
      <c r="G817" s="99">
        <v>0</v>
      </c>
      <c r="H817" s="98" t="s">
        <v>225</v>
      </c>
      <c r="I817" s="99">
        <v>2</v>
      </c>
      <c r="J817" s="98" t="s">
        <v>229</v>
      </c>
      <c r="K817" s="99">
        <v>2</v>
      </c>
      <c r="L817" s="98">
        <v>2022</v>
      </c>
      <c r="M817" s="98" t="s">
        <v>225</v>
      </c>
      <c r="N817" s="99">
        <v>2</v>
      </c>
      <c r="O817" s="100">
        <v>0</v>
      </c>
      <c r="P817" s="100">
        <v>3.4429071232939293E-4</v>
      </c>
      <c r="Q817" s="100">
        <v>3.0535401003405473E-4</v>
      </c>
    </row>
    <row r="818" spans="1:17" x14ac:dyDescent="0.35">
      <c r="A818" s="98" t="s">
        <v>42</v>
      </c>
      <c r="B818" s="98" t="s">
        <v>184</v>
      </c>
      <c r="C818" s="98" t="s">
        <v>245</v>
      </c>
      <c r="D818" s="99">
        <v>49253643.5</v>
      </c>
      <c r="E818" s="99">
        <v>58090443.000000007</v>
      </c>
      <c r="F818" s="99">
        <v>65497748.000000045</v>
      </c>
      <c r="G818" s="99">
        <v>0</v>
      </c>
      <c r="H818" s="98" t="s">
        <v>225</v>
      </c>
      <c r="I818" s="99">
        <v>15200</v>
      </c>
      <c r="J818" s="98" t="s">
        <v>229</v>
      </c>
      <c r="K818" s="99">
        <v>4710</v>
      </c>
      <c r="L818" s="98">
        <v>2022</v>
      </c>
      <c r="M818" s="98" t="s">
        <v>226</v>
      </c>
      <c r="N818" s="99">
        <v>6101.8158508607894</v>
      </c>
      <c r="O818" s="100">
        <v>0</v>
      </c>
      <c r="P818" s="100">
        <v>2.6166094137033862</v>
      </c>
      <c r="Q818" s="100">
        <v>0.93160696927484976</v>
      </c>
    </row>
    <row r="819" spans="1:17" x14ac:dyDescent="0.35">
      <c r="A819" s="98" t="s">
        <v>44</v>
      </c>
      <c r="B819" s="98" t="s">
        <v>183</v>
      </c>
      <c r="C819" s="98" t="s">
        <v>224</v>
      </c>
      <c r="D819" s="99">
        <v>35273569.999999993</v>
      </c>
      <c r="E819" s="99">
        <v>41515395.000000015</v>
      </c>
      <c r="F819" s="99">
        <v>47249584.999999978</v>
      </c>
      <c r="G819" s="99">
        <v>179175</v>
      </c>
      <c r="H819" s="98">
        <v>2015</v>
      </c>
      <c r="I819" s="99">
        <v>179000</v>
      </c>
      <c r="J819" s="98">
        <v>2019</v>
      </c>
      <c r="K819" s="99">
        <v>179000</v>
      </c>
      <c r="L819" s="98">
        <v>2019</v>
      </c>
      <c r="M819" s="98" t="s">
        <v>225</v>
      </c>
      <c r="N819" s="99">
        <v>179000</v>
      </c>
      <c r="O819" s="100">
        <v>50.795822481251555</v>
      </c>
      <c r="P819" s="100">
        <v>43.116535444261082</v>
      </c>
      <c r="Q819" s="100">
        <v>37.883930620766314</v>
      </c>
    </row>
    <row r="820" spans="1:17" x14ac:dyDescent="0.35">
      <c r="A820" s="98" t="s">
        <v>44</v>
      </c>
      <c r="B820" s="98" t="s">
        <v>183</v>
      </c>
      <c r="C820" s="98" t="s">
        <v>227</v>
      </c>
      <c r="D820" s="99">
        <v>35273569.999999993</v>
      </c>
      <c r="E820" s="99">
        <v>41515395.000000015</v>
      </c>
      <c r="F820" s="99">
        <v>47249584.999999978</v>
      </c>
      <c r="G820" s="99">
        <v>0</v>
      </c>
      <c r="H820" s="98" t="s">
        <v>225</v>
      </c>
      <c r="I820" s="99">
        <v>3</v>
      </c>
      <c r="J820" s="98" t="s">
        <v>229</v>
      </c>
      <c r="K820" s="99">
        <v>93</v>
      </c>
      <c r="L820" s="98">
        <v>2022</v>
      </c>
      <c r="M820" s="98" t="s">
        <v>225</v>
      </c>
      <c r="N820" s="99">
        <v>93</v>
      </c>
      <c r="O820" s="100">
        <v>0</v>
      </c>
      <c r="P820" s="100">
        <v>7.226234990658282E-4</v>
      </c>
      <c r="Q820" s="100">
        <v>1.9682712557157919E-2</v>
      </c>
    </row>
    <row r="821" spans="1:17" x14ac:dyDescent="0.35">
      <c r="A821" s="98" t="s">
        <v>44</v>
      </c>
      <c r="B821" s="98" t="s">
        <v>183</v>
      </c>
      <c r="C821" s="98" t="s">
        <v>228</v>
      </c>
      <c r="D821" s="99">
        <v>35273569.999999993</v>
      </c>
      <c r="E821" s="99">
        <v>41515395.000000015</v>
      </c>
      <c r="F821" s="99">
        <v>47249584.999999978</v>
      </c>
      <c r="G821" s="99">
        <v>0</v>
      </c>
      <c r="H821" s="98" t="s">
        <v>225</v>
      </c>
      <c r="I821" s="99">
        <v>16</v>
      </c>
      <c r="J821" s="98" t="s">
        <v>229</v>
      </c>
      <c r="K821" s="99">
        <v>426</v>
      </c>
      <c r="L821" s="98">
        <v>2022</v>
      </c>
      <c r="M821" s="98" t="s">
        <v>225</v>
      </c>
      <c r="N821" s="99">
        <v>426</v>
      </c>
      <c r="O821" s="100">
        <v>0</v>
      </c>
      <c r="P821" s="100">
        <v>3.8539919950177507E-3</v>
      </c>
      <c r="Q821" s="100">
        <v>9.0159522036013698E-2</v>
      </c>
    </row>
    <row r="822" spans="1:17" x14ac:dyDescent="0.35">
      <c r="A822" s="98" t="s">
        <v>44</v>
      </c>
      <c r="B822" s="98" t="s">
        <v>183</v>
      </c>
      <c r="C822" s="98" t="s">
        <v>230</v>
      </c>
      <c r="D822" s="99">
        <v>35273569.999999993</v>
      </c>
      <c r="E822" s="99">
        <v>41515395.000000015</v>
      </c>
      <c r="F822" s="99">
        <v>47249584.999999978</v>
      </c>
      <c r="G822" s="99">
        <v>0</v>
      </c>
      <c r="H822" s="98" t="s">
        <v>225</v>
      </c>
      <c r="I822" s="99">
        <v>527</v>
      </c>
      <c r="J822" s="98" t="s">
        <v>229</v>
      </c>
      <c r="K822" s="99">
        <v>527</v>
      </c>
      <c r="L822" s="98" t="s">
        <v>229</v>
      </c>
      <c r="M822" s="98" t="s">
        <v>225</v>
      </c>
      <c r="N822" s="99">
        <v>527</v>
      </c>
      <c r="O822" s="100">
        <v>0</v>
      </c>
      <c r="P822" s="100">
        <v>0.12694086133589716</v>
      </c>
      <c r="Q822" s="100">
        <v>0.11153537115722821</v>
      </c>
    </row>
    <row r="823" spans="1:17" x14ac:dyDescent="0.35">
      <c r="A823" s="98" t="s">
        <v>44</v>
      </c>
      <c r="B823" s="98" t="s">
        <v>183</v>
      </c>
      <c r="C823" s="98" t="s">
        <v>231</v>
      </c>
      <c r="D823" s="99">
        <v>35273569.999999993</v>
      </c>
      <c r="E823" s="99">
        <v>41515395.000000015</v>
      </c>
      <c r="F823" s="99">
        <v>47249584.999999978</v>
      </c>
      <c r="G823" s="99">
        <v>0</v>
      </c>
      <c r="H823" s="98" t="s">
        <v>225</v>
      </c>
      <c r="I823" s="99">
        <v>0</v>
      </c>
      <c r="J823" s="98" t="s">
        <v>225</v>
      </c>
      <c r="K823" s="99">
        <v>0</v>
      </c>
      <c r="L823" s="98" t="s">
        <v>225</v>
      </c>
      <c r="M823" s="98" t="s">
        <v>225</v>
      </c>
      <c r="N823" s="99">
        <v>0</v>
      </c>
      <c r="O823" s="100">
        <v>0</v>
      </c>
      <c r="P823" s="100">
        <v>0</v>
      </c>
      <c r="Q823" s="100">
        <v>0</v>
      </c>
    </row>
    <row r="824" spans="1:17" x14ac:dyDescent="0.35">
      <c r="A824" s="98" t="s">
        <v>44</v>
      </c>
      <c r="B824" s="98" t="s">
        <v>183</v>
      </c>
      <c r="C824" s="98" t="s">
        <v>232</v>
      </c>
      <c r="D824" s="99">
        <v>35273569.999999993</v>
      </c>
      <c r="E824" s="99">
        <v>41515395.000000015</v>
      </c>
      <c r="F824" s="99">
        <v>47249584.999999978</v>
      </c>
      <c r="G824" s="99">
        <v>227</v>
      </c>
      <c r="H824" s="98">
        <v>2015</v>
      </c>
      <c r="I824" s="99">
        <v>30</v>
      </c>
      <c r="J824" s="98">
        <v>2019</v>
      </c>
      <c r="K824" s="99">
        <v>1282</v>
      </c>
      <c r="L824" s="98">
        <v>2022</v>
      </c>
      <c r="M824" s="98" t="s">
        <v>225</v>
      </c>
      <c r="N824" s="99">
        <v>1282</v>
      </c>
      <c r="O824" s="100">
        <v>6.4354132570080103E-2</v>
      </c>
      <c r="P824" s="100">
        <v>7.2262349906582818E-3</v>
      </c>
      <c r="Q824" s="100">
        <v>0.27132513439006939</v>
      </c>
    </row>
    <row r="825" spans="1:17" x14ac:dyDescent="0.35">
      <c r="A825" s="98" t="s">
        <v>44</v>
      </c>
      <c r="B825" s="98" t="s">
        <v>183</v>
      </c>
      <c r="C825" s="98" t="s">
        <v>233</v>
      </c>
      <c r="D825" s="99">
        <v>35273569.999999993</v>
      </c>
      <c r="E825" s="99">
        <v>41515395.000000015</v>
      </c>
      <c r="F825" s="99">
        <v>47249584.999999978</v>
      </c>
      <c r="G825" s="99">
        <v>0</v>
      </c>
      <c r="H825" s="98" t="s">
        <v>225</v>
      </c>
      <c r="I825" s="99">
        <v>3874</v>
      </c>
      <c r="J825" s="98">
        <v>2018</v>
      </c>
      <c r="K825" s="99">
        <v>3309</v>
      </c>
      <c r="L825" s="98">
        <v>2022</v>
      </c>
      <c r="M825" s="98" t="s">
        <v>226</v>
      </c>
      <c r="N825" s="99">
        <v>3771.8605231388328</v>
      </c>
      <c r="O825" s="100">
        <v>0</v>
      </c>
      <c r="P825" s="100">
        <v>0.93314781179367279</v>
      </c>
      <c r="Q825" s="100">
        <v>0.79828437078099945</v>
      </c>
    </row>
    <row r="826" spans="1:17" x14ac:dyDescent="0.35">
      <c r="A826" s="98" t="s">
        <v>44</v>
      </c>
      <c r="B826" s="98" t="s">
        <v>183</v>
      </c>
      <c r="C826" s="98" t="s">
        <v>234</v>
      </c>
      <c r="D826" s="99">
        <v>35273569.999999993</v>
      </c>
      <c r="E826" s="99">
        <v>41515395.000000015</v>
      </c>
      <c r="F826" s="99">
        <v>47249584.999999978</v>
      </c>
      <c r="G826" s="99">
        <v>0</v>
      </c>
      <c r="H826" s="98" t="s">
        <v>225</v>
      </c>
      <c r="I826" s="99">
        <v>3505</v>
      </c>
      <c r="J826" s="98" t="s">
        <v>229</v>
      </c>
      <c r="K826" s="99">
        <v>14531</v>
      </c>
      <c r="L826" s="98">
        <v>2022</v>
      </c>
      <c r="M826" s="98" t="s">
        <v>225</v>
      </c>
      <c r="N826" s="99">
        <v>14531</v>
      </c>
      <c r="O826" s="100">
        <v>0</v>
      </c>
      <c r="P826" s="100">
        <v>0.84426512140857601</v>
      </c>
      <c r="Q826" s="100">
        <v>3.075370926538298</v>
      </c>
    </row>
    <row r="827" spans="1:17" x14ac:dyDescent="0.35">
      <c r="A827" s="98" t="s">
        <v>44</v>
      </c>
      <c r="B827" s="98" t="s">
        <v>183</v>
      </c>
      <c r="C827" s="98" t="s">
        <v>235</v>
      </c>
      <c r="D827" s="99">
        <v>35273569.999999993</v>
      </c>
      <c r="E827" s="99">
        <v>41515395.000000015</v>
      </c>
      <c r="F827" s="99">
        <v>47249584.999999978</v>
      </c>
      <c r="G827" s="99">
        <v>121</v>
      </c>
      <c r="H827" s="98">
        <v>2015</v>
      </c>
      <c r="I827" s="99">
        <v>42</v>
      </c>
      <c r="J827" s="98" t="s">
        <v>229</v>
      </c>
      <c r="K827" s="99">
        <v>1249</v>
      </c>
      <c r="L827" s="98">
        <v>2022</v>
      </c>
      <c r="M827" s="98" t="s">
        <v>225</v>
      </c>
      <c r="N827" s="99">
        <v>1249</v>
      </c>
      <c r="O827" s="100">
        <v>3.4303304145284992E-2</v>
      </c>
      <c r="P827" s="100">
        <v>1.0116728986921595E-2</v>
      </c>
      <c r="Q827" s="100">
        <v>0.26434094606333591</v>
      </c>
    </row>
    <row r="828" spans="1:17" x14ac:dyDescent="0.35">
      <c r="A828" s="98" t="s">
        <v>44</v>
      </c>
      <c r="B828" s="98" t="s">
        <v>183</v>
      </c>
      <c r="C828" s="98" t="s">
        <v>236</v>
      </c>
      <c r="D828" s="99">
        <v>35273569.999999993</v>
      </c>
      <c r="E828" s="99">
        <v>41515395.000000015</v>
      </c>
      <c r="F828" s="99">
        <v>47249584.999999978</v>
      </c>
      <c r="G828" s="99">
        <v>0</v>
      </c>
      <c r="H828" s="98" t="s">
        <v>225</v>
      </c>
      <c r="I828" s="99">
        <v>0</v>
      </c>
      <c r="J828" s="98" t="s">
        <v>225</v>
      </c>
      <c r="K828" s="99">
        <v>0</v>
      </c>
      <c r="L828" s="98" t="s">
        <v>225</v>
      </c>
      <c r="M828" s="98" t="s">
        <v>225</v>
      </c>
      <c r="N828" s="99">
        <v>0</v>
      </c>
      <c r="O828" s="100">
        <v>0</v>
      </c>
      <c r="P828" s="100">
        <v>0</v>
      </c>
      <c r="Q828" s="100">
        <v>0</v>
      </c>
    </row>
    <row r="829" spans="1:17" x14ac:dyDescent="0.35">
      <c r="A829" s="98" t="s">
        <v>44</v>
      </c>
      <c r="B829" s="98" t="s">
        <v>183</v>
      </c>
      <c r="C829" s="98" t="s">
        <v>237</v>
      </c>
      <c r="D829" s="99">
        <v>35273569.999999993</v>
      </c>
      <c r="E829" s="99">
        <v>41515395.000000015</v>
      </c>
      <c r="F829" s="99">
        <v>47249584.999999978</v>
      </c>
      <c r="G829" s="99">
        <v>0</v>
      </c>
      <c r="H829" s="98" t="s">
        <v>225</v>
      </c>
      <c r="I829" s="99">
        <v>9</v>
      </c>
      <c r="J829" s="98" t="s">
        <v>229</v>
      </c>
      <c r="K829" s="99">
        <v>283</v>
      </c>
      <c r="L829" s="98">
        <v>2022</v>
      </c>
      <c r="M829" s="98" t="s">
        <v>225</v>
      </c>
      <c r="N829" s="99">
        <v>283</v>
      </c>
      <c r="O829" s="100">
        <v>0</v>
      </c>
      <c r="P829" s="100">
        <v>2.1678704971974847E-3</v>
      </c>
      <c r="Q829" s="100">
        <v>5.9894705953502055E-2</v>
      </c>
    </row>
    <row r="830" spans="1:17" x14ac:dyDescent="0.35">
      <c r="A830" s="98" t="s">
        <v>44</v>
      </c>
      <c r="B830" s="98" t="s">
        <v>183</v>
      </c>
      <c r="C830" s="98" t="s">
        <v>238</v>
      </c>
      <c r="D830" s="99">
        <v>35273569.999999993</v>
      </c>
      <c r="E830" s="99">
        <v>41515395.000000015</v>
      </c>
      <c r="F830" s="99">
        <v>47249584.999999978</v>
      </c>
      <c r="G830" s="99">
        <v>0</v>
      </c>
      <c r="H830" s="98" t="s">
        <v>225</v>
      </c>
      <c r="I830" s="99">
        <v>0</v>
      </c>
      <c r="J830" s="98" t="s">
        <v>225</v>
      </c>
      <c r="K830" s="99">
        <v>0</v>
      </c>
      <c r="L830" s="98" t="s">
        <v>225</v>
      </c>
      <c r="M830" s="98" t="s">
        <v>225</v>
      </c>
      <c r="N830" s="99">
        <v>0</v>
      </c>
      <c r="O830" s="100">
        <v>0</v>
      </c>
      <c r="P830" s="100">
        <v>0</v>
      </c>
      <c r="Q830" s="100">
        <v>0</v>
      </c>
    </row>
    <row r="831" spans="1:17" x14ac:dyDescent="0.35">
      <c r="A831" s="98" t="s">
        <v>44</v>
      </c>
      <c r="B831" s="98" t="s">
        <v>183</v>
      </c>
      <c r="C831" s="98" t="s">
        <v>239</v>
      </c>
      <c r="D831" s="99">
        <v>35273569.999999993</v>
      </c>
      <c r="E831" s="99">
        <v>41515395.000000015</v>
      </c>
      <c r="F831" s="99">
        <v>47249584.999999978</v>
      </c>
      <c r="G831" s="99">
        <v>0</v>
      </c>
      <c r="H831" s="98" t="s">
        <v>225</v>
      </c>
      <c r="I831" s="99">
        <v>0</v>
      </c>
      <c r="J831" s="98" t="s">
        <v>225</v>
      </c>
      <c r="K831" s="99">
        <v>0</v>
      </c>
      <c r="L831" s="98" t="s">
        <v>225</v>
      </c>
      <c r="M831" s="98" t="s">
        <v>225</v>
      </c>
      <c r="N831" s="99">
        <v>0</v>
      </c>
      <c r="O831" s="100">
        <v>0</v>
      </c>
      <c r="P831" s="100">
        <v>0</v>
      </c>
      <c r="Q831" s="100">
        <v>0</v>
      </c>
    </row>
    <row r="832" spans="1:17" x14ac:dyDescent="0.35">
      <c r="A832" s="98" t="s">
        <v>44</v>
      </c>
      <c r="B832" s="98" t="s">
        <v>183</v>
      </c>
      <c r="C832" s="98" t="s">
        <v>240</v>
      </c>
      <c r="D832" s="99">
        <v>35273569.999999993</v>
      </c>
      <c r="E832" s="99">
        <v>41515395.000000015</v>
      </c>
      <c r="F832" s="99">
        <v>47249584.999999978</v>
      </c>
      <c r="G832" s="99">
        <v>2447</v>
      </c>
      <c r="H832" s="98">
        <v>2015</v>
      </c>
      <c r="I832" s="99">
        <v>3874</v>
      </c>
      <c r="J832" s="98" t="s">
        <v>229</v>
      </c>
      <c r="K832" s="99">
        <v>13380</v>
      </c>
      <c r="L832" s="98">
        <v>2022</v>
      </c>
      <c r="M832" s="98" t="s">
        <v>225</v>
      </c>
      <c r="N832" s="99">
        <v>13380</v>
      </c>
      <c r="O832" s="100">
        <v>0.69372053920258159</v>
      </c>
      <c r="P832" s="100">
        <v>0.93314781179367279</v>
      </c>
      <c r="Q832" s="100">
        <v>2.8317709033846552</v>
      </c>
    </row>
    <row r="833" spans="1:17" x14ac:dyDescent="0.35">
      <c r="A833" s="98" t="s">
        <v>44</v>
      </c>
      <c r="B833" s="98" t="s">
        <v>183</v>
      </c>
      <c r="C833" s="98" t="s">
        <v>241</v>
      </c>
      <c r="D833" s="99">
        <v>35273569.999999993</v>
      </c>
      <c r="E833" s="99">
        <v>41515395.000000015</v>
      </c>
      <c r="F833" s="99">
        <v>47249584.999999978</v>
      </c>
      <c r="G833" s="99">
        <v>0</v>
      </c>
      <c r="H833" s="98" t="s">
        <v>225</v>
      </c>
      <c r="I833" s="99">
        <v>0</v>
      </c>
      <c r="J833" s="98" t="s">
        <v>225</v>
      </c>
      <c r="K833" s="99">
        <v>0</v>
      </c>
      <c r="L833" s="98" t="s">
        <v>225</v>
      </c>
      <c r="M833" s="98" t="s">
        <v>225</v>
      </c>
      <c r="N833" s="99">
        <v>0</v>
      </c>
      <c r="O833" s="100">
        <v>0</v>
      </c>
      <c r="P833" s="100">
        <v>0</v>
      </c>
      <c r="Q833" s="100">
        <v>0</v>
      </c>
    </row>
    <row r="834" spans="1:17" x14ac:dyDescent="0.35">
      <c r="A834" s="98" t="s">
        <v>44</v>
      </c>
      <c r="B834" s="98" t="s">
        <v>183</v>
      </c>
      <c r="C834" s="98" t="s">
        <v>242</v>
      </c>
      <c r="D834" s="99">
        <v>35273569.999999993</v>
      </c>
      <c r="E834" s="99">
        <v>41515395.000000015</v>
      </c>
      <c r="F834" s="99">
        <v>47249584.999999978</v>
      </c>
      <c r="G834" s="99">
        <v>114</v>
      </c>
      <c r="H834" s="98">
        <v>2015</v>
      </c>
      <c r="I834" s="99">
        <v>18</v>
      </c>
      <c r="J834" s="98" t="s">
        <v>229</v>
      </c>
      <c r="K834" s="99">
        <v>572</v>
      </c>
      <c r="L834" s="98">
        <v>2022</v>
      </c>
      <c r="M834" s="98" t="s">
        <v>225</v>
      </c>
      <c r="N834" s="99">
        <v>572</v>
      </c>
      <c r="O834" s="100">
        <v>3.2318815475723045E-2</v>
      </c>
      <c r="P834" s="100">
        <v>4.3357409943949694E-3</v>
      </c>
      <c r="Q834" s="100">
        <v>0.12105926433004656</v>
      </c>
    </row>
    <row r="835" spans="1:17" x14ac:dyDescent="0.35">
      <c r="A835" s="98" t="s">
        <v>44</v>
      </c>
      <c r="B835" s="98" t="s">
        <v>183</v>
      </c>
      <c r="C835" s="98" t="s">
        <v>243</v>
      </c>
      <c r="D835" s="99">
        <v>35273569.999999993</v>
      </c>
      <c r="E835" s="99">
        <v>41515395.000000015</v>
      </c>
      <c r="F835" s="99">
        <v>47249584.999999978</v>
      </c>
      <c r="G835" s="99">
        <v>6046</v>
      </c>
      <c r="H835" s="98">
        <v>2012</v>
      </c>
      <c r="I835" s="99">
        <v>0</v>
      </c>
      <c r="J835" s="98" t="s">
        <v>225</v>
      </c>
      <c r="K835" s="99">
        <v>0</v>
      </c>
      <c r="L835" s="98" t="s">
        <v>225</v>
      </c>
      <c r="M835" s="98" t="s">
        <v>225</v>
      </c>
      <c r="N835" s="99">
        <v>0</v>
      </c>
      <c r="O835" s="100">
        <v>1.7140312137387854</v>
      </c>
      <c r="P835" s="100">
        <v>0</v>
      </c>
      <c r="Q835" s="100">
        <v>0</v>
      </c>
    </row>
    <row r="836" spans="1:17" x14ac:dyDescent="0.35">
      <c r="A836" s="98" t="s">
        <v>44</v>
      </c>
      <c r="B836" s="98" t="s">
        <v>183</v>
      </c>
      <c r="C836" s="98" t="s">
        <v>244</v>
      </c>
      <c r="D836" s="99">
        <v>35273569.999999993</v>
      </c>
      <c r="E836" s="99">
        <v>41515395.000000015</v>
      </c>
      <c r="F836" s="99">
        <v>47249584.999999978</v>
      </c>
      <c r="G836" s="99">
        <v>0</v>
      </c>
      <c r="H836" s="98" t="s">
        <v>225</v>
      </c>
      <c r="I836" s="99">
        <v>0</v>
      </c>
      <c r="J836" s="98" t="s">
        <v>225</v>
      </c>
      <c r="K836" s="99">
        <v>29</v>
      </c>
      <c r="L836" s="98">
        <v>2022</v>
      </c>
      <c r="M836" s="98" t="s">
        <v>225</v>
      </c>
      <c r="N836" s="99">
        <v>29</v>
      </c>
      <c r="O836" s="100">
        <v>0</v>
      </c>
      <c r="P836" s="100">
        <v>0</v>
      </c>
      <c r="Q836" s="100">
        <v>6.1376200447051579E-3</v>
      </c>
    </row>
    <row r="837" spans="1:17" x14ac:dyDescent="0.35">
      <c r="A837" s="98" t="s">
        <v>44</v>
      </c>
      <c r="B837" s="98" t="s">
        <v>183</v>
      </c>
      <c r="C837" s="98" t="s">
        <v>245</v>
      </c>
      <c r="D837" s="99">
        <v>35273569.999999993</v>
      </c>
      <c r="E837" s="99">
        <v>41515395.000000015</v>
      </c>
      <c r="F837" s="99">
        <v>47249584.999999978</v>
      </c>
      <c r="G837" s="99">
        <v>19791</v>
      </c>
      <c r="H837" s="98">
        <v>2012</v>
      </c>
      <c r="I837" s="99">
        <v>0</v>
      </c>
      <c r="J837" s="98" t="s">
        <v>225</v>
      </c>
      <c r="K837" s="99">
        <v>0</v>
      </c>
      <c r="L837" s="98" t="s">
        <v>225</v>
      </c>
      <c r="M837" s="98" t="s">
        <v>225</v>
      </c>
      <c r="N837" s="99">
        <v>0</v>
      </c>
      <c r="O837" s="100">
        <v>5.6107164656143409</v>
      </c>
      <c r="P837" s="100">
        <v>0</v>
      </c>
      <c r="Q837" s="100">
        <v>0</v>
      </c>
    </row>
    <row r="838" spans="1:17" x14ac:dyDescent="0.35">
      <c r="A838" s="98" t="s">
        <v>40</v>
      </c>
      <c r="B838" s="98" t="s">
        <v>180</v>
      </c>
      <c r="C838" s="98" t="s">
        <v>224</v>
      </c>
      <c r="D838" s="99">
        <v>53873616</v>
      </c>
      <c r="E838" s="99">
        <v>57339635.000000015</v>
      </c>
      <c r="F838" s="99">
        <v>59893885.5</v>
      </c>
      <c r="G838" s="99">
        <v>0</v>
      </c>
      <c r="H838" s="98" t="s">
        <v>225</v>
      </c>
      <c r="I838" s="99">
        <v>54180</v>
      </c>
      <c r="J838" s="98">
        <v>2018</v>
      </c>
      <c r="K838" s="99">
        <v>63290</v>
      </c>
      <c r="L838" s="98">
        <v>2022</v>
      </c>
      <c r="M838" s="98" t="s">
        <v>225</v>
      </c>
      <c r="N838" s="99">
        <v>63290</v>
      </c>
      <c r="O838" s="100">
        <v>0</v>
      </c>
      <c r="P838" s="100">
        <v>9.448961438279122</v>
      </c>
      <c r="Q838" s="100">
        <v>10.567021904097372</v>
      </c>
    </row>
    <row r="839" spans="1:17" x14ac:dyDescent="0.35">
      <c r="A839" s="98" t="s">
        <v>40</v>
      </c>
      <c r="B839" s="98" t="s">
        <v>180</v>
      </c>
      <c r="C839" s="98" t="s">
        <v>227</v>
      </c>
      <c r="D839" s="99">
        <v>53873616</v>
      </c>
      <c r="E839" s="99">
        <v>57339635.000000015</v>
      </c>
      <c r="F839" s="99">
        <v>59893885.5</v>
      </c>
      <c r="G839" s="99">
        <v>0</v>
      </c>
      <c r="H839" s="98" t="s">
        <v>225</v>
      </c>
      <c r="I839" s="99">
        <v>0</v>
      </c>
      <c r="J839" s="98" t="s">
        <v>225</v>
      </c>
      <c r="K839" s="99">
        <v>0</v>
      </c>
      <c r="L839" s="98" t="s">
        <v>225</v>
      </c>
      <c r="M839" s="98" t="s">
        <v>225</v>
      </c>
      <c r="N839" s="99">
        <v>0</v>
      </c>
      <c r="O839" s="100">
        <v>0</v>
      </c>
      <c r="P839" s="100">
        <v>0</v>
      </c>
      <c r="Q839" s="100">
        <v>0</v>
      </c>
    </row>
    <row r="840" spans="1:17" x14ac:dyDescent="0.35">
      <c r="A840" s="98" t="s">
        <v>40</v>
      </c>
      <c r="B840" s="98" t="s">
        <v>180</v>
      </c>
      <c r="C840" s="98" t="s">
        <v>228</v>
      </c>
      <c r="D840" s="99">
        <v>53873616</v>
      </c>
      <c r="E840" s="99">
        <v>57339635.000000015</v>
      </c>
      <c r="F840" s="99">
        <v>59893885.5</v>
      </c>
      <c r="G840" s="99">
        <v>0</v>
      </c>
      <c r="H840" s="98" t="s">
        <v>225</v>
      </c>
      <c r="I840" s="99">
        <v>3585</v>
      </c>
      <c r="J840" s="98" t="s">
        <v>229</v>
      </c>
      <c r="K840" s="99">
        <v>3585</v>
      </c>
      <c r="L840" s="98" t="s">
        <v>229</v>
      </c>
      <c r="M840" s="98" t="s">
        <v>225</v>
      </c>
      <c r="N840" s="99">
        <v>3585</v>
      </c>
      <c r="O840" s="100">
        <v>0</v>
      </c>
      <c r="P840" s="100">
        <v>0.62522197778203492</v>
      </c>
      <c r="Q840" s="100">
        <v>0.59855859576851134</v>
      </c>
    </row>
    <row r="841" spans="1:17" x14ac:dyDescent="0.35">
      <c r="A841" s="98" t="s">
        <v>40</v>
      </c>
      <c r="B841" s="98" t="s">
        <v>180</v>
      </c>
      <c r="C841" s="98" t="s">
        <v>230</v>
      </c>
      <c r="D841" s="99">
        <v>53873616</v>
      </c>
      <c r="E841" s="99">
        <v>57339635.000000015</v>
      </c>
      <c r="F841" s="99">
        <v>59893885.5</v>
      </c>
      <c r="G841" s="99">
        <v>0</v>
      </c>
      <c r="H841" s="98" t="s">
        <v>225</v>
      </c>
      <c r="I841" s="99">
        <v>0</v>
      </c>
      <c r="J841" s="98" t="s">
        <v>225</v>
      </c>
      <c r="K841" s="99">
        <v>2857</v>
      </c>
      <c r="L841" s="98">
        <v>2022</v>
      </c>
      <c r="M841" s="98" t="s">
        <v>225</v>
      </c>
      <c r="N841" s="99">
        <v>2857</v>
      </c>
      <c r="O841" s="100">
        <v>0</v>
      </c>
      <c r="P841" s="100">
        <v>0</v>
      </c>
      <c r="Q841" s="100">
        <v>0.47701029514941051</v>
      </c>
    </row>
    <row r="842" spans="1:17" x14ac:dyDescent="0.35">
      <c r="A842" s="98" t="s">
        <v>40</v>
      </c>
      <c r="B842" s="98" t="s">
        <v>180</v>
      </c>
      <c r="C842" s="98" t="s">
        <v>231</v>
      </c>
      <c r="D842" s="99">
        <v>53873616</v>
      </c>
      <c r="E842" s="99">
        <v>57339635.000000015</v>
      </c>
      <c r="F842" s="99">
        <v>59893885.5</v>
      </c>
      <c r="G842" s="99">
        <v>0</v>
      </c>
      <c r="H842" s="98" t="s">
        <v>225</v>
      </c>
      <c r="I842" s="99">
        <v>0</v>
      </c>
      <c r="J842" s="98" t="s">
        <v>225</v>
      </c>
      <c r="K842" s="99">
        <v>26692</v>
      </c>
      <c r="L842" s="98">
        <v>2022</v>
      </c>
      <c r="M842" s="98" t="s">
        <v>225</v>
      </c>
      <c r="N842" s="99">
        <v>26692</v>
      </c>
      <c r="O842" s="100">
        <v>0</v>
      </c>
      <c r="P842" s="100">
        <v>0</v>
      </c>
      <c r="Q842" s="100">
        <v>4.4565484067651617</v>
      </c>
    </row>
    <row r="843" spans="1:17" x14ac:dyDescent="0.35">
      <c r="A843" s="98" t="s">
        <v>40</v>
      </c>
      <c r="B843" s="98" t="s">
        <v>180</v>
      </c>
      <c r="C843" s="98" t="s">
        <v>232</v>
      </c>
      <c r="D843" s="99">
        <v>53873616</v>
      </c>
      <c r="E843" s="99">
        <v>57339635.000000015</v>
      </c>
      <c r="F843" s="99">
        <v>59893885.5</v>
      </c>
      <c r="G843" s="99">
        <v>0</v>
      </c>
      <c r="H843" s="98" t="s">
        <v>225</v>
      </c>
      <c r="I843" s="99">
        <v>3330</v>
      </c>
      <c r="J843" s="98">
        <v>2017</v>
      </c>
      <c r="K843" s="99">
        <v>329</v>
      </c>
      <c r="L843" s="98">
        <v>2022</v>
      </c>
      <c r="M843" s="98" t="s">
        <v>226</v>
      </c>
      <c r="N843" s="99">
        <v>482.20032365440028</v>
      </c>
      <c r="O843" s="100">
        <v>0</v>
      </c>
      <c r="P843" s="100">
        <v>0.5807501216218065</v>
      </c>
      <c r="Q843" s="100">
        <v>8.0509107002984512E-2</v>
      </c>
    </row>
    <row r="844" spans="1:17" x14ac:dyDescent="0.35">
      <c r="A844" s="98" t="s">
        <v>40</v>
      </c>
      <c r="B844" s="98" t="s">
        <v>180</v>
      </c>
      <c r="C844" s="98" t="s">
        <v>233</v>
      </c>
      <c r="D844" s="99">
        <v>53873616</v>
      </c>
      <c r="E844" s="99">
        <v>57339635.000000015</v>
      </c>
      <c r="F844" s="99">
        <v>59893885.5</v>
      </c>
      <c r="G844" s="99">
        <v>144</v>
      </c>
      <c r="H844" s="98">
        <v>2013</v>
      </c>
      <c r="I844" s="99">
        <v>8415</v>
      </c>
      <c r="J844" s="98" t="s">
        <v>229</v>
      </c>
      <c r="K844" s="99">
        <v>13</v>
      </c>
      <c r="L844" s="98">
        <v>2022</v>
      </c>
      <c r="M844" s="98" t="s">
        <v>226</v>
      </c>
      <c r="N844" s="99">
        <v>19.053508229505177</v>
      </c>
      <c r="O844" s="100">
        <v>2.6729224932664629E-2</v>
      </c>
      <c r="P844" s="100">
        <v>1.467571253287538</v>
      </c>
      <c r="Q844" s="100">
        <v>3.181210915011546E-3</v>
      </c>
    </row>
    <row r="845" spans="1:17" x14ac:dyDescent="0.35">
      <c r="A845" s="98" t="s">
        <v>40</v>
      </c>
      <c r="B845" s="98" t="s">
        <v>180</v>
      </c>
      <c r="C845" s="98" t="s">
        <v>234</v>
      </c>
      <c r="D845" s="99">
        <v>53873616</v>
      </c>
      <c r="E845" s="99">
        <v>57339635.000000015</v>
      </c>
      <c r="F845" s="99">
        <v>59893885.5</v>
      </c>
      <c r="G845" s="99">
        <v>0</v>
      </c>
      <c r="H845" s="98" t="s">
        <v>225</v>
      </c>
      <c r="I845" s="99">
        <v>577</v>
      </c>
      <c r="J845" s="98" t="s">
        <v>229</v>
      </c>
      <c r="K845" s="99">
        <v>577</v>
      </c>
      <c r="L845" s="98" t="s">
        <v>229</v>
      </c>
      <c r="M845" s="98" t="s">
        <v>225</v>
      </c>
      <c r="N845" s="99">
        <v>577</v>
      </c>
      <c r="O845" s="100">
        <v>0</v>
      </c>
      <c r="P845" s="100">
        <v>0.10062847452726197</v>
      </c>
      <c r="Q845" s="100">
        <v>9.6337045957721343E-2</v>
      </c>
    </row>
    <row r="846" spans="1:17" x14ac:dyDescent="0.35">
      <c r="A846" s="98" t="s">
        <v>40</v>
      </c>
      <c r="B846" s="98" t="s">
        <v>180</v>
      </c>
      <c r="C846" s="98" t="s">
        <v>235</v>
      </c>
      <c r="D846" s="99">
        <v>53873616</v>
      </c>
      <c r="E846" s="99">
        <v>57339635.000000015</v>
      </c>
      <c r="F846" s="99">
        <v>59893885.5</v>
      </c>
      <c r="G846" s="99">
        <v>8476</v>
      </c>
      <c r="H846" s="98">
        <v>2013</v>
      </c>
      <c r="I846" s="99">
        <v>8878</v>
      </c>
      <c r="J846" s="98">
        <v>2018</v>
      </c>
      <c r="K846" s="99">
        <v>9281</v>
      </c>
      <c r="L846" s="98">
        <v>2021</v>
      </c>
      <c r="M846" s="98" t="s">
        <v>225</v>
      </c>
      <c r="N846" s="99">
        <v>9281</v>
      </c>
      <c r="O846" s="100">
        <v>1.5733118786754541</v>
      </c>
      <c r="P846" s="100">
        <v>1.5483181921196389</v>
      </c>
      <c r="Q846" s="100">
        <v>1.5495738709421347</v>
      </c>
    </row>
    <row r="847" spans="1:17" x14ac:dyDescent="0.35">
      <c r="A847" s="98" t="s">
        <v>40</v>
      </c>
      <c r="B847" s="98" t="s">
        <v>180</v>
      </c>
      <c r="C847" s="98" t="s">
        <v>236</v>
      </c>
      <c r="D847" s="99">
        <v>53873616</v>
      </c>
      <c r="E847" s="99">
        <v>57339635.000000015</v>
      </c>
      <c r="F847" s="99">
        <v>59893885.5</v>
      </c>
      <c r="G847" s="99">
        <v>0</v>
      </c>
      <c r="H847" s="98" t="s">
        <v>225</v>
      </c>
      <c r="I847" s="99">
        <v>0</v>
      </c>
      <c r="J847" s="98" t="s">
        <v>225</v>
      </c>
      <c r="K847" s="99">
        <v>0</v>
      </c>
      <c r="L847" s="98" t="s">
        <v>225</v>
      </c>
      <c r="M847" s="98" t="s">
        <v>225</v>
      </c>
      <c r="N847" s="99">
        <v>0</v>
      </c>
      <c r="O847" s="100">
        <v>0</v>
      </c>
      <c r="P847" s="100">
        <v>0</v>
      </c>
      <c r="Q847" s="100">
        <v>0</v>
      </c>
    </row>
    <row r="848" spans="1:17" x14ac:dyDescent="0.35">
      <c r="A848" s="98" t="s">
        <v>40</v>
      </c>
      <c r="B848" s="98" t="s">
        <v>180</v>
      </c>
      <c r="C848" s="98" t="s">
        <v>237</v>
      </c>
      <c r="D848" s="99">
        <v>53873616</v>
      </c>
      <c r="E848" s="99">
        <v>57339635.000000015</v>
      </c>
      <c r="F848" s="99">
        <v>59893885.5</v>
      </c>
      <c r="G848" s="99">
        <v>3588</v>
      </c>
      <c r="H848" s="98">
        <v>2013</v>
      </c>
      <c r="I848" s="99">
        <v>3848</v>
      </c>
      <c r="J848" s="98">
        <v>2018</v>
      </c>
      <c r="K848" s="99">
        <v>255</v>
      </c>
      <c r="L848" s="98">
        <v>2022</v>
      </c>
      <c r="M848" s="98" t="s">
        <v>226</v>
      </c>
      <c r="N848" s="99">
        <v>373.74189219414001</v>
      </c>
      <c r="O848" s="100">
        <v>0.66600318790556035</v>
      </c>
      <c r="P848" s="100">
        <v>0.67108902942964299</v>
      </c>
      <c r="Q848" s="100">
        <v>6.2400675640611095E-2</v>
      </c>
    </row>
    <row r="849" spans="1:17" x14ac:dyDescent="0.35">
      <c r="A849" s="98" t="s">
        <v>40</v>
      </c>
      <c r="B849" s="98" t="s">
        <v>180</v>
      </c>
      <c r="C849" s="98" t="s">
        <v>238</v>
      </c>
      <c r="D849" s="99">
        <v>53873616</v>
      </c>
      <c r="E849" s="99">
        <v>57339635.000000015</v>
      </c>
      <c r="F849" s="99">
        <v>59893885.5</v>
      </c>
      <c r="G849" s="99">
        <v>0</v>
      </c>
      <c r="H849" s="98" t="s">
        <v>225</v>
      </c>
      <c r="I849" s="99">
        <v>0</v>
      </c>
      <c r="J849" s="98" t="s">
        <v>225</v>
      </c>
      <c r="K849" s="99">
        <v>15459</v>
      </c>
      <c r="L849" s="98">
        <v>2022</v>
      </c>
      <c r="M849" s="98" t="s">
        <v>225</v>
      </c>
      <c r="N849" s="99">
        <v>15459</v>
      </c>
      <c r="O849" s="100">
        <v>0</v>
      </c>
      <c r="P849" s="100">
        <v>0</v>
      </c>
      <c r="Q849" s="100">
        <v>2.5810648066904927</v>
      </c>
    </row>
    <row r="850" spans="1:17" x14ac:dyDescent="0.35">
      <c r="A850" s="98" t="s">
        <v>40</v>
      </c>
      <c r="B850" s="98" t="s">
        <v>180</v>
      </c>
      <c r="C850" s="98" t="s">
        <v>239</v>
      </c>
      <c r="D850" s="99">
        <v>53873616</v>
      </c>
      <c r="E850" s="99">
        <v>57339635.000000015</v>
      </c>
      <c r="F850" s="99">
        <v>59893885.5</v>
      </c>
      <c r="G850" s="99">
        <v>0</v>
      </c>
      <c r="H850" s="98" t="s">
        <v>225</v>
      </c>
      <c r="I850" s="99">
        <v>15266</v>
      </c>
      <c r="J850" s="98" t="s">
        <v>229</v>
      </c>
      <c r="K850" s="99">
        <v>15266</v>
      </c>
      <c r="L850" s="98" t="s">
        <v>229</v>
      </c>
      <c r="M850" s="98" t="s">
        <v>225</v>
      </c>
      <c r="N850" s="99">
        <v>15266</v>
      </c>
      <c r="O850" s="100">
        <v>0</v>
      </c>
      <c r="P850" s="100">
        <v>2.6623817887923416</v>
      </c>
      <c r="Q850" s="100">
        <v>2.5488411500703188</v>
      </c>
    </row>
    <row r="851" spans="1:17" x14ac:dyDescent="0.35">
      <c r="A851" s="98" t="s">
        <v>40</v>
      </c>
      <c r="B851" s="98" t="s">
        <v>180</v>
      </c>
      <c r="C851" s="98" t="s">
        <v>240</v>
      </c>
      <c r="D851" s="99">
        <v>53873616</v>
      </c>
      <c r="E851" s="99">
        <v>57339635.000000015</v>
      </c>
      <c r="F851" s="99">
        <v>59893885.5</v>
      </c>
      <c r="G851" s="99">
        <v>273</v>
      </c>
      <c r="H851" s="98">
        <v>2013</v>
      </c>
      <c r="I851" s="99">
        <v>5731</v>
      </c>
      <c r="J851" s="98">
        <v>2018</v>
      </c>
      <c r="K851" s="99">
        <v>6353</v>
      </c>
      <c r="L851" s="98">
        <v>2021</v>
      </c>
      <c r="M851" s="98" t="s">
        <v>225</v>
      </c>
      <c r="N851" s="99">
        <v>6353</v>
      </c>
      <c r="O851" s="100">
        <v>5.0674155601510021E-2</v>
      </c>
      <c r="P851" s="100">
        <v>0.99948316727164355</v>
      </c>
      <c r="Q851" s="100">
        <v>1.060709277243334</v>
      </c>
    </row>
    <row r="852" spans="1:17" x14ac:dyDescent="0.35">
      <c r="A852" s="98" t="s">
        <v>40</v>
      </c>
      <c r="B852" s="98" t="s">
        <v>180</v>
      </c>
      <c r="C852" s="98" t="s">
        <v>241</v>
      </c>
      <c r="D852" s="99">
        <v>53873616</v>
      </c>
      <c r="E852" s="99">
        <v>57339635.000000015</v>
      </c>
      <c r="F852" s="99">
        <v>59893885.5</v>
      </c>
      <c r="G852" s="99">
        <v>217</v>
      </c>
      <c r="H852" s="98">
        <v>2013</v>
      </c>
      <c r="I852" s="99">
        <v>8919</v>
      </c>
      <c r="J852" s="98">
        <v>2017</v>
      </c>
      <c r="K852" s="99">
        <v>20327</v>
      </c>
      <c r="L852" s="98">
        <v>2022</v>
      </c>
      <c r="M852" s="98" t="s">
        <v>225</v>
      </c>
      <c r="N852" s="99">
        <v>20327</v>
      </c>
      <c r="O852" s="100">
        <v>4.0279457016584891E-2</v>
      </c>
      <c r="P852" s="100">
        <v>1.5554685689924601</v>
      </c>
      <c r="Q852" s="100">
        <v>3.3938355861050291</v>
      </c>
    </row>
    <row r="853" spans="1:17" x14ac:dyDescent="0.35">
      <c r="A853" s="98" t="s">
        <v>40</v>
      </c>
      <c r="B853" s="98" t="s">
        <v>180</v>
      </c>
      <c r="C853" s="98" t="s">
        <v>242</v>
      </c>
      <c r="D853" s="99">
        <v>53873616</v>
      </c>
      <c r="E853" s="99">
        <v>57339635.000000015</v>
      </c>
      <c r="F853" s="99">
        <v>59893885.5</v>
      </c>
      <c r="G853" s="99">
        <v>8185</v>
      </c>
      <c r="H853" s="98">
        <v>2013</v>
      </c>
      <c r="I853" s="99">
        <v>11975</v>
      </c>
      <c r="J853" s="98" t="s">
        <v>229</v>
      </c>
      <c r="K853" s="99">
        <v>1555</v>
      </c>
      <c r="L853" s="98">
        <v>2022</v>
      </c>
      <c r="M853" s="98" t="s">
        <v>226</v>
      </c>
      <c r="N853" s="99">
        <v>2279.0927151446576</v>
      </c>
      <c r="O853" s="100">
        <v>1.5192965699573608</v>
      </c>
      <c r="P853" s="100">
        <v>2.0884332451715113</v>
      </c>
      <c r="Q853" s="100">
        <v>0.38052176714176572</v>
      </c>
    </row>
    <row r="854" spans="1:17" x14ac:dyDescent="0.35">
      <c r="A854" s="98" t="s">
        <v>40</v>
      </c>
      <c r="B854" s="98" t="s">
        <v>180</v>
      </c>
      <c r="C854" s="98" t="s">
        <v>243</v>
      </c>
      <c r="D854" s="99">
        <v>53873616</v>
      </c>
      <c r="E854" s="99">
        <v>57339635.000000015</v>
      </c>
      <c r="F854" s="99">
        <v>59893885.5</v>
      </c>
      <c r="G854" s="99">
        <v>0</v>
      </c>
      <c r="H854" s="98" t="s">
        <v>225</v>
      </c>
      <c r="I854" s="99">
        <v>27694</v>
      </c>
      <c r="J854" s="98">
        <v>2017</v>
      </c>
      <c r="K854" s="99">
        <v>15754</v>
      </c>
      <c r="L854" s="98">
        <v>2022</v>
      </c>
      <c r="M854" s="98" t="s">
        <v>226</v>
      </c>
      <c r="N854" s="99">
        <v>23089.920665201891</v>
      </c>
      <c r="O854" s="100">
        <v>0</v>
      </c>
      <c r="P854" s="100">
        <v>4.8298179784367292</v>
      </c>
      <c r="Q854" s="100">
        <v>3.8551382119301461</v>
      </c>
    </row>
    <row r="855" spans="1:17" x14ac:dyDescent="0.35">
      <c r="A855" s="98" t="s">
        <v>40</v>
      </c>
      <c r="B855" s="98" t="s">
        <v>180</v>
      </c>
      <c r="C855" s="98" t="s">
        <v>244</v>
      </c>
      <c r="D855" s="99">
        <v>53873616</v>
      </c>
      <c r="E855" s="99">
        <v>57339635.000000015</v>
      </c>
      <c r="F855" s="99">
        <v>59893885.5</v>
      </c>
      <c r="G855" s="99">
        <v>2586</v>
      </c>
      <c r="H855" s="98">
        <v>2013</v>
      </c>
      <c r="I855" s="99">
        <v>3512</v>
      </c>
      <c r="J855" s="98">
        <v>2018</v>
      </c>
      <c r="K855" s="99">
        <v>586</v>
      </c>
      <c r="L855" s="98">
        <v>2022</v>
      </c>
      <c r="M855" s="98" t="s">
        <v>226</v>
      </c>
      <c r="N855" s="99">
        <v>858.87352480692573</v>
      </c>
      <c r="O855" s="100">
        <v>0.48001233108243563</v>
      </c>
      <c r="P855" s="100">
        <v>0.61249081895969504</v>
      </c>
      <c r="Q855" s="100">
        <v>0.14339919970744353</v>
      </c>
    </row>
    <row r="856" spans="1:17" x14ac:dyDescent="0.35">
      <c r="A856" s="98" t="s">
        <v>40</v>
      </c>
      <c r="B856" s="98" t="s">
        <v>180</v>
      </c>
      <c r="C856" s="98" t="s">
        <v>245</v>
      </c>
      <c r="D856" s="99">
        <v>53873616</v>
      </c>
      <c r="E856" s="99">
        <v>57339635.000000015</v>
      </c>
      <c r="F856" s="99">
        <v>59893885.5</v>
      </c>
      <c r="G856" s="99">
        <v>0</v>
      </c>
      <c r="H856" s="98" t="s">
        <v>225</v>
      </c>
      <c r="I856" s="99">
        <v>49732</v>
      </c>
      <c r="J856" s="98">
        <v>2017</v>
      </c>
      <c r="K856" s="99">
        <v>9</v>
      </c>
      <c r="L856" s="98">
        <v>2022</v>
      </c>
      <c r="M856" s="98" t="s">
        <v>226</v>
      </c>
      <c r="N856" s="99">
        <v>13.190890312734354</v>
      </c>
      <c r="O856" s="100">
        <v>0</v>
      </c>
      <c r="P856" s="100">
        <v>8.6732327472959998</v>
      </c>
      <c r="Q856" s="100">
        <v>2.202376787315686E-3</v>
      </c>
    </row>
    <row r="857" spans="1:17" x14ac:dyDescent="0.35">
      <c r="A857" s="98" t="s">
        <v>45</v>
      </c>
      <c r="B857" s="98" t="s">
        <v>185</v>
      </c>
      <c r="C857" s="98" t="s">
        <v>224</v>
      </c>
      <c r="D857" s="99">
        <v>15234975.999999991</v>
      </c>
      <c r="E857" s="99">
        <v>17835892.999999981</v>
      </c>
      <c r="F857" s="99">
        <v>20017675.000000004</v>
      </c>
      <c r="G857" s="99">
        <v>0</v>
      </c>
      <c r="H857" s="98" t="s">
        <v>225</v>
      </c>
      <c r="I857" s="99">
        <v>1283</v>
      </c>
      <c r="J857" s="98">
        <v>2018</v>
      </c>
      <c r="K857" s="99">
        <v>2421</v>
      </c>
      <c r="L857" s="98">
        <v>2022</v>
      </c>
      <c r="M857" s="98" t="s">
        <v>225</v>
      </c>
      <c r="N857" s="99">
        <v>2421</v>
      </c>
      <c r="O857" s="100">
        <v>0</v>
      </c>
      <c r="P857" s="100">
        <v>0.71933600409018006</v>
      </c>
      <c r="Q857" s="100">
        <v>1.2094311652077474</v>
      </c>
    </row>
    <row r="858" spans="1:17" x14ac:dyDescent="0.35">
      <c r="A858" s="98" t="s">
        <v>45</v>
      </c>
      <c r="B858" s="98" t="s">
        <v>185</v>
      </c>
      <c r="C858" s="98" t="s">
        <v>227</v>
      </c>
      <c r="D858" s="99">
        <v>15234975.999999991</v>
      </c>
      <c r="E858" s="99">
        <v>17835892.999999981</v>
      </c>
      <c r="F858" s="99">
        <v>20017675.000000004</v>
      </c>
      <c r="G858" s="99">
        <v>0</v>
      </c>
      <c r="H858" s="98" t="s">
        <v>225</v>
      </c>
      <c r="I858" s="99">
        <v>404</v>
      </c>
      <c r="J858" s="98" t="s">
        <v>229</v>
      </c>
      <c r="K858" s="99">
        <v>774</v>
      </c>
      <c r="L858" s="98">
        <v>2022</v>
      </c>
      <c r="M858" s="98" t="s">
        <v>225</v>
      </c>
      <c r="N858" s="99">
        <v>774</v>
      </c>
      <c r="O858" s="100">
        <v>0</v>
      </c>
      <c r="P858" s="100">
        <v>0.22650954454593353</v>
      </c>
      <c r="Q858" s="100">
        <v>0.38665829073556235</v>
      </c>
    </row>
    <row r="859" spans="1:17" x14ac:dyDescent="0.35">
      <c r="A859" s="98" t="s">
        <v>45</v>
      </c>
      <c r="B859" s="98" t="s">
        <v>185</v>
      </c>
      <c r="C859" s="98" t="s">
        <v>228</v>
      </c>
      <c r="D859" s="99">
        <v>15234975.999999991</v>
      </c>
      <c r="E859" s="99">
        <v>17835892.999999981</v>
      </c>
      <c r="F859" s="99">
        <v>20017675.000000004</v>
      </c>
      <c r="G859" s="99">
        <v>0</v>
      </c>
      <c r="H859" s="98" t="s">
        <v>225</v>
      </c>
      <c r="I859" s="99">
        <v>2016</v>
      </c>
      <c r="J859" s="98" t="s">
        <v>229</v>
      </c>
      <c r="K859" s="99">
        <v>4392</v>
      </c>
      <c r="L859" s="98">
        <v>2022</v>
      </c>
      <c r="M859" s="98" t="s">
        <v>225</v>
      </c>
      <c r="N859" s="99">
        <v>4392</v>
      </c>
      <c r="O859" s="100">
        <v>0</v>
      </c>
      <c r="P859" s="100">
        <v>1.1303050539717872</v>
      </c>
      <c r="Q859" s="100">
        <v>2.1940609985924935</v>
      </c>
    </row>
    <row r="860" spans="1:17" x14ac:dyDescent="0.35">
      <c r="A860" s="98" t="s">
        <v>45</v>
      </c>
      <c r="B860" s="98" t="s">
        <v>185</v>
      </c>
      <c r="C860" s="98" t="s">
        <v>230</v>
      </c>
      <c r="D860" s="99">
        <v>15234975.999999991</v>
      </c>
      <c r="E860" s="99">
        <v>17835892.999999981</v>
      </c>
      <c r="F860" s="99">
        <v>20017675.000000004</v>
      </c>
      <c r="G860" s="99">
        <v>0</v>
      </c>
      <c r="H860" s="98" t="s">
        <v>225</v>
      </c>
      <c r="I860" s="99">
        <v>119</v>
      </c>
      <c r="J860" s="98">
        <v>2018</v>
      </c>
      <c r="K860" s="99">
        <v>119</v>
      </c>
      <c r="L860" s="98">
        <v>2018</v>
      </c>
      <c r="M860" s="98" t="s">
        <v>225</v>
      </c>
      <c r="N860" s="99">
        <v>119</v>
      </c>
      <c r="O860" s="100">
        <v>0</v>
      </c>
      <c r="P860" s="100">
        <v>6.6719395546945767E-2</v>
      </c>
      <c r="Q860" s="100">
        <v>5.944746330430481E-2</v>
      </c>
    </row>
    <row r="861" spans="1:17" x14ac:dyDescent="0.35">
      <c r="A861" s="98" t="s">
        <v>45</v>
      </c>
      <c r="B861" s="98" t="s">
        <v>185</v>
      </c>
      <c r="C861" s="98" t="s">
        <v>231</v>
      </c>
      <c r="D861" s="99">
        <v>15234975.999999991</v>
      </c>
      <c r="E861" s="99">
        <v>17835892.999999981</v>
      </c>
      <c r="F861" s="99">
        <v>20017675.000000004</v>
      </c>
      <c r="G861" s="99">
        <v>0</v>
      </c>
      <c r="H861" s="98" t="s">
        <v>225</v>
      </c>
      <c r="I861" s="99">
        <v>0</v>
      </c>
      <c r="J861" s="98" t="s">
        <v>225</v>
      </c>
      <c r="K861" s="99">
        <v>0</v>
      </c>
      <c r="L861" s="98" t="s">
        <v>225</v>
      </c>
      <c r="M861" s="98" t="s">
        <v>225</v>
      </c>
      <c r="N861" s="99">
        <v>0</v>
      </c>
      <c r="O861" s="100">
        <v>0</v>
      </c>
      <c r="P861" s="100">
        <v>0</v>
      </c>
      <c r="Q861" s="100">
        <v>0</v>
      </c>
    </row>
    <row r="862" spans="1:17" x14ac:dyDescent="0.35">
      <c r="A862" s="98" t="s">
        <v>45</v>
      </c>
      <c r="B862" s="98" t="s">
        <v>185</v>
      </c>
      <c r="C862" s="98" t="s">
        <v>232</v>
      </c>
      <c r="D862" s="99">
        <v>15234975.999999991</v>
      </c>
      <c r="E862" s="99">
        <v>17835892.999999981</v>
      </c>
      <c r="F862" s="99">
        <v>20017675.000000004</v>
      </c>
      <c r="G862" s="99">
        <v>53</v>
      </c>
      <c r="H862" s="98">
        <v>2012</v>
      </c>
      <c r="I862" s="99">
        <v>0</v>
      </c>
      <c r="J862" s="98" t="s">
        <v>225</v>
      </c>
      <c r="K862" s="99">
        <v>28</v>
      </c>
      <c r="L862" s="98">
        <v>2022</v>
      </c>
      <c r="M862" s="98" t="s">
        <v>225</v>
      </c>
      <c r="N862" s="99">
        <v>28</v>
      </c>
      <c r="O862" s="100">
        <v>3.4788371179580481E-2</v>
      </c>
      <c r="P862" s="100">
        <v>0</v>
      </c>
      <c r="Q862" s="100">
        <v>1.3987638424542308E-2</v>
      </c>
    </row>
    <row r="863" spans="1:17" x14ac:dyDescent="0.35">
      <c r="A863" s="98" t="s">
        <v>45</v>
      </c>
      <c r="B863" s="98" t="s">
        <v>185</v>
      </c>
      <c r="C863" s="98" t="s">
        <v>233</v>
      </c>
      <c r="D863" s="99">
        <v>15234975.999999991</v>
      </c>
      <c r="E863" s="99">
        <v>17835892.999999981</v>
      </c>
      <c r="F863" s="99">
        <v>20017675.000000004</v>
      </c>
      <c r="G863" s="99">
        <v>184</v>
      </c>
      <c r="H863" s="98">
        <v>2012</v>
      </c>
      <c r="I863" s="99">
        <v>18</v>
      </c>
      <c r="J863" s="98">
        <v>2018</v>
      </c>
      <c r="K863" s="99">
        <v>641</v>
      </c>
      <c r="L863" s="98">
        <v>2022</v>
      </c>
      <c r="M863" s="98" t="s">
        <v>225</v>
      </c>
      <c r="N863" s="99">
        <v>641</v>
      </c>
      <c r="O863" s="100">
        <v>0.12077472258571337</v>
      </c>
      <c r="P863" s="100">
        <v>1.0092009410462385E-2</v>
      </c>
      <c r="Q863" s="100">
        <v>0.32021700821898641</v>
      </c>
    </row>
    <row r="864" spans="1:17" x14ac:dyDescent="0.35">
      <c r="A864" s="98" t="s">
        <v>45</v>
      </c>
      <c r="B864" s="98" t="s">
        <v>185</v>
      </c>
      <c r="C864" s="98" t="s">
        <v>234</v>
      </c>
      <c r="D864" s="99">
        <v>15234975.999999991</v>
      </c>
      <c r="E864" s="99">
        <v>17835892.999999981</v>
      </c>
      <c r="F864" s="99">
        <v>20017675.000000004</v>
      </c>
      <c r="G864" s="99">
        <v>0</v>
      </c>
      <c r="H864" s="98" t="s">
        <v>225</v>
      </c>
      <c r="I864" s="99">
        <v>2617</v>
      </c>
      <c r="J864" s="98" t="s">
        <v>229</v>
      </c>
      <c r="K864" s="99">
        <v>7144</v>
      </c>
      <c r="L864" s="98">
        <v>2022</v>
      </c>
      <c r="M864" s="98" t="s">
        <v>225</v>
      </c>
      <c r="N864" s="99">
        <v>7144</v>
      </c>
      <c r="O864" s="100">
        <v>0</v>
      </c>
      <c r="P864" s="100">
        <v>1.4672660348433368</v>
      </c>
      <c r="Q864" s="100">
        <v>3.5688460323189375</v>
      </c>
    </row>
    <row r="865" spans="1:17" x14ac:dyDescent="0.35">
      <c r="A865" s="98" t="s">
        <v>45</v>
      </c>
      <c r="B865" s="98" t="s">
        <v>185</v>
      </c>
      <c r="C865" s="98" t="s">
        <v>235</v>
      </c>
      <c r="D865" s="99">
        <v>15234975.999999991</v>
      </c>
      <c r="E865" s="99">
        <v>17835892.999999981</v>
      </c>
      <c r="F865" s="99">
        <v>20017675.000000004</v>
      </c>
      <c r="G865" s="99">
        <v>500</v>
      </c>
      <c r="H865" s="98">
        <v>2012</v>
      </c>
      <c r="I865" s="99">
        <v>761</v>
      </c>
      <c r="J865" s="98">
        <v>2018</v>
      </c>
      <c r="K865" s="99">
        <v>2633</v>
      </c>
      <c r="L865" s="98">
        <v>2022</v>
      </c>
      <c r="M865" s="98" t="s">
        <v>225</v>
      </c>
      <c r="N865" s="99">
        <v>2633</v>
      </c>
      <c r="O865" s="100">
        <v>0.32819218093943853</v>
      </c>
      <c r="P865" s="100">
        <v>0.42666773118677087</v>
      </c>
      <c r="Q865" s="100">
        <v>1.3153375704221393</v>
      </c>
    </row>
    <row r="866" spans="1:17" x14ac:dyDescent="0.35">
      <c r="A866" s="98" t="s">
        <v>45</v>
      </c>
      <c r="B866" s="98" t="s">
        <v>185</v>
      </c>
      <c r="C866" s="98" t="s">
        <v>236</v>
      </c>
      <c r="D866" s="99">
        <v>15234975.999999991</v>
      </c>
      <c r="E866" s="99">
        <v>17835892.999999981</v>
      </c>
      <c r="F866" s="99">
        <v>20017675.000000004</v>
      </c>
      <c r="G866" s="99">
        <v>0</v>
      </c>
      <c r="H866" s="98" t="s">
        <v>225</v>
      </c>
      <c r="I866" s="99">
        <v>1232</v>
      </c>
      <c r="J866" s="98" t="s">
        <v>229</v>
      </c>
      <c r="K866" s="99">
        <v>1232</v>
      </c>
      <c r="L866" s="98" t="s">
        <v>229</v>
      </c>
      <c r="M866" s="98" t="s">
        <v>225</v>
      </c>
      <c r="N866" s="99">
        <v>1232</v>
      </c>
      <c r="O866" s="100">
        <v>0</v>
      </c>
      <c r="P866" s="100">
        <v>0.69074197742720322</v>
      </c>
      <c r="Q866" s="100">
        <v>0.61545609067986151</v>
      </c>
    </row>
    <row r="867" spans="1:17" x14ac:dyDescent="0.35">
      <c r="A867" s="98" t="s">
        <v>45</v>
      </c>
      <c r="B867" s="98" t="s">
        <v>185</v>
      </c>
      <c r="C867" s="98" t="s">
        <v>237</v>
      </c>
      <c r="D867" s="99">
        <v>15234975.999999991</v>
      </c>
      <c r="E867" s="99">
        <v>17835892.999999981</v>
      </c>
      <c r="F867" s="99">
        <v>20017675.000000004</v>
      </c>
      <c r="G867" s="99">
        <v>18</v>
      </c>
      <c r="H867" s="98">
        <v>2012</v>
      </c>
      <c r="I867" s="99">
        <v>61</v>
      </c>
      <c r="J867" s="98" t="s">
        <v>229</v>
      </c>
      <c r="K867" s="99">
        <v>244</v>
      </c>
      <c r="L867" s="98">
        <v>2022</v>
      </c>
      <c r="M867" s="98" t="s">
        <v>225</v>
      </c>
      <c r="N867" s="99">
        <v>244</v>
      </c>
      <c r="O867" s="100">
        <v>1.1814918513819786E-2</v>
      </c>
      <c r="P867" s="100">
        <v>3.4200698557678086E-2</v>
      </c>
      <c r="Q867" s="100">
        <v>0.12189227769958297</v>
      </c>
    </row>
    <row r="868" spans="1:17" x14ac:dyDescent="0.35">
      <c r="A868" s="98" t="s">
        <v>45</v>
      </c>
      <c r="B868" s="98" t="s">
        <v>185</v>
      </c>
      <c r="C868" s="98" t="s">
        <v>238</v>
      </c>
      <c r="D868" s="99">
        <v>15234975.999999991</v>
      </c>
      <c r="E868" s="99">
        <v>17835892.999999981</v>
      </c>
      <c r="F868" s="99">
        <v>20017675.000000004</v>
      </c>
      <c r="G868" s="99">
        <v>0</v>
      </c>
      <c r="H868" s="98" t="s">
        <v>225</v>
      </c>
      <c r="I868" s="99">
        <v>17801</v>
      </c>
      <c r="J868" s="98" t="s">
        <v>229</v>
      </c>
      <c r="K868" s="99">
        <v>17801</v>
      </c>
      <c r="L868" s="98" t="s">
        <v>229</v>
      </c>
      <c r="M868" s="98" t="s">
        <v>225</v>
      </c>
      <c r="N868" s="99">
        <v>17801</v>
      </c>
      <c r="O868" s="100">
        <v>0</v>
      </c>
      <c r="P868" s="100">
        <v>9.9804366397578299</v>
      </c>
      <c r="Q868" s="100">
        <v>8.8926411284027722</v>
      </c>
    </row>
    <row r="869" spans="1:17" x14ac:dyDescent="0.35">
      <c r="A869" s="98" t="s">
        <v>45</v>
      </c>
      <c r="B869" s="98" t="s">
        <v>185</v>
      </c>
      <c r="C869" s="98" t="s">
        <v>239</v>
      </c>
      <c r="D869" s="99">
        <v>15234975.999999991</v>
      </c>
      <c r="E869" s="99">
        <v>17835892.999999981</v>
      </c>
      <c r="F869" s="99">
        <v>20017675.000000004</v>
      </c>
      <c r="G869" s="99">
        <v>0</v>
      </c>
      <c r="H869" s="98" t="s">
        <v>225</v>
      </c>
      <c r="I869" s="99">
        <v>0</v>
      </c>
      <c r="J869" s="98" t="s">
        <v>225</v>
      </c>
      <c r="K869" s="99">
        <v>0</v>
      </c>
      <c r="L869" s="98" t="s">
        <v>225</v>
      </c>
      <c r="M869" s="98" t="s">
        <v>225</v>
      </c>
      <c r="N869" s="99">
        <v>0</v>
      </c>
      <c r="O869" s="100">
        <v>0</v>
      </c>
      <c r="P869" s="100">
        <v>0</v>
      </c>
      <c r="Q869" s="100">
        <v>0</v>
      </c>
    </row>
    <row r="870" spans="1:17" x14ac:dyDescent="0.35">
      <c r="A870" s="98" t="s">
        <v>45</v>
      </c>
      <c r="B870" s="98" t="s">
        <v>185</v>
      </c>
      <c r="C870" s="98" t="s">
        <v>240</v>
      </c>
      <c r="D870" s="99">
        <v>15234975.999999991</v>
      </c>
      <c r="E870" s="99">
        <v>17835892.999999981</v>
      </c>
      <c r="F870" s="99">
        <v>20017675.000000004</v>
      </c>
      <c r="G870" s="99">
        <v>1126</v>
      </c>
      <c r="H870" s="98">
        <v>2012</v>
      </c>
      <c r="I870" s="99">
        <v>1712</v>
      </c>
      <c r="J870" s="98">
        <v>2018</v>
      </c>
      <c r="K870" s="99">
        <v>2235</v>
      </c>
      <c r="L870" s="98">
        <v>2022</v>
      </c>
      <c r="M870" s="98" t="s">
        <v>225</v>
      </c>
      <c r="N870" s="99">
        <v>2235</v>
      </c>
      <c r="O870" s="100">
        <v>0.73908879147561546</v>
      </c>
      <c r="P870" s="100">
        <v>0.95986222837286683</v>
      </c>
      <c r="Q870" s="100">
        <v>1.1165132813875736</v>
      </c>
    </row>
    <row r="871" spans="1:17" x14ac:dyDescent="0.35">
      <c r="A871" s="98" t="s">
        <v>45</v>
      </c>
      <c r="B871" s="98" t="s">
        <v>185</v>
      </c>
      <c r="C871" s="98" t="s">
        <v>241</v>
      </c>
      <c r="D871" s="99">
        <v>15234975.999999991</v>
      </c>
      <c r="E871" s="99">
        <v>17835892.999999981</v>
      </c>
      <c r="F871" s="99">
        <v>20017675.000000004</v>
      </c>
      <c r="G871" s="99">
        <v>3141</v>
      </c>
      <c r="H871" s="98">
        <v>2012</v>
      </c>
      <c r="I871" s="99">
        <v>3616</v>
      </c>
      <c r="J871" s="98">
        <v>2018</v>
      </c>
      <c r="K871" s="99">
        <v>970</v>
      </c>
      <c r="L871" s="98">
        <v>2022</v>
      </c>
      <c r="M871" s="98" t="s">
        <v>226</v>
      </c>
      <c r="N871" s="99">
        <v>1114.8196849908027</v>
      </c>
      <c r="O871" s="100">
        <v>2.0617032806615527</v>
      </c>
      <c r="P871" s="100">
        <v>2.0273725571239991</v>
      </c>
      <c r="Q871" s="100">
        <v>0.55691766650762509</v>
      </c>
    </row>
    <row r="872" spans="1:17" x14ac:dyDescent="0.35">
      <c r="A872" s="98" t="s">
        <v>45</v>
      </c>
      <c r="B872" s="98" t="s">
        <v>185</v>
      </c>
      <c r="C872" s="98" t="s">
        <v>242</v>
      </c>
      <c r="D872" s="99">
        <v>15234975.999999991</v>
      </c>
      <c r="E872" s="99">
        <v>17835892.999999981</v>
      </c>
      <c r="F872" s="99">
        <v>20017675.000000004</v>
      </c>
      <c r="G872" s="99">
        <v>485</v>
      </c>
      <c r="H872" s="98">
        <v>2012</v>
      </c>
      <c r="I872" s="99">
        <v>739</v>
      </c>
      <c r="J872" s="98">
        <v>2018</v>
      </c>
      <c r="K872" s="99">
        <v>1239</v>
      </c>
      <c r="L872" s="98">
        <v>2022</v>
      </c>
      <c r="M872" s="98" t="s">
        <v>225</v>
      </c>
      <c r="N872" s="99">
        <v>1239</v>
      </c>
      <c r="O872" s="100">
        <v>0.31834641551125537</v>
      </c>
      <c r="P872" s="100">
        <v>0.41433305301842793</v>
      </c>
      <c r="Q872" s="100">
        <v>0.61895300028599709</v>
      </c>
    </row>
    <row r="873" spans="1:17" x14ac:dyDescent="0.35">
      <c r="A873" s="98" t="s">
        <v>45</v>
      </c>
      <c r="B873" s="98" t="s">
        <v>185</v>
      </c>
      <c r="C873" s="98" t="s">
        <v>243</v>
      </c>
      <c r="D873" s="99">
        <v>15234975.999999991</v>
      </c>
      <c r="E873" s="99">
        <v>17835892.999999981</v>
      </c>
      <c r="F873" s="99">
        <v>20017675.000000004</v>
      </c>
      <c r="G873" s="99">
        <v>0</v>
      </c>
      <c r="H873" s="98" t="s">
        <v>225</v>
      </c>
      <c r="I873" s="99">
        <v>0</v>
      </c>
      <c r="J873" s="98" t="s">
        <v>225</v>
      </c>
      <c r="K873" s="99">
        <v>0</v>
      </c>
      <c r="L873" s="98" t="s">
        <v>225</v>
      </c>
      <c r="M873" s="98" t="s">
        <v>225</v>
      </c>
      <c r="N873" s="99">
        <v>0</v>
      </c>
      <c r="O873" s="100">
        <v>0</v>
      </c>
      <c r="P873" s="100">
        <v>0</v>
      </c>
      <c r="Q873" s="100">
        <v>0</v>
      </c>
    </row>
    <row r="874" spans="1:17" x14ac:dyDescent="0.35">
      <c r="A874" s="98" t="s">
        <v>45</v>
      </c>
      <c r="B874" s="98" t="s">
        <v>185</v>
      </c>
      <c r="C874" s="98" t="s">
        <v>244</v>
      </c>
      <c r="D874" s="99">
        <v>15234975.999999991</v>
      </c>
      <c r="E874" s="99">
        <v>17835892.999999981</v>
      </c>
      <c r="F874" s="99">
        <v>20017675.000000004</v>
      </c>
      <c r="G874" s="99">
        <v>0</v>
      </c>
      <c r="H874" s="98" t="s">
        <v>225</v>
      </c>
      <c r="I874" s="99">
        <v>0</v>
      </c>
      <c r="J874" s="98" t="s">
        <v>225</v>
      </c>
      <c r="K874" s="99">
        <v>2</v>
      </c>
      <c r="L874" s="98">
        <v>2022</v>
      </c>
      <c r="M874" s="98" t="s">
        <v>225</v>
      </c>
      <c r="N874" s="99">
        <v>2</v>
      </c>
      <c r="O874" s="100">
        <v>0</v>
      </c>
      <c r="P874" s="100">
        <v>0</v>
      </c>
      <c r="Q874" s="100">
        <v>9.9911703032445052E-4</v>
      </c>
    </row>
    <row r="875" spans="1:17" x14ac:dyDescent="0.35">
      <c r="A875" s="98" t="s">
        <v>45</v>
      </c>
      <c r="B875" s="98" t="s">
        <v>185</v>
      </c>
      <c r="C875" s="98" t="s">
        <v>245</v>
      </c>
      <c r="D875" s="99">
        <v>15234975.999999991</v>
      </c>
      <c r="E875" s="99">
        <v>17835892.999999981</v>
      </c>
      <c r="F875" s="99">
        <v>20017675.000000004</v>
      </c>
      <c r="G875" s="99">
        <v>0</v>
      </c>
      <c r="H875" s="98" t="s">
        <v>225</v>
      </c>
      <c r="I875" s="99">
        <v>0</v>
      </c>
      <c r="J875" s="98" t="s">
        <v>225</v>
      </c>
      <c r="K875" s="99">
        <v>0</v>
      </c>
      <c r="L875" s="98" t="s">
        <v>225</v>
      </c>
      <c r="M875" s="98" t="s">
        <v>225</v>
      </c>
      <c r="N875" s="99">
        <v>0</v>
      </c>
      <c r="O875" s="100">
        <v>0</v>
      </c>
      <c r="P875" s="100">
        <v>0</v>
      </c>
      <c r="Q875" s="100">
        <v>0</v>
      </c>
    </row>
    <row r="876" spans="1:17" x14ac:dyDescent="0.35">
      <c r="A876" s="98" t="s">
        <v>46</v>
      </c>
      <c r="B876" s="98" t="s">
        <v>186</v>
      </c>
      <c r="C876" s="98" t="s">
        <v>224</v>
      </c>
      <c r="D876" s="99">
        <v>13555421.500000011</v>
      </c>
      <c r="E876" s="99">
        <v>15052184.000000007</v>
      </c>
      <c r="F876" s="99">
        <v>16320536.999999996</v>
      </c>
      <c r="G876" s="99">
        <v>11200</v>
      </c>
      <c r="H876" s="98">
        <v>2015</v>
      </c>
      <c r="I876" s="99">
        <v>15888</v>
      </c>
      <c r="J876" s="98">
        <v>2018</v>
      </c>
      <c r="K876" s="99">
        <v>19722</v>
      </c>
      <c r="L876" s="98">
        <v>2022</v>
      </c>
      <c r="M876" s="98" t="s">
        <v>225</v>
      </c>
      <c r="N876" s="99">
        <v>19722</v>
      </c>
      <c r="O876" s="100">
        <v>8.262376791455722</v>
      </c>
      <c r="P876" s="100">
        <v>10.555278888432397</v>
      </c>
      <c r="Q876" s="100">
        <v>12.084161201313416</v>
      </c>
    </row>
    <row r="877" spans="1:17" x14ac:dyDescent="0.35">
      <c r="A877" s="98" t="s">
        <v>46</v>
      </c>
      <c r="B877" s="98" t="s">
        <v>186</v>
      </c>
      <c r="C877" s="98" t="s">
        <v>227</v>
      </c>
      <c r="D877" s="99">
        <v>13555421.500000011</v>
      </c>
      <c r="E877" s="99">
        <v>15052184.000000007</v>
      </c>
      <c r="F877" s="99">
        <v>16320536.999999996</v>
      </c>
      <c r="G877" s="99">
        <v>845</v>
      </c>
      <c r="H877" s="98">
        <v>2015</v>
      </c>
      <c r="I877" s="99">
        <v>0</v>
      </c>
      <c r="J877" s="98" t="s">
        <v>225</v>
      </c>
      <c r="K877" s="99">
        <v>280</v>
      </c>
      <c r="L877" s="98">
        <v>2022</v>
      </c>
      <c r="M877" s="98" t="s">
        <v>225</v>
      </c>
      <c r="N877" s="99">
        <v>280</v>
      </c>
      <c r="O877" s="100">
        <v>0.62336682042679326</v>
      </c>
      <c r="P877" s="100">
        <v>0</v>
      </c>
      <c r="Q877" s="100">
        <v>0.17156298227196817</v>
      </c>
    </row>
    <row r="878" spans="1:17" x14ac:dyDescent="0.35">
      <c r="A878" s="98" t="s">
        <v>46</v>
      </c>
      <c r="B878" s="98" t="s">
        <v>186</v>
      </c>
      <c r="C878" s="98" t="s">
        <v>228</v>
      </c>
      <c r="D878" s="99">
        <v>13555421.500000011</v>
      </c>
      <c r="E878" s="99">
        <v>15052184.000000007</v>
      </c>
      <c r="F878" s="99">
        <v>16320536.999999996</v>
      </c>
      <c r="G878" s="99">
        <v>1885</v>
      </c>
      <c r="H878" s="98">
        <v>2015</v>
      </c>
      <c r="I878" s="99">
        <v>1644</v>
      </c>
      <c r="J878" s="98" t="s">
        <v>229</v>
      </c>
      <c r="K878" s="99">
        <v>2684</v>
      </c>
      <c r="L878" s="98">
        <v>2022</v>
      </c>
      <c r="M878" s="98" t="s">
        <v>225</v>
      </c>
      <c r="N878" s="99">
        <v>2684</v>
      </c>
      <c r="O878" s="100">
        <v>1.3905875224905389</v>
      </c>
      <c r="P878" s="100">
        <v>1.0922003079420231</v>
      </c>
      <c r="Q878" s="100">
        <v>1.644553730064152</v>
      </c>
    </row>
    <row r="879" spans="1:17" x14ac:dyDescent="0.35">
      <c r="A879" s="98" t="s">
        <v>46</v>
      </c>
      <c r="B879" s="98" t="s">
        <v>186</v>
      </c>
      <c r="C879" s="98" t="s">
        <v>230</v>
      </c>
      <c r="D879" s="99">
        <v>13555421.500000011</v>
      </c>
      <c r="E879" s="99">
        <v>15052184.000000007</v>
      </c>
      <c r="F879" s="99">
        <v>16320536.999999996</v>
      </c>
      <c r="G879" s="99">
        <v>0</v>
      </c>
      <c r="H879" s="98" t="s">
        <v>225</v>
      </c>
      <c r="I879" s="99">
        <v>2115</v>
      </c>
      <c r="J879" s="98" t="s">
        <v>229</v>
      </c>
      <c r="K879" s="99">
        <v>2115</v>
      </c>
      <c r="L879" s="98" t="s">
        <v>229</v>
      </c>
      <c r="M879" s="98" t="s">
        <v>225</v>
      </c>
      <c r="N879" s="99">
        <v>2115</v>
      </c>
      <c r="O879" s="100">
        <v>0</v>
      </c>
      <c r="P879" s="100">
        <v>1.405111710034902</v>
      </c>
      <c r="Q879" s="100">
        <v>1.2959132410900454</v>
      </c>
    </row>
    <row r="880" spans="1:17" x14ac:dyDescent="0.35">
      <c r="A880" s="98" t="s">
        <v>46</v>
      </c>
      <c r="B880" s="98" t="s">
        <v>186</v>
      </c>
      <c r="C880" s="98" t="s">
        <v>231</v>
      </c>
      <c r="D880" s="99">
        <v>13555421.500000011</v>
      </c>
      <c r="E880" s="99">
        <v>15052184.000000007</v>
      </c>
      <c r="F880" s="99">
        <v>16320536.999999996</v>
      </c>
      <c r="G880" s="99">
        <v>229</v>
      </c>
      <c r="H880" s="98">
        <v>2014</v>
      </c>
      <c r="I880" s="99">
        <v>414</v>
      </c>
      <c r="J880" s="98">
        <v>2018</v>
      </c>
      <c r="K880" s="99">
        <v>414</v>
      </c>
      <c r="L880" s="98">
        <v>2018</v>
      </c>
      <c r="M880" s="98" t="s">
        <v>225</v>
      </c>
      <c r="N880" s="99">
        <v>414</v>
      </c>
      <c r="O880" s="100">
        <v>0.16893609689672859</v>
      </c>
      <c r="P880" s="100">
        <v>0.27504314324087442</v>
      </c>
      <c r="Q880" s="100">
        <v>0.25366812378783865</v>
      </c>
    </row>
    <row r="881" spans="1:17" x14ac:dyDescent="0.35">
      <c r="A881" s="98" t="s">
        <v>46</v>
      </c>
      <c r="B881" s="98" t="s">
        <v>186</v>
      </c>
      <c r="C881" s="98" t="s">
        <v>232</v>
      </c>
      <c r="D881" s="99">
        <v>13555421.500000011</v>
      </c>
      <c r="E881" s="99">
        <v>15052184.000000007</v>
      </c>
      <c r="F881" s="99">
        <v>16320536.999999996</v>
      </c>
      <c r="G881" s="99">
        <v>26</v>
      </c>
      <c r="H881" s="98">
        <v>2013</v>
      </c>
      <c r="I881" s="99">
        <v>40</v>
      </c>
      <c r="J881" s="98">
        <v>2018</v>
      </c>
      <c r="K881" s="99">
        <v>318</v>
      </c>
      <c r="L881" s="98">
        <v>2022</v>
      </c>
      <c r="M881" s="98" t="s">
        <v>225</v>
      </c>
      <c r="N881" s="99">
        <v>318</v>
      </c>
      <c r="O881" s="100">
        <v>1.918051755159364E-2</v>
      </c>
      <c r="P881" s="100">
        <v>2.6574216738248734E-2</v>
      </c>
      <c r="Q881" s="100">
        <v>0.194846529866021</v>
      </c>
    </row>
    <row r="882" spans="1:17" x14ac:dyDescent="0.35">
      <c r="A882" s="98" t="s">
        <v>46</v>
      </c>
      <c r="B882" s="98" t="s">
        <v>186</v>
      </c>
      <c r="C882" s="98" t="s">
        <v>233</v>
      </c>
      <c r="D882" s="99">
        <v>13555421.500000011</v>
      </c>
      <c r="E882" s="99">
        <v>15052184.000000007</v>
      </c>
      <c r="F882" s="99">
        <v>16320536.999999996</v>
      </c>
      <c r="G882" s="99">
        <v>343</v>
      </c>
      <c r="H882" s="98">
        <v>2013</v>
      </c>
      <c r="I882" s="99">
        <v>644</v>
      </c>
      <c r="J882" s="98">
        <v>2018</v>
      </c>
      <c r="K882" s="99">
        <v>757</v>
      </c>
      <c r="L882" s="98">
        <v>2022</v>
      </c>
      <c r="M882" s="98" t="s">
        <v>225</v>
      </c>
      <c r="N882" s="99">
        <v>757</v>
      </c>
      <c r="O882" s="100">
        <v>0.25303528923833146</v>
      </c>
      <c r="P882" s="100">
        <v>0.42784488948580462</v>
      </c>
      <c r="Q882" s="100">
        <v>0.46383277707099968</v>
      </c>
    </row>
    <row r="883" spans="1:17" x14ac:dyDescent="0.35">
      <c r="A883" s="98" t="s">
        <v>46</v>
      </c>
      <c r="B883" s="98" t="s">
        <v>186</v>
      </c>
      <c r="C883" s="98" t="s">
        <v>234</v>
      </c>
      <c r="D883" s="99">
        <v>13555421.500000011</v>
      </c>
      <c r="E883" s="99">
        <v>15052184.000000007</v>
      </c>
      <c r="F883" s="99">
        <v>16320536.999999996</v>
      </c>
      <c r="G883" s="99">
        <v>0</v>
      </c>
      <c r="H883" s="98" t="s">
        <v>225</v>
      </c>
      <c r="I883" s="99">
        <v>164</v>
      </c>
      <c r="J883" s="98">
        <v>2018</v>
      </c>
      <c r="K883" s="99">
        <v>164</v>
      </c>
      <c r="L883" s="98">
        <v>2018</v>
      </c>
      <c r="M883" s="98" t="s">
        <v>225</v>
      </c>
      <c r="N883" s="99">
        <v>164</v>
      </c>
      <c r="O883" s="100">
        <v>0</v>
      </c>
      <c r="P883" s="100">
        <v>0.10895428862681981</v>
      </c>
      <c r="Q883" s="100">
        <v>0.10048688961643851</v>
      </c>
    </row>
    <row r="884" spans="1:17" x14ac:dyDescent="0.35">
      <c r="A884" s="98" t="s">
        <v>46</v>
      </c>
      <c r="B884" s="98" t="s">
        <v>186</v>
      </c>
      <c r="C884" s="98" t="s">
        <v>235</v>
      </c>
      <c r="D884" s="99">
        <v>13555421.500000011</v>
      </c>
      <c r="E884" s="99">
        <v>15052184.000000007</v>
      </c>
      <c r="F884" s="99">
        <v>16320536.999999996</v>
      </c>
      <c r="G884" s="99">
        <v>239</v>
      </c>
      <c r="H884" s="98">
        <v>2013</v>
      </c>
      <c r="I884" s="99">
        <v>480</v>
      </c>
      <c r="J884" s="98">
        <v>2018</v>
      </c>
      <c r="K884" s="99">
        <v>376</v>
      </c>
      <c r="L884" s="98">
        <v>2022</v>
      </c>
      <c r="M884" s="98" t="s">
        <v>226</v>
      </c>
      <c r="N884" s="99">
        <v>434.81572579045508</v>
      </c>
      <c r="O884" s="100">
        <v>0.17631321903195693</v>
      </c>
      <c r="P884" s="100">
        <v>0.3188906008589848</v>
      </c>
      <c r="Q884" s="100">
        <v>0.2664224380548601</v>
      </c>
    </row>
    <row r="885" spans="1:17" x14ac:dyDescent="0.35">
      <c r="A885" s="98" t="s">
        <v>46</v>
      </c>
      <c r="B885" s="98" t="s">
        <v>186</v>
      </c>
      <c r="C885" s="98" t="s">
        <v>236</v>
      </c>
      <c r="D885" s="99">
        <v>13555421.500000011</v>
      </c>
      <c r="E885" s="99">
        <v>15052184.000000007</v>
      </c>
      <c r="F885" s="99">
        <v>16320536.999999996</v>
      </c>
      <c r="G885" s="99">
        <v>0</v>
      </c>
      <c r="H885" s="98" t="s">
        <v>225</v>
      </c>
      <c r="I885" s="99">
        <v>718</v>
      </c>
      <c r="J885" s="98" t="s">
        <v>229</v>
      </c>
      <c r="K885" s="99">
        <v>718</v>
      </c>
      <c r="L885" s="98" t="s">
        <v>229</v>
      </c>
      <c r="M885" s="98" t="s">
        <v>225</v>
      </c>
      <c r="N885" s="99">
        <v>718</v>
      </c>
      <c r="O885" s="100">
        <v>0</v>
      </c>
      <c r="P885" s="100">
        <v>0.47700719045156481</v>
      </c>
      <c r="Q885" s="100">
        <v>0.43993650454026123</v>
      </c>
    </row>
    <row r="886" spans="1:17" x14ac:dyDescent="0.35">
      <c r="A886" s="98" t="s">
        <v>46</v>
      </c>
      <c r="B886" s="98" t="s">
        <v>186</v>
      </c>
      <c r="C886" s="98" t="s">
        <v>237</v>
      </c>
      <c r="D886" s="99">
        <v>13555421.500000011</v>
      </c>
      <c r="E886" s="99">
        <v>15052184.000000007</v>
      </c>
      <c r="F886" s="99">
        <v>16320536.999999996</v>
      </c>
      <c r="G886" s="99">
        <v>0</v>
      </c>
      <c r="H886" s="98" t="s">
        <v>225</v>
      </c>
      <c r="I886" s="99">
        <v>20</v>
      </c>
      <c r="J886" s="98">
        <v>2017</v>
      </c>
      <c r="K886" s="99">
        <v>20</v>
      </c>
      <c r="L886" s="98">
        <v>2017</v>
      </c>
      <c r="M886" s="98" t="s">
        <v>225</v>
      </c>
      <c r="N886" s="99">
        <v>20</v>
      </c>
      <c r="O886" s="100">
        <v>0</v>
      </c>
      <c r="P886" s="100">
        <v>1.3287108369124367E-2</v>
      </c>
      <c r="Q886" s="100">
        <v>1.2254498733712012E-2</v>
      </c>
    </row>
    <row r="887" spans="1:17" x14ac:dyDescent="0.35">
      <c r="A887" s="98" t="s">
        <v>46</v>
      </c>
      <c r="B887" s="98" t="s">
        <v>186</v>
      </c>
      <c r="C887" s="98" t="s">
        <v>238</v>
      </c>
      <c r="D887" s="99">
        <v>13555421.500000011</v>
      </c>
      <c r="E887" s="99">
        <v>15052184.000000007</v>
      </c>
      <c r="F887" s="99">
        <v>16320536.999999996</v>
      </c>
      <c r="G887" s="99">
        <v>0</v>
      </c>
      <c r="H887" s="98" t="s">
        <v>225</v>
      </c>
      <c r="I887" s="99">
        <v>9502</v>
      </c>
      <c r="J887" s="98" t="s">
        <v>229</v>
      </c>
      <c r="K887" s="99">
        <v>9502</v>
      </c>
      <c r="L887" s="98" t="s">
        <v>229</v>
      </c>
      <c r="M887" s="98" t="s">
        <v>225</v>
      </c>
      <c r="N887" s="99">
        <v>9502</v>
      </c>
      <c r="O887" s="100">
        <v>0</v>
      </c>
      <c r="P887" s="100">
        <v>6.3127051861709873</v>
      </c>
      <c r="Q887" s="100">
        <v>5.8221123483865771</v>
      </c>
    </row>
    <row r="888" spans="1:17" x14ac:dyDescent="0.35">
      <c r="A888" s="98" t="s">
        <v>46</v>
      </c>
      <c r="B888" s="98" t="s">
        <v>186</v>
      </c>
      <c r="C888" s="98" t="s">
        <v>239</v>
      </c>
      <c r="D888" s="99">
        <v>13555421.500000011</v>
      </c>
      <c r="E888" s="99">
        <v>15052184.000000007</v>
      </c>
      <c r="F888" s="99">
        <v>16320536.999999996</v>
      </c>
      <c r="G888" s="99">
        <v>0</v>
      </c>
      <c r="H888" s="98" t="s">
        <v>225</v>
      </c>
      <c r="I888" s="99">
        <v>1122</v>
      </c>
      <c r="J888" s="98" t="s">
        <v>229</v>
      </c>
      <c r="K888" s="99">
        <v>1122</v>
      </c>
      <c r="L888" s="98" t="s">
        <v>229</v>
      </c>
      <c r="M888" s="98" t="s">
        <v>225</v>
      </c>
      <c r="N888" s="99">
        <v>1122</v>
      </c>
      <c r="O888" s="100">
        <v>0</v>
      </c>
      <c r="P888" s="100">
        <v>0.74540677950787704</v>
      </c>
      <c r="Q888" s="100">
        <v>0.68747737896124395</v>
      </c>
    </row>
    <row r="889" spans="1:17" x14ac:dyDescent="0.35">
      <c r="A889" s="98" t="s">
        <v>46</v>
      </c>
      <c r="B889" s="98" t="s">
        <v>186</v>
      </c>
      <c r="C889" s="98" t="s">
        <v>240</v>
      </c>
      <c r="D889" s="99">
        <v>13555421.500000011</v>
      </c>
      <c r="E889" s="99">
        <v>15052184.000000007</v>
      </c>
      <c r="F889" s="99">
        <v>16320536.999999996</v>
      </c>
      <c r="G889" s="99">
        <v>519</v>
      </c>
      <c r="H889" s="98">
        <v>2014</v>
      </c>
      <c r="I889" s="99">
        <v>1126</v>
      </c>
      <c r="J889" s="98">
        <v>2018</v>
      </c>
      <c r="K889" s="99">
        <v>795</v>
      </c>
      <c r="L889" s="98">
        <v>2022</v>
      </c>
      <c r="M889" s="98" t="s">
        <v>226</v>
      </c>
      <c r="N889" s="99">
        <v>919.35771809418031</v>
      </c>
      <c r="O889" s="100">
        <v>0.38287263881834999</v>
      </c>
      <c r="P889" s="100">
        <v>0.74806420118170192</v>
      </c>
      <c r="Q889" s="100">
        <v>0.56331339961067495</v>
      </c>
    </row>
    <row r="890" spans="1:17" x14ac:dyDescent="0.35">
      <c r="A890" s="98" t="s">
        <v>46</v>
      </c>
      <c r="B890" s="98" t="s">
        <v>186</v>
      </c>
      <c r="C890" s="98" t="s">
        <v>241</v>
      </c>
      <c r="D890" s="99">
        <v>13555421.500000011</v>
      </c>
      <c r="E890" s="99">
        <v>15052184.000000007</v>
      </c>
      <c r="F890" s="99">
        <v>16320536.999999996</v>
      </c>
      <c r="G890" s="99">
        <v>145</v>
      </c>
      <c r="H890" s="98">
        <v>2014</v>
      </c>
      <c r="I890" s="99">
        <v>1094</v>
      </c>
      <c r="J890" s="98" t="s">
        <v>229</v>
      </c>
      <c r="K890" s="99">
        <v>1094</v>
      </c>
      <c r="L890" s="98" t="s">
        <v>229</v>
      </c>
      <c r="M890" s="98" t="s">
        <v>225</v>
      </c>
      <c r="N890" s="99">
        <v>1094</v>
      </c>
      <c r="O890" s="100">
        <v>0.10696827096081069</v>
      </c>
      <c r="P890" s="100">
        <v>0.72680482779110289</v>
      </c>
      <c r="Q890" s="100">
        <v>0.67032108073404706</v>
      </c>
    </row>
    <row r="891" spans="1:17" x14ac:dyDescent="0.35">
      <c r="A891" s="98" t="s">
        <v>46</v>
      </c>
      <c r="B891" s="98" t="s">
        <v>186</v>
      </c>
      <c r="C891" s="98" t="s">
        <v>242</v>
      </c>
      <c r="D891" s="99">
        <v>13555421.500000011</v>
      </c>
      <c r="E891" s="99">
        <v>15052184.000000007</v>
      </c>
      <c r="F891" s="99">
        <v>16320536.999999996</v>
      </c>
      <c r="G891" s="99">
        <v>419</v>
      </c>
      <c r="H891" s="98">
        <v>2013</v>
      </c>
      <c r="I891" s="99">
        <v>688</v>
      </c>
      <c r="J891" s="98">
        <v>2018</v>
      </c>
      <c r="K891" s="99">
        <v>957</v>
      </c>
      <c r="L891" s="98">
        <v>2022</v>
      </c>
      <c r="M891" s="98" t="s">
        <v>225</v>
      </c>
      <c r="N891" s="99">
        <v>957</v>
      </c>
      <c r="O891" s="100">
        <v>0.30910141746606673</v>
      </c>
      <c r="P891" s="100">
        <v>0.45707652789787823</v>
      </c>
      <c r="Q891" s="100">
        <v>0.58637776440811984</v>
      </c>
    </row>
    <row r="892" spans="1:17" x14ac:dyDescent="0.35">
      <c r="A892" s="98" t="s">
        <v>46</v>
      </c>
      <c r="B892" s="98" t="s">
        <v>186</v>
      </c>
      <c r="C892" s="98" t="s">
        <v>243</v>
      </c>
      <c r="D892" s="99">
        <v>13555421.500000011</v>
      </c>
      <c r="E892" s="99">
        <v>15052184.000000007</v>
      </c>
      <c r="F892" s="99">
        <v>16320536.999999996</v>
      </c>
      <c r="G892" s="99">
        <v>0</v>
      </c>
      <c r="H892" s="98" t="s">
        <v>225</v>
      </c>
      <c r="I892" s="99">
        <v>12</v>
      </c>
      <c r="J892" s="98">
        <v>2018</v>
      </c>
      <c r="K892" s="99">
        <v>84</v>
      </c>
      <c r="L892" s="98">
        <v>2022</v>
      </c>
      <c r="M892" s="98" t="s">
        <v>225</v>
      </c>
      <c r="N892" s="99">
        <v>84</v>
      </c>
      <c r="O892" s="100">
        <v>0</v>
      </c>
      <c r="P892" s="100">
        <v>7.9722650214746199E-3</v>
      </c>
      <c r="Q892" s="100">
        <v>5.1468894681590452E-2</v>
      </c>
    </row>
    <row r="893" spans="1:17" x14ac:dyDescent="0.35">
      <c r="A893" s="98" t="s">
        <v>46</v>
      </c>
      <c r="B893" s="98" t="s">
        <v>186</v>
      </c>
      <c r="C893" s="98" t="s">
        <v>244</v>
      </c>
      <c r="D893" s="99">
        <v>13555421.500000011</v>
      </c>
      <c r="E893" s="99">
        <v>15052184.000000007</v>
      </c>
      <c r="F893" s="99">
        <v>16320536.999999996</v>
      </c>
      <c r="G893" s="99">
        <v>0</v>
      </c>
      <c r="H893" s="98" t="s">
        <v>225</v>
      </c>
      <c r="I893" s="99">
        <v>0</v>
      </c>
      <c r="J893" s="98" t="s">
        <v>225</v>
      </c>
      <c r="K893" s="99">
        <v>22</v>
      </c>
      <c r="L893" s="98">
        <v>2022</v>
      </c>
      <c r="M893" s="98" t="s">
        <v>225</v>
      </c>
      <c r="N893" s="99">
        <v>22</v>
      </c>
      <c r="O893" s="100">
        <v>0</v>
      </c>
      <c r="P893" s="100">
        <v>0</v>
      </c>
      <c r="Q893" s="100">
        <v>1.3479948607083214E-2</v>
      </c>
    </row>
    <row r="894" spans="1:17" x14ac:dyDescent="0.35">
      <c r="A894" s="98" t="s">
        <v>46</v>
      </c>
      <c r="B894" s="98" t="s">
        <v>186</v>
      </c>
      <c r="C894" s="98" t="s">
        <v>245</v>
      </c>
      <c r="D894" s="99">
        <v>13555421.500000011</v>
      </c>
      <c r="E894" s="99">
        <v>15052184.000000007</v>
      </c>
      <c r="F894" s="99">
        <v>16320536.999999996</v>
      </c>
      <c r="G894" s="99">
        <v>0</v>
      </c>
      <c r="H894" s="98" t="s">
        <v>225</v>
      </c>
      <c r="I894" s="99">
        <v>1215</v>
      </c>
      <c r="J894" s="98">
        <v>2018</v>
      </c>
      <c r="K894" s="99">
        <v>1215</v>
      </c>
      <c r="L894" s="98">
        <v>2018</v>
      </c>
      <c r="M894" s="98" t="s">
        <v>225</v>
      </c>
      <c r="N894" s="99">
        <v>1215</v>
      </c>
      <c r="O894" s="100">
        <v>0</v>
      </c>
      <c r="P894" s="100">
        <v>0.80719183342430534</v>
      </c>
      <c r="Q894" s="100">
        <v>0.7444607980730048</v>
      </c>
    </row>
    <row r="895" spans="1:17" x14ac:dyDescent="0.35">
      <c r="A895" s="98" t="s">
        <v>2</v>
      </c>
      <c r="B895" s="98" t="s">
        <v>137</v>
      </c>
      <c r="C895" s="98" t="s">
        <v>246</v>
      </c>
      <c r="D895" s="99">
        <v>26147002.000000011</v>
      </c>
      <c r="E895" s="99">
        <v>31273533.000000004</v>
      </c>
      <c r="F895" s="99">
        <v>35588987.00000003</v>
      </c>
      <c r="G895" s="99">
        <v>0</v>
      </c>
      <c r="H895" s="98" t="s">
        <v>225</v>
      </c>
      <c r="I895" s="99">
        <v>6593</v>
      </c>
      <c r="J895" s="98">
        <v>2018</v>
      </c>
      <c r="K895" s="99">
        <v>8693</v>
      </c>
      <c r="L895" s="98">
        <v>2022</v>
      </c>
      <c r="M895" s="98" t="s">
        <v>225</v>
      </c>
      <c r="N895" s="99">
        <v>8693</v>
      </c>
      <c r="O895" s="100">
        <v>0</v>
      </c>
      <c r="P895" s="100">
        <v>2.1081724281039813</v>
      </c>
      <c r="Q895" s="100">
        <v>2.4426095634584915</v>
      </c>
    </row>
    <row r="896" spans="1:17" x14ac:dyDescent="0.35">
      <c r="A896" s="98" t="s">
        <v>2</v>
      </c>
      <c r="B896" s="98" t="s">
        <v>137</v>
      </c>
      <c r="C896" s="98" t="s">
        <v>247</v>
      </c>
      <c r="D896" s="99">
        <v>26147002.000000011</v>
      </c>
      <c r="E896" s="99">
        <v>31273533.000000004</v>
      </c>
      <c r="F896" s="99">
        <v>35588987.00000003</v>
      </c>
      <c r="G896" s="99">
        <v>0</v>
      </c>
      <c r="H896" s="98" t="s">
        <v>225</v>
      </c>
      <c r="I896" s="99">
        <v>3043</v>
      </c>
      <c r="J896" s="98">
        <v>2018</v>
      </c>
      <c r="K896" s="99">
        <v>4778</v>
      </c>
      <c r="L896" s="98">
        <v>2022</v>
      </c>
      <c r="M896" s="98" t="s">
        <v>225</v>
      </c>
      <c r="N896" s="99">
        <v>4778</v>
      </c>
      <c r="O896" s="100">
        <v>0</v>
      </c>
      <c r="P896" s="100">
        <v>0.97302725598671558</v>
      </c>
      <c r="Q896" s="100">
        <v>1.3425501546306997</v>
      </c>
    </row>
    <row r="897" spans="1:17" x14ac:dyDescent="0.35">
      <c r="A897" s="98" t="s">
        <v>2</v>
      </c>
      <c r="B897" s="98" t="s">
        <v>137</v>
      </c>
      <c r="C897" s="98" t="s">
        <v>248</v>
      </c>
      <c r="D897" s="99">
        <v>26147002.000000011</v>
      </c>
      <c r="E897" s="99">
        <v>31273533.000000004</v>
      </c>
      <c r="F897" s="99">
        <v>35588987.00000003</v>
      </c>
      <c r="G897" s="99">
        <v>0</v>
      </c>
      <c r="H897" s="98" t="s">
        <v>225</v>
      </c>
      <c r="I897" s="99">
        <v>3550</v>
      </c>
      <c r="J897" s="98">
        <v>2018</v>
      </c>
      <c r="K897" s="99">
        <v>3915</v>
      </c>
      <c r="L897" s="98">
        <v>2022</v>
      </c>
      <c r="M897" s="98" t="s">
        <v>225</v>
      </c>
      <c r="N897" s="99">
        <v>3915</v>
      </c>
      <c r="O897" s="100">
        <v>0</v>
      </c>
      <c r="P897" s="100">
        <v>1.1351451721172658</v>
      </c>
      <c r="Q897" s="100">
        <v>1.1000594088277917</v>
      </c>
    </row>
    <row r="898" spans="1:17" x14ac:dyDescent="0.35">
      <c r="A898" s="98" t="s">
        <v>2</v>
      </c>
      <c r="B898" s="98" t="s">
        <v>137</v>
      </c>
      <c r="C898" s="98" t="s">
        <v>249</v>
      </c>
      <c r="D898" s="99">
        <v>26147002.000000011</v>
      </c>
      <c r="E898" s="99">
        <v>31273533.000000004</v>
      </c>
      <c r="F898" s="99">
        <v>35588987.00000003</v>
      </c>
      <c r="G898" s="99">
        <v>0</v>
      </c>
      <c r="H898" s="98" t="s">
        <v>225</v>
      </c>
      <c r="I898" s="99">
        <v>46082</v>
      </c>
      <c r="J898" s="98" t="s">
        <v>229</v>
      </c>
      <c r="K898" s="99">
        <v>44989</v>
      </c>
      <c r="L898" s="98">
        <v>2022</v>
      </c>
      <c r="M898" s="98" t="s">
        <v>226</v>
      </c>
      <c r="N898" s="99">
        <v>66717.353814379763</v>
      </c>
      <c r="O898" s="100">
        <v>0</v>
      </c>
      <c r="P898" s="100">
        <v>14.735143611692351</v>
      </c>
      <c r="Q898" s="100">
        <v>18.746629066564807</v>
      </c>
    </row>
    <row r="899" spans="1:17" x14ac:dyDescent="0.35">
      <c r="A899" s="98" t="s">
        <v>2</v>
      </c>
      <c r="B899" s="98" t="s">
        <v>137</v>
      </c>
      <c r="C899" s="98" t="s">
        <v>250</v>
      </c>
      <c r="D899" s="99">
        <v>26147002.000000011</v>
      </c>
      <c r="E899" s="99">
        <v>31273533.000000004</v>
      </c>
      <c r="F899" s="99">
        <v>35588987.00000003</v>
      </c>
      <c r="G899" s="99">
        <v>0</v>
      </c>
      <c r="H899" s="98" t="s">
        <v>225</v>
      </c>
      <c r="I899" s="99">
        <v>9317</v>
      </c>
      <c r="J899" s="98">
        <v>2018</v>
      </c>
      <c r="K899" s="99">
        <v>6241</v>
      </c>
      <c r="L899" s="98">
        <v>2022</v>
      </c>
      <c r="M899" s="98" t="s">
        <v>226</v>
      </c>
      <c r="N899" s="99">
        <v>9255.2180567592986</v>
      </c>
      <c r="O899" s="100">
        <v>0</v>
      </c>
      <c r="P899" s="100">
        <v>2.97919649820185</v>
      </c>
      <c r="Q899" s="100">
        <v>2.6005848541739307</v>
      </c>
    </row>
    <row r="900" spans="1:17" x14ac:dyDescent="0.35">
      <c r="A900" s="98" t="s">
        <v>2</v>
      </c>
      <c r="B900" s="98" t="s">
        <v>137</v>
      </c>
      <c r="C900" s="98" t="s">
        <v>251</v>
      </c>
      <c r="D900" s="99">
        <v>26147002.000000011</v>
      </c>
      <c r="E900" s="99">
        <v>31273533.000000004</v>
      </c>
      <c r="F900" s="99">
        <v>35588987.00000003</v>
      </c>
      <c r="G900" s="99">
        <v>0</v>
      </c>
      <c r="H900" s="98" t="s">
        <v>225</v>
      </c>
      <c r="I900" s="99">
        <v>38861</v>
      </c>
      <c r="J900" s="98" t="s">
        <v>229</v>
      </c>
      <c r="K900" s="99">
        <v>37151</v>
      </c>
      <c r="L900" s="98">
        <v>2022</v>
      </c>
      <c r="M900" s="98" t="s">
        <v>226</v>
      </c>
      <c r="N900" s="99">
        <v>55093.832082465102</v>
      </c>
      <c r="O900" s="100">
        <v>0</v>
      </c>
      <c r="P900" s="100">
        <v>12.426162403844808</v>
      </c>
      <c r="Q900" s="100">
        <v>15.480584508478719</v>
      </c>
    </row>
    <row r="901" spans="1:17" x14ac:dyDescent="0.35">
      <c r="A901" s="98" t="s">
        <v>2</v>
      </c>
      <c r="B901" s="98" t="s">
        <v>137</v>
      </c>
      <c r="C901" s="98" t="s">
        <v>252</v>
      </c>
      <c r="D901" s="99">
        <v>26147002.000000011</v>
      </c>
      <c r="E901" s="99">
        <v>31273533.000000004</v>
      </c>
      <c r="F901" s="99">
        <v>35588987.00000003</v>
      </c>
      <c r="G901" s="99">
        <v>30</v>
      </c>
      <c r="H901" s="98">
        <v>2013</v>
      </c>
      <c r="I901" s="99">
        <v>1438</v>
      </c>
      <c r="J901" s="98" t="s">
        <v>229</v>
      </c>
      <c r="K901" s="99">
        <v>22</v>
      </c>
      <c r="L901" s="98">
        <v>2022</v>
      </c>
      <c r="M901" s="98" t="s">
        <v>226</v>
      </c>
      <c r="N901" s="99">
        <v>32.625348061000572</v>
      </c>
      <c r="O901" s="100">
        <v>1.147359073900709E-2</v>
      </c>
      <c r="P901" s="100">
        <v>0.45981373450834601</v>
      </c>
      <c r="Q901" s="100">
        <v>9.1672595404304561E-3</v>
      </c>
    </row>
    <row r="902" spans="1:17" x14ac:dyDescent="0.35">
      <c r="A902" s="98" t="s">
        <v>2</v>
      </c>
      <c r="B902" s="98" t="s">
        <v>137</v>
      </c>
      <c r="C902" s="98" t="s">
        <v>253</v>
      </c>
      <c r="D902" s="99">
        <v>26147002.000000011</v>
      </c>
      <c r="E902" s="99">
        <v>31273533.000000004</v>
      </c>
      <c r="F902" s="99">
        <v>35588987.00000003</v>
      </c>
      <c r="G902" s="99">
        <v>30</v>
      </c>
      <c r="H902" s="98">
        <v>2013</v>
      </c>
      <c r="I902" s="99">
        <v>769</v>
      </c>
      <c r="J902" s="98" t="s">
        <v>229</v>
      </c>
      <c r="K902" s="99">
        <v>2</v>
      </c>
      <c r="L902" s="98">
        <v>2022</v>
      </c>
      <c r="M902" s="98" t="s">
        <v>226</v>
      </c>
      <c r="N902" s="99">
        <v>2.9659407328182339</v>
      </c>
      <c r="O902" s="100">
        <v>1.147359073900709E-2</v>
      </c>
      <c r="P902" s="100">
        <v>0.24589482742483873</v>
      </c>
      <c r="Q902" s="100">
        <v>8.3338723094822321E-4</v>
      </c>
    </row>
    <row r="903" spans="1:17" x14ac:dyDescent="0.35">
      <c r="A903" s="98" t="s">
        <v>2</v>
      </c>
      <c r="B903" s="98" t="s">
        <v>137</v>
      </c>
      <c r="C903" s="98" t="s">
        <v>254</v>
      </c>
      <c r="D903" s="99">
        <v>26147002.000000011</v>
      </c>
      <c r="E903" s="99">
        <v>31273533.000000004</v>
      </c>
      <c r="F903" s="99">
        <v>35588987.00000003</v>
      </c>
      <c r="G903" s="99">
        <v>0</v>
      </c>
      <c r="H903" s="98" t="s">
        <v>225</v>
      </c>
      <c r="I903" s="99">
        <v>669</v>
      </c>
      <c r="J903" s="98" t="s">
        <v>229</v>
      </c>
      <c r="K903" s="99">
        <v>20</v>
      </c>
      <c r="L903" s="98">
        <v>2022</v>
      </c>
      <c r="M903" s="98" t="s">
        <v>226</v>
      </c>
      <c r="N903" s="99">
        <v>29.65940732818234</v>
      </c>
      <c r="O903" s="100">
        <v>0</v>
      </c>
      <c r="P903" s="100">
        <v>0.2139189070835073</v>
      </c>
      <c r="Q903" s="100">
        <v>8.3338723094822341E-3</v>
      </c>
    </row>
    <row r="904" spans="1:17" x14ac:dyDescent="0.35">
      <c r="A904" s="98" t="s">
        <v>2</v>
      </c>
      <c r="B904" s="98" t="s">
        <v>137</v>
      </c>
      <c r="C904" s="98" t="s">
        <v>255</v>
      </c>
      <c r="D904" s="99">
        <v>26147002.000000011</v>
      </c>
      <c r="E904" s="99">
        <v>31273533.000000004</v>
      </c>
      <c r="F904" s="99">
        <v>35588987.00000003</v>
      </c>
      <c r="G904" s="99">
        <v>0</v>
      </c>
      <c r="H904" s="98" t="s">
        <v>225</v>
      </c>
      <c r="I904" s="99">
        <v>2302</v>
      </c>
      <c r="J904" s="98">
        <v>2018</v>
      </c>
      <c r="K904" s="99">
        <v>967</v>
      </c>
      <c r="L904" s="98">
        <v>2022</v>
      </c>
      <c r="M904" s="98" t="s">
        <v>226</v>
      </c>
      <c r="N904" s="99">
        <v>1434.032344317616</v>
      </c>
      <c r="O904" s="100">
        <v>0</v>
      </c>
      <c r="P904" s="100">
        <v>0.73608568625744963</v>
      </c>
      <c r="Q904" s="100">
        <v>0.40294272616346588</v>
      </c>
    </row>
    <row r="905" spans="1:17" x14ac:dyDescent="0.35">
      <c r="A905" s="98" t="s">
        <v>2</v>
      </c>
      <c r="B905" s="98" t="s">
        <v>137</v>
      </c>
      <c r="C905" s="98" t="s">
        <v>256</v>
      </c>
      <c r="D905" s="99">
        <v>26147002.000000011</v>
      </c>
      <c r="E905" s="99">
        <v>31273533.000000004</v>
      </c>
      <c r="F905" s="99">
        <v>35588987.00000003</v>
      </c>
      <c r="G905" s="99">
        <v>0</v>
      </c>
      <c r="H905" s="98" t="s">
        <v>225</v>
      </c>
      <c r="I905" s="99">
        <v>1605</v>
      </c>
      <c r="J905" s="98" t="s">
        <v>229</v>
      </c>
      <c r="K905" s="99">
        <v>636</v>
      </c>
      <c r="L905" s="98">
        <v>2022</v>
      </c>
      <c r="M905" s="98" t="s">
        <v>226</v>
      </c>
      <c r="N905" s="99">
        <v>943.1691530361984</v>
      </c>
      <c r="O905" s="100">
        <v>0</v>
      </c>
      <c r="P905" s="100">
        <v>0.51321352147836952</v>
      </c>
      <c r="Q905" s="100">
        <v>0.26501713944153499</v>
      </c>
    </row>
    <row r="906" spans="1:17" x14ac:dyDescent="0.35">
      <c r="A906" s="98" t="s">
        <v>2</v>
      </c>
      <c r="B906" s="98" t="s">
        <v>137</v>
      </c>
      <c r="C906" s="98" t="s">
        <v>257</v>
      </c>
      <c r="D906" s="99">
        <v>26147002.000000011</v>
      </c>
      <c r="E906" s="99">
        <v>31273533.000000004</v>
      </c>
      <c r="F906" s="99">
        <v>35588987.00000003</v>
      </c>
      <c r="G906" s="99">
        <v>0</v>
      </c>
      <c r="H906" s="98" t="s">
        <v>225</v>
      </c>
      <c r="I906" s="99">
        <v>1652</v>
      </c>
      <c r="J906" s="98">
        <v>2018</v>
      </c>
      <c r="K906" s="99">
        <v>171</v>
      </c>
      <c r="L906" s="98">
        <v>2022</v>
      </c>
      <c r="M906" s="98" t="s">
        <v>226</v>
      </c>
      <c r="N906" s="99">
        <v>253.58793265595901</v>
      </c>
      <c r="O906" s="100">
        <v>0</v>
      </c>
      <c r="P906" s="100">
        <v>0.52824220403879529</v>
      </c>
      <c r="Q906" s="100">
        <v>7.125460824607309E-2</v>
      </c>
    </row>
    <row r="907" spans="1:17" x14ac:dyDescent="0.35">
      <c r="A907" s="98" t="s">
        <v>2</v>
      </c>
      <c r="B907" s="98" t="s">
        <v>137</v>
      </c>
      <c r="C907" s="98" t="s">
        <v>258</v>
      </c>
      <c r="D907" s="99">
        <v>26147002.000000011</v>
      </c>
      <c r="E907" s="99">
        <v>31273533.000000004</v>
      </c>
      <c r="F907" s="99">
        <v>35588987.00000003</v>
      </c>
      <c r="G907" s="99">
        <v>0</v>
      </c>
      <c r="H907" s="98" t="s">
        <v>225</v>
      </c>
      <c r="I907" s="99">
        <v>796</v>
      </c>
      <c r="J907" s="98" t="s">
        <v>229</v>
      </c>
      <c r="K907" s="99">
        <v>796</v>
      </c>
      <c r="L907" s="98" t="s">
        <v>229</v>
      </c>
      <c r="M907" s="98" t="s">
        <v>225</v>
      </c>
      <c r="N907" s="99">
        <v>796</v>
      </c>
      <c r="O907" s="100">
        <v>0</v>
      </c>
      <c r="P907" s="100">
        <v>0.2545283259169982</v>
      </c>
      <c r="Q907" s="100">
        <v>0.22366469717162765</v>
      </c>
    </row>
    <row r="908" spans="1:17" x14ac:dyDescent="0.35">
      <c r="A908" s="98" t="s">
        <v>2</v>
      </c>
      <c r="B908" s="98" t="s">
        <v>137</v>
      </c>
      <c r="C908" s="98" t="s">
        <v>259</v>
      </c>
      <c r="D908" s="99">
        <v>26147002.000000011</v>
      </c>
      <c r="E908" s="99">
        <v>31273533.000000004</v>
      </c>
      <c r="F908" s="99">
        <v>35588987.00000003</v>
      </c>
      <c r="G908" s="99">
        <v>0</v>
      </c>
      <c r="H908" s="98" t="s">
        <v>225</v>
      </c>
      <c r="I908" s="99">
        <v>0</v>
      </c>
      <c r="J908" s="98" t="s">
        <v>225</v>
      </c>
      <c r="K908" s="99">
        <v>767</v>
      </c>
      <c r="L908" s="98">
        <v>2022</v>
      </c>
      <c r="M908" s="98" t="s">
        <v>225</v>
      </c>
      <c r="N908" s="99">
        <v>767</v>
      </c>
      <c r="O908" s="100">
        <v>0</v>
      </c>
      <c r="P908" s="100">
        <v>0</v>
      </c>
      <c r="Q908" s="100">
        <v>0.21551610895808845</v>
      </c>
    </row>
    <row r="909" spans="1:17" x14ac:dyDescent="0.35">
      <c r="A909" s="98" t="s">
        <v>6</v>
      </c>
      <c r="B909" s="98" t="s">
        <v>141</v>
      </c>
      <c r="C909" s="98" t="s">
        <v>246</v>
      </c>
      <c r="D909" s="99">
        <v>10149577.500000002</v>
      </c>
      <c r="E909" s="99">
        <v>11493472.499999993</v>
      </c>
      <c r="F909" s="99">
        <v>12889576.499999994</v>
      </c>
      <c r="G909" s="99">
        <v>554</v>
      </c>
      <c r="H909" s="98">
        <v>2013</v>
      </c>
      <c r="I909" s="99">
        <v>1084</v>
      </c>
      <c r="J909" s="98" t="s">
        <v>229</v>
      </c>
      <c r="K909" s="99">
        <v>812</v>
      </c>
      <c r="L909" s="98">
        <v>2021</v>
      </c>
      <c r="M909" s="98" t="s">
        <v>226</v>
      </c>
      <c r="N909" s="99">
        <v>1014.8610394397346</v>
      </c>
      <c r="O909" s="100">
        <v>0.54583552862175777</v>
      </c>
      <c r="P909" s="100">
        <v>0.9431440324062208</v>
      </c>
      <c r="Q909" s="100">
        <v>0.78735018131878509</v>
      </c>
    </row>
    <row r="910" spans="1:17" x14ac:dyDescent="0.35">
      <c r="A910" s="98" t="s">
        <v>6</v>
      </c>
      <c r="B910" s="98" t="s">
        <v>141</v>
      </c>
      <c r="C910" s="98" t="s">
        <v>247</v>
      </c>
      <c r="D910" s="99">
        <v>10149577.500000002</v>
      </c>
      <c r="E910" s="99">
        <v>11493472.499999993</v>
      </c>
      <c r="F910" s="99">
        <v>12889576.499999994</v>
      </c>
      <c r="G910" s="99">
        <v>486</v>
      </c>
      <c r="H910" s="98">
        <v>2013</v>
      </c>
      <c r="I910" s="99">
        <v>889</v>
      </c>
      <c r="J910" s="98" t="s">
        <v>229</v>
      </c>
      <c r="K910" s="99">
        <v>725</v>
      </c>
      <c r="L910" s="98">
        <v>2021</v>
      </c>
      <c r="M910" s="98" t="s">
        <v>226</v>
      </c>
      <c r="N910" s="99">
        <v>906.12592807119154</v>
      </c>
      <c r="O910" s="100">
        <v>0.47883766590284166</v>
      </c>
      <c r="P910" s="100">
        <v>0.77348251366155929</v>
      </c>
      <c r="Q910" s="100">
        <v>0.70299123332034374</v>
      </c>
    </row>
    <row r="911" spans="1:17" x14ac:dyDescent="0.35">
      <c r="A911" s="98" t="s">
        <v>6</v>
      </c>
      <c r="B911" s="98" t="s">
        <v>141</v>
      </c>
      <c r="C911" s="98" t="s">
        <v>248</v>
      </c>
      <c r="D911" s="99">
        <v>10149577.500000002</v>
      </c>
      <c r="E911" s="99">
        <v>11493472.499999993</v>
      </c>
      <c r="F911" s="99">
        <v>12889576.499999994</v>
      </c>
      <c r="G911" s="99">
        <v>68</v>
      </c>
      <c r="H911" s="98">
        <v>2013</v>
      </c>
      <c r="I911" s="99">
        <v>195</v>
      </c>
      <c r="J911" s="98" t="s">
        <v>229</v>
      </c>
      <c r="K911" s="99">
        <v>87</v>
      </c>
      <c r="L911" s="98">
        <v>2021</v>
      </c>
      <c r="M911" s="98" t="s">
        <v>226</v>
      </c>
      <c r="N911" s="99">
        <v>108.73511136854299</v>
      </c>
      <c r="O911" s="100">
        <v>6.6997862718916126E-2</v>
      </c>
      <c r="P911" s="100">
        <v>0.16966151874466148</v>
      </c>
      <c r="Q911" s="100">
        <v>8.4358947998441236E-2</v>
      </c>
    </row>
    <row r="912" spans="1:17" x14ac:dyDescent="0.35">
      <c r="A912" s="98" t="s">
        <v>6</v>
      </c>
      <c r="B912" s="98" t="s">
        <v>141</v>
      </c>
      <c r="C912" s="98" t="s">
        <v>249</v>
      </c>
      <c r="D912" s="99">
        <v>10149577.500000002</v>
      </c>
      <c r="E912" s="99">
        <v>11493472.499999993</v>
      </c>
      <c r="F912" s="99">
        <v>12889576.499999994</v>
      </c>
      <c r="G912" s="99">
        <v>6573</v>
      </c>
      <c r="H912" s="98">
        <v>2013</v>
      </c>
      <c r="I912" s="99">
        <v>9156</v>
      </c>
      <c r="J912" s="98">
        <v>2018</v>
      </c>
      <c r="K912" s="99">
        <v>9372</v>
      </c>
      <c r="L912" s="98">
        <v>2021</v>
      </c>
      <c r="M912" s="98" t="s">
        <v>225</v>
      </c>
      <c r="N912" s="99">
        <v>9372</v>
      </c>
      <c r="O912" s="100">
        <v>6.4761316419328772</v>
      </c>
      <c r="P912" s="100">
        <v>7.9662608493647209</v>
      </c>
      <c r="Q912" s="100">
        <v>7.2709914092212449</v>
      </c>
    </row>
    <row r="913" spans="1:17" x14ac:dyDescent="0.35">
      <c r="A913" s="98" t="s">
        <v>6</v>
      </c>
      <c r="B913" s="98" t="s">
        <v>141</v>
      </c>
      <c r="C913" s="98" t="s">
        <v>250</v>
      </c>
      <c r="D913" s="99">
        <v>10149577.500000002</v>
      </c>
      <c r="E913" s="99">
        <v>11493472.499999993</v>
      </c>
      <c r="F913" s="99">
        <v>12889576.499999994</v>
      </c>
      <c r="G913" s="99">
        <v>2568</v>
      </c>
      <c r="H913" s="98">
        <v>2013</v>
      </c>
      <c r="I913" s="99">
        <v>5970</v>
      </c>
      <c r="J913" s="98">
        <v>2018</v>
      </c>
      <c r="K913" s="99">
        <v>9372</v>
      </c>
      <c r="L913" s="98">
        <v>2021</v>
      </c>
      <c r="M913" s="98" t="s">
        <v>225</v>
      </c>
      <c r="N913" s="99">
        <v>9372</v>
      </c>
      <c r="O913" s="100">
        <v>2.5301545803261263</v>
      </c>
      <c r="P913" s="100">
        <v>5.1942526507980977</v>
      </c>
      <c r="Q913" s="100">
        <v>7.2709914092212449</v>
      </c>
    </row>
    <row r="914" spans="1:17" x14ac:dyDescent="0.35">
      <c r="A914" s="98" t="s">
        <v>6</v>
      </c>
      <c r="B914" s="98" t="s">
        <v>141</v>
      </c>
      <c r="C914" s="98" t="s">
        <v>251</v>
      </c>
      <c r="D914" s="99">
        <v>10149577.500000002</v>
      </c>
      <c r="E914" s="99">
        <v>11493472.499999993</v>
      </c>
      <c r="F914" s="99">
        <v>12889576.499999994</v>
      </c>
      <c r="G914" s="99">
        <v>4005</v>
      </c>
      <c r="H914" s="98">
        <v>2013</v>
      </c>
      <c r="I914" s="99">
        <v>8342</v>
      </c>
      <c r="J914" s="98" t="s">
        <v>229</v>
      </c>
      <c r="K914" s="99">
        <v>8342</v>
      </c>
      <c r="L914" s="98" t="s">
        <v>229</v>
      </c>
      <c r="M914" s="98" t="s">
        <v>225</v>
      </c>
      <c r="N914" s="99">
        <v>8342</v>
      </c>
      <c r="O914" s="100">
        <v>3.9459770616067509</v>
      </c>
      <c r="P914" s="100">
        <v>7.2580327659895696</v>
      </c>
      <c r="Q914" s="100">
        <v>6.4718961092321408</v>
      </c>
    </row>
    <row r="915" spans="1:17" x14ac:dyDescent="0.35">
      <c r="A915" s="98" t="s">
        <v>6</v>
      </c>
      <c r="B915" s="98" t="s">
        <v>141</v>
      </c>
      <c r="C915" s="98" t="s">
        <v>252</v>
      </c>
      <c r="D915" s="99">
        <v>10149577.500000002</v>
      </c>
      <c r="E915" s="99">
        <v>11493472.499999993</v>
      </c>
      <c r="F915" s="99">
        <v>12889576.499999994</v>
      </c>
      <c r="G915" s="99">
        <v>35</v>
      </c>
      <c r="H915" s="98">
        <v>2013</v>
      </c>
      <c r="I915" s="99">
        <v>160</v>
      </c>
      <c r="J915" s="98">
        <v>2017</v>
      </c>
      <c r="K915" s="99">
        <v>143</v>
      </c>
      <c r="L915" s="98">
        <v>2021</v>
      </c>
      <c r="M915" s="98" t="s">
        <v>226</v>
      </c>
      <c r="N915" s="99">
        <v>178.72552788162812</v>
      </c>
      <c r="O915" s="100">
        <v>3.4484194046500945E-2</v>
      </c>
      <c r="P915" s="100">
        <v>0.13920945127767095</v>
      </c>
      <c r="Q915" s="100">
        <v>0.13865896050318505</v>
      </c>
    </row>
    <row r="916" spans="1:17" x14ac:dyDescent="0.35">
      <c r="A916" s="98" t="s">
        <v>6</v>
      </c>
      <c r="B916" s="98" t="s">
        <v>141</v>
      </c>
      <c r="C916" s="98" t="s">
        <v>253</v>
      </c>
      <c r="D916" s="99">
        <v>10149577.500000002</v>
      </c>
      <c r="E916" s="99">
        <v>11493472.499999993</v>
      </c>
      <c r="F916" s="99">
        <v>12889576.499999994</v>
      </c>
      <c r="G916" s="99">
        <v>35</v>
      </c>
      <c r="H916" s="98">
        <v>2013</v>
      </c>
      <c r="I916" s="99">
        <v>41</v>
      </c>
      <c r="J916" s="98" t="s">
        <v>229</v>
      </c>
      <c r="K916" s="99">
        <v>143</v>
      </c>
      <c r="L916" s="98">
        <v>2021</v>
      </c>
      <c r="M916" s="98" t="s">
        <v>225</v>
      </c>
      <c r="N916" s="99">
        <v>143</v>
      </c>
      <c r="O916" s="100">
        <v>3.4484194046500945E-2</v>
      </c>
      <c r="P916" s="100">
        <v>3.5672421889903182E-2</v>
      </c>
      <c r="Q916" s="100">
        <v>0.11094235718295327</v>
      </c>
    </row>
    <row r="917" spans="1:17" x14ac:dyDescent="0.35">
      <c r="A917" s="98" t="s">
        <v>6</v>
      </c>
      <c r="B917" s="98" t="s">
        <v>141</v>
      </c>
      <c r="C917" s="98" t="s">
        <v>254</v>
      </c>
      <c r="D917" s="99">
        <v>10149577.500000002</v>
      </c>
      <c r="E917" s="99">
        <v>11493472.499999993</v>
      </c>
      <c r="F917" s="99">
        <v>12889576.499999994</v>
      </c>
      <c r="G917" s="99">
        <v>0</v>
      </c>
      <c r="H917" s="98" t="s">
        <v>225</v>
      </c>
      <c r="I917" s="99">
        <v>119</v>
      </c>
      <c r="J917" s="98" t="s">
        <v>229</v>
      </c>
      <c r="K917" s="99">
        <v>119</v>
      </c>
      <c r="L917" s="98" t="s">
        <v>229</v>
      </c>
      <c r="M917" s="98" t="s">
        <v>225</v>
      </c>
      <c r="N917" s="99">
        <v>119</v>
      </c>
      <c r="O917" s="100">
        <v>0</v>
      </c>
      <c r="P917" s="100">
        <v>0.10353702938776778</v>
      </c>
      <c r="Q917" s="100">
        <v>9.2322660872527537E-2</v>
      </c>
    </row>
    <row r="918" spans="1:17" x14ac:dyDescent="0.35">
      <c r="A918" s="98" t="s">
        <v>6</v>
      </c>
      <c r="B918" s="98" t="s">
        <v>141</v>
      </c>
      <c r="C918" s="98" t="s">
        <v>255</v>
      </c>
      <c r="D918" s="99">
        <v>10149577.500000002</v>
      </c>
      <c r="E918" s="99">
        <v>11493472.499999993</v>
      </c>
      <c r="F918" s="99">
        <v>12889576.499999994</v>
      </c>
      <c r="G918" s="99">
        <v>4</v>
      </c>
      <c r="H918" s="98">
        <v>2012</v>
      </c>
      <c r="I918" s="99">
        <v>119</v>
      </c>
      <c r="J918" s="98">
        <v>2018</v>
      </c>
      <c r="K918" s="99">
        <v>99</v>
      </c>
      <c r="L918" s="98">
        <v>2021</v>
      </c>
      <c r="M918" s="98" t="s">
        <v>226</v>
      </c>
      <c r="N918" s="99">
        <v>123.73305776420409</v>
      </c>
      <c r="O918" s="100">
        <v>3.9410507481715366E-3</v>
      </c>
      <c r="P918" s="100">
        <v>0.10353702938776778</v>
      </c>
      <c r="Q918" s="100">
        <v>9.5994664963743481E-2</v>
      </c>
    </row>
    <row r="919" spans="1:17" x14ac:dyDescent="0.35">
      <c r="A919" s="98" t="s">
        <v>6</v>
      </c>
      <c r="B919" s="98" t="s">
        <v>141</v>
      </c>
      <c r="C919" s="98" t="s">
        <v>256</v>
      </c>
      <c r="D919" s="99">
        <v>10149577.500000002</v>
      </c>
      <c r="E919" s="99">
        <v>11493472.499999993</v>
      </c>
      <c r="F919" s="99">
        <v>12889576.499999994</v>
      </c>
      <c r="G919" s="99">
        <v>0</v>
      </c>
      <c r="H919" s="98" t="s">
        <v>225</v>
      </c>
      <c r="I919" s="99">
        <v>0</v>
      </c>
      <c r="J919" s="98" t="s">
        <v>225</v>
      </c>
      <c r="K919" s="99">
        <v>6</v>
      </c>
      <c r="L919" s="98">
        <v>2021</v>
      </c>
      <c r="M919" s="98" t="s">
        <v>225</v>
      </c>
      <c r="N919" s="99">
        <v>6</v>
      </c>
      <c r="O919" s="100">
        <v>0</v>
      </c>
      <c r="P919" s="100">
        <v>0</v>
      </c>
      <c r="Q919" s="100">
        <v>4.6549240776064304E-3</v>
      </c>
    </row>
    <row r="920" spans="1:17" x14ac:dyDescent="0.35">
      <c r="A920" s="98" t="s">
        <v>6</v>
      </c>
      <c r="B920" s="98" t="s">
        <v>141</v>
      </c>
      <c r="C920" s="98" t="s">
        <v>257</v>
      </c>
      <c r="D920" s="99">
        <v>10149577.500000002</v>
      </c>
      <c r="E920" s="99">
        <v>11493472.499999993</v>
      </c>
      <c r="F920" s="99">
        <v>12889576.499999994</v>
      </c>
      <c r="G920" s="99">
        <v>4</v>
      </c>
      <c r="H920" s="98">
        <v>2013</v>
      </c>
      <c r="I920" s="99">
        <v>14</v>
      </c>
      <c r="J920" s="98">
        <v>2018</v>
      </c>
      <c r="K920" s="99">
        <v>14</v>
      </c>
      <c r="L920" s="98">
        <v>2018</v>
      </c>
      <c r="M920" s="98" t="s">
        <v>225</v>
      </c>
      <c r="N920" s="99">
        <v>14</v>
      </c>
      <c r="O920" s="100">
        <v>3.9410507481715366E-3</v>
      </c>
      <c r="P920" s="100">
        <v>1.2180826986796209E-2</v>
      </c>
      <c r="Q920" s="100">
        <v>1.0861489514415006E-2</v>
      </c>
    </row>
    <row r="921" spans="1:17" x14ac:dyDescent="0.35">
      <c r="A921" s="98" t="s">
        <v>6</v>
      </c>
      <c r="B921" s="98" t="s">
        <v>141</v>
      </c>
      <c r="C921" s="98" t="s">
        <v>258</v>
      </c>
      <c r="D921" s="99">
        <v>10149577.500000002</v>
      </c>
      <c r="E921" s="99">
        <v>11493472.499999993</v>
      </c>
      <c r="F921" s="99">
        <v>12889576.499999994</v>
      </c>
      <c r="G921" s="99">
        <v>0</v>
      </c>
      <c r="H921" s="98" t="s">
        <v>225</v>
      </c>
      <c r="I921" s="99">
        <v>0</v>
      </c>
      <c r="J921" s="98" t="s">
        <v>225</v>
      </c>
      <c r="K921" s="99">
        <v>0</v>
      </c>
      <c r="L921" s="98" t="s">
        <v>225</v>
      </c>
      <c r="M921" s="98" t="s">
        <v>225</v>
      </c>
      <c r="N921" s="99">
        <v>0</v>
      </c>
      <c r="O921" s="100">
        <v>0</v>
      </c>
      <c r="P921" s="100">
        <v>0</v>
      </c>
      <c r="Q921" s="100">
        <v>0</v>
      </c>
    </row>
    <row r="922" spans="1:17" x14ac:dyDescent="0.35">
      <c r="A922" s="98" t="s">
        <v>6</v>
      </c>
      <c r="B922" s="98" t="s">
        <v>141</v>
      </c>
      <c r="C922" s="98" t="s">
        <v>259</v>
      </c>
      <c r="D922" s="99">
        <v>10149577.500000002</v>
      </c>
      <c r="E922" s="99">
        <v>11493472.499999993</v>
      </c>
      <c r="F922" s="99">
        <v>12889576.499999994</v>
      </c>
      <c r="G922" s="99">
        <v>0</v>
      </c>
      <c r="H922" s="98" t="s">
        <v>225</v>
      </c>
      <c r="I922" s="99">
        <v>93</v>
      </c>
      <c r="J922" s="98">
        <v>2017</v>
      </c>
      <c r="K922" s="99">
        <v>15</v>
      </c>
      <c r="L922" s="98">
        <v>2021</v>
      </c>
      <c r="M922" s="98" t="s">
        <v>226</v>
      </c>
      <c r="N922" s="99">
        <v>18.747432994576378</v>
      </c>
      <c r="O922" s="100">
        <v>0</v>
      </c>
      <c r="P922" s="100">
        <v>8.091549355514624E-2</v>
      </c>
      <c r="Q922" s="100">
        <v>1.4544646206627801E-2</v>
      </c>
    </row>
    <row r="923" spans="1:17" x14ac:dyDescent="0.35">
      <c r="A923" s="98" t="s">
        <v>3</v>
      </c>
      <c r="B923" s="98" t="s">
        <v>138</v>
      </c>
      <c r="C923" s="98" t="s">
        <v>246</v>
      </c>
      <c r="D923" s="99">
        <v>10308730.499999994</v>
      </c>
      <c r="E923" s="99">
        <v>11940683.499999996</v>
      </c>
      <c r="F923" s="99">
        <v>13352864</v>
      </c>
      <c r="G923" s="99">
        <v>0</v>
      </c>
      <c r="H923" s="98" t="s">
        <v>225</v>
      </c>
      <c r="I923" s="99">
        <v>908</v>
      </c>
      <c r="J923" s="98">
        <v>2018</v>
      </c>
      <c r="K923" s="99">
        <v>2608</v>
      </c>
      <c r="L923" s="98">
        <v>2022</v>
      </c>
      <c r="M923" s="98" t="s">
        <v>225</v>
      </c>
      <c r="N923" s="99">
        <v>2608</v>
      </c>
      <c r="O923" s="100">
        <v>0</v>
      </c>
      <c r="P923" s="100">
        <v>0.76042548150614686</v>
      </c>
      <c r="Q923" s="100">
        <v>1.953139041931379</v>
      </c>
    </row>
    <row r="924" spans="1:17" x14ac:dyDescent="0.35">
      <c r="A924" s="98" t="s">
        <v>3</v>
      </c>
      <c r="B924" s="98" t="s">
        <v>138</v>
      </c>
      <c r="C924" s="98" t="s">
        <v>247</v>
      </c>
      <c r="D924" s="99">
        <v>10308730.499999994</v>
      </c>
      <c r="E924" s="99">
        <v>11940683.499999996</v>
      </c>
      <c r="F924" s="99">
        <v>13352864</v>
      </c>
      <c r="G924" s="99">
        <v>0</v>
      </c>
      <c r="H924" s="98" t="s">
        <v>225</v>
      </c>
      <c r="I924" s="99">
        <v>391</v>
      </c>
      <c r="J924" s="98" t="s">
        <v>229</v>
      </c>
      <c r="K924" s="99">
        <v>1753</v>
      </c>
      <c r="L924" s="98">
        <v>2022</v>
      </c>
      <c r="M924" s="98" t="s">
        <v>225</v>
      </c>
      <c r="N924" s="99">
        <v>1753</v>
      </c>
      <c r="O924" s="100">
        <v>0</v>
      </c>
      <c r="P924" s="100">
        <v>0.32745194192610511</v>
      </c>
      <c r="Q924" s="100">
        <v>1.3128269710528018</v>
      </c>
    </row>
    <row r="925" spans="1:17" x14ac:dyDescent="0.35">
      <c r="A925" s="98" t="s">
        <v>3</v>
      </c>
      <c r="B925" s="98" t="s">
        <v>138</v>
      </c>
      <c r="C925" s="98" t="s">
        <v>248</v>
      </c>
      <c r="D925" s="99">
        <v>10308730.499999994</v>
      </c>
      <c r="E925" s="99">
        <v>11940683.499999996</v>
      </c>
      <c r="F925" s="99">
        <v>13352864</v>
      </c>
      <c r="G925" s="99">
        <v>0</v>
      </c>
      <c r="H925" s="98" t="s">
        <v>225</v>
      </c>
      <c r="I925" s="99">
        <v>562</v>
      </c>
      <c r="J925" s="98">
        <v>2018</v>
      </c>
      <c r="K925" s="99">
        <v>855</v>
      </c>
      <c r="L925" s="98">
        <v>2022</v>
      </c>
      <c r="M925" s="98" t="s">
        <v>225</v>
      </c>
      <c r="N925" s="99">
        <v>855</v>
      </c>
      <c r="O925" s="100">
        <v>0</v>
      </c>
      <c r="P925" s="100">
        <v>0.47065982445644772</v>
      </c>
      <c r="Q925" s="100">
        <v>0.64031207087857711</v>
      </c>
    </row>
    <row r="926" spans="1:17" x14ac:dyDescent="0.35">
      <c r="A926" s="98" t="s">
        <v>3</v>
      </c>
      <c r="B926" s="98" t="s">
        <v>138</v>
      </c>
      <c r="C926" s="98" t="s">
        <v>249</v>
      </c>
      <c r="D926" s="99">
        <v>10308730.499999994</v>
      </c>
      <c r="E926" s="99">
        <v>11940683.499999996</v>
      </c>
      <c r="F926" s="99">
        <v>13352864</v>
      </c>
      <c r="G926" s="99">
        <v>4880</v>
      </c>
      <c r="H926" s="98">
        <v>2013</v>
      </c>
      <c r="I926" s="99">
        <v>3410</v>
      </c>
      <c r="J926" s="98">
        <v>2018</v>
      </c>
      <c r="K926" s="99">
        <v>5893</v>
      </c>
      <c r="L926" s="98">
        <v>2022</v>
      </c>
      <c r="M926" s="98" t="s">
        <v>225</v>
      </c>
      <c r="N926" s="99">
        <v>5893</v>
      </c>
      <c r="O926" s="100">
        <v>4.7338515639728893</v>
      </c>
      <c r="P926" s="100">
        <v>2.8557829206343182</v>
      </c>
      <c r="Q926" s="100">
        <v>4.4132854195174911</v>
      </c>
    </row>
    <row r="927" spans="1:17" x14ac:dyDescent="0.35">
      <c r="A927" s="98" t="s">
        <v>3</v>
      </c>
      <c r="B927" s="98" t="s">
        <v>138</v>
      </c>
      <c r="C927" s="98" t="s">
        <v>250</v>
      </c>
      <c r="D927" s="99">
        <v>10308730.499999994</v>
      </c>
      <c r="E927" s="99">
        <v>11940683.499999996</v>
      </c>
      <c r="F927" s="99">
        <v>13352864</v>
      </c>
      <c r="G927" s="99">
        <v>0</v>
      </c>
      <c r="H927" s="98" t="s">
        <v>225</v>
      </c>
      <c r="I927" s="99">
        <v>3410</v>
      </c>
      <c r="J927" s="98">
        <v>2018</v>
      </c>
      <c r="K927" s="99">
        <v>5893</v>
      </c>
      <c r="L927" s="98">
        <v>2022</v>
      </c>
      <c r="M927" s="98" t="s">
        <v>225</v>
      </c>
      <c r="N927" s="99">
        <v>5893</v>
      </c>
      <c r="O927" s="100">
        <v>0</v>
      </c>
      <c r="P927" s="100">
        <v>2.8557829206343182</v>
      </c>
      <c r="Q927" s="100">
        <v>4.4132854195174911</v>
      </c>
    </row>
    <row r="928" spans="1:17" x14ac:dyDescent="0.35">
      <c r="A928" s="98" t="s">
        <v>3</v>
      </c>
      <c r="B928" s="98" t="s">
        <v>138</v>
      </c>
      <c r="C928" s="98" t="s">
        <v>251</v>
      </c>
      <c r="D928" s="99">
        <v>10308730.499999994</v>
      </c>
      <c r="E928" s="99">
        <v>11940683.499999996</v>
      </c>
      <c r="F928" s="99">
        <v>13352864</v>
      </c>
      <c r="G928" s="99">
        <v>0</v>
      </c>
      <c r="H928" s="98" t="s">
        <v>225</v>
      </c>
      <c r="I928" s="99">
        <v>1322</v>
      </c>
      <c r="J928" s="98" t="s">
        <v>229</v>
      </c>
      <c r="K928" s="99">
        <v>1322</v>
      </c>
      <c r="L928" s="98" t="s">
        <v>229</v>
      </c>
      <c r="M928" s="98" t="s">
        <v>225</v>
      </c>
      <c r="N928" s="99">
        <v>1322</v>
      </c>
      <c r="O928" s="100">
        <v>0</v>
      </c>
      <c r="P928" s="100">
        <v>1.1071393023690816</v>
      </c>
      <c r="Q928" s="100">
        <v>0.99004977508944902</v>
      </c>
    </row>
    <row r="929" spans="1:17" x14ac:dyDescent="0.35">
      <c r="A929" s="98" t="s">
        <v>3</v>
      </c>
      <c r="B929" s="98" t="s">
        <v>138</v>
      </c>
      <c r="C929" s="98" t="s">
        <v>252</v>
      </c>
      <c r="D929" s="99">
        <v>10308730.499999994</v>
      </c>
      <c r="E929" s="99">
        <v>11940683.499999996</v>
      </c>
      <c r="F929" s="99">
        <v>13352864</v>
      </c>
      <c r="G929" s="99">
        <v>943</v>
      </c>
      <c r="H929" s="98">
        <v>2013</v>
      </c>
      <c r="I929" s="99">
        <v>1055</v>
      </c>
      <c r="J929" s="98">
        <v>2018</v>
      </c>
      <c r="K929" s="99">
        <v>2055</v>
      </c>
      <c r="L929" s="98">
        <v>2022</v>
      </c>
      <c r="M929" s="98" t="s">
        <v>225</v>
      </c>
      <c r="N929" s="99">
        <v>2055</v>
      </c>
      <c r="O929" s="100">
        <v>0.91475861164476124</v>
      </c>
      <c r="P929" s="100">
        <v>0.88353401210240634</v>
      </c>
      <c r="Q929" s="100">
        <v>1.5389956791292114</v>
      </c>
    </row>
    <row r="930" spans="1:17" x14ac:dyDescent="0.35">
      <c r="A930" s="98" t="s">
        <v>3</v>
      </c>
      <c r="B930" s="98" t="s">
        <v>138</v>
      </c>
      <c r="C930" s="98" t="s">
        <v>253</v>
      </c>
      <c r="D930" s="99">
        <v>10308730.499999994</v>
      </c>
      <c r="E930" s="99">
        <v>11940683.499999996</v>
      </c>
      <c r="F930" s="99">
        <v>13352864</v>
      </c>
      <c r="G930" s="99">
        <v>943</v>
      </c>
      <c r="H930" s="98">
        <v>2013</v>
      </c>
      <c r="I930" s="99">
        <v>1055</v>
      </c>
      <c r="J930" s="98">
        <v>2018</v>
      </c>
      <c r="K930" s="99">
        <v>2055</v>
      </c>
      <c r="L930" s="98">
        <v>2022</v>
      </c>
      <c r="M930" s="98" t="s">
        <v>225</v>
      </c>
      <c r="N930" s="99">
        <v>2055</v>
      </c>
      <c r="O930" s="100">
        <v>0.91475861164476124</v>
      </c>
      <c r="P930" s="100">
        <v>0.88353401210240634</v>
      </c>
      <c r="Q930" s="100">
        <v>1.5389956791292114</v>
      </c>
    </row>
    <row r="931" spans="1:17" x14ac:dyDescent="0.35">
      <c r="A931" s="98" t="s">
        <v>3</v>
      </c>
      <c r="B931" s="98" t="s">
        <v>138</v>
      </c>
      <c r="C931" s="98" t="s">
        <v>254</v>
      </c>
      <c r="D931" s="99">
        <v>10308730.499999994</v>
      </c>
      <c r="E931" s="99">
        <v>11940683.499999996</v>
      </c>
      <c r="F931" s="99">
        <v>13352864</v>
      </c>
      <c r="G931" s="99">
        <v>0</v>
      </c>
      <c r="H931" s="98" t="s">
        <v>225</v>
      </c>
      <c r="I931" s="99">
        <v>6</v>
      </c>
      <c r="J931" s="98" t="s">
        <v>229</v>
      </c>
      <c r="K931" s="99">
        <v>6</v>
      </c>
      <c r="L931" s="98" t="s">
        <v>229</v>
      </c>
      <c r="M931" s="98" t="s">
        <v>225</v>
      </c>
      <c r="N931" s="99">
        <v>6</v>
      </c>
      <c r="O931" s="100">
        <v>0</v>
      </c>
      <c r="P931" s="100">
        <v>5.0248379835207942E-3</v>
      </c>
      <c r="Q931" s="100">
        <v>4.4934180412531726E-3</v>
      </c>
    </row>
    <row r="932" spans="1:17" x14ac:dyDescent="0.35">
      <c r="A932" s="98" t="s">
        <v>3</v>
      </c>
      <c r="B932" s="98" t="s">
        <v>138</v>
      </c>
      <c r="C932" s="98" t="s">
        <v>255</v>
      </c>
      <c r="D932" s="99">
        <v>10308730.499999994</v>
      </c>
      <c r="E932" s="99">
        <v>11940683.499999996</v>
      </c>
      <c r="F932" s="99">
        <v>13352864</v>
      </c>
      <c r="G932" s="99">
        <v>1330</v>
      </c>
      <c r="H932" s="98">
        <v>2013</v>
      </c>
      <c r="I932" s="99">
        <v>306</v>
      </c>
      <c r="J932" s="98">
        <v>2018</v>
      </c>
      <c r="K932" s="99">
        <v>382</v>
      </c>
      <c r="L932" s="98">
        <v>2022</v>
      </c>
      <c r="M932" s="98" t="s">
        <v>225</v>
      </c>
      <c r="N932" s="99">
        <v>382</v>
      </c>
      <c r="O932" s="100">
        <v>1.2901685614926113</v>
      </c>
      <c r="P932" s="100">
        <v>0.2562667371595605</v>
      </c>
      <c r="Q932" s="100">
        <v>0.28608094862645195</v>
      </c>
    </row>
    <row r="933" spans="1:17" x14ac:dyDescent="0.35">
      <c r="A933" s="98" t="s">
        <v>3</v>
      </c>
      <c r="B933" s="98" t="s">
        <v>138</v>
      </c>
      <c r="C933" s="98" t="s">
        <v>256</v>
      </c>
      <c r="D933" s="99">
        <v>10308730.499999994</v>
      </c>
      <c r="E933" s="99">
        <v>11940683.499999996</v>
      </c>
      <c r="F933" s="99">
        <v>13352864</v>
      </c>
      <c r="G933" s="99">
        <v>770</v>
      </c>
      <c r="H933" s="98">
        <v>2013</v>
      </c>
      <c r="I933" s="99">
        <v>45</v>
      </c>
      <c r="J933" s="98">
        <v>2018</v>
      </c>
      <c r="K933" s="99">
        <v>56</v>
      </c>
      <c r="L933" s="98">
        <v>2021</v>
      </c>
      <c r="M933" s="98" t="s">
        <v>225</v>
      </c>
      <c r="N933" s="99">
        <v>56</v>
      </c>
      <c r="O933" s="100">
        <v>0.74693969349572231</v>
      </c>
      <c r="P933" s="100">
        <v>3.7686284876405955E-2</v>
      </c>
      <c r="Q933" s="100">
        <v>4.1938568385029608E-2</v>
      </c>
    </row>
    <row r="934" spans="1:17" x14ac:dyDescent="0.35">
      <c r="A934" s="98" t="s">
        <v>3</v>
      </c>
      <c r="B934" s="98" t="s">
        <v>138</v>
      </c>
      <c r="C934" s="98" t="s">
        <v>257</v>
      </c>
      <c r="D934" s="99">
        <v>10308730.499999994</v>
      </c>
      <c r="E934" s="99">
        <v>11940683.499999996</v>
      </c>
      <c r="F934" s="99">
        <v>13352864</v>
      </c>
      <c r="G934" s="99">
        <v>0</v>
      </c>
      <c r="H934" s="98" t="s">
        <v>225</v>
      </c>
      <c r="I934" s="99">
        <v>12</v>
      </c>
      <c r="J934" s="98">
        <v>2018</v>
      </c>
      <c r="K934" s="99">
        <v>50</v>
      </c>
      <c r="L934" s="98">
        <v>2021</v>
      </c>
      <c r="M934" s="98" t="s">
        <v>225</v>
      </c>
      <c r="N934" s="99">
        <v>50</v>
      </c>
      <c r="O934" s="100">
        <v>0</v>
      </c>
      <c r="P934" s="100">
        <v>1.0049675967041588E-2</v>
      </c>
      <c r="Q934" s="100">
        <v>3.7445150343776434E-2</v>
      </c>
    </row>
    <row r="935" spans="1:17" x14ac:dyDescent="0.35">
      <c r="A935" s="98" t="s">
        <v>3</v>
      </c>
      <c r="B935" s="98" t="s">
        <v>138</v>
      </c>
      <c r="C935" s="98" t="s">
        <v>258</v>
      </c>
      <c r="D935" s="99">
        <v>10308730.499999994</v>
      </c>
      <c r="E935" s="99">
        <v>11940683.499999996</v>
      </c>
      <c r="F935" s="99">
        <v>13352864</v>
      </c>
      <c r="G935" s="99">
        <v>0</v>
      </c>
      <c r="H935" s="98" t="s">
        <v>225</v>
      </c>
      <c r="I935" s="99">
        <v>33</v>
      </c>
      <c r="J935" s="98">
        <v>2017</v>
      </c>
      <c r="K935" s="99">
        <v>6</v>
      </c>
      <c r="L935" s="98">
        <v>2021</v>
      </c>
      <c r="M935" s="98" t="s">
        <v>226</v>
      </c>
      <c r="N935" s="99">
        <v>7.4754468485418633</v>
      </c>
      <c r="O935" s="100">
        <v>0</v>
      </c>
      <c r="P935" s="100">
        <v>2.7636608909364369E-2</v>
      </c>
      <c r="Q935" s="100">
        <v>5.5983846226111966E-3</v>
      </c>
    </row>
    <row r="936" spans="1:17" x14ac:dyDescent="0.35">
      <c r="A936" s="98" t="s">
        <v>3</v>
      </c>
      <c r="B936" s="98" t="s">
        <v>138</v>
      </c>
      <c r="C936" s="98" t="s">
        <v>259</v>
      </c>
      <c r="D936" s="99">
        <v>10308730.499999994</v>
      </c>
      <c r="E936" s="99">
        <v>11940683.499999996</v>
      </c>
      <c r="F936" s="99">
        <v>13352864</v>
      </c>
      <c r="G936" s="99">
        <v>0</v>
      </c>
      <c r="H936" s="98" t="s">
        <v>225</v>
      </c>
      <c r="I936" s="99">
        <v>0</v>
      </c>
      <c r="J936" s="98" t="s">
        <v>225</v>
      </c>
      <c r="K936" s="99">
        <v>0</v>
      </c>
      <c r="L936" s="98" t="s">
        <v>225</v>
      </c>
      <c r="M936" s="98" t="s">
        <v>225</v>
      </c>
      <c r="N936" s="99">
        <v>0</v>
      </c>
      <c r="O936" s="100">
        <v>0</v>
      </c>
      <c r="P936" s="100">
        <v>0</v>
      </c>
      <c r="Q936" s="100">
        <v>0</v>
      </c>
    </row>
    <row r="937" spans="1:17" x14ac:dyDescent="0.35">
      <c r="A937" s="98" t="s">
        <v>5</v>
      </c>
      <c r="B937" s="98" t="s">
        <v>140</v>
      </c>
      <c r="C937" s="98" t="s">
        <v>246</v>
      </c>
      <c r="D937" s="99">
        <v>17636407.5</v>
      </c>
      <c r="E937" s="99">
        <v>20392723</v>
      </c>
      <c r="F937" s="99">
        <v>22673762.000000007</v>
      </c>
      <c r="G937" s="99">
        <v>803</v>
      </c>
      <c r="H937" s="98">
        <v>2013</v>
      </c>
      <c r="I937" s="99">
        <v>1684</v>
      </c>
      <c r="J937" s="98">
        <v>2018</v>
      </c>
      <c r="K937" s="99">
        <v>3323</v>
      </c>
      <c r="L937" s="98">
        <v>2022</v>
      </c>
      <c r="M937" s="98" t="s">
        <v>225</v>
      </c>
      <c r="N937" s="99">
        <v>3323</v>
      </c>
      <c r="O937" s="100">
        <v>0.45530814594752361</v>
      </c>
      <c r="P937" s="100">
        <v>0.82578476645811349</v>
      </c>
      <c r="Q937" s="100">
        <v>1.4655706450477866</v>
      </c>
    </row>
    <row r="938" spans="1:17" x14ac:dyDescent="0.35">
      <c r="A938" s="98" t="s">
        <v>5</v>
      </c>
      <c r="B938" s="98" t="s">
        <v>140</v>
      </c>
      <c r="C938" s="98" t="s">
        <v>247</v>
      </c>
      <c r="D938" s="99">
        <v>17636407.5</v>
      </c>
      <c r="E938" s="99">
        <v>20392723</v>
      </c>
      <c r="F938" s="99">
        <v>22673762.000000007</v>
      </c>
      <c r="G938" s="99">
        <v>0</v>
      </c>
      <c r="H938" s="98" t="s">
        <v>225</v>
      </c>
      <c r="I938" s="99">
        <v>888</v>
      </c>
      <c r="J938" s="98">
        <v>2017</v>
      </c>
      <c r="K938" s="99">
        <v>2372</v>
      </c>
      <c r="L938" s="98">
        <v>2022</v>
      </c>
      <c r="M938" s="98" t="s">
        <v>225</v>
      </c>
      <c r="N938" s="99">
        <v>2372</v>
      </c>
      <c r="O938" s="100">
        <v>0</v>
      </c>
      <c r="P938" s="100">
        <v>0.43544944929620238</v>
      </c>
      <c r="Q938" s="100">
        <v>1.0461431146714864</v>
      </c>
    </row>
    <row r="939" spans="1:17" x14ac:dyDescent="0.35">
      <c r="A939" s="98" t="s">
        <v>5</v>
      </c>
      <c r="B939" s="98" t="s">
        <v>140</v>
      </c>
      <c r="C939" s="98" t="s">
        <v>248</v>
      </c>
      <c r="D939" s="99">
        <v>17636407.5</v>
      </c>
      <c r="E939" s="99">
        <v>20392723</v>
      </c>
      <c r="F939" s="99">
        <v>22673762.000000007</v>
      </c>
      <c r="G939" s="99">
        <v>0</v>
      </c>
      <c r="H939" s="98" t="s">
        <v>225</v>
      </c>
      <c r="I939" s="99">
        <v>952</v>
      </c>
      <c r="J939" s="98">
        <v>2018</v>
      </c>
      <c r="K939" s="99">
        <v>951</v>
      </c>
      <c r="L939" s="98">
        <v>2022</v>
      </c>
      <c r="M939" s="98" t="s">
        <v>226</v>
      </c>
      <c r="N939" s="99">
        <v>976.99387949059121</v>
      </c>
      <c r="O939" s="100">
        <v>0</v>
      </c>
      <c r="P939" s="100">
        <v>0.46683319338962237</v>
      </c>
      <c r="Q939" s="100">
        <v>0.43089182972397383</v>
      </c>
    </row>
    <row r="940" spans="1:17" x14ac:dyDescent="0.35">
      <c r="A940" s="98" t="s">
        <v>5</v>
      </c>
      <c r="B940" s="98" t="s">
        <v>140</v>
      </c>
      <c r="C940" s="98" t="s">
        <v>249</v>
      </c>
      <c r="D940" s="99">
        <v>17636407.5</v>
      </c>
      <c r="E940" s="99">
        <v>20392723</v>
      </c>
      <c r="F940" s="99">
        <v>22673762.000000007</v>
      </c>
      <c r="G940" s="99">
        <v>6196</v>
      </c>
      <c r="H940" s="98">
        <v>2013</v>
      </c>
      <c r="I940" s="99">
        <v>10325</v>
      </c>
      <c r="J940" s="98" t="s">
        <v>229</v>
      </c>
      <c r="K940" s="99">
        <v>13961</v>
      </c>
      <c r="L940" s="98">
        <v>2022</v>
      </c>
      <c r="M940" s="98" t="s">
        <v>225</v>
      </c>
      <c r="N940" s="99">
        <v>13961</v>
      </c>
      <c r="O940" s="100">
        <v>3.5131871385938434</v>
      </c>
      <c r="P940" s="100">
        <v>5.0630805900712721</v>
      </c>
      <c r="Q940" s="100">
        <v>6.1573372782161142</v>
      </c>
    </row>
    <row r="941" spans="1:17" x14ac:dyDescent="0.35">
      <c r="A941" s="98" t="s">
        <v>5</v>
      </c>
      <c r="B941" s="98" t="s">
        <v>140</v>
      </c>
      <c r="C941" s="98" t="s">
        <v>250</v>
      </c>
      <c r="D941" s="99">
        <v>17636407.5</v>
      </c>
      <c r="E941" s="99">
        <v>20392723</v>
      </c>
      <c r="F941" s="99">
        <v>22673762.000000007</v>
      </c>
      <c r="G941" s="99">
        <v>3489</v>
      </c>
      <c r="H941" s="98">
        <v>2013</v>
      </c>
      <c r="I941" s="99">
        <v>8208</v>
      </c>
      <c r="J941" s="98" t="s">
        <v>229</v>
      </c>
      <c r="K941" s="99">
        <v>13894</v>
      </c>
      <c r="L941" s="98">
        <v>2022</v>
      </c>
      <c r="M941" s="98" t="s">
        <v>225</v>
      </c>
      <c r="N941" s="99">
        <v>13894</v>
      </c>
      <c r="O941" s="100">
        <v>1.978294048830523</v>
      </c>
      <c r="P941" s="100">
        <v>4.0249651799811135</v>
      </c>
      <c r="Q941" s="100">
        <v>6.1277877045723574</v>
      </c>
    </row>
    <row r="942" spans="1:17" x14ac:dyDescent="0.35">
      <c r="A942" s="98" t="s">
        <v>5</v>
      </c>
      <c r="B942" s="98" t="s">
        <v>140</v>
      </c>
      <c r="C942" s="98" t="s">
        <v>251</v>
      </c>
      <c r="D942" s="99">
        <v>17636407.5</v>
      </c>
      <c r="E942" s="99">
        <v>20392723</v>
      </c>
      <c r="F942" s="99">
        <v>22673762.000000007</v>
      </c>
      <c r="G942" s="99">
        <v>2707</v>
      </c>
      <c r="H942" s="98">
        <v>2013</v>
      </c>
      <c r="I942" s="99">
        <v>2117</v>
      </c>
      <c r="J942" s="98">
        <v>2017</v>
      </c>
      <c r="K942" s="99">
        <v>67</v>
      </c>
      <c r="L942" s="98">
        <v>2022</v>
      </c>
      <c r="M942" s="98" t="s">
        <v>226</v>
      </c>
      <c r="N942" s="99">
        <v>68.831324843185712</v>
      </c>
      <c r="O942" s="100">
        <v>1.5348930897633206</v>
      </c>
      <c r="P942" s="100">
        <v>1.0381154100901582</v>
      </c>
      <c r="Q942" s="100">
        <v>3.0357258245537588E-2</v>
      </c>
    </row>
    <row r="943" spans="1:17" x14ac:dyDescent="0.35">
      <c r="A943" s="98" t="s">
        <v>5</v>
      </c>
      <c r="B943" s="98" t="s">
        <v>140</v>
      </c>
      <c r="C943" s="98" t="s">
        <v>252</v>
      </c>
      <c r="D943" s="99">
        <v>17636407.5</v>
      </c>
      <c r="E943" s="99">
        <v>20392723</v>
      </c>
      <c r="F943" s="99">
        <v>22673762.000000007</v>
      </c>
      <c r="G943" s="99">
        <v>1591</v>
      </c>
      <c r="H943" s="98">
        <v>2013</v>
      </c>
      <c r="I943" s="99">
        <v>6569</v>
      </c>
      <c r="J943" s="98">
        <v>2017</v>
      </c>
      <c r="K943" s="99">
        <v>9294</v>
      </c>
      <c r="L943" s="98">
        <v>2022</v>
      </c>
      <c r="M943" s="98" t="s">
        <v>225</v>
      </c>
      <c r="N943" s="99">
        <v>9294</v>
      </c>
      <c r="O943" s="100">
        <v>0.90211115840910339</v>
      </c>
      <c r="P943" s="100">
        <v>3.2212471085886865</v>
      </c>
      <c r="Q943" s="100">
        <v>4.0990110066428311</v>
      </c>
    </row>
    <row r="944" spans="1:17" x14ac:dyDescent="0.35">
      <c r="A944" s="98" t="s">
        <v>5</v>
      </c>
      <c r="B944" s="98" t="s">
        <v>140</v>
      </c>
      <c r="C944" s="98" t="s">
        <v>253</v>
      </c>
      <c r="D944" s="99">
        <v>17636407.5</v>
      </c>
      <c r="E944" s="99">
        <v>20392723</v>
      </c>
      <c r="F944" s="99">
        <v>22673762.000000007</v>
      </c>
      <c r="G944" s="99">
        <v>0</v>
      </c>
      <c r="H944" s="98" t="s">
        <v>225</v>
      </c>
      <c r="I944" s="99">
        <v>3583</v>
      </c>
      <c r="J944" s="98">
        <v>2017</v>
      </c>
      <c r="K944" s="99">
        <v>5686</v>
      </c>
      <c r="L944" s="98">
        <v>2022</v>
      </c>
      <c r="M944" s="98" t="s">
        <v>225</v>
      </c>
      <c r="N944" s="99">
        <v>5686</v>
      </c>
      <c r="O944" s="100">
        <v>0</v>
      </c>
      <c r="P944" s="100">
        <v>1.7569992982300597</v>
      </c>
      <c r="Q944" s="100">
        <v>2.5077444140059324</v>
      </c>
    </row>
    <row r="945" spans="1:17" x14ac:dyDescent="0.35">
      <c r="A945" s="98" t="s">
        <v>5</v>
      </c>
      <c r="B945" s="98" t="s">
        <v>140</v>
      </c>
      <c r="C945" s="98" t="s">
        <v>254</v>
      </c>
      <c r="D945" s="99">
        <v>17636407.5</v>
      </c>
      <c r="E945" s="99">
        <v>20392723</v>
      </c>
      <c r="F945" s="99">
        <v>22673762.000000007</v>
      </c>
      <c r="G945" s="99">
        <v>0</v>
      </c>
      <c r="H945" s="98" t="s">
        <v>225</v>
      </c>
      <c r="I945" s="99">
        <v>2986</v>
      </c>
      <c r="J945" s="98">
        <v>2017</v>
      </c>
      <c r="K945" s="99">
        <v>3608</v>
      </c>
      <c r="L945" s="98">
        <v>2022</v>
      </c>
      <c r="M945" s="98" t="s">
        <v>225</v>
      </c>
      <c r="N945" s="99">
        <v>3608</v>
      </c>
      <c r="O945" s="100">
        <v>0</v>
      </c>
      <c r="P945" s="100">
        <v>1.4642478103586265</v>
      </c>
      <c r="Q945" s="100">
        <v>1.5912665926368985</v>
      </c>
    </row>
    <row r="946" spans="1:17" x14ac:dyDescent="0.35">
      <c r="A946" s="98" t="s">
        <v>5</v>
      </c>
      <c r="B946" s="98" t="s">
        <v>140</v>
      </c>
      <c r="C946" s="98" t="s">
        <v>255</v>
      </c>
      <c r="D946" s="99">
        <v>17636407.5</v>
      </c>
      <c r="E946" s="99">
        <v>20392723</v>
      </c>
      <c r="F946" s="99">
        <v>22673762.000000007</v>
      </c>
      <c r="G946" s="99">
        <v>207</v>
      </c>
      <c r="H946" s="98">
        <v>2013</v>
      </c>
      <c r="I946" s="99">
        <v>636</v>
      </c>
      <c r="J946" s="98" t="s">
        <v>229</v>
      </c>
      <c r="K946" s="99">
        <v>575</v>
      </c>
      <c r="L946" s="98">
        <v>2022</v>
      </c>
      <c r="M946" s="98" t="s">
        <v>226</v>
      </c>
      <c r="N946" s="99">
        <v>590.71659380345943</v>
      </c>
      <c r="O946" s="100">
        <v>0.11737084210602414</v>
      </c>
      <c r="P946" s="100">
        <v>0.31187595692836118</v>
      </c>
      <c r="Q946" s="100">
        <v>0.26052870882364348</v>
      </c>
    </row>
    <row r="947" spans="1:17" x14ac:dyDescent="0.35">
      <c r="A947" s="98" t="s">
        <v>5</v>
      </c>
      <c r="B947" s="98" t="s">
        <v>140</v>
      </c>
      <c r="C947" s="98" t="s">
        <v>256</v>
      </c>
      <c r="D947" s="99">
        <v>17636407.5</v>
      </c>
      <c r="E947" s="99">
        <v>20392723</v>
      </c>
      <c r="F947" s="99">
        <v>22673762.000000007</v>
      </c>
      <c r="G947" s="99">
        <v>148</v>
      </c>
      <c r="H947" s="98">
        <v>2012</v>
      </c>
      <c r="I947" s="99">
        <v>156</v>
      </c>
      <c r="J947" s="98">
        <v>2017</v>
      </c>
      <c r="K947" s="99">
        <v>210</v>
      </c>
      <c r="L947" s="98">
        <v>2022</v>
      </c>
      <c r="M947" s="98" t="s">
        <v>225</v>
      </c>
      <c r="N947" s="99">
        <v>210</v>
      </c>
      <c r="O947" s="100">
        <v>8.3917317061311947E-2</v>
      </c>
      <c r="P947" s="100">
        <v>7.6497876227711231E-2</v>
      </c>
      <c r="Q947" s="100">
        <v>9.2618066644608837E-2</v>
      </c>
    </row>
    <row r="948" spans="1:17" x14ac:dyDescent="0.35">
      <c r="A948" s="98" t="s">
        <v>5</v>
      </c>
      <c r="B948" s="98" t="s">
        <v>140</v>
      </c>
      <c r="C948" s="98" t="s">
        <v>257</v>
      </c>
      <c r="D948" s="99">
        <v>17636407.5</v>
      </c>
      <c r="E948" s="99">
        <v>20392723</v>
      </c>
      <c r="F948" s="99">
        <v>22673762.000000007</v>
      </c>
      <c r="G948" s="99">
        <v>38</v>
      </c>
      <c r="H948" s="98">
        <v>2012</v>
      </c>
      <c r="I948" s="99">
        <v>91</v>
      </c>
      <c r="J948" s="98">
        <v>2018</v>
      </c>
      <c r="K948" s="99">
        <v>39</v>
      </c>
      <c r="L948" s="98">
        <v>2022</v>
      </c>
      <c r="M948" s="98" t="s">
        <v>226</v>
      </c>
      <c r="N948" s="99">
        <v>40.065995057973772</v>
      </c>
      <c r="O948" s="100">
        <v>2.1546338164390905E-2</v>
      </c>
      <c r="P948" s="100">
        <v>4.4623761132831549E-2</v>
      </c>
      <c r="Q948" s="100">
        <v>1.7670642859342778E-2</v>
      </c>
    </row>
    <row r="949" spans="1:17" x14ac:dyDescent="0.35">
      <c r="A949" s="98" t="s">
        <v>5</v>
      </c>
      <c r="B949" s="98" t="s">
        <v>140</v>
      </c>
      <c r="C949" s="98" t="s">
        <v>258</v>
      </c>
      <c r="D949" s="99">
        <v>17636407.5</v>
      </c>
      <c r="E949" s="99">
        <v>20392723</v>
      </c>
      <c r="F949" s="99">
        <v>22673762.000000007</v>
      </c>
      <c r="G949" s="99">
        <v>0</v>
      </c>
      <c r="H949" s="98" t="s">
        <v>225</v>
      </c>
      <c r="I949" s="99">
        <v>185</v>
      </c>
      <c r="J949" s="98">
        <v>2018</v>
      </c>
      <c r="K949" s="99">
        <v>168</v>
      </c>
      <c r="L949" s="98">
        <v>2021</v>
      </c>
      <c r="M949" s="98" t="s">
        <v>226</v>
      </c>
      <c r="N949" s="99">
        <v>172.59197871127162</v>
      </c>
      <c r="O949" s="100">
        <v>0</v>
      </c>
      <c r="P949" s="100">
        <v>9.0718635270042161E-2</v>
      </c>
      <c r="Q949" s="100">
        <v>7.6119692317168877E-2</v>
      </c>
    </row>
    <row r="950" spans="1:17" x14ac:dyDescent="0.35">
      <c r="A950" s="98" t="s">
        <v>5</v>
      </c>
      <c r="B950" s="98" t="s">
        <v>140</v>
      </c>
      <c r="C950" s="98" t="s">
        <v>259</v>
      </c>
      <c r="D950" s="99">
        <v>17636407.5</v>
      </c>
      <c r="E950" s="99">
        <v>20392723</v>
      </c>
      <c r="F950" s="99">
        <v>22673762.000000007</v>
      </c>
      <c r="G950" s="99">
        <v>0</v>
      </c>
      <c r="H950" s="98" t="s">
        <v>225</v>
      </c>
      <c r="I950" s="99">
        <v>8</v>
      </c>
      <c r="J950" s="98">
        <v>2019</v>
      </c>
      <c r="K950" s="99">
        <v>9</v>
      </c>
      <c r="L950" s="98">
        <v>2022</v>
      </c>
      <c r="M950" s="98" t="s">
        <v>225</v>
      </c>
      <c r="N950" s="99">
        <v>9</v>
      </c>
      <c r="O950" s="100">
        <v>0</v>
      </c>
      <c r="P950" s="100">
        <v>3.922968011677499E-3</v>
      </c>
      <c r="Q950" s="100">
        <v>3.9693457133403789E-3</v>
      </c>
    </row>
    <row r="951" spans="1:17" x14ac:dyDescent="0.35">
      <c r="A951" s="98" t="s">
        <v>4</v>
      </c>
      <c r="B951" s="98" t="s">
        <v>139</v>
      </c>
      <c r="C951" s="98" t="s">
        <v>246</v>
      </c>
      <c r="D951" s="99">
        <v>2217278.0000000009</v>
      </c>
      <c r="E951" s="99">
        <v>2451408.4999999995</v>
      </c>
      <c r="F951" s="99">
        <v>2630296.0000000019</v>
      </c>
      <c r="G951" s="99">
        <v>819</v>
      </c>
      <c r="H951" s="98">
        <v>2012</v>
      </c>
      <c r="I951" s="99">
        <v>925</v>
      </c>
      <c r="J951" s="98">
        <v>2018</v>
      </c>
      <c r="K951" s="99">
        <v>992</v>
      </c>
      <c r="L951" s="98">
        <v>2022</v>
      </c>
      <c r="M951" s="98" t="s">
        <v>225</v>
      </c>
      <c r="N951" s="99">
        <v>992</v>
      </c>
      <c r="O951" s="100">
        <v>3.6937181535197645</v>
      </c>
      <c r="P951" s="100">
        <v>3.77334091808852</v>
      </c>
      <c r="Q951" s="100">
        <v>3.7714386517715091</v>
      </c>
    </row>
    <row r="952" spans="1:17" x14ac:dyDescent="0.35">
      <c r="A952" s="98" t="s">
        <v>4</v>
      </c>
      <c r="B952" s="98" t="s">
        <v>139</v>
      </c>
      <c r="C952" s="98" t="s">
        <v>247</v>
      </c>
      <c r="D952" s="99">
        <v>2217278.0000000009</v>
      </c>
      <c r="E952" s="99">
        <v>2451408.4999999995</v>
      </c>
      <c r="F952" s="99">
        <v>2630296.0000000019</v>
      </c>
      <c r="G952" s="99">
        <v>0</v>
      </c>
      <c r="H952" s="98" t="s">
        <v>225</v>
      </c>
      <c r="I952" s="99">
        <v>815</v>
      </c>
      <c r="J952" s="98" t="s">
        <v>229</v>
      </c>
      <c r="K952" s="99">
        <v>898</v>
      </c>
      <c r="L952" s="98">
        <v>2022</v>
      </c>
      <c r="M952" s="98" t="s">
        <v>225</v>
      </c>
      <c r="N952" s="99">
        <v>898</v>
      </c>
      <c r="O952" s="100">
        <v>0</v>
      </c>
      <c r="P952" s="100">
        <v>3.324619295396912</v>
      </c>
      <c r="Q952" s="100">
        <v>3.4140644246883216</v>
      </c>
    </row>
    <row r="953" spans="1:17" x14ac:dyDescent="0.35">
      <c r="A953" s="98" t="s">
        <v>4</v>
      </c>
      <c r="B953" s="98" t="s">
        <v>139</v>
      </c>
      <c r="C953" s="98" t="s">
        <v>248</v>
      </c>
      <c r="D953" s="99">
        <v>2217278.0000000009</v>
      </c>
      <c r="E953" s="99">
        <v>2451408.4999999995</v>
      </c>
      <c r="F953" s="99">
        <v>2630296.0000000019</v>
      </c>
      <c r="G953" s="99">
        <v>0</v>
      </c>
      <c r="H953" s="98" t="s">
        <v>225</v>
      </c>
      <c r="I953" s="99">
        <v>118</v>
      </c>
      <c r="J953" s="98">
        <v>2018</v>
      </c>
      <c r="K953" s="99">
        <v>94</v>
      </c>
      <c r="L953" s="98">
        <v>2022</v>
      </c>
      <c r="M953" s="98" t="s">
        <v>226</v>
      </c>
      <c r="N953" s="99">
        <v>108.03407256611902</v>
      </c>
      <c r="O953" s="100">
        <v>0</v>
      </c>
      <c r="P953" s="100">
        <v>0.48135592252372472</v>
      </c>
      <c r="Q953" s="100">
        <v>0.41072971470176339</v>
      </c>
    </row>
    <row r="954" spans="1:17" x14ac:dyDescent="0.35">
      <c r="A954" s="98" t="s">
        <v>4</v>
      </c>
      <c r="B954" s="98" t="s">
        <v>139</v>
      </c>
      <c r="C954" s="98" t="s">
        <v>249</v>
      </c>
      <c r="D954" s="99">
        <v>2217278.0000000009</v>
      </c>
      <c r="E954" s="99">
        <v>2451408.4999999995</v>
      </c>
      <c r="F954" s="99">
        <v>2630296.0000000019</v>
      </c>
      <c r="G954" s="99">
        <v>5816</v>
      </c>
      <c r="H954" s="98">
        <v>2012</v>
      </c>
      <c r="I954" s="99">
        <v>7645</v>
      </c>
      <c r="J954" s="98">
        <v>2018</v>
      </c>
      <c r="K954" s="99">
        <v>8028</v>
      </c>
      <c r="L954" s="98">
        <v>2022</v>
      </c>
      <c r="M954" s="98" t="s">
        <v>225</v>
      </c>
      <c r="N954" s="99">
        <v>8028</v>
      </c>
      <c r="O954" s="100">
        <v>26.230359927803359</v>
      </c>
      <c r="P954" s="100">
        <v>31.186152777066741</v>
      </c>
      <c r="Q954" s="100">
        <v>30.521279734296041</v>
      </c>
    </row>
    <row r="955" spans="1:17" x14ac:dyDescent="0.35">
      <c r="A955" s="98" t="s">
        <v>4</v>
      </c>
      <c r="B955" s="98" t="s">
        <v>139</v>
      </c>
      <c r="C955" s="98" t="s">
        <v>250</v>
      </c>
      <c r="D955" s="99">
        <v>2217278.0000000009</v>
      </c>
      <c r="E955" s="99">
        <v>2451408.4999999995</v>
      </c>
      <c r="F955" s="99">
        <v>2630296.0000000019</v>
      </c>
      <c r="G955" s="99">
        <v>0</v>
      </c>
      <c r="H955" s="98" t="s">
        <v>225</v>
      </c>
      <c r="I955" s="99">
        <v>7645</v>
      </c>
      <c r="J955" s="98">
        <v>2018</v>
      </c>
      <c r="K955" s="99">
        <v>8028</v>
      </c>
      <c r="L955" s="98">
        <v>2022</v>
      </c>
      <c r="M955" s="98" t="s">
        <v>225</v>
      </c>
      <c r="N955" s="99">
        <v>8028</v>
      </c>
      <c r="O955" s="100">
        <v>0</v>
      </c>
      <c r="P955" s="100">
        <v>31.186152777066741</v>
      </c>
      <c r="Q955" s="100">
        <v>30.521279734296041</v>
      </c>
    </row>
    <row r="956" spans="1:17" x14ac:dyDescent="0.35">
      <c r="A956" s="98" t="s">
        <v>4</v>
      </c>
      <c r="B956" s="98" t="s">
        <v>139</v>
      </c>
      <c r="C956" s="98" t="s">
        <v>251</v>
      </c>
      <c r="D956" s="99">
        <v>2217278.0000000009</v>
      </c>
      <c r="E956" s="99">
        <v>2451408.4999999995</v>
      </c>
      <c r="F956" s="99">
        <v>2630296.0000000019</v>
      </c>
      <c r="G956" s="99">
        <v>0</v>
      </c>
      <c r="H956" s="98" t="s">
        <v>225</v>
      </c>
      <c r="I956" s="99">
        <v>0</v>
      </c>
      <c r="J956" s="98" t="s">
        <v>225</v>
      </c>
      <c r="K956" s="99">
        <v>0</v>
      </c>
      <c r="L956" s="98" t="s">
        <v>225</v>
      </c>
      <c r="M956" s="98" t="s">
        <v>225</v>
      </c>
      <c r="N956" s="99">
        <v>0</v>
      </c>
      <c r="O956" s="100">
        <v>0</v>
      </c>
      <c r="P956" s="100">
        <v>0</v>
      </c>
      <c r="Q956" s="100">
        <v>0</v>
      </c>
    </row>
    <row r="957" spans="1:17" x14ac:dyDescent="0.35">
      <c r="A957" s="98" t="s">
        <v>4</v>
      </c>
      <c r="B957" s="98" t="s">
        <v>139</v>
      </c>
      <c r="C957" s="98" t="s">
        <v>252</v>
      </c>
      <c r="D957" s="99">
        <v>2217278.0000000009</v>
      </c>
      <c r="E957" s="99">
        <v>2451408.4999999995</v>
      </c>
      <c r="F957" s="99">
        <v>2630296.0000000019</v>
      </c>
      <c r="G957" s="99">
        <v>1501</v>
      </c>
      <c r="H957" s="98">
        <v>2013</v>
      </c>
      <c r="I957" s="99">
        <v>0</v>
      </c>
      <c r="J957" s="98" t="s">
        <v>225</v>
      </c>
      <c r="K957" s="99">
        <v>0</v>
      </c>
      <c r="L957" s="98" t="s">
        <v>225</v>
      </c>
      <c r="M957" s="98" t="s">
        <v>225</v>
      </c>
      <c r="N957" s="99">
        <v>0</v>
      </c>
      <c r="O957" s="100">
        <v>6.7695615975984937</v>
      </c>
      <c r="P957" s="100">
        <v>0</v>
      </c>
      <c r="Q957" s="100">
        <v>0</v>
      </c>
    </row>
    <row r="958" spans="1:17" x14ac:dyDescent="0.35">
      <c r="A958" s="98" t="s">
        <v>4</v>
      </c>
      <c r="B958" s="98" t="s">
        <v>139</v>
      </c>
      <c r="C958" s="98" t="s">
        <v>253</v>
      </c>
      <c r="D958" s="99">
        <v>2217278.0000000009</v>
      </c>
      <c r="E958" s="99">
        <v>2451408.4999999995</v>
      </c>
      <c r="F958" s="99">
        <v>2630296.0000000019</v>
      </c>
      <c r="G958" s="99">
        <v>1501</v>
      </c>
      <c r="H958" s="98">
        <v>2013</v>
      </c>
      <c r="I958" s="99">
        <v>0</v>
      </c>
      <c r="J958" s="98" t="s">
        <v>225</v>
      </c>
      <c r="K958" s="99">
        <v>0</v>
      </c>
      <c r="L958" s="98" t="s">
        <v>225</v>
      </c>
      <c r="M958" s="98" t="s">
        <v>225</v>
      </c>
      <c r="N958" s="99">
        <v>0</v>
      </c>
      <c r="O958" s="100">
        <v>6.7695615975984937</v>
      </c>
      <c r="P958" s="100">
        <v>0</v>
      </c>
      <c r="Q958" s="100">
        <v>0</v>
      </c>
    </row>
    <row r="959" spans="1:17" x14ac:dyDescent="0.35">
      <c r="A959" s="98" t="s">
        <v>4</v>
      </c>
      <c r="B959" s="98" t="s">
        <v>139</v>
      </c>
      <c r="C959" s="98" t="s">
        <v>254</v>
      </c>
      <c r="D959" s="99">
        <v>2217278.0000000009</v>
      </c>
      <c r="E959" s="99">
        <v>2451408.4999999995</v>
      </c>
      <c r="F959" s="99">
        <v>2630296.0000000019</v>
      </c>
      <c r="G959" s="99">
        <v>0</v>
      </c>
      <c r="H959" s="98" t="s">
        <v>225</v>
      </c>
      <c r="I959" s="99">
        <v>0</v>
      </c>
      <c r="J959" s="98" t="s">
        <v>225</v>
      </c>
      <c r="K959" s="99">
        <v>0</v>
      </c>
      <c r="L959" s="98" t="s">
        <v>225</v>
      </c>
      <c r="M959" s="98" t="s">
        <v>225</v>
      </c>
      <c r="N959" s="99">
        <v>0</v>
      </c>
      <c r="O959" s="100">
        <v>0</v>
      </c>
      <c r="P959" s="100">
        <v>0</v>
      </c>
      <c r="Q959" s="100">
        <v>0</v>
      </c>
    </row>
    <row r="960" spans="1:17" x14ac:dyDescent="0.35">
      <c r="A960" s="98" t="s">
        <v>4</v>
      </c>
      <c r="B960" s="98" t="s">
        <v>139</v>
      </c>
      <c r="C960" s="98" t="s">
        <v>255</v>
      </c>
      <c r="D960" s="99">
        <v>2217278.0000000009</v>
      </c>
      <c r="E960" s="99">
        <v>2451408.4999999995</v>
      </c>
      <c r="F960" s="99">
        <v>2630296.0000000019</v>
      </c>
      <c r="G960" s="99">
        <v>0</v>
      </c>
      <c r="H960" s="98" t="s">
        <v>225</v>
      </c>
      <c r="I960" s="99">
        <v>156</v>
      </c>
      <c r="J960" s="98">
        <v>2018</v>
      </c>
      <c r="K960" s="99">
        <v>125</v>
      </c>
      <c r="L960" s="98">
        <v>2022</v>
      </c>
      <c r="M960" s="98" t="s">
        <v>226</v>
      </c>
      <c r="N960" s="99">
        <v>143.6623305400519</v>
      </c>
      <c r="O960" s="100">
        <v>0</v>
      </c>
      <c r="P960" s="100">
        <v>0.63636884672628014</v>
      </c>
      <c r="Q960" s="100">
        <v>0.54618313125234497</v>
      </c>
    </row>
    <row r="961" spans="1:17" x14ac:dyDescent="0.35">
      <c r="A961" s="98" t="s">
        <v>4</v>
      </c>
      <c r="B961" s="98" t="s">
        <v>139</v>
      </c>
      <c r="C961" s="98" t="s">
        <v>256</v>
      </c>
      <c r="D961" s="99">
        <v>2217278.0000000009</v>
      </c>
      <c r="E961" s="99">
        <v>2451408.4999999995</v>
      </c>
      <c r="F961" s="99">
        <v>2630296.0000000019</v>
      </c>
      <c r="G961" s="99">
        <v>0</v>
      </c>
      <c r="H961" s="98" t="s">
        <v>225</v>
      </c>
      <c r="I961" s="99">
        <v>435</v>
      </c>
      <c r="J961" s="98">
        <v>2018</v>
      </c>
      <c r="K961" s="99">
        <v>449</v>
      </c>
      <c r="L961" s="98">
        <v>2022</v>
      </c>
      <c r="M961" s="98" t="s">
        <v>225</v>
      </c>
      <c r="N961" s="99">
        <v>449</v>
      </c>
      <c r="O961" s="100">
        <v>0</v>
      </c>
      <c r="P961" s="100">
        <v>1.7744900533713581</v>
      </c>
      <c r="Q961" s="100">
        <v>1.7070322123441608</v>
      </c>
    </row>
    <row r="962" spans="1:17" x14ac:dyDescent="0.35">
      <c r="A962" s="98" t="s">
        <v>4</v>
      </c>
      <c r="B962" s="98" t="s">
        <v>139</v>
      </c>
      <c r="C962" s="98" t="s">
        <v>257</v>
      </c>
      <c r="D962" s="99">
        <v>2217278.0000000009</v>
      </c>
      <c r="E962" s="99">
        <v>2451408.4999999995</v>
      </c>
      <c r="F962" s="99">
        <v>2630296.0000000019</v>
      </c>
      <c r="G962" s="99">
        <v>55</v>
      </c>
      <c r="H962" s="98">
        <v>2012</v>
      </c>
      <c r="I962" s="99">
        <v>96</v>
      </c>
      <c r="J962" s="98">
        <v>2018</v>
      </c>
      <c r="K962" s="99">
        <v>86</v>
      </c>
      <c r="L962" s="98">
        <v>2022</v>
      </c>
      <c r="M962" s="98" t="s">
        <v>226</v>
      </c>
      <c r="N962" s="99">
        <v>98.839683411555711</v>
      </c>
      <c r="O962" s="100">
        <v>0.24805189065151045</v>
      </c>
      <c r="P962" s="100">
        <v>0.39161159798540318</v>
      </c>
      <c r="Q962" s="100">
        <v>0.37577399430161335</v>
      </c>
    </row>
    <row r="963" spans="1:17" x14ac:dyDescent="0.35">
      <c r="A963" s="98" t="s">
        <v>4</v>
      </c>
      <c r="B963" s="98" t="s">
        <v>139</v>
      </c>
      <c r="C963" s="98" t="s">
        <v>258</v>
      </c>
      <c r="D963" s="99">
        <v>2217278.0000000009</v>
      </c>
      <c r="E963" s="99">
        <v>2451408.4999999995</v>
      </c>
      <c r="F963" s="99">
        <v>2630296.0000000019</v>
      </c>
      <c r="G963" s="99">
        <v>0</v>
      </c>
      <c r="H963" s="98" t="s">
        <v>225</v>
      </c>
      <c r="I963" s="99">
        <v>27</v>
      </c>
      <c r="J963" s="98">
        <v>2018</v>
      </c>
      <c r="K963" s="99">
        <v>24</v>
      </c>
      <c r="L963" s="98">
        <v>2022</v>
      </c>
      <c r="M963" s="98" t="s">
        <v>226</v>
      </c>
      <c r="N963" s="99">
        <v>27.583167463689964</v>
      </c>
      <c r="O963" s="100">
        <v>0</v>
      </c>
      <c r="P963" s="100">
        <v>0.11014076193339464</v>
      </c>
      <c r="Q963" s="100">
        <v>0.10486716120045024</v>
      </c>
    </row>
    <row r="964" spans="1:17" x14ac:dyDescent="0.35">
      <c r="A964" s="98" t="s">
        <v>4</v>
      </c>
      <c r="B964" s="98" t="s">
        <v>139</v>
      </c>
      <c r="C964" s="98" t="s">
        <v>259</v>
      </c>
      <c r="D964" s="99">
        <v>2217278.0000000009</v>
      </c>
      <c r="E964" s="99">
        <v>2451408.4999999995</v>
      </c>
      <c r="F964" s="99">
        <v>2630296.0000000019</v>
      </c>
      <c r="G964" s="99">
        <v>0</v>
      </c>
      <c r="H964" s="98" t="s">
        <v>225</v>
      </c>
      <c r="I964" s="99">
        <v>16</v>
      </c>
      <c r="J964" s="98">
        <v>2018</v>
      </c>
      <c r="K964" s="99">
        <v>17</v>
      </c>
      <c r="L964" s="98">
        <v>2022</v>
      </c>
      <c r="M964" s="98" t="s">
        <v>225</v>
      </c>
      <c r="N964" s="99">
        <v>17</v>
      </c>
      <c r="O964" s="100">
        <v>0</v>
      </c>
      <c r="P964" s="100">
        <v>6.5268599664233859E-2</v>
      </c>
      <c r="Q964" s="100">
        <v>6.4631509153342398E-2</v>
      </c>
    </row>
    <row r="965" spans="1:17" x14ac:dyDescent="0.35">
      <c r="A965" s="98" t="s">
        <v>8</v>
      </c>
      <c r="B965" s="98" t="s">
        <v>144</v>
      </c>
      <c r="C965" s="98" t="s">
        <v>246</v>
      </c>
      <c r="D965" s="99">
        <v>4802428.5000000102</v>
      </c>
      <c r="E965" s="99">
        <v>5094779.9999999991</v>
      </c>
      <c r="F965" s="99">
        <v>5579143.5000000047</v>
      </c>
      <c r="G965" s="99">
        <v>324</v>
      </c>
      <c r="H965" s="98">
        <v>2015</v>
      </c>
      <c r="I965" s="99">
        <v>335</v>
      </c>
      <c r="J965" s="98">
        <v>2018</v>
      </c>
      <c r="K965" s="99">
        <v>114</v>
      </c>
      <c r="L965" s="98">
        <v>2021</v>
      </c>
      <c r="M965" s="98" t="s">
        <v>226</v>
      </c>
      <c r="N965" s="99">
        <v>146.38957816377172</v>
      </c>
      <c r="O965" s="100">
        <v>0.67465866488173498</v>
      </c>
      <c r="P965" s="100">
        <v>0.65753575227978456</v>
      </c>
      <c r="Q965" s="100">
        <v>0.2623871892948651</v>
      </c>
    </row>
    <row r="966" spans="1:17" x14ac:dyDescent="0.35">
      <c r="A966" s="98" t="s">
        <v>8</v>
      </c>
      <c r="B966" s="98" t="s">
        <v>144</v>
      </c>
      <c r="C966" s="98" t="s">
        <v>247</v>
      </c>
      <c r="D966" s="99">
        <v>4802428.5000000102</v>
      </c>
      <c r="E966" s="99">
        <v>5094779.9999999991</v>
      </c>
      <c r="F966" s="99">
        <v>5579143.5000000047</v>
      </c>
      <c r="G966" s="99">
        <v>0</v>
      </c>
      <c r="H966" s="98" t="s">
        <v>225</v>
      </c>
      <c r="I966" s="99">
        <v>263</v>
      </c>
      <c r="J966" s="98">
        <v>2018</v>
      </c>
      <c r="K966" s="99">
        <v>108</v>
      </c>
      <c r="L966" s="98">
        <v>2021</v>
      </c>
      <c r="M966" s="98" t="s">
        <v>226</v>
      </c>
      <c r="N966" s="99">
        <v>138.6848635235732</v>
      </c>
      <c r="O966" s="100">
        <v>0</v>
      </c>
      <c r="P966" s="100">
        <v>0.5162146353718905</v>
      </c>
      <c r="Q966" s="100">
        <v>0.24857733722671424</v>
      </c>
    </row>
    <row r="967" spans="1:17" x14ac:dyDescent="0.35">
      <c r="A967" s="98" t="s">
        <v>8</v>
      </c>
      <c r="B967" s="98" t="s">
        <v>144</v>
      </c>
      <c r="C967" s="98" t="s">
        <v>248</v>
      </c>
      <c r="D967" s="99">
        <v>4802428.5000000102</v>
      </c>
      <c r="E967" s="99">
        <v>5094779.9999999991</v>
      </c>
      <c r="F967" s="99">
        <v>5579143.5000000047</v>
      </c>
      <c r="G967" s="99">
        <v>38</v>
      </c>
      <c r="H967" s="98">
        <v>2015</v>
      </c>
      <c r="I967" s="99">
        <v>72</v>
      </c>
      <c r="J967" s="98">
        <v>2018</v>
      </c>
      <c r="K967" s="99">
        <v>4</v>
      </c>
      <c r="L967" s="98">
        <v>2021</v>
      </c>
      <c r="M967" s="98" t="s">
        <v>226</v>
      </c>
      <c r="N967" s="99">
        <v>5.1364764267990077</v>
      </c>
      <c r="O967" s="100">
        <v>7.9126633535512123E-2</v>
      </c>
      <c r="P967" s="100">
        <v>0.14132111690789398</v>
      </c>
      <c r="Q967" s="100">
        <v>9.2065680454338616E-3</v>
      </c>
    </row>
    <row r="968" spans="1:17" x14ac:dyDescent="0.35">
      <c r="A968" s="98" t="s">
        <v>8</v>
      </c>
      <c r="B968" s="98" t="s">
        <v>144</v>
      </c>
      <c r="C968" s="98" t="s">
        <v>249</v>
      </c>
      <c r="D968" s="99">
        <v>4802428.5000000102</v>
      </c>
      <c r="E968" s="99">
        <v>5094779.9999999991</v>
      </c>
      <c r="F968" s="99">
        <v>5579143.5000000047</v>
      </c>
      <c r="G968" s="99">
        <v>322</v>
      </c>
      <c r="H968" s="98">
        <v>2015</v>
      </c>
      <c r="I968" s="99">
        <v>1195</v>
      </c>
      <c r="J968" s="98">
        <v>2018</v>
      </c>
      <c r="K968" s="99">
        <v>505</v>
      </c>
      <c r="L968" s="98">
        <v>2021</v>
      </c>
      <c r="M968" s="98" t="s">
        <v>226</v>
      </c>
      <c r="N968" s="99">
        <v>648.48014888337468</v>
      </c>
      <c r="O968" s="100">
        <v>0.67049410522197117</v>
      </c>
      <c r="P968" s="100">
        <v>2.3455379820129627</v>
      </c>
      <c r="Q968" s="100">
        <v>1.162329215736025</v>
      </c>
    </row>
    <row r="969" spans="1:17" x14ac:dyDescent="0.35">
      <c r="A969" s="98" t="s">
        <v>8</v>
      </c>
      <c r="B969" s="98" t="s">
        <v>144</v>
      </c>
      <c r="C969" s="98" t="s">
        <v>250</v>
      </c>
      <c r="D969" s="99">
        <v>4802428.5000000102</v>
      </c>
      <c r="E969" s="99">
        <v>5094779.9999999991</v>
      </c>
      <c r="F969" s="99">
        <v>5579143.5000000047</v>
      </c>
      <c r="G969" s="99">
        <v>0</v>
      </c>
      <c r="H969" s="98" t="s">
        <v>225</v>
      </c>
      <c r="I969" s="99">
        <v>426</v>
      </c>
      <c r="J969" s="98" t="s">
        <v>229</v>
      </c>
      <c r="K969" s="99">
        <v>249</v>
      </c>
      <c r="L969" s="98">
        <v>2021</v>
      </c>
      <c r="M969" s="98" t="s">
        <v>226</v>
      </c>
      <c r="N969" s="99">
        <v>319.74565756823824</v>
      </c>
      <c r="O969" s="100">
        <v>0</v>
      </c>
      <c r="P969" s="100">
        <v>0.83614994170503942</v>
      </c>
      <c r="Q969" s="100">
        <v>0.57310886082825796</v>
      </c>
    </row>
    <row r="970" spans="1:17" x14ac:dyDescent="0.35">
      <c r="A970" s="98" t="s">
        <v>8</v>
      </c>
      <c r="B970" s="98" t="s">
        <v>144</v>
      </c>
      <c r="C970" s="98" t="s">
        <v>251</v>
      </c>
      <c r="D970" s="99">
        <v>4802428.5000000102</v>
      </c>
      <c r="E970" s="99">
        <v>5094779.9999999991</v>
      </c>
      <c r="F970" s="99">
        <v>5579143.5000000047</v>
      </c>
      <c r="G970" s="99">
        <v>0</v>
      </c>
      <c r="H970" s="98" t="s">
        <v>225</v>
      </c>
      <c r="I970" s="99">
        <v>325</v>
      </c>
      <c r="J970" s="98" t="s">
        <v>229</v>
      </c>
      <c r="K970" s="99">
        <v>1</v>
      </c>
      <c r="L970" s="98">
        <v>2021</v>
      </c>
      <c r="M970" s="98" t="s">
        <v>226</v>
      </c>
      <c r="N970" s="99">
        <v>1.2841191066997519</v>
      </c>
      <c r="O970" s="100">
        <v>0</v>
      </c>
      <c r="P970" s="100">
        <v>0.63790781937591035</v>
      </c>
      <c r="Q970" s="100">
        <v>2.3016420113584654E-3</v>
      </c>
    </row>
    <row r="971" spans="1:17" x14ac:dyDescent="0.35">
      <c r="A971" s="98" t="s">
        <v>8</v>
      </c>
      <c r="B971" s="98" t="s">
        <v>144</v>
      </c>
      <c r="C971" s="98" t="s">
        <v>252</v>
      </c>
      <c r="D971" s="99">
        <v>4802428.5000000102</v>
      </c>
      <c r="E971" s="99">
        <v>5094779.9999999991</v>
      </c>
      <c r="F971" s="99">
        <v>5579143.5000000047</v>
      </c>
      <c r="G971" s="99">
        <v>514</v>
      </c>
      <c r="H971" s="98">
        <v>2013</v>
      </c>
      <c r="I971" s="99">
        <v>444</v>
      </c>
      <c r="J971" s="98" t="s">
        <v>229</v>
      </c>
      <c r="K971" s="99">
        <v>537</v>
      </c>
      <c r="L971" s="98">
        <v>2021</v>
      </c>
      <c r="M971" s="98" t="s">
        <v>225</v>
      </c>
      <c r="N971" s="99">
        <v>537</v>
      </c>
      <c r="O971" s="100">
        <v>1.0702918325592956</v>
      </c>
      <c r="P971" s="100">
        <v>0.87148022093201294</v>
      </c>
      <c r="Q971" s="100">
        <v>0.96251333201951084</v>
      </c>
    </row>
    <row r="972" spans="1:17" x14ac:dyDescent="0.35">
      <c r="A972" s="98" t="s">
        <v>8</v>
      </c>
      <c r="B972" s="98" t="s">
        <v>144</v>
      </c>
      <c r="C972" s="98" t="s">
        <v>253</v>
      </c>
      <c r="D972" s="99">
        <v>4802428.5000000102</v>
      </c>
      <c r="E972" s="99">
        <v>5094779.9999999991</v>
      </c>
      <c r="F972" s="99">
        <v>5579143.5000000047</v>
      </c>
      <c r="G972" s="99">
        <v>241</v>
      </c>
      <c r="H972" s="98">
        <v>2013</v>
      </c>
      <c r="I972" s="99">
        <v>276</v>
      </c>
      <c r="J972" s="98" t="s">
        <v>229</v>
      </c>
      <c r="K972" s="99">
        <v>130</v>
      </c>
      <c r="L972" s="98">
        <v>2021</v>
      </c>
      <c r="M972" s="98" t="s">
        <v>226</v>
      </c>
      <c r="N972" s="99">
        <v>166.93548387096774</v>
      </c>
      <c r="O972" s="100">
        <v>0.50182943900153743</v>
      </c>
      <c r="P972" s="100">
        <v>0.54173094814692691</v>
      </c>
      <c r="Q972" s="100">
        <v>0.2992134614766005</v>
      </c>
    </row>
    <row r="973" spans="1:17" x14ac:dyDescent="0.35">
      <c r="A973" s="98" t="s">
        <v>8</v>
      </c>
      <c r="B973" s="98" t="s">
        <v>144</v>
      </c>
      <c r="C973" s="98" t="s">
        <v>254</v>
      </c>
      <c r="D973" s="99">
        <v>4802428.5000000102</v>
      </c>
      <c r="E973" s="99">
        <v>5094779.9999999991</v>
      </c>
      <c r="F973" s="99">
        <v>5579143.5000000047</v>
      </c>
      <c r="G973" s="99">
        <v>273</v>
      </c>
      <c r="H973" s="98">
        <v>2013</v>
      </c>
      <c r="I973" s="99">
        <v>168</v>
      </c>
      <c r="J973" s="98" t="s">
        <v>229</v>
      </c>
      <c r="K973" s="99">
        <v>197</v>
      </c>
      <c r="L973" s="98">
        <v>2021</v>
      </c>
      <c r="M973" s="98" t="s">
        <v>225</v>
      </c>
      <c r="N973" s="99">
        <v>197</v>
      </c>
      <c r="O973" s="100">
        <v>0.56846239355775818</v>
      </c>
      <c r="P973" s="100">
        <v>0.32974927278508598</v>
      </c>
      <c r="Q973" s="100">
        <v>0.35310079405557471</v>
      </c>
    </row>
    <row r="974" spans="1:17" x14ac:dyDescent="0.35">
      <c r="A974" s="98" t="s">
        <v>8</v>
      </c>
      <c r="B974" s="98" t="s">
        <v>144</v>
      </c>
      <c r="C974" s="98" t="s">
        <v>255</v>
      </c>
      <c r="D974" s="99">
        <v>4802428.5000000102</v>
      </c>
      <c r="E974" s="99">
        <v>5094779.9999999991</v>
      </c>
      <c r="F974" s="99">
        <v>5579143.5000000047</v>
      </c>
      <c r="G974" s="99">
        <v>20</v>
      </c>
      <c r="H974" s="98">
        <v>2015</v>
      </c>
      <c r="I974" s="99">
        <v>36</v>
      </c>
      <c r="J974" s="98">
        <v>2018</v>
      </c>
      <c r="K974" s="99">
        <v>2</v>
      </c>
      <c r="L974" s="98">
        <v>2021</v>
      </c>
      <c r="M974" s="98" t="s">
        <v>226</v>
      </c>
      <c r="N974" s="99">
        <v>2.5682382133995039</v>
      </c>
      <c r="O974" s="100">
        <v>4.164559659763796E-2</v>
      </c>
      <c r="P974" s="100">
        <v>7.0660558453946989E-2</v>
      </c>
      <c r="Q974" s="100">
        <v>4.6032840227169308E-3</v>
      </c>
    </row>
    <row r="975" spans="1:17" x14ac:dyDescent="0.35">
      <c r="A975" s="98" t="s">
        <v>8</v>
      </c>
      <c r="B975" s="98" t="s">
        <v>144</v>
      </c>
      <c r="C975" s="98" t="s">
        <v>256</v>
      </c>
      <c r="D975" s="99">
        <v>4802428.5000000102</v>
      </c>
      <c r="E975" s="99">
        <v>5094779.9999999991</v>
      </c>
      <c r="F975" s="99">
        <v>5579143.5000000047</v>
      </c>
      <c r="G975" s="99">
        <v>0</v>
      </c>
      <c r="H975" s="98" t="s">
        <v>225</v>
      </c>
      <c r="I975" s="99">
        <v>0</v>
      </c>
      <c r="J975" s="98" t="s">
        <v>225</v>
      </c>
      <c r="K975" s="99">
        <v>0</v>
      </c>
      <c r="L975" s="98" t="s">
        <v>225</v>
      </c>
      <c r="M975" s="98" t="s">
        <v>225</v>
      </c>
      <c r="N975" s="99">
        <v>0</v>
      </c>
      <c r="O975" s="100">
        <v>0</v>
      </c>
      <c r="P975" s="100">
        <v>0</v>
      </c>
      <c r="Q975" s="100">
        <v>0</v>
      </c>
    </row>
    <row r="976" spans="1:17" x14ac:dyDescent="0.35">
      <c r="A976" s="98" t="s">
        <v>8</v>
      </c>
      <c r="B976" s="98" t="s">
        <v>144</v>
      </c>
      <c r="C976" s="98" t="s">
        <v>257</v>
      </c>
      <c r="D976" s="99">
        <v>4802428.5000000102</v>
      </c>
      <c r="E976" s="99">
        <v>5094779.9999999991</v>
      </c>
      <c r="F976" s="99">
        <v>5579143.5000000047</v>
      </c>
      <c r="G976" s="99">
        <v>0</v>
      </c>
      <c r="H976" s="98" t="s">
        <v>225</v>
      </c>
      <c r="I976" s="99">
        <v>10</v>
      </c>
      <c r="J976" s="98">
        <v>2018</v>
      </c>
      <c r="K976" s="99">
        <v>2</v>
      </c>
      <c r="L976" s="98">
        <v>2021</v>
      </c>
      <c r="M976" s="98" t="s">
        <v>226</v>
      </c>
      <c r="N976" s="99">
        <v>2.5682382133995039</v>
      </c>
      <c r="O976" s="100">
        <v>0</v>
      </c>
      <c r="P976" s="100">
        <v>1.9627932903874164E-2</v>
      </c>
      <c r="Q976" s="100">
        <v>4.6032840227169308E-3</v>
      </c>
    </row>
    <row r="977" spans="1:17" x14ac:dyDescent="0.35">
      <c r="A977" s="98" t="s">
        <v>8</v>
      </c>
      <c r="B977" s="98" t="s">
        <v>144</v>
      </c>
      <c r="C977" s="98" t="s">
        <v>258</v>
      </c>
      <c r="D977" s="99">
        <v>4802428.5000000102</v>
      </c>
      <c r="E977" s="99">
        <v>5094779.9999999991</v>
      </c>
      <c r="F977" s="99">
        <v>5579143.5000000047</v>
      </c>
      <c r="G977" s="99">
        <v>0</v>
      </c>
      <c r="H977" s="98" t="s">
        <v>225</v>
      </c>
      <c r="I977" s="99">
        <v>7</v>
      </c>
      <c r="J977" s="98" t="s">
        <v>229</v>
      </c>
      <c r="K977" s="99">
        <v>7</v>
      </c>
      <c r="L977" s="98" t="s">
        <v>229</v>
      </c>
      <c r="M977" s="98" t="s">
        <v>225</v>
      </c>
      <c r="N977" s="99">
        <v>7</v>
      </c>
      <c r="O977" s="100">
        <v>0</v>
      </c>
      <c r="P977" s="100">
        <v>1.3739553032711916E-2</v>
      </c>
      <c r="Q977" s="100">
        <v>1.2546728722786919E-2</v>
      </c>
    </row>
    <row r="978" spans="1:17" x14ac:dyDescent="0.35">
      <c r="A978" s="98" t="s">
        <v>8</v>
      </c>
      <c r="B978" s="98" t="s">
        <v>144</v>
      </c>
      <c r="C978" s="98" t="s">
        <v>259</v>
      </c>
      <c r="D978" s="99">
        <v>4802428.5000000102</v>
      </c>
      <c r="E978" s="99">
        <v>5094779.9999999991</v>
      </c>
      <c r="F978" s="99">
        <v>5579143.5000000047</v>
      </c>
      <c r="G978" s="99">
        <v>0</v>
      </c>
      <c r="H978" s="98" t="s">
        <v>225</v>
      </c>
      <c r="I978" s="99">
        <v>0</v>
      </c>
      <c r="J978" s="98" t="s">
        <v>225</v>
      </c>
      <c r="K978" s="99">
        <v>0</v>
      </c>
      <c r="L978" s="98" t="s">
        <v>225</v>
      </c>
      <c r="M978" s="98" t="s">
        <v>225</v>
      </c>
      <c r="N978" s="99">
        <v>0</v>
      </c>
      <c r="O978" s="100">
        <v>0</v>
      </c>
      <c r="P978" s="100">
        <v>0</v>
      </c>
      <c r="Q978" s="100">
        <v>0</v>
      </c>
    </row>
    <row r="979" spans="1:17" x14ac:dyDescent="0.35">
      <c r="A979" s="98" t="s">
        <v>12</v>
      </c>
      <c r="B979" s="98" t="s">
        <v>150</v>
      </c>
      <c r="C979" s="98" t="s">
        <v>246</v>
      </c>
      <c r="D979" s="99">
        <v>22469267.5</v>
      </c>
      <c r="E979" s="99">
        <v>25493988.499999996</v>
      </c>
      <c r="F979" s="99">
        <v>28160542.500000004</v>
      </c>
      <c r="G979" s="99">
        <v>5240</v>
      </c>
      <c r="H979" s="98">
        <v>2014</v>
      </c>
      <c r="I979" s="99">
        <v>5602</v>
      </c>
      <c r="J979" s="98">
        <v>2018</v>
      </c>
      <c r="K979" s="99">
        <v>4930</v>
      </c>
      <c r="L979" s="98">
        <v>2022</v>
      </c>
      <c r="M979" s="98" t="s">
        <v>226</v>
      </c>
      <c r="N979" s="99">
        <v>6327.5519796794806</v>
      </c>
      <c r="O979" s="100">
        <v>2.3320742431857204</v>
      </c>
      <c r="P979" s="100">
        <v>2.1973807668423482</v>
      </c>
      <c r="Q979" s="100">
        <v>2.2469567053544797</v>
      </c>
    </row>
    <row r="980" spans="1:17" x14ac:dyDescent="0.35">
      <c r="A980" s="98" t="s">
        <v>12</v>
      </c>
      <c r="B980" s="98" t="s">
        <v>150</v>
      </c>
      <c r="C980" s="98" t="s">
        <v>247</v>
      </c>
      <c r="D980" s="99">
        <v>22469267.5</v>
      </c>
      <c r="E980" s="99">
        <v>25493988.499999996</v>
      </c>
      <c r="F980" s="99">
        <v>28160542.500000004</v>
      </c>
      <c r="G980" s="99">
        <v>0</v>
      </c>
      <c r="H980" s="98" t="s">
        <v>225</v>
      </c>
      <c r="I980" s="99">
        <v>4246</v>
      </c>
      <c r="J980" s="98">
        <v>2018</v>
      </c>
      <c r="K980" s="99">
        <v>4412</v>
      </c>
      <c r="L980" s="98">
        <v>2022</v>
      </c>
      <c r="M980" s="98" t="s">
        <v>225</v>
      </c>
      <c r="N980" s="99">
        <v>4412</v>
      </c>
      <c r="O980" s="100">
        <v>0</v>
      </c>
      <c r="P980" s="100">
        <v>1.6654906704770815</v>
      </c>
      <c r="Q980" s="100">
        <v>1.5667311806936957</v>
      </c>
    </row>
    <row r="981" spans="1:17" x14ac:dyDescent="0.35">
      <c r="A981" s="98" t="s">
        <v>12</v>
      </c>
      <c r="B981" s="98" t="s">
        <v>150</v>
      </c>
      <c r="C981" s="98" t="s">
        <v>248</v>
      </c>
      <c r="D981" s="99">
        <v>22469267.5</v>
      </c>
      <c r="E981" s="99">
        <v>25493988.499999996</v>
      </c>
      <c r="F981" s="99">
        <v>28160542.500000004</v>
      </c>
      <c r="G981" s="99">
        <v>0</v>
      </c>
      <c r="H981" s="98" t="s">
        <v>225</v>
      </c>
      <c r="I981" s="99">
        <v>1356</v>
      </c>
      <c r="J981" s="98">
        <v>2018</v>
      </c>
      <c r="K981" s="99">
        <v>518</v>
      </c>
      <c r="L981" s="98">
        <v>2022</v>
      </c>
      <c r="M981" s="98" t="s">
        <v>226</v>
      </c>
      <c r="N981" s="99">
        <v>664.84217555252962</v>
      </c>
      <c r="O981" s="100">
        <v>0</v>
      </c>
      <c r="P981" s="100">
        <v>0.53189009636526674</v>
      </c>
      <c r="Q981" s="100">
        <v>0.23608997431513601</v>
      </c>
    </row>
    <row r="982" spans="1:17" x14ac:dyDescent="0.35">
      <c r="A982" s="98" t="s">
        <v>12</v>
      </c>
      <c r="B982" s="98" t="s">
        <v>150</v>
      </c>
      <c r="C982" s="98" t="s">
        <v>249</v>
      </c>
      <c r="D982" s="99">
        <v>22469267.5</v>
      </c>
      <c r="E982" s="99">
        <v>25493988.499999996</v>
      </c>
      <c r="F982" s="99">
        <v>28160542.500000004</v>
      </c>
      <c r="G982" s="99">
        <v>8780</v>
      </c>
      <c r="H982" s="98">
        <v>2013</v>
      </c>
      <c r="I982" s="99">
        <v>15163</v>
      </c>
      <c r="J982" s="98">
        <v>2018</v>
      </c>
      <c r="K982" s="99">
        <v>14979</v>
      </c>
      <c r="L982" s="98">
        <v>2022</v>
      </c>
      <c r="M982" s="98" t="s">
        <v>226</v>
      </c>
      <c r="N982" s="99">
        <v>19225.233489577877</v>
      </c>
      <c r="O982" s="100">
        <v>3.9075595143455391</v>
      </c>
      <c r="P982" s="100">
        <v>5.9476766454178023</v>
      </c>
      <c r="Q982" s="100">
        <v>6.8270110526378796</v>
      </c>
    </row>
    <row r="983" spans="1:17" x14ac:dyDescent="0.35">
      <c r="A983" s="98" t="s">
        <v>12</v>
      </c>
      <c r="B983" s="98" t="s">
        <v>150</v>
      </c>
      <c r="C983" s="98" t="s">
        <v>250</v>
      </c>
      <c r="D983" s="99">
        <v>22469267.5</v>
      </c>
      <c r="E983" s="99">
        <v>25493988.499999996</v>
      </c>
      <c r="F983" s="99">
        <v>28160542.500000004</v>
      </c>
      <c r="G983" s="99">
        <v>7172</v>
      </c>
      <c r="H983" s="98">
        <v>2013</v>
      </c>
      <c r="I983" s="99">
        <v>11667</v>
      </c>
      <c r="J983" s="98" t="s">
        <v>229</v>
      </c>
      <c r="K983" s="99">
        <v>14934</v>
      </c>
      <c r="L983" s="98">
        <v>2022</v>
      </c>
      <c r="M983" s="98" t="s">
        <v>225</v>
      </c>
      <c r="N983" s="99">
        <v>14934</v>
      </c>
      <c r="O983" s="100">
        <v>3.1919153572763332</v>
      </c>
      <c r="P983" s="100">
        <v>4.5763729751427489</v>
      </c>
      <c r="Q983" s="100">
        <v>5.303164880435097</v>
      </c>
    </row>
    <row r="984" spans="1:17" x14ac:dyDescent="0.35">
      <c r="A984" s="98" t="s">
        <v>12</v>
      </c>
      <c r="B984" s="98" t="s">
        <v>150</v>
      </c>
      <c r="C984" s="98" t="s">
        <v>251</v>
      </c>
      <c r="D984" s="99">
        <v>22469267.5</v>
      </c>
      <c r="E984" s="99">
        <v>25493988.499999996</v>
      </c>
      <c r="F984" s="99">
        <v>28160542.500000004</v>
      </c>
      <c r="G984" s="99">
        <v>1608</v>
      </c>
      <c r="H984" s="98">
        <v>2013</v>
      </c>
      <c r="I984" s="99">
        <v>3595</v>
      </c>
      <c r="J984" s="98">
        <v>2018</v>
      </c>
      <c r="K984" s="99">
        <v>3595</v>
      </c>
      <c r="L984" s="98">
        <v>2018</v>
      </c>
      <c r="M984" s="98" t="s">
        <v>225</v>
      </c>
      <c r="N984" s="99">
        <v>3595</v>
      </c>
      <c r="O984" s="100">
        <v>0.7156441570692057</v>
      </c>
      <c r="P984" s="100">
        <v>1.4101363543017211</v>
      </c>
      <c r="Q984" s="100">
        <v>1.276608928965058</v>
      </c>
    </row>
    <row r="985" spans="1:17" x14ac:dyDescent="0.35">
      <c r="A985" s="98" t="s">
        <v>12</v>
      </c>
      <c r="B985" s="98" t="s">
        <v>150</v>
      </c>
      <c r="C985" s="98" t="s">
        <v>252</v>
      </c>
      <c r="D985" s="99">
        <v>22469267.5</v>
      </c>
      <c r="E985" s="99">
        <v>25493988.499999996</v>
      </c>
      <c r="F985" s="99">
        <v>28160542.500000004</v>
      </c>
      <c r="G985" s="99">
        <v>3851</v>
      </c>
      <c r="H985" s="98">
        <v>2013</v>
      </c>
      <c r="I985" s="99">
        <v>5460</v>
      </c>
      <c r="J985" s="98" t="s">
        <v>229</v>
      </c>
      <c r="K985" s="99">
        <v>7425</v>
      </c>
      <c r="L985" s="98">
        <v>2022</v>
      </c>
      <c r="M985" s="98" t="s">
        <v>225</v>
      </c>
      <c r="N985" s="99">
        <v>7425</v>
      </c>
      <c r="O985" s="100">
        <v>1.7138965478069101</v>
      </c>
      <c r="P985" s="100">
        <v>2.1416813614707642</v>
      </c>
      <c r="Q985" s="100">
        <v>2.6366679548165664</v>
      </c>
    </row>
    <row r="986" spans="1:17" x14ac:dyDescent="0.35">
      <c r="A986" s="98" t="s">
        <v>12</v>
      </c>
      <c r="B986" s="98" t="s">
        <v>150</v>
      </c>
      <c r="C986" s="98" t="s">
        <v>253</v>
      </c>
      <c r="D986" s="99">
        <v>22469267.5</v>
      </c>
      <c r="E986" s="99">
        <v>25493988.499999996</v>
      </c>
      <c r="F986" s="99">
        <v>28160542.500000004</v>
      </c>
      <c r="G986" s="99">
        <v>2627</v>
      </c>
      <c r="H986" s="98">
        <v>2013</v>
      </c>
      <c r="I986" s="99">
        <v>5456</v>
      </c>
      <c r="J986" s="98" t="s">
        <v>229</v>
      </c>
      <c r="K986" s="99">
        <v>7421</v>
      </c>
      <c r="L986" s="98">
        <v>2022</v>
      </c>
      <c r="M986" s="98" t="s">
        <v>225</v>
      </c>
      <c r="N986" s="99">
        <v>7421</v>
      </c>
      <c r="O986" s="100">
        <v>1.1691524879482609</v>
      </c>
      <c r="P986" s="100">
        <v>2.1401123641363533</v>
      </c>
      <c r="Q986" s="100">
        <v>2.6352475276355203</v>
      </c>
    </row>
    <row r="987" spans="1:17" x14ac:dyDescent="0.35">
      <c r="A987" s="98" t="s">
        <v>12</v>
      </c>
      <c r="B987" s="98" t="s">
        <v>150</v>
      </c>
      <c r="C987" s="98" t="s">
        <v>254</v>
      </c>
      <c r="D987" s="99">
        <v>22469267.5</v>
      </c>
      <c r="E987" s="99">
        <v>25493988.499999996</v>
      </c>
      <c r="F987" s="99">
        <v>28160542.500000004</v>
      </c>
      <c r="G987" s="99">
        <v>1224</v>
      </c>
      <c r="H987" s="98">
        <v>2013</v>
      </c>
      <c r="I987" s="99">
        <v>4</v>
      </c>
      <c r="J987" s="98" t="s">
        <v>229</v>
      </c>
      <c r="K987" s="99">
        <v>4</v>
      </c>
      <c r="L987" s="98">
        <v>2022</v>
      </c>
      <c r="M987" s="98" t="s">
        <v>225</v>
      </c>
      <c r="N987" s="99">
        <v>4</v>
      </c>
      <c r="O987" s="100">
        <v>0.54474405985864915</v>
      </c>
      <c r="P987" s="100">
        <v>1.5689973344108162E-3</v>
      </c>
      <c r="Q987" s="100">
        <v>1.4204271810459616E-3</v>
      </c>
    </row>
    <row r="988" spans="1:17" x14ac:dyDescent="0.35">
      <c r="A988" s="98" t="s">
        <v>12</v>
      </c>
      <c r="B988" s="98" t="s">
        <v>150</v>
      </c>
      <c r="C988" s="98" t="s">
        <v>255</v>
      </c>
      <c r="D988" s="99">
        <v>22469267.5</v>
      </c>
      <c r="E988" s="99">
        <v>25493988.499999996</v>
      </c>
      <c r="F988" s="99">
        <v>28160542.500000004</v>
      </c>
      <c r="G988" s="99">
        <v>2430</v>
      </c>
      <c r="H988" s="98">
        <v>2014</v>
      </c>
      <c r="I988" s="99">
        <v>2495</v>
      </c>
      <c r="J988" s="98">
        <v>2018</v>
      </c>
      <c r="K988" s="99">
        <v>1162</v>
      </c>
      <c r="L988" s="98">
        <v>2022</v>
      </c>
      <c r="M988" s="98" t="s">
        <v>226</v>
      </c>
      <c r="N988" s="99">
        <v>1491.4027181313502</v>
      </c>
      <c r="O988" s="100">
        <v>1.0814771776605534</v>
      </c>
      <c r="P988" s="100">
        <v>0.97866208733874671</v>
      </c>
      <c r="Q988" s="100">
        <v>0.52960723967989964</v>
      </c>
    </row>
    <row r="989" spans="1:17" x14ac:dyDescent="0.35">
      <c r="A989" s="98" t="s">
        <v>12</v>
      </c>
      <c r="B989" s="98" t="s">
        <v>150</v>
      </c>
      <c r="C989" s="98" t="s">
        <v>256</v>
      </c>
      <c r="D989" s="99">
        <v>22469267.5</v>
      </c>
      <c r="E989" s="99">
        <v>25493988.499999996</v>
      </c>
      <c r="F989" s="99">
        <v>28160542.500000004</v>
      </c>
      <c r="G989" s="99">
        <v>2310</v>
      </c>
      <c r="H989" s="98">
        <v>2014</v>
      </c>
      <c r="I989" s="99">
        <v>217</v>
      </c>
      <c r="J989" s="98" t="s">
        <v>229</v>
      </c>
      <c r="K989" s="99">
        <v>200</v>
      </c>
      <c r="L989" s="98">
        <v>2022</v>
      </c>
      <c r="M989" s="98" t="s">
        <v>226</v>
      </c>
      <c r="N989" s="99">
        <v>256.69582067665237</v>
      </c>
      <c r="O989" s="100">
        <v>1.0280708972822545</v>
      </c>
      <c r="P989" s="100">
        <v>8.5118105391786783E-2</v>
      </c>
      <c r="Q989" s="100">
        <v>9.1154430237504247E-2</v>
      </c>
    </row>
    <row r="990" spans="1:17" x14ac:dyDescent="0.35">
      <c r="A990" s="98" t="s">
        <v>12</v>
      </c>
      <c r="B990" s="98" t="s">
        <v>150</v>
      </c>
      <c r="C990" s="98" t="s">
        <v>257</v>
      </c>
      <c r="D990" s="99">
        <v>22469267.5</v>
      </c>
      <c r="E990" s="99">
        <v>25493988.499999996</v>
      </c>
      <c r="F990" s="99">
        <v>28160542.500000004</v>
      </c>
      <c r="G990" s="99">
        <v>490</v>
      </c>
      <c r="H990" s="98">
        <v>2014</v>
      </c>
      <c r="I990" s="99">
        <v>506</v>
      </c>
      <c r="J990" s="98">
        <v>2018</v>
      </c>
      <c r="K990" s="99">
        <v>418</v>
      </c>
      <c r="L990" s="98">
        <v>2022</v>
      </c>
      <c r="M990" s="98" t="s">
        <v>226</v>
      </c>
      <c r="N990" s="99">
        <v>536.49426521420344</v>
      </c>
      <c r="O990" s="100">
        <v>0.218075644878054</v>
      </c>
      <c r="P990" s="100">
        <v>0.19847816280296826</v>
      </c>
      <c r="Q990" s="100">
        <v>0.19051275919638386</v>
      </c>
    </row>
    <row r="991" spans="1:17" x14ac:dyDescent="0.35">
      <c r="A991" s="98" t="s">
        <v>12</v>
      </c>
      <c r="B991" s="98" t="s">
        <v>150</v>
      </c>
      <c r="C991" s="98" t="s">
        <v>258</v>
      </c>
      <c r="D991" s="99">
        <v>22469267.5</v>
      </c>
      <c r="E991" s="99">
        <v>25493988.499999996</v>
      </c>
      <c r="F991" s="99">
        <v>28160542.500000004</v>
      </c>
      <c r="G991" s="99">
        <v>120</v>
      </c>
      <c r="H991" s="98">
        <v>2014</v>
      </c>
      <c r="I991" s="99">
        <v>0</v>
      </c>
      <c r="J991" s="98" t="s">
        <v>225</v>
      </c>
      <c r="K991" s="99">
        <v>28</v>
      </c>
      <c r="L991" s="98">
        <v>2022</v>
      </c>
      <c r="M991" s="98" t="s">
        <v>225</v>
      </c>
      <c r="N991" s="99">
        <v>28</v>
      </c>
      <c r="O991" s="100">
        <v>5.3406280378298934E-2</v>
      </c>
      <c r="P991" s="100">
        <v>0</v>
      </c>
      <c r="Q991" s="100">
        <v>9.9429902673217312E-3</v>
      </c>
    </row>
    <row r="992" spans="1:17" x14ac:dyDescent="0.35">
      <c r="A992" s="98" t="s">
        <v>12</v>
      </c>
      <c r="B992" s="98" t="s">
        <v>150</v>
      </c>
      <c r="C992" s="98" t="s">
        <v>259</v>
      </c>
      <c r="D992" s="99">
        <v>22469267.5</v>
      </c>
      <c r="E992" s="99">
        <v>25493988.499999996</v>
      </c>
      <c r="F992" s="99">
        <v>28160542.500000004</v>
      </c>
      <c r="G992" s="99">
        <v>0</v>
      </c>
      <c r="H992" s="98" t="s">
        <v>225</v>
      </c>
      <c r="I992" s="99">
        <v>0</v>
      </c>
      <c r="J992" s="98" t="s">
        <v>225</v>
      </c>
      <c r="K992" s="99">
        <v>0</v>
      </c>
      <c r="L992" s="98" t="s">
        <v>225</v>
      </c>
      <c r="M992" s="98" t="s">
        <v>225</v>
      </c>
      <c r="N992" s="99">
        <v>0</v>
      </c>
      <c r="O992" s="100">
        <v>0</v>
      </c>
      <c r="P992" s="100">
        <v>0</v>
      </c>
      <c r="Q992" s="100">
        <v>0</v>
      </c>
    </row>
    <row r="993" spans="1:17" x14ac:dyDescent="0.35">
      <c r="A993" s="98" t="s">
        <v>7</v>
      </c>
      <c r="B993" s="98" t="s">
        <v>143</v>
      </c>
      <c r="C993" s="98" t="s">
        <v>246</v>
      </c>
      <c r="D993" s="99">
        <v>21632850.000000004</v>
      </c>
      <c r="E993" s="99">
        <v>25076746.500000015</v>
      </c>
      <c r="F993" s="99">
        <v>27914536.499999989</v>
      </c>
      <c r="G993" s="99">
        <v>1842</v>
      </c>
      <c r="H993" s="98">
        <v>2013</v>
      </c>
      <c r="I993" s="99">
        <v>3259</v>
      </c>
      <c r="J993" s="98">
        <v>2018</v>
      </c>
      <c r="K993" s="99">
        <v>3759</v>
      </c>
      <c r="L993" s="98">
        <v>2022</v>
      </c>
      <c r="M993" s="98" t="s">
        <v>225</v>
      </c>
      <c r="N993" s="99">
        <v>3759</v>
      </c>
      <c r="O993" s="100">
        <v>0.85148281433098261</v>
      </c>
      <c r="P993" s="100">
        <v>1.2996103780847321</v>
      </c>
      <c r="Q993" s="100">
        <v>1.3466102150755759</v>
      </c>
    </row>
    <row r="994" spans="1:17" x14ac:dyDescent="0.35">
      <c r="A994" s="98" t="s">
        <v>7</v>
      </c>
      <c r="B994" s="98" t="s">
        <v>143</v>
      </c>
      <c r="C994" s="98" t="s">
        <v>247</v>
      </c>
      <c r="D994" s="99">
        <v>21632850.000000004</v>
      </c>
      <c r="E994" s="99">
        <v>25076746.500000015</v>
      </c>
      <c r="F994" s="99">
        <v>27914536.499999989</v>
      </c>
      <c r="G994" s="99">
        <v>0</v>
      </c>
      <c r="H994" s="98" t="s">
        <v>225</v>
      </c>
      <c r="I994" s="99">
        <v>2400</v>
      </c>
      <c r="J994" s="98">
        <v>2018</v>
      </c>
      <c r="K994" s="99">
        <v>2467</v>
      </c>
      <c r="L994" s="98">
        <v>2022</v>
      </c>
      <c r="M994" s="98" t="s">
        <v>225</v>
      </c>
      <c r="N994" s="99">
        <v>2467</v>
      </c>
      <c r="O994" s="100">
        <v>0</v>
      </c>
      <c r="P994" s="100">
        <v>0.95706195379053605</v>
      </c>
      <c r="Q994" s="100">
        <v>0.88376892806369933</v>
      </c>
    </row>
    <row r="995" spans="1:17" x14ac:dyDescent="0.35">
      <c r="A995" s="98" t="s">
        <v>7</v>
      </c>
      <c r="B995" s="98" t="s">
        <v>143</v>
      </c>
      <c r="C995" s="98" t="s">
        <v>248</v>
      </c>
      <c r="D995" s="99">
        <v>21632850.000000004</v>
      </c>
      <c r="E995" s="99">
        <v>25076746.500000015</v>
      </c>
      <c r="F995" s="99">
        <v>27914536.499999989</v>
      </c>
      <c r="G995" s="99">
        <v>0</v>
      </c>
      <c r="H995" s="98" t="s">
        <v>225</v>
      </c>
      <c r="I995" s="99">
        <v>859</v>
      </c>
      <c r="J995" s="98">
        <v>2018</v>
      </c>
      <c r="K995" s="99">
        <v>1289</v>
      </c>
      <c r="L995" s="98">
        <v>2022</v>
      </c>
      <c r="M995" s="98" t="s">
        <v>225</v>
      </c>
      <c r="N995" s="99">
        <v>1289</v>
      </c>
      <c r="O995" s="100">
        <v>0</v>
      </c>
      <c r="P995" s="100">
        <v>0.34254842429419602</v>
      </c>
      <c r="Q995" s="100">
        <v>0.461766578141106</v>
      </c>
    </row>
    <row r="996" spans="1:17" x14ac:dyDescent="0.35">
      <c r="A996" s="98" t="s">
        <v>7</v>
      </c>
      <c r="B996" s="98" t="s">
        <v>143</v>
      </c>
      <c r="C996" s="98" t="s">
        <v>249</v>
      </c>
      <c r="D996" s="99">
        <v>21632850.000000004</v>
      </c>
      <c r="E996" s="99">
        <v>25076746.500000015</v>
      </c>
      <c r="F996" s="99">
        <v>27914536.499999989</v>
      </c>
      <c r="G996" s="99">
        <v>18954</v>
      </c>
      <c r="H996" s="98">
        <v>2013</v>
      </c>
      <c r="I996" s="99">
        <v>9925</v>
      </c>
      <c r="J996" s="98" t="s">
        <v>229</v>
      </c>
      <c r="K996" s="99">
        <v>16473</v>
      </c>
      <c r="L996" s="98">
        <v>2022</v>
      </c>
      <c r="M996" s="98" t="s">
        <v>225</v>
      </c>
      <c r="N996" s="99">
        <v>16473</v>
      </c>
      <c r="O996" s="100">
        <v>8.7616749526761364</v>
      </c>
      <c r="P996" s="100">
        <v>3.957849954737946</v>
      </c>
      <c r="Q996" s="100">
        <v>5.9012264094014268</v>
      </c>
    </row>
    <row r="997" spans="1:17" x14ac:dyDescent="0.35">
      <c r="A997" s="98" t="s">
        <v>7</v>
      </c>
      <c r="B997" s="98" t="s">
        <v>143</v>
      </c>
      <c r="C997" s="98" t="s">
        <v>250</v>
      </c>
      <c r="D997" s="99">
        <v>21632850.000000004</v>
      </c>
      <c r="E997" s="99">
        <v>25076746.500000015</v>
      </c>
      <c r="F997" s="99">
        <v>27914536.499999989</v>
      </c>
      <c r="G997" s="99">
        <v>0</v>
      </c>
      <c r="H997" s="98" t="s">
        <v>225</v>
      </c>
      <c r="I997" s="99">
        <v>9925</v>
      </c>
      <c r="J997" s="98" t="s">
        <v>229</v>
      </c>
      <c r="K997" s="99">
        <v>11485</v>
      </c>
      <c r="L997" s="98">
        <v>2022</v>
      </c>
      <c r="M997" s="98" t="s">
        <v>225</v>
      </c>
      <c r="N997" s="99">
        <v>11485</v>
      </c>
      <c r="O997" s="100">
        <v>0</v>
      </c>
      <c r="P997" s="100">
        <v>3.957849954737946</v>
      </c>
      <c r="Q997" s="100">
        <v>4.114343793600157</v>
      </c>
    </row>
    <row r="998" spans="1:17" x14ac:dyDescent="0.35">
      <c r="A998" s="98" t="s">
        <v>7</v>
      </c>
      <c r="B998" s="98" t="s">
        <v>143</v>
      </c>
      <c r="C998" s="98" t="s">
        <v>251</v>
      </c>
      <c r="D998" s="99">
        <v>21632850.000000004</v>
      </c>
      <c r="E998" s="99">
        <v>25076746.500000015</v>
      </c>
      <c r="F998" s="99">
        <v>27914536.499999989</v>
      </c>
      <c r="G998" s="99">
        <v>0</v>
      </c>
      <c r="H998" s="98" t="s">
        <v>225</v>
      </c>
      <c r="I998" s="99">
        <v>0</v>
      </c>
      <c r="J998" s="98" t="s">
        <v>225</v>
      </c>
      <c r="K998" s="99">
        <v>4925</v>
      </c>
      <c r="L998" s="98">
        <v>2022</v>
      </c>
      <c r="M998" s="98" t="s">
        <v>225</v>
      </c>
      <c r="N998" s="99">
        <v>4925</v>
      </c>
      <c r="O998" s="100">
        <v>0</v>
      </c>
      <c r="P998" s="100">
        <v>0</v>
      </c>
      <c r="Q998" s="100">
        <v>1.7643137295150868</v>
      </c>
    </row>
    <row r="999" spans="1:17" x14ac:dyDescent="0.35">
      <c r="A999" s="98" t="s">
        <v>7</v>
      </c>
      <c r="B999" s="98" t="s">
        <v>143</v>
      </c>
      <c r="C999" s="98" t="s">
        <v>252</v>
      </c>
      <c r="D999" s="99">
        <v>21632850.000000004</v>
      </c>
      <c r="E999" s="99">
        <v>25076746.500000015</v>
      </c>
      <c r="F999" s="99">
        <v>27914536.499999989</v>
      </c>
      <c r="G999" s="99">
        <v>127</v>
      </c>
      <c r="H999" s="98">
        <v>2013</v>
      </c>
      <c r="I999" s="99">
        <v>690</v>
      </c>
      <c r="J999" s="98" t="s">
        <v>229</v>
      </c>
      <c r="K999" s="99">
        <v>1674</v>
      </c>
      <c r="L999" s="98">
        <v>2022</v>
      </c>
      <c r="M999" s="98" t="s">
        <v>225</v>
      </c>
      <c r="N999" s="99">
        <v>1674</v>
      </c>
      <c r="O999" s="100">
        <v>5.870701271445971E-2</v>
      </c>
      <c r="P999" s="100">
        <v>0.27515531171477908</v>
      </c>
      <c r="Q999" s="100">
        <v>0.59968754989000106</v>
      </c>
    </row>
    <row r="1000" spans="1:17" x14ac:dyDescent="0.35">
      <c r="A1000" s="98" t="s">
        <v>7</v>
      </c>
      <c r="B1000" s="98" t="s">
        <v>143</v>
      </c>
      <c r="C1000" s="98" t="s">
        <v>253</v>
      </c>
      <c r="D1000" s="99">
        <v>21632850.000000004</v>
      </c>
      <c r="E1000" s="99">
        <v>25076746.500000015</v>
      </c>
      <c r="F1000" s="99">
        <v>27914536.499999989</v>
      </c>
      <c r="G1000" s="99">
        <v>127</v>
      </c>
      <c r="H1000" s="98">
        <v>2013</v>
      </c>
      <c r="I1000" s="99">
        <v>690</v>
      </c>
      <c r="J1000" s="98" t="s">
        <v>229</v>
      </c>
      <c r="K1000" s="99">
        <v>1578</v>
      </c>
      <c r="L1000" s="98">
        <v>2022</v>
      </c>
      <c r="M1000" s="98" t="s">
        <v>225</v>
      </c>
      <c r="N1000" s="99">
        <v>1578</v>
      </c>
      <c r="O1000" s="100">
        <v>5.870701271445971E-2</v>
      </c>
      <c r="P1000" s="100">
        <v>0.27515531171477908</v>
      </c>
      <c r="Q1000" s="100">
        <v>0.56529686602534157</v>
      </c>
    </row>
    <row r="1001" spans="1:17" x14ac:dyDescent="0.35">
      <c r="A1001" s="98" t="s">
        <v>7</v>
      </c>
      <c r="B1001" s="98" t="s">
        <v>143</v>
      </c>
      <c r="C1001" s="98" t="s">
        <v>254</v>
      </c>
      <c r="D1001" s="99">
        <v>21632850.000000004</v>
      </c>
      <c r="E1001" s="99">
        <v>25076746.500000015</v>
      </c>
      <c r="F1001" s="99">
        <v>27914536.499999989</v>
      </c>
      <c r="G1001" s="99">
        <v>0</v>
      </c>
      <c r="H1001" s="98" t="s">
        <v>225</v>
      </c>
      <c r="I1001" s="99">
        <v>0</v>
      </c>
      <c r="J1001" s="98" t="s">
        <v>225</v>
      </c>
      <c r="K1001" s="99">
        <v>77</v>
      </c>
      <c r="L1001" s="98">
        <v>2022</v>
      </c>
      <c r="M1001" s="98" t="s">
        <v>225</v>
      </c>
      <c r="N1001" s="99">
        <v>77</v>
      </c>
      <c r="O1001" s="100">
        <v>0</v>
      </c>
      <c r="P1001" s="100">
        <v>0</v>
      </c>
      <c r="Q1001" s="100">
        <v>2.7584194349779025E-2</v>
      </c>
    </row>
    <row r="1002" spans="1:17" x14ac:dyDescent="0.35">
      <c r="A1002" s="98" t="s">
        <v>7</v>
      </c>
      <c r="B1002" s="98" t="s">
        <v>143</v>
      </c>
      <c r="C1002" s="98" t="s">
        <v>255</v>
      </c>
      <c r="D1002" s="99">
        <v>21632850.000000004</v>
      </c>
      <c r="E1002" s="99">
        <v>25076746.500000015</v>
      </c>
      <c r="F1002" s="99">
        <v>27914536.499999989</v>
      </c>
      <c r="G1002" s="99">
        <v>162</v>
      </c>
      <c r="H1002" s="98">
        <v>2013</v>
      </c>
      <c r="I1002" s="99">
        <v>350</v>
      </c>
      <c r="J1002" s="98" t="s">
        <v>229</v>
      </c>
      <c r="K1002" s="99">
        <v>602</v>
      </c>
      <c r="L1002" s="98">
        <v>2022</v>
      </c>
      <c r="M1002" s="98" t="s">
        <v>225</v>
      </c>
      <c r="N1002" s="99">
        <v>602</v>
      </c>
      <c r="O1002" s="100">
        <v>7.4886110706633646E-2</v>
      </c>
      <c r="P1002" s="100">
        <v>0.13957153492778651</v>
      </c>
      <c r="Q1002" s="100">
        <v>0.21565824673463599</v>
      </c>
    </row>
    <row r="1003" spans="1:17" x14ac:dyDescent="0.35">
      <c r="A1003" s="98" t="s">
        <v>7</v>
      </c>
      <c r="B1003" s="98" t="s">
        <v>143</v>
      </c>
      <c r="C1003" s="98" t="s">
        <v>256</v>
      </c>
      <c r="D1003" s="99">
        <v>21632850.000000004</v>
      </c>
      <c r="E1003" s="99">
        <v>25076746.500000015</v>
      </c>
      <c r="F1003" s="99">
        <v>27914536.499999989</v>
      </c>
      <c r="G1003" s="99">
        <v>1178</v>
      </c>
      <c r="H1003" s="98">
        <v>2013</v>
      </c>
      <c r="I1003" s="99">
        <v>0</v>
      </c>
      <c r="J1003" s="98" t="s">
        <v>225</v>
      </c>
      <c r="K1003" s="99">
        <v>369</v>
      </c>
      <c r="L1003" s="98">
        <v>2022</v>
      </c>
      <c r="M1003" s="98" t="s">
        <v>225</v>
      </c>
      <c r="N1003" s="99">
        <v>369</v>
      </c>
      <c r="O1003" s="100">
        <v>0.54454221242231138</v>
      </c>
      <c r="P1003" s="100">
        <v>0</v>
      </c>
      <c r="Q1003" s="100">
        <v>0.13218919110478519</v>
      </c>
    </row>
    <row r="1004" spans="1:17" x14ac:dyDescent="0.35">
      <c r="A1004" s="98" t="s">
        <v>7</v>
      </c>
      <c r="B1004" s="98" t="s">
        <v>143</v>
      </c>
      <c r="C1004" s="98" t="s">
        <v>257</v>
      </c>
      <c r="D1004" s="99">
        <v>21632850.000000004</v>
      </c>
      <c r="E1004" s="99">
        <v>25076746.500000015</v>
      </c>
      <c r="F1004" s="99">
        <v>27914536.499999989</v>
      </c>
      <c r="G1004" s="99">
        <v>58</v>
      </c>
      <c r="H1004" s="98">
        <v>2013</v>
      </c>
      <c r="I1004" s="99">
        <v>308</v>
      </c>
      <c r="J1004" s="98" t="s">
        <v>229</v>
      </c>
      <c r="K1004" s="99">
        <v>317</v>
      </c>
      <c r="L1004" s="98">
        <v>2022</v>
      </c>
      <c r="M1004" s="98" t="s">
        <v>225</v>
      </c>
      <c r="N1004" s="99">
        <v>317</v>
      </c>
      <c r="O1004" s="100">
        <v>2.681107667274538E-2</v>
      </c>
      <c r="P1004" s="100">
        <v>0.12282295073645212</v>
      </c>
      <c r="Q1004" s="100">
        <v>0.11356090401142793</v>
      </c>
    </row>
    <row r="1005" spans="1:17" x14ac:dyDescent="0.35">
      <c r="A1005" s="98" t="s">
        <v>7</v>
      </c>
      <c r="B1005" s="98" t="s">
        <v>143</v>
      </c>
      <c r="C1005" s="98" t="s">
        <v>258</v>
      </c>
      <c r="D1005" s="99">
        <v>21632850.000000004</v>
      </c>
      <c r="E1005" s="99">
        <v>25076746.500000015</v>
      </c>
      <c r="F1005" s="99">
        <v>27914536.499999989</v>
      </c>
      <c r="G1005" s="99">
        <v>0</v>
      </c>
      <c r="H1005" s="98" t="s">
        <v>225</v>
      </c>
      <c r="I1005" s="99">
        <v>0</v>
      </c>
      <c r="J1005" s="98" t="s">
        <v>225</v>
      </c>
      <c r="K1005" s="99">
        <v>88</v>
      </c>
      <c r="L1005" s="98">
        <v>2022</v>
      </c>
      <c r="M1005" s="98" t="s">
        <v>225</v>
      </c>
      <c r="N1005" s="99">
        <v>88</v>
      </c>
      <c r="O1005" s="100">
        <v>0</v>
      </c>
      <c r="P1005" s="100">
        <v>0</v>
      </c>
      <c r="Q1005" s="100">
        <v>3.1524793542604596E-2</v>
      </c>
    </row>
    <row r="1006" spans="1:17" x14ac:dyDescent="0.35">
      <c r="A1006" s="98" t="s">
        <v>7</v>
      </c>
      <c r="B1006" s="98" t="s">
        <v>143</v>
      </c>
      <c r="C1006" s="98" t="s">
        <v>259</v>
      </c>
      <c r="D1006" s="99">
        <v>21632850.000000004</v>
      </c>
      <c r="E1006" s="99">
        <v>25076746.500000015</v>
      </c>
      <c r="F1006" s="99">
        <v>27914536.499999989</v>
      </c>
      <c r="G1006" s="99">
        <v>0</v>
      </c>
      <c r="H1006" s="98" t="s">
        <v>225</v>
      </c>
      <c r="I1006" s="99">
        <v>0</v>
      </c>
      <c r="J1006" s="98" t="s">
        <v>225</v>
      </c>
      <c r="K1006" s="99">
        <v>32</v>
      </c>
      <c r="L1006" s="98">
        <v>2022</v>
      </c>
      <c r="M1006" s="98" t="s">
        <v>225</v>
      </c>
      <c r="N1006" s="99">
        <v>32</v>
      </c>
      <c r="O1006" s="100">
        <v>0</v>
      </c>
      <c r="P1006" s="100">
        <v>0</v>
      </c>
      <c r="Q1006" s="100">
        <v>1.1463561288219853E-2</v>
      </c>
    </row>
    <row r="1007" spans="1:17" x14ac:dyDescent="0.35">
      <c r="A1007" s="98" t="s">
        <v>13</v>
      </c>
      <c r="B1007" s="98" t="s">
        <v>151</v>
      </c>
      <c r="C1007" s="98" t="s">
        <v>246</v>
      </c>
      <c r="D1007" s="99">
        <v>73460021</v>
      </c>
      <c r="E1007" s="99">
        <v>87087354.999999985</v>
      </c>
      <c r="F1007" s="99">
        <v>99010212</v>
      </c>
      <c r="G1007" s="99">
        <v>6418</v>
      </c>
      <c r="H1007" s="98">
        <v>2013</v>
      </c>
      <c r="I1007" s="99">
        <v>31546</v>
      </c>
      <c r="J1007" s="98" t="s">
        <v>229</v>
      </c>
      <c r="K1007" s="99">
        <v>18493</v>
      </c>
      <c r="L1007" s="98">
        <v>2022</v>
      </c>
      <c r="M1007" s="98" t="s">
        <v>226</v>
      </c>
      <c r="N1007" s="99">
        <v>21289.958719118578</v>
      </c>
      <c r="O1007" s="100">
        <v>0.87367249731660168</v>
      </c>
      <c r="P1007" s="100">
        <v>3.6223398907912641</v>
      </c>
      <c r="Q1007" s="100">
        <v>2.1502790761743422</v>
      </c>
    </row>
    <row r="1008" spans="1:17" x14ac:dyDescent="0.35">
      <c r="A1008" s="98" t="s">
        <v>13</v>
      </c>
      <c r="B1008" s="98" t="s">
        <v>151</v>
      </c>
      <c r="C1008" s="98" t="s">
        <v>247</v>
      </c>
      <c r="D1008" s="99">
        <v>73460021</v>
      </c>
      <c r="E1008" s="99">
        <v>87087354.999999985</v>
      </c>
      <c r="F1008" s="99">
        <v>99010212</v>
      </c>
      <c r="G1008" s="99">
        <v>0</v>
      </c>
      <c r="H1008" s="98" t="s">
        <v>225</v>
      </c>
      <c r="I1008" s="99">
        <v>30768</v>
      </c>
      <c r="J1008" s="98" t="s">
        <v>229</v>
      </c>
      <c r="K1008" s="99">
        <v>18493</v>
      </c>
      <c r="L1008" s="98">
        <v>2022</v>
      </c>
      <c r="M1008" s="98" t="s">
        <v>226</v>
      </c>
      <c r="N1008" s="99">
        <v>21289.958719118578</v>
      </c>
      <c r="O1008" s="100">
        <v>0</v>
      </c>
      <c r="P1008" s="100">
        <v>3.5330043035524508</v>
      </c>
      <c r="Q1008" s="100">
        <v>2.1502790761743422</v>
      </c>
    </row>
    <row r="1009" spans="1:17" x14ac:dyDescent="0.35">
      <c r="A1009" s="98" t="s">
        <v>13</v>
      </c>
      <c r="B1009" s="98" t="s">
        <v>151</v>
      </c>
      <c r="C1009" s="98" t="s">
        <v>248</v>
      </c>
      <c r="D1009" s="99">
        <v>73460021</v>
      </c>
      <c r="E1009" s="99">
        <v>87087354.999999985</v>
      </c>
      <c r="F1009" s="99">
        <v>99010212</v>
      </c>
      <c r="G1009" s="99">
        <v>0</v>
      </c>
      <c r="H1009" s="98" t="s">
        <v>225</v>
      </c>
      <c r="I1009" s="99">
        <v>778</v>
      </c>
      <c r="J1009" s="98" t="s">
        <v>229</v>
      </c>
      <c r="K1009" s="99">
        <v>778</v>
      </c>
      <c r="L1009" s="98" t="s">
        <v>229</v>
      </c>
      <c r="M1009" s="98" t="s">
        <v>225</v>
      </c>
      <c r="N1009" s="99">
        <v>778</v>
      </c>
      <c r="O1009" s="100">
        <v>0</v>
      </c>
      <c r="P1009" s="100">
        <v>8.9335587238813269E-2</v>
      </c>
      <c r="Q1009" s="100">
        <v>7.8577753171561737E-2</v>
      </c>
    </row>
    <row r="1010" spans="1:17" x14ac:dyDescent="0.35">
      <c r="A1010" s="98" t="s">
        <v>13</v>
      </c>
      <c r="B1010" s="98" t="s">
        <v>151</v>
      </c>
      <c r="C1010" s="98" t="s">
        <v>249</v>
      </c>
      <c r="D1010" s="99">
        <v>73460021</v>
      </c>
      <c r="E1010" s="99">
        <v>87087354.999999985</v>
      </c>
      <c r="F1010" s="99">
        <v>99010212</v>
      </c>
      <c r="G1010" s="99">
        <v>59813</v>
      </c>
      <c r="H1010" s="98">
        <v>2013</v>
      </c>
      <c r="I1010" s="99">
        <v>103785</v>
      </c>
      <c r="J1010" s="98" t="s">
        <v>229</v>
      </c>
      <c r="K1010" s="99">
        <v>115316</v>
      </c>
      <c r="L1010" s="98">
        <v>2022</v>
      </c>
      <c r="M1010" s="98" t="s">
        <v>225</v>
      </c>
      <c r="N1010" s="99">
        <v>115316</v>
      </c>
      <c r="O1010" s="100">
        <v>8.1422519604234793</v>
      </c>
      <c r="P1010" s="100">
        <v>11.917344372211099</v>
      </c>
      <c r="Q1010" s="100">
        <v>11.646879414822383</v>
      </c>
    </row>
    <row r="1011" spans="1:17" x14ac:dyDescent="0.35">
      <c r="A1011" s="98" t="s">
        <v>13</v>
      </c>
      <c r="B1011" s="98" t="s">
        <v>151</v>
      </c>
      <c r="C1011" s="98" t="s">
        <v>250</v>
      </c>
      <c r="D1011" s="99">
        <v>73460021</v>
      </c>
      <c r="E1011" s="99">
        <v>87087354.999999985</v>
      </c>
      <c r="F1011" s="99">
        <v>99010212</v>
      </c>
      <c r="G1011" s="99">
        <v>27373</v>
      </c>
      <c r="H1011" s="98">
        <v>2015</v>
      </c>
      <c r="I1011" s="99">
        <v>51019</v>
      </c>
      <c r="J1011" s="98" t="s">
        <v>229</v>
      </c>
      <c r="K1011" s="99">
        <v>115316</v>
      </c>
      <c r="L1011" s="98">
        <v>2022</v>
      </c>
      <c r="M1011" s="98" t="s">
        <v>225</v>
      </c>
      <c r="N1011" s="99">
        <v>115316</v>
      </c>
      <c r="O1011" s="100">
        <v>3.7262445106025766</v>
      </c>
      <c r="P1011" s="100">
        <v>5.8583705981195555</v>
      </c>
      <c r="Q1011" s="100">
        <v>11.646879414822383</v>
      </c>
    </row>
    <row r="1012" spans="1:17" x14ac:dyDescent="0.35">
      <c r="A1012" s="98" t="s">
        <v>13</v>
      </c>
      <c r="B1012" s="98" t="s">
        <v>151</v>
      </c>
      <c r="C1012" s="98" t="s">
        <v>251</v>
      </c>
      <c r="D1012" s="99">
        <v>73460021</v>
      </c>
      <c r="E1012" s="99">
        <v>87087354.999999985</v>
      </c>
      <c r="F1012" s="99">
        <v>99010212</v>
      </c>
      <c r="G1012" s="99">
        <v>17611</v>
      </c>
      <c r="H1012" s="98">
        <v>2015</v>
      </c>
      <c r="I1012" s="99">
        <v>52766</v>
      </c>
      <c r="J1012" s="98" t="s">
        <v>229</v>
      </c>
      <c r="K1012" s="99">
        <v>52766</v>
      </c>
      <c r="L1012" s="98" t="s">
        <v>229</v>
      </c>
      <c r="M1012" s="98" t="s">
        <v>225</v>
      </c>
      <c r="N1012" s="99">
        <v>52766</v>
      </c>
      <c r="O1012" s="100">
        <v>2.3973584216644861</v>
      </c>
      <c r="P1012" s="100">
        <v>6.0589737740915437</v>
      </c>
      <c r="Q1012" s="100">
        <v>5.3293492594481062</v>
      </c>
    </row>
    <row r="1013" spans="1:17" x14ac:dyDescent="0.35">
      <c r="A1013" s="98" t="s">
        <v>13</v>
      </c>
      <c r="B1013" s="98" t="s">
        <v>151</v>
      </c>
      <c r="C1013" s="98" t="s">
        <v>252</v>
      </c>
      <c r="D1013" s="99">
        <v>73460021</v>
      </c>
      <c r="E1013" s="99">
        <v>87087354.999999985</v>
      </c>
      <c r="F1013" s="99">
        <v>99010212</v>
      </c>
      <c r="G1013" s="99">
        <v>1555</v>
      </c>
      <c r="H1013" s="98">
        <v>2013</v>
      </c>
      <c r="I1013" s="99">
        <v>3642</v>
      </c>
      <c r="J1013" s="98" t="s">
        <v>229</v>
      </c>
      <c r="K1013" s="99">
        <v>2640</v>
      </c>
      <c r="L1013" s="98">
        <v>2022</v>
      </c>
      <c r="M1013" s="98" t="s">
        <v>226</v>
      </c>
      <c r="N1013" s="99">
        <v>3039.2846492442031</v>
      </c>
      <c r="O1013" s="100">
        <v>0.21167976524264812</v>
      </c>
      <c r="P1013" s="100">
        <v>0.41820078242128272</v>
      </c>
      <c r="Q1013" s="100">
        <v>0.30696678532959842</v>
      </c>
    </row>
    <row r="1014" spans="1:17" x14ac:dyDescent="0.35">
      <c r="A1014" s="98" t="s">
        <v>13</v>
      </c>
      <c r="B1014" s="98" t="s">
        <v>151</v>
      </c>
      <c r="C1014" s="98" t="s">
        <v>253</v>
      </c>
      <c r="D1014" s="99">
        <v>73460021</v>
      </c>
      <c r="E1014" s="99">
        <v>87087354.999999985</v>
      </c>
      <c r="F1014" s="99">
        <v>99010212</v>
      </c>
      <c r="G1014" s="99">
        <v>0</v>
      </c>
      <c r="H1014" s="98" t="s">
        <v>225</v>
      </c>
      <c r="I1014" s="99">
        <v>1990</v>
      </c>
      <c r="J1014" s="98" t="s">
        <v>229</v>
      </c>
      <c r="K1014" s="99">
        <v>2640</v>
      </c>
      <c r="L1014" s="98">
        <v>2022</v>
      </c>
      <c r="M1014" s="98" t="s">
        <v>225</v>
      </c>
      <c r="N1014" s="99">
        <v>2640</v>
      </c>
      <c r="O1014" s="100">
        <v>0</v>
      </c>
      <c r="P1014" s="100">
        <v>0.22850619357999796</v>
      </c>
      <c r="Q1014" s="100">
        <v>0.26663916243306296</v>
      </c>
    </row>
    <row r="1015" spans="1:17" x14ac:dyDescent="0.35">
      <c r="A1015" s="98" t="s">
        <v>13</v>
      </c>
      <c r="B1015" s="98" t="s">
        <v>151</v>
      </c>
      <c r="C1015" s="98" t="s">
        <v>254</v>
      </c>
      <c r="D1015" s="99">
        <v>73460021</v>
      </c>
      <c r="E1015" s="99">
        <v>87087354.999999985</v>
      </c>
      <c r="F1015" s="99">
        <v>99010212</v>
      </c>
      <c r="G1015" s="99">
        <v>1555</v>
      </c>
      <c r="H1015" s="98">
        <v>2013</v>
      </c>
      <c r="I1015" s="99">
        <v>1652</v>
      </c>
      <c r="J1015" s="98" t="s">
        <v>229</v>
      </c>
      <c r="K1015" s="99">
        <v>1652</v>
      </c>
      <c r="L1015" s="98" t="s">
        <v>229</v>
      </c>
      <c r="M1015" s="98" t="s">
        <v>225</v>
      </c>
      <c r="N1015" s="99">
        <v>1652</v>
      </c>
      <c r="O1015" s="100">
        <v>0.21167976524264812</v>
      </c>
      <c r="P1015" s="100">
        <v>0.18969458884128473</v>
      </c>
      <c r="Q1015" s="100">
        <v>0.16685147588614394</v>
      </c>
    </row>
    <row r="1016" spans="1:17" x14ac:dyDescent="0.35">
      <c r="A1016" s="98" t="s">
        <v>13</v>
      </c>
      <c r="B1016" s="98" t="s">
        <v>151</v>
      </c>
      <c r="C1016" s="98" t="s">
        <v>255</v>
      </c>
      <c r="D1016" s="99">
        <v>73460021</v>
      </c>
      <c r="E1016" s="99">
        <v>87087354.999999985</v>
      </c>
      <c r="F1016" s="99">
        <v>99010212</v>
      </c>
      <c r="G1016" s="99">
        <v>283</v>
      </c>
      <c r="H1016" s="98">
        <v>2013</v>
      </c>
      <c r="I1016" s="99">
        <v>1687</v>
      </c>
      <c r="J1016" s="98">
        <v>2018</v>
      </c>
      <c r="K1016" s="99">
        <v>806</v>
      </c>
      <c r="L1016" s="98">
        <v>2022</v>
      </c>
      <c r="M1016" s="98" t="s">
        <v>226</v>
      </c>
      <c r="N1016" s="99">
        <v>927.90281336773774</v>
      </c>
      <c r="O1016" s="100">
        <v>3.8524355989498014E-2</v>
      </c>
      <c r="P1016" s="100">
        <v>0.19371354199470178</v>
      </c>
      <c r="Q1016" s="100">
        <v>9.3717889763506174E-2</v>
      </c>
    </row>
    <row r="1017" spans="1:17" x14ac:dyDescent="0.35">
      <c r="A1017" s="98" t="s">
        <v>13</v>
      </c>
      <c r="B1017" s="98" t="s">
        <v>151</v>
      </c>
      <c r="C1017" s="98" t="s">
        <v>256</v>
      </c>
      <c r="D1017" s="99">
        <v>73460021</v>
      </c>
      <c r="E1017" s="99">
        <v>87087354.999999985</v>
      </c>
      <c r="F1017" s="99">
        <v>99010212</v>
      </c>
      <c r="G1017" s="99">
        <v>0</v>
      </c>
      <c r="H1017" s="98" t="s">
        <v>225</v>
      </c>
      <c r="I1017" s="99">
        <v>226</v>
      </c>
      <c r="J1017" s="98" t="s">
        <v>229</v>
      </c>
      <c r="K1017" s="99">
        <v>378</v>
      </c>
      <c r="L1017" s="98">
        <v>2022</v>
      </c>
      <c r="M1017" s="98" t="s">
        <v>225</v>
      </c>
      <c r="N1017" s="99">
        <v>378</v>
      </c>
      <c r="O1017" s="100">
        <v>0</v>
      </c>
      <c r="P1017" s="100">
        <v>2.5950954647778662E-2</v>
      </c>
      <c r="Q1017" s="100">
        <v>3.8177880075643107E-2</v>
      </c>
    </row>
    <row r="1018" spans="1:17" x14ac:dyDescent="0.35">
      <c r="A1018" s="98" t="s">
        <v>13</v>
      </c>
      <c r="B1018" s="98" t="s">
        <v>151</v>
      </c>
      <c r="C1018" s="98" t="s">
        <v>257</v>
      </c>
      <c r="D1018" s="99">
        <v>73460021</v>
      </c>
      <c r="E1018" s="99">
        <v>87087354.999999985</v>
      </c>
      <c r="F1018" s="99">
        <v>99010212</v>
      </c>
      <c r="G1018" s="99">
        <v>0</v>
      </c>
      <c r="H1018" s="98" t="s">
        <v>225</v>
      </c>
      <c r="I1018" s="99">
        <v>404</v>
      </c>
      <c r="J1018" s="98">
        <v>2018</v>
      </c>
      <c r="K1018" s="99">
        <v>392</v>
      </c>
      <c r="L1018" s="98">
        <v>2022</v>
      </c>
      <c r="M1018" s="98" t="s">
        <v>226</v>
      </c>
      <c r="N1018" s="99">
        <v>451.28772064535138</v>
      </c>
      <c r="O1018" s="100">
        <v>0</v>
      </c>
      <c r="P1018" s="100">
        <v>4.6390202113728227E-2</v>
      </c>
      <c r="Q1018" s="100">
        <v>4.5579916609546439E-2</v>
      </c>
    </row>
    <row r="1019" spans="1:17" x14ac:dyDescent="0.35">
      <c r="A1019" s="98" t="s">
        <v>13</v>
      </c>
      <c r="B1019" s="98" t="s">
        <v>151</v>
      </c>
      <c r="C1019" s="98" t="s">
        <v>258</v>
      </c>
      <c r="D1019" s="99">
        <v>73460021</v>
      </c>
      <c r="E1019" s="99">
        <v>87087354.999999985</v>
      </c>
      <c r="F1019" s="99">
        <v>99010212</v>
      </c>
      <c r="G1019" s="99">
        <v>0</v>
      </c>
      <c r="H1019" s="98" t="s">
        <v>225</v>
      </c>
      <c r="I1019" s="99">
        <v>0</v>
      </c>
      <c r="J1019" s="98" t="s">
        <v>225</v>
      </c>
      <c r="K1019" s="99">
        <v>0</v>
      </c>
      <c r="L1019" s="98" t="s">
        <v>225</v>
      </c>
      <c r="M1019" s="98" t="s">
        <v>225</v>
      </c>
      <c r="N1019" s="99">
        <v>0</v>
      </c>
      <c r="O1019" s="100">
        <v>0</v>
      </c>
      <c r="P1019" s="100">
        <v>0</v>
      </c>
      <c r="Q1019" s="100">
        <v>0</v>
      </c>
    </row>
    <row r="1020" spans="1:17" x14ac:dyDescent="0.35">
      <c r="A1020" s="98" t="s">
        <v>13</v>
      </c>
      <c r="B1020" s="98" t="s">
        <v>151</v>
      </c>
      <c r="C1020" s="98" t="s">
        <v>259</v>
      </c>
      <c r="D1020" s="99">
        <v>73460021</v>
      </c>
      <c r="E1020" s="99">
        <v>87087354.999999985</v>
      </c>
      <c r="F1020" s="99">
        <v>99010212</v>
      </c>
      <c r="G1020" s="99">
        <v>0</v>
      </c>
      <c r="H1020" s="98" t="s">
        <v>225</v>
      </c>
      <c r="I1020" s="99">
        <v>0</v>
      </c>
      <c r="J1020" s="98" t="s">
        <v>225</v>
      </c>
      <c r="K1020" s="99">
        <v>0</v>
      </c>
      <c r="L1020" s="98" t="s">
        <v>225</v>
      </c>
      <c r="M1020" s="98" t="s">
        <v>225</v>
      </c>
      <c r="N1020" s="99">
        <v>0</v>
      </c>
      <c r="O1020" s="100">
        <v>0</v>
      </c>
      <c r="P1020" s="100">
        <v>0</v>
      </c>
      <c r="Q1020" s="100">
        <v>0</v>
      </c>
    </row>
    <row r="1021" spans="1:17" x14ac:dyDescent="0.35">
      <c r="A1021" s="98" t="s">
        <v>11</v>
      </c>
      <c r="B1021" s="98" t="s">
        <v>148</v>
      </c>
      <c r="C1021" s="98" t="s">
        <v>246</v>
      </c>
      <c r="D1021" s="99">
        <v>4828066.5000000028</v>
      </c>
      <c r="E1021" s="99">
        <v>5441061.9999999972</v>
      </c>
      <c r="F1021" s="99">
        <v>5970424.0000000009</v>
      </c>
      <c r="G1021" s="99">
        <v>0</v>
      </c>
      <c r="H1021" s="98" t="s">
        <v>225</v>
      </c>
      <c r="I1021" s="99">
        <v>544</v>
      </c>
      <c r="J1021" s="98">
        <v>2018</v>
      </c>
      <c r="K1021" s="99">
        <v>1042</v>
      </c>
      <c r="L1021" s="98">
        <v>2022</v>
      </c>
      <c r="M1021" s="98" t="s">
        <v>225</v>
      </c>
      <c r="N1021" s="99">
        <v>1042</v>
      </c>
      <c r="O1021" s="100">
        <v>0</v>
      </c>
      <c r="P1021" s="100">
        <v>0.99980481751540462</v>
      </c>
      <c r="Q1021" s="100">
        <v>1.7452696826892025</v>
      </c>
    </row>
    <row r="1022" spans="1:17" x14ac:dyDescent="0.35">
      <c r="A1022" s="98" t="s">
        <v>11</v>
      </c>
      <c r="B1022" s="98" t="s">
        <v>148</v>
      </c>
      <c r="C1022" s="98" t="s">
        <v>247</v>
      </c>
      <c r="D1022" s="99">
        <v>4828066.5000000028</v>
      </c>
      <c r="E1022" s="99">
        <v>5441061.9999999972</v>
      </c>
      <c r="F1022" s="99">
        <v>5970424.0000000009</v>
      </c>
      <c r="G1022" s="99">
        <v>0</v>
      </c>
      <c r="H1022" s="98" t="s">
        <v>225</v>
      </c>
      <c r="I1022" s="99">
        <v>269</v>
      </c>
      <c r="J1022" s="98">
        <v>2016</v>
      </c>
      <c r="K1022" s="99">
        <v>787</v>
      </c>
      <c r="L1022" s="98">
        <v>2022</v>
      </c>
      <c r="M1022" s="98" t="s">
        <v>225</v>
      </c>
      <c r="N1022" s="99">
        <v>787</v>
      </c>
      <c r="O1022" s="100">
        <v>0</v>
      </c>
      <c r="P1022" s="100">
        <v>0.49438877924934532</v>
      </c>
      <c r="Q1022" s="100">
        <v>1.3181643380771615</v>
      </c>
    </row>
    <row r="1023" spans="1:17" x14ac:dyDescent="0.35">
      <c r="A1023" s="98" t="s">
        <v>11</v>
      </c>
      <c r="B1023" s="98" t="s">
        <v>148</v>
      </c>
      <c r="C1023" s="98" t="s">
        <v>248</v>
      </c>
      <c r="D1023" s="99">
        <v>4828066.5000000028</v>
      </c>
      <c r="E1023" s="99">
        <v>5441061.9999999972</v>
      </c>
      <c r="F1023" s="99">
        <v>5970424.0000000009</v>
      </c>
      <c r="G1023" s="99">
        <v>0</v>
      </c>
      <c r="H1023" s="98" t="s">
        <v>225</v>
      </c>
      <c r="I1023" s="99">
        <v>275</v>
      </c>
      <c r="J1023" s="98">
        <v>2018</v>
      </c>
      <c r="K1023" s="99">
        <v>255</v>
      </c>
      <c r="L1023" s="98">
        <v>2022</v>
      </c>
      <c r="M1023" s="98" t="s">
        <v>226</v>
      </c>
      <c r="N1023" s="99">
        <v>293.07115430170586</v>
      </c>
      <c r="O1023" s="100">
        <v>0</v>
      </c>
      <c r="P1023" s="100">
        <v>0.5054160382660593</v>
      </c>
      <c r="Q1023" s="100">
        <v>0.49087159354462234</v>
      </c>
    </row>
    <row r="1024" spans="1:17" x14ac:dyDescent="0.35">
      <c r="A1024" s="98" t="s">
        <v>11</v>
      </c>
      <c r="B1024" s="98" t="s">
        <v>148</v>
      </c>
      <c r="C1024" s="98" t="s">
        <v>249</v>
      </c>
      <c r="D1024" s="99">
        <v>4828066.5000000028</v>
      </c>
      <c r="E1024" s="99">
        <v>5441061.9999999972</v>
      </c>
      <c r="F1024" s="99">
        <v>5970424.0000000009</v>
      </c>
      <c r="G1024" s="99">
        <v>3289</v>
      </c>
      <c r="H1024" s="98">
        <v>2013</v>
      </c>
      <c r="I1024" s="99">
        <v>5081</v>
      </c>
      <c r="J1024" s="98">
        <v>2018</v>
      </c>
      <c r="K1024" s="99">
        <v>5573</v>
      </c>
      <c r="L1024" s="98">
        <v>2022</v>
      </c>
      <c r="M1024" s="98" t="s">
        <v>225</v>
      </c>
      <c r="N1024" s="99">
        <v>5573</v>
      </c>
      <c r="O1024" s="100">
        <v>6.8122508254598362</v>
      </c>
      <c r="P1024" s="100">
        <v>9.3382505106539906</v>
      </c>
      <c r="Q1024" s="100">
        <v>9.3343454334231524</v>
      </c>
    </row>
    <row r="1025" spans="1:17" x14ac:dyDescent="0.35">
      <c r="A1025" s="98" t="s">
        <v>11</v>
      </c>
      <c r="B1025" s="98" t="s">
        <v>148</v>
      </c>
      <c r="C1025" s="98" t="s">
        <v>250</v>
      </c>
      <c r="D1025" s="99">
        <v>4828066.5000000028</v>
      </c>
      <c r="E1025" s="99">
        <v>5441061.9999999972</v>
      </c>
      <c r="F1025" s="99">
        <v>5970424.0000000009</v>
      </c>
      <c r="G1025" s="99">
        <v>1934</v>
      </c>
      <c r="H1025" s="98">
        <v>2015</v>
      </c>
      <c r="I1025" s="99">
        <v>2707</v>
      </c>
      <c r="J1025" s="98" t="s">
        <v>229</v>
      </c>
      <c r="K1025" s="99">
        <v>5573</v>
      </c>
      <c r="L1025" s="98">
        <v>2022</v>
      </c>
      <c r="M1025" s="98" t="s">
        <v>225</v>
      </c>
      <c r="N1025" s="99">
        <v>5573</v>
      </c>
      <c r="O1025" s="100">
        <v>4.0057443285008585</v>
      </c>
      <c r="P1025" s="100">
        <v>4.9751316930408098</v>
      </c>
      <c r="Q1025" s="100">
        <v>9.3343454334231524</v>
      </c>
    </row>
    <row r="1026" spans="1:17" x14ac:dyDescent="0.35">
      <c r="A1026" s="98" t="s">
        <v>11</v>
      </c>
      <c r="B1026" s="98" t="s">
        <v>148</v>
      </c>
      <c r="C1026" s="98" t="s">
        <v>251</v>
      </c>
      <c r="D1026" s="99">
        <v>4828066.5000000028</v>
      </c>
      <c r="E1026" s="99">
        <v>5441061.9999999972</v>
      </c>
      <c r="F1026" s="99">
        <v>5970424.0000000009</v>
      </c>
      <c r="G1026" s="99">
        <v>1918</v>
      </c>
      <c r="H1026" s="98">
        <v>2015</v>
      </c>
      <c r="I1026" s="99">
        <v>1305</v>
      </c>
      <c r="J1026" s="98" t="s">
        <v>229</v>
      </c>
      <c r="K1026" s="99">
        <v>1305</v>
      </c>
      <c r="L1026" s="98" t="s">
        <v>229</v>
      </c>
      <c r="M1026" s="98" t="s">
        <v>225</v>
      </c>
      <c r="N1026" s="99">
        <v>1305</v>
      </c>
      <c r="O1026" s="100">
        <v>3.9726047683891657</v>
      </c>
      <c r="P1026" s="100">
        <v>2.3984288361352997</v>
      </c>
      <c r="Q1026" s="100">
        <v>2.185774410661621</v>
      </c>
    </row>
    <row r="1027" spans="1:17" x14ac:dyDescent="0.35">
      <c r="A1027" s="98" t="s">
        <v>11</v>
      </c>
      <c r="B1027" s="98" t="s">
        <v>148</v>
      </c>
      <c r="C1027" s="98" t="s">
        <v>252</v>
      </c>
      <c r="D1027" s="99">
        <v>4828066.5000000028</v>
      </c>
      <c r="E1027" s="99">
        <v>5441061.9999999972</v>
      </c>
      <c r="F1027" s="99">
        <v>5970424.0000000009</v>
      </c>
      <c r="G1027" s="99">
        <v>1282</v>
      </c>
      <c r="H1027" s="98">
        <v>2013</v>
      </c>
      <c r="I1027" s="99">
        <v>1069</v>
      </c>
      <c r="J1027" s="98" t="s">
        <v>229</v>
      </c>
      <c r="K1027" s="99">
        <v>907</v>
      </c>
      <c r="L1027" s="98">
        <v>2022</v>
      </c>
      <c r="M1027" s="98" t="s">
        <v>226</v>
      </c>
      <c r="N1027" s="99">
        <v>1042.4138703986166</v>
      </c>
      <c r="O1027" s="100">
        <v>2.6553072539493798</v>
      </c>
      <c r="P1027" s="100">
        <v>1.9646899814778815</v>
      </c>
      <c r="Q1027" s="100">
        <v>1.7459628837057743</v>
      </c>
    </row>
    <row r="1028" spans="1:17" x14ac:dyDescent="0.35">
      <c r="A1028" s="98" t="s">
        <v>11</v>
      </c>
      <c r="B1028" s="98" t="s">
        <v>148</v>
      </c>
      <c r="C1028" s="98" t="s">
        <v>253</v>
      </c>
      <c r="D1028" s="99">
        <v>4828066.5000000028</v>
      </c>
      <c r="E1028" s="99">
        <v>5441061.9999999972</v>
      </c>
      <c r="F1028" s="99">
        <v>5970424.0000000009</v>
      </c>
      <c r="G1028" s="99">
        <v>1215</v>
      </c>
      <c r="H1028" s="98">
        <v>2013</v>
      </c>
      <c r="I1028" s="99">
        <v>921</v>
      </c>
      <c r="J1028" s="98" t="s">
        <v>229</v>
      </c>
      <c r="K1028" s="99">
        <v>907</v>
      </c>
      <c r="L1028" s="98">
        <v>2022</v>
      </c>
      <c r="M1028" s="98" t="s">
        <v>226</v>
      </c>
      <c r="N1028" s="99">
        <v>1042.4138703986166</v>
      </c>
      <c r="O1028" s="100">
        <v>2.5165353459816662</v>
      </c>
      <c r="P1028" s="100">
        <v>1.6926842590656024</v>
      </c>
      <c r="Q1028" s="100">
        <v>1.7459628837057743</v>
      </c>
    </row>
    <row r="1029" spans="1:17" x14ac:dyDescent="0.35">
      <c r="A1029" s="98" t="s">
        <v>11</v>
      </c>
      <c r="B1029" s="98" t="s">
        <v>148</v>
      </c>
      <c r="C1029" s="98" t="s">
        <v>254</v>
      </c>
      <c r="D1029" s="99">
        <v>4828066.5000000028</v>
      </c>
      <c r="E1029" s="99">
        <v>5441061.9999999972</v>
      </c>
      <c r="F1029" s="99">
        <v>5970424.0000000009</v>
      </c>
      <c r="G1029" s="99">
        <v>67</v>
      </c>
      <c r="H1029" s="98">
        <v>2013</v>
      </c>
      <c r="I1029" s="99">
        <v>148</v>
      </c>
      <c r="J1029" s="98" t="s">
        <v>229</v>
      </c>
      <c r="K1029" s="99">
        <v>148</v>
      </c>
      <c r="L1029" s="98" t="s">
        <v>229</v>
      </c>
      <c r="M1029" s="98" t="s">
        <v>225</v>
      </c>
      <c r="N1029" s="99">
        <v>148</v>
      </c>
      <c r="O1029" s="100">
        <v>0.1387719079677133</v>
      </c>
      <c r="P1029" s="100">
        <v>0.27200572241227922</v>
      </c>
      <c r="Q1029" s="100">
        <v>0.24788859216698844</v>
      </c>
    </row>
    <row r="1030" spans="1:17" x14ac:dyDescent="0.35">
      <c r="A1030" s="98" t="s">
        <v>11</v>
      </c>
      <c r="B1030" s="98" t="s">
        <v>148</v>
      </c>
      <c r="C1030" s="98" t="s">
        <v>255</v>
      </c>
      <c r="D1030" s="99">
        <v>4828066.5000000028</v>
      </c>
      <c r="E1030" s="99">
        <v>5441061.9999999972</v>
      </c>
      <c r="F1030" s="99">
        <v>5970424.0000000009</v>
      </c>
      <c r="G1030" s="99">
        <v>0</v>
      </c>
      <c r="H1030" s="98" t="s">
        <v>225</v>
      </c>
      <c r="I1030" s="99">
        <v>157</v>
      </c>
      <c r="J1030" s="98">
        <v>2018</v>
      </c>
      <c r="K1030" s="99">
        <v>28</v>
      </c>
      <c r="L1030" s="98">
        <v>2022</v>
      </c>
      <c r="M1030" s="98" t="s">
        <v>226</v>
      </c>
      <c r="N1030" s="99">
        <v>32.180362040971623</v>
      </c>
      <c r="O1030" s="100">
        <v>0</v>
      </c>
      <c r="P1030" s="100">
        <v>0.28854661093735023</v>
      </c>
      <c r="Q1030" s="100">
        <v>5.3899625957840876E-2</v>
      </c>
    </row>
    <row r="1031" spans="1:17" x14ac:dyDescent="0.35">
      <c r="A1031" s="98" t="s">
        <v>11</v>
      </c>
      <c r="B1031" s="98" t="s">
        <v>148</v>
      </c>
      <c r="C1031" s="98" t="s">
        <v>256</v>
      </c>
      <c r="D1031" s="99">
        <v>4828066.5000000028</v>
      </c>
      <c r="E1031" s="99">
        <v>5441061.9999999972</v>
      </c>
      <c r="F1031" s="99">
        <v>5970424.0000000009</v>
      </c>
      <c r="G1031" s="99">
        <v>0</v>
      </c>
      <c r="H1031" s="98" t="s">
        <v>225</v>
      </c>
      <c r="I1031" s="99">
        <v>84</v>
      </c>
      <c r="J1031" s="98" t="s">
        <v>229</v>
      </c>
      <c r="K1031" s="99">
        <v>80</v>
      </c>
      <c r="L1031" s="98">
        <v>2022</v>
      </c>
      <c r="M1031" s="98" t="s">
        <v>226</v>
      </c>
      <c r="N1031" s="99">
        <v>91.943891545633221</v>
      </c>
      <c r="O1031" s="100">
        <v>0</v>
      </c>
      <c r="P1031" s="100">
        <v>0.15438162623399632</v>
      </c>
      <c r="Q1031" s="100">
        <v>0.15399893130811684</v>
      </c>
    </row>
    <row r="1032" spans="1:17" x14ac:dyDescent="0.35">
      <c r="A1032" s="98" t="s">
        <v>11</v>
      </c>
      <c r="B1032" s="98" t="s">
        <v>148</v>
      </c>
      <c r="C1032" s="98" t="s">
        <v>257</v>
      </c>
      <c r="D1032" s="99">
        <v>4828066.5000000028</v>
      </c>
      <c r="E1032" s="99">
        <v>5441061.9999999972</v>
      </c>
      <c r="F1032" s="99">
        <v>5970424.0000000009</v>
      </c>
      <c r="G1032" s="99">
        <v>0</v>
      </c>
      <c r="H1032" s="98" t="s">
        <v>225</v>
      </c>
      <c r="I1032" s="99">
        <v>27</v>
      </c>
      <c r="J1032" s="98">
        <v>2016</v>
      </c>
      <c r="K1032" s="99">
        <v>9</v>
      </c>
      <c r="L1032" s="98">
        <v>2022</v>
      </c>
      <c r="M1032" s="98" t="s">
        <v>226</v>
      </c>
      <c r="N1032" s="99">
        <v>10.343687798883737</v>
      </c>
      <c r="O1032" s="100">
        <v>0</v>
      </c>
      <c r="P1032" s="100">
        <v>4.9622665575213103E-2</v>
      </c>
      <c r="Q1032" s="100">
        <v>1.732487977216314E-2</v>
      </c>
    </row>
    <row r="1033" spans="1:17" x14ac:dyDescent="0.35">
      <c r="A1033" s="98" t="s">
        <v>11</v>
      </c>
      <c r="B1033" s="98" t="s">
        <v>148</v>
      </c>
      <c r="C1033" s="98" t="s">
        <v>258</v>
      </c>
      <c r="D1033" s="99">
        <v>4828066.5000000028</v>
      </c>
      <c r="E1033" s="99">
        <v>5441061.9999999972</v>
      </c>
      <c r="F1033" s="99">
        <v>5970424.0000000009</v>
      </c>
      <c r="G1033" s="99">
        <v>0</v>
      </c>
      <c r="H1033" s="98" t="s">
        <v>225</v>
      </c>
      <c r="I1033" s="99">
        <v>0</v>
      </c>
      <c r="J1033" s="98" t="s">
        <v>225</v>
      </c>
      <c r="K1033" s="99">
        <v>0</v>
      </c>
      <c r="L1033" s="98" t="s">
        <v>225</v>
      </c>
      <c r="M1033" s="98" t="s">
        <v>225</v>
      </c>
      <c r="N1033" s="99">
        <v>0</v>
      </c>
      <c r="O1033" s="100">
        <v>0</v>
      </c>
      <c r="P1033" s="100">
        <v>0</v>
      </c>
      <c r="Q1033" s="100">
        <v>0</v>
      </c>
    </row>
    <row r="1034" spans="1:17" x14ac:dyDescent="0.35">
      <c r="A1034" s="98" t="s">
        <v>11</v>
      </c>
      <c r="B1034" s="98" t="s">
        <v>148</v>
      </c>
      <c r="C1034" s="98" t="s">
        <v>259</v>
      </c>
      <c r="D1034" s="99">
        <v>4828066.5000000028</v>
      </c>
      <c r="E1034" s="99">
        <v>5441061.9999999972</v>
      </c>
      <c r="F1034" s="99">
        <v>5970424.0000000009</v>
      </c>
      <c r="G1034" s="99">
        <v>0</v>
      </c>
      <c r="H1034" s="98" t="s">
        <v>225</v>
      </c>
      <c r="I1034" s="99">
        <v>0</v>
      </c>
      <c r="J1034" s="98" t="s">
        <v>225</v>
      </c>
      <c r="K1034" s="99">
        <v>0</v>
      </c>
      <c r="L1034" s="98" t="s">
        <v>225</v>
      </c>
      <c r="M1034" s="98" t="s">
        <v>225</v>
      </c>
      <c r="N1034" s="99">
        <v>0</v>
      </c>
      <c r="O1034" s="100">
        <v>0</v>
      </c>
      <c r="P1034" s="100">
        <v>0</v>
      </c>
      <c r="Q1034" s="100">
        <v>0</v>
      </c>
    </row>
    <row r="1035" spans="1:17" x14ac:dyDescent="0.35">
      <c r="A1035" s="98" t="s">
        <v>10</v>
      </c>
      <c r="B1035" s="98" t="s">
        <v>146</v>
      </c>
      <c r="C1035" s="98" t="s">
        <v>246</v>
      </c>
      <c r="D1035" s="99">
        <v>699392.50000000035</v>
      </c>
      <c r="E1035" s="99">
        <v>776313.5000000007</v>
      </c>
      <c r="F1035" s="99">
        <v>836773.49999999977</v>
      </c>
      <c r="G1035" s="99">
        <v>123</v>
      </c>
      <c r="H1035" s="98">
        <v>2012</v>
      </c>
      <c r="I1035" s="99">
        <v>220</v>
      </c>
      <c r="J1035" s="98">
        <v>2018</v>
      </c>
      <c r="K1035" s="99">
        <v>354</v>
      </c>
      <c r="L1035" s="98">
        <v>2020</v>
      </c>
      <c r="M1035" s="98" t="s">
        <v>225</v>
      </c>
      <c r="N1035" s="99">
        <v>354</v>
      </c>
      <c r="O1035" s="100">
        <v>1.7586691307098652</v>
      </c>
      <c r="P1035" s="100">
        <v>2.8339066627077822</v>
      </c>
      <c r="Q1035" s="100">
        <v>4.2305355033351333</v>
      </c>
    </row>
    <row r="1036" spans="1:17" x14ac:dyDescent="0.35">
      <c r="A1036" s="98" t="s">
        <v>10</v>
      </c>
      <c r="B1036" s="98" t="s">
        <v>146</v>
      </c>
      <c r="C1036" s="98" t="s">
        <v>247</v>
      </c>
      <c r="D1036" s="99">
        <v>699392.50000000035</v>
      </c>
      <c r="E1036" s="99">
        <v>776313.5000000007</v>
      </c>
      <c r="F1036" s="99">
        <v>836773.49999999977</v>
      </c>
      <c r="G1036" s="99">
        <v>0</v>
      </c>
      <c r="H1036" s="98" t="s">
        <v>225</v>
      </c>
      <c r="I1036" s="99">
        <v>130</v>
      </c>
      <c r="J1036" s="98">
        <v>2018</v>
      </c>
      <c r="K1036" s="99">
        <v>241</v>
      </c>
      <c r="L1036" s="98">
        <v>2020</v>
      </c>
      <c r="M1036" s="98" t="s">
        <v>225</v>
      </c>
      <c r="N1036" s="99">
        <v>241</v>
      </c>
      <c r="O1036" s="100">
        <v>0</v>
      </c>
      <c r="P1036" s="100">
        <v>1.6745812097818713</v>
      </c>
      <c r="Q1036" s="100">
        <v>2.8801103285417149</v>
      </c>
    </row>
    <row r="1037" spans="1:17" x14ac:dyDescent="0.35">
      <c r="A1037" s="98" t="s">
        <v>10</v>
      </c>
      <c r="B1037" s="98" t="s">
        <v>146</v>
      </c>
      <c r="C1037" s="98" t="s">
        <v>248</v>
      </c>
      <c r="D1037" s="99">
        <v>699392.50000000035</v>
      </c>
      <c r="E1037" s="99">
        <v>776313.5000000007</v>
      </c>
      <c r="F1037" s="99">
        <v>836773.49999999977</v>
      </c>
      <c r="G1037" s="99">
        <v>0</v>
      </c>
      <c r="H1037" s="98" t="s">
        <v>225</v>
      </c>
      <c r="I1037" s="99">
        <v>90</v>
      </c>
      <c r="J1037" s="98">
        <v>2018</v>
      </c>
      <c r="K1037" s="99">
        <v>113</v>
      </c>
      <c r="L1037" s="98">
        <v>2020</v>
      </c>
      <c r="M1037" s="98" t="s">
        <v>225</v>
      </c>
      <c r="N1037" s="99">
        <v>113</v>
      </c>
      <c r="O1037" s="100">
        <v>0</v>
      </c>
      <c r="P1037" s="100">
        <v>1.1593254529259109</v>
      </c>
      <c r="Q1037" s="100">
        <v>1.3504251747934182</v>
      </c>
    </row>
    <row r="1038" spans="1:17" x14ac:dyDescent="0.35">
      <c r="A1038" s="98" t="s">
        <v>10</v>
      </c>
      <c r="B1038" s="98" t="s">
        <v>146</v>
      </c>
      <c r="C1038" s="98" t="s">
        <v>249</v>
      </c>
      <c r="D1038" s="99">
        <v>699392.50000000035</v>
      </c>
      <c r="E1038" s="99">
        <v>776313.5000000007</v>
      </c>
      <c r="F1038" s="99">
        <v>836773.49999999977</v>
      </c>
      <c r="G1038" s="99">
        <v>0</v>
      </c>
      <c r="H1038" s="98" t="s">
        <v>225</v>
      </c>
      <c r="I1038" s="99">
        <v>747</v>
      </c>
      <c r="J1038" s="98" t="s">
        <v>229</v>
      </c>
      <c r="K1038" s="99">
        <v>683</v>
      </c>
      <c r="L1038" s="98">
        <v>2020</v>
      </c>
      <c r="M1038" s="98" t="s">
        <v>226</v>
      </c>
      <c r="N1038" s="99">
        <v>784.97097407084357</v>
      </c>
      <c r="O1038" s="100">
        <v>0</v>
      </c>
      <c r="P1038" s="100">
        <v>9.622401259285061</v>
      </c>
      <c r="Q1038" s="100">
        <v>9.3809253528086618</v>
      </c>
    </row>
    <row r="1039" spans="1:17" x14ac:dyDescent="0.35">
      <c r="A1039" s="98" t="s">
        <v>10</v>
      </c>
      <c r="B1039" s="98" t="s">
        <v>146</v>
      </c>
      <c r="C1039" s="98" t="s">
        <v>250</v>
      </c>
      <c r="D1039" s="99">
        <v>699392.50000000035</v>
      </c>
      <c r="E1039" s="99">
        <v>776313.5000000007</v>
      </c>
      <c r="F1039" s="99">
        <v>836773.49999999977</v>
      </c>
      <c r="G1039" s="99">
        <v>0</v>
      </c>
      <c r="H1039" s="98" t="s">
        <v>225</v>
      </c>
      <c r="I1039" s="99">
        <v>679</v>
      </c>
      <c r="J1039" s="98">
        <v>2018</v>
      </c>
      <c r="K1039" s="99">
        <v>683</v>
      </c>
      <c r="L1039" s="98">
        <v>2020</v>
      </c>
      <c r="M1039" s="98" t="s">
        <v>225</v>
      </c>
      <c r="N1039" s="99">
        <v>683</v>
      </c>
      <c r="O1039" s="100">
        <v>0</v>
      </c>
      <c r="P1039" s="100">
        <v>8.7464664726299279</v>
      </c>
      <c r="Q1039" s="100">
        <v>8.1623043750788025</v>
      </c>
    </row>
    <row r="1040" spans="1:17" x14ac:dyDescent="0.35">
      <c r="A1040" s="98" t="s">
        <v>10</v>
      </c>
      <c r="B1040" s="98" t="s">
        <v>146</v>
      </c>
      <c r="C1040" s="98" t="s">
        <v>251</v>
      </c>
      <c r="D1040" s="99">
        <v>699392.50000000035</v>
      </c>
      <c r="E1040" s="99">
        <v>776313.5000000007</v>
      </c>
      <c r="F1040" s="99">
        <v>836773.49999999977</v>
      </c>
      <c r="G1040" s="99">
        <v>0</v>
      </c>
      <c r="H1040" s="98" t="s">
        <v>225</v>
      </c>
      <c r="I1040" s="99">
        <v>71</v>
      </c>
      <c r="J1040" s="98" t="s">
        <v>229</v>
      </c>
      <c r="K1040" s="99">
        <v>71</v>
      </c>
      <c r="L1040" s="98" t="s">
        <v>229</v>
      </c>
      <c r="M1040" s="98" t="s">
        <v>225</v>
      </c>
      <c r="N1040" s="99">
        <v>71</v>
      </c>
      <c r="O1040" s="100">
        <v>0</v>
      </c>
      <c r="P1040" s="100">
        <v>0.91457896841932973</v>
      </c>
      <c r="Q1040" s="100">
        <v>0.84849723371975838</v>
      </c>
    </row>
    <row r="1041" spans="1:17" x14ac:dyDescent="0.35">
      <c r="A1041" s="98" t="s">
        <v>10</v>
      </c>
      <c r="B1041" s="98" t="s">
        <v>146</v>
      </c>
      <c r="C1041" s="98" t="s">
        <v>252</v>
      </c>
      <c r="D1041" s="99">
        <v>699392.50000000035</v>
      </c>
      <c r="E1041" s="99">
        <v>776313.5000000007</v>
      </c>
      <c r="F1041" s="99">
        <v>836773.49999999977</v>
      </c>
      <c r="G1041" s="99">
        <v>295</v>
      </c>
      <c r="H1041" s="98">
        <v>2013</v>
      </c>
      <c r="I1041" s="99">
        <v>487</v>
      </c>
      <c r="J1041" s="98" t="s">
        <v>229</v>
      </c>
      <c r="K1041" s="99">
        <v>586</v>
      </c>
      <c r="L1041" s="98">
        <v>2020</v>
      </c>
      <c r="M1041" s="98" t="s">
        <v>225</v>
      </c>
      <c r="N1041" s="99">
        <v>586</v>
      </c>
      <c r="O1041" s="100">
        <v>4.2179462891008965</v>
      </c>
      <c r="P1041" s="100">
        <v>6.2732388397213183</v>
      </c>
      <c r="Q1041" s="100">
        <v>7.0030898445039211</v>
      </c>
    </row>
    <row r="1042" spans="1:17" x14ac:dyDescent="0.35">
      <c r="A1042" s="98" t="s">
        <v>10</v>
      </c>
      <c r="B1042" s="98" t="s">
        <v>146</v>
      </c>
      <c r="C1042" s="98" t="s">
        <v>253</v>
      </c>
      <c r="D1042" s="99">
        <v>699392.50000000035</v>
      </c>
      <c r="E1042" s="99">
        <v>776313.5000000007</v>
      </c>
      <c r="F1042" s="99">
        <v>836773.49999999977</v>
      </c>
      <c r="G1042" s="99">
        <v>284</v>
      </c>
      <c r="H1042" s="98">
        <v>2013</v>
      </c>
      <c r="I1042" s="99">
        <v>487</v>
      </c>
      <c r="J1042" s="98" t="s">
        <v>229</v>
      </c>
      <c r="K1042" s="99">
        <v>586</v>
      </c>
      <c r="L1042" s="98">
        <v>2020</v>
      </c>
      <c r="M1042" s="98" t="s">
        <v>225</v>
      </c>
      <c r="N1042" s="99">
        <v>586</v>
      </c>
      <c r="O1042" s="100">
        <v>4.0606669359479817</v>
      </c>
      <c r="P1042" s="100">
        <v>6.2732388397213183</v>
      </c>
      <c r="Q1042" s="100">
        <v>7.0030898445039211</v>
      </c>
    </row>
    <row r="1043" spans="1:17" x14ac:dyDescent="0.35">
      <c r="A1043" s="98" t="s">
        <v>10</v>
      </c>
      <c r="B1043" s="98" t="s">
        <v>146</v>
      </c>
      <c r="C1043" s="98" t="s">
        <v>254</v>
      </c>
      <c r="D1043" s="99">
        <v>699392.50000000035</v>
      </c>
      <c r="E1043" s="99">
        <v>776313.5000000007</v>
      </c>
      <c r="F1043" s="99">
        <v>836773.49999999977</v>
      </c>
      <c r="G1043" s="99">
        <v>11</v>
      </c>
      <c r="H1043" s="98">
        <v>2013</v>
      </c>
      <c r="I1043" s="99">
        <v>0</v>
      </c>
      <c r="J1043" s="98" t="s">
        <v>225</v>
      </c>
      <c r="K1043" s="99">
        <v>0</v>
      </c>
      <c r="L1043" s="98" t="s">
        <v>225</v>
      </c>
      <c r="M1043" s="98" t="s">
        <v>225</v>
      </c>
      <c r="N1043" s="99">
        <v>0</v>
      </c>
      <c r="O1043" s="100">
        <v>0.15727935315291477</v>
      </c>
      <c r="P1043" s="100">
        <v>0</v>
      </c>
      <c r="Q1043" s="100">
        <v>0</v>
      </c>
    </row>
    <row r="1044" spans="1:17" x14ac:dyDescent="0.35">
      <c r="A1044" s="98" t="s">
        <v>10</v>
      </c>
      <c r="B1044" s="98" t="s">
        <v>146</v>
      </c>
      <c r="C1044" s="98" t="s">
        <v>255</v>
      </c>
      <c r="D1044" s="99">
        <v>699392.50000000035</v>
      </c>
      <c r="E1044" s="99">
        <v>776313.5000000007</v>
      </c>
      <c r="F1044" s="99">
        <v>836773.49999999977</v>
      </c>
      <c r="G1044" s="99">
        <v>16</v>
      </c>
      <c r="H1044" s="98">
        <v>2012</v>
      </c>
      <c r="I1044" s="99">
        <v>36</v>
      </c>
      <c r="J1044" s="98">
        <v>2018</v>
      </c>
      <c r="K1044" s="99">
        <v>35</v>
      </c>
      <c r="L1044" s="98">
        <v>2020</v>
      </c>
      <c r="M1044" s="98" t="s">
        <v>226</v>
      </c>
      <c r="N1044" s="99">
        <v>40.225452551214531</v>
      </c>
      <c r="O1044" s="100">
        <v>0.22876996822242149</v>
      </c>
      <c r="P1044" s="100">
        <v>0.46373018117036441</v>
      </c>
      <c r="Q1044" s="100">
        <v>0.48072091851874543</v>
      </c>
    </row>
    <row r="1045" spans="1:17" x14ac:dyDescent="0.35">
      <c r="A1045" s="98" t="s">
        <v>10</v>
      </c>
      <c r="B1045" s="98" t="s">
        <v>146</v>
      </c>
      <c r="C1045" s="98" t="s">
        <v>256</v>
      </c>
      <c r="D1045" s="99">
        <v>699392.50000000035</v>
      </c>
      <c r="E1045" s="99">
        <v>776313.5000000007</v>
      </c>
      <c r="F1045" s="99">
        <v>836773.49999999977</v>
      </c>
      <c r="G1045" s="99">
        <v>0</v>
      </c>
      <c r="H1045" s="98" t="s">
        <v>225</v>
      </c>
      <c r="I1045" s="99">
        <v>19</v>
      </c>
      <c r="J1045" s="98">
        <v>2018</v>
      </c>
      <c r="K1045" s="99">
        <v>71</v>
      </c>
      <c r="L1045" s="98">
        <v>2020</v>
      </c>
      <c r="M1045" s="98" t="s">
        <v>225</v>
      </c>
      <c r="N1045" s="99">
        <v>71</v>
      </c>
      <c r="O1045" s="100">
        <v>0</v>
      </c>
      <c r="P1045" s="100">
        <v>0.24474648450658121</v>
      </c>
      <c r="Q1045" s="100">
        <v>0.84849723371975838</v>
      </c>
    </row>
    <row r="1046" spans="1:17" x14ac:dyDescent="0.35">
      <c r="A1046" s="98" t="s">
        <v>10</v>
      </c>
      <c r="B1046" s="98" t="s">
        <v>146</v>
      </c>
      <c r="C1046" s="98" t="s">
        <v>257</v>
      </c>
      <c r="D1046" s="99">
        <v>699392.50000000035</v>
      </c>
      <c r="E1046" s="99">
        <v>776313.5000000007</v>
      </c>
      <c r="F1046" s="99">
        <v>836773.49999999977</v>
      </c>
      <c r="G1046" s="99">
        <v>18</v>
      </c>
      <c r="H1046" s="98">
        <v>2012</v>
      </c>
      <c r="I1046" s="99">
        <v>32</v>
      </c>
      <c r="J1046" s="98">
        <v>2018</v>
      </c>
      <c r="K1046" s="99">
        <v>32</v>
      </c>
      <c r="L1046" s="98">
        <v>2020</v>
      </c>
      <c r="M1046" s="98" t="s">
        <v>225</v>
      </c>
      <c r="N1046" s="99">
        <v>32</v>
      </c>
      <c r="O1046" s="100">
        <v>0.25736621425022416</v>
      </c>
      <c r="P1046" s="100">
        <v>0.41220460548476834</v>
      </c>
      <c r="Q1046" s="100">
        <v>0.38242128843707418</v>
      </c>
    </row>
    <row r="1047" spans="1:17" x14ac:dyDescent="0.35">
      <c r="A1047" s="98" t="s">
        <v>10</v>
      </c>
      <c r="B1047" s="98" t="s">
        <v>146</v>
      </c>
      <c r="C1047" s="98" t="s">
        <v>258</v>
      </c>
      <c r="D1047" s="99">
        <v>699392.50000000035</v>
      </c>
      <c r="E1047" s="99">
        <v>776313.5000000007</v>
      </c>
      <c r="F1047" s="99">
        <v>836773.49999999977</v>
      </c>
      <c r="G1047" s="99">
        <v>0</v>
      </c>
      <c r="H1047" s="98" t="s">
        <v>225</v>
      </c>
      <c r="I1047" s="99">
        <v>0</v>
      </c>
      <c r="J1047" s="98" t="s">
        <v>225</v>
      </c>
      <c r="K1047" s="99">
        <v>0</v>
      </c>
      <c r="L1047" s="98" t="s">
        <v>225</v>
      </c>
      <c r="M1047" s="98" t="s">
        <v>225</v>
      </c>
      <c r="N1047" s="99">
        <v>0</v>
      </c>
      <c r="O1047" s="100">
        <v>0</v>
      </c>
      <c r="P1047" s="100">
        <v>0</v>
      </c>
      <c r="Q1047" s="100">
        <v>0</v>
      </c>
    </row>
    <row r="1048" spans="1:17" x14ac:dyDescent="0.35">
      <c r="A1048" s="98" t="s">
        <v>10</v>
      </c>
      <c r="B1048" s="98" t="s">
        <v>146</v>
      </c>
      <c r="C1048" s="98" t="s">
        <v>259</v>
      </c>
      <c r="D1048" s="99">
        <v>699392.50000000035</v>
      </c>
      <c r="E1048" s="99">
        <v>776313.5000000007</v>
      </c>
      <c r="F1048" s="99">
        <v>836773.49999999977</v>
      </c>
      <c r="G1048" s="99">
        <v>0</v>
      </c>
      <c r="H1048" s="98" t="s">
        <v>225</v>
      </c>
      <c r="I1048" s="99">
        <v>0</v>
      </c>
      <c r="J1048" s="98" t="s">
        <v>225</v>
      </c>
      <c r="K1048" s="99">
        <v>0</v>
      </c>
      <c r="L1048" s="98" t="s">
        <v>225</v>
      </c>
      <c r="M1048" s="98" t="s">
        <v>225</v>
      </c>
      <c r="N1048" s="99">
        <v>0</v>
      </c>
      <c r="O1048" s="100">
        <v>0</v>
      </c>
      <c r="P1048" s="100">
        <v>0</v>
      </c>
      <c r="Q1048" s="100">
        <v>0</v>
      </c>
    </row>
    <row r="1049" spans="1:17" x14ac:dyDescent="0.35">
      <c r="A1049" s="98" t="s">
        <v>70</v>
      </c>
      <c r="B1049" s="98" t="s">
        <v>142</v>
      </c>
      <c r="C1049" s="98" t="s">
        <v>246</v>
      </c>
      <c r="D1049" s="99">
        <v>539939.99999999988</v>
      </c>
      <c r="E1049" s="99">
        <v>571201.5</v>
      </c>
      <c r="F1049" s="99">
        <v>593149.50000000012</v>
      </c>
      <c r="G1049" s="99">
        <v>308</v>
      </c>
      <c r="H1049" s="98">
        <v>2013</v>
      </c>
      <c r="I1049" s="99">
        <v>452</v>
      </c>
      <c r="J1049" s="98">
        <v>2018</v>
      </c>
      <c r="K1049" s="99">
        <v>2644</v>
      </c>
      <c r="L1049" s="98">
        <v>2022</v>
      </c>
      <c r="M1049" s="98" t="s">
        <v>225</v>
      </c>
      <c r="N1049" s="99">
        <v>2644</v>
      </c>
      <c r="O1049" s="100">
        <v>5.7043375189835919</v>
      </c>
      <c r="P1049" s="100">
        <v>7.913144485790041</v>
      </c>
      <c r="Q1049" s="100">
        <v>44.57560867875636</v>
      </c>
    </row>
    <row r="1050" spans="1:17" x14ac:dyDescent="0.35">
      <c r="A1050" s="98" t="s">
        <v>70</v>
      </c>
      <c r="B1050" s="98" t="s">
        <v>142</v>
      </c>
      <c r="C1050" s="98" t="s">
        <v>247</v>
      </c>
      <c r="D1050" s="99">
        <v>539939.99999999988</v>
      </c>
      <c r="E1050" s="99">
        <v>571201.5</v>
      </c>
      <c r="F1050" s="99">
        <v>593149.50000000012</v>
      </c>
      <c r="G1050" s="99">
        <v>0</v>
      </c>
      <c r="H1050" s="98" t="s">
        <v>225</v>
      </c>
      <c r="I1050" s="99">
        <v>165</v>
      </c>
      <c r="J1050" s="98">
        <v>2018</v>
      </c>
      <c r="K1050" s="99">
        <v>187</v>
      </c>
      <c r="L1050" s="98">
        <v>2022</v>
      </c>
      <c r="M1050" s="98" t="s">
        <v>225</v>
      </c>
      <c r="N1050" s="99">
        <v>187</v>
      </c>
      <c r="O1050" s="100">
        <v>0</v>
      </c>
      <c r="P1050" s="100">
        <v>2.8886478764499044</v>
      </c>
      <c r="Q1050" s="100">
        <v>3.1526621871888953</v>
      </c>
    </row>
    <row r="1051" spans="1:17" x14ac:dyDescent="0.35">
      <c r="A1051" s="98" t="s">
        <v>70</v>
      </c>
      <c r="B1051" s="98" t="s">
        <v>142</v>
      </c>
      <c r="C1051" s="98" t="s">
        <v>248</v>
      </c>
      <c r="D1051" s="99">
        <v>539939.99999999988</v>
      </c>
      <c r="E1051" s="99">
        <v>571201.5</v>
      </c>
      <c r="F1051" s="99">
        <v>593149.50000000012</v>
      </c>
      <c r="G1051" s="99">
        <v>0</v>
      </c>
      <c r="H1051" s="98" t="s">
        <v>225</v>
      </c>
      <c r="I1051" s="99">
        <v>287</v>
      </c>
      <c r="J1051" s="98">
        <v>2018</v>
      </c>
      <c r="K1051" s="99">
        <v>108</v>
      </c>
      <c r="L1051" s="98">
        <v>2022</v>
      </c>
      <c r="M1051" s="98" t="s">
        <v>226</v>
      </c>
      <c r="N1051" s="99">
        <v>134.29007633587787</v>
      </c>
      <c r="O1051" s="100">
        <v>0</v>
      </c>
      <c r="P1051" s="100">
        <v>5.0244966093401366</v>
      </c>
      <c r="Q1051" s="100">
        <v>2.2640173571060558</v>
      </c>
    </row>
    <row r="1052" spans="1:17" x14ac:dyDescent="0.35">
      <c r="A1052" s="98" t="s">
        <v>70</v>
      </c>
      <c r="B1052" s="98" t="s">
        <v>142</v>
      </c>
      <c r="C1052" s="98" t="s">
        <v>249</v>
      </c>
      <c r="D1052" s="99">
        <v>539939.99999999988</v>
      </c>
      <c r="E1052" s="99">
        <v>571201.5</v>
      </c>
      <c r="F1052" s="99">
        <v>593149.50000000012</v>
      </c>
      <c r="G1052" s="99">
        <v>403</v>
      </c>
      <c r="H1052" s="98">
        <v>2013</v>
      </c>
      <c r="I1052" s="99">
        <v>768</v>
      </c>
      <c r="J1052" s="98" t="s">
        <v>229</v>
      </c>
      <c r="K1052" s="99">
        <v>941</v>
      </c>
      <c r="L1052" s="98">
        <v>2022</v>
      </c>
      <c r="M1052" s="98" t="s">
        <v>225</v>
      </c>
      <c r="N1052" s="99">
        <v>941</v>
      </c>
      <c r="O1052" s="100">
        <v>7.4637922732155442</v>
      </c>
      <c r="P1052" s="100">
        <v>13.445342843112282</v>
      </c>
      <c r="Q1052" s="100">
        <v>15.86446587243182</v>
      </c>
    </row>
    <row r="1053" spans="1:17" x14ac:dyDescent="0.35">
      <c r="A1053" s="98" t="s">
        <v>70</v>
      </c>
      <c r="B1053" s="98" t="s">
        <v>142</v>
      </c>
      <c r="C1053" s="98" t="s">
        <v>250</v>
      </c>
      <c r="D1053" s="99">
        <v>539939.99999999988</v>
      </c>
      <c r="E1053" s="99">
        <v>571201.5</v>
      </c>
      <c r="F1053" s="99">
        <v>593149.50000000012</v>
      </c>
      <c r="G1053" s="99">
        <v>0</v>
      </c>
      <c r="H1053" s="98" t="s">
        <v>225</v>
      </c>
      <c r="I1053" s="99">
        <v>243</v>
      </c>
      <c r="J1053" s="98" t="s">
        <v>229</v>
      </c>
      <c r="K1053" s="99">
        <v>846</v>
      </c>
      <c r="L1053" s="98">
        <v>2022</v>
      </c>
      <c r="M1053" s="98" t="s">
        <v>225</v>
      </c>
      <c r="N1053" s="99">
        <v>846</v>
      </c>
      <c r="O1053" s="100">
        <v>0</v>
      </c>
      <c r="P1053" s="100">
        <v>4.2541905089534957</v>
      </c>
      <c r="Q1053" s="100">
        <v>14.262846044715538</v>
      </c>
    </row>
    <row r="1054" spans="1:17" x14ac:dyDescent="0.35">
      <c r="A1054" s="98" t="s">
        <v>70</v>
      </c>
      <c r="B1054" s="98" t="s">
        <v>142</v>
      </c>
      <c r="C1054" s="98" t="s">
        <v>251</v>
      </c>
      <c r="D1054" s="99">
        <v>539939.99999999988</v>
      </c>
      <c r="E1054" s="99">
        <v>571201.5</v>
      </c>
      <c r="F1054" s="99">
        <v>593149.50000000012</v>
      </c>
      <c r="G1054" s="99">
        <v>0</v>
      </c>
      <c r="H1054" s="98" t="s">
        <v>225</v>
      </c>
      <c r="I1054" s="99">
        <v>525</v>
      </c>
      <c r="J1054" s="98" t="s">
        <v>229</v>
      </c>
      <c r="K1054" s="99">
        <v>95</v>
      </c>
      <c r="L1054" s="98">
        <v>2022</v>
      </c>
      <c r="M1054" s="98" t="s">
        <v>226</v>
      </c>
      <c r="N1054" s="99">
        <v>118.12553011026294</v>
      </c>
      <c r="O1054" s="100">
        <v>0</v>
      </c>
      <c r="P1054" s="100">
        <v>9.1911523341587866</v>
      </c>
      <c r="Q1054" s="100">
        <v>1.9914967493062528</v>
      </c>
    </row>
    <row r="1055" spans="1:17" x14ac:dyDescent="0.35">
      <c r="A1055" s="98" t="s">
        <v>70</v>
      </c>
      <c r="B1055" s="98" t="s">
        <v>142</v>
      </c>
      <c r="C1055" s="98" t="s">
        <v>252</v>
      </c>
      <c r="D1055" s="99">
        <v>539939.99999999988</v>
      </c>
      <c r="E1055" s="99">
        <v>571201.5</v>
      </c>
      <c r="F1055" s="99">
        <v>593149.50000000012</v>
      </c>
      <c r="G1055" s="99">
        <v>0</v>
      </c>
      <c r="H1055" s="98" t="s">
        <v>225</v>
      </c>
      <c r="I1055" s="99">
        <v>27</v>
      </c>
      <c r="J1055" s="98" t="s">
        <v>229</v>
      </c>
      <c r="K1055" s="99">
        <v>27</v>
      </c>
      <c r="L1055" s="98" t="s">
        <v>229</v>
      </c>
      <c r="M1055" s="98" t="s">
        <v>225</v>
      </c>
      <c r="N1055" s="99">
        <v>27</v>
      </c>
      <c r="O1055" s="100">
        <v>0</v>
      </c>
      <c r="P1055" s="100">
        <v>0.47268783432816613</v>
      </c>
      <c r="Q1055" s="100">
        <v>0.45519721419304904</v>
      </c>
    </row>
    <row r="1056" spans="1:17" x14ac:dyDescent="0.35">
      <c r="A1056" s="98" t="s">
        <v>70</v>
      </c>
      <c r="B1056" s="98" t="s">
        <v>142</v>
      </c>
      <c r="C1056" s="98" t="s">
        <v>253</v>
      </c>
      <c r="D1056" s="99">
        <v>539939.99999999988</v>
      </c>
      <c r="E1056" s="99">
        <v>571201.5</v>
      </c>
      <c r="F1056" s="99">
        <v>593149.50000000012</v>
      </c>
      <c r="G1056" s="99">
        <v>0</v>
      </c>
      <c r="H1056" s="98" t="s">
        <v>225</v>
      </c>
      <c r="I1056" s="99">
        <v>7</v>
      </c>
      <c r="J1056" s="98" t="s">
        <v>229</v>
      </c>
      <c r="K1056" s="99">
        <v>7</v>
      </c>
      <c r="L1056" s="98" t="s">
        <v>229</v>
      </c>
      <c r="M1056" s="98" t="s">
        <v>225</v>
      </c>
      <c r="N1056" s="99">
        <v>7</v>
      </c>
      <c r="O1056" s="100">
        <v>0</v>
      </c>
      <c r="P1056" s="100">
        <v>0.12254869778878381</v>
      </c>
      <c r="Q1056" s="100">
        <v>0.11801409256856828</v>
      </c>
    </row>
    <row r="1057" spans="1:17" x14ac:dyDescent="0.35">
      <c r="A1057" s="98" t="s">
        <v>70</v>
      </c>
      <c r="B1057" s="98" t="s">
        <v>142</v>
      </c>
      <c r="C1057" s="98" t="s">
        <v>254</v>
      </c>
      <c r="D1057" s="99">
        <v>539939.99999999988</v>
      </c>
      <c r="E1057" s="99">
        <v>571201.5</v>
      </c>
      <c r="F1057" s="99">
        <v>593149.50000000012</v>
      </c>
      <c r="G1057" s="99">
        <v>0</v>
      </c>
      <c r="H1057" s="98" t="s">
        <v>225</v>
      </c>
      <c r="I1057" s="99">
        <v>20</v>
      </c>
      <c r="J1057" s="98" t="s">
        <v>229</v>
      </c>
      <c r="K1057" s="99">
        <v>20</v>
      </c>
      <c r="L1057" s="98" t="s">
        <v>229</v>
      </c>
      <c r="M1057" s="98" t="s">
        <v>225</v>
      </c>
      <c r="N1057" s="99">
        <v>20</v>
      </c>
      <c r="O1057" s="100">
        <v>0</v>
      </c>
      <c r="P1057" s="100">
        <v>0.35013913653938233</v>
      </c>
      <c r="Q1057" s="100">
        <v>0.33718312162448077</v>
      </c>
    </row>
    <row r="1058" spans="1:17" x14ac:dyDescent="0.35">
      <c r="A1058" s="98" t="s">
        <v>70</v>
      </c>
      <c r="B1058" s="98" t="s">
        <v>142</v>
      </c>
      <c r="C1058" s="98" t="s">
        <v>255</v>
      </c>
      <c r="D1058" s="99">
        <v>539939.99999999988</v>
      </c>
      <c r="E1058" s="99">
        <v>571201.5</v>
      </c>
      <c r="F1058" s="99">
        <v>593149.50000000012</v>
      </c>
      <c r="G1058" s="99">
        <v>0</v>
      </c>
      <c r="H1058" s="98" t="s">
        <v>225</v>
      </c>
      <c r="I1058" s="99">
        <v>172</v>
      </c>
      <c r="J1058" s="98">
        <v>2018</v>
      </c>
      <c r="K1058" s="99">
        <v>23</v>
      </c>
      <c r="L1058" s="98">
        <v>2022</v>
      </c>
      <c r="M1058" s="98" t="s">
        <v>226</v>
      </c>
      <c r="N1058" s="99">
        <v>28.59881255301103</v>
      </c>
      <c r="O1058" s="100">
        <v>0</v>
      </c>
      <c r="P1058" s="100">
        <v>3.0111965742386881</v>
      </c>
      <c r="Q1058" s="100">
        <v>0.48215184456888233</v>
      </c>
    </row>
    <row r="1059" spans="1:17" x14ac:dyDescent="0.35">
      <c r="A1059" s="98" t="s">
        <v>70</v>
      </c>
      <c r="B1059" s="98" t="s">
        <v>142</v>
      </c>
      <c r="C1059" s="98" t="s">
        <v>256</v>
      </c>
      <c r="D1059" s="99">
        <v>539939.99999999988</v>
      </c>
      <c r="E1059" s="99">
        <v>571201.5</v>
      </c>
      <c r="F1059" s="99">
        <v>593149.50000000012</v>
      </c>
      <c r="G1059" s="99">
        <v>0</v>
      </c>
      <c r="H1059" s="98" t="s">
        <v>225</v>
      </c>
      <c r="I1059" s="99">
        <v>92</v>
      </c>
      <c r="J1059" s="98" t="s">
        <v>229</v>
      </c>
      <c r="K1059" s="99">
        <v>6</v>
      </c>
      <c r="L1059" s="98">
        <v>2022</v>
      </c>
      <c r="M1059" s="98" t="s">
        <v>226</v>
      </c>
      <c r="N1059" s="99">
        <v>7.4605597964376598</v>
      </c>
      <c r="O1059" s="100">
        <v>0</v>
      </c>
      <c r="P1059" s="100">
        <v>1.6106400280811588</v>
      </c>
      <c r="Q1059" s="100">
        <v>0.12577874206144757</v>
      </c>
    </row>
    <row r="1060" spans="1:17" x14ac:dyDescent="0.35">
      <c r="A1060" s="98" t="s">
        <v>70</v>
      </c>
      <c r="B1060" s="98" t="s">
        <v>142</v>
      </c>
      <c r="C1060" s="98" t="s">
        <v>257</v>
      </c>
      <c r="D1060" s="99">
        <v>539939.99999999988</v>
      </c>
      <c r="E1060" s="99">
        <v>571201.5</v>
      </c>
      <c r="F1060" s="99">
        <v>593149.50000000012</v>
      </c>
      <c r="G1060" s="99">
        <v>0</v>
      </c>
      <c r="H1060" s="98" t="s">
        <v>225</v>
      </c>
      <c r="I1060" s="99">
        <v>81</v>
      </c>
      <c r="J1060" s="98">
        <v>2018</v>
      </c>
      <c r="K1060" s="99">
        <v>10</v>
      </c>
      <c r="L1060" s="98">
        <v>2022</v>
      </c>
      <c r="M1060" s="98" t="s">
        <v>226</v>
      </c>
      <c r="N1060" s="99">
        <v>12.434266327396099</v>
      </c>
      <c r="O1060" s="100">
        <v>0</v>
      </c>
      <c r="P1060" s="100">
        <v>1.4180635029844986</v>
      </c>
      <c r="Q1060" s="100">
        <v>0.20963123676907924</v>
      </c>
    </row>
    <row r="1061" spans="1:17" x14ac:dyDescent="0.35">
      <c r="A1061" s="98" t="s">
        <v>70</v>
      </c>
      <c r="B1061" s="98" t="s">
        <v>142</v>
      </c>
      <c r="C1061" s="98" t="s">
        <v>258</v>
      </c>
      <c r="D1061" s="99">
        <v>539939.99999999988</v>
      </c>
      <c r="E1061" s="99">
        <v>571201.5</v>
      </c>
      <c r="F1061" s="99">
        <v>593149.50000000012</v>
      </c>
      <c r="G1061" s="99">
        <v>0</v>
      </c>
      <c r="H1061" s="98" t="s">
        <v>225</v>
      </c>
      <c r="I1061" s="99">
        <v>74</v>
      </c>
      <c r="J1061" s="98">
        <v>2019</v>
      </c>
      <c r="K1061" s="99">
        <v>74</v>
      </c>
      <c r="L1061" s="98">
        <v>2019</v>
      </c>
      <c r="M1061" s="98" t="s">
        <v>225</v>
      </c>
      <c r="N1061" s="99">
        <v>74</v>
      </c>
      <c r="O1061" s="100">
        <v>0</v>
      </c>
      <c r="P1061" s="100">
        <v>1.2955148051957146</v>
      </c>
      <c r="Q1061" s="100">
        <v>1.2475775500105788</v>
      </c>
    </row>
    <row r="1062" spans="1:17" x14ac:dyDescent="0.35">
      <c r="A1062" s="98" t="s">
        <v>70</v>
      </c>
      <c r="B1062" s="98" t="s">
        <v>142</v>
      </c>
      <c r="C1062" s="98" t="s">
        <v>259</v>
      </c>
      <c r="D1062" s="99">
        <v>539939.99999999988</v>
      </c>
      <c r="E1062" s="99">
        <v>571201.5</v>
      </c>
      <c r="F1062" s="99">
        <v>593149.50000000012</v>
      </c>
      <c r="G1062" s="99">
        <v>0</v>
      </c>
      <c r="H1062" s="98" t="s">
        <v>225</v>
      </c>
      <c r="I1062" s="99">
        <v>0</v>
      </c>
      <c r="J1062" s="98" t="s">
        <v>225</v>
      </c>
      <c r="K1062" s="99">
        <v>0</v>
      </c>
      <c r="L1062" s="98" t="s">
        <v>225</v>
      </c>
      <c r="M1062" s="98" t="s">
        <v>225</v>
      </c>
      <c r="N1062" s="99">
        <v>0</v>
      </c>
      <c r="O1062" s="100">
        <v>0</v>
      </c>
      <c r="P1062" s="100">
        <v>0</v>
      </c>
      <c r="Q1062" s="100">
        <v>0</v>
      </c>
    </row>
    <row r="1063" spans="1:17" x14ac:dyDescent="0.35">
      <c r="A1063" s="98" t="s">
        <v>1</v>
      </c>
      <c r="B1063" s="98" t="s">
        <v>136</v>
      </c>
      <c r="C1063" s="98" t="s">
        <v>246</v>
      </c>
      <c r="D1063" s="99">
        <v>38000626.500000022</v>
      </c>
      <c r="E1063" s="99">
        <v>41927007.000000007</v>
      </c>
      <c r="F1063" s="99">
        <v>44903225.000000007</v>
      </c>
      <c r="G1063" s="99">
        <v>0</v>
      </c>
      <c r="H1063" s="98" t="s">
        <v>225</v>
      </c>
      <c r="I1063" s="99">
        <v>73168</v>
      </c>
      <c r="J1063" s="98" t="s">
        <v>229</v>
      </c>
      <c r="K1063" s="99">
        <v>42140</v>
      </c>
      <c r="L1063" s="98" t="s">
        <v>229</v>
      </c>
      <c r="M1063" s="98" t="s">
        <v>226</v>
      </c>
      <c r="N1063" s="99">
        <v>48033.824348850052</v>
      </c>
      <c r="O1063" s="100">
        <v>0</v>
      </c>
      <c r="P1063" s="100">
        <v>17.451281461612556</v>
      </c>
      <c r="Q1063" s="100">
        <v>10.697188085900299</v>
      </c>
    </row>
    <row r="1064" spans="1:17" x14ac:dyDescent="0.35">
      <c r="A1064" s="98" t="s">
        <v>1</v>
      </c>
      <c r="B1064" s="98" t="s">
        <v>136</v>
      </c>
      <c r="C1064" s="98" t="s">
        <v>247</v>
      </c>
      <c r="D1064" s="99">
        <v>38000626.500000022</v>
      </c>
      <c r="E1064" s="99">
        <v>41927007.000000007</v>
      </c>
      <c r="F1064" s="99">
        <v>44903225.000000007</v>
      </c>
      <c r="G1064" s="99">
        <v>0</v>
      </c>
      <c r="H1064" s="98" t="s">
        <v>225</v>
      </c>
      <c r="I1064" s="99">
        <v>34077</v>
      </c>
      <c r="J1064" s="98" t="s">
        <v>229</v>
      </c>
      <c r="K1064" s="99">
        <v>27560</v>
      </c>
      <c r="L1064" s="98" t="s">
        <v>229</v>
      </c>
      <c r="M1064" s="98" t="s">
        <v>226</v>
      </c>
      <c r="N1064" s="99">
        <v>31414.622663842132</v>
      </c>
      <c r="O1064" s="100">
        <v>0</v>
      </c>
      <c r="P1064" s="100">
        <v>8.1276967850340451</v>
      </c>
      <c r="Q1064" s="100">
        <v>6.9960727016471811</v>
      </c>
    </row>
    <row r="1065" spans="1:17" x14ac:dyDescent="0.35">
      <c r="A1065" s="98" t="s">
        <v>1</v>
      </c>
      <c r="B1065" s="98" t="s">
        <v>136</v>
      </c>
      <c r="C1065" s="98" t="s">
        <v>248</v>
      </c>
      <c r="D1065" s="99">
        <v>38000626.500000022</v>
      </c>
      <c r="E1065" s="99">
        <v>41927007.000000007</v>
      </c>
      <c r="F1065" s="99">
        <v>44903225.000000007</v>
      </c>
      <c r="G1065" s="99">
        <v>0</v>
      </c>
      <c r="H1065" s="98" t="s">
        <v>225</v>
      </c>
      <c r="I1065" s="99">
        <v>39830</v>
      </c>
      <c r="J1065" s="98">
        <v>2018</v>
      </c>
      <c r="K1065" s="99">
        <v>14580</v>
      </c>
      <c r="L1065" s="98">
        <v>2018</v>
      </c>
      <c r="M1065" s="98" t="s">
        <v>226</v>
      </c>
      <c r="N1065" s="99">
        <v>16619.20168500792</v>
      </c>
      <c r="O1065" s="100">
        <v>0</v>
      </c>
      <c r="P1065" s="100">
        <v>9.499843382572001</v>
      </c>
      <c r="Q1065" s="100">
        <v>3.701115384253117</v>
      </c>
    </row>
    <row r="1066" spans="1:17" x14ac:dyDescent="0.35">
      <c r="A1066" s="98" t="s">
        <v>1</v>
      </c>
      <c r="B1066" s="98" t="s">
        <v>136</v>
      </c>
      <c r="C1066" s="98" t="s">
        <v>249</v>
      </c>
      <c r="D1066" s="99">
        <v>38000626.500000022</v>
      </c>
      <c r="E1066" s="99">
        <v>41927007.000000007</v>
      </c>
      <c r="F1066" s="99">
        <v>44903225.000000007</v>
      </c>
      <c r="G1066" s="99">
        <v>0</v>
      </c>
      <c r="H1066" s="98" t="s">
        <v>225</v>
      </c>
      <c r="I1066" s="99">
        <v>57705</v>
      </c>
      <c r="J1066" s="98" t="s">
        <v>229</v>
      </c>
      <c r="K1066" s="99">
        <v>4425</v>
      </c>
      <c r="L1066" s="98" t="s">
        <v>229</v>
      </c>
      <c r="M1066" s="98" t="s">
        <v>226</v>
      </c>
      <c r="N1066" s="99">
        <v>5043.8935155116633</v>
      </c>
      <c r="O1066" s="100">
        <v>0</v>
      </c>
      <c r="P1066" s="100">
        <v>13.763205181805606</v>
      </c>
      <c r="Q1066" s="100">
        <v>1.1232809036570675</v>
      </c>
    </row>
    <row r="1067" spans="1:17" x14ac:dyDescent="0.35">
      <c r="A1067" s="98" t="s">
        <v>1</v>
      </c>
      <c r="B1067" s="98" t="s">
        <v>136</v>
      </c>
      <c r="C1067" s="98" t="s">
        <v>250</v>
      </c>
      <c r="D1067" s="99">
        <v>38000626.500000022</v>
      </c>
      <c r="E1067" s="99">
        <v>41927007.000000007</v>
      </c>
      <c r="F1067" s="99">
        <v>44903225.000000007</v>
      </c>
      <c r="G1067" s="99">
        <v>0</v>
      </c>
      <c r="H1067" s="98" t="s">
        <v>225</v>
      </c>
      <c r="I1067" s="99">
        <v>47676</v>
      </c>
      <c r="J1067" s="98" t="s">
        <v>229</v>
      </c>
      <c r="K1067" s="99">
        <v>4425</v>
      </c>
      <c r="L1067" s="98" t="s">
        <v>229</v>
      </c>
      <c r="M1067" s="98" t="s">
        <v>226</v>
      </c>
      <c r="N1067" s="99">
        <v>5043.8935155116633</v>
      </c>
      <c r="O1067" s="100">
        <v>0</v>
      </c>
      <c r="P1067" s="100">
        <v>11.371190888965671</v>
      </c>
      <c r="Q1067" s="100">
        <v>1.1232809036570675</v>
      </c>
    </row>
    <row r="1068" spans="1:17" x14ac:dyDescent="0.35">
      <c r="A1068" s="98" t="s">
        <v>1</v>
      </c>
      <c r="B1068" s="98" t="s">
        <v>136</v>
      </c>
      <c r="C1068" s="98" t="s">
        <v>251</v>
      </c>
      <c r="D1068" s="99">
        <v>38000626.500000022</v>
      </c>
      <c r="E1068" s="99">
        <v>41927007.000000007</v>
      </c>
      <c r="F1068" s="99">
        <v>44903225.000000007</v>
      </c>
      <c r="G1068" s="99">
        <v>0</v>
      </c>
      <c r="H1068" s="98" t="s">
        <v>225</v>
      </c>
      <c r="I1068" s="99">
        <v>11238</v>
      </c>
      <c r="J1068" s="98">
        <v>2018</v>
      </c>
      <c r="K1068" s="99">
        <v>11238</v>
      </c>
      <c r="L1068" s="98">
        <v>2018</v>
      </c>
      <c r="M1068" s="98" t="s">
        <v>225</v>
      </c>
      <c r="N1068" s="99">
        <v>11238</v>
      </c>
      <c r="O1068" s="100">
        <v>0</v>
      </c>
      <c r="P1068" s="100">
        <v>2.6803725818062802</v>
      </c>
      <c r="Q1068" s="100">
        <v>2.5027155621895751</v>
      </c>
    </row>
    <row r="1069" spans="1:17" x14ac:dyDescent="0.35">
      <c r="A1069" s="98" t="s">
        <v>1</v>
      </c>
      <c r="B1069" s="98" t="s">
        <v>136</v>
      </c>
      <c r="C1069" s="98" t="s">
        <v>252</v>
      </c>
      <c r="D1069" s="99">
        <v>38000626.500000022</v>
      </c>
      <c r="E1069" s="99">
        <v>41927007.000000007</v>
      </c>
      <c r="F1069" s="99">
        <v>44903225.000000007</v>
      </c>
      <c r="G1069" s="99">
        <v>11139</v>
      </c>
      <c r="H1069" s="98">
        <v>2014</v>
      </c>
      <c r="I1069" s="99">
        <v>8948</v>
      </c>
      <c r="J1069" s="98">
        <v>2018</v>
      </c>
      <c r="K1069" s="99">
        <v>9070</v>
      </c>
      <c r="L1069" s="98">
        <v>2018</v>
      </c>
      <c r="M1069" s="98" t="s">
        <v>225</v>
      </c>
      <c r="N1069" s="99">
        <v>9070</v>
      </c>
      <c r="O1069" s="100">
        <v>2.931267462129866</v>
      </c>
      <c r="P1069" s="100">
        <v>2.1341852520023665</v>
      </c>
      <c r="Q1069" s="100">
        <v>2.019899461564286</v>
      </c>
    </row>
    <row r="1070" spans="1:17" x14ac:dyDescent="0.35">
      <c r="A1070" s="98" t="s">
        <v>1</v>
      </c>
      <c r="B1070" s="98" t="s">
        <v>136</v>
      </c>
      <c r="C1070" s="98" t="s">
        <v>253</v>
      </c>
      <c r="D1070" s="99">
        <v>38000626.500000022</v>
      </c>
      <c r="E1070" s="99">
        <v>41927007.000000007</v>
      </c>
      <c r="F1070" s="99">
        <v>44903225.000000007</v>
      </c>
      <c r="G1070" s="99">
        <v>9404</v>
      </c>
      <c r="H1070" s="98">
        <v>2014</v>
      </c>
      <c r="I1070" s="99">
        <v>8739</v>
      </c>
      <c r="J1070" s="98">
        <v>2018</v>
      </c>
      <c r="K1070" s="99">
        <v>9070</v>
      </c>
      <c r="L1070" s="98">
        <v>2018</v>
      </c>
      <c r="M1070" s="98" t="s">
        <v>225</v>
      </c>
      <c r="N1070" s="99">
        <v>9070</v>
      </c>
      <c r="O1070" s="100">
        <v>2.4746960421823556</v>
      </c>
      <c r="P1070" s="100">
        <v>2.0843367140420965</v>
      </c>
      <c r="Q1070" s="100">
        <v>2.019899461564286</v>
      </c>
    </row>
    <row r="1071" spans="1:17" x14ac:dyDescent="0.35">
      <c r="A1071" s="98" t="s">
        <v>1</v>
      </c>
      <c r="B1071" s="98" t="s">
        <v>136</v>
      </c>
      <c r="C1071" s="98" t="s">
        <v>254</v>
      </c>
      <c r="D1071" s="99">
        <v>38000626.500000022</v>
      </c>
      <c r="E1071" s="99">
        <v>41927007.000000007</v>
      </c>
      <c r="F1071" s="99">
        <v>44903225.000000007</v>
      </c>
      <c r="G1071" s="99">
        <v>1735</v>
      </c>
      <c r="H1071" s="98">
        <v>2014</v>
      </c>
      <c r="I1071" s="99">
        <v>209</v>
      </c>
      <c r="J1071" s="98">
        <v>2018</v>
      </c>
      <c r="K1071" s="99">
        <v>209</v>
      </c>
      <c r="L1071" s="98">
        <v>2018</v>
      </c>
      <c r="M1071" s="98" t="s">
        <v>225</v>
      </c>
      <c r="N1071" s="99">
        <v>209</v>
      </c>
      <c r="O1071" s="100">
        <v>0.45657141994751033</v>
      </c>
      <c r="P1071" s="100">
        <v>4.9848537960269848E-2</v>
      </c>
      <c r="Q1071" s="100">
        <v>4.6544541065814307E-2</v>
      </c>
    </row>
    <row r="1072" spans="1:17" x14ac:dyDescent="0.35">
      <c r="A1072" s="98" t="s">
        <v>1</v>
      </c>
      <c r="B1072" s="98" t="s">
        <v>136</v>
      </c>
      <c r="C1072" s="98" t="s">
        <v>255</v>
      </c>
      <c r="D1072" s="99">
        <v>38000626.500000022</v>
      </c>
      <c r="E1072" s="99">
        <v>41927007.000000007</v>
      </c>
      <c r="F1072" s="99">
        <v>44903225.000000007</v>
      </c>
      <c r="G1072" s="99">
        <v>0</v>
      </c>
      <c r="H1072" s="98" t="s">
        <v>225</v>
      </c>
      <c r="I1072" s="99">
        <v>18807</v>
      </c>
      <c r="J1072" s="98">
        <v>2018</v>
      </c>
      <c r="K1072" s="99">
        <v>2156</v>
      </c>
      <c r="L1072" s="98">
        <v>2018</v>
      </c>
      <c r="M1072" s="98" t="s">
        <v>226</v>
      </c>
      <c r="N1072" s="99">
        <v>2457.5445015690725</v>
      </c>
      <c r="O1072" s="100">
        <v>0</v>
      </c>
      <c r="P1072" s="100">
        <v>4.485652887171268</v>
      </c>
      <c r="Q1072" s="100">
        <v>0.54729799509257349</v>
      </c>
    </row>
    <row r="1073" spans="1:17" x14ac:dyDescent="0.35">
      <c r="A1073" s="98" t="s">
        <v>1</v>
      </c>
      <c r="B1073" s="98" t="s">
        <v>136</v>
      </c>
      <c r="C1073" s="98" t="s">
        <v>256</v>
      </c>
      <c r="D1073" s="99">
        <v>38000626.500000022</v>
      </c>
      <c r="E1073" s="99">
        <v>41927007.000000007</v>
      </c>
      <c r="F1073" s="99">
        <v>44903225.000000007</v>
      </c>
      <c r="G1073" s="99">
        <v>0</v>
      </c>
      <c r="H1073" s="98" t="s">
        <v>225</v>
      </c>
      <c r="I1073" s="99">
        <v>1536</v>
      </c>
      <c r="J1073" s="98" t="s">
        <v>229</v>
      </c>
      <c r="K1073" s="99">
        <v>1536</v>
      </c>
      <c r="L1073" s="98" t="s">
        <v>229</v>
      </c>
      <c r="M1073" s="98" t="s">
        <v>225</v>
      </c>
      <c r="N1073" s="99">
        <v>1536</v>
      </c>
      <c r="O1073" s="100">
        <v>0</v>
      </c>
      <c r="P1073" s="100">
        <v>0.36635097754533247</v>
      </c>
      <c r="Q1073" s="100">
        <v>0.34206897166072142</v>
      </c>
    </row>
    <row r="1074" spans="1:17" x14ac:dyDescent="0.35">
      <c r="A1074" s="98" t="s">
        <v>1</v>
      </c>
      <c r="B1074" s="98" t="s">
        <v>136</v>
      </c>
      <c r="C1074" s="98" t="s">
        <v>257</v>
      </c>
      <c r="D1074" s="99">
        <v>38000626.500000022</v>
      </c>
      <c r="E1074" s="99">
        <v>41927007.000000007</v>
      </c>
      <c r="F1074" s="99">
        <v>44903225.000000007</v>
      </c>
      <c r="G1074" s="99">
        <v>0</v>
      </c>
      <c r="H1074" s="98" t="s">
        <v>225</v>
      </c>
      <c r="I1074" s="99">
        <v>15437</v>
      </c>
      <c r="J1074" s="98">
        <v>2018</v>
      </c>
      <c r="K1074" s="99">
        <v>7018</v>
      </c>
      <c r="L1074" s="98">
        <v>2018</v>
      </c>
      <c r="M1074" s="98" t="s">
        <v>226</v>
      </c>
      <c r="N1074" s="99">
        <v>7999.5581224544294</v>
      </c>
      <c r="O1074" s="100">
        <v>0</v>
      </c>
      <c r="P1074" s="100">
        <v>3.6818750262807924</v>
      </c>
      <c r="Q1074" s="100">
        <v>1.7815108207605195</v>
      </c>
    </row>
    <row r="1075" spans="1:17" x14ac:dyDescent="0.35">
      <c r="A1075" s="98" t="s">
        <v>1</v>
      </c>
      <c r="B1075" s="98" t="s">
        <v>136</v>
      </c>
      <c r="C1075" s="98" t="s">
        <v>258</v>
      </c>
      <c r="D1075" s="99">
        <v>38000626.500000022</v>
      </c>
      <c r="E1075" s="99">
        <v>41927007.000000007</v>
      </c>
      <c r="F1075" s="99">
        <v>44903225.000000007</v>
      </c>
      <c r="G1075" s="99">
        <v>0</v>
      </c>
      <c r="H1075" s="98" t="s">
        <v>225</v>
      </c>
      <c r="I1075" s="99">
        <v>46</v>
      </c>
      <c r="J1075" s="98">
        <v>2018</v>
      </c>
      <c r="K1075" s="99">
        <v>46</v>
      </c>
      <c r="L1075" s="98">
        <v>2018</v>
      </c>
      <c r="M1075" s="98" t="s">
        <v>225</v>
      </c>
      <c r="N1075" s="99">
        <v>46</v>
      </c>
      <c r="O1075" s="100">
        <v>0</v>
      </c>
      <c r="P1075" s="100">
        <v>1.0971448546279489E-2</v>
      </c>
      <c r="Q1075" s="100">
        <v>1.0244253057547647E-2</v>
      </c>
    </row>
    <row r="1076" spans="1:17" x14ac:dyDescent="0.35">
      <c r="A1076" s="98" t="s">
        <v>1</v>
      </c>
      <c r="B1076" s="98" t="s">
        <v>136</v>
      </c>
      <c r="C1076" s="98" t="s">
        <v>259</v>
      </c>
      <c r="D1076" s="99">
        <v>38000626.500000022</v>
      </c>
      <c r="E1076" s="99">
        <v>41927007.000000007</v>
      </c>
      <c r="F1076" s="99">
        <v>44903225.000000007</v>
      </c>
      <c r="G1076" s="99">
        <v>0</v>
      </c>
      <c r="H1076" s="98" t="s">
        <v>225</v>
      </c>
      <c r="I1076" s="99">
        <v>4403</v>
      </c>
      <c r="J1076" s="98">
        <v>2018</v>
      </c>
      <c r="K1076" s="99">
        <v>4403</v>
      </c>
      <c r="L1076" s="98">
        <v>2018</v>
      </c>
      <c r="M1076" s="98" t="s">
        <v>225</v>
      </c>
      <c r="N1076" s="99">
        <v>4403</v>
      </c>
      <c r="O1076" s="100">
        <v>0</v>
      </c>
      <c r="P1076" s="100">
        <v>1.0501584336797518</v>
      </c>
      <c r="Q1076" s="100">
        <v>0.98055317853004975</v>
      </c>
    </row>
    <row r="1077" spans="1:17" x14ac:dyDescent="0.35">
      <c r="A1077" s="98" t="s">
        <v>15</v>
      </c>
      <c r="B1077" s="98" t="s">
        <v>153</v>
      </c>
      <c r="C1077" s="98" t="s">
        <v>246</v>
      </c>
      <c r="D1077" s="99">
        <v>3296367</v>
      </c>
      <c r="E1077" s="99">
        <v>3445374.4999999986</v>
      </c>
      <c r="F1077" s="99">
        <v>3684031.5000000019</v>
      </c>
      <c r="G1077" s="99">
        <v>172</v>
      </c>
      <c r="H1077" s="98">
        <v>2013</v>
      </c>
      <c r="I1077" s="99">
        <v>280</v>
      </c>
      <c r="J1077" s="98">
        <v>2018</v>
      </c>
      <c r="K1077" s="99">
        <v>260</v>
      </c>
      <c r="L1077" s="98">
        <v>2022</v>
      </c>
      <c r="M1077" s="98" t="s">
        <v>226</v>
      </c>
      <c r="N1077" s="99">
        <v>298.81764752330793</v>
      </c>
      <c r="O1077" s="100">
        <v>0.52178656078039853</v>
      </c>
      <c r="P1077" s="100">
        <v>0.81268378807586839</v>
      </c>
      <c r="Q1077" s="100">
        <v>0.81111588628736697</v>
      </c>
    </row>
    <row r="1078" spans="1:17" x14ac:dyDescent="0.35">
      <c r="A1078" s="98" t="s">
        <v>15</v>
      </c>
      <c r="B1078" s="98" t="s">
        <v>153</v>
      </c>
      <c r="C1078" s="98" t="s">
        <v>247</v>
      </c>
      <c r="D1078" s="99">
        <v>3296367</v>
      </c>
      <c r="E1078" s="99">
        <v>3445374.4999999986</v>
      </c>
      <c r="F1078" s="99">
        <v>3684031.5000000019</v>
      </c>
      <c r="G1078" s="99">
        <v>0</v>
      </c>
      <c r="H1078" s="98" t="s">
        <v>225</v>
      </c>
      <c r="I1078" s="99">
        <v>160</v>
      </c>
      <c r="J1078" s="98">
        <v>2018</v>
      </c>
      <c r="K1078" s="99">
        <v>260</v>
      </c>
      <c r="L1078" s="98">
        <v>2022</v>
      </c>
      <c r="M1078" s="98" t="s">
        <v>225</v>
      </c>
      <c r="N1078" s="99">
        <v>260</v>
      </c>
      <c r="O1078" s="100">
        <v>0</v>
      </c>
      <c r="P1078" s="100">
        <v>0.4643907360433534</v>
      </c>
      <c r="Q1078" s="100">
        <v>0.7057485800542147</v>
      </c>
    </row>
    <row r="1079" spans="1:17" x14ac:dyDescent="0.35">
      <c r="A1079" s="98" t="s">
        <v>15</v>
      </c>
      <c r="B1079" s="98" t="s">
        <v>153</v>
      </c>
      <c r="C1079" s="98" t="s">
        <v>248</v>
      </c>
      <c r="D1079" s="99">
        <v>3296367</v>
      </c>
      <c r="E1079" s="99">
        <v>3445374.4999999986</v>
      </c>
      <c r="F1079" s="99">
        <v>3684031.5000000019</v>
      </c>
      <c r="G1079" s="99">
        <v>0</v>
      </c>
      <c r="H1079" s="98" t="s">
        <v>225</v>
      </c>
      <c r="I1079" s="99">
        <v>120</v>
      </c>
      <c r="J1079" s="98">
        <v>2018</v>
      </c>
      <c r="K1079" s="99">
        <v>10</v>
      </c>
      <c r="L1079" s="98">
        <v>2021</v>
      </c>
      <c r="M1079" s="98" t="s">
        <v>226</v>
      </c>
      <c r="N1079" s="99">
        <v>11.492986443204153</v>
      </c>
      <c r="O1079" s="100">
        <v>0</v>
      </c>
      <c r="P1079" s="100">
        <v>0.34829305203251504</v>
      </c>
      <c r="Q1079" s="100">
        <v>3.1196764857206426E-2</v>
      </c>
    </row>
    <row r="1080" spans="1:17" x14ac:dyDescent="0.35">
      <c r="A1080" s="98" t="s">
        <v>15</v>
      </c>
      <c r="B1080" s="98" t="s">
        <v>153</v>
      </c>
      <c r="C1080" s="98" t="s">
        <v>249</v>
      </c>
      <c r="D1080" s="99">
        <v>3296367</v>
      </c>
      <c r="E1080" s="99">
        <v>3445374.4999999986</v>
      </c>
      <c r="F1080" s="99">
        <v>3684031.5000000019</v>
      </c>
      <c r="G1080" s="99">
        <v>4262</v>
      </c>
      <c r="H1080" s="98">
        <v>2013</v>
      </c>
      <c r="I1080" s="99">
        <v>4971</v>
      </c>
      <c r="J1080" s="98">
        <v>2018</v>
      </c>
      <c r="K1080" s="99">
        <v>5007</v>
      </c>
      <c r="L1080" s="98">
        <v>2022</v>
      </c>
      <c r="M1080" s="98" t="s">
        <v>225</v>
      </c>
      <c r="N1080" s="99">
        <v>5007</v>
      </c>
      <c r="O1080" s="100">
        <v>12.929385593291038</v>
      </c>
      <c r="P1080" s="100">
        <v>14.428039680446936</v>
      </c>
      <c r="Q1080" s="100">
        <v>13.591089001274819</v>
      </c>
    </row>
    <row r="1081" spans="1:17" x14ac:dyDescent="0.35">
      <c r="A1081" s="98" t="s">
        <v>15</v>
      </c>
      <c r="B1081" s="98" t="s">
        <v>153</v>
      </c>
      <c r="C1081" s="98" t="s">
        <v>250</v>
      </c>
      <c r="D1081" s="99">
        <v>3296367</v>
      </c>
      <c r="E1081" s="99">
        <v>3445374.4999999986</v>
      </c>
      <c r="F1081" s="99">
        <v>3684031.5000000019</v>
      </c>
      <c r="G1081" s="99">
        <v>1395</v>
      </c>
      <c r="H1081" s="98">
        <v>2013</v>
      </c>
      <c r="I1081" s="99">
        <v>2058</v>
      </c>
      <c r="J1081" s="98">
        <v>2018</v>
      </c>
      <c r="K1081" s="99">
        <v>1447</v>
      </c>
      <c r="L1081" s="98">
        <v>2022</v>
      </c>
      <c r="M1081" s="98" t="s">
        <v>226</v>
      </c>
      <c r="N1081" s="99">
        <v>1663.0351383316408</v>
      </c>
      <c r="O1081" s="100">
        <v>4.2319316993526508</v>
      </c>
      <c r="P1081" s="100">
        <v>5.9732258423576328</v>
      </c>
      <c r="Q1081" s="100">
        <v>4.5141718748377695</v>
      </c>
    </row>
    <row r="1082" spans="1:17" x14ac:dyDescent="0.35">
      <c r="A1082" s="98" t="s">
        <v>15</v>
      </c>
      <c r="B1082" s="98" t="s">
        <v>153</v>
      </c>
      <c r="C1082" s="98" t="s">
        <v>251</v>
      </c>
      <c r="D1082" s="99">
        <v>3296367</v>
      </c>
      <c r="E1082" s="99">
        <v>3445374.4999999986</v>
      </c>
      <c r="F1082" s="99">
        <v>3684031.5000000019</v>
      </c>
      <c r="G1082" s="99">
        <v>2867</v>
      </c>
      <c r="H1082" s="98">
        <v>2013</v>
      </c>
      <c r="I1082" s="99">
        <v>2913</v>
      </c>
      <c r="J1082" s="98">
        <v>2018</v>
      </c>
      <c r="K1082" s="99">
        <v>3372</v>
      </c>
      <c r="L1082" s="98">
        <v>2022</v>
      </c>
      <c r="M1082" s="98" t="s">
        <v>225</v>
      </c>
      <c r="N1082" s="99">
        <v>3372</v>
      </c>
      <c r="O1082" s="100">
        <v>8.6974538939383876</v>
      </c>
      <c r="P1082" s="100">
        <v>8.4548138380893025</v>
      </c>
      <c r="Q1082" s="100">
        <v>9.1530161997800459</v>
      </c>
    </row>
    <row r="1083" spans="1:17" x14ac:dyDescent="0.35">
      <c r="A1083" s="98" t="s">
        <v>15</v>
      </c>
      <c r="B1083" s="98" t="s">
        <v>153</v>
      </c>
      <c r="C1083" s="98" t="s">
        <v>252</v>
      </c>
      <c r="D1083" s="99">
        <v>3296367</v>
      </c>
      <c r="E1083" s="99">
        <v>3445374.4999999986</v>
      </c>
      <c r="F1083" s="99">
        <v>3684031.5000000019</v>
      </c>
      <c r="G1083" s="99">
        <v>0</v>
      </c>
      <c r="H1083" s="98" t="s">
        <v>225</v>
      </c>
      <c r="I1083" s="99">
        <v>45</v>
      </c>
      <c r="J1083" s="98" t="s">
        <v>229</v>
      </c>
      <c r="K1083" s="99">
        <v>67</v>
      </c>
      <c r="L1083" s="98">
        <v>2021</v>
      </c>
      <c r="M1083" s="98" t="s">
        <v>225</v>
      </c>
      <c r="N1083" s="99">
        <v>67</v>
      </c>
      <c r="O1083" s="100">
        <v>0</v>
      </c>
      <c r="P1083" s="100">
        <v>0.13060989451219315</v>
      </c>
      <c r="Q1083" s="100">
        <v>0.18186598024473993</v>
      </c>
    </row>
    <row r="1084" spans="1:17" x14ac:dyDescent="0.35">
      <c r="A1084" s="98" t="s">
        <v>15</v>
      </c>
      <c r="B1084" s="98" t="s">
        <v>153</v>
      </c>
      <c r="C1084" s="98" t="s">
        <v>253</v>
      </c>
      <c r="D1084" s="99">
        <v>3296367</v>
      </c>
      <c r="E1084" s="99">
        <v>3445374.4999999986</v>
      </c>
      <c r="F1084" s="99">
        <v>3684031.5000000019</v>
      </c>
      <c r="G1084" s="99">
        <v>0</v>
      </c>
      <c r="H1084" s="98" t="s">
        <v>225</v>
      </c>
      <c r="I1084" s="99">
        <v>45</v>
      </c>
      <c r="J1084" s="98" t="s">
        <v>229</v>
      </c>
      <c r="K1084" s="99">
        <v>67</v>
      </c>
      <c r="L1084" s="98">
        <v>2021</v>
      </c>
      <c r="M1084" s="98" t="s">
        <v>225</v>
      </c>
      <c r="N1084" s="99">
        <v>67</v>
      </c>
      <c r="O1084" s="100">
        <v>0</v>
      </c>
      <c r="P1084" s="100">
        <v>0.13060989451219315</v>
      </c>
      <c r="Q1084" s="100">
        <v>0.18186598024473993</v>
      </c>
    </row>
    <row r="1085" spans="1:17" x14ac:dyDescent="0.35">
      <c r="A1085" s="98" t="s">
        <v>15</v>
      </c>
      <c r="B1085" s="98" t="s">
        <v>153</v>
      </c>
      <c r="C1085" s="98" t="s">
        <v>254</v>
      </c>
      <c r="D1085" s="99">
        <v>3296367</v>
      </c>
      <c r="E1085" s="99">
        <v>3445374.4999999986</v>
      </c>
      <c r="F1085" s="99">
        <v>3684031.5000000019</v>
      </c>
      <c r="G1085" s="99">
        <v>0</v>
      </c>
      <c r="H1085" s="98" t="s">
        <v>225</v>
      </c>
      <c r="I1085" s="99">
        <v>0</v>
      </c>
      <c r="J1085" s="98" t="s">
        <v>225</v>
      </c>
      <c r="K1085" s="99">
        <v>0</v>
      </c>
      <c r="L1085" s="98" t="s">
        <v>225</v>
      </c>
      <c r="M1085" s="98" t="s">
        <v>225</v>
      </c>
      <c r="N1085" s="99">
        <v>0</v>
      </c>
      <c r="O1085" s="100">
        <v>0</v>
      </c>
      <c r="P1085" s="100">
        <v>0</v>
      </c>
      <c r="Q1085" s="100">
        <v>0</v>
      </c>
    </row>
    <row r="1086" spans="1:17" x14ac:dyDescent="0.35">
      <c r="A1086" s="98" t="s">
        <v>15</v>
      </c>
      <c r="B1086" s="98" t="s">
        <v>153</v>
      </c>
      <c r="C1086" s="98" t="s">
        <v>255</v>
      </c>
      <c r="D1086" s="99">
        <v>3296367</v>
      </c>
      <c r="E1086" s="99">
        <v>3445374.4999999986</v>
      </c>
      <c r="F1086" s="99">
        <v>3684031.5000000019</v>
      </c>
      <c r="G1086" s="99">
        <v>0</v>
      </c>
      <c r="H1086" s="98" t="s">
        <v>225</v>
      </c>
      <c r="I1086" s="99">
        <v>451</v>
      </c>
      <c r="J1086" s="98">
        <v>2018</v>
      </c>
      <c r="K1086" s="99">
        <v>199</v>
      </c>
      <c r="L1086" s="98">
        <v>2022</v>
      </c>
      <c r="M1086" s="98" t="s">
        <v>226</v>
      </c>
      <c r="N1086" s="99">
        <v>228.71043021976263</v>
      </c>
      <c r="O1086" s="100">
        <v>0</v>
      </c>
      <c r="P1086" s="100">
        <v>1.3090013872222024</v>
      </c>
      <c r="Q1086" s="100">
        <v>0.62081562065840779</v>
      </c>
    </row>
    <row r="1087" spans="1:17" x14ac:dyDescent="0.35">
      <c r="A1087" s="98" t="s">
        <v>15</v>
      </c>
      <c r="B1087" s="98" t="s">
        <v>153</v>
      </c>
      <c r="C1087" s="98" t="s">
        <v>256</v>
      </c>
      <c r="D1087" s="99">
        <v>3296367</v>
      </c>
      <c r="E1087" s="99">
        <v>3445374.4999999986</v>
      </c>
      <c r="F1087" s="99">
        <v>3684031.5000000019</v>
      </c>
      <c r="G1087" s="99">
        <v>0</v>
      </c>
      <c r="H1087" s="98" t="s">
        <v>225</v>
      </c>
      <c r="I1087" s="99">
        <v>300</v>
      </c>
      <c r="J1087" s="98" t="s">
        <v>229</v>
      </c>
      <c r="K1087" s="99">
        <v>288</v>
      </c>
      <c r="L1087" s="98">
        <v>2022</v>
      </c>
      <c r="M1087" s="98" t="s">
        <v>226</v>
      </c>
      <c r="N1087" s="99">
        <v>330.99800956427958</v>
      </c>
      <c r="O1087" s="100">
        <v>0</v>
      </c>
      <c r="P1087" s="100">
        <v>0.87073263008128765</v>
      </c>
      <c r="Q1087" s="100">
        <v>0.89846682788754495</v>
      </c>
    </row>
    <row r="1088" spans="1:17" x14ac:dyDescent="0.35">
      <c r="A1088" s="98" t="s">
        <v>15</v>
      </c>
      <c r="B1088" s="98" t="s">
        <v>153</v>
      </c>
      <c r="C1088" s="98" t="s">
        <v>257</v>
      </c>
      <c r="D1088" s="99">
        <v>3296367</v>
      </c>
      <c r="E1088" s="99">
        <v>3445374.4999999986</v>
      </c>
      <c r="F1088" s="99">
        <v>3684031.5000000019</v>
      </c>
      <c r="G1088" s="99">
        <v>0</v>
      </c>
      <c r="H1088" s="98" t="s">
        <v>225</v>
      </c>
      <c r="I1088" s="99">
        <v>186</v>
      </c>
      <c r="J1088" s="98">
        <v>2018</v>
      </c>
      <c r="K1088" s="99">
        <v>58</v>
      </c>
      <c r="L1088" s="98">
        <v>2022</v>
      </c>
      <c r="M1088" s="98" t="s">
        <v>226</v>
      </c>
      <c r="N1088" s="99">
        <v>66.659321370584081</v>
      </c>
      <c r="O1088" s="100">
        <v>0</v>
      </c>
      <c r="P1088" s="100">
        <v>0.53985423065039828</v>
      </c>
      <c r="Q1088" s="100">
        <v>0.18094123617179722</v>
      </c>
    </row>
    <row r="1089" spans="1:17" x14ac:dyDescent="0.35">
      <c r="A1089" s="98" t="s">
        <v>15</v>
      </c>
      <c r="B1089" s="98" t="s">
        <v>153</v>
      </c>
      <c r="C1089" s="98" t="s">
        <v>258</v>
      </c>
      <c r="D1089" s="99">
        <v>3296367</v>
      </c>
      <c r="E1089" s="99">
        <v>3445374.4999999986</v>
      </c>
      <c r="F1089" s="99">
        <v>3684031.5000000019</v>
      </c>
      <c r="G1089" s="99">
        <v>0</v>
      </c>
      <c r="H1089" s="98" t="s">
        <v>225</v>
      </c>
      <c r="I1089" s="99">
        <v>164</v>
      </c>
      <c r="J1089" s="98" t="s">
        <v>229</v>
      </c>
      <c r="K1089" s="99">
        <v>157</v>
      </c>
      <c r="L1089" s="98">
        <v>2022</v>
      </c>
      <c r="M1089" s="98" t="s">
        <v>226</v>
      </c>
      <c r="N1089" s="99">
        <v>180.43988715830517</v>
      </c>
      <c r="O1089" s="100">
        <v>0</v>
      </c>
      <c r="P1089" s="100">
        <v>0.4760005044444372</v>
      </c>
      <c r="Q1089" s="100">
        <v>0.48978920825814082</v>
      </c>
    </row>
    <row r="1090" spans="1:17" x14ac:dyDescent="0.35">
      <c r="A1090" s="98" t="s">
        <v>15</v>
      </c>
      <c r="B1090" s="98" t="s">
        <v>153</v>
      </c>
      <c r="C1090" s="98" t="s">
        <v>259</v>
      </c>
      <c r="D1090" s="99">
        <v>3296367</v>
      </c>
      <c r="E1090" s="99">
        <v>3445374.4999999986</v>
      </c>
      <c r="F1090" s="99">
        <v>3684031.5000000019</v>
      </c>
      <c r="G1090" s="99">
        <v>0</v>
      </c>
      <c r="H1090" s="98" t="s">
        <v>225</v>
      </c>
      <c r="I1090" s="99">
        <v>0</v>
      </c>
      <c r="J1090" s="98" t="s">
        <v>225</v>
      </c>
      <c r="K1090" s="99">
        <v>7</v>
      </c>
      <c r="L1090" s="98">
        <v>2021</v>
      </c>
      <c r="M1090" s="98" t="s">
        <v>225</v>
      </c>
      <c r="N1090" s="99">
        <v>7</v>
      </c>
      <c r="O1090" s="100">
        <v>0</v>
      </c>
      <c r="P1090" s="100">
        <v>0</v>
      </c>
      <c r="Q1090" s="100">
        <v>1.9000923309151936E-2</v>
      </c>
    </row>
    <row r="1091" spans="1:17" x14ac:dyDescent="0.35">
      <c r="A1091" s="98" t="s">
        <v>17</v>
      </c>
      <c r="B1091" s="98" t="s">
        <v>155</v>
      </c>
      <c r="C1091" s="98" t="s">
        <v>246</v>
      </c>
      <c r="D1091" s="99">
        <v>97084366.00000003</v>
      </c>
      <c r="E1091" s="99">
        <v>111129438.00000001</v>
      </c>
      <c r="F1091" s="99">
        <v>123379924.50000004</v>
      </c>
      <c r="G1091" s="99">
        <v>0</v>
      </c>
      <c r="H1091" s="98" t="s">
        <v>225</v>
      </c>
      <c r="I1091" s="99">
        <v>11263</v>
      </c>
      <c r="J1091" s="98" t="s">
        <v>229</v>
      </c>
      <c r="K1091" s="99">
        <v>23741</v>
      </c>
      <c r="L1091" s="98">
        <v>2022</v>
      </c>
      <c r="M1091" s="98" t="s">
        <v>225</v>
      </c>
      <c r="N1091" s="99">
        <v>23741</v>
      </c>
      <c r="O1091" s="100">
        <v>0</v>
      </c>
      <c r="P1091" s="100">
        <v>1.0135028308160794</v>
      </c>
      <c r="Q1091" s="100">
        <v>1.9242190409996556</v>
      </c>
    </row>
    <row r="1092" spans="1:17" x14ac:dyDescent="0.35">
      <c r="A1092" s="98" t="s">
        <v>17</v>
      </c>
      <c r="B1092" s="98" t="s">
        <v>155</v>
      </c>
      <c r="C1092" s="98" t="s">
        <v>247</v>
      </c>
      <c r="D1092" s="99">
        <v>97084366.00000003</v>
      </c>
      <c r="E1092" s="99">
        <v>111129438.00000001</v>
      </c>
      <c r="F1092" s="99">
        <v>123379924.50000004</v>
      </c>
      <c r="G1092" s="99">
        <v>0</v>
      </c>
      <c r="H1092" s="98" t="s">
        <v>225</v>
      </c>
      <c r="I1092" s="99">
        <v>5867</v>
      </c>
      <c r="J1092" s="98">
        <v>2018</v>
      </c>
      <c r="K1092" s="99">
        <v>8860</v>
      </c>
      <c r="L1092" s="98">
        <v>2022</v>
      </c>
      <c r="M1092" s="98" t="s">
        <v>225</v>
      </c>
      <c r="N1092" s="99">
        <v>8860</v>
      </c>
      <c r="O1092" s="100">
        <v>0</v>
      </c>
      <c r="P1092" s="100">
        <v>0.52794292003888288</v>
      </c>
      <c r="Q1092" s="100">
        <v>0.71810710177570236</v>
      </c>
    </row>
    <row r="1093" spans="1:17" x14ac:dyDescent="0.35">
      <c r="A1093" s="98" t="s">
        <v>17</v>
      </c>
      <c r="B1093" s="98" t="s">
        <v>155</v>
      </c>
      <c r="C1093" s="98" t="s">
        <v>248</v>
      </c>
      <c r="D1093" s="99">
        <v>97084366.00000003</v>
      </c>
      <c r="E1093" s="99">
        <v>111129438.00000001</v>
      </c>
      <c r="F1093" s="99">
        <v>123379924.50000004</v>
      </c>
      <c r="G1093" s="99">
        <v>0</v>
      </c>
      <c r="H1093" s="98" t="s">
        <v>225</v>
      </c>
      <c r="I1093" s="99">
        <v>5396</v>
      </c>
      <c r="J1093" s="98" t="s">
        <v>229</v>
      </c>
      <c r="K1093" s="99">
        <v>4467</v>
      </c>
      <c r="L1093" s="98">
        <v>2022</v>
      </c>
      <c r="M1093" s="98" t="s">
        <v>226</v>
      </c>
      <c r="N1093" s="99">
        <v>4560.2238523992301</v>
      </c>
      <c r="O1093" s="100">
        <v>0</v>
      </c>
      <c r="P1093" s="100">
        <v>0.48555991077719651</v>
      </c>
      <c r="Q1093" s="100">
        <v>0.36960825441251005</v>
      </c>
    </row>
    <row r="1094" spans="1:17" x14ac:dyDescent="0.35">
      <c r="A1094" s="98" t="s">
        <v>17</v>
      </c>
      <c r="B1094" s="98" t="s">
        <v>155</v>
      </c>
      <c r="C1094" s="98" t="s">
        <v>249</v>
      </c>
      <c r="D1094" s="99">
        <v>97084366.00000003</v>
      </c>
      <c r="E1094" s="99">
        <v>111129438.00000001</v>
      </c>
      <c r="F1094" s="99">
        <v>123379924.50000004</v>
      </c>
      <c r="G1094" s="99">
        <v>0</v>
      </c>
      <c r="H1094" s="98" t="s">
        <v>225</v>
      </c>
      <c r="I1094" s="99">
        <v>61772</v>
      </c>
      <c r="J1094" s="98">
        <v>2018</v>
      </c>
      <c r="K1094" s="99">
        <v>131262</v>
      </c>
      <c r="L1094" s="98">
        <v>2022</v>
      </c>
      <c r="M1094" s="98" t="s">
        <v>225</v>
      </c>
      <c r="N1094" s="99">
        <v>131262</v>
      </c>
      <c r="O1094" s="100">
        <v>0</v>
      </c>
      <c r="P1094" s="100">
        <v>5.5585631594753488</v>
      </c>
      <c r="Q1094" s="100">
        <v>10.638845868316279</v>
      </c>
    </row>
    <row r="1095" spans="1:17" x14ac:dyDescent="0.35">
      <c r="A1095" s="98" t="s">
        <v>17</v>
      </c>
      <c r="B1095" s="98" t="s">
        <v>155</v>
      </c>
      <c r="C1095" s="98" t="s">
        <v>250</v>
      </c>
      <c r="D1095" s="99">
        <v>97084366.00000003</v>
      </c>
      <c r="E1095" s="99">
        <v>111129438.00000001</v>
      </c>
      <c r="F1095" s="99">
        <v>123379924.50000004</v>
      </c>
      <c r="G1095" s="99">
        <v>0</v>
      </c>
      <c r="H1095" s="98" t="s">
        <v>225</v>
      </c>
      <c r="I1095" s="99">
        <v>61772</v>
      </c>
      <c r="J1095" s="98">
        <v>2018</v>
      </c>
      <c r="K1095" s="99">
        <v>70246</v>
      </c>
      <c r="L1095" s="98">
        <v>2022</v>
      </c>
      <c r="M1095" s="98" t="s">
        <v>225</v>
      </c>
      <c r="N1095" s="99">
        <v>70246</v>
      </c>
      <c r="O1095" s="100">
        <v>0</v>
      </c>
      <c r="P1095" s="100">
        <v>5.5585631594753488</v>
      </c>
      <c r="Q1095" s="100">
        <v>5.6934708206925491</v>
      </c>
    </row>
    <row r="1096" spans="1:17" x14ac:dyDescent="0.35">
      <c r="A1096" s="98" t="s">
        <v>17</v>
      </c>
      <c r="B1096" s="98" t="s">
        <v>155</v>
      </c>
      <c r="C1096" s="98" t="s">
        <v>251</v>
      </c>
      <c r="D1096" s="99">
        <v>97084366.00000003</v>
      </c>
      <c r="E1096" s="99">
        <v>111129438.00000001</v>
      </c>
      <c r="F1096" s="99">
        <v>123379924.50000004</v>
      </c>
      <c r="G1096" s="99">
        <v>0</v>
      </c>
      <c r="H1096" s="98" t="s">
        <v>225</v>
      </c>
      <c r="I1096" s="99">
        <v>0</v>
      </c>
      <c r="J1096" s="98" t="s">
        <v>225</v>
      </c>
      <c r="K1096" s="99">
        <v>0</v>
      </c>
      <c r="L1096" s="98" t="s">
        <v>225</v>
      </c>
      <c r="M1096" s="98" t="s">
        <v>225</v>
      </c>
      <c r="N1096" s="99">
        <v>0</v>
      </c>
      <c r="O1096" s="100">
        <v>0</v>
      </c>
      <c r="P1096" s="100">
        <v>0</v>
      </c>
      <c r="Q1096" s="100">
        <v>0</v>
      </c>
    </row>
    <row r="1097" spans="1:17" x14ac:dyDescent="0.35">
      <c r="A1097" s="98" t="s">
        <v>17</v>
      </c>
      <c r="B1097" s="98" t="s">
        <v>155</v>
      </c>
      <c r="C1097" s="98" t="s">
        <v>252</v>
      </c>
      <c r="D1097" s="99">
        <v>97084366.00000003</v>
      </c>
      <c r="E1097" s="99">
        <v>111129438.00000001</v>
      </c>
      <c r="F1097" s="99">
        <v>123379924.50000004</v>
      </c>
      <c r="G1097" s="99">
        <v>6925</v>
      </c>
      <c r="H1097" s="98">
        <v>2013</v>
      </c>
      <c r="I1097" s="99">
        <v>16161</v>
      </c>
      <c r="J1097" s="98" t="s">
        <v>229</v>
      </c>
      <c r="K1097" s="99">
        <v>34541</v>
      </c>
      <c r="L1097" s="98">
        <v>2022</v>
      </c>
      <c r="M1097" s="98" t="s">
        <v>225</v>
      </c>
      <c r="N1097" s="99">
        <v>34541</v>
      </c>
      <c r="O1097" s="100">
        <v>0.71329713375271953</v>
      </c>
      <c r="P1097" s="100">
        <v>1.4542501330745503</v>
      </c>
      <c r="Q1097" s="100">
        <v>2.7995640409068323</v>
      </c>
    </row>
    <row r="1098" spans="1:17" x14ac:dyDescent="0.35">
      <c r="A1098" s="98" t="s">
        <v>17</v>
      </c>
      <c r="B1098" s="98" t="s">
        <v>155</v>
      </c>
      <c r="C1098" s="98" t="s">
        <v>253</v>
      </c>
      <c r="D1098" s="99">
        <v>97084366.00000003</v>
      </c>
      <c r="E1098" s="99">
        <v>111129438.00000001</v>
      </c>
      <c r="F1098" s="99">
        <v>123379924.50000004</v>
      </c>
      <c r="G1098" s="99">
        <v>6925</v>
      </c>
      <c r="H1098" s="98">
        <v>2013</v>
      </c>
      <c r="I1098" s="99">
        <v>16159</v>
      </c>
      <c r="J1098" s="98">
        <v>2018</v>
      </c>
      <c r="K1098" s="99">
        <v>21993</v>
      </c>
      <c r="L1098" s="98">
        <v>2022</v>
      </c>
      <c r="M1098" s="98" t="s">
        <v>225</v>
      </c>
      <c r="N1098" s="99">
        <v>21993</v>
      </c>
      <c r="O1098" s="100">
        <v>0.71329713375271953</v>
      </c>
      <c r="P1098" s="100">
        <v>1.4540701627592141</v>
      </c>
      <c r="Q1098" s="100">
        <v>1.7825428317554199</v>
      </c>
    </row>
    <row r="1099" spans="1:17" x14ac:dyDescent="0.35">
      <c r="A1099" s="98" t="s">
        <v>17</v>
      </c>
      <c r="B1099" s="98" t="s">
        <v>155</v>
      </c>
      <c r="C1099" s="98" t="s">
        <v>254</v>
      </c>
      <c r="D1099" s="99">
        <v>97084366.00000003</v>
      </c>
      <c r="E1099" s="99">
        <v>111129438.00000001</v>
      </c>
      <c r="F1099" s="99">
        <v>123379924.50000004</v>
      </c>
      <c r="G1099" s="99">
        <v>0</v>
      </c>
      <c r="H1099" s="98" t="s">
        <v>225</v>
      </c>
      <c r="I1099" s="99">
        <v>2</v>
      </c>
      <c r="J1099" s="98" t="s">
        <v>229</v>
      </c>
      <c r="K1099" s="99">
        <v>2</v>
      </c>
      <c r="L1099" s="98" t="s">
        <v>229</v>
      </c>
      <c r="M1099" s="98" t="s">
        <v>225</v>
      </c>
      <c r="N1099" s="99">
        <v>2</v>
      </c>
      <c r="O1099" s="100">
        <v>0</v>
      </c>
      <c r="P1099" s="100">
        <v>1.7997031533624778E-4</v>
      </c>
      <c r="Q1099" s="100">
        <v>1.6210092590873641E-4</v>
      </c>
    </row>
    <row r="1100" spans="1:17" x14ac:dyDescent="0.35">
      <c r="A1100" s="98" t="s">
        <v>17</v>
      </c>
      <c r="B1100" s="98" t="s">
        <v>155</v>
      </c>
      <c r="C1100" s="98" t="s">
        <v>255</v>
      </c>
      <c r="D1100" s="99">
        <v>97084366.00000003</v>
      </c>
      <c r="E1100" s="99">
        <v>111129438.00000001</v>
      </c>
      <c r="F1100" s="99">
        <v>123379924.50000004</v>
      </c>
      <c r="G1100" s="99">
        <v>0</v>
      </c>
      <c r="H1100" s="98" t="s">
        <v>225</v>
      </c>
      <c r="I1100" s="99">
        <v>10752</v>
      </c>
      <c r="J1100" s="98">
        <v>2018</v>
      </c>
      <c r="K1100" s="99">
        <v>22344</v>
      </c>
      <c r="L1100" s="98">
        <v>2022</v>
      </c>
      <c r="M1100" s="98" t="s">
        <v>225</v>
      </c>
      <c r="N1100" s="99">
        <v>22344</v>
      </c>
      <c r="O1100" s="100">
        <v>0</v>
      </c>
      <c r="P1100" s="100">
        <v>0.96752041524766808</v>
      </c>
      <c r="Q1100" s="100">
        <v>1.8109915442524032</v>
      </c>
    </row>
    <row r="1101" spans="1:17" x14ac:dyDescent="0.35">
      <c r="A1101" s="98" t="s">
        <v>17</v>
      </c>
      <c r="B1101" s="98" t="s">
        <v>155</v>
      </c>
      <c r="C1101" s="98" t="s">
        <v>256</v>
      </c>
      <c r="D1101" s="99">
        <v>97084366.00000003</v>
      </c>
      <c r="E1101" s="99">
        <v>111129438.00000001</v>
      </c>
      <c r="F1101" s="99">
        <v>123379924.50000004</v>
      </c>
      <c r="G1101" s="99">
        <v>0</v>
      </c>
      <c r="H1101" s="98" t="s">
        <v>225</v>
      </c>
      <c r="I1101" s="99">
        <v>6845</v>
      </c>
      <c r="J1101" s="98" t="s">
        <v>229</v>
      </c>
      <c r="K1101" s="99">
        <v>13620</v>
      </c>
      <c r="L1101" s="98">
        <v>2022</v>
      </c>
      <c r="M1101" s="98" t="s">
        <v>225</v>
      </c>
      <c r="N1101" s="99">
        <v>13620</v>
      </c>
      <c r="O1101" s="100">
        <v>0</v>
      </c>
      <c r="P1101" s="100">
        <v>0.61594840423830799</v>
      </c>
      <c r="Q1101" s="100">
        <v>1.1039073054384949</v>
      </c>
    </row>
    <row r="1102" spans="1:17" x14ac:dyDescent="0.35">
      <c r="A1102" s="98" t="s">
        <v>17</v>
      </c>
      <c r="B1102" s="98" t="s">
        <v>155</v>
      </c>
      <c r="C1102" s="98" t="s">
        <v>257</v>
      </c>
      <c r="D1102" s="99">
        <v>97084366.00000003</v>
      </c>
      <c r="E1102" s="99">
        <v>111129438.00000001</v>
      </c>
      <c r="F1102" s="99">
        <v>123379924.50000004</v>
      </c>
      <c r="G1102" s="99">
        <v>0</v>
      </c>
      <c r="H1102" s="98" t="s">
        <v>225</v>
      </c>
      <c r="I1102" s="99">
        <v>1889</v>
      </c>
      <c r="J1102" s="98">
        <v>2018</v>
      </c>
      <c r="K1102" s="99">
        <v>3522</v>
      </c>
      <c r="L1102" s="98">
        <v>2022</v>
      </c>
      <c r="M1102" s="98" t="s">
        <v>225</v>
      </c>
      <c r="N1102" s="99">
        <v>3522</v>
      </c>
      <c r="O1102" s="100">
        <v>0</v>
      </c>
      <c r="P1102" s="100">
        <v>0.16998196283508604</v>
      </c>
      <c r="Q1102" s="100">
        <v>0.28545973052528484</v>
      </c>
    </row>
    <row r="1103" spans="1:17" x14ac:dyDescent="0.35">
      <c r="A1103" s="98" t="s">
        <v>17</v>
      </c>
      <c r="B1103" s="98" t="s">
        <v>155</v>
      </c>
      <c r="C1103" s="98" t="s">
        <v>258</v>
      </c>
      <c r="D1103" s="99">
        <v>97084366.00000003</v>
      </c>
      <c r="E1103" s="99">
        <v>111129438.00000001</v>
      </c>
      <c r="F1103" s="99">
        <v>123379924.50000004</v>
      </c>
      <c r="G1103" s="99">
        <v>0</v>
      </c>
      <c r="H1103" s="98" t="s">
        <v>225</v>
      </c>
      <c r="I1103" s="99">
        <v>144</v>
      </c>
      <c r="J1103" s="98" t="s">
        <v>229</v>
      </c>
      <c r="K1103" s="99">
        <v>195</v>
      </c>
      <c r="L1103" s="98">
        <v>2022</v>
      </c>
      <c r="M1103" s="98" t="s">
        <v>225</v>
      </c>
      <c r="N1103" s="99">
        <v>195</v>
      </c>
      <c r="O1103" s="100">
        <v>0</v>
      </c>
      <c r="P1103" s="100">
        <v>1.295786270420984E-2</v>
      </c>
      <c r="Q1103" s="100">
        <v>1.5804840276101802E-2</v>
      </c>
    </row>
    <row r="1104" spans="1:17" x14ac:dyDescent="0.35">
      <c r="A1104" s="98" t="s">
        <v>17</v>
      </c>
      <c r="B1104" s="98" t="s">
        <v>155</v>
      </c>
      <c r="C1104" s="98" t="s">
        <v>259</v>
      </c>
      <c r="D1104" s="99">
        <v>97084366.00000003</v>
      </c>
      <c r="E1104" s="99">
        <v>111129438.00000001</v>
      </c>
      <c r="F1104" s="99">
        <v>123379924.50000004</v>
      </c>
      <c r="G1104" s="99">
        <v>0</v>
      </c>
      <c r="H1104" s="98" t="s">
        <v>225</v>
      </c>
      <c r="I1104" s="99">
        <v>0</v>
      </c>
      <c r="J1104" s="98" t="s">
        <v>225</v>
      </c>
      <c r="K1104" s="99">
        <v>0</v>
      </c>
      <c r="L1104" s="98" t="s">
        <v>225</v>
      </c>
      <c r="M1104" s="98" t="s">
        <v>225</v>
      </c>
      <c r="N1104" s="99">
        <v>0</v>
      </c>
      <c r="O1104" s="100">
        <v>0</v>
      </c>
      <c r="P1104" s="100">
        <v>0</v>
      </c>
      <c r="Q1104" s="100">
        <v>0</v>
      </c>
    </row>
    <row r="1105" spans="1:17" x14ac:dyDescent="0.35">
      <c r="A1105" s="98" t="s">
        <v>18</v>
      </c>
      <c r="B1105" s="98" t="s">
        <v>156</v>
      </c>
      <c r="C1105" s="98" t="s">
        <v>246</v>
      </c>
      <c r="D1105" s="99">
        <v>1902226.5000000007</v>
      </c>
      <c r="E1105" s="99">
        <v>2192011.5</v>
      </c>
      <c r="F1105" s="99">
        <v>2388992.5000000005</v>
      </c>
      <c r="G1105" s="99">
        <v>0</v>
      </c>
      <c r="H1105" s="98" t="s">
        <v>225</v>
      </c>
      <c r="I1105" s="99">
        <v>1368</v>
      </c>
      <c r="J1105" s="98">
        <v>2018</v>
      </c>
      <c r="K1105" s="99">
        <v>1139</v>
      </c>
      <c r="L1105" s="98">
        <v>2022</v>
      </c>
      <c r="M1105" s="98" t="s">
        <v>226</v>
      </c>
      <c r="N1105" s="99">
        <v>1265.3898201501661</v>
      </c>
      <c r="O1105" s="100">
        <v>0</v>
      </c>
      <c r="P1105" s="100">
        <v>6.2408431707589127</v>
      </c>
      <c r="Q1105" s="100">
        <v>5.2967509113158195</v>
      </c>
    </row>
    <row r="1106" spans="1:17" x14ac:dyDescent="0.35">
      <c r="A1106" s="98" t="s">
        <v>18</v>
      </c>
      <c r="B1106" s="98" t="s">
        <v>156</v>
      </c>
      <c r="C1106" s="98" t="s">
        <v>247</v>
      </c>
      <c r="D1106" s="99">
        <v>1902226.5000000007</v>
      </c>
      <c r="E1106" s="99">
        <v>2192011.5</v>
      </c>
      <c r="F1106" s="99">
        <v>2388992.5000000005</v>
      </c>
      <c r="G1106" s="99">
        <v>0</v>
      </c>
      <c r="H1106" s="98" t="s">
        <v>225</v>
      </c>
      <c r="I1106" s="99">
        <v>570</v>
      </c>
      <c r="J1106" s="98">
        <v>2017</v>
      </c>
      <c r="K1106" s="99">
        <v>612</v>
      </c>
      <c r="L1106" s="98">
        <v>2022</v>
      </c>
      <c r="M1106" s="98" t="s">
        <v>225</v>
      </c>
      <c r="N1106" s="99">
        <v>612</v>
      </c>
      <c r="O1106" s="100">
        <v>0</v>
      </c>
      <c r="P1106" s="100">
        <v>2.6003513211495468</v>
      </c>
      <c r="Q1106" s="100">
        <v>2.5617493566848784</v>
      </c>
    </row>
    <row r="1107" spans="1:17" x14ac:dyDescent="0.35">
      <c r="A1107" s="98" t="s">
        <v>18</v>
      </c>
      <c r="B1107" s="98" t="s">
        <v>156</v>
      </c>
      <c r="C1107" s="98" t="s">
        <v>248</v>
      </c>
      <c r="D1107" s="99">
        <v>1902226.5000000007</v>
      </c>
      <c r="E1107" s="99">
        <v>2192011.5</v>
      </c>
      <c r="F1107" s="99">
        <v>2388992.5000000005</v>
      </c>
      <c r="G1107" s="99">
        <v>0</v>
      </c>
      <c r="H1107" s="98" t="s">
        <v>225</v>
      </c>
      <c r="I1107" s="99">
        <v>798</v>
      </c>
      <c r="J1107" s="98">
        <v>2018</v>
      </c>
      <c r="K1107" s="99">
        <v>527</v>
      </c>
      <c r="L1107" s="98">
        <v>2022</v>
      </c>
      <c r="M1107" s="98" t="s">
        <v>226</v>
      </c>
      <c r="N1107" s="99">
        <v>585.47887200977834</v>
      </c>
      <c r="O1107" s="100">
        <v>0</v>
      </c>
      <c r="P1107" s="100">
        <v>3.6404918496093654</v>
      </c>
      <c r="Q1107" s="100">
        <v>2.450735496280454</v>
      </c>
    </row>
    <row r="1108" spans="1:17" x14ac:dyDescent="0.35">
      <c r="A1108" s="98" t="s">
        <v>18</v>
      </c>
      <c r="B1108" s="98" t="s">
        <v>156</v>
      </c>
      <c r="C1108" s="98" t="s">
        <v>249</v>
      </c>
      <c r="D1108" s="99">
        <v>1902226.5000000007</v>
      </c>
      <c r="E1108" s="99">
        <v>2192011.5</v>
      </c>
      <c r="F1108" s="99">
        <v>2388992.5000000005</v>
      </c>
      <c r="G1108" s="99">
        <v>0</v>
      </c>
      <c r="H1108" s="98" t="s">
        <v>225</v>
      </c>
      <c r="I1108" s="99">
        <v>6085</v>
      </c>
      <c r="J1108" s="98">
        <v>2018</v>
      </c>
      <c r="K1108" s="99">
        <v>4277</v>
      </c>
      <c r="L1108" s="98">
        <v>2022</v>
      </c>
      <c r="M1108" s="98" t="s">
        <v>226</v>
      </c>
      <c r="N1108" s="99">
        <v>4751.5998777719578</v>
      </c>
      <c r="O1108" s="100">
        <v>0</v>
      </c>
      <c r="P1108" s="100">
        <v>27.75989085823683</v>
      </c>
      <c r="Q1108" s="100">
        <v>19.889555441350097</v>
      </c>
    </row>
    <row r="1109" spans="1:17" x14ac:dyDescent="0.35">
      <c r="A1109" s="98" t="s">
        <v>18</v>
      </c>
      <c r="B1109" s="98" t="s">
        <v>156</v>
      </c>
      <c r="C1109" s="98" t="s">
        <v>250</v>
      </c>
      <c r="D1109" s="99">
        <v>1902226.5000000007</v>
      </c>
      <c r="E1109" s="99">
        <v>2192011.5</v>
      </c>
      <c r="F1109" s="99">
        <v>2388992.5000000005</v>
      </c>
      <c r="G1109" s="99">
        <v>0</v>
      </c>
      <c r="H1109" s="98" t="s">
        <v>225</v>
      </c>
      <c r="I1109" s="99">
        <v>1077</v>
      </c>
      <c r="J1109" s="98">
        <v>2017</v>
      </c>
      <c r="K1109" s="99">
        <v>992</v>
      </c>
      <c r="L1109" s="98">
        <v>2022</v>
      </c>
      <c r="M1109" s="98" t="s">
        <v>226</v>
      </c>
      <c r="N1109" s="99">
        <v>1102.0778767242884</v>
      </c>
      <c r="O1109" s="100">
        <v>0</v>
      </c>
      <c r="P1109" s="100">
        <v>4.9132953910141435</v>
      </c>
      <c r="Q1109" s="100">
        <v>4.6131491694690885</v>
      </c>
    </row>
    <row r="1110" spans="1:17" x14ac:dyDescent="0.35">
      <c r="A1110" s="98" t="s">
        <v>18</v>
      </c>
      <c r="B1110" s="98" t="s">
        <v>156</v>
      </c>
      <c r="C1110" s="98" t="s">
        <v>251</v>
      </c>
      <c r="D1110" s="99">
        <v>1902226.5000000007</v>
      </c>
      <c r="E1110" s="99">
        <v>2192011.5</v>
      </c>
      <c r="F1110" s="99">
        <v>2388992.5000000005</v>
      </c>
      <c r="G1110" s="99">
        <v>0</v>
      </c>
      <c r="H1110" s="98" t="s">
        <v>225</v>
      </c>
      <c r="I1110" s="99">
        <v>4275</v>
      </c>
      <c r="J1110" s="98" t="s">
        <v>229</v>
      </c>
      <c r="K1110" s="99">
        <v>3201</v>
      </c>
      <c r="L1110" s="98">
        <v>2022</v>
      </c>
      <c r="M1110" s="98" t="s">
        <v>226</v>
      </c>
      <c r="N1110" s="99">
        <v>3556.2008905185962</v>
      </c>
      <c r="O1110" s="100">
        <v>0</v>
      </c>
      <c r="P1110" s="100">
        <v>19.502634908621602</v>
      </c>
      <c r="Q1110" s="100">
        <v>14.885776705111445</v>
      </c>
    </row>
    <row r="1111" spans="1:17" x14ac:dyDescent="0.35">
      <c r="A1111" s="98" t="s">
        <v>18</v>
      </c>
      <c r="B1111" s="98" t="s">
        <v>156</v>
      </c>
      <c r="C1111" s="98" t="s">
        <v>252</v>
      </c>
      <c r="D1111" s="99">
        <v>1902226.5000000007</v>
      </c>
      <c r="E1111" s="99">
        <v>2192011.5</v>
      </c>
      <c r="F1111" s="99">
        <v>2388992.5000000005</v>
      </c>
      <c r="G1111" s="99">
        <v>437</v>
      </c>
      <c r="H1111" s="98">
        <v>2013</v>
      </c>
      <c r="I1111" s="99">
        <v>733</v>
      </c>
      <c r="J1111" s="98">
        <v>2017</v>
      </c>
      <c r="K1111" s="99">
        <v>920</v>
      </c>
      <c r="L1111" s="98">
        <v>2022</v>
      </c>
      <c r="M1111" s="98" t="s">
        <v>225</v>
      </c>
      <c r="N1111" s="99">
        <v>920</v>
      </c>
      <c r="O1111" s="100">
        <v>2.2973079178531046</v>
      </c>
      <c r="P1111" s="100">
        <v>3.3439605586010841</v>
      </c>
      <c r="Q1111" s="100">
        <v>3.8509957649511239</v>
      </c>
    </row>
    <row r="1112" spans="1:17" x14ac:dyDescent="0.35">
      <c r="A1112" s="98" t="s">
        <v>18</v>
      </c>
      <c r="B1112" s="98" t="s">
        <v>156</v>
      </c>
      <c r="C1112" s="98" t="s">
        <v>253</v>
      </c>
      <c r="D1112" s="99">
        <v>1902226.5000000007</v>
      </c>
      <c r="E1112" s="99">
        <v>2192011.5</v>
      </c>
      <c r="F1112" s="99">
        <v>2388992.5000000005</v>
      </c>
      <c r="G1112" s="99">
        <v>437</v>
      </c>
      <c r="H1112" s="98">
        <v>2013</v>
      </c>
      <c r="I1112" s="99">
        <v>107</v>
      </c>
      <c r="J1112" s="98" t="s">
        <v>229</v>
      </c>
      <c r="K1112" s="99">
        <v>867</v>
      </c>
      <c r="L1112" s="98">
        <v>2022</v>
      </c>
      <c r="M1112" s="98" t="s">
        <v>225</v>
      </c>
      <c r="N1112" s="99">
        <v>867</v>
      </c>
      <c r="O1112" s="100">
        <v>2.2973079178531046</v>
      </c>
      <c r="P1112" s="100">
        <v>0.48813612519824828</v>
      </c>
      <c r="Q1112" s="100">
        <v>3.6291449219702439</v>
      </c>
    </row>
    <row r="1113" spans="1:17" x14ac:dyDescent="0.35">
      <c r="A1113" s="98" t="s">
        <v>18</v>
      </c>
      <c r="B1113" s="98" t="s">
        <v>156</v>
      </c>
      <c r="C1113" s="98" t="s">
        <v>254</v>
      </c>
      <c r="D1113" s="99">
        <v>1902226.5000000007</v>
      </c>
      <c r="E1113" s="99">
        <v>2192011.5</v>
      </c>
      <c r="F1113" s="99">
        <v>2388992.5000000005</v>
      </c>
      <c r="G1113" s="99">
        <v>0</v>
      </c>
      <c r="H1113" s="98" t="s">
        <v>225</v>
      </c>
      <c r="I1113" s="99">
        <v>626</v>
      </c>
      <c r="J1113" s="98" t="s">
        <v>229</v>
      </c>
      <c r="K1113" s="99">
        <v>43</v>
      </c>
      <c r="L1113" s="98">
        <v>2022</v>
      </c>
      <c r="M1113" s="98" t="s">
        <v>226</v>
      </c>
      <c r="N1113" s="99">
        <v>47.77152086607299</v>
      </c>
      <c r="O1113" s="100">
        <v>0</v>
      </c>
      <c r="P1113" s="100">
        <v>2.8558244334028355</v>
      </c>
      <c r="Q1113" s="100">
        <v>0.19996513537013191</v>
      </c>
    </row>
    <row r="1114" spans="1:17" x14ac:dyDescent="0.35">
      <c r="A1114" s="98" t="s">
        <v>18</v>
      </c>
      <c r="B1114" s="98" t="s">
        <v>156</v>
      </c>
      <c r="C1114" s="98" t="s">
        <v>255</v>
      </c>
      <c r="D1114" s="99">
        <v>1902226.5000000007</v>
      </c>
      <c r="E1114" s="99">
        <v>2192011.5</v>
      </c>
      <c r="F1114" s="99">
        <v>2388992.5000000005</v>
      </c>
      <c r="G1114" s="99">
        <v>0</v>
      </c>
      <c r="H1114" s="98" t="s">
        <v>225</v>
      </c>
      <c r="I1114" s="99">
        <v>227</v>
      </c>
      <c r="J1114" s="98">
        <v>2018</v>
      </c>
      <c r="K1114" s="99">
        <v>168</v>
      </c>
      <c r="L1114" s="98">
        <v>2022</v>
      </c>
      <c r="M1114" s="98" t="s">
        <v>226</v>
      </c>
      <c r="N1114" s="99">
        <v>186.64222105814565</v>
      </c>
      <c r="O1114" s="100">
        <v>0</v>
      </c>
      <c r="P1114" s="100">
        <v>1.0355785085981528</v>
      </c>
      <c r="Q1114" s="100">
        <v>0.78125913353912002</v>
      </c>
    </row>
    <row r="1115" spans="1:17" x14ac:dyDescent="0.35">
      <c r="A1115" s="98" t="s">
        <v>18</v>
      </c>
      <c r="B1115" s="98" t="s">
        <v>156</v>
      </c>
      <c r="C1115" s="98" t="s">
        <v>256</v>
      </c>
      <c r="D1115" s="99">
        <v>1902226.5000000007</v>
      </c>
      <c r="E1115" s="99">
        <v>2192011.5</v>
      </c>
      <c r="F1115" s="99">
        <v>2388992.5000000005</v>
      </c>
      <c r="G1115" s="99">
        <v>0</v>
      </c>
      <c r="H1115" s="98" t="s">
        <v>225</v>
      </c>
      <c r="I1115" s="99">
        <v>106</v>
      </c>
      <c r="J1115" s="98">
        <v>2017</v>
      </c>
      <c r="K1115" s="99">
        <v>233</v>
      </c>
      <c r="L1115" s="98">
        <v>2022</v>
      </c>
      <c r="M1115" s="98" t="s">
        <v>225</v>
      </c>
      <c r="N1115" s="99">
        <v>233</v>
      </c>
      <c r="O1115" s="100">
        <v>0</v>
      </c>
      <c r="P1115" s="100">
        <v>0.4835741053365824</v>
      </c>
      <c r="Q1115" s="100">
        <v>0.97530653612349116</v>
      </c>
    </row>
    <row r="1116" spans="1:17" x14ac:dyDescent="0.35">
      <c r="A1116" s="98" t="s">
        <v>18</v>
      </c>
      <c r="B1116" s="98" t="s">
        <v>156</v>
      </c>
      <c r="C1116" s="98" t="s">
        <v>257</v>
      </c>
      <c r="D1116" s="99">
        <v>1902226.5000000007</v>
      </c>
      <c r="E1116" s="99">
        <v>2192011.5</v>
      </c>
      <c r="F1116" s="99">
        <v>2388992.5000000005</v>
      </c>
      <c r="G1116" s="99">
        <v>0</v>
      </c>
      <c r="H1116" s="98" t="s">
        <v>225</v>
      </c>
      <c r="I1116" s="99">
        <v>40</v>
      </c>
      <c r="J1116" s="98">
        <v>2018</v>
      </c>
      <c r="K1116" s="99">
        <v>44</v>
      </c>
      <c r="L1116" s="98">
        <v>2022</v>
      </c>
      <c r="M1116" s="98" t="s">
        <v>225</v>
      </c>
      <c r="N1116" s="99">
        <v>44</v>
      </c>
      <c r="O1116" s="100">
        <v>0</v>
      </c>
      <c r="P1116" s="100">
        <v>0.18248079446663487</v>
      </c>
      <c r="Q1116" s="100">
        <v>0.18417805832374942</v>
      </c>
    </row>
    <row r="1117" spans="1:17" x14ac:dyDescent="0.35">
      <c r="A1117" s="98" t="s">
        <v>18</v>
      </c>
      <c r="B1117" s="98" t="s">
        <v>156</v>
      </c>
      <c r="C1117" s="98" t="s">
        <v>258</v>
      </c>
      <c r="D1117" s="99">
        <v>1902226.5000000007</v>
      </c>
      <c r="E1117" s="99">
        <v>2192011.5</v>
      </c>
      <c r="F1117" s="99">
        <v>2388992.5000000005</v>
      </c>
      <c r="G1117" s="99">
        <v>0</v>
      </c>
      <c r="H1117" s="98" t="s">
        <v>225</v>
      </c>
      <c r="I1117" s="99">
        <v>3</v>
      </c>
      <c r="J1117" s="98">
        <v>2017</v>
      </c>
      <c r="K1117" s="99">
        <v>67</v>
      </c>
      <c r="L1117" s="98">
        <v>2022</v>
      </c>
      <c r="M1117" s="98" t="s">
        <v>225</v>
      </c>
      <c r="N1117" s="99">
        <v>67</v>
      </c>
      <c r="O1117" s="100">
        <v>0</v>
      </c>
      <c r="P1117" s="100">
        <v>1.3686059584997615E-2</v>
      </c>
      <c r="Q1117" s="100">
        <v>0.28045295244752749</v>
      </c>
    </row>
    <row r="1118" spans="1:17" x14ac:dyDescent="0.35">
      <c r="A1118" s="98" t="s">
        <v>18</v>
      </c>
      <c r="B1118" s="98" t="s">
        <v>156</v>
      </c>
      <c r="C1118" s="98" t="s">
        <v>259</v>
      </c>
      <c r="D1118" s="99">
        <v>1902226.5000000007</v>
      </c>
      <c r="E1118" s="99">
        <v>2192011.5</v>
      </c>
      <c r="F1118" s="99">
        <v>2388992.5000000005</v>
      </c>
      <c r="G1118" s="99">
        <v>0</v>
      </c>
      <c r="H1118" s="98" t="s">
        <v>225</v>
      </c>
      <c r="I1118" s="99">
        <v>41</v>
      </c>
      <c r="J1118" s="98">
        <v>2017</v>
      </c>
      <c r="K1118" s="99">
        <v>175</v>
      </c>
      <c r="L1118" s="98">
        <v>2022</v>
      </c>
      <c r="M1118" s="98" t="s">
        <v>225</v>
      </c>
      <c r="N1118" s="99">
        <v>175</v>
      </c>
      <c r="O1118" s="100">
        <v>0</v>
      </c>
      <c r="P1118" s="100">
        <v>0.18704281432830075</v>
      </c>
      <c r="Q1118" s="100">
        <v>0.73252636833309426</v>
      </c>
    </row>
    <row r="1119" spans="1:17" x14ac:dyDescent="0.35">
      <c r="A1119" s="98" t="s">
        <v>20</v>
      </c>
      <c r="B1119" s="98" t="s">
        <v>159</v>
      </c>
      <c r="C1119" s="98" t="s">
        <v>246</v>
      </c>
      <c r="D1119" s="99">
        <v>27525596.999999989</v>
      </c>
      <c r="E1119" s="99">
        <v>30870640.5</v>
      </c>
      <c r="F1119" s="99">
        <v>33475870.500000011</v>
      </c>
      <c r="G1119" s="99">
        <v>2730</v>
      </c>
      <c r="H1119" s="98">
        <v>2013</v>
      </c>
      <c r="I1119" s="99">
        <v>4406</v>
      </c>
      <c r="J1119" s="98">
        <v>2018</v>
      </c>
      <c r="K1119" s="99">
        <v>4726</v>
      </c>
      <c r="L1119" s="98">
        <v>2022</v>
      </c>
      <c r="M1119" s="98" t="s">
        <v>225</v>
      </c>
      <c r="N1119" s="99">
        <v>4726</v>
      </c>
      <c r="O1119" s="100">
        <v>0.99180410146962517</v>
      </c>
      <c r="P1119" s="100">
        <v>1.4272460592451912</v>
      </c>
      <c r="Q1119" s="100">
        <v>1.411763138467153</v>
      </c>
    </row>
    <row r="1120" spans="1:17" x14ac:dyDescent="0.35">
      <c r="A1120" s="98" t="s">
        <v>20</v>
      </c>
      <c r="B1120" s="98" t="s">
        <v>159</v>
      </c>
      <c r="C1120" s="98" t="s">
        <v>247</v>
      </c>
      <c r="D1120" s="99">
        <v>27525596.999999989</v>
      </c>
      <c r="E1120" s="99">
        <v>30870640.5</v>
      </c>
      <c r="F1120" s="99">
        <v>33475870.500000011</v>
      </c>
      <c r="G1120" s="99">
        <v>0</v>
      </c>
      <c r="H1120" s="98" t="s">
        <v>225</v>
      </c>
      <c r="I1120" s="99">
        <v>3316</v>
      </c>
      <c r="J1120" s="98">
        <v>2018</v>
      </c>
      <c r="K1120" s="99">
        <v>3344</v>
      </c>
      <c r="L1120" s="98">
        <v>2022</v>
      </c>
      <c r="M1120" s="98" t="s">
        <v>225</v>
      </c>
      <c r="N1120" s="99">
        <v>3344</v>
      </c>
      <c r="O1120" s="100">
        <v>0</v>
      </c>
      <c r="P1120" s="100">
        <v>1.074159766785532</v>
      </c>
      <c r="Q1120" s="100">
        <v>0.99892846699834104</v>
      </c>
    </row>
    <row r="1121" spans="1:17" x14ac:dyDescent="0.35">
      <c r="A1121" s="98" t="s">
        <v>20</v>
      </c>
      <c r="B1121" s="98" t="s">
        <v>159</v>
      </c>
      <c r="C1121" s="98" t="s">
        <v>248</v>
      </c>
      <c r="D1121" s="99">
        <v>27525596.999999989</v>
      </c>
      <c r="E1121" s="99">
        <v>30870640.5</v>
      </c>
      <c r="F1121" s="99">
        <v>33475870.500000011</v>
      </c>
      <c r="G1121" s="99">
        <v>0</v>
      </c>
      <c r="H1121" s="98" t="s">
        <v>225</v>
      </c>
      <c r="I1121" s="99">
        <v>1090</v>
      </c>
      <c r="J1121" s="98">
        <v>2018</v>
      </c>
      <c r="K1121" s="99">
        <v>1382</v>
      </c>
      <c r="L1121" s="98">
        <v>2022</v>
      </c>
      <c r="M1121" s="98" t="s">
        <v>225</v>
      </c>
      <c r="N1121" s="99">
        <v>1382</v>
      </c>
      <c r="O1121" s="100">
        <v>0</v>
      </c>
      <c r="P1121" s="100">
        <v>0.35308629245965922</v>
      </c>
      <c r="Q1121" s="100">
        <v>0.41283467146881198</v>
      </c>
    </row>
    <row r="1122" spans="1:17" x14ac:dyDescent="0.35">
      <c r="A1122" s="98" t="s">
        <v>20</v>
      </c>
      <c r="B1122" s="98" t="s">
        <v>159</v>
      </c>
      <c r="C1122" s="98" t="s">
        <v>249</v>
      </c>
      <c r="D1122" s="99">
        <v>27525596.999999989</v>
      </c>
      <c r="E1122" s="99">
        <v>30870640.5</v>
      </c>
      <c r="F1122" s="99">
        <v>33475870.500000011</v>
      </c>
      <c r="G1122" s="99">
        <v>37404</v>
      </c>
      <c r="H1122" s="98">
        <v>2014</v>
      </c>
      <c r="I1122" s="99">
        <v>125024</v>
      </c>
      <c r="J1122" s="98">
        <v>2018</v>
      </c>
      <c r="K1122" s="99">
        <v>102943</v>
      </c>
      <c r="L1122" s="98">
        <v>2022</v>
      </c>
      <c r="M1122" s="98" t="s">
        <v>226</v>
      </c>
      <c r="N1122" s="99">
        <v>124204.27697797566</v>
      </c>
      <c r="O1122" s="100">
        <v>13.588806084750864</v>
      </c>
      <c r="P1122" s="100">
        <v>40.499321677501314</v>
      </c>
      <c r="Q1122" s="100">
        <v>37.102627989308182</v>
      </c>
    </row>
    <row r="1123" spans="1:17" x14ac:dyDescent="0.35">
      <c r="A1123" s="98" t="s">
        <v>20</v>
      </c>
      <c r="B1123" s="98" t="s">
        <v>159</v>
      </c>
      <c r="C1123" s="98" t="s">
        <v>250</v>
      </c>
      <c r="D1123" s="99">
        <v>27525596.999999989</v>
      </c>
      <c r="E1123" s="99">
        <v>30870640.5</v>
      </c>
      <c r="F1123" s="99">
        <v>33475870.500000011</v>
      </c>
      <c r="G1123" s="99">
        <v>15412</v>
      </c>
      <c r="H1123" s="98">
        <v>2014</v>
      </c>
      <c r="I1123" s="99">
        <v>60530</v>
      </c>
      <c r="J1123" s="98">
        <v>2018</v>
      </c>
      <c r="K1123" s="99">
        <v>46459</v>
      </c>
      <c r="L1123" s="98">
        <v>2022</v>
      </c>
      <c r="M1123" s="98" t="s">
        <v>226</v>
      </c>
      <c r="N1123" s="99">
        <v>56054.384505209397</v>
      </c>
      <c r="O1123" s="100">
        <v>5.5991519457325509</v>
      </c>
      <c r="P1123" s="100">
        <v>19.607626864755204</v>
      </c>
      <c r="Q1123" s="100">
        <v>16.744713032991744</v>
      </c>
    </row>
    <row r="1124" spans="1:17" x14ac:dyDescent="0.35">
      <c r="A1124" s="98" t="s">
        <v>20</v>
      </c>
      <c r="B1124" s="98" t="s">
        <v>159</v>
      </c>
      <c r="C1124" s="98" t="s">
        <v>251</v>
      </c>
      <c r="D1124" s="99">
        <v>27525596.999999989</v>
      </c>
      <c r="E1124" s="99">
        <v>30870640.5</v>
      </c>
      <c r="F1124" s="99">
        <v>33475870.500000011</v>
      </c>
      <c r="G1124" s="99">
        <v>21992</v>
      </c>
      <c r="H1124" s="98">
        <v>2014</v>
      </c>
      <c r="I1124" s="99">
        <v>64494</v>
      </c>
      <c r="J1124" s="98">
        <v>2018</v>
      </c>
      <c r="K1124" s="99">
        <v>56484</v>
      </c>
      <c r="L1124" s="98">
        <v>2022</v>
      </c>
      <c r="M1124" s="98" t="s">
        <v>226</v>
      </c>
      <c r="N1124" s="99">
        <v>68149.892472766252</v>
      </c>
      <c r="O1124" s="100">
        <v>7.989654139018314</v>
      </c>
      <c r="P1124" s="100">
        <v>20.89169481274611</v>
      </c>
      <c r="Q1124" s="100">
        <v>20.357914956316442</v>
      </c>
    </row>
    <row r="1125" spans="1:17" x14ac:dyDescent="0.35">
      <c r="A1125" s="98" t="s">
        <v>20</v>
      </c>
      <c r="B1125" s="98" t="s">
        <v>159</v>
      </c>
      <c r="C1125" s="98" t="s">
        <v>252</v>
      </c>
      <c r="D1125" s="99">
        <v>27525596.999999989</v>
      </c>
      <c r="E1125" s="99">
        <v>30870640.5</v>
      </c>
      <c r="F1125" s="99">
        <v>33475870.500000011</v>
      </c>
      <c r="G1125" s="99">
        <v>11287</v>
      </c>
      <c r="H1125" s="98">
        <v>2013</v>
      </c>
      <c r="I1125" s="99">
        <v>10625</v>
      </c>
      <c r="J1125" s="98" t="s">
        <v>229</v>
      </c>
      <c r="K1125" s="99">
        <v>23882</v>
      </c>
      <c r="L1125" s="98">
        <v>2022</v>
      </c>
      <c r="M1125" s="98" t="s">
        <v>225</v>
      </c>
      <c r="N1125" s="99">
        <v>23882</v>
      </c>
      <c r="O1125" s="100">
        <v>4.1005468473581175</v>
      </c>
      <c r="P1125" s="100">
        <v>3.441781520535669</v>
      </c>
      <c r="Q1125" s="100">
        <v>7.1340937945138698</v>
      </c>
    </row>
    <row r="1126" spans="1:17" x14ac:dyDescent="0.35">
      <c r="A1126" s="98" t="s">
        <v>20</v>
      </c>
      <c r="B1126" s="98" t="s">
        <v>159</v>
      </c>
      <c r="C1126" s="98" t="s">
        <v>253</v>
      </c>
      <c r="D1126" s="99">
        <v>27525596.999999989</v>
      </c>
      <c r="E1126" s="99">
        <v>30870640.5</v>
      </c>
      <c r="F1126" s="99">
        <v>33475870.500000011</v>
      </c>
      <c r="G1126" s="99">
        <v>4185</v>
      </c>
      <c r="H1126" s="98">
        <v>2013</v>
      </c>
      <c r="I1126" s="99">
        <v>10625</v>
      </c>
      <c r="J1126" s="98" t="s">
        <v>229</v>
      </c>
      <c r="K1126" s="99">
        <v>23882</v>
      </c>
      <c r="L1126" s="98">
        <v>2022</v>
      </c>
      <c r="M1126" s="98" t="s">
        <v>225</v>
      </c>
      <c r="N1126" s="99">
        <v>23882</v>
      </c>
      <c r="O1126" s="100">
        <v>1.5204029907144254</v>
      </c>
      <c r="P1126" s="100">
        <v>3.441781520535669</v>
      </c>
      <c r="Q1126" s="100">
        <v>7.1340937945138698</v>
      </c>
    </row>
    <row r="1127" spans="1:17" x14ac:dyDescent="0.35">
      <c r="A1127" s="98" t="s">
        <v>20</v>
      </c>
      <c r="B1127" s="98" t="s">
        <v>159</v>
      </c>
      <c r="C1127" s="98" t="s">
        <v>254</v>
      </c>
      <c r="D1127" s="99">
        <v>27525596.999999989</v>
      </c>
      <c r="E1127" s="99">
        <v>30870640.5</v>
      </c>
      <c r="F1127" s="99">
        <v>33475870.500000011</v>
      </c>
      <c r="G1127" s="99">
        <v>0</v>
      </c>
      <c r="H1127" s="98" t="s">
        <v>225</v>
      </c>
      <c r="I1127" s="99">
        <v>0</v>
      </c>
      <c r="J1127" s="98" t="s">
        <v>225</v>
      </c>
      <c r="K1127" s="99">
        <v>0</v>
      </c>
      <c r="L1127" s="98" t="s">
        <v>225</v>
      </c>
      <c r="M1127" s="98" t="s">
        <v>225</v>
      </c>
      <c r="N1127" s="99">
        <v>0</v>
      </c>
      <c r="O1127" s="100">
        <v>0</v>
      </c>
      <c r="P1127" s="100">
        <v>0</v>
      </c>
      <c r="Q1127" s="100">
        <v>0</v>
      </c>
    </row>
    <row r="1128" spans="1:17" x14ac:dyDescent="0.35">
      <c r="A1128" s="98" t="s">
        <v>20</v>
      </c>
      <c r="B1128" s="98" t="s">
        <v>159</v>
      </c>
      <c r="C1128" s="98" t="s">
        <v>255</v>
      </c>
      <c r="D1128" s="99">
        <v>27525596.999999989</v>
      </c>
      <c r="E1128" s="99">
        <v>30870640.5</v>
      </c>
      <c r="F1128" s="99">
        <v>33475870.500000011</v>
      </c>
      <c r="G1128" s="99">
        <v>0</v>
      </c>
      <c r="H1128" s="98" t="s">
        <v>225</v>
      </c>
      <c r="I1128" s="99">
        <v>918</v>
      </c>
      <c r="J1128" s="98">
        <v>2018</v>
      </c>
      <c r="K1128" s="99">
        <v>5736</v>
      </c>
      <c r="L1128" s="98">
        <v>2022</v>
      </c>
      <c r="M1128" s="98" t="s">
        <v>225</v>
      </c>
      <c r="N1128" s="99">
        <v>5736</v>
      </c>
      <c r="O1128" s="100">
        <v>0</v>
      </c>
      <c r="P1128" s="100">
        <v>0.29736992337428181</v>
      </c>
      <c r="Q1128" s="100">
        <v>1.7134729924349534</v>
      </c>
    </row>
    <row r="1129" spans="1:17" x14ac:dyDescent="0.35">
      <c r="A1129" s="98" t="s">
        <v>20</v>
      </c>
      <c r="B1129" s="98" t="s">
        <v>159</v>
      </c>
      <c r="C1129" s="98" t="s">
        <v>256</v>
      </c>
      <c r="D1129" s="99">
        <v>27525596.999999989</v>
      </c>
      <c r="E1129" s="99">
        <v>30870640.5</v>
      </c>
      <c r="F1129" s="99">
        <v>33475870.500000011</v>
      </c>
      <c r="G1129" s="99">
        <v>0</v>
      </c>
      <c r="H1129" s="98" t="s">
        <v>225</v>
      </c>
      <c r="I1129" s="99">
        <v>1352</v>
      </c>
      <c r="J1129" s="98" t="s">
        <v>229</v>
      </c>
      <c r="K1129" s="99">
        <v>1507</v>
      </c>
      <c r="L1129" s="98">
        <v>2022</v>
      </c>
      <c r="M1129" s="98" t="s">
        <v>225</v>
      </c>
      <c r="N1129" s="99">
        <v>1507</v>
      </c>
      <c r="O1129" s="100">
        <v>0</v>
      </c>
      <c r="P1129" s="100">
        <v>0.43795657560133877</v>
      </c>
      <c r="Q1129" s="100">
        <v>0.45017499993017346</v>
      </c>
    </row>
    <row r="1130" spans="1:17" x14ac:dyDescent="0.35">
      <c r="A1130" s="98" t="s">
        <v>20</v>
      </c>
      <c r="B1130" s="98" t="s">
        <v>159</v>
      </c>
      <c r="C1130" s="98" t="s">
        <v>257</v>
      </c>
      <c r="D1130" s="99">
        <v>27525596.999999989</v>
      </c>
      <c r="E1130" s="99">
        <v>30870640.5</v>
      </c>
      <c r="F1130" s="99">
        <v>33475870.500000011</v>
      </c>
      <c r="G1130" s="99">
        <v>0</v>
      </c>
      <c r="H1130" s="98" t="s">
        <v>225</v>
      </c>
      <c r="I1130" s="99">
        <v>713</v>
      </c>
      <c r="J1130" s="98">
        <v>2018</v>
      </c>
      <c r="K1130" s="99">
        <v>202</v>
      </c>
      <c r="L1130" s="98">
        <v>2022</v>
      </c>
      <c r="M1130" s="98" t="s">
        <v>226</v>
      </c>
      <c r="N1130" s="99">
        <v>243.71996104204348</v>
      </c>
      <c r="O1130" s="100">
        <v>0</v>
      </c>
      <c r="P1130" s="100">
        <v>0.2309637858015936</v>
      </c>
      <c r="Q1130" s="100">
        <v>7.280466718320093E-2</v>
      </c>
    </row>
    <row r="1131" spans="1:17" x14ac:dyDescent="0.35">
      <c r="A1131" s="98" t="s">
        <v>20</v>
      </c>
      <c r="B1131" s="98" t="s">
        <v>159</v>
      </c>
      <c r="C1131" s="98" t="s">
        <v>258</v>
      </c>
      <c r="D1131" s="99">
        <v>27525596.999999989</v>
      </c>
      <c r="E1131" s="99">
        <v>30870640.5</v>
      </c>
      <c r="F1131" s="99">
        <v>33475870.500000011</v>
      </c>
      <c r="G1131" s="99">
        <v>0</v>
      </c>
      <c r="H1131" s="98" t="s">
        <v>225</v>
      </c>
      <c r="I1131" s="99">
        <v>227</v>
      </c>
      <c r="J1131" s="98" t="s">
        <v>229</v>
      </c>
      <c r="K1131" s="99">
        <v>488</v>
      </c>
      <c r="L1131" s="98">
        <v>2022</v>
      </c>
      <c r="M1131" s="98" t="s">
        <v>225</v>
      </c>
      <c r="N1131" s="99">
        <v>488</v>
      </c>
      <c r="O1131" s="100">
        <v>0</v>
      </c>
      <c r="P1131" s="100">
        <v>7.3532649897562058E-2</v>
      </c>
      <c r="Q1131" s="100">
        <v>0.14577664231315504</v>
      </c>
    </row>
    <row r="1132" spans="1:17" x14ac:dyDescent="0.35">
      <c r="A1132" s="98" t="s">
        <v>20</v>
      </c>
      <c r="B1132" s="98" t="s">
        <v>159</v>
      </c>
      <c r="C1132" s="98" t="s">
        <v>259</v>
      </c>
      <c r="D1132" s="99">
        <v>27525596.999999989</v>
      </c>
      <c r="E1132" s="99">
        <v>30870640.5</v>
      </c>
      <c r="F1132" s="99">
        <v>33475870.500000011</v>
      </c>
      <c r="G1132" s="99">
        <v>0</v>
      </c>
      <c r="H1132" s="98" t="s">
        <v>225</v>
      </c>
      <c r="I1132" s="99">
        <v>0</v>
      </c>
      <c r="J1132" s="98" t="s">
        <v>225</v>
      </c>
      <c r="K1132" s="99">
        <v>65</v>
      </c>
      <c r="L1132" s="98">
        <v>2022</v>
      </c>
      <c r="M1132" s="98" t="s">
        <v>225</v>
      </c>
      <c r="N1132" s="99">
        <v>65</v>
      </c>
      <c r="O1132" s="100">
        <v>0</v>
      </c>
      <c r="P1132" s="100">
        <v>0</v>
      </c>
      <c r="Q1132" s="100">
        <v>1.9416970799907944E-2</v>
      </c>
    </row>
    <row r="1133" spans="1:17" x14ac:dyDescent="0.35">
      <c r="A1133" s="98" t="s">
        <v>21</v>
      </c>
      <c r="B1133" s="98" t="s">
        <v>160</v>
      </c>
      <c r="C1133" s="98" t="s">
        <v>246</v>
      </c>
      <c r="D1133" s="99">
        <v>11055430.000000004</v>
      </c>
      <c r="E1133" s="99">
        <v>12554864.499999998</v>
      </c>
      <c r="F1133" s="99">
        <v>13859340.500000006</v>
      </c>
      <c r="G1133" s="99">
        <v>1844</v>
      </c>
      <c r="H1133" s="98">
        <v>2014</v>
      </c>
      <c r="I1133" s="99">
        <v>2787</v>
      </c>
      <c r="J1133" s="98">
        <v>2018</v>
      </c>
      <c r="K1133" s="99">
        <v>297</v>
      </c>
      <c r="L1133" s="98">
        <v>2022</v>
      </c>
      <c r="M1133" s="98" t="s">
        <v>226</v>
      </c>
      <c r="N1133" s="99">
        <v>341.34169736316329</v>
      </c>
      <c r="O1133" s="100">
        <v>1.667958641138336</v>
      </c>
      <c r="P1133" s="100">
        <v>2.2198566937938682</v>
      </c>
      <c r="Q1133" s="100">
        <v>0.24629000013612709</v>
      </c>
    </row>
    <row r="1134" spans="1:17" x14ac:dyDescent="0.35">
      <c r="A1134" s="98" t="s">
        <v>21</v>
      </c>
      <c r="B1134" s="98" t="s">
        <v>160</v>
      </c>
      <c r="C1134" s="98" t="s">
        <v>247</v>
      </c>
      <c r="D1134" s="99">
        <v>11055430.000000004</v>
      </c>
      <c r="E1134" s="99">
        <v>12554864.499999998</v>
      </c>
      <c r="F1134" s="99">
        <v>13859340.500000006</v>
      </c>
      <c r="G1134" s="99">
        <v>0</v>
      </c>
      <c r="H1134" s="98" t="s">
        <v>225</v>
      </c>
      <c r="I1134" s="99">
        <v>2649</v>
      </c>
      <c r="J1134" s="98">
        <v>2018</v>
      </c>
      <c r="K1134" s="99">
        <v>2649</v>
      </c>
      <c r="L1134" s="98">
        <v>2018</v>
      </c>
      <c r="M1134" s="98" t="s">
        <v>225</v>
      </c>
      <c r="N1134" s="99">
        <v>2649</v>
      </c>
      <c r="O1134" s="100">
        <v>0</v>
      </c>
      <c r="P1134" s="100">
        <v>2.1099391395263569</v>
      </c>
      <c r="Q1134" s="100">
        <v>1.9113463587967976</v>
      </c>
    </row>
    <row r="1135" spans="1:17" x14ac:dyDescent="0.35">
      <c r="A1135" s="98" t="s">
        <v>21</v>
      </c>
      <c r="B1135" s="98" t="s">
        <v>160</v>
      </c>
      <c r="C1135" s="98" t="s">
        <v>248</v>
      </c>
      <c r="D1135" s="99">
        <v>11055430.000000004</v>
      </c>
      <c r="E1135" s="99">
        <v>12554864.499999998</v>
      </c>
      <c r="F1135" s="99">
        <v>13859340.500000006</v>
      </c>
      <c r="G1135" s="99">
        <v>0</v>
      </c>
      <c r="H1135" s="98" t="s">
        <v>225</v>
      </c>
      <c r="I1135" s="99">
        <v>138</v>
      </c>
      <c r="J1135" s="98">
        <v>2018</v>
      </c>
      <c r="K1135" s="99">
        <v>296</v>
      </c>
      <c r="L1135" s="98">
        <v>2022</v>
      </c>
      <c r="M1135" s="98" t="s">
        <v>225</v>
      </c>
      <c r="N1135" s="99">
        <v>296</v>
      </c>
      <c r="O1135" s="100">
        <v>0</v>
      </c>
      <c r="P1135" s="100">
        <v>0.10991755426751122</v>
      </c>
      <c r="Q1135" s="100">
        <v>0.21357437606789434</v>
      </c>
    </row>
    <row r="1136" spans="1:17" x14ac:dyDescent="0.35">
      <c r="A1136" s="98" t="s">
        <v>21</v>
      </c>
      <c r="B1136" s="98" t="s">
        <v>160</v>
      </c>
      <c r="C1136" s="98" t="s">
        <v>249</v>
      </c>
      <c r="D1136" s="99">
        <v>11055430.000000004</v>
      </c>
      <c r="E1136" s="99">
        <v>12554864.499999998</v>
      </c>
      <c r="F1136" s="99">
        <v>13859340.500000006</v>
      </c>
      <c r="G1136" s="99">
        <v>5789</v>
      </c>
      <c r="H1136" s="98">
        <v>2014</v>
      </c>
      <c r="I1136" s="99">
        <v>7195</v>
      </c>
      <c r="J1136" s="98">
        <v>2018</v>
      </c>
      <c r="K1136" s="99">
        <v>4367</v>
      </c>
      <c r="L1136" s="98">
        <v>2022</v>
      </c>
      <c r="M1136" s="98" t="s">
        <v>226</v>
      </c>
      <c r="N1136" s="99">
        <v>5018.9871797472533</v>
      </c>
      <c r="O1136" s="100">
        <v>5.2363408750270208</v>
      </c>
      <c r="P1136" s="100">
        <v>5.7308463982227771</v>
      </c>
      <c r="Q1136" s="100">
        <v>3.6213751871867581</v>
      </c>
    </row>
    <row r="1137" spans="1:17" x14ac:dyDescent="0.35">
      <c r="A1137" s="98" t="s">
        <v>21</v>
      </c>
      <c r="B1137" s="98" t="s">
        <v>160</v>
      </c>
      <c r="C1137" s="98" t="s">
        <v>250</v>
      </c>
      <c r="D1137" s="99">
        <v>11055430.000000004</v>
      </c>
      <c r="E1137" s="99">
        <v>12554864.499999998</v>
      </c>
      <c r="F1137" s="99">
        <v>13859340.500000006</v>
      </c>
      <c r="G1137" s="99">
        <v>1505</v>
      </c>
      <c r="H1137" s="98">
        <v>2014</v>
      </c>
      <c r="I1137" s="99">
        <v>2344</v>
      </c>
      <c r="J1137" s="98" t="s">
        <v>229</v>
      </c>
      <c r="K1137" s="99">
        <v>1687</v>
      </c>
      <c r="L1137" s="98">
        <v>2022</v>
      </c>
      <c r="M1137" s="98" t="s">
        <v>226</v>
      </c>
      <c r="N1137" s="99">
        <v>1938.8668129685404</v>
      </c>
      <c r="O1137" s="100">
        <v>1.3613219929030345</v>
      </c>
      <c r="P1137" s="100">
        <v>1.8670054145148283</v>
      </c>
      <c r="Q1137" s="100">
        <v>1.3989603711435907</v>
      </c>
    </row>
    <row r="1138" spans="1:17" x14ac:dyDescent="0.35">
      <c r="A1138" s="98" t="s">
        <v>21</v>
      </c>
      <c r="B1138" s="98" t="s">
        <v>160</v>
      </c>
      <c r="C1138" s="98" t="s">
        <v>251</v>
      </c>
      <c r="D1138" s="99">
        <v>11055430.000000004</v>
      </c>
      <c r="E1138" s="99">
        <v>12554864.499999998</v>
      </c>
      <c r="F1138" s="99">
        <v>13859340.500000006</v>
      </c>
      <c r="G1138" s="99">
        <v>4284</v>
      </c>
      <c r="H1138" s="98">
        <v>2014</v>
      </c>
      <c r="I1138" s="99">
        <v>3985</v>
      </c>
      <c r="J1138" s="98" t="s">
        <v>229</v>
      </c>
      <c r="K1138" s="99">
        <v>2680</v>
      </c>
      <c r="L1138" s="98">
        <v>2022</v>
      </c>
      <c r="M1138" s="98" t="s">
        <v>226</v>
      </c>
      <c r="N1138" s="99">
        <v>3080.1203667787127</v>
      </c>
      <c r="O1138" s="100">
        <v>3.8750188821239866</v>
      </c>
      <c r="P1138" s="100">
        <v>3.1740685054784943</v>
      </c>
      <c r="Q1138" s="100">
        <v>2.2224148160431669</v>
      </c>
    </row>
    <row r="1139" spans="1:17" x14ac:dyDescent="0.35">
      <c r="A1139" s="98" t="s">
        <v>21</v>
      </c>
      <c r="B1139" s="98" t="s">
        <v>160</v>
      </c>
      <c r="C1139" s="98" t="s">
        <v>252</v>
      </c>
      <c r="D1139" s="99">
        <v>11055430.000000004</v>
      </c>
      <c r="E1139" s="99">
        <v>12554864.499999998</v>
      </c>
      <c r="F1139" s="99">
        <v>13859340.500000006</v>
      </c>
      <c r="G1139" s="99">
        <v>500</v>
      </c>
      <c r="H1139" s="98">
        <v>2013</v>
      </c>
      <c r="I1139" s="99">
        <v>866</v>
      </c>
      <c r="J1139" s="98" t="s">
        <v>229</v>
      </c>
      <c r="K1139" s="99">
        <v>777</v>
      </c>
      <c r="L1139" s="98">
        <v>2022</v>
      </c>
      <c r="M1139" s="98" t="s">
        <v>226</v>
      </c>
      <c r="N1139" s="99">
        <v>893.00504663696256</v>
      </c>
      <c r="O1139" s="100">
        <v>0.45226644282492839</v>
      </c>
      <c r="P1139" s="100">
        <v>0.68977247822945453</v>
      </c>
      <c r="Q1139" s="100">
        <v>0.64433444480057489</v>
      </c>
    </row>
    <row r="1140" spans="1:17" x14ac:dyDescent="0.35">
      <c r="A1140" s="98" t="s">
        <v>21</v>
      </c>
      <c r="B1140" s="98" t="s">
        <v>160</v>
      </c>
      <c r="C1140" s="98" t="s">
        <v>253</v>
      </c>
      <c r="D1140" s="99">
        <v>11055430.000000004</v>
      </c>
      <c r="E1140" s="99">
        <v>12554864.499999998</v>
      </c>
      <c r="F1140" s="99">
        <v>13859340.500000006</v>
      </c>
      <c r="G1140" s="99">
        <v>500</v>
      </c>
      <c r="H1140" s="98">
        <v>2013</v>
      </c>
      <c r="I1140" s="99">
        <v>866</v>
      </c>
      <c r="J1140" s="98" t="s">
        <v>229</v>
      </c>
      <c r="K1140" s="99">
        <v>777</v>
      </c>
      <c r="L1140" s="98">
        <v>2022</v>
      </c>
      <c r="M1140" s="98" t="s">
        <v>226</v>
      </c>
      <c r="N1140" s="99">
        <v>893.00504663696256</v>
      </c>
      <c r="O1140" s="100">
        <v>0.45226644282492839</v>
      </c>
      <c r="P1140" s="100">
        <v>0.68977247822945453</v>
      </c>
      <c r="Q1140" s="100">
        <v>0.64433444480057489</v>
      </c>
    </row>
    <row r="1141" spans="1:17" x14ac:dyDescent="0.35">
      <c r="A1141" s="98" t="s">
        <v>21</v>
      </c>
      <c r="B1141" s="98" t="s">
        <v>160</v>
      </c>
      <c r="C1141" s="98" t="s">
        <v>254</v>
      </c>
      <c r="D1141" s="99">
        <v>11055430.000000004</v>
      </c>
      <c r="E1141" s="99">
        <v>12554864.499999998</v>
      </c>
      <c r="F1141" s="99">
        <v>13859340.500000006</v>
      </c>
      <c r="G1141" s="99">
        <v>0</v>
      </c>
      <c r="H1141" s="98" t="s">
        <v>225</v>
      </c>
      <c r="I1141" s="99">
        <v>0</v>
      </c>
      <c r="J1141" s="98" t="s">
        <v>225</v>
      </c>
      <c r="K1141" s="99">
        <v>0</v>
      </c>
      <c r="L1141" s="98" t="s">
        <v>225</v>
      </c>
      <c r="M1141" s="98" t="s">
        <v>225</v>
      </c>
      <c r="N1141" s="99">
        <v>0</v>
      </c>
      <c r="O1141" s="100">
        <v>0</v>
      </c>
      <c r="P1141" s="100">
        <v>0</v>
      </c>
      <c r="Q1141" s="100">
        <v>0</v>
      </c>
    </row>
    <row r="1142" spans="1:17" x14ac:dyDescent="0.35">
      <c r="A1142" s="98" t="s">
        <v>21</v>
      </c>
      <c r="B1142" s="98" t="s">
        <v>160</v>
      </c>
      <c r="C1142" s="98" t="s">
        <v>255</v>
      </c>
      <c r="D1142" s="99">
        <v>11055430.000000004</v>
      </c>
      <c r="E1142" s="99">
        <v>12554864.499999998</v>
      </c>
      <c r="F1142" s="99">
        <v>13859340.500000006</v>
      </c>
      <c r="G1142" s="99">
        <v>142</v>
      </c>
      <c r="H1142" s="98">
        <v>2015</v>
      </c>
      <c r="I1142" s="99">
        <v>255</v>
      </c>
      <c r="J1142" s="98">
        <v>2018</v>
      </c>
      <c r="K1142" s="99">
        <v>255</v>
      </c>
      <c r="L1142" s="98">
        <v>2018</v>
      </c>
      <c r="M1142" s="98" t="s">
        <v>225</v>
      </c>
      <c r="N1142" s="99">
        <v>255</v>
      </c>
      <c r="O1142" s="100">
        <v>0.12844366976227967</v>
      </c>
      <c r="P1142" s="100">
        <v>0.20310852418996639</v>
      </c>
      <c r="Q1142" s="100">
        <v>0.18399143884227384</v>
      </c>
    </row>
    <row r="1143" spans="1:17" x14ac:dyDescent="0.35">
      <c r="A1143" s="98" t="s">
        <v>21</v>
      </c>
      <c r="B1143" s="98" t="s">
        <v>160</v>
      </c>
      <c r="C1143" s="98" t="s">
        <v>256</v>
      </c>
      <c r="D1143" s="99">
        <v>11055430.000000004</v>
      </c>
      <c r="E1143" s="99">
        <v>12554864.499999998</v>
      </c>
      <c r="F1143" s="99">
        <v>13859340.500000006</v>
      </c>
      <c r="G1143" s="99">
        <v>0</v>
      </c>
      <c r="H1143" s="98" t="s">
        <v>225</v>
      </c>
      <c r="I1143" s="99">
        <v>0</v>
      </c>
      <c r="J1143" s="98" t="s">
        <v>225</v>
      </c>
      <c r="K1143" s="99">
        <v>0</v>
      </c>
      <c r="L1143" s="98" t="s">
        <v>225</v>
      </c>
      <c r="M1143" s="98" t="s">
        <v>225</v>
      </c>
      <c r="N1143" s="99">
        <v>0</v>
      </c>
      <c r="O1143" s="100">
        <v>0</v>
      </c>
      <c r="P1143" s="100">
        <v>0</v>
      </c>
      <c r="Q1143" s="100">
        <v>0</v>
      </c>
    </row>
    <row r="1144" spans="1:17" x14ac:dyDescent="0.35">
      <c r="A1144" s="98" t="s">
        <v>21</v>
      </c>
      <c r="B1144" s="98" t="s">
        <v>160</v>
      </c>
      <c r="C1144" s="98" t="s">
        <v>257</v>
      </c>
      <c r="D1144" s="99">
        <v>11055430.000000004</v>
      </c>
      <c r="E1144" s="99">
        <v>12554864.499999998</v>
      </c>
      <c r="F1144" s="99">
        <v>13859340.500000006</v>
      </c>
      <c r="G1144" s="99">
        <v>0</v>
      </c>
      <c r="H1144" s="98" t="s">
        <v>225</v>
      </c>
      <c r="I1144" s="99">
        <v>73</v>
      </c>
      <c r="J1144" s="98">
        <v>2018</v>
      </c>
      <c r="K1144" s="99">
        <v>34</v>
      </c>
      <c r="L1144" s="98">
        <v>2022</v>
      </c>
      <c r="M1144" s="98" t="s">
        <v>226</v>
      </c>
      <c r="N1144" s="99">
        <v>39.076153906894113</v>
      </c>
      <c r="O1144" s="100">
        <v>0</v>
      </c>
      <c r="P1144" s="100">
        <v>5.8144793199480578E-2</v>
      </c>
      <c r="Q1144" s="100">
        <v>2.8194814830398388E-2</v>
      </c>
    </row>
    <row r="1145" spans="1:17" x14ac:dyDescent="0.35">
      <c r="A1145" s="98" t="s">
        <v>21</v>
      </c>
      <c r="B1145" s="98" t="s">
        <v>160</v>
      </c>
      <c r="C1145" s="98" t="s">
        <v>258</v>
      </c>
      <c r="D1145" s="99">
        <v>11055430.000000004</v>
      </c>
      <c r="E1145" s="99">
        <v>12554864.499999998</v>
      </c>
      <c r="F1145" s="99">
        <v>13859340.500000006</v>
      </c>
      <c r="G1145" s="99">
        <v>0</v>
      </c>
      <c r="H1145" s="98" t="s">
        <v>225</v>
      </c>
      <c r="I1145" s="99">
        <v>0</v>
      </c>
      <c r="J1145" s="98" t="s">
        <v>225</v>
      </c>
      <c r="K1145" s="99">
        <v>50</v>
      </c>
      <c r="L1145" s="98">
        <v>2022</v>
      </c>
      <c r="M1145" s="98" t="s">
        <v>225</v>
      </c>
      <c r="N1145" s="99">
        <v>50</v>
      </c>
      <c r="O1145" s="100">
        <v>0</v>
      </c>
      <c r="P1145" s="100">
        <v>0</v>
      </c>
      <c r="Q1145" s="100">
        <v>3.6076752714171344E-2</v>
      </c>
    </row>
    <row r="1146" spans="1:17" x14ac:dyDescent="0.35">
      <c r="A1146" s="98" t="s">
        <v>21</v>
      </c>
      <c r="B1146" s="98" t="s">
        <v>160</v>
      </c>
      <c r="C1146" s="98" t="s">
        <v>259</v>
      </c>
      <c r="D1146" s="99">
        <v>11055430.000000004</v>
      </c>
      <c r="E1146" s="99">
        <v>12554864.499999998</v>
      </c>
      <c r="F1146" s="99">
        <v>13859340.500000006</v>
      </c>
      <c r="G1146" s="99">
        <v>0</v>
      </c>
      <c r="H1146" s="98" t="s">
        <v>225</v>
      </c>
      <c r="I1146" s="99">
        <v>0</v>
      </c>
      <c r="J1146" s="98" t="s">
        <v>225</v>
      </c>
      <c r="K1146" s="99">
        <v>0</v>
      </c>
      <c r="L1146" s="98" t="s">
        <v>225</v>
      </c>
      <c r="M1146" s="98" t="s">
        <v>225</v>
      </c>
      <c r="N1146" s="99">
        <v>0</v>
      </c>
      <c r="O1146" s="100">
        <v>0</v>
      </c>
      <c r="P1146" s="100">
        <v>0</v>
      </c>
      <c r="Q1146" s="100">
        <v>0</v>
      </c>
    </row>
    <row r="1147" spans="1:17" x14ac:dyDescent="0.35">
      <c r="A1147" s="98" t="s">
        <v>19</v>
      </c>
      <c r="B1147" s="98" t="s">
        <v>158</v>
      </c>
      <c r="C1147" s="98" t="s">
        <v>246</v>
      </c>
      <c r="D1147" s="99">
        <v>2124869.5</v>
      </c>
      <c r="E1147" s="99">
        <v>2444915.5000000014</v>
      </c>
      <c r="F1147" s="99">
        <v>2705991.9999999995</v>
      </c>
      <c r="G1147" s="99">
        <v>213</v>
      </c>
      <c r="H1147" s="98">
        <v>2015</v>
      </c>
      <c r="I1147" s="99">
        <v>298</v>
      </c>
      <c r="J1147" s="98">
        <v>2018</v>
      </c>
      <c r="K1147" s="99">
        <v>269</v>
      </c>
      <c r="L1147" s="98">
        <v>2021</v>
      </c>
      <c r="M1147" s="98" t="s">
        <v>226</v>
      </c>
      <c r="N1147" s="99">
        <v>273.86722731906218</v>
      </c>
      <c r="O1147" s="100">
        <v>1.0024145012199572</v>
      </c>
      <c r="P1147" s="100">
        <v>1.2188560299936739</v>
      </c>
      <c r="Q1147" s="100">
        <v>1.0120770028849391</v>
      </c>
    </row>
    <row r="1148" spans="1:17" x14ac:dyDescent="0.35">
      <c r="A1148" s="98" t="s">
        <v>19</v>
      </c>
      <c r="B1148" s="98" t="s">
        <v>158</v>
      </c>
      <c r="C1148" s="98" t="s">
        <v>247</v>
      </c>
      <c r="D1148" s="99">
        <v>2124869.5</v>
      </c>
      <c r="E1148" s="99">
        <v>2444915.5000000014</v>
      </c>
      <c r="F1148" s="99">
        <v>2705991.9999999995</v>
      </c>
      <c r="G1148" s="99">
        <v>0</v>
      </c>
      <c r="H1148" s="98" t="s">
        <v>225</v>
      </c>
      <c r="I1148" s="99">
        <v>181</v>
      </c>
      <c r="J1148" s="98">
        <v>2018</v>
      </c>
      <c r="K1148" s="99">
        <v>156</v>
      </c>
      <c r="L1148" s="98">
        <v>2021</v>
      </c>
      <c r="M1148" s="98" t="s">
        <v>226</v>
      </c>
      <c r="N1148" s="99">
        <v>158.82262996941895</v>
      </c>
      <c r="O1148" s="100">
        <v>0</v>
      </c>
      <c r="P1148" s="100">
        <v>0.74031188398944625</v>
      </c>
      <c r="Q1148" s="100">
        <v>0.58692941431245538</v>
      </c>
    </row>
    <row r="1149" spans="1:17" x14ac:dyDescent="0.35">
      <c r="A1149" s="98" t="s">
        <v>19</v>
      </c>
      <c r="B1149" s="98" t="s">
        <v>158</v>
      </c>
      <c r="C1149" s="98" t="s">
        <v>248</v>
      </c>
      <c r="D1149" s="99">
        <v>2124869.5</v>
      </c>
      <c r="E1149" s="99">
        <v>2444915.5000000014</v>
      </c>
      <c r="F1149" s="99">
        <v>2705991.9999999995</v>
      </c>
      <c r="G1149" s="99">
        <v>0</v>
      </c>
      <c r="H1149" s="98" t="s">
        <v>225</v>
      </c>
      <c r="I1149" s="99">
        <v>117</v>
      </c>
      <c r="J1149" s="98">
        <v>2018</v>
      </c>
      <c r="K1149" s="99">
        <v>113</v>
      </c>
      <c r="L1149" s="98">
        <v>2021</v>
      </c>
      <c r="M1149" s="98" t="s">
        <v>226</v>
      </c>
      <c r="N1149" s="99">
        <v>115.04459734964323</v>
      </c>
      <c r="O1149" s="100">
        <v>0</v>
      </c>
      <c r="P1149" s="100">
        <v>0.47854414600422768</v>
      </c>
      <c r="Q1149" s="100">
        <v>0.42514758857248375</v>
      </c>
    </row>
    <row r="1150" spans="1:17" x14ac:dyDescent="0.35">
      <c r="A1150" s="98" t="s">
        <v>19</v>
      </c>
      <c r="B1150" s="98" t="s">
        <v>158</v>
      </c>
      <c r="C1150" s="98" t="s">
        <v>249</v>
      </c>
      <c r="D1150" s="99">
        <v>2124869.5</v>
      </c>
      <c r="E1150" s="99">
        <v>2444915.5000000014</v>
      </c>
      <c r="F1150" s="99">
        <v>2705991.9999999995</v>
      </c>
      <c r="G1150" s="99">
        <v>2386</v>
      </c>
      <c r="H1150" s="98">
        <v>2012</v>
      </c>
      <c r="I1150" s="99">
        <v>1498</v>
      </c>
      <c r="J1150" s="98">
        <v>2018</v>
      </c>
      <c r="K1150" s="99">
        <v>1404</v>
      </c>
      <c r="L1150" s="98">
        <v>2021</v>
      </c>
      <c r="M1150" s="98" t="s">
        <v>226</v>
      </c>
      <c r="N1150" s="99">
        <v>1429.4036697247707</v>
      </c>
      <c r="O1150" s="100">
        <v>11.228924882210414</v>
      </c>
      <c r="P1150" s="100">
        <v>6.1270011172165217</v>
      </c>
      <c r="Q1150" s="100">
        <v>5.282364728812099</v>
      </c>
    </row>
    <row r="1151" spans="1:17" x14ac:dyDescent="0.35">
      <c r="A1151" s="98" t="s">
        <v>19</v>
      </c>
      <c r="B1151" s="98" t="s">
        <v>158</v>
      </c>
      <c r="C1151" s="98" t="s">
        <v>250</v>
      </c>
      <c r="D1151" s="99">
        <v>2124869.5</v>
      </c>
      <c r="E1151" s="99">
        <v>2444915.5000000014</v>
      </c>
      <c r="F1151" s="99">
        <v>2705991.9999999995</v>
      </c>
      <c r="G1151" s="99">
        <v>0</v>
      </c>
      <c r="H1151" s="98" t="s">
        <v>225</v>
      </c>
      <c r="I1151" s="99">
        <v>1178</v>
      </c>
      <c r="J1151" s="98" t="s">
        <v>229</v>
      </c>
      <c r="K1151" s="99">
        <v>908</v>
      </c>
      <c r="L1151" s="98">
        <v>2021</v>
      </c>
      <c r="M1151" s="98" t="s">
        <v>226</v>
      </c>
      <c r="N1151" s="99">
        <v>924.42915392456678</v>
      </c>
      <c r="O1151" s="100">
        <v>0</v>
      </c>
      <c r="P1151" s="100">
        <v>4.8181624272904289</v>
      </c>
      <c r="Q1151" s="100">
        <v>3.4162301807417275</v>
      </c>
    </row>
    <row r="1152" spans="1:17" x14ac:dyDescent="0.35">
      <c r="A1152" s="98" t="s">
        <v>19</v>
      </c>
      <c r="B1152" s="98" t="s">
        <v>158</v>
      </c>
      <c r="C1152" s="98" t="s">
        <v>251</v>
      </c>
      <c r="D1152" s="99">
        <v>2124869.5</v>
      </c>
      <c r="E1152" s="99">
        <v>2444915.5000000014</v>
      </c>
      <c r="F1152" s="99">
        <v>2705991.9999999995</v>
      </c>
      <c r="G1152" s="99">
        <v>0</v>
      </c>
      <c r="H1152" s="98" t="s">
        <v>225</v>
      </c>
      <c r="I1152" s="99">
        <v>879</v>
      </c>
      <c r="J1152" s="98">
        <v>2017</v>
      </c>
      <c r="K1152" s="99">
        <v>449</v>
      </c>
      <c r="L1152" s="98">
        <v>2021</v>
      </c>
      <c r="M1152" s="98" t="s">
        <v>226</v>
      </c>
      <c r="N1152" s="99">
        <v>457.12410805300715</v>
      </c>
      <c r="O1152" s="100">
        <v>0</v>
      </c>
      <c r="P1152" s="100">
        <v>3.5952162763907363</v>
      </c>
      <c r="Q1152" s="100">
        <v>1.6893032501685417</v>
      </c>
    </row>
    <row r="1153" spans="1:17" x14ac:dyDescent="0.35">
      <c r="A1153" s="98" t="s">
        <v>19</v>
      </c>
      <c r="B1153" s="98" t="s">
        <v>158</v>
      </c>
      <c r="C1153" s="98" t="s">
        <v>252</v>
      </c>
      <c r="D1153" s="99">
        <v>2124869.5</v>
      </c>
      <c r="E1153" s="99">
        <v>2444915.5000000014</v>
      </c>
      <c r="F1153" s="99">
        <v>2705991.9999999995</v>
      </c>
      <c r="G1153" s="99">
        <v>259</v>
      </c>
      <c r="H1153" s="98">
        <v>2013</v>
      </c>
      <c r="I1153" s="99">
        <v>320</v>
      </c>
      <c r="J1153" s="98" t="s">
        <v>229</v>
      </c>
      <c r="K1153" s="99">
        <v>379</v>
      </c>
      <c r="L1153" s="98">
        <v>2021</v>
      </c>
      <c r="M1153" s="98" t="s">
        <v>225</v>
      </c>
      <c r="N1153" s="99">
        <v>379</v>
      </c>
      <c r="O1153" s="100">
        <v>1.2188983841125303</v>
      </c>
      <c r="P1153" s="100">
        <v>1.3088386899260929</v>
      </c>
      <c r="Q1153" s="100">
        <v>1.4005954193508334</v>
      </c>
    </row>
    <row r="1154" spans="1:17" x14ac:dyDescent="0.35">
      <c r="A1154" s="98" t="s">
        <v>19</v>
      </c>
      <c r="B1154" s="98" t="s">
        <v>158</v>
      </c>
      <c r="C1154" s="98" t="s">
        <v>253</v>
      </c>
      <c r="D1154" s="99">
        <v>2124869.5</v>
      </c>
      <c r="E1154" s="99">
        <v>2444915.5000000014</v>
      </c>
      <c r="F1154" s="99">
        <v>2705991.9999999995</v>
      </c>
      <c r="G1154" s="99">
        <v>79</v>
      </c>
      <c r="H1154" s="98">
        <v>2013</v>
      </c>
      <c r="I1154" s="99">
        <v>320</v>
      </c>
      <c r="J1154" s="98" t="s">
        <v>229</v>
      </c>
      <c r="K1154" s="99">
        <v>101</v>
      </c>
      <c r="L1154" s="98">
        <v>2021</v>
      </c>
      <c r="M1154" s="98" t="s">
        <v>226</v>
      </c>
      <c r="N1154" s="99">
        <v>102.82747196738023</v>
      </c>
      <c r="O1154" s="100">
        <v>0.37178753801115788</v>
      </c>
      <c r="P1154" s="100">
        <v>1.3088386899260929</v>
      </c>
      <c r="Q1154" s="100">
        <v>0.37999917208691031</v>
      </c>
    </row>
    <row r="1155" spans="1:17" x14ac:dyDescent="0.35">
      <c r="A1155" s="98" t="s">
        <v>19</v>
      </c>
      <c r="B1155" s="98" t="s">
        <v>158</v>
      </c>
      <c r="C1155" s="98" t="s">
        <v>254</v>
      </c>
      <c r="D1155" s="99">
        <v>2124869.5</v>
      </c>
      <c r="E1155" s="99">
        <v>2444915.5000000014</v>
      </c>
      <c r="F1155" s="99">
        <v>2705991.9999999995</v>
      </c>
      <c r="G1155" s="99">
        <v>180</v>
      </c>
      <c r="H1155" s="98">
        <v>2013</v>
      </c>
      <c r="I1155" s="99">
        <v>341</v>
      </c>
      <c r="J1155" s="98">
        <v>2017</v>
      </c>
      <c r="K1155" s="99">
        <v>278</v>
      </c>
      <c r="L1155" s="98">
        <v>2021</v>
      </c>
      <c r="M1155" s="98" t="s">
        <v>226</v>
      </c>
      <c r="N1155" s="99">
        <v>283.03007135575945</v>
      </c>
      <c r="O1155" s="100">
        <v>0.84711084610137233</v>
      </c>
      <c r="P1155" s="100">
        <v>1.3947312289524927</v>
      </c>
      <c r="Q1155" s="100">
        <v>1.0459383152491193</v>
      </c>
    </row>
    <row r="1156" spans="1:17" x14ac:dyDescent="0.35">
      <c r="A1156" s="98" t="s">
        <v>19</v>
      </c>
      <c r="B1156" s="98" t="s">
        <v>158</v>
      </c>
      <c r="C1156" s="98" t="s">
        <v>255</v>
      </c>
      <c r="D1156" s="99">
        <v>2124869.5</v>
      </c>
      <c r="E1156" s="99">
        <v>2444915.5000000014</v>
      </c>
      <c r="F1156" s="99">
        <v>2705991.9999999995</v>
      </c>
      <c r="G1156" s="99">
        <v>5</v>
      </c>
      <c r="H1156" s="98">
        <v>2015</v>
      </c>
      <c r="I1156" s="99">
        <v>78</v>
      </c>
      <c r="J1156" s="98" t="s">
        <v>229</v>
      </c>
      <c r="K1156" s="99">
        <v>4</v>
      </c>
      <c r="L1156" s="98">
        <v>2021</v>
      </c>
      <c r="M1156" s="98" t="s">
        <v>226</v>
      </c>
      <c r="N1156" s="99">
        <v>4.0723751274209992</v>
      </c>
      <c r="O1156" s="100">
        <v>2.3530856836149232E-2</v>
      </c>
      <c r="P1156" s="100">
        <v>0.31902943066948514</v>
      </c>
      <c r="Q1156" s="100">
        <v>1.5049472161857832E-2</v>
      </c>
    </row>
    <row r="1157" spans="1:17" x14ac:dyDescent="0.35">
      <c r="A1157" s="98" t="s">
        <v>19</v>
      </c>
      <c r="B1157" s="98" t="s">
        <v>158</v>
      </c>
      <c r="C1157" s="98" t="s">
        <v>256</v>
      </c>
      <c r="D1157" s="99">
        <v>2124869.5</v>
      </c>
      <c r="E1157" s="99">
        <v>2444915.5000000014</v>
      </c>
      <c r="F1157" s="99">
        <v>2705991.9999999995</v>
      </c>
      <c r="G1157" s="99">
        <v>99</v>
      </c>
      <c r="H1157" s="98">
        <v>2015</v>
      </c>
      <c r="I1157" s="99">
        <v>76</v>
      </c>
      <c r="J1157" s="98">
        <v>2018</v>
      </c>
      <c r="K1157" s="99">
        <v>94</v>
      </c>
      <c r="L1157" s="98">
        <v>2021</v>
      </c>
      <c r="M1157" s="98" t="s">
        <v>225</v>
      </c>
      <c r="N1157" s="99">
        <v>94</v>
      </c>
      <c r="O1157" s="100">
        <v>0.46591096535575477</v>
      </c>
      <c r="P1157" s="100">
        <v>0.31084918885744706</v>
      </c>
      <c r="Q1157" s="100">
        <v>0.34737722801841253</v>
      </c>
    </row>
    <row r="1158" spans="1:17" x14ac:dyDescent="0.35">
      <c r="A1158" s="98" t="s">
        <v>19</v>
      </c>
      <c r="B1158" s="98" t="s">
        <v>158</v>
      </c>
      <c r="C1158" s="98" t="s">
        <v>257</v>
      </c>
      <c r="D1158" s="99">
        <v>2124869.5</v>
      </c>
      <c r="E1158" s="99">
        <v>2444915.5000000014</v>
      </c>
      <c r="F1158" s="99">
        <v>2705991.9999999995</v>
      </c>
      <c r="G1158" s="99">
        <v>17</v>
      </c>
      <c r="H1158" s="98">
        <v>2015</v>
      </c>
      <c r="I1158" s="99">
        <v>4</v>
      </c>
      <c r="J1158" s="98">
        <v>2018</v>
      </c>
      <c r="K1158" s="99">
        <v>9</v>
      </c>
      <c r="L1158" s="98">
        <v>2021</v>
      </c>
      <c r="M1158" s="98" t="s">
        <v>225</v>
      </c>
      <c r="N1158" s="99">
        <v>9</v>
      </c>
      <c r="O1158" s="100">
        <v>8.0004913242907386E-2</v>
      </c>
      <c r="P1158" s="100">
        <v>1.6360483624076161E-2</v>
      </c>
      <c r="Q1158" s="100">
        <v>3.3259521831550135E-2</v>
      </c>
    </row>
    <row r="1159" spans="1:17" x14ac:dyDescent="0.35">
      <c r="A1159" s="98" t="s">
        <v>19</v>
      </c>
      <c r="B1159" s="98" t="s">
        <v>158</v>
      </c>
      <c r="C1159" s="98" t="s">
        <v>258</v>
      </c>
      <c r="D1159" s="99">
        <v>2124869.5</v>
      </c>
      <c r="E1159" s="99">
        <v>2444915.5000000014</v>
      </c>
      <c r="F1159" s="99">
        <v>2705991.9999999995</v>
      </c>
      <c r="G1159" s="99">
        <v>0</v>
      </c>
      <c r="H1159" s="98" t="s">
        <v>225</v>
      </c>
      <c r="I1159" s="99">
        <v>10</v>
      </c>
      <c r="J1159" s="98">
        <v>2018</v>
      </c>
      <c r="K1159" s="99">
        <v>16</v>
      </c>
      <c r="L1159" s="98">
        <v>2021</v>
      </c>
      <c r="M1159" s="98" t="s">
        <v>225</v>
      </c>
      <c r="N1159" s="99">
        <v>16</v>
      </c>
      <c r="O1159" s="100">
        <v>0</v>
      </c>
      <c r="P1159" s="100">
        <v>4.0901209060190402E-2</v>
      </c>
      <c r="Q1159" s="100">
        <v>5.9128038811644683E-2</v>
      </c>
    </row>
    <row r="1160" spans="1:17" x14ac:dyDescent="0.35">
      <c r="A1160" s="98" t="s">
        <v>19</v>
      </c>
      <c r="B1160" s="98" t="s">
        <v>158</v>
      </c>
      <c r="C1160" s="98" t="s">
        <v>259</v>
      </c>
      <c r="D1160" s="99">
        <v>2124869.5</v>
      </c>
      <c r="E1160" s="99">
        <v>2444915.5000000014</v>
      </c>
      <c r="F1160" s="99">
        <v>2705991.9999999995</v>
      </c>
      <c r="G1160" s="99">
        <v>0</v>
      </c>
      <c r="H1160" s="98" t="s">
        <v>225</v>
      </c>
      <c r="I1160" s="99">
        <v>0</v>
      </c>
      <c r="J1160" s="98" t="s">
        <v>225</v>
      </c>
      <c r="K1160" s="99">
        <v>0</v>
      </c>
      <c r="L1160" s="98" t="s">
        <v>225</v>
      </c>
      <c r="M1160" s="98" t="s">
        <v>225</v>
      </c>
      <c r="N1160" s="99">
        <v>0</v>
      </c>
      <c r="O1160" s="100">
        <v>0</v>
      </c>
      <c r="P1160" s="100">
        <v>0</v>
      </c>
      <c r="Q1160" s="100">
        <v>0</v>
      </c>
    </row>
    <row r="1161" spans="1:17" x14ac:dyDescent="0.35">
      <c r="A1161" s="98" t="s">
        <v>22</v>
      </c>
      <c r="B1161" s="98" t="s">
        <v>161</v>
      </c>
      <c r="C1161" s="98" t="s">
        <v>246</v>
      </c>
      <c r="D1161" s="99">
        <v>1697752.4999999995</v>
      </c>
      <c r="E1161" s="99">
        <v>1924954.4999999988</v>
      </c>
      <c r="F1161" s="99">
        <v>2105565.4999999991</v>
      </c>
      <c r="G1161" s="99">
        <v>354</v>
      </c>
      <c r="H1161" s="98">
        <v>2015</v>
      </c>
      <c r="I1161" s="99">
        <v>578</v>
      </c>
      <c r="J1161" s="98">
        <v>2018</v>
      </c>
      <c r="K1161" s="99">
        <v>438</v>
      </c>
      <c r="L1161" s="98">
        <v>2022</v>
      </c>
      <c r="M1161" s="98" t="s">
        <v>226</v>
      </c>
      <c r="N1161" s="99">
        <v>530.87376425855507</v>
      </c>
      <c r="O1161" s="100">
        <v>2.0851095786930078</v>
      </c>
      <c r="P1161" s="100">
        <v>3.0026683747589895</v>
      </c>
      <c r="Q1161" s="100">
        <v>2.5212882917133439</v>
      </c>
    </row>
    <row r="1162" spans="1:17" x14ac:dyDescent="0.35">
      <c r="A1162" s="98" t="s">
        <v>22</v>
      </c>
      <c r="B1162" s="98" t="s">
        <v>161</v>
      </c>
      <c r="C1162" s="98" t="s">
        <v>247</v>
      </c>
      <c r="D1162" s="99">
        <v>1697752.4999999995</v>
      </c>
      <c r="E1162" s="99">
        <v>1924954.4999999988</v>
      </c>
      <c r="F1162" s="99">
        <v>2105565.4999999991</v>
      </c>
      <c r="G1162" s="99">
        <v>0</v>
      </c>
      <c r="H1162" s="98" t="s">
        <v>225</v>
      </c>
      <c r="I1162" s="99">
        <v>544</v>
      </c>
      <c r="J1162" s="98">
        <v>2018</v>
      </c>
      <c r="K1162" s="99">
        <v>428</v>
      </c>
      <c r="L1162" s="98">
        <v>2022</v>
      </c>
      <c r="M1162" s="98" t="s">
        <v>226</v>
      </c>
      <c r="N1162" s="99">
        <v>518.75335868187574</v>
      </c>
      <c r="O1162" s="100">
        <v>0</v>
      </c>
      <c r="P1162" s="100">
        <v>2.8260408233025784</v>
      </c>
      <c r="Q1162" s="100">
        <v>2.4637246320851856</v>
      </c>
    </row>
    <row r="1163" spans="1:17" x14ac:dyDescent="0.35">
      <c r="A1163" s="98" t="s">
        <v>22</v>
      </c>
      <c r="B1163" s="98" t="s">
        <v>161</v>
      </c>
      <c r="C1163" s="98" t="s">
        <v>248</v>
      </c>
      <c r="D1163" s="99">
        <v>1697752.4999999995</v>
      </c>
      <c r="E1163" s="99">
        <v>1924954.4999999988</v>
      </c>
      <c r="F1163" s="99">
        <v>2105565.4999999991</v>
      </c>
      <c r="G1163" s="99">
        <v>0</v>
      </c>
      <c r="H1163" s="98" t="s">
        <v>225</v>
      </c>
      <c r="I1163" s="99">
        <v>34</v>
      </c>
      <c r="J1163" s="98">
        <v>2018</v>
      </c>
      <c r="K1163" s="99">
        <v>10</v>
      </c>
      <c r="L1163" s="98">
        <v>2020</v>
      </c>
      <c r="M1163" s="98" t="s">
        <v>226</v>
      </c>
      <c r="N1163" s="99">
        <v>12.120405576679341</v>
      </c>
      <c r="O1163" s="100">
        <v>0</v>
      </c>
      <c r="P1163" s="100">
        <v>0.17662755145641115</v>
      </c>
      <c r="Q1163" s="100">
        <v>5.7563659628158542E-2</v>
      </c>
    </row>
    <row r="1164" spans="1:17" x14ac:dyDescent="0.35">
      <c r="A1164" s="98" t="s">
        <v>22</v>
      </c>
      <c r="B1164" s="98" t="s">
        <v>161</v>
      </c>
      <c r="C1164" s="98" t="s">
        <v>249</v>
      </c>
      <c r="D1164" s="99">
        <v>1697752.4999999995</v>
      </c>
      <c r="E1164" s="99">
        <v>1924954.4999999988</v>
      </c>
      <c r="F1164" s="99">
        <v>2105565.4999999991</v>
      </c>
      <c r="G1164" s="99">
        <v>727</v>
      </c>
      <c r="H1164" s="98">
        <v>2013</v>
      </c>
      <c r="I1164" s="99">
        <v>1264</v>
      </c>
      <c r="J1164" s="98" t="s">
        <v>229</v>
      </c>
      <c r="K1164" s="99">
        <v>1879</v>
      </c>
      <c r="L1164" s="98">
        <v>2022</v>
      </c>
      <c r="M1164" s="98" t="s">
        <v>225</v>
      </c>
      <c r="N1164" s="99">
        <v>1879</v>
      </c>
      <c r="O1164" s="100">
        <v>4.2821318183893133</v>
      </c>
      <c r="P1164" s="100">
        <v>6.5663889717912856</v>
      </c>
      <c r="Q1164" s="100">
        <v>8.9239684065872122</v>
      </c>
    </row>
    <row r="1165" spans="1:17" x14ac:dyDescent="0.35">
      <c r="A1165" s="98" t="s">
        <v>22</v>
      </c>
      <c r="B1165" s="98" t="s">
        <v>161</v>
      </c>
      <c r="C1165" s="98" t="s">
        <v>250</v>
      </c>
      <c r="D1165" s="99">
        <v>1697752.4999999995</v>
      </c>
      <c r="E1165" s="99">
        <v>1924954.4999999988</v>
      </c>
      <c r="F1165" s="99">
        <v>2105565.4999999991</v>
      </c>
      <c r="G1165" s="99">
        <v>474</v>
      </c>
      <c r="H1165" s="98">
        <v>2013</v>
      </c>
      <c r="I1165" s="99">
        <v>1210</v>
      </c>
      <c r="J1165" s="98" t="s">
        <v>229</v>
      </c>
      <c r="K1165" s="99">
        <v>987</v>
      </c>
      <c r="L1165" s="98">
        <v>2022</v>
      </c>
      <c r="M1165" s="98" t="s">
        <v>226</v>
      </c>
      <c r="N1165" s="99">
        <v>1196.2840304182509</v>
      </c>
      <c r="O1165" s="100">
        <v>2.7919263850296208</v>
      </c>
      <c r="P1165" s="100">
        <v>6.2858628606546318</v>
      </c>
      <c r="Q1165" s="100">
        <v>5.6815332052992487</v>
      </c>
    </row>
    <row r="1166" spans="1:17" x14ac:dyDescent="0.35">
      <c r="A1166" s="98" t="s">
        <v>22</v>
      </c>
      <c r="B1166" s="98" t="s">
        <v>161</v>
      </c>
      <c r="C1166" s="98" t="s">
        <v>251</v>
      </c>
      <c r="D1166" s="99">
        <v>1697752.4999999995</v>
      </c>
      <c r="E1166" s="99">
        <v>1924954.4999999988</v>
      </c>
      <c r="F1166" s="99">
        <v>2105565.4999999991</v>
      </c>
      <c r="G1166" s="99">
        <v>253</v>
      </c>
      <c r="H1166" s="98">
        <v>2013</v>
      </c>
      <c r="I1166" s="99">
        <v>54</v>
      </c>
      <c r="J1166" s="98" t="s">
        <v>229</v>
      </c>
      <c r="K1166" s="99">
        <v>889</v>
      </c>
      <c r="L1166" s="98">
        <v>2022</v>
      </c>
      <c r="M1166" s="98" t="s">
        <v>225</v>
      </c>
      <c r="N1166" s="99">
        <v>889</v>
      </c>
      <c r="O1166" s="100">
        <v>1.4902054333596921</v>
      </c>
      <c r="P1166" s="100">
        <v>0.28052611113665299</v>
      </c>
      <c r="Q1166" s="100">
        <v>4.2221436473954403</v>
      </c>
    </row>
    <row r="1167" spans="1:17" x14ac:dyDescent="0.35">
      <c r="A1167" s="98" t="s">
        <v>22</v>
      </c>
      <c r="B1167" s="98" t="s">
        <v>161</v>
      </c>
      <c r="C1167" s="98" t="s">
        <v>252</v>
      </c>
      <c r="D1167" s="99">
        <v>1697752.4999999995</v>
      </c>
      <c r="E1167" s="99">
        <v>1924954.4999999988</v>
      </c>
      <c r="F1167" s="99">
        <v>2105565.4999999991</v>
      </c>
      <c r="G1167" s="99">
        <v>153</v>
      </c>
      <c r="H1167" s="98">
        <v>2013</v>
      </c>
      <c r="I1167" s="99">
        <v>157</v>
      </c>
      <c r="J1167" s="98" t="s">
        <v>229</v>
      </c>
      <c r="K1167" s="99">
        <v>197</v>
      </c>
      <c r="L1167" s="98">
        <v>2022</v>
      </c>
      <c r="M1167" s="98" t="s">
        <v>225</v>
      </c>
      <c r="N1167" s="99">
        <v>197</v>
      </c>
      <c r="O1167" s="100">
        <v>0.9011914280791814</v>
      </c>
      <c r="P1167" s="100">
        <v>0.81560369348989858</v>
      </c>
      <c r="Q1167" s="100">
        <v>0.93561563389977698</v>
      </c>
    </row>
    <row r="1168" spans="1:17" x14ac:dyDescent="0.35">
      <c r="A1168" s="98" t="s">
        <v>22</v>
      </c>
      <c r="B1168" s="98" t="s">
        <v>161</v>
      </c>
      <c r="C1168" s="98" t="s">
        <v>253</v>
      </c>
      <c r="D1168" s="99">
        <v>1697752.4999999995</v>
      </c>
      <c r="E1168" s="99">
        <v>1924954.4999999988</v>
      </c>
      <c r="F1168" s="99">
        <v>2105565.4999999991</v>
      </c>
      <c r="G1168" s="99">
        <v>148</v>
      </c>
      <c r="H1168" s="98">
        <v>2013</v>
      </c>
      <c r="I1168" s="99">
        <v>156</v>
      </c>
      <c r="J1168" s="98" t="s">
        <v>229</v>
      </c>
      <c r="K1168" s="99">
        <v>26</v>
      </c>
      <c r="L1168" s="98">
        <v>2022</v>
      </c>
      <c r="M1168" s="98" t="s">
        <v>226</v>
      </c>
      <c r="N1168" s="99">
        <v>31.513054499366284</v>
      </c>
      <c r="O1168" s="100">
        <v>0.87174072781515588</v>
      </c>
      <c r="P1168" s="100">
        <v>0.81040876550588647</v>
      </c>
      <c r="Q1168" s="100">
        <v>0.14966551503321221</v>
      </c>
    </row>
    <row r="1169" spans="1:17" x14ac:dyDescent="0.35">
      <c r="A1169" s="98" t="s">
        <v>22</v>
      </c>
      <c r="B1169" s="98" t="s">
        <v>161</v>
      </c>
      <c r="C1169" s="98" t="s">
        <v>254</v>
      </c>
      <c r="D1169" s="99">
        <v>1697752.4999999995</v>
      </c>
      <c r="E1169" s="99">
        <v>1924954.4999999988</v>
      </c>
      <c r="F1169" s="99">
        <v>2105565.4999999991</v>
      </c>
      <c r="G1169" s="99">
        <v>5</v>
      </c>
      <c r="H1169" s="98">
        <v>2013</v>
      </c>
      <c r="I1169" s="99">
        <v>1</v>
      </c>
      <c r="J1169" s="98" t="s">
        <v>229</v>
      </c>
      <c r="K1169" s="99">
        <v>171</v>
      </c>
      <c r="L1169" s="98">
        <v>2022</v>
      </c>
      <c r="M1169" s="98" t="s">
        <v>225</v>
      </c>
      <c r="N1169" s="99">
        <v>171</v>
      </c>
      <c r="O1169" s="100">
        <v>2.9450700264025537E-2</v>
      </c>
      <c r="P1169" s="100">
        <v>5.1949279840120925E-3</v>
      </c>
      <c r="Q1169" s="100">
        <v>0.81213336749676068</v>
      </c>
    </row>
    <row r="1170" spans="1:17" x14ac:dyDescent="0.35">
      <c r="A1170" s="98" t="s">
        <v>22</v>
      </c>
      <c r="B1170" s="98" t="s">
        <v>161</v>
      </c>
      <c r="C1170" s="98" t="s">
        <v>255</v>
      </c>
      <c r="D1170" s="99">
        <v>1697752.4999999995</v>
      </c>
      <c r="E1170" s="99">
        <v>1924954.4999999988</v>
      </c>
      <c r="F1170" s="99">
        <v>2105565.4999999991</v>
      </c>
      <c r="G1170" s="99">
        <v>0</v>
      </c>
      <c r="H1170" s="98" t="s">
        <v>225</v>
      </c>
      <c r="I1170" s="99">
        <v>13</v>
      </c>
      <c r="J1170" s="98" t="s">
        <v>229</v>
      </c>
      <c r="K1170" s="99">
        <v>2</v>
      </c>
      <c r="L1170" s="98">
        <v>2021</v>
      </c>
      <c r="M1170" s="98" t="s">
        <v>226</v>
      </c>
      <c r="N1170" s="99">
        <v>2.4240811153358681</v>
      </c>
      <c r="O1170" s="100">
        <v>0</v>
      </c>
      <c r="P1170" s="100">
        <v>6.7534063792157206E-2</v>
      </c>
      <c r="Q1170" s="100">
        <v>1.1512731925631708E-2</v>
      </c>
    </row>
    <row r="1171" spans="1:17" x14ac:dyDescent="0.35">
      <c r="A1171" s="98" t="s">
        <v>22</v>
      </c>
      <c r="B1171" s="98" t="s">
        <v>161</v>
      </c>
      <c r="C1171" s="98" t="s">
        <v>256</v>
      </c>
      <c r="D1171" s="99">
        <v>1697752.4999999995</v>
      </c>
      <c r="E1171" s="99">
        <v>1924954.4999999988</v>
      </c>
      <c r="F1171" s="99">
        <v>2105565.4999999991</v>
      </c>
      <c r="G1171" s="99">
        <v>0</v>
      </c>
      <c r="H1171" s="98" t="s">
        <v>225</v>
      </c>
      <c r="I1171" s="99">
        <v>69</v>
      </c>
      <c r="J1171" s="98" t="s">
        <v>229</v>
      </c>
      <c r="K1171" s="99">
        <v>80</v>
      </c>
      <c r="L1171" s="98">
        <v>2022</v>
      </c>
      <c r="M1171" s="98" t="s">
        <v>225</v>
      </c>
      <c r="N1171" s="99">
        <v>80</v>
      </c>
      <c r="O1171" s="100">
        <v>0</v>
      </c>
      <c r="P1171" s="100">
        <v>0.35845003089683442</v>
      </c>
      <c r="Q1171" s="100">
        <v>0.37994543508620388</v>
      </c>
    </row>
    <row r="1172" spans="1:17" x14ac:dyDescent="0.35">
      <c r="A1172" s="98" t="s">
        <v>22</v>
      </c>
      <c r="B1172" s="98" t="s">
        <v>161</v>
      </c>
      <c r="C1172" s="98" t="s">
        <v>257</v>
      </c>
      <c r="D1172" s="99">
        <v>1697752.4999999995</v>
      </c>
      <c r="E1172" s="99">
        <v>1924954.4999999988</v>
      </c>
      <c r="F1172" s="99">
        <v>2105565.4999999991</v>
      </c>
      <c r="G1172" s="99">
        <v>0</v>
      </c>
      <c r="H1172" s="98" t="s">
        <v>225</v>
      </c>
      <c r="I1172" s="99">
        <v>8</v>
      </c>
      <c r="J1172" s="98" t="s">
        <v>229</v>
      </c>
      <c r="K1172" s="99">
        <v>20</v>
      </c>
      <c r="L1172" s="98">
        <v>2022</v>
      </c>
      <c r="M1172" s="98" t="s">
        <v>225</v>
      </c>
      <c r="N1172" s="99">
        <v>20</v>
      </c>
      <c r="O1172" s="100">
        <v>0</v>
      </c>
      <c r="P1172" s="100">
        <v>4.155942387209674E-2</v>
      </c>
      <c r="Q1172" s="100">
        <v>9.4986358771550969E-2</v>
      </c>
    </row>
    <row r="1173" spans="1:17" x14ac:dyDescent="0.35">
      <c r="A1173" s="98" t="s">
        <v>22</v>
      </c>
      <c r="B1173" s="98" t="s">
        <v>161</v>
      </c>
      <c r="C1173" s="98" t="s">
        <v>258</v>
      </c>
      <c r="D1173" s="99">
        <v>1697752.4999999995</v>
      </c>
      <c r="E1173" s="99">
        <v>1924954.4999999988</v>
      </c>
      <c r="F1173" s="99">
        <v>2105565.4999999991</v>
      </c>
      <c r="G1173" s="99">
        <v>0</v>
      </c>
      <c r="H1173" s="98" t="s">
        <v>225</v>
      </c>
      <c r="I1173" s="99">
        <v>8</v>
      </c>
      <c r="J1173" s="98">
        <v>2016</v>
      </c>
      <c r="K1173" s="99">
        <v>2</v>
      </c>
      <c r="L1173" s="98">
        <v>2022</v>
      </c>
      <c r="M1173" s="98" t="s">
        <v>226</v>
      </c>
      <c r="N1173" s="99">
        <v>2.4240811153358681</v>
      </c>
      <c r="O1173" s="100">
        <v>0</v>
      </c>
      <c r="P1173" s="100">
        <v>4.155942387209674E-2</v>
      </c>
      <c r="Q1173" s="100">
        <v>1.1512731925631708E-2</v>
      </c>
    </row>
    <row r="1174" spans="1:17" x14ac:dyDescent="0.35">
      <c r="A1174" s="98" t="s">
        <v>22</v>
      </c>
      <c r="B1174" s="98" t="s">
        <v>161</v>
      </c>
      <c r="C1174" s="98" t="s">
        <v>259</v>
      </c>
      <c r="D1174" s="99">
        <v>1697752.4999999995</v>
      </c>
      <c r="E1174" s="99">
        <v>1924954.4999999988</v>
      </c>
      <c r="F1174" s="99">
        <v>2105565.4999999991</v>
      </c>
      <c r="G1174" s="99">
        <v>0</v>
      </c>
      <c r="H1174" s="98" t="s">
        <v>225</v>
      </c>
      <c r="I1174" s="99">
        <v>2</v>
      </c>
      <c r="J1174" s="98">
        <v>2018</v>
      </c>
      <c r="K1174" s="99">
        <v>11</v>
      </c>
      <c r="L1174" s="98">
        <v>2020</v>
      </c>
      <c r="M1174" s="98" t="s">
        <v>225</v>
      </c>
      <c r="N1174" s="99">
        <v>11</v>
      </c>
      <c r="O1174" s="100">
        <v>0</v>
      </c>
      <c r="P1174" s="100">
        <v>1.0389855968024185E-2</v>
      </c>
      <c r="Q1174" s="100">
        <v>5.2242497324353029E-2</v>
      </c>
    </row>
    <row r="1175" spans="1:17" x14ac:dyDescent="0.35">
      <c r="A1175" s="98" t="s">
        <v>14</v>
      </c>
      <c r="B1175" s="98" t="s">
        <v>152</v>
      </c>
      <c r="C1175" s="98" t="s">
        <v>246</v>
      </c>
      <c r="D1175" s="99">
        <v>1243941.0000000002</v>
      </c>
      <c r="E1175" s="99">
        <v>1502091.5000000002</v>
      </c>
      <c r="F1175" s="99">
        <v>1674908</v>
      </c>
      <c r="G1175" s="99">
        <v>0</v>
      </c>
      <c r="H1175" s="98" t="s">
        <v>225</v>
      </c>
      <c r="I1175" s="99">
        <v>246</v>
      </c>
      <c r="J1175" s="98" t="s">
        <v>229</v>
      </c>
      <c r="K1175" s="99">
        <v>239</v>
      </c>
      <c r="L1175" s="98">
        <v>2022</v>
      </c>
      <c r="M1175" s="98" t="s">
        <v>226</v>
      </c>
      <c r="N1175" s="99">
        <v>274.68237599257924</v>
      </c>
      <c r="O1175" s="100">
        <v>0</v>
      </c>
      <c r="P1175" s="100">
        <v>1.637716477325116</v>
      </c>
      <c r="Q1175" s="100">
        <v>1.6399848588255548</v>
      </c>
    </row>
    <row r="1176" spans="1:17" x14ac:dyDescent="0.35">
      <c r="A1176" s="98" t="s">
        <v>14</v>
      </c>
      <c r="B1176" s="98" t="s">
        <v>152</v>
      </c>
      <c r="C1176" s="98" t="s">
        <v>247</v>
      </c>
      <c r="D1176" s="99">
        <v>1243941.0000000002</v>
      </c>
      <c r="E1176" s="99">
        <v>1502091.5000000002</v>
      </c>
      <c r="F1176" s="99">
        <v>1674908</v>
      </c>
      <c r="G1176" s="99">
        <v>0</v>
      </c>
      <c r="H1176" s="98" t="s">
        <v>225</v>
      </c>
      <c r="I1176" s="99">
        <v>246</v>
      </c>
      <c r="J1176" s="98" t="s">
        <v>229</v>
      </c>
      <c r="K1176" s="99">
        <v>182</v>
      </c>
      <c r="L1176" s="98">
        <v>2022</v>
      </c>
      <c r="M1176" s="98" t="s">
        <v>226</v>
      </c>
      <c r="N1176" s="99">
        <v>209.17235326631555</v>
      </c>
      <c r="O1176" s="100">
        <v>0</v>
      </c>
      <c r="P1176" s="100">
        <v>1.637716477325116</v>
      </c>
      <c r="Q1176" s="100">
        <v>1.2488587627876608</v>
      </c>
    </row>
    <row r="1177" spans="1:17" x14ac:dyDescent="0.35">
      <c r="A1177" s="98" t="s">
        <v>14</v>
      </c>
      <c r="B1177" s="98" t="s">
        <v>152</v>
      </c>
      <c r="C1177" s="98" t="s">
        <v>248</v>
      </c>
      <c r="D1177" s="99">
        <v>1243941.0000000002</v>
      </c>
      <c r="E1177" s="99">
        <v>1502091.5000000002</v>
      </c>
      <c r="F1177" s="99">
        <v>1674908</v>
      </c>
      <c r="G1177" s="99">
        <v>0</v>
      </c>
      <c r="H1177" s="98" t="s">
        <v>225</v>
      </c>
      <c r="I1177" s="99">
        <v>0</v>
      </c>
      <c r="J1177" s="98" t="s">
        <v>225</v>
      </c>
      <c r="K1177" s="99">
        <v>57</v>
      </c>
      <c r="L1177" s="98">
        <v>2022</v>
      </c>
      <c r="M1177" s="98" t="s">
        <v>225</v>
      </c>
      <c r="N1177" s="99">
        <v>57</v>
      </c>
      <c r="O1177" s="100">
        <v>0</v>
      </c>
      <c r="P1177" s="100">
        <v>0</v>
      </c>
      <c r="Q1177" s="100">
        <v>0.3403171995118538</v>
      </c>
    </row>
    <row r="1178" spans="1:17" x14ac:dyDescent="0.35">
      <c r="A1178" s="98" t="s">
        <v>14</v>
      </c>
      <c r="B1178" s="98" t="s">
        <v>152</v>
      </c>
      <c r="C1178" s="98" t="s">
        <v>249</v>
      </c>
      <c r="D1178" s="99">
        <v>1243941.0000000002</v>
      </c>
      <c r="E1178" s="99">
        <v>1502091.5000000002</v>
      </c>
      <c r="F1178" s="99">
        <v>1674908</v>
      </c>
      <c r="G1178" s="99">
        <v>0</v>
      </c>
      <c r="H1178" s="98" t="s">
        <v>225</v>
      </c>
      <c r="I1178" s="99">
        <v>355</v>
      </c>
      <c r="J1178" s="98" t="s">
        <v>229</v>
      </c>
      <c r="K1178" s="99">
        <v>1375</v>
      </c>
      <c r="L1178" s="98">
        <v>2022</v>
      </c>
      <c r="M1178" s="98" t="s">
        <v>225</v>
      </c>
      <c r="N1178" s="99">
        <v>1375</v>
      </c>
      <c r="O1178" s="100">
        <v>0</v>
      </c>
      <c r="P1178" s="100">
        <v>2.3633713392293343</v>
      </c>
      <c r="Q1178" s="100">
        <v>8.2094061285754201</v>
      </c>
    </row>
    <row r="1179" spans="1:17" x14ac:dyDescent="0.35">
      <c r="A1179" s="98" t="s">
        <v>14</v>
      </c>
      <c r="B1179" s="98" t="s">
        <v>152</v>
      </c>
      <c r="C1179" s="98" t="s">
        <v>250</v>
      </c>
      <c r="D1179" s="99">
        <v>1243941.0000000002</v>
      </c>
      <c r="E1179" s="99">
        <v>1502091.5000000002</v>
      </c>
      <c r="F1179" s="99">
        <v>1674908</v>
      </c>
      <c r="G1179" s="99">
        <v>0</v>
      </c>
      <c r="H1179" s="98" t="s">
        <v>225</v>
      </c>
      <c r="I1179" s="99">
        <v>72</v>
      </c>
      <c r="J1179" s="98" t="s">
        <v>229</v>
      </c>
      <c r="K1179" s="99">
        <v>297</v>
      </c>
      <c r="L1179" s="98">
        <v>2022</v>
      </c>
      <c r="M1179" s="98" t="s">
        <v>225</v>
      </c>
      <c r="N1179" s="99">
        <v>297</v>
      </c>
      <c r="O1179" s="100">
        <v>0</v>
      </c>
      <c r="P1179" s="100">
        <v>0.47933165190003396</v>
      </c>
      <c r="Q1179" s="100">
        <v>1.7732317237722908</v>
      </c>
    </row>
    <row r="1180" spans="1:17" x14ac:dyDescent="0.35">
      <c r="A1180" s="98" t="s">
        <v>14</v>
      </c>
      <c r="B1180" s="98" t="s">
        <v>152</v>
      </c>
      <c r="C1180" s="98" t="s">
        <v>251</v>
      </c>
      <c r="D1180" s="99">
        <v>1243941.0000000002</v>
      </c>
      <c r="E1180" s="99">
        <v>1502091.5000000002</v>
      </c>
      <c r="F1180" s="99">
        <v>1674908</v>
      </c>
      <c r="G1180" s="99">
        <v>0</v>
      </c>
      <c r="H1180" s="98" t="s">
        <v>225</v>
      </c>
      <c r="I1180" s="99">
        <v>283</v>
      </c>
      <c r="J1180" s="98" t="s">
        <v>229</v>
      </c>
      <c r="K1180" s="99">
        <v>283</v>
      </c>
      <c r="L1180" s="98" t="s">
        <v>229</v>
      </c>
      <c r="M1180" s="98" t="s">
        <v>225</v>
      </c>
      <c r="N1180" s="99">
        <v>283</v>
      </c>
      <c r="O1180" s="100">
        <v>0</v>
      </c>
      <c r="P1180" s="100">
        <v>1.8840396873293002</v>
      </c>
      <c r="Q1180" s="100">
        <v>1.689645043190432</v>
      </c>
    </row>
    <row r="1181" spans="1:17" x14ac:dyDescent="0.35">
      <c r="A1181" s="98" t="s">
        <v>14</v>
      </c>
      <c r="B1181" s="98" t="s">
        <v>152</v>
      </c>
      <c r="C1181" s="98" t="s">
        <v>252</v>
      </c>
      <c r="D1181" s="99">
        <v>1243941.0000000002</v>
      </c>
      <c r="E1181" s="99">
        <v>1502091.5000000002</v>
      </c>
      <c r="F1181" s="99">
        <v>1674908</v>
      </c>
      <c r="G1181" s="99">
        <v>0</v>
      </c>
      <c r="H1181" s="98" t="s">
        <v>225</v>
      </c>
      <c r="I1181" s="99">
        <v>51</v>
      </c>
      <c r="J1181" s="98" t="s">
        <v>229</v>
      </c>
      <c r="K1181" s="99">
        <v>23</v>
      </c>
      <c r="L1181" s="98">
        <v>2022</v>
      </c>
      <c r="M1181" s="98" t="s">
        <v>226</v>
      </c>
      <c r="N1181" s="99">
        <v>26.43386881936955</v>
      </c>
      <c r="O1181" s="100">
        <v>0</v>
      </c>
      <c r="P1181" s="100">
        <v>0.33952658676252406</v>
      </c>
      <c r="Q1181" s="100">
        <v>0.15782281068195717</v>
      </c>
    </row>
    <row r="1182" spans="1:17" x14ac:dyDescent="0.35">
      <c r="A1182" s="98" t="s">
        <v>14</v>
      </c>
      <c r="B1182" s="98" t="s">
        <v>152</v>
      </c>
      <c r="C1182" s="98" t="s">
        <v>253</v>
      </c>
      <c r="D1182" s="99">
        <v>1243941.0000000002</v>
      </c>
      <c r="E1182" s="99">
        <v>1502091.5000000002</v>
      </c>
      <c r="F1182" s="99">
        <v>1674908</v>
      </c>
      <c r="G1182" s="99">
        <v>0</v>
      </c>
      <c r="H1182" s="98" t="s">
        <v>225</v>
      </c>
      <c r="I1182" s="99">
        <v>51</v>
      </c>
      <c r="J1182" s="98" t="s">
        <v>229</v>
      </c>
      <c r="K1182" s="99">
        <v>23</v>
      </c>
      <c r="L1182" s="98">
        <v>2022</v>
      </c>
      <c r="M1182" s="98" t="s">
        <v>226</v>
      </c>
      <c r="N1182" s="99">
        <v>26.43386881936955</v>
      </c>
      <c r="O1182" s="100">
        <v>0</v>
      </c>
      <c r="P1182" s="100">
        <v>0.33952658676252406</v>
      </c>
      <c r="Q1182" s="100">
        <v>0.15782281068195717</v>
      </c>
    </row>
    <row r="1183" spans="1:17" x14ac:dyDescent="0.35">
      <c r="A1183" s="98" t="s">
        <v>14</v>
      </c>
      <c r="B1183" s="98" t="s">
        <v>152</v>
      </c>
      <c r="C1183" s="98" t="s">
        <v>254</v>
      </c>
      <c r="D1183" s="99">
        <v>1243941.0000000002</v>
      </c>
      <c r="E1183" s="99">
        <v>1502091.5000000002</v>
      </c>
      <c r="F1183" s="99">
        <v>1674908</v>
      </c>
      <c r="G1183" s="99">
        <v>0</v>
      </c>
      <c r="H1183" s="98" t="s">
        <v>225</v>
      </c>
      <c r="I1183" s="99">
        <v>0</v>
      </c>
      <c r="J1183" s="98" t="s">
        <v>225</v>
      </c>
      <c r="K1183" s="99">
        <v>0</v>
      </c>
      <c r="L1183" s="98" t="s">
        <v>225</v>
      </c>
      <c r="M1183" s="98" t="s">
        <v>225</v>
      </c>
      <c r="N1183" s="99">
        <v>0</v>
      </c>
      <c r="O1183" s="100">
        <v>0</v>
      </c>
      <c r="P1183" s="100">
        <v>0</v>
      </c>
      <c r="Q1183" s="100">
        <v>0</v>
      </c>
    </row>
    <row r="1184" spans="1:17" x14ac:dyDescent="0.35">
      <c r="A1184" s="98" t="s">
        <v>14</v>
      </c>
      <c r="B1184" s="98" t="s">
        <v>152</v>
      </c>
      <c r="C1184" s="98" t="s">
        <v>255</v>
      </c>
      <c r="D1184" s="99">
        <v>1243941.0000000002</v>
      </c>
      <c r="E1184" s="99">
        <v>1502091.5000000002</v>
      </c>
      <c r="F1184" s="99">
        <v>1674908</v>
      </c>
      <c r="G1184" s="99">
        <v>0</v>
      </c>
      <c r="H1184" s="98" t="s">
        <v>225</v>
      </c>
      <c r="I1184" s="99">
        <v>10</v>
      </c>
      <c r="J1184" s="98">
        <v>2018</v>
      </c>
      <c r="K1184" s="99">
        <v>14</v>
      </c>
      <c r="L1184" s="98">
        <v>2022</v>
      </c>
      <c r="M1184" s="98" t="s">
        <v>225</v>
      </c>
      <c r="N1184" s="99">
        <v>14</v>
      </c>
      <c r="O1184" s="100">
        <v>0</v>
      </c>
      <c r="P1184" s="100">
        <v>6.6573840541671384E-2</v>
      </c>
      <c r="Q1184" s="100">
        <v>8.3586680581858822E-2</v>
      </c>
    </row>
    <row r="1185" spans="1:17" x14ac:dyDescent="0.35">
      <c r="A1185" s="98" t="s">
        <v>14</v>
      </c>
      <c r="B1185" s="98" t="s">
        <v>152</v>
      </c>
      <c r="C1185" s="98" t="s">
        <v>256</v>
      </c>
      <c r="D1185" s="99">
        <v>1243941.0000000002</v>
      </c>
      <c r="E1185" s="99">
        <v>1502091.5000000002</v>
      </c>
      <c r="F1185" s="99">
        <v>1674908</v>
      </c>
      <c r="G1185" s="99">
        <v>0</v>
      </c>
      <c r="H1185" s="98" t="s">
        <v>225</v>
      </c>
      <c r="I1185" s="99">
        <v>0</v>
      </c>
      <c r="J1185" s="98" t="s">
        <v>225</v>
      </c>
      <c r="K1185" s="99">
        <v>91</v>
      </c>
      <c r="L1185" s="98">
        <v>2022</v>
      </c>
      <c r="M1185" s="98" t="s">
        <v>225</v>
      </c>
      <c r="N1185" s="99">
        <v>91</v>
      </c>
      <c r="O1185" s="100">
        <v>0</v>
      </c>
      <c r="P1185" s="100">
        <v>0</v>
      </c>
      <c r="Q1185" s="100">
        <v>0.54331342378208236</v>
      </c>
    </row>
    <row r="1186" spans="1:17" x14ac:dyDescent="0.35">
      <c r="A1186" s="98" t="s">
        <v>14</v>
      </c>
      <c r="B1186" s="98" t="s">
        <v>152</v>
      </c>
      <c r="C1186" s="98" t="s">
        <v>257</v>
      </c>
      <c r="D1186" s="99">
        <v>1243941.0000000002</v>
      </c>
      <c r="E1186" s="99">
        <v>1502091.5000000002</v>
      </c>
      <c r="F1186" s="99">
        <v>1674908</v>
      </c>
      <c r="G1186" s="99">
        <v>0</v>
      </c>
      <c r="H1186" s="98" t="s">
        <v>225</v>
      </c>
      <c r="I1186" s="99">
        <v>0</v>
      </c>
      <c r="J1186" s="98" t="s">
        <v>225</v>
      </c>
      <c r="K1186" s="99">
        <v>0</v>
      </c>
      <c r="L1186" s="98" t="s">
        <v>225</v>
      </c>
      <c r="M1186" s="98" t="s">
        <v>225</v>
      </c>
      <c r="N1186" s="99">
        <v>0</v>
      </c>
      <c r="O1186" s="100">
        <v>0</v>
      </c>
      <c r="P1186" s="100">
        <v>0</v>
      </c>
      <c r="Q1186" s="100">
        <v>0</v>
      </c>
    </row>
    <row r="1187" spans="1:17" x14ac:dyDescent="0.35">
      <c r="A1187" s="98" t="s">
        <v>14</v>
      </c>
      <c r="B1187" s="98" t="s">
        <v>152</v>
      </c>
      <c r="C1187" s="98" t="s">
        <v>258</v>
      </c>
      <c r="D1187" s="99">
        <v>1243941.0000000002</v>
      </c>
      <c r="E1187" s="99">
        <v>1502091.5000000002</v>
      </c>
      <c r="F1187" s="99">
        <v>1674908</v>
      </c>
      <c r="G1187" s="99">
        <v>0</v>
      </c>
      <c r="H1187" s="98" t="s">
        <v>225</v>
      </c>
      <c r="I1187" s="99">
        <v>0</v>
      </c>
      <c r="J1187" s="98" t="s">
        <v>225</v>
      </c>
      <c r="K1187" s="99">
        <v>0</v>
      </c>
      <c r="L1187" s="98" t="s">
        <v>225</v>
      </c>
      <c r="M1187" s="98" t="s">
        <v>225</v>
      </c>
      <c r="N1187" s="99">
        <v>0</v>
      </c>
      <c r="O1187" s="100">
        <v>0</v>
      </c>
      <c r="P1187" s="100">
        <v>0</v>
      </c>
      <c r="Q1187" s="100">
        <v>0</v>
      </c>
    </row>
    <row r="1188" spans="1:17" x14ac:dyDescent="0.35">
      <c r="A1188" s="98" t="s">
        <v>14</v>
      </c>
      <c r="B1188" s="98" t="s">
        <v>152</v>
      </c>
      <c r="C1188" s="98" t="s">
        <v>259</v>
      </c>
      <c r="D1188" s="99">
        <v>1243941.0000000002</v>
      </c>
      <c r="E1188" s="99">
        <v>1502091.5000000002</v>
      </c>
      <c r="F1188" s="99">
        <v>1674908</v>
      </c>
      <c r="G1188" s="99">
        <v>0</v>
      </c>
      <c r="H1188" s="98" t="s">
        <v>225</v>
      </c>
      <c r="I1188" s="99">
        <v>0</v>
      </c>
      <c r="J1188" s="98" t="s">
        <v>225</v>
      </c>
      <c r="K1188" s="99">
        <v>0</v>
      </c>
      <c r="L1188" s="98" t="s">
        <v>225</v>
      </c>
      <c r="M1188" s="98" t="s">
        <v>225</v>
      </c>
      <c r="N1188" s="99">
        <v>0</v>
      </c>
      <c r="O1188" s="100">
        <v>0</v>
      </c>
      <c r="P1188" s="100">
        <v>0</v>
      </c>
      <c r="Q1188" s="100">
        <v>0</v>
      </c>
    </row>
    <row r="1189" spans="1:17" x14ac:dyDescent="0.35">
      <c r="A1189" s="98" t="s">
        <v>23</v>
      </c>
      <c r="B1189" s="98" t="s">
        <v>162</v>
      </c>
      <c r="C1189" s="98" t="s">
        <v>246</v>
      </c>
      <c r="D1189" s="99">
        <v>44792368.000000007</v>
      </c>
      <c r="E1189" s="99">
        <v>49953303.999999993</v>
      </c>
      <c r="F1189" s="99">
        <v>54027486.999999985</v>
      </c>
      <c r="G1189" s="99">
        <v>8682</v>
      </c>
      <c r="H1189" s="98">
        <v>2013</v>
      </c>
      <c r="I1189" s="99">
        <v>8042</v>
      </c>
      <c r="J1189" s="98">
        <v>2018</v>
      </c>
      <c r="K1189" s="99">
        <v>12792</v>
      </c>
      <c r="L1189" s="98">
        <v>2022</v>
      </c>
      <c r="M1189" s="98" t="s">
        <v>225</v>
      </c>
      <c r="N1189" s="99">
        <v>12792</v>
      </c>
      <c r="O1189" s="100">
        <v>1.9382766278398138</v>
      </c>
      <c r="P1189" s="100">
        <v>1.6099035210964225</v>
      </c>
      <c r="Q1189" s="100">
        <v>2.3676836940426274</v>
      </c>
    </row>
    <row r="1190" spans="1:17" x14ac:dyDescent="0.35">
      <c r="A1190" s="98" t="s">
        <v>23</v>
      </c>
      <c r="B1190" s="98" t="s">
        <v>162</v>
      </c>
      <c r="C1190" s="98" t="s">
        <v>247</v>
      </c>
      <c r="D1190" s="99">
        <v>44792368.000000007</v>
      </c>
      <c r="E1190" s="99">
        <v>49953303.999999993</v>
      </c>
      <c r="F1190" s="99">
        <v>54027486.999999985</v>
      </c>
      <c r="G1190" s="99">
        <v>0</v>
      </c>
      <c r="H1190" s="98" t="s">
        <v>225</v>
      </c>
      <c r="I1190" s="99">
        <v>5602</v>
      </c>
      <c r="J1190" s="98">
        <v>2018</v>
      </c>
      <c r="K1190" s="99">
        <v>3544</v>
      </c>
      <c r="L1190" s="98">
        <v>2022</v>
      </c>
      <c r="M1190" s="98" t="s">
        <v>226</v>
      </c>
      <c r="N1190" s="99">
        <v>4073.1143954715512</v>
      </c>
      <c r="O1190" s="100">
        <v>0</v>
      </c>
      <c r="P1190" s="100">
        <v>1.1214473421017359</v>
      </c>
      <c r="Q1190" s="100">
        <v>0.75389669622641386</v>
      </c>
    </row>
    <row r="1191" spans="1:17" x14ac:dyDescent="0.35">
      <c r="A1191" s="98" t="s">
        <v>23</v>
      </c>
      <c r="B1191" s="98" t="s">
        <v>162</v>
      </c>
      <c r="C1191" s="98" t="s">
        <v>248</v>
      </c>
      <c r="D1191" s="99">
        <v>44792368.000000007</v>
      </c>
      <c r="E1191" s="99">
        <v>49953303.999999993</v>
      </c>
      <c r="F1191" s="99">
        <v>54027486.999999985</v>
      </c>
      <c r="G1191" s="99">
        <v>0</v>
      </c>
      <c r="H1191" s="98" t="s">
        <v>225</v>
      </c>
      <c r="I1191" s="99">
        <v>2440</v>
      </c>
      <c r="J1191" s="98">
        <v>2018</v>
      </c>
      <c r="K1191" s="99">
        <v>1973</v>
      </c>
      <c r="L1191" s="98">
        <v>2022</v>
      </c>
      <c r="M1191" s="98" t="s">
        <v>226</v>
      </c>
      <c r="N1191" s="99">
        <v>2267.5662252441793</v>
      </c>
      <c r="O1191" s="100">
        <v>0</v>
      </c>
      <c r="P1191" s="100">
        <v>0.4884561789946868</v>
      </c>
      <c r="Q1191" s="100">
        <v>0.41970603319828292</v>
      </c>
    </row>
    <row r="1192" spans="1:17" x14ac:dyDescent="0.35">
      <c r="A1192" s="98" t="s">
        <v>23</v>
      </c>
      <c r="B1192" s="98" t="s">
        <v>162</v>
      </c>
      <c r="C1192" s="98" t="s">
        <v>249</v>
      </c>
      <c r="D1192" s="99">
        <v>44792368.000000007</v>
      </c>
      <c r="E1192" s="99">
        <v>49953303.999999993</v>
      </c>
      <c r="F1192" s="99">
        <v>54027486.999999985</v>
      </c>
      <c r="G1192" s="99">
        <v>40292</v>
      </c>
      <c r="H1192" s="98">
        <v>2013</v>
      </c>
      <c r="I1192" s="99">
        <v>59901</v>
      </c>
      <c r="J1192" s="98">
        <v>2018</v>
      </c>
      <c r="K1192" s="99">
        <v>109659</v>
      </c>
      <c r="L1192" s="98">
        <v>2022</v>
      </c>
      <c r="M1192" s="98" t="s">
        <v>225</v>
      </c>
      <c r="N1192" s="99">
        <v>109659</v>
      </c>
      <c r="O1192" s="100">
        <v>8.9952824106106632</v>
      </c>
      <c r="P1192" s="100">
        <v>11.991399007360956</v>
      </c>
      <c r="Q1192" s="100">
        <v>20.296890728972834</v>
      </c>
    </row>
    <row r="1193" spans="1:17" x14ac:dyDescent="0.35">
      <c r="A1193" s="98" t="s">
        <v>23</v>
      </c>
      <c r="B1193" s="98" t="s">
        <v>162</v>
      </c>
      <c r="C1193" s="98" t="s">
        <v>250</v>
      </c>
      <c r="D1193" s="99">
        <v>44792368.000000007</v>
      </c>
      <c r="E1193" s="99">
        <v>49953303.999999993</v>
      </c>
      <c r="F1193" s="99">
        <v>54027486.999999985</v>
      </c>
      <c r="G1193" s="99">
        <v>28300</v>
      </c>
      <c r="H1193" s="98">
        <v>2013</v>
      </c>
      <c r="I1193" s="99">
        <v>46703</v>
      </c>
      <c r="J1193" s="98">
        <v>2018</v>
      </c>
      <c r="K1193" s="99">
        <v>34634</v>
      </c>
      <c r="L1193" s="98">
        <v>2022</v>
      </c>
      <c r="M1193" s="98" t="s">
        <v>226</v>
      </c>
      <c r="N1193" s="99">
        <v>39804.809247393256</v>
      </c>
      <c r="O1193" s="100">
        <v>6.3180406090608994</v>
      </c>
      <c r="P1193" s="100">
        <v>9.3493315277003521</v>
      </c>
      <c r="Q1193" s="100">
        <v>7.3675107723209976</v>
      </c>
    </row>
    <row r="1194" spans="1:17" x14ac:dyDescent="0.35">
      <c r="A1194" s="98" t="s">
        <v>23</v>
      </c>
      <c r="B1194" s="98" t="s">
        <v>162</v>
      </c>
      <c r="C1194" s="98" t="s">
        <v>251</v>
      </c>
      <c r="D1194" s="99">
        <v>44792368.000000007</v>
      </c>
      <c r="E1194" s="99">
        <v>49953303.999999993</v>
      </c>
      <c r="F1194" s="99">
        <v>54027486.999999985</v>
      </c>
      <c r="G1194" s="99">
        <v>11992</v>
      </c>
      <c r="H1194" s="98">
        <v>2013</v>
      </c>
      <c r="I1194" s="99">
        <v>13198</v>
      </c>
      <c r="J1194" s="98">
        <v>2018</v>
      </c>
      <c r="K1194" s="99">
        <v>13198</v>
      </c>
      <c r="L1194" s="98">
        <v>2018</v>
      </c>
      <c r="M1194" s="98" t="s">
        <v>225</v>
      </c>
      <c r="N1194" s="99">
        <v>13198</v>
      </c>
      <c r="O1194" s="100">
        <v>2.6772418015497634</v>
      </c>
      <c r="P1194" s="100">
        <v>2.642067479660605</v>
      </c>
      <c r="Q1194" s="100">
        <v>2.4428306280467948</v>
      </c>
    </row>
    <row r="1195" spans="1:17" x14ac:dyDescent="0.35">
      <c r="A1195" s="98" t="s">
        <v>23</v>
      </c>
      <c r="B1195" s="98" t="s">
        <v>162</v>
      </c>
      <c r="C1195" s="98" t="s">
        <v>252</v>
      </c>
      <c r="D1195" s="99">
        <v>44792368.000000007</v>
      </c>
      <c r="E1195" s="99">
        <v>49953303.999999993</v>
      </c>
      <c r="F1195" s="99">
        <v>54027486.999999985</v>
      </c>
      <c r="G1195" s="99">
        <v>0</v>
      </c>
      <c r="H1195" s="98" t="s">
        <v>225</v>
      </c>
      <c r="I1195" s="99">
        <v>0</v>
      </c>
      <c r="J1195" s="98" t="s">
        <v>225</v>
      </c>
      <c r="K1195" s="99">
        <v>137</v>
      </c>
      <c r="L1195" s="98">
        <v>2022</v>
      </c>
      <c r="M1195" s="98" t="s">
        <v>225</v>
      </c>
      <c r="N1195" s="99">
        <v>137</v>
      </c>
      <c r="O1195" s="100">
        <v>0</v>
      </c>
      <c r="P1195" s="100">
        <v>0</v>
      </c>
      <c r="Q1195" s="100">
        <v>2.5357462952145089E-2</v>
      </c>
    </row>
    <row r="1196" spans="1:17" x14ac:dyDescent="0.35">
      <c r="A1196" s="98" t="s">
        <v>23</v>
      </c>
      <c r="B1196" s="98" t="s">
        <v>162</v>
      </c>
      <c r="C1196" s="98" t="s">
        <v>253</v>
      </c>
      <c r="D1196" s="99">
        <v>44792368.000000007</v>
      </c>
      <c r="E1196" s="99">
        <v>49953303.999999993</v>
      </c>
      <c r="F1196" s="99">
        <v>54027486.999999985</v>
      </c>
      <c r="G1196" s="99">
        <v>0</v>
      </c>
      <c r="H1196" s="98" t="s">
        <v>225</v>
      </c>
      <c r="I1196" s="99">
        <v>0</v>
      </c>
      <c r="J1196" s="98" t="s">
        <v>225</v>
      </c>
      <c r="K1196" s="99">
        <v>137</v>
      </c>
      <c r="L1196" s="98">
        <v>2022</v>
      </c>
      <c r="M1196" s="98" t="s">
        <v>225</v>
      </c>
      <c r="N1196" s="99">
        <v>137</v>
      </c>
      <c r="O1196" s="100">
        <v>0</v>
      </c>
      <c r="P1196" s="100">
        <v>0</v>
      </c>
      <c r="Q1196" s="100">
        <v>2.5357462952145089E-2</v>
      </c>
    </row>
    <row r="1197" spans="1:17" x14ac:dyDescent="0.35">
      <c r="A1197" s="98" t="s">
        <v>23</v>
      </c>
      <c r="B1197" s="98" t="s">
        <v>162</v>
      </c>
      <c r="C1197" s="98" t="s">
        <v>254</v>
      </c>
      <c r="D1197" s="99">
        <v>44792368.000000007</v>
      </c>
      <c r="E1197" s="99">
        <v>49953303.999999993</v>
      </c>
      <c r="F1197" s="99">
        <v>54027486.999999985</v>
      </c>
      <c r="G1197" s="99">
        <v>0</v>
      </c>
      <c r="H1197" s="98" t="s">
        <v>225</v>
      </c>
      <c r="I1197" s="99">
        <v>0</v>
      </c>
      <c r="J1197" s="98" t="s">
        <v>225</v>
      </c>
      <c r="K1197" s="99">
        <v>0</v>
      </c>
      <c r="L1197" s="98" t="s">
        <v>225</v>
      </c>
      <c r="M1197" s="98" t="s">
        <v>225</v>
      </c>
      <c r="N1197" s="99">
        <v>0</v>
      </c>
      <c r="O1197" s="100">
        <v>0</v>
      </c>
      <c r="P1197" s="100">
        <v>0</v>
      </c>
      <c r="Q1197" s="100">
        <v>0</v>
      </c>
    </row>
    <row r="1198" spans="1:17" x14ac:dyDescent="0.35">
      <c r="A1198" s="98" t="s">
        <v>23</v>
      </c>
      <c r="B1198" s="98" t="s">
        <v>162</v>
      </c>
      <c r="C1198" s="98" t="s">
        <v>255</v>
      </c>
      <c r="D1198" s="99">
        <v>44792368.000000007</v>
      </c>
      <c r="E1198" s="99">
        <v>49953303.999999993</v>
      </c>
      <c r="F1198" s="99">
        <v>54027486.999999985</v>
      </c>
      <c r="G1198" s="99">
        <v>2202</v>
      </c>
      <c r="H1198" s="98">
        <v>2013</v>
      </c>
      <c r="I1198" s="99">
        <v>964</v>
      </c>
      <c r="J1198" s="98">
        <v>2018</v>
      </c>
      <c r="K1198" s="99">
        <v>1337</v>
      </c>
      <c r="L1198" s="98">
        <v>2022</v>
      </c>
      <c r="M1198" s="98" t="s">
        <v>225</v>
      </c>
      <c r="N1198" s="99">
        <v>1337</v>
      </c>
      <c r="O1198" s="100">
        <v>0.49160160498770678</v>
      </c>
      <c r="P1198" s="100">
        <v>0.19298022809462215</v>
      </c>
      <c r="Q1198" s="100">
        <v>0.24746662749648163</v>
      </c>
    </row>
    <row r="1199" spans="1:17" x14ac:dyDescent="0.35">
      <c r="A1199" s="98" t="s">
        <v>23</v>
      </c>
      <c r="B1199" s="98" t="s">
        <v>162</v>
      </c>
      <c r="C1199" s="98" t="s">
        <v>256</v>
      </c>
      <c r="D1199" s="99">
        <v>44792368.000000007</v>
      </c>
      <c r="E1199" s="99">
        <v>49953303.999999993</v>
      </c>
      <c r="F1199" s="99">
        <v>54027486.999999985</v>
      </c>
      <c r="G1199" s="99">
        <v>0</v>
      </c>
      <c r="H1199" s="98" t="s">
        <v>225</v>
      </c>
      <c r="I1199" s="99">
        <v>1331</v>
      </c>
      <c r="J1199" s="98">
        <v>2018</v>
      </c>
      <c r="K1199" s="99">
        <v>6240</v>
      </c>
      <c r="L1199" s="98">
        <v>2022</v>
      </c>
      <c r="M1199" s="98" t="s">
        <v>225</v>
      </c>
      <c r="N1199" s="99">
        <v>6240</v>
      </c>
      <c r="O1199" s="100">
        <v>0</v>
      </c>
      <c r="P1199" s="100">
        <v>0.26644884190242957</v>
      </c>
      <c r="Q1199" s="100">
        <v>1.1549676556305499</v>
      </c>
    </row>
    <row r="1200" spans="1:17" x14ac:dyDescent="0.35">
      <c r="A1200" s="98" t="s">
        <v>23</v>
      </c>
      <c r="B1200" s="98" t="s">
        <v>162</v>
      </c>
      <c r="C1200" s="98" t="s">
        <v>257</v>
      </c>
      <c r="D1200" s="99">
        <v>44792368.000000007</v>
      </c>
      <c r="E1200" s="99">
        <v>49953303.999999993</v>
      </c>
      <c r="F1200" s="99">
        <v>54027486.999999985</v>
      </c>
      <c r="G1200" s="99">
        <v>1045</v>
      </c>
      <c r="H1200" s="98">
        <v>2013</v>
      </c>
      <c r="I1200" s="99">
        <v>1300</v>
      </c>
      <c r="J1200" s="98" t="s">
        <v>229</v>
      </c>
      <c r="K1200" s="99">
        <v>1344</v>
      </c>
      <c r="L1200" s="98">
        <v>2022</v>
      </c>
      <c r="M1200" s="98" t="s">
        <v>225</v>
      </c>
      <c r="N1200" s="99">
        <v>1344</v>
      </c>
      <c r="O1200" s="100">
        <v>0.2332986726667364</v>
      </c>
      <c r="P1200" s="100">
        <v>0.26024304618569377</v>
      </c>
      <c r="Q1200" s="100">
        <v>0.24876226428965692</v>
      </c>
    </row>
    <row r="1201" spans="1:17" x14ac:dyDescent="0.35">
      <c r="A1201" s="98" t="s">
        <v>23</v>
      </c>
      <c r="B1201" s="98" t="s">
        <v>162</v>
      </c>
      <c r="C1201" s="98" t="s">
        <v>258</v>
      </c>
      <c r="D1201" s="99">
        <v>44792368.000000007</v>
      </c>
      <c r="E1201" s="99">
        <v>49953303.999999993</v>
      </c>
      <c r="F1201" s="99">
        <v>54027486.999999985</v>
      </c>
      <c r="G1201" s="99">
        <v>0</v>
      </c>
      <c r="H1201" s="98" t="s">
        <v>225</v>
      </c>
      <c r="I1201" s="99">
        <v>464</v>
      </c>
      <c r="J1201" s="98" t="s">
        <v>229</v>
      </c>
      <c r="K1201" s="99">
        <v>987</v>
      </c>
      <c r="L1201" s="98">
        <v>2022</v>
      </c>
      <c r="M1201" s="98" t="s">
        <v>225</v>
      </c>
      <c r="N1201" s="99">
        <v>987</v>
      </c>
      <c r="O1201" s="100">
        <v>0</v>
      </c>
      <c r="P1201" s="100">
        <v>9.2886748792432236E-2</v>
      </c>
      <c r="Q1201" s="100">
        <v>0.1826847878377168</v>
      </c>
    </row>
    <row r="1202" spans="1:17" x14ac:dyDescent="0.35">
      <c r="A1202" s="98" t="s">
        <v>23</v>
      </c>
      <c r="B1202" s="98" t="s">
        <v>162</v>
      </c>
      <c r="C1202" s="98" t="s">
        <v>259</v>
      </c>
      <c r="D1202" s="99">
        <v>44792368.000000007</v>
      </c>
      <c r="E1202" s="99">
        <v>49953303.999999993</v>
      </c>
      <c r="F1202" s="99">
        <v>54027486.999999985</v>
      </c>
      <c r="G1202" s="99">
        <v>0</v>
      </c>
      <c r="H1202" s="98" t="s">
        <v>225</v>
      </c>
      <c r="I1202" s="99">
        <v>0</v>
      </c>
      <c r="J1202" s="98" t="s">
        <v>225</v>
      </c>
      <c r="K1202" s="99">
        <v>0</v>
      </c>
      <c r="L1202" s="98" t="s">
        <v>225</v>
      </c>
      <c r="M1202" s="98" t="s">
        <v>225</v>
      </c>
      <c r="N1202" s="99">
        <v>0</v>
      </c>
      <c r="O1202" s="100">
        <v>0</v>
      </c>
      <c r="P1202" s="100">
        <v>0</v>
      </c>
      <c r="Q1202" s="100">
        <v>0</v>
      </c>
    </row>
    <row r="1203" spans="1:17" x14ac:dyDescent="0.35">
      <c r="A1203" s="98" t="s">
        <v>25</v>
      </c>
      <c r="B1203" s="98" t="s">
        <v>164</v>
      </c>
      <c r="C1203" s="98" t="s">
        <v>246</v>
      </c>
      <c r="D1203" s="99">
        <v>4427312.4999999991</v>
      </c>
      <c r="E1203" s="99">
        <v>4889391</v>
      </c>
      <c r="F1203" s="99">
        <v>5302681.0000000028</v>
      </c>
      <c r="G1203" s="99">
        <v>168</v>
      </c>
      <c r="H1203" s="98">
        <v>2015</v>
      </c>
      <c r="I1203" s="99">
        <v>693</v>
      </c>
      <c r="J1203" s="98">
        <v>2018</v>
      </c>
      <c r="K1203" s="99">
        <v>954</v>
      </c>
      <c r="L1203" s="98">
        <v>2022</v>
      </c>
      <c r="M1203" s="98" t="s">
        <v>225</v>
      </c>
      <c r="N1203" s="99">
        <v>954</v>
      </c>
      <c r="O1203" s="100">
        <v>0.37946271016559152</v>
      </c>
      <c r="P1203" s="100">
        <v>1.4173544312573898</v>
      </c>
      <c r="Q1203" s="100">
        <v>1.7990899320551237</v>
      </c>
    </row>
    <row r="1204" spans="1:17" x14ac:dyDescent="0.35">
      <c r="A1204" s="98" t="s">
        <v>25</v>
      </c>
      <c r="B1204" s="98" t="s">
        <v>164</v>
      </c>
      <c r="C1204" s="98" t="s">
        <v>247</v>
      </c>
      <c r="D1204" s="99">
        <v>4427312.4999999991</v>
      </c>
      <c r="E1204" s="99">
        <v>4889391</v>
      </c>
      <c r="F1204" s="99">
        <v>5302681.0000000028</v>
      </c>
      <c r="G1204" s="99">
        <v>0</v>
      </c>
      <c r="H1204" s="98" t="s">
        <v>225</v>
      </c>
      <c r="I1204" s="99">
        <v>672</v>
      </c>
      <c r="J1204" s="98">
        <v>2018</v>
      </c>
      <c r="K1204" s="99">
        <v>840</v>
      </c>
      <c r="L1204" s="98">
        <v>2022</v>
      </c>
      <c r="M1204" s="98" t="s">
        <v>225</v>
      </c>
      <c r="N1204" s="99">
        <v>840</v>
      </c>
      <c r="O1204" s="100">
        <v>0</v>
      </c>
      <c r="P1204" s="100">
        <v>1.3744042969768628</v>
      </c>
      <c r="Q1204" s="100">
        <v>1.5841043426900459</v>
      </c>
    </row>
    <row r="1205" spans="1:17" x14ac:dyDescent="0.35">
      <c r="A1205" s="98" t="s">
        <v>25</v>
      </c>
      <c r="B1205" s="98" t="s">
        <v>164</v>
      </c>
      <c r="C1205" s="98" t="s">
        <v>248</v>
      </c>
      <c r="D1205" s="99">
        <v>4427312.4999999991</v>
      </c>
      <c r="E1205" s="99">
        <v>4889391</v>
      </c>
      <c r="F1205" s="99">
        <v>5302681.0000000028</v>
      </c>
      <c r="G1205" s="99">
        <v>0</v>
      </c>
      <c r="H1205" s="98" t="s">
        <v>225</v>
      </c>
      <c r="I1205" s="99">
        <v>21</v>
      </c>
      <c r="J1205" s="98">
        <v>2018</v>
      </c>
      <c r="K1205" s="99">
        <v>114</v>
      </c>
      <c r="L1205" s="98">
        <v>2022</v>
      </c>
      <c r="M1205" s="98" t="s">
        <v>225</v>
      </c>
      <c r="N1205" s="99">
        <v>114</v>
      </c>
      <c r="O1205" s="100">
        <v>0</v>
      </c>
      <c r="P1205" s="100">
        <v>4.2950134280526964E-2</v>
      </c>
      <c r="Q1205" s="100">
        <v>0.21498558936507767</v>
      </c>
    </row>
    <row r="1206" spans="1:17" x14ac:dyDescent="0.35">
      <c r="A1206" s="98" t="s">
        <v>25</v>
      </c>
      <c r="B1206" s="98" t="s">
        <v>164</v>
      </c>
      <c r="C1206" s="98" t="s">
        <v>249</v>
      </c>
      <c r="D1206" s="99">
        <v>4427312.4999999991</v>
      </c>
      <c r="E1206" s="99">
        <v>4889391</v>
      </c>
      <c r="F1206" s="99">
        <v>5302681.0000000028</v>
      </c>
      <c r="G1206" s="99">
        <v>0</v>
      </c>
      <c r="H1206" s="98" t="s">
        <v>225</v>
      </c>
      <c r="I1206" s="99">
        <v>8488</v>
      </c>
      <c r="J1206" s="98" t="s">
        <v>229</v>
      </c>
      <c r="K1206" s="99">
        <v>3440</v>
      </c>
      <c r="L1206" s="98">
        <v>2022</v>
      </c>
      <c r="M1206" s="98" t="s">
        <v>226</v>
      </c>
      <c r="N1206" s="99">
        <v>4423.7952883834278</v>
      </c>
      <c r="O1206" s="100">
        <v>0</v>
      </c>
      <c r="P1206" s="100">
        <v>17.360035227291089</v>
      </c>
      <c r="Q1206" s="100">
        <v>8.3425634851189905</v>
      </c>
    </row>
    <row r="1207" spans="1:17" x14ac:dyDescent="0.35">
      <c r="A1207" s="98" t="s">
        <v>25</v>
      </c>
      <c r="B1207" s="98" t="s">
        <v>164</v>
      </c>
      <c r="C1207" s="98" t="s">
        <v>250</v>
      </c>
      <c r="D1207" s="99">
        <v>4427312.4999999991</v>
      </c>
      <c r="E1207" s="99">
        <v>4889391</v>
      </c>
      <c r="F1207" s="99">
        <v>5302681.0000000028</v>
      </c>
      <c r="G1207" s="99">
        <v>0</v>
      </c>
      <c r="H1207" s="98" t="s">
        <v>225</v>
      </c>
      <c r="I1207" s="99">
        <v>4887</v>
      </c>
      <c r="J1207" s="98" t="s">
        <v>229</v>
      </c>
      <c r="K1207" s="99">
        <v>2017</v>
      </c>
      <c r="L1207" s="98">
        <v>2022</v>
      </c>
      <c r="M1207" s="98" t="s">
        <v>226</v>
      </c>
      <c r="N1207" s="99">
        <v>2593.8357839155155</v>
      </c>
      <c r="O1207" s="100">
        <v>0</v>
      </c>
      <c r="P1207" s="100">
        <v>9.9951098204254887</v>
      </c>
      <c r="Q1207" s="100">
        <v>4.891555392292152</v>
      </c>
    </row>
    <row r="1208" spans="1:17" x14ac:dyDescent="0.35">
      <c r="A1208" s="98" t="s">
        <v>25</v>
      </c>
      <c r="B1208" s="98" t="s">
        <v>164</v>
      </c>
      <c r="C1208" s="98" t="s">
        <v>251</v>
      </c>
      <c r="D1208" s="99">
        <v>4427312.4999999991</v>
      </c>
      <c r="E1208" s="99">
        <v>4889391</v>
      </c>
      <c r="F1208" s="99">
        <v>5302681.0000000028</v>
      </c>
      <c r="G1208" s="99">
        <v>0</v>
      </c>
      <c r="H1208" s="98" t="s">
        <v>225</v>
      </c>
      <c r="I1208" s="99">
        <v>3601</v>
      </c>
      <c r="J1208" s="98" t="s">
        <v>229</v>
      </c>
      <c r="K1208" s="99">
        <v>1423</v>
      </c>
      <c r="L1208" s="98">
        <v>2022</v>
      </c>
      <c r="M1208" s="98" t="s">
        <v>226</v>
      </c>
      <c r="N1208" s="99">
        <v>1829.9595044679122</v>
      </c>
      <c r="O1208" s="100">
        <v>0</v>
      </c>
      <c r="P1208" s="100">
        <v>7.3649254068655994</v>
      </c>
      <c r="Q1208" s="100">
        <v>3.451008092826839</v>
      </c>
    </row>
    <row r="1209" spans="1:17" x14ac:dyDescent="0.35">
      <c r="A1209" s="98" t="s">
        <v>25</v>
      </c>
      <c r="B1209" s="98" t="s">
        <v>164</v>
      </c>
      <c r="C1209" s="98" t="s">
        <v>252</v>
      </c>
      <c r="D1209" s="99">
        <v>4427312.4999999991</v>
      </c>
      <c r="E1209" s="99">
        <v>4889391</v>
      </c>
      <c r="F1209" s="99">
        <v>5302681.0000000028</v>
      </c>
      <c r="G1209" s="99">
        <v>806</v>
      </c>
      <c r="H1209" s="98">
        <v>2013</v>
      </c>
      <c r="I1209" s="99">
        <v>927</v>
      </c>
      <c r="J1209" s="98" t="s">
        <v>229</v>
      </c>
      <c r="K1209" s="99">
        <v>769</v>
      </c>
      <c r="L1209" s="98">
        <v>2022</v>
      </c>
      <c r="M1209" s="98" t="s">
        <v>226</v>
      </c>
      <c r="N1209" s="99">
        <v>988.92400487408611</v>
      </c>
      <c r="O1209" s="100">
        <v>1.8205175261515878</v>
      </c>
      <c r="P1209" s="100">
        <v>1.8959416418118331</v>
      </c>
      <c r="Q1209" s="100">
        <v>1.864950965132705</v>
      </c>
    </row>
    <row r="1210" spans="1:17" x14ac:dyDescent="0.35">
      <c r="A1210" s="98" t="s">
        <v>25</v>
      </c>
      <c r="B1210" s="98" t="s">
        <v>164</v>
      </c>
      <c r="C1210" s="98" t="s">
        <v>253</v>
      </c>
      <c r="D1210" s="99">
        <v>4427312.4999999991</v>
      </c>
      <c r="E1210" s="99">
        <v>4889391</v>
      </c>
      <c r="F1210" s="99">
        <v>5302681.0000000028</v>
      </c>
      <c r="G1210" s="99">
        <v>806</v>
      </c>
      <c r="H1210" s="98">
        <v>2013</v>
      </c>
      <c r="I1210" s="99">
        <v>927</v>
      </c>
      <c r="J1210" s="98" t="s">
        <v>229</v>
      </c>
      <c r="K1210" s="99">
        <v>769</v>
      </c>
      <c r="L1210" s="98">
        <v>2022</v>
      </c>
      <c r="M1210" s="98" t="s">
        <v>226</v>
      </c>
      <c r="N1210" s="99">
        <v>988.92400487408611</v>
      </c>
      <c r="O1210" s="100">
        <v>1.8205175261515878</v>
      </c>
      <c r="P1210" s="100">
        <v>1.8959416418118331</v>
      </c>
      <c r="Q1210" s="100">
        <v>1.864950965132705</v>
      </c>
    </row>
    <row r="1211" spans="1:17" x14ac:dyDescent="0.35">
      <c r="A1211" s="98" t="s">
        <v>25</v>
      </c>
      <c r="B1211" s="98" t="s">
        <v>164</v>
      </c>
      <c r="C1211" s="98" t="s">
        <v>254</v>
      </c>
      <c r="D1211" s="99">
        <v>4427312.4999999991</v>
      </c>
      <c r="E1211" s="99">
        <v>4889391</v>
      </c>
      <c r="F1211" s="99">
        <v>5302681.0000000028</v>
      </c>
      <c r="G1211" s="99">
        <v>0</v>
      </c>
      <c r="H1211" s="98" t="s">
        <v>225</v>
      </c>
      <c r="I1211" s="99">
        <v>0</v>
      </c>
      <c r="J1211" s="98" t="s">
        <v>225</v>
      </c>
      <c r="K1211" s="99">
        <v>0</v>
      </c>
      <c r="L1211" s="98" t="s">
        <v>225</v>
      </c>
      <c r="M1211" s="98" t="s">
        <v>225</v>
      </c>
      <c r="N1211" s="99">
        <v>0</v>
      </c>
      <c r="O1211" s="100">
        <v>0</v>
      </c>
      <c r="P1211" s="100">
        <v>0</v>
      </c>
      <c r="Q1211" s="100">
        <v>0</v>
      </c>
    </row>
    <row r="1212" spans="1:17" x14ac:dyDescent="0.35">
      <c r="A1212" s="98" t="s">
        <v>25</v>
      </c>
      <c r="B1212" s="98" t="s">
        <v>164</v>
      </c>
      <c r="C1212" s="98" t="s">
        <v>255</v>
      </c>
      <c r="D1212" s="99">
        <v>4427312.4999999991</v>
      </c>
      <c r="E1212" s="99">
        <v>4889391</v>
      </c>
      <c r="F1212" s="99">
        <v>5302681.0000000028</v>
      </c>
      <c r="G1212" s="99">
        <v>0</v>
      </c>
      <c r="H1212" s="98" t="s">
        <v>225</v>
      </c>
      <c r="I1212" s="99">
        <v>109</v>
      </c>
      <c r="J1212" s="98" t="s">
        <v>229</v>
      </c>
      <c r="K1212" s="99">
        <v>170</v>
      </c>
      <c r="L1212" s="98">
        <v>2022</v>
      </c>
      <c r="M1212" s="98" t="s">
        <v>225</v>
      </c>
      <c r="N1212" s="99">
        <v>170</v>
      </c>
      <c r="O1212" s="100">
        <v>0</v>
      </c>
      <c r="P1212" s="100">
        <v>0.22293164936083043</v>
      </c>
      <c r="Q1212" s="100">
        <v>0.32059254554441408</v>
      </c>
    </row>
    <row r="1213" spans="1:17" x14ac:dyDescent="0.35">
      <c r="A1213" s="98" t="s">
        <v>25</v>
      </c>
      <c r="B1213" s="98" t="s">
        <v>164</v>
      </c>
      <c r="C1213" s="98" t="s">
        <v>256</v>
      </c>
      <c r="D1213" s="99">
        <v>4427312.4999999991</v>
      </c>
      <c r="E1213" s="99">
        <v>4889391</v>
      </c>
      <c r="F1213" s="99">
        <v>5302681.0000000028</v>
      </c>
      <c r="G1213" s="99">
        <v>0</v>
      </c>
      <c r="H1213" s="98" t="s">
        <v>225</v>
      </c>
      <c r="I1213" s="99">
        <v>962</v>
      </c>
      <c r="J1213" s="98" t="s">
        <v>229</v>
      </c>
      <c r="K1213" s="99">
        <v>447</v>
      </c>
      <c r="L1213" s="98">
        <v>2022</v>
      </c>
      <c r="M1213" s="98" t="s">
        <v>226</v>
      </c>
      <c r="N1213" s="99">
        <v>574.83619008935818</v>
      </c>
      <c r="O1213" s="100">
        <v>0</v>
      </c>
      <c r="P1213" s="100">
        <v>1.9675251989460447</v>
      </c>
      <c r="Q1213" s="100">
        <v>1.0840482203047062</v>
      </c>
    </row>
    <row r="1214" spans="1:17" x14ac:dyDescent="0.35">
      <c r="A1214" s="98" t="s">
        <v>25</v>
      </c>
      <c r="B1214" s="98" t="s">
        <v>164</v>
      </c>
      <c r="C1214" s="98" t="s">
        <v>257</v>
      </c>
      <c r="D1214" s="99">
        <v>4427312.4999999991</v>
      </c>
      <c r="E1214" s="99">
        <v>4889391</v>
      </c>
      <c r="F1214" s="99">
        <v>5302681.0000000028</v>
      </c>
      <c r="G1214" s="99">
        <v>0</v>
      </c>
      <c r="H1214" s="98" t="s">
        <v>225</v>
      </c>
      <c r="I1214" s="99">
        <v>14</v>
      </c>
      <c r="J1214" s="98" t="s">
        <v>229</v>
      </c>
      <c r="K1214" s="99">
        <v>6</v>
      </c>
      <c r="L1214" s="98">
        <v>2020</v>
      </c>
      <c r="M1214" s="98" t="s">
        <v>226</v>
      </c>
      <c r="N1214" s="99">
        <v>7.715922014622258</v>
      </c>
      <c r="O1214" s="100">
        <v>0</v>
      </c>
      <c r="P1214" s="100">
        <v>2.8633422853684642E-2</v>
      </c>
      <c r="Q1214" s="100">
        <v>1.4550982822881961E-2</v>
      </c>
    </row>
    <row r="1215" spans="1:17" x14ac:dyDescent="0.35">
      <c r="A1215" s="98" t="s">
        <v>25</v>
      </c>
      <c r="B1215" s="98" t="s">
        <v>164</v>
      </c>
      <c r="C1215" s="98" t="s">
        <v>258</v>
      </c>
      <c r="D1215" s="99">
        <v>4427312.4999999991</v>
      </c>
      <c r="E1215" s="99">
        <v>4889391</v>
      </c>
      <c r="F1215" s="99">
        <v>5302681.0000000028</v>
      </c>
      <c r="G1215" s="99">
        <v>0</v>
      </c>
      <c r="H1215" s="98" t="s">
        <v>225</v>
      </c>
      <c r="I1215" s="99">
        <v>10</v>
      </c>
      <c r="J1215" s="98" t="s">
        <v>229</v>
      </c>
      <c r="K1215" s="99">
        <v>10</v>
      </c>
      <c r="L1215" s="98" t="s">
        <v>229</v>
      </c>
      <c r="M1215" s="98" t="s">
        <v>225</v>
      </c>
      <c r="N1215" s="99">
        <v>10</v>
      </c>
      <c r="O1215" s="100">
        <v>0</v>
      </c>
      <c r="P1215" s="100">
        <v>2.045244489548903E-2</v>
      </c>
      <c r="Q1215" s="100">
        <v>1.8858385032024357E-2</v>
      </c>
    </row>
    <row r="1216" spans="1:17" x14ac:dyDescent="0.35">
      <c r="A1216" s="98" t="s">
        <v>25</v>
      </c>
      <c r="B1216" s="98" t="s">
        <v>164</v>
      </c>
      <c r="C1216" s="98" t="s">
        <v>259</v>
      </c>
      <c r="D1216" s="99">
        <v>4427312.4999999991</v>
      </c>
      <c r="E1216" s="99">
        <v>4889391</v>
      </c>
      <c r="F1216" s="99">
        <v>5302681.0000000028</v>
      </c>
      <c r="G1216" s="99">
        <v>0</v>
      </c>
      <c r="H1216" s="98" t="s">
        <v>225</v>
      </c>
      <c r="I1216" s="99">
        <v>0</v>
      </c>
      <c r="J1216" s="98" t="s">
        <v>225</v>
      </c>
      <c r="K1216" s="99">
        <v>0</v>
      </c>
      <c r="L1216" s="98" t="s">
        <v>225</v>
      </c>
      <c r="M1216" s="98" t="s">
        <v>225</v>
      </c>
      <c r="N1216" s="99">
        <v>0</v>
      </c>
      <c r="O1216" s="100">
        <v>0</v>
      </c>
      <c r="P1216" s="100">
        <v>0</v>
      </c>
      <c r="Q1216" s="100">
        <v>0</v>
      </c>
    </row>
    <row r="1217" spans="1:17" x14ac:dyDescent="0.35">
      <c r="A1217" s="98" t="s">
        <v>24</v>
      </c>
      <c r="B1217" s="98" t="s">
        <v>163</v>
      </c>
      <c r="C1217" s="98" t="s">
        <v>246</v>
      </c>
      <c r="D1217" s="99">
        <v>2073938.4999999998</v>
      </c>
      <c r="E1217" s="99">
        <v>2198017</v>
      </c>
      <c r="F1217" s="99">
        <v>2305825.5000000019</v>
      </c>
      <c r="G1217" s="99">
        <v>0</v>
      </c>
      <c r="H1217" s="98" t="s">
        <v>225</v>
      </c>
      <c r="I1217" s="99">
        <v>998</v>
      </c>
      <c r="J1217" s="98">
        <v>2018</v>
      </c>
      <c r="K1217" s="99">
        <v>420</v>
      </c>
      <c r="L1217" s="98">
        <v>2022</v>
      </c>
      <c r="M1217" s="98" t="s">
        <v>226</v>
      </c>
      <c r="N1217" s="99">
        <v>536.60977859778598</v>
      </c>
      <c r="O1217" s="100">
        <v>0</v>
      </c>
      <c r="P1217" s="100">
        <v>4.5404562385095293</v>
      </c>
      <c r="Q1217" s="100">
        <v>2.3271916222532258</v>
      </c>
    </row>
    <row r="1218" spans="1:17" x14ac:dyDescent="0.35">
      <c r="A1218" s="98" t="s">
        <v>24</v>
      </c>
      <c r="B1218" s="98" t="s">
        <v>163</v>
      </c>
      <c r="C1218" s="98" t="s">
        <v>247</v>
      </c>
      <c r="D1218" s="99">
        <v>2073938.4999999998</v>
      </c>
      <c r="E1218" s="99">
        <v>2198017</v>
      </c>
      <c r="F1218" s="99">
        <v>2305825.5000000019</v>
      </c>
      <c r="G1218" s="99">
        <v>0</v>
      </c>
      <c r="H1218" s="98" t="s">
        <v>225</v>
      </c>
      <c r="I1218" s="99">
        <v>815</v>
      </c>
      <c r="J1218" s="98">
        <v>2018</v>
      </c>
      <c r="K1218" s="99">
        <v>281</v>
      </c>
      <c r="L1218" s="98">
        <v>2022</v>
      </c>
      <c r="M1218" s="98" t="s">
        <v>226</v>
      </c>
      <c r="N1218" s="99">
        <v>359.01749472851873</v>
      </c>
      <c r="O1218" s="100">
        <v>0</v>
      </c>
      <c r="P1218" s="100">
        <v>3.7078876096044753</v>
      </c>
      <c r="Q1218" s="100">
        <v>1.5570020139360869</v>
      </c>
    </row>
    <row r="1219" spans="1:17" x14ac:dyDescent="0.35">
      <c r="A1219" s="98" t="s">
        <v>24</v>
      </c>
      <c r="B1219" s="98" t="s">
        <v>163</v>
      </c>
      <c r="C1219" s="98" t="s">
        <v>248</v>
      </c>
      <c r="D1219" s="99">
        <v>2073938.4999999998</v>
      </c>
      <c r="E1219" s="99">
        <v>2198017</v>
      </c>
      <c r="F1219" s="99">
        <v>2305825.5000000019</v>
      </c>
      <c r="G1219" s="99">
        <v>0</v>
      </c>
      <c r="H1219" s="98" t="s">
        <v>225</v>
      </c>
      <c r="I1219" s="99">
        <v>183</v>
      </c>
      <c r="J1219" s="98">
        <v>2018</v>
      </c>
      <c r="K1219" s="99">
        <v>66</v>
      </c>
      <c r="L1219" s="98">
        <v>2022</v>
      </c>
      <c r="M1219" s="98" t="s">
        <v>226</v>
      </c>
      <c r="N1219" s="99">
        <v>84.324393779652084</v>
      </c>
      <c r="O1219" s="100">
        <v>0</v>
      </c>
      <c r="P1219" s="100">
        <v>0.83256862890505401</v>
      </c>
      <c r="Q1219" s="100">
        <v>0.36570154063979265</v>
      </c>
    </row>
    <row r="1220" spans="1:17" x14ac:dyDescent="0.35">
      <c r="A1220" s="98" t="s">
        <v>24</v>
      </c>
      <c r="B1220" s="98" t="s">
        <v>163</v>
      </c>
      <c r="C1220" s="98" t="s">
        <v>249</v>
      </c>
      <c r="D1220" s="99">
        <v>2073938.4999999998</v>
      </c>
      <c r="E1220" s="99">
        <v>2198017</v>
      </c>
      <c r="F1220" s="99">
        <v>2305825.5000000019</v>
      </c>
      <c r="G1220" s="99">
        <v>0</v>
      </c>
      <c r="H1220" s="98" t="s">
        <v>225</v>
      </c>
      <c r="I1220" s="99">
        <v>6866</v>
      </c>
      <c r="J1220" s="98">
        <v>2018</v>
      </c>
      <c r="K1220" s="99">
        <v>967</v>
      </c>
      <c r="L1220" s="98">
        <v>2022</v>
      </c>
      <c r="M1220" s="98" t="s">
        <v>226</v>
      </c>
      <c r="N1220" s="99">
        <v>1235.4801331049025</v>
      </c>
      <c r="O1220" s="100">
        <v>0</v>
      </c>
      <c r="P1220" s="100">
        <v>31.237247027661752</v>
      </c>
      <c r="Q1220" s="100">
        <v>5.358081663616356</v>
      </c>
    </row>
    <row r="1221" spans="1:17" x14ac:dyDescent="0.35">
      <c r="A1221" s="98" t="s">
        <v>24</v>
      </c>
      <c r="B1221" s="98" t="s">
        <v>163</v>
      </c>
      <c r="C1221" s="98" t="s">
        <v>250</v>
      </c>
      <c r="D1221" s="99">
        <v>2073938.4999999998</v>
      </c>
      <c r="E1221" s="99">
        <v>2198017</v>
      </c>
      <c r="F1221" s="99">
        <v>2305825.5000000019</v>
      </c>
      <c r="G1221" s="99">
        <v>0</v>
      </c>
      <c r="H1221" s="98" t="s">
        <v>225</v>
      </c>
      <c r="I1221" s="99">
        <v>4686</v>
      </c>
      <c r="J1221" s="98">
        <v>2018</v>
      </c>
      <c r="K1221" s="99">
        <v>4686</v>
      </c>
      <c r="L1221" s="98">
        <v>2018</v>
      </c>
      <c r="M1221" s="98" t="s">
        <v>225</v>
      </c>
      <c r="N1221" s="99">
        <v>4686</v>
      </c>
      <c r="O1221" s="100">
        <v>0</v>
      </c>
      <c r="P1221" s="100">
        <v>21.319216366388432</v>
      </c>
      <c r="Q1221" s="100">
        <v>20.322439837706696</v>
      </c>
    </row>
    <row r="1222" spans="1:17" x14ac:dyDescent="0.35">
      <c r="A1222" s="98" t="s">
        <v>24</v>
      </c>
      <c r="B1222" s="98" t="s">
        <v>163</v>
      </c>
      <c r="C1222" s="98" t="s">
        <v>251</v>
      </c>
      <c r="D1222" s="99">
        <v>2073938.4999999998</v>
      </c>
      <c r="E1222" s="99">
        <v>2198017</v>
      </c>
      <c r="F1222" s="99">
        <v>2305825.5000000019</v>
      </c>
      <c r="G1222" s="99">
        <v>0</v>
      </c>
      <c r="H1222" s="98" t="s">
        <v>225</v>
      </c>
      <c r="I1222" s="99">
        <v>2180</v>
      </c>
      <c r="J1222" s="98">
        <v>2018</v>
      </c>
      <c r="K1222" s="99">
        <v>2180</v>
      </c>
      <c r="L1222" s="98">
        <v>2018</v>
      </c>
      <c r="M1222" s="98" t="s">
        <v>225</v>
      </c>
      <c r="N1222" s="99">
        <v>2180</v>
      </c>
      <c r="O1222" s="100">
        <v>0</v>
      </c>
      <c r="P1222" s="100">
        <v>9.9180306612733204</v>
      </c>
      <c r="Q1222" s="100">
        <v>9.4543147345711898</v>
      </c>
    </row>
    <row r="1223" spans="1:17" x14ac:dyDescent="0.35">
      <c r="A1223" s="98" t="s">
        <v>24</v>
      </c>
      <c r="B1223" s="98" t="s">
        <v>163</v>
      </c>
      <c r="C1223" s="98" t="s">
        <v>252</v>
      </c>
      <c r="D1223" s="99">
        <v>2073938.4999999998</v>
      </c>
      <c r="E1223" s="99">
        <v>2198017</v>
      </c>
      <c r="F1223" s="99">
        <v>2305825.5000000019</v>
      </c>
      <c r="G1223" s="99">
        <v>0</v>
      </c>
      <c r="H1223" s="98" t="s">
        <v>225</v>
      </c>
      <c r="I1223" s="99">
        <v>2779</v>
      </c>
      <c r="J1223" s="98" t="s">
        <v>229</v>
      </c>
      <c r="K1223" s="99">
        <v>2779</v>
      </c>
      <c r="L1223" s="98">
        <v>2022</v>
      </c>
      <c r="M1223" s="98" t="s">
        <v>225</v>
      </c>
      <c r="N1223" s="99">
        <v>2779</v>
      </c>
      <c r="O1223" s="100">
        <v>0</v>
      </c>
      <c r="P1223" s="100">
        <v>12.64321431544888</v>
      </c>
      <c r="Q1223" s="100">
        <v>12.052082865767586</v>
      </c>
    </row>
    <row r="1224" spans="1:17" x14ac:dyDescent="0.35">
      <c r="A1224" s="98" t="s">
        <v>24</v>
      </c>
      <c r="B1224" s="98" t="s">
        <v>163</v>
      </c>
      <c r="C1224" s="98" t="s">
        <v>253</v>
      </c>
      <c r="D1224" s="99">
        <v>2073938.4999999998</v>
      </c>
      <c r="E1224" s="99">
        <v>2198017</v>
      </c>
      <c r="F1224" s="99">
        <v>2305825.5000000019</v>
      </c>
      <c r="G1224" s="99">
        <v>0</v>
      </c>
      <c r="H1224" s="98" t="s">
        <v>225</v>
      </c>
      <c r="I1224" s="99">
        <v>2779</v>
      </c>
      <c r="J1224" s="98" t="s">
        <v>229</v>
      </c>
      <c r="K1224" s="99">
        <v>2779</v>
      </c>
      <c r="L1224" s="98" t="s">
        <v>229</v>
      </c>
      <c r="M1224" s="98" t="s">
        <v>225</v>
      </c>
      <c r="N1224" s="99">
        <v>2779</v>
      </c>
      <c r="O1224" s="100">
        <v>0</v>
      </c>
      <c r="P1224" s="100">
        <v>12.64321431544888</v>
      </c>
      <c r="Q1224" s="100">
        <v>12.052082865767586</v>
      </c>
    </row>
    <row r="1225" spans="1:17" x14ac:dyDescent="0.35">
      <c r="A1225" s="98" t="s">
        <v>24</v>
      </c>
      <c r="B1225" s="98" t="s">
        <v>163</v>
      </c>
      <c r="C1225" s="98" t="s">
        <v>254</v>
      </c>
      <c r="D1225" s="99">
        <v>2073938.4999999998</v>
      </c>
      <c r="E1225" s="99">
        <v>2198017</v>
      </c>
      <c r="F1225" s="99">
        <v>2305825.5000000019</v>
      </c>
      <c r="G1225" s="99">
        <v>0</v>
      </c>
      <c r="H1225" s="98" t="s">
        <v>225</v>
      </c>
      <c r="I1225" s="99">
        <v>0</v>
      </c>
      <c r="J1225" s="98" t="s">
        <v>225</v>
      </c>
      <c r="K1225" s="99">
        <v>0</v>
      </c>
      <c r="L1225" s="98" t="s">
        <v>225</v>
      </c>
      <c r="M1225" s="98" t="s">
        <v>225</v>
      </c>
      <c r="N1225" s="99">
        <v>0</v>
      </c>
      <c r="O1225" s="100">
        <v>0</v>
      </c>
      <c r="P1225" s="100">
        <v>0</v>
      </c>
      <c r="Q1225" s="100">
        <v>0</v>
      </c>
    </row>
    <row r="1226" spans="1:17" x14ac:dyDescent="0.35">
      <c r="A1226" s="98" t="s">
        <v>24</v>
      </c>
      <c r="B1226" s="98" t="s">
        <v>163</v>
      </c>
      <c r="C1226" s="98" t="s">
        <v>255</v>
      </c>
      <c r="D1226" s="99">
        <v>2073938.4999999998</v>
      </c>
      <c r="E1226" s="99">
        <v>2198017</v>
      </c>
      <c r="F1226" s="99">
        <v>2305825.5000000019</v>
      </c>
      <c r="G1226" s="99">
        <v>0</v>
      </c>
      <c r="H1226" s="98" t="s">
        <v>225</v>
      </c>
      <c r="I1226" s="99">
        <v>398</v>
      </c>
      <c r="J1226" s="98">
        <v>2018</v>
      </c>
      <c r="K1226" s="99">
        <v>201</v>
      </c>
      <c r="L1226" s="98">
        <v>2022</v>
      </c>
      <c r="M1226" s="98" t="s">
        <v>226</v>
      </c>
      <c r="N1226" s="99">
        <v>256.80610832894047</v>
      </c>
      <c r="O1226" s="100">
        <v>0</v>
      </c>
      <c r="P1226" s="100">
        <v>1.8107230289847622</v>
      </c>
      <c r="Q1226" s="100">
        <v>1.1137274192211868</v>
      </c>
    </row>
    <row r="1227" spans="1:17" x14ac:dyDescent="0.35">
      <c r="A1227" s="98" t="s">
        <v>24</v>
      </c>
      <c r="B1227" s="98" t="s">
        <v>163</v>
      </c>
      <c r="C1227" s="98" t="s">
        <v>256</v>
      </c>
      <c r="D1227" s="99">
        <v>2073938.4999999998</v>
      </c>
      <c r="E1227" s="99">
        <v>2198017</v>
      </c>
      <c r="F1227" s="99">
        <v>2305825.5000000019</v>
      </c>
      <c r="G1227" s="99">
        <v>0</v>
      </c>
      <c r="H1227" s="98" t="s">
        <v>225</v>
      </c>
      <c r="I1227" s="99">
        <v>301</v>
      </c>
      <c r="J1227" s="98" t="s">
        <v>229</v>
      </c>
      <c r="K1227" s="99">
        <v>347</v>
      </c>
      <c r="L1227" s="98">
        <v>2022</v>
      </c>
      <c r="M1227" s="98" t="s">
        <v>225</v>
      </c>
      <c r="N1227" s="99">
        <v>347</v>
      </c>
      <c r="O1227" s="100">
        <v>0</v>
      </c>
      <c r="P1227" s="100">
        <v>1.3694161601115915</v>
      </c>
      <c r="Q1227" s="100">
        <v>1.5048840426129373</v>
      </c>
    </row>
    <row r="1228" spans="1:17" x14ac:dyDescent="0.35">
      <c r="A1228" s="98" t="s">
        <v>24</v>
      </c>
      <c r="B1228" s="98" t="s">
        <v>163</v>
      </c>
      <c r="C1228" s="98" t="s">
        <v>257</v>
      </c>
      <c r="D1228" s="99">
        <v>2073938.4999999998</v>
      </c>
      <c r="E1228" s="99">
        <v>2198017</v>
      </c>
      <c r="F1228" s="99">
        <v>2305825.5000000019</v>
      </c>
      <c r="G1228" s="99">
        <v>0</v>
      </c>
      <c r="H1228" s="98" t="s">
        <v>225</v>
      </c>
      <c r="I1228" s="99">
        <v>159</v>
      </c>
      <c r="J1228" s="98">
        <v>2018</v>
      </c>
      <c r="K1228" s="99">
        <v>66</v>
      </c>
      <c r="L1228" s="98">
        <v>2022</v>
      </c>
      <c r="M1228" s="98" t="s">
        <v>226</v>
      </c>
      <c r="N1228" s="99">
        <v>84.324393779652084</v>
      </c>
      <c r="O1228" s="100">
        <v>0</v>
      </c>
      <c r="P1228" s="100">
        <v>0.7233793005240633</v>
      </c>
      <c r="Q1228" s="100">
        <v>0.36570154063979265</v>
      </c>
    </row>
    <row r="1229" spans="1:17" x14ac:dyDescent="0.35">
      <c r="A1229" s="98" t="s">
        <v>24</v>
      </c>
      <c r="B1229" s="98" t="s">
        <v>163</v>
      </c>
      <c r="C1229" s="98" t="s">
        <v>258</v>
      </c>
      <c r="D1229" s="99">
        <v>2073938.4999999998</v>
      </c>
      <c r="E1229" s="99">
        <v>2198017</v>
      </c>
      <c r="F1229" s="99">
        <v>2305825.5000000019</v>
      </c>
      <c r="G1229" s="99">
        <v>0</v>
      </c>
      <c r="H1229" s="98" t="s">
        <v>225</v>
      </c>
      <c r="I1229" s="99">
        <v>120</v>
      </c>
      <c r="J1229" s="98" t="s">
        <v>229</v>
      </c>
      <c r="K1229" s="99">
        <v>49</v>
      </c>
      <c r="L1229" s="98">
        <v>2022</v>
      </c>
      <c r="M1229" s="98" t="s">
        <v>226</v>
      </c>
      <c r="N1229" s="99">
        <v>62.6044741697417</v>
      </c>
      <c r="O1229" s="100">
        <v>0</v>
      </c>
      <c r="P1229" s="100">
        <v>0.54594664190495346</v>
      </c>
      <c r="Q1229" s="100">
        <v>0.27150568926287633</v>
      </c>
    </row>
    <row r="1230" spans="1:17" x14ac:dyDescent="0.35">
      <c r="A1230" s="98" t="s">
        <v>24</v>
      </c>
      <c r="B1230" s="98" t="s">
        <v>163</v>
      </c>
      <c r="C1230" s="98" t="s">
        <v>259</v>
      </c>
      <c r="D1230" s="99">
        <v>2073938.4999999998</v>
      </c>
      <c r="E1230" s="99">
        <v>2198017</v>
      </c>
      <c r="F1230" s="99">
        <v>2305825.5000000019</v>
      </c>
      <c r="G1230" s="99">
        <v>0</v>
      </c>
      <c r="H1230" s="98" t="s">
        <v>225</v>
      </c>
      <c r="I1230" s="99">
        <v>0</v>
      </c>
      <c r="J1230" s="98" t="s">
        <v>225</v>
      </c>
      <c r="K1230" s="99">
        <v>0</v>
      </c>
      <c r="L1230" s="98" t="s">
        <v>225</v>
      </c>
      <c r="M1230" s="98" t="s">
        <v>225</v>
      </c>
      <c r="N1230" s="99">
        <v>0</v>
      </c>
      <c r="O1230" s="100">
        <v>0</v>
      </c>
      <c r="P1230" s="100">
        <v>0</v>
      </c>
      <c r="Q1230" s="100">
        <v>0</v>
      </c>
    </row>
    <row r="1231" spans="1:17" x14ac:dyDescent="0.35">
      <c r="A1231" s="98" t="s">
        <v>26</v>
      </c>
      <c r="B1231" s="98" t="s">
        <v>165</v>
      </c>
      <c r="C1231" s="98" t="s">
        <v>246</v>
      </c>
      <c r="D1231" s="99">
        <v>23588073.5</v>
      </c>
      <c r="E1231" s="99">
        <v>26846541</v>
      </c>
      <c r="F1231" s="99">
        <v>29611714.000000004</v>
      </c>
      <c r="G1231" s="99">
        <v>3523</v>
      </c>
      <c r="H1231" s="98">
        <v>2013</v>
      </c>
      <c r="I1231" s="99">
        <v>5230</v>
      </c>
      <c r="J1231" s="98" t="s">
        <v>229</v>
      </c>
      <c r="K1231" s="99">
        <v>5230</v>
      </c>
      <c r="L1231" s="98" t="s">
        <v>229</v>
      </c>
      <c r="M1231" s="98" t="s">
        <v>225</v>
      </c>
      <c r="N1231" s="99">
        <v>5230</v>
      </c>
      <c r="O1231" s="100">
        <v>1.4935513915538714</v>
      </c>
      <c r="P1231" s="100">
        <v>1.9481094417340394</v>
      </c>
      <c r="Q1231" s="100">
        <v>1.766192932972404</v>
      </c>
    </row>
    <row r="1232" spans="1:17" x14ac:dyDescent="0.35">
      <c r="A1232" s="98" t="s">
        <v>26</v>
      </c>
      <c r="B1232" s="98" t="s">
        <v>165</v>
      </c>
      <c r="C1232" s="98" t="s">
        <v>247</v>
      </c>
      <c r="D1232" s="99">
        <v>23588073.5</v>
      </c>
      <c r="E1232" s="99">
        <v>26846541</v>
      </c>
      <c r="F1232" s="99">
        <v>29611714.000000004</v>
      </c>
      <c r="G1232" s="99">
        <v>3028</v>
      </c>
      <c r="H1232" s="98">
        <v>2013</v>
      </c>
      <c r="I1232" s="99">
        <v>4593</v>
      </c>
      <c r="J1232" s="98" t="s">
        <v>229</v>
      </c>
      <c r="K1232" s="99">
        <v>4593</v>
      </c>
      <c r="L1232" s="98" t="s">
        <v>229</v>
      </c>
      <c r="M1232" s="98" t="s">
        <v>225</v>
      </c>
      <c r="N1232" s="99">
        <v>4593</v>
      </c>
      <c r="O1232" s="100">
        <v>1.2836995780939888</v>
      </c>
      <c r="P1232" s="100">
        <v>1.7108349265553429</v>
      </c>
      <c r="Q1232" s="100">
        <v>1.5510753615950768</v>
      </c>
    </row>
    <row r="1233" spans="1:17" x14ac:dyDescent="0.35">
      <c r="A1233" s="98" t="s">
        <v>26</v>
      </c>
      <c r="B1233" s="98" t="s">
        <v>165</v>
      </c>
      <c r="C1233" s="98" t="s">
        <v>248</v>
      </c>
      <c r="D1233" s="99">
        <v>23588073.5</v>
      </c>
      <c r="E1233" s="99">
        <v>26846541</v>
      </c>
      <c r="F1233" s="99">
        <v>29611714.000000004</v>
      </c>
      <c r="G1233" s="99">
        <v>495</v>
      </c>
      <c r="H1233" s="98">
        <v>2013</v>
      </c>
      <c r="I1233" s="99">
        <v>637</v>
      </c>
      <c r="J1233" s="98" t="s">
        <v>229</v>
      </c>
      <c r="K1233" s="99">
        <v>637</v>
      </c>
      <c r="L1233" s="98" t="s">
        <v>229</v>
      </c>
      <c r="M1233" s="98" t="s">
        <v>225</v>
      </c>
      <c r="N1233" s="99">
        <v>637</v>
      </c>
      <c r="O1233" s="100">
        <v>0.2098518134598826</v>
      </c>
      <c r="P1233" s="100">
        <v>0.23727451517869658</v>
      </c>
      <c r="Q1233" s="100">
        <v>0.2151175713773272</v>
      </c>
    </row>
    <row r="1234" spans="1:17" x14ac:dyDescent="0.35">
      <c r="A1234" s="98" t="s">
        <v>26</v>
      </c>
      <c r="B1234" s="98" t="s">
        <v>165</v>
      </c>
      <c r="C1234" s="98" t="s">
        <v>249</v>
      </c>
      <c r="D1234" s="99">
        <v>23588073.5</v>
      </c>
      <c r="E1234" s="99">
        <v>26846541</v>
      </c>
      <c r="F1234" s="99">
        <v>29611714.000000004</v>
      </c>
      <c r="G1234" s="99">
        <v>3438</v>
      </c>
      <c r="H1234" s="98">
        <v>2013</v>
      </c>
      <c r="I1234" s="99">
        <v>4560</v>
      </c>
      <c r="J1234" s="98" t="s">
        <v>229</v>
      </c>
      <c r="K1234" s="99">
        <v>4560</v>
      </c>
      <c r="L1234" s="98" t="s">
        <v>229</v>
      </c>
      <c r="M1234" s="98" t="s">
        <v>225</v>
      </c>
      <c r="N1234" s="99">
        <v>4560</v>
      </c>
      <c r="O1234" s="100">
        <v>1.4575162316668209</v>
      </c>
      <c r="P1234" s="100">
        <v>1.6985428402117055</v>
      </c>
      <c r="Q1234" s="100">
        <v>1.5399311232034727</v>
      </c>
    </row>
    <row r="1235" spans="1:17" x14ac:dyDescent="0.35">
      <c r="A1235" s="98" t="s">
        <v>26</v>
      </c>
      <c r="B1235" s="98" t="s">
        <v>165</v>
      </c>
      <c r="C1235" s="98" t="s">
        <v>250</v>
      </c>
      <c r="D1235" s="99">
        <v>23588073.5</v>
      </c>
      <c r="E1235" s="99">
        <v>26846541</v>
      </c>
      <c r="F1235" s="99">
        <v>29611714.000000004</v>
      </c>
      <c r="G1235" s="99">
        <v>0</v>
      </c>
      <c r="H1235" s="98" t="s">
        <v>225</v>
      </c>
      <c r="I1235" s="99">
        <v>4560</v>
      </c>
      <c r="J1235" s="98" t="s">
        <v>229</v>
      </c>
      <c r="K1235" s="99">
        <v>4560</v>
      </c>
      <c r="L1235" s="98" t="s">
        <v>229</v>
      </c>
      <c r="M1235" s="98" t="s">
        <v>225</v>
      </c>
      <c r="N1235" s="99">
        <v>4560</v>
      </c>
      <c r="O1235" s="100">
        <v>0</v>
      </c>
      <c r="P1235" s="100">
        <v>1.6985428402117055</v>
      </c>
      <c r="Q1235" s="100">
        <v>1.5399311232034727</v>
      </c>
    </row>
    <row r="1236" spans="1:17" x14ac:dyDescent="0.35">
      <c r="A1236" s="98" t="s">
        <v>26</v>
      </c>
      <c r="B1236" s="98" t="s">
        <v>165</v>
      </c>
      <c r="C1236" s="98" t="s">
        <v>251</v>
      </c>
      <c r="D1236" s="99">
        <v>23588073.5</v>
      </c>
      <c r="E1236" s="99">
        <v>26846541</v>
      </c>
      <c r="F1236" s="99">
        <v>29611714.000000004</v>
      </c>
      <c r="G1236" s="99">
        <v>0</v>
      </c>
      <c r="H1236" s="98" t="s">
        <v>225</v>
      </c>
      <c r="I1236" s="99">
        <v>0</v>
      </c>
      <c r="J1236" s="98" t="s">
        <v>225</v>
      </c>
      <c r="K1236" s="99">
        <v>0</v>
      </c>
      <c r="L1236" s="98" t="s">
        <v>225</v>
      </c>
      <c r="M1236" s="98" t="s">
        <v>225</v>
      </c>
      <c r="N1236" s="99">
        <v>0</v>
      </c>
      <c r="O1236" s="100">
        <v>0</v>
      </c>
      <c r="P1236" s="100">
        <v>0</v>
      </c>
      <c r="Q1236" s="100">
        <v>0</v>
      </c>
    </row>
    <row r="1237" spans="1:17" x14ac:dyDescent="0.35">
      <c r="A1237" s="98" t="s">
        <v>26</v>
      </c>
      <c r="B1237" s="98" t="s">
        <v>165</v>
      </c>
      <c r="C1237" s="98" t="s">
        <v>252</v>
      </c>
      <c r="D1237" s="99">
        <v>23588073.5</v>
      </c>
      <c r="E1237" s="99">
        <v>26846541</v>
      </c>
      <c r="F1237" s="99">
        <v>29611714.000000004</v>
      </c>
      <c r="G1237" s="99">
        <v>3400</v>
      </c>
      <c r="H1237" s="98">
        <v>2013</v>
      </c>
      <c r="I1237" s="99">
        <v>3994</v>
      </c>
      <c r="J1237" s="98">
        <v>2018</v>
      </c>
      <c r="K1237" s="99">
        <v>3994</v>
      </c>
      <c r="L1237" s="98">
        <v>2018</v>
      </c>
      <c r="M1237" s="98" t="s">
        <v>225</v>
      </c>
      <c r="N1237" s="99">
        <v>3994</v>
      </c>
      <c r="O1237" s="100">
        <v>1.441406395482022</v>
      </c>
      <c r="P1237" s="100">
        <v>1.4877149350450771</v>
      </c>
      <c r="Q1237" s="100">
        <v>1.3487905495777783</v>
      </c>
    </row>
    <row r="1238" spans="1:17" x14ac:dyDescent="0.35">
      <c r="A1238" s="98" t="s">
        <v>26</v>
      </c>
      <c r="B1238" s="98" t="s">
        <v>165</v>
      </c>
      <c r="C1238" s="98" t="s">
        <v>253</v>
      </c>
      <c r="D1238" s="99">
        <v>23588073.5</v>
      </c>
      <c r="E1238" s="99">
        <v>26846541</v>
      </c>
      <c r="F1238" s="99">
        <v>29611714.000000004</v>
      </c>
      <c r="G1238" s="99">
        <v>3400</v>
      </c>
      <c r="H1238" s="98">
        <v>2013</v>
      </c>
      <c r="I1238" s="99">
        <v>3994</v>
      </c>
      <c r="J1238" s="98">
        <v>2018</v>
      </c>
      <c r="K1238" s="99">
        <v>3994</v>
      </c>
      <c r="L1238" s="98">
        <v>2018</v>
      </c>
      <c r="M1238" s="98" t="s">
        <v>225</v>
      </c>
      <c r="N1238" s="99">
        <v>3994</v>
      </c>
      <c r="O1238" s="100">
        <v>1.441406395482022</v>
      </c>
      <c r="P1238" s="100">
        <v>1.4877149350450771</v>
      </c>
      <c r="Q1238" s="100">
        <v>1.3487905495777783</v>
      </c>
    </row>
    <row r="1239" spans="1:17" x14ac:dyDescent="0.35">
      <c r="A1239" s="98" t="s">
        <v>26</v>
      </c>
      <c r="B1239" s="98" t="s">
        <v>165</v>
      </c>
      <c r="C1239" s="98" t="s">
        <v>254</v>
      </c>
      <c r="D1239" s="99">
        <v>23588073.5</v>
      </c>
      <c r="E1239" s="99">
        <v>26846541</v>
      </c>
      <c r="F1239" s="99">
        <v>29611714.000000004</v>
      </c>
      <c r="G1239" s="99">
        <v>0</v>
      </c>
      <c r="H1239" s="98" t="s">
        <v>225</v>
      </c>
      <c r="I1239" s="99">
        <v>0</v>
      </c>
      <c r="J1239" s="98" t="s">
        <v>225</v>
      </c>
      <c r="K1239" s="99">
        <v>0</v>
      </c>
      <c r="L1239" s="98" t="s">
        <v>225</v>
      </c>
      <c r="M1239" s="98" t="s">
        <v>225</v>
      </c>
      <c r="N1239" s="99">
        <v>0</v>
      </c>
      <c r="O1239" s="100">
        <v>0</v>
      </c>
      <c r="P1239" s="100">
        <v>0</v>
      </c>
      <c r="Q1239" s="100">
        <v>0</v>
      </c>
    </row>
    <row r="1240" spans="1:17" x14ac:dyDescent="0.35">
      <c r="A1240" s="98" t="s">
        <v>26</v>
      </c>
      <c r="B1240" s="98" t="s">
        <v>165</v>
      </c>
      <c r="C1240" s="98" t="s">
        <v>255</v>
      </c>
      <c r="D1240" s="99">
        <v>23588073.5</v>
      </c>
      <c r="E1240" s="99">
        <v>26846541</v>
      </c>
      <c r="F1240" s="99">
        <v>29611714.000000004</v>
      </c>
      <c r="G1240" s="99">
        <v>17</v>
      </c>
      <c r="H1240" s="98">
        <v>2013</v>
      </c>
      <c r="I1240" s="99">
        <v>319</v>
      </c>
      <c r="J1240" s="98" t="s">
        <v>229</v>
      </c>
      <c r="K1240" s="99">
        <v>27</v>
      </c>
      <c r="L1240" s="98">
        <v>2022</v>
      </c>
      <c r="M1240" s="98" t="s">
        <v>226</v>
      </c>
      <c r="N1240" s="99">
        <v>30.094339949726965</v>
      </c>
      <c r="O1240" s="100">
        <v>7.2070319774101095E-3</v>
      </c>
      <c r="P1240" s="100">
        <v>0.11882350132182765</v>
      </c>
      <c r="Q1240" s="100">
        <v>1.0162984807203988E-2</v>
      </c>
    </row>
    <row r="1241" spans="1:17" x14ac:dyDescent="0.35">
      <c r="A1241" s="98" t="s">
        <v>26</v>
      </c>
      <c r="B1241" s="98" t="s">
        <v>165</v>
      </c>
      <c r="C1241" s="98" t="s">
        <v>256</v>
      </c>
      <c r="D1241" s="99">
        <v>23588073.5</v>
      </c>
      <c r="E1241" s="99">
        <v>26846541</v>
      </c>
      <c r="F1241" s="99">
        <v>29611714.000000004</v>
      </c>
      <c r="G1241" s="99">
        <v>0</v>
      </c>
      <c r="H1241" s="98" t="s">
        <v>225</v>
      </c>
      <c r="I1241" s="99">
        <v>10</v>
      </c>
      <c r="J1241" s="98" t="s">
        <v>229</v>
      </c>
      <c r="K1241" s="99">
        <v>10</v>
      </c>
      <c r="L1241" s="98" t="s">
        <v>229</v>
      </c>
      <c r="M1241" s="98" t="s">
        <v>225</v>
      </c>
      <c r="N1241" s="99">
        <v>10</v>
      </c>
      <c r="O1241" s="100">
        <v>0</v>
      </c>
      <c r="P1241" s="100">
        <v>3.7248746495870733E-3</v>
      </c>
      <c r="Q1241" s="100">
        <v>3.3770419368497205E-3</v>
      </c>
    </row>
    <row r="1242" spans="1:17" x14ac:dyDescent="0.35">
      <c r="A1242" s="98" t="s">
        <v>26</v>
      </c>
      <c r="B1242" s="98" t="s">
        <v>165</v>
      </c>
      <c r="C1242" s="98" t="s">
        <v>257</v>
      </c>
      <c r="D1242" s="99">
        <v>23588073.5</v>
      </c>
      <c r="E1242" s="99">
        <v>26846541</v>
      </c>
      <c r="F1242" s="99">
        <v>29611714.000000004</v>
      </c>
      <c r="G1242" s="99">
        <v>111</v>
      </c>
      <c r="H1242" s="98">
        <v>2013</v>
      </c>
      <c r="I1242" s="99">
        <v>372</v>
      </c>
      <c r="J1242" s="98" t="s">
        <v>229</v>
      </c>
      <c r="K1242" s="99">
        <v>225</v>
      </c>
      <c r="L1242" s="98">
        <v>2022</v>
      </c>
      <c r="M1242" s="98" t="s">
        <v>226</v>
      </c>
      <c r="N1242" s="99">
        <v>250.78616624772471</v>
      </c>
      <c r="O1242" s="100">
        <v>4.7057679381913069E-2</v>
      </c>
      <c r="P1242" s="100">
        <v>0.13856533696463913</v>
      </c>
      <c r="Q1242" s="100">
        <v>8.4691540060033224E-2</v>
      </c>
    </row>
    <row r="1243" spans="1:17" x14ac:dyDescent="0.35">
      <c r="A1243" s="98" t="s">
        <v>26</v>
      </c>
      <c r="B1243" s="98" t="s">
        <v>165</v>
      </c>
      <c r="C1243" s="98" t="s">
        <v>258</v>
      </c>
      <c r="D1243" s="99">
        <v>23588073.5</v>
      </c>
      <c r="E1243" s="99">
        <v>26846541</v>
      </c>
      <c r="F1243" s="99">
        <v>29611714.000000004</v>
      </c>
      <c r="G1243" s="99">
        <v>0</v>
      </c>
      <c r="H1243" s="98" t="s">
        <v>225</v>
      </c>
      <c r="I1243" s="99">
        <v>184</v>
      </c>
      <c r="J1243" s="98" t="s">
        <v>229</v>
      </c>
      <c r="K1243" s="99">
        <v>21</v>
      </c>
      <c r="L1243" s="98" t="s">
        <v>229</v>
      </c>
      <c r="M1243" s="98" t="s">
        <v>226</v>
      </c>
      <c r="N1243" s="99">
        <v>23.406708849787638</v>
      </c>
      <c r="O1243" s="100">
        <v>0</v>
      </c>
      <c r="P1243" s="100">
        <v>6.8537693552402149E-2</v>
      </c>
      <c r="Q1243" s="100">
        <v>7.9045437389364329E-3</v>
      </c>
    </row>
    <row r="1244" spans="1:17" x14ac:dyDescent="0.35">
      <c r="A1244" s="98" t="s">
        <v>26</v>
      </c>
      <c r="B1244" s="98" t="s">
        <v>165</v>
      </c>
      <c r="C1244" s="98" t="s">
        <v>259</v>
      </c>
      <c r="D1244" s="99">
        <v>23588073.5</v>
      </c>
      <c r="E1244" s="99">
        <v>26846541</v>
      </c>
      <c r="F1244" s="99">
        <v>29611714.000000004</v>
      </c>
      <c r="G1244" s="99">
        <v>0</v>
      </c>
      <c r="H1244" s="98" t="s">
        <v>225</v>
      </c>
      <c r="I1244" s="99">
        <v>0</v>
      </c>
      <c r="J1244" s="98" t="s">
        <v>225</v>
      </c>
      <c r="K1244" s="99">
        <v>0</v>
      </c>
      <c r="L1244" s="98" t="s">
        <v>225</v>
      </c>
      <c r="M1244" s="98" t="s">
        <v>225</v>
      </c>
      <c r="N1244" s="99">
        <v>0</v>
      </c>
      <c r="O1244" s="100">
        <v>0</v>
      </c>
      <c r="P1244" s="100">
        <v>0</v>
      </c>
      <c r="Q1244" s="100">
        <v>0</v>
      </c>
    </row>
    <row r="1245" spans="1:17" x14ac:dyDescent="0.35">
      <c r="A1245" s="98" t="s">
        <v>28</v>
      </c>
      <c r="B1245" s="98" t="s">
        <v>167</v>
      </c>
      <c r="C1245" s="98" t="s">
        <v>246</v>
      </c>
      <c r="D1245" s="99">
        <v>17004032.499999996</v>
      </c>
      <c r="E1245" s="99">
        <v>19934298.000000004</v>
      </c>
      <c r="F1245" s="99">
        <v>22593590.500000022</v>
      </c>
      <c r="G1245" s="99">
        <v>1971</v>
      </c>
      <c r="H1245" s="98">
        <v>2013</v>
      </c>
      <c r="I1245" s="99">
        <v>2866</v>
      </c>
      <c r="J1245" s="98" t="s">
        <v>229</v>
      </c>
      <c r="K1245" s="99">
        <v>4402</v>
      </c>
      <c r="L1245" s="98">
        <v>2022</v>
      </c>
      <c r="M1245" s="98" t="s">
        <v>225</v>
      </c>
      <c r="N1245" s="99">
        <v>4402</v>
      </c>
      <c r="O1245" s="100">
        <v>1.1591368106359479</v>
      </c>
      <c r="P1245" s="100">
        <v>1.4377230640376699</v>
      </c>
      <c r="Q1245" s="100">
        <v>1.9483401719615994</v>
      </c>
    </row>
    <row r="1246" spans="1:17" x14ac:dyDescent="0.35">
      <c r="A1246" s="98" t="s">
        <v>28</v>
      </c>
      <c r="B1246" s="98" t="s">
        <v>167</v>
      </c>
      <c r="C1246" s="98" t="s">
        <v>247</v>
      </c>
      <c r="D1246" s="99">
        <v>17004032.499999996</v>
      </c>
      <c r="E1246" s="99">
        <v>19934298.000000004</v>
      </c>
      <c r="F1246" s="99">
        <v>22593590.500000022</v>
      </c>
      <c r="G1246" s="99">
        <v>0</v>
      </c>
      <c r="H1246" s="98" t="s">
        <v>225</v>
      </c>
      <c r="I1246" s="99">
        <v>2151</v>
      </c>
      <c r="J1246" s="98" t="s">
        <v>229</v>
      </c>
      <c r="K1246" s="99">
        <v>3557</v>
      </c>
      <c r="L1246" s="98">
        <v>2022</v>
      </c>
      <c r="M1246" s="98" t="s">
        <v>225</v>
      </c>
      <c r="N1246" s="99">
        <v>3557</v>
      </c>
      <c r="O1246" s="100">
        <v>0</v>
      </c>
      <c r="P1246" s="100">
        <v>1.0790447699738408</v>
      </c>
      <c r="Q1246" s="100">
        <v>1.5743402979707879</v>
      </c>
    </row>
    <row r="1247" spans="1:17" x14ac:dyDescent="0.35">
      <c r="A1247" s="98" t="s">
        <v>28</v>
      </c>
      <c r="B1247" s="98" t="s">
        <v>167</v>
      </c>
      <c r="C1247" s="98" t="s">
        <v>248</v>
      </c>
      <c r="D1247" s="99">
        <v>17004032.499999996</v>
      </c>
      <c r="E1247" s="99">
        <v>19934298.000000004</v>
      </c>
      <c r="F1247" s="99">
        <v>22593590.500000022</v>
      </c>
      <c r="G1247" s="99">
        <v>0</v>
      </c>
      <c r="H1247" s="98" t="s">
        <v>225</v>
      </c>
      <c r="I1247" s="99">
        <v>1037</v>
      </c>
      <c r="J1247" s="98">
        <v>2018</v>
      </c>
      <c r="K1247" s="99">
        <v>845</v>
      </c>
      <c r="L1247" s="98">
        <v>2022</v>
      </c>
      <c r="M1247" s="98" t="s">
        <v>226</v>
      </c>
      <c r="N1247" s="99">
        <v>995.95103054567016</v>
      </c>
      <c r="O1247" s="100">
        <v>0</v>
      </c>
      <c r="P1247" s="100">
        <v>0.52020893838348348</v>
      </c>
      <c r="Q1247" s="100">
        <v>0.44081131352082759</v>
      </c>
    </row>
    <row r="1248" spans="1:17" x14ac:dyDescent="0.35">
      <c r="A1248" s="98" t="s">
        <v>28</v>
      </c>
      <c r="B1248" s="98" t="s">
        <v>167</v>
      </c>
      <c r="C1248" s="98" t="s">
        <v>249</v>
      </c>
      <c r="D1248" s="99">
        <v>17004032.499999996</v>
      </c>
      <c r="E1248" s="99">
        <v>19934298.000000004</v>
      </c>
      <c r="F1248" s="99">
        <v>22593590.500000022</v>
      </c>
      <c r="G1248" s="99">
        <v>4257</v>
      </c>
      <c r="H1248" s="98">
        <v>2012</v>
      </c>
      <c r="I1248" s="99">
        <v>5225</v>
      </c>
      <c r="J1248" s="98" t="s">
        <v>229</v>
      </c>
      <c r="K1248" s="99">
        <v>6327</v>
      </c>
      <c r="L1248" s="98">
        <v>2022</v>
      </c>
      <c r="M1248" s="98" t="s">
        <v>225</v>
      </c>
      <c r="N1248" s="99">
        <v>6327</v>
      </c>
      <c r="O1248" s="100">
        <v>2.5035237964876864</v>
      </c>
      <c r="P1248" s="100">
        <v>2.621110610466443</v>
      </c>
      <c r="Q1248" s="100">
        <v>2.800351719218773</v>
      </c>
    </row>
    <row r="1249" spans="1:17" x14ac:dyDescent="0.35">
      <c r="A1249" s="98" t="s">
        <v>28</v>
      </c>
      <c r="B1249" s="98" t="s">
        <v>167</v>
      </c>
      <c r="C1249" s="98" t="s">
        <v>250</v>
      </c>
      <c r="D1249" s="99">
        <v>17004032.499999996</v>
      </c>
      <c r="E1249" s="99">
        <v>19934298.000000004</v>
      </c>
      <c r="F1249" s="99">
        <v>22593590.500000022</v>
      </c>
      <c r="G1249" s="99">
        <v>0</v>
      </c>
      <c r="H1249" s="98" t="s">
        <v>225</v>
      </c>
      <c r="I1249" s="99">
        <v>5174</v>
      </c>
      <c r="J1249" s="98">
        <v>2018</v>
      </c>
      <c r="K1249" s="99">
        <v>5174</v>
      </c>
      <c r="L1249" s="98">
        <v>2018</v>
      </c>
      <c r="M1249" s="98" t="s">
        <v>225</v>
      </c>
      <c r="N1249" s="99">
        <v>5174</v>
      </c>
      <c r="O1249" s="100">
        <v>0</v>
      </c>
      <c r="P1249" s="100">
        <v>2.5955265643164354</v>
      </c>
      <c r="Q1249" s="100">
        <v>2.2900299976668137</v>
      </c>
    </row>
    <row r="1250" spans="1:17" x14ac:dyDescent="0.35">
      <c r="A1250" s="98" t="s">
        <v>28</v>
      </c>
      <c r="B1250" s="98" t="s">
        <v>167</v>
      </c>
      <c r="C1250" s="98" t="s">
        <v>251</v>
      </c>
      <c r="D1250" s="99">
        <v>17004032.499999996</v>
      </c>
      <c r="E1250" s="99">
        <v>19934298.000000004</v>
      </c>
      <c r="F1250" s="99">
        <v>22593590.500000022</v>
      </c>
      <c r="G1250" s="99">
        <v>0</v>
      </c>
      <c r="H1250" s="98" t="s">
        <v>225</v>
      </c>
      <c r="I1250" s="99">
        <v>2970</v>
      </c>
      <c r="J1250" s="98" t="s">
        <v>229</v>
      </c>
      <c r="K1250" s="99">
        <v>6327</v>
      </c>
      <c r="L1250" s="98">
        <v>2022</v>
      </c>
      <c r="M1250" s="98" t="s">
        <v>225</v>
      </c>
      <c r="N1250" s="99">
        <v>6327</v>
      </c>
      <c r="O1250" s="100">
        <v>0</v>
      </c>
      <c r="P1250" s="100">
        <v>1.4898944522651358</v>
      </c>
      <c r="Q1250" s="100">
        <v>2.800351719218773</v>
      </c>
    </row>
    <row r="1251" spans="1:17" x14ac:dyDescent="0.35">
      <c r="A1251" s="98" t="s">
        <v>28</v>
      </c>
      <c r="B1251" s="98" t="s">
        <v>167</v>
      </c>
      <c r="C1251" s="98" t="s">
        <v>252</v>
      </c>
      <c r="D1251" s="99">
        <v>17004032.499999996</v>
      </c>
      <c r="E1251" s="99">
        <v>19934298.000000004</v>
      </c>
      <c r="F1251" s="99">
        <v>22593590.500000022</v>
      </c>
      <c r="G1251" s="99">
        <v>1961</v>
      </c>
      <c r="H1251" s="98">
        <v>2013</v>
      </c>
      <c r="I1251" s="99">
        <v>3235</v>
      </c>
      <c r="J1251" s="98">
        <v>2018</v>
      </c>
      <c r="K1251" s="99">
        <v>1629</v>
      </c>
      <c r="L1251" s="98">
        <v>2022</v>
      </c>
      <c r="M1251" s="98" t="s">
        <v>226</v>
      </c>
      <c r="N1251" s="99">
        <v>1920.0050044483985</v>
      </c>
      <c r="O1251" s="100">
        <v>1.1532558526925896</v>
      </c>
      <c r="P1251" s="100">
        <v>1.6228311626524292</v>
      </c>
      <c r="Q1251" s="100">
        <v>0.84980074523719307</v>
      </c>
    </row>
    <row r="1252" spans="1:17" x14ac:dyDescent="0.35">
      <c r="A1252" s="98" t="s">
        <v>28</v>
      </c>
      <c r="B1252" s="98" t="s">
        <v>167</v>
      </c>
      <c r="C1252" s="98" t="s">
        <v>253</v>
      </c>
      <c r="D1252" s="99">
        <v>17004032.499999996</v>
      </c>
      <c r="E1252" s="99">
        <v>19934298.000000004</v>
      </c>
      <c r="F1252" s="99">
        <v>22593590.500000022</v>
      </c>
      <c r="G1252" s="99">
        <v>686</v>
      </c>
      <c r="H1252" s="98">
        <v>2013</v>
      </c>
      <c r="I1252" s="99">
        <v>3235</v>
      </c>
      <c r="J1252" s="98">
        <v>2018</v>
      </c>
      <c r="K1252" s="99">
        <v>1629</v>
      </c>
      <c r="L1252" s="98">
        <v>2022</v>
      </c>
      <c r="M1252" s="98" t="s">
        <v>226</v>
      </c>
      <c r="N1252" s="99">
        <v>1920.0050044483985</v>
      </c>
      <c r="O1252" s="100">
        <v>0.40343371491438879</v>
      </c>
      <c r="P1252" s="100">
        <v>1.6228311626524292</v>
      </c>
      <c r="Q1252" s="100">
        <v>0.84980074523719307</v>
      </c>
    </row>
    <row r="1253" spans="1:17" x14ac:dyDescent="0.35">
      <c r="A1253" s="98" t="s">
        <v>28</v>
      </c>
      <c r="B1253" s="98" t="s">
        <v>167</v>
      </c>
      <c r="C1253" s="98" t="s">
        <v>254</v>
      </c>
      <c r="D1253" s="99">
        <v>17004032.499999996</v>
      </c>
      <c r="E1253" s="99">
        <v>19934298.000000004</v>
      </c>
      <c r="F1253" s="99">
        <v>22593590.500000022</v>
      </c>
      <c r="G1253" s="99">
        <v>1275</v>
      </c>
      <c r="H1253" s="98">
        <v>2013</v>
      </c>
      <c r="I1253" s="99">
        <v>1642</v>
      </c>
      <c r="J1253" s="98" t="s">
        <v>229</v>
      </c>
      <c r="K1253" s="99">
        <v>1642</v>
      </c>
      <c r="L1253" s="98" t="s">
        <v>229</v>
      </c>
      <c r="M1253" s="98" t="s">
        <v>225</v>
      </c>
      <c r="N1253" s="99">
        <v>1642</v>
      </c>
      <c r="O1253" s="100">
        <v>0.74982213777820073</v>
      </c>
      <c r="P1253" s="100">
        <v>0.82370595643749267</v>
      </c>
      <c r="Q1253" s="100">
        <v>0.72675478472533983</v>
      </c>
    </row>
    <row r="1254" spans="1:17" x14ac:dyDescent="0.35">
      <c r="A1254" s="98" t="s">
        <v>28</v>
      </c>
      <c r="B1254" s="98" t="s">
        <v>167</v>
      </c>
      <c r="C1254" s="98" t="s">
        <v>255</v>
      </c>
      <c r="D1254" s="99">
        <v>17004032.499999996</v>
      </c>
      <c r="E1254" s="99">
        <v>19934298.000000004</v>
      </c>
      <c r="F1254" s="99">
        <v>22593590.500000022</v>
      </c>
      <c r="G1254" s="99">
        <v>0</v>
      </c>
      <c r="H1254" s="98" t="s">
        <v>225</v>
      </c>
      <c r="I1254" s="99">
        <v>1340</v>
      </c>
      <c r="J1254" s="98" t="s">
        <v>229</v>
      </c>
      <c r="K1254" s="99">
        <v>1721</v>
      </c>
      <c r="L1254" s="98">
        <v>2022</v>
      </c>
      <c r="M1254" s="98" t="s">
        <v>225</v>
      </c>
      <c r="N1254" s="99">
        <v>1721</v>
      </c>
      <c r="O1254" s="100">
        <v>0</v>
      </c>
      <c r="P1254" s="100">
        <v>0.67220827139235084</v>
      </c>
      <c r="Q1254" s="100">
        <v>0.7617204534179719</v>
      </c>
    </row>
    <row r="1255" spans="1:17" x14ac:dyDescent="0.35">
      <c r="A1255" s="98" t="s">
        <v>28</v>
      </c>
      <c r="B1255" s="98" t="s">
        <v>167</v>
      </c>
      <c r="C1255" s="98" t="s">
        <v>256</v>
      </c>
      <c r="D1255" s="99">
        <v>17004032.499999996</v>
      </c>
      <c r="E1255" s="99">
        <v>19934298.000000004</v>
      </c>
      <c r="F1255" s="99">
        <v>22593590.500000022</v>
      </c>
      <c r="G1255" s="99">
        <v>0</v>
      </c>
      <c r="H1255" s="98" t="s">
        <v>225</v>
      </c>
      <c r="I1255" s="99">
        <v>84</v>
      </c>
      <c r="J1255" s="98" t="s">
        <v>229</v>
      </c>
      <c r="K1255" s="99">
        <v>84</v>
      </c>
      <c r="L1255" s="98" t="s">
        <v>229</v>
      </c>
      <c r="M1255" s="98" t="s">
        <v>225</v>
      </c>
      <c r="N1255" s="99">
        <v>84</v>
      </c>
      <c r="O1255" s="100">
        <v>0</v>
      </c>
      <c r="P1255" s="100">
        <v>4.213842895295334E-2</v>
      </c>
      <c r="Q1255" s="100">
        <v>3.7178685698494855E-2</v>
      </c>
    </row>
    <row r="1256" spans="1:17" x14ac:dyDescent="0.35">
      <c r="A1256" s="98" t="s">
        <v>28</v>
      </c>
      <c r="B1256" s="98" t="s">
        <v>167</v>
      </c>
      <c r="C1256" s="98" t="s">
        <v>257</v>
      </c>
      <c r="D1256" s="99">
        <v>17004032.499999996</v>
      </c>
      <c r="E1256" s="99">
        <v>19934298.000000004</v>
      </c>
      <c r="F1256" s="99">
        <v>22593590.500000022</v>
      </c>
      <c r="G1256" s="99">
        <v>0</v>
      </c>
      <c r="H1256" s="98" t="s">
        <v>225</v>
      </c>
      <c r="I1256" s="99">
        <v>30</v>
      </c>
      <c r="J1256" s="98">
        <v>2018</v>
      </c>
      <c r="K1256" s="99">
        <v>30</v>
      </c>
      <c r="L1256" s="98">
        <v>2018</v>
      </c>
      <c r="M1256" s="98" t="s">
        <v>225</v>
      </c>
      <c r="N1256" s="99">
        <v>30</v>
      </c>
      <c r="O1256" s="100">
        <v>0</v>
      </c>
      <c r="P1256" s="100">
        <v>1.5049438911769049E-2</v>
      </c>
      <c r="Q1256" s="100">
        <v>1.3278102035176733E-2</v>
      </c>
    </row>
    <row r="1257" spans="1:17" x14ac:dyDescent="0.35">
      <c r="A1257" s="98" t="s">
        <v>28</v>
      </c>
      <c r="B1257" s="98" t="s">
        <v>167</v>
      </c>
      <c r="C1257" s="98" t="s">
        <v>258</v>
      </c>
      <c r="D1257" s="99">
        <v>17004032.499999996</v>
      </c>
      <c r="E1257" s="99">
        <v>19934298.000000004</v>
      </c>
      <c r="F1257" s="99">
        <v>22593590.500000022</v>
      </c>
      <c r="G1257" s="99">
        <v>0</v>
      </c>
      <c r="H1257" s="98" t="s">
        <v>225</v>
      </c>
      <c r="I1257" s="99">
        <v>53</v>
      </c>
      <c r="J1257" s="98">
        <v>2017</v>
      </c>
      <c r="K1257" s="99">
        <v>53</v>
      </c>
      <c r="L1257" s="98">
        <v>2017</v>
      </c>
      <c r="M1257" s="98" t="s">
        <v>225</v>
      </c>
      <c r="N1257" s="99">
        <v>53</v>
      </c>
      <c r="O1257" s="100">
        <v>0</v>
      </c>
      <c r="P1257" s="100">
        <v>2.6587342077458654E-2</v>
      </c>
      <c r="Q1257" s="100">
        <v>2.3457980262145562E-2</v>
      </c>
    </row>
    <row r="1258" spans="1:17" x14ac:dyDescent="0.35">
      <c r="A1258" s="98" t="s">
        <v>28</v>
      </c>
      <c r="B1258" s="98" t="s">
        <v>167</v>
      </c>
      <c r="C1258" s="98" t="s">
        <v>259</v>
      </c>
      <c r="D1258" s="99">
        <v>17004032.499999996</v>
      </c>
      <c r="E1258" s="99">
        <v>19934298.000000004</v>
      </c>
      <c r="F1258" s="99">
        <v>22593590.500000022</v>
      </c>
      <c r="G1258" s="99">
        <v>0</v>
      </c>
      <c r="H1258" s="98" t="s">
        <v>225</v>
      </c>
      <c r="I1258" s="99">
        <v>0</v>
      </c>
      <c r="J1258" s="98" t="s">
        <v>225</v>
      </c>
      <c r="K1258" s="99">
        <v>0</v>
      </c>
      <c r="L1258" s="98" t="s">
        <v>225</v>
      </c>
      <c r="M1258" s="98" t="s">
        <v>225</v>
      </c>
      <c r="N1258" s="99">
        <v>0</v>
      </c>
      <c r="O1258" s="100">
        <v>0</v>
      </c>
      <c r="P1258" s="100">
        <v>0</v>
      </c>
      <c r="Q1258" s="100">
        <v>0</v>
      </c>
    </row>
    <row r="1259" spans="1:17" x14ac:dyDescent="0.35">
      <c r="A1259" s="98" t="s">
        <v>31</v>
      </c>
      <c r="B1259" s="98" t="s">
        <v>170</v>
      </c>
      <c r="C1259" s="98" t="s">
        <v>246</v>
      </c>
      <c r="D1259" s="99">
        <v>25251730.999999993</v>
      </c>
      <c r="E1259" s="99">
        <v>29423878.499999993</v>
      </c>
      <c r="F1259" s="99">
        <v>32969518.500000007</v>
      </c>
      <c r="G1259" s="99">
        <v>1452</v>
      </c>
      <c r="H1259" s="98">
        <v>2013</v>
      </c>
      <c r="I1259" s="99">
        <v>2473</v>
      </c>
      <c r="J1259" s="98">
        <v>2018</v>
      </c>
      <c r="K1259" s="99">
        <v>5719</v>
      </c>
      <c r="L1259" s="98">
        <v>2022</v>
      </c>
      <c r="M1259" s="98" t="s">
        <v>225</v>
      </c>
      <c r="N1259" s="99">
        <v>5719</v>
      </c>
      <c r="O1259" s="100">
        <v>0.57501008544721166</v>
      </c>
      <c r="P1259" s="100">
        <v>0.84047383488210115</v>
      </c>
      <c r="Q1259" s="100">
        <v>1.734632551579423</v>
      </c>
    </row>
    <row r="1260" spans="1:17" x14ac:dyDescent="0.35">
      <c r="A1260" s="98" t="s">
        <v>31</v>
      </c>
      <c r="B1260" s="98" t="s">
        <v>170</v>
      </c>
      <c r="C1260" s="98" t="s">
        <v>247</v>
      </c>
      <c r="D1260" s="99">
        <v>25251730.999999993</v>
      </c>
      <c r="E1260" s="99">
        <v>29423878.499999993</v>
      </c>
      <c r="F1260" s="99">
        <v>32969518.500000007</v>
      </c>
      <c r="G1260" s="99">
        <v>0</v>
      </c>
      <c r="H1260" s="98" t="s">
        <v>225</v>
      </c>
      <c r="I1260" s="99">
        <v>1695</v>
      </c>
      <c r="J1260" s="98">
        <v>2018</v>
      </c>
      <c r="K1260" s="99">
        <v>1933</v>
      </c>
      <c r="L1260" s="98">
        <v>2022</v>
      </c>
      <c r="M1260" s="98" t="s">
        <v>225</v>
      </c>
      <c r="N1260" s="99">
        <v>1933</v>
      </c>
      <c r="O1260" s="100">
        <v>0</v>
      </c>
      <c r="P1260" s="100">
        <v>0.57606273761632087</v>
      </c>
      <c r="Q1260" s="100">
        <v>0.58629912960360631</v>
      </c>
    </row>
    <row r="1261" spans="1:17" x14ac:dyDescent="0.35">
      <c r="A1261" s="98" t="s">
        <v>31</v>
      </c>
      <c r="B1261" s="98" t="s">
        <v>170</v>
      </c>
      <c r="C1261" s="98" t="s">
        <v>248</v>
      </c>
      <c r="D1261" s="99">
        <v>25251730.999999993</v>
      </c>
      <c r="E1261" s="99">
        <v>29423878.499999993</v>
      </c>
      <c r="F1261" s="99">
        <v>32969518.500000007</v>
      </c>
      <c r="G1261" s="99">
        <v>0</v>
      </c>
      <c r="H1261" s="98" t="s">
        <v>225</v>
      </c>
      <c r="I1261" s="99">
        <v>778</v>
      </c>
      <c r="J1261" s="98">
        <v>2018</v>
      </c>
      <c r="K1261" s="99">
        <v>756</v>
      </c>
      <c r="L1261" s="98">
        <v>2022</v>
      </c>
      <c r="M1261" s="98" t="s">
        <v>226</v>
      </c>
      <c r="N1261" s="99">
        <v>868.86977510623387</v>
      </c>
      <c r="O1261" s="100">
        <v>0</v>
      </c>
      <c r="P1261" s="100">
        <v>0.26441109726578033</v>
      </c>
      <c r="Q1261" s="100">
        <v>0.26353729585290536</v>
      </c>
    </row>
    <row r="1262" spans="1:17" x14ac:dyDescent="0.35">
      <c r="A1262" s="98" t="s">
        <v>31</v>
      </c>
      <c r="B1262" s="98" t="s">
        <v>170</v>
      </c>
      <c r="C1262" s="98" t="s">
        <v>249</v>
      </c>
      <c r="D1262" s="99">
        <v>25251730.999999993</v>
      </c>
      <c r="E1262" s="99">
        <v>29423878.499999993</v>
      </c>
      <c r="F1262" s="99">
        <v>32969518.500000007</v>
      </c>
      <c r="G1262" s="99">
        <v>6432</v>
      </c>
      <c r="H1262" s="98">
        <v>2013</v>
      </c>
      <c r="I1262" s="99">
        <v>8153</v>
      </c>
      <c r="J1262" s="98">
        <v>2018</v>
      </c>
      <c r="K1262" s="99">
        <v>17168</v>
      </c>
      <c r="L1262" s="98">
        <v>2022</v>
      </c>
      <c r="M1262" s="98" t="s">
        <v>225</v>
      </c>
      <c r="N1262" s="99">
        <v>17168</v>
      </c>
      <c r="O1262" s="100">
        <v>2.5471521140471527</v>
      </c>
      <c r="P1262" s="100">
        <v>2.7708787609356129</v>
      </c>
      <c r="Q1262" s="100">
        <v>5.2072340698575852</v>
      </c>
    </row>
    <row r="1263" spans="1:17" x14ac:dyDescent="0.35">
      <c r="A1263" s="98" t="s">
        <v>31</v>
      </c>
      <c r="B1263" s="98" t="s">
        <v>170</v>
      </c>
      <c r="C1263" s="98" t="s">
        <v>250</v>
      </c>
      <c r="D1263" s="99">
        <v>25251730.999999993</v>
      </c>
      <c r="E1263" s="99">
        <v>29423878.499999993</v>
      </c>
      <c r="F1263" s="99">
        <v>32969518.500000007</v>
      </c>
      <c r="G1263" s="99">
        <v>0</v>
      </c>
      <c r="H1263" s="98" t="s">
        <v>225</v>
      </c>
      <c r="I1263" s="99">
        <v>7961</v>
      </c>
      <c r="J1263" s="98" t="s">
        <v>229</v>
      </c>
      <c r="K1263" s="99">
        <v>1792</v>
      </c>
      <c r="L1263" s="98">
        <v>2022</v>
      </c>
      <c r="M1263" s="98" t="s">
        <v>226</v>
      </c>
      <c r="N1263" s="99">
        <v>2059.5431706221839</v>
      </c>
      <c r="O1263" s="100">
        <v>0</v>
      </c>
      <c r="P1263" s="100">
        <v>2.7056256366746489</v>
      </c>
      <c r="Q1263" s="100">
        <v>0.62468099757725715</v>
      </c>
    </row>
    <row r="1264" spans="1:17" x14ac:dyDescent="0.35">
      <c r="A1264" s="98" t="s">
        <v>31</v>
      </c>
      <c r="B1264" s="98" t="s">
        <v>170</v>
      </c>
      <c r="C1264" s="98" t="s">
        <v>251</v>
      </c>
      <c r="D1264" s="99">
        <v>25251730.999999993</v>
      </c>
      <c r="E1264" s="99">
        <v>29423878.499999993</v>
      </c>
      <c r="F1264" s="99">
        <v>32969518.500000007</v>
      </c>
      <c r="G1264" s="99">
        <v>0</v>
      </c>
      <c r="H1264" s="98" t="s">
        <v>225</v>
      </c>
      <c r="I1264" s="99">
        <v>377</v>
      </c>
      <c r="J1264" s="98">
        <v>2019</v>
      </c>
      <c r="K1264" s="99">
        <v>7983</v>
      </c>
      <c r="L1264" s="98">
        <v>2022</v>
      </c>
      <c r="M1264" s="98" t="s">
        <v>225</v>
      </c>
      <c r="N1264" s="99">
        <v>7983</v>
      </c>
      <c r="O1264" s="100">
        <v>0</v>
      </c>
      <c r="P1264" s="100">
        <v>0.12812722836657991</v>
      </c>
      <c r="Q1264" s="100">
        <v>2.4213274452279303</v>
      </c>
    </row>
    <row r="1265" spans="1:17" x14ac:dyDescent="0.35">
      <c r="A1265" s="98" t="s">
        <v>31</v>
      </c>
      <c r="B1265" s="98" t="s">
        <v>170</v>
      </c>
      <c r="C1265" s="98" t="s">
        <v>252</v>
      </c>
      <c r="D1265" s="99">
        <v>25251730.999999993</v>
      </c>
      <c r="E1265" s="99">
        <v>29423878.499999993</v>
      </c>
      <c r="F1265" s="99">
        <v>32969518.500000007</v>
      </c>
      <c r="G1265" s="99">
        <v>4265</v>
      </c>
      <c r="H1265" s="98">
        <v>2013</v>
      </c>
      <c r="I1265" s="99">
        <v>6021</v>
      </c>
      <c r="J1265" s="98">
        <v>2018</v>
      </c>
      <c r="K1265" s="99">
        <v>13384</v>
      </c>
      <c r="L1265" s="98">
        <v>2022</v>
      </c>
      <c r="M1265" s="98" t="s">
        <v>225</v>
      </c>
      <c r="N1265" s="99">
        <v>13384</v>
      </c>
      <c r="O1265" s="100">
        <v>1.6889931228872987</v>
      </c>
      <c r="P1265" s="100">
        <v>2.0462971936211609</v>
      </c>
      <c r="Q1265" s="100">
        <v>4.0595072688125535</v>
      </c>
    </row>
    <row r="1266" spans="1:17" x14ac:dyDescent="0.35">
      <c r="A1266" s="98" t="s">
        <v>31</v>
      </c>
      <c r="B1266" s="98" t="s">
        <v>170</v>
      </c>
      <c r="C1266" s="98" t="s">
        <v>253</v>
      </c>
      <c r="D1266" s="99">
        <v>25251730.999999993</v>
      </c>
      <c r="E1266" s="99">
        <v>29423878.499999993</v>
      </c>
      <c r="F1266" s="99">
        <v>32969518.500000007</v>
      </c>
      <c r="G1266" s="99">
        <v>3545</v>
      </c>
      <c r="H1266" s="98">
        <v>2013</v>
      </c>
      <c r="I1266" s="99">
        <v>6021</v>
      </c>
      <c r="J1266" s="98">
        <v>2018</v>
      </c>
      <c r="K1266" s="99">
        <v>38</v>
      </c>
      <c r="L1266" s="98">
        <v>2022</v>
      </c>
      <c r="M1266" s="98" t="s">
        <v>226</v>
      </c>
      <c r="N1266" s="99">
        <v>43.673348484175776</v>
      </c>
      <c r="O1266" s="100">
        <v>1.4038641548969459</v>
      </c>
      <c r="P1266" s="100">
        <v>2.0462971936211609</v>
      </c>
      <c r="Q1266" s="100">
        <v>1.3246583653982015E-2</v>
      </c>
    </row>
    <row r="1267" spans="1:17" x14ac:dyDescent="0.35">
      <c r="A1267" s="98" t="s">
        <v>31</v>
      </c>
      <c r="B1267" s="98" t="s">
        <v>170</v>
      </c>
      <c r="C1267" s="98" t="s">
        <v>254</v>
      </c>
      <c r="D1267" s="99">
        <v>25251730.999999993</v>
      </c>
      <c r="E1267" s="99">
        <v>29423878.499999993</v>
      </c>
      <c r="F1267" s="99">
        <v>32969518.500000007</v>
      </c>
      <c r="G1267" s="99">
        <v>720</v>
      </c>
      <c r="H1267" s="98">
        <v>2013</v>
      </c>
      <c r="I1267" s="99">
        <v>436</v>
      </c>
      <c r="J1267" s="98">
        <v>2017</v>
      </c>
      <c r="K1267" s="99">
        <v>7082</v>
      </c>
      <c r="L1267" s="98">
        <v>2022</v>
      </c>
      <c r="M1267" s="98" t="s">
        <v>225</v>
      </c>
      <c r="N1267" s="99">
        <v>7082</v>
      </c>
      <c r="O1267" s="100">
        <v>0.28512896799035292</v>
      </c>
      <c r="P1267" s="100">
        <v>0.14817896967593858</v>
      </c>
      <c r="Q1267" s="100">
        <v>2.1480447159093328</v>
      </c>
    </row>
    <row r="1268" spans="1:17" x14ac:dyDescent="0.35">
      <c r="A1268" s="98" t="s">
        <v>31</v>
      </c>
      <c r="B1268" s="98" t="s">
        <v>170</v>
      </c>
      <c r="C1268" s="98" t="s">
        <v>255</v>
      </c>
      <c r="D1268" s="99">
        <v>25251730.999999993</v>
      </c>
      <c r="E1268" s="99">
        <v>29423878.499999993</v>
      </c>
      <c r="F1268" s="99">
        <v>32969518.500000007</v>
      </c>
      <c r="G1268" s="99">
        <v>103</v>
      </c>
      <c r="H1268" s="98">
        <v>2013</v>
      </c>
      <c r="I1268" s="99">
        <v>305</v>
      </c>
      <c r="J1268" s="98">
        <v>2018</v>
      </c>
      <c r="K1268" s="99">
        <v>498</v>
      </c>
      <c r="L1268" s="98">
        <v>2022</v>
      </c>
      <c r="M1268" s="98" t="s">
        <v>225</v>
      </c>
      <c r="N1268" s="99">
        <v>498</v>
      </c>
      <c r="O1268" s="100">
        <v>4.0789282920842149E-2</v>
      </c>
      <c r="P1268" s="100">
        <v>0.1036573067687185</v>
      </c>
      <c r="Q1268" s="100">
        <v>0.15104861176544021</v>
      </c>
    </row>
    <row r="1269" spans="1:17" x14ac:dyDescent="0.35">
      <c r="A1269" s="98" t="s">
        <v>31</v>
      </c>
      <c r="B1269" s="98" t="s">
        <v>170</v>
      </c>
      <c r="C1269" s="98" t="s">
        <v>256</v>
      </c>
      <c r="D1269" s="99">
        <v>25251730.999999993</v>
      </c>
      <c r="E1269" s="99">
        <v>29423878.499999993</v>
      </c>
      <c r="F1269" s="99">
        <v>32969518.500000007</v>
      </c>
      <c r="G1269" s="99">
        <v>1388</v>
      </c>
      <c r="H1269" s="98">
        <v>2013</v>
      </c>
      <c r="I1269" s="99">
        <v>2051</v>
      </c>
      <c r="J1269" s="98" t="s">
        <v>229</v>
      </c>
      <c r="K1269" s="99">
        <v>3299</v>
      </c>
      <c r="L1269" s="98">
        <v>2022</v>
      </c>
      <c r="M1269" s="98" t="s">
        <v>225</v>
      </c>
      <c r="N1269" s="99">
        <v>3299</v>
      </c>
      <c r="O1269" s="100">
        <v>0.5496652882925136</v>
      </c>
      <c r="P1269" s="100">
        <v>0.69705290551685783</v>
      </c>
      <c r="Q1269" s="100">
        <v>1.0006212253296933</v>
      </c>
    </row>
    <row r="1270" spans="1:17" x14ac:dyDescent="0.35">
      <c r="A1270" s="98" t="s">
        <v>31</v>
      </c>
      <c r="B1270" s="98" t="s">
        <v>170</v>
      </c>
      <c r="C1270" s="98" t="s">
        <v>257</v>
      </c>
      <c r="D1270" s="99">
        <v>25251730.999999993</v>
      </c>
      <c r="E1270" s="99">
        <v>29423878.499999993</v>
      </c>
      <c r="F1270" s="99">
        <v>32969518.500000007</v>
      </c>
      <c r="G1270" s="99">
        <v>136</v>
      </c>
      <c r="H1270" s="98">
        <v>2013</v>
      </c>
      <c r="I1270" s="99">
        <v>255</v>
      </c>
      <c r="J1270" s="98">
        <v>2018</v>
      </c>
      <c r="K1270" s="99">
        <v>348</v>
      </c>
      <c r="L1270" s="98">
        <v>2022</v>
      </c>
      <c r="M1270" s="98" t="s">
        <v>225</v>
      </c>
      <c r="N1270" s="99">
        <v>348</v>
      </c>
      <c r="O1270" s="100">
        <v>5.3857693953733327E-2</v>
      </c>
      <c r="P1270" s="100">
        <v>8.6664305659092514E-2</v>
      </c>
      <c r="Q1270" s="100">
        <v>0.10555204195657268</v>
      </c>
    </row>
    <row r="1271" spans="1:17" x14ac:dyDescent="0.35">
      <c r="A1271" s="98" t="s">
        <v>31</v>
      </c>
      <c r="B1271" s="98" t="s">
        <v>170</v>
      </c>
      <c r="C1271" s="98" t="s">
        <v>258</v>
      </c>
      <c r="D1271" s="99">
        <v>25251730.999999993</v>
      </c>
      <c r="E1271" s="99">
        <v>29423878.499999993</v>
      </c>
      <c r="F1271" s="99">
        <v>32969518.500000007</v>
      </c>
      <c r="G1271" s="99">
        <v>238</v>
      </c>
      <c r="H1271" s="98">
        <v>2013</v>
      </c>
      <c r="I1271" s="99">
        <v>340</v>
      </c>
      <c r="J1271" s="98" t="s">
        <v>229</v>
      </c>
      <c r="K1271" s="99">
        <v>341</v>
      </c>
      <c r="L1271" s="98">
        <v>2022</v>
      </c>
      <c r="M1271" s="98" t="s">
        <v>225</v>
      </c>
      <c r="N1271" s="99">
        <v>341</v>
      </c>
      <c r="O1271" s="100">
        <v>9.4250964419033315E-2</v>
      </c>
      <c r="P1271" s="100">
        <v>0.11555240754545669</v>
      </c>
      <c r="Q1271" s="100">
        <v>0.10342886869882553</v>
      </c>
    </row>
    <row r="1272" spans="1:17" x14ac:dyDescent="0.35">
      <c r="A1272" s="98" t="s">
        <v>31</v>
      </c>
      <c r="B1272" s="98" t="s">
        <v>170</v>
      </c>
      <c r="C1272" s="98" t="s">
        <v>259</v>
      </c>
      <c r="D1272" s="99">
        <v>25251730.999999993</v>
      </c>
      <c r="E1272" s="99">
        <v>29423878.499999993</v>
      </c>
      <c r="F1272" s="99">
        <v>32969518.500000007</v>
      </c>
      <c r="G1272" s="99">
        <v>0</v>
      </c>
      <c r="H1272" s="98" t="s">
        <v>225</v>
      </c>
      <c r="I1272" s="99">
        <v>608</v>
      </c>
      <c r="J1272" s="98">
        <v>2018</v>
      </c>
      <c r="K1272" s="99">
        <v>655</v>
      </c>
      <c r="L1272" s="98">
        <v>2022</v>
      </c>
      <c r="M1272" s="98" t="s">
        <v>225</v>
      </c>
      <c r="N1272" s="99">
        <v>655</v>
      </c>
      <c r="O1272" s="100">
        <v>0</v>
      </c>
      <c r="P1272" s="100">
        <v>0.20663489349305197</v>
      </c>
      <c r="Q1272" s="100">
        <v>0.19866835483205492</v>
      </c>
    </row>
    <row r="1273" spans="1:17" x14ac:dyDescent="0.35">
      <c r="A1273" s="98" t="s">
        <v>29</v>
      </c>
      <c r="B1273" s="98" t="s">
        <v>168</v>
      </c>
      <c r="C1273" s="98" t="s">
        <v>246</v>
      </c>
      <c r="D1273" s="99">
        <v>3742958.9999999981</v>
      </c>
      <c r="E1273" s="99">
        <v>4270711.4999999972</v>
      </c>
      <c r="F1273" s="99">
        <v>4736138.9999999991</v>
      </c>
      <c r="G1273" s="99">
        <v>622</v>
      </c>
      <c r="H1273" s="98">
        <v>2014</v>
      </c>
      <c r="I1273" s="99">
        <v>1626</v>
      </c>
      <c r="J1273" s="98" t="s">
        <v>229</v>
      </c>
      <c r="K1273" s="99">
        <v>1118</v>
      </c>
      <c r="L1273" s="98">
        <v>2022</v>
      </c>
      <c r="M1273" s="98" t="s">
        <v>226</v>
      </c>
      <c r="N1273" s="99">
        <v>1273.0346943092873</v>
      </c>
      <c r="O1273" s="100">
        <v>1.6617868376330072</v>
      </c>
      <c r="P1273" s="100">
        <v>3.8073281231944631</v>
      </c>
      <c r="Q1273" s="100">
        <v>2.6879166644164951</v>
      </c>
    </row>
    <row r="1274" spans="1:17" x14ac:dyDescent="0.35">
      <c r="A1274" s="98" t="s">
        <v>29</v>
      </c>
      <c r="B1274" s="98" t="s">
        <v>168</v>
      </c>
      <c r="C1274" s="98" t="s">
        <v>247</v>
      </c>
      <c r="D1274" s="99">
        <v>3742958.9999999981</v>
      </c>
      <c r="E1274" s="99">
        <v>4270711.4999999972</v>
      </c>
      <c r="F1274" s="99">
        <v>4736138.9999999991</v>
      </c>
      <c r="G1274" s="99">
        <v>0</v>
      </c>
      <c r="H1274" s="98" t="s">
        <v>225</v>
      </c>
      <c r="I1274" s="99">
        <v>808</v>
      </c>
      <c r="J1274" s="98" t="s">
        <v>229</v>
      </c>
      <c r="K1274" s="99">
        <v>616</v>
      </c>
      <c r="L1274" s="98">
        <v>2022</v>
      </c>
      <c r="M1274" s="98" t="s">
        <v>226</v>
      </c>
      <c r="N1274" s="99">
        <v>701.42162047810461</v>
      </c>
      <c r="O1274" s="100">
        <v>0</v>
      </c>
      <c r="P1274" s="100">
        <v>1.891956410541898</v>
      </c>
      <c r="Q1274" s="100">
        <v>1.480998806154348</v>
      </c>
    </row>
    <row r="1275" spans="1:17" x14ac:dyDescent="0.35">
      <c r="A1275" s="98" t="s">
        <v>29</v>
      </c>
      <c r="B1275" s="98" t="s">
        <v>168</v>
      </c>
      <c r="C1275" s="98" t="s">
        <v>248</v>
      </c>
      <c r="D1275" s="99">
        <v>3742958.9999999981</v>
      </c>
      <c r="E1275" s="99">
        <v>4270711.4999999972</v>
      </c>
      <c r="F1275" s="99">
        <v>4736138.9999999991</v>
      </c>
      <c r="G1275" s="99">
        <v>0</v>
      </c>
      <c r="H1275" s="98" t="s">
        <v>225</v>
      </c>
      <c r="I1275" s="99">
        <v>818</v>
      </c>
      <c r="J1275" s="98" t="s">
        <v>229</v>
      </c>
      <c r="K1275" s="99">
        <v>502</v>
      </c>
      <c r="L1275" s="98">
        <v>2022</v>
      </c>
      <c r="M1275" s="98" t="s">
        <v>226</v>
      </c>
      <c r="N1275" s="99">
        <v>571.61307383118265</v>
      </c>
      <c r="O1275" s="100">
        <v>0</v>
      </c>
      <c r="P1275" s="100">
        <v>1.9153717126525651</v>
      </c>
      <c r="Q1275" s="100">
        <v>1.2069178582621471</v>
      </c>
    </row>
    <row r="1276" spans="1:17" x14ac:dyDescent="0.35">
      <c r="A1276" s="98" t="s">
        <v>29</v>
      </c>
      <c r="B1276" s="98" t="s">
        <v>168</v>
      </c>
      <c r="C1276" s="98" t="s">
        <v>249</v>
      </c>
      <c r="D1276" s="99">
        <v>3742958.9999999981</v>
      </c>
      <c r="E1276" s="99">
        <v>4270711.4999999972</v>
      </c>
      <c r="F1276" s="99">
        <v>4736138.9999999991</v>
      </c>
      <c r="G1276" s="99">
        <v>3846</v>
      </c>
      <c r="H1276" s="98">
        <v>2014</v>
      </c>
      <c r="I1276" s="99">
        <v>4066</v>
      </c>
      <c r="J1276" s="98">
        <v>2018</v>
      </c>
      <c r="K1276" s="99">
        <v>6503</v>
      </c>
      <c r="L1276" s="98">
        <v>2022</v>
      </c>
      <c r="M1276" s="98" t="s">
        <v>225</v>
      </c>
      <c r="N1276" s="99">
        <v>6503</v>
      </c>
      <c r="O1276" s="100">
        <v>10.275292889930139</v>
      </c>
      <c r="P1276" s="100">
        <v>9.5206618381972241</v>
      </c>
      <c r="Q1276" s="100">
        <v>13.7305936333372</v>
      </c>
    </row>
    <row r="1277" spans="1:17" x14ac:dyDescent="0.35">
      <c r="A1277" s="98" t="s">
        <v>29</v>
      </c>
      <c r="B1277" s="98" t="s">
        <v>168</v>
      </c>
      <c r="C1277" s="98" t="s">
        <v>250</v>
      </c>
      <c r="D1277" s="99">
        <v>3742958.9999999981</v>
      </c>
      <c r="E1277" s="99">
        <v>4270711.4999999972</v>
      </c>
      <c r="F1277" s="99">
        <v>4736138.9999999991</v>
      </c>
      <c r="G1277" s="99">
        <v>0</v>
      </c>
      <c r="H1277" s="98" t="s">
        <v>225</v>
      </c>
      <c r="I1277" s="99">
        <v>4011</v>
      </c>
      <c r="J1277" s="98" t="s">
        <v>229</v>
      </c>
      <c r="K1277" s="99">
        <v>663</v>
      </c>
      <c r="L1277" s="98">
        <v>2022</v>
      </c>
      <c r="M1277" s="98" t="s">
        <v>226</v>
      </c>
      <c r="N1277" s="99">
        <v>754.93917918341447</v>
      </c>
      <c r="O1277" s="100">
        <v>0</v>
      </c>
      <c r="P1277" s="100">
        <v>9.391877676588555</v>
      </c>
      <c r="Q1277" s="100">
        <v>1.5939970916888517</v>
      </c>
    </row>
    <row r="1278" spans="1:17" x14ac:dyDescent="0.35">
      <c r="A1278" s="98" t="s">
        <v>29</v>
      </c>
      <c r="B1278" s="98" t="s">
        <v>168</v>
      </c>
      <c r="C1278" s="98" t="s">
        <v>251</v>
      </c>
      <c r="D1278" s="99">
        <v>3742958.9999999981</v>
      </c>
      <c r="E1278" s="99">
        <v>4270711.4999999972</v>
      </c>
      <c r="F1278" s="99">
        <v>4736138.9999999991</v>
      </c>
      <c r="G1278" s="99">
        <v>0</v>
      </c>
      <c r="H1278" s="98" t="s">
        <v>225</v>
      </c>
      <c r="I1278" s="99">
        <v>6</v>
      </c>
      <c r="J1278" s="98" t="s">
        <v>229</v>
      </c>
      <c r="K1278" s="99">
        <v>6</v>
      </c>
      <c r="L1278" s="98" t="s">
        <v>229</v>
      </c>
      <c r="M1278" s="98" t="s">
        <v>225</v>
      </c>
      <c r="N1278" s="99">
        <v>6</v>
      </c>
      <c r="O1278" s="100">
        <v>0</v>
      </c>
      <c r="P1278" s="100">
        <v>1.4049181266400233E-2</v>
      </c>
      <c r="Q1278" s="100">
        <v>1.2668547101341411E-2</v>
      </c>
    </row>
    <row r="1279" spans="1:17" x14ac:dyDescent="0.35">
      <c r="A1279" s="98" t="s">
        <v>29</v>
      </c>
      <c r="B1279" s="98" t="s">
        <v>168</v>
      </c>
      <c r="C1279" s="98" t="s">
        <v>252</v>
      </c>
      <c r="D1279" s="99">
        <v>3742958.9999999981</v>
      </c>
      <c r="E1279" s="99">
        <v>4270711.4999999972</v>
      </c>
      <c r="F1279" s="99">
        <v>4736138.9999999991</v>
      </c>
      <c r="G1279" s="99">
        <v>368</v>
      </c>
      <c r="H1279" s="98">
        <v>2013</v>
      </c>
      <c r="I1279" s="99">
        <v>855</v>
      </c>
      <c r="J1279" s="98" t="s">
        <v>229</v>
      </c>
      <c r="K1279" s="99">
        <v>1340</v>
      </c>
      <c r="L1279" s="98">
        <v>2022</v>
      </c>
      <c r="M1279" s="98" t="s">
        <v>225</v>
      </c>
      <c r="N1279" s="99">
        <v>1340</v>
      </c>
      <c r="O1279" s="100">
        <v>0.98317935088255093</v>
      </c>
      <c r="P1279" s="100">
        <v>2.0020083304620333</v>
      </c>
      <c r="Q1279" s="100">
        <v>2.8293088526329151</v>
      </c>
    </row>
    <row r="1280" spans="1:17" x14ac:dyDescent="0.35">
      <c r="A1280" s="98" t="s">
        <v>29</v>
      </c>
      <c r="B1280" s="98" t="s">
        <v>168</v>
      </c>
      <c r="C1280" s="98" t="s">
        <v>253</v>
      </c>
      <c r="D1280" s="99">
        <v>3742958.9999999981</v>
      </c>
      <c r="E1280" s="99">
        <v>4270711.4999999972</v>
      </c>
      <c r="F1280" s="99">
        <v>4736138.9999999991</v>
      </c>
      <c r="G1280" s="99">
        <v>368</v>
      </c>
      <c r="H1280" s="98">
        <v>2013</v>
      </c>
      <c r="I1280" s="99">
        <v>854</v>
      </c>
      <c r="J1280" s="98" t="s">
        <v>229</v>
      </c>
      <c r="K1280" s="99">
        <v>1340</v>
      </c>
      <c r="L1280" s="98">
        <v>2022</v>
      </c>
      <c r="M1280" s="98" t="s">
        <v>225</v>
      </c>
      <c r="N1280" s="99">
        <v>1340</v>
      </c>
      <c r="O1280" s="100">
        <v>0.98317935088255093</v>
      </c>
      <c r="P1280" s="100">
        <v>1.9996668002509665</v>
      </c>
      <c r="Q1280" s="100">
        <v>2.8293088526329151</v>
      </c>
    </row>
    <row r="1281" spans="1:17" x14ac:dyDescent="0.35">
      <c r="A1281" s="98" t="s">
        <v>29</v>
      </c>
      <c r="B1281" s="98" t="s">
        <v>168</v>
      </c>
      <c r="C1281" s="98" t="s">
        <v>254</v>
      </c>
      <c r="D1281" s="99">
        <v>3742958.9999999981</v>
      </c>
      <c r="E1281" s="99">
        <v>4270711.4999999972</v>
      </c>
      <c r="F1281" s="99">
        <v>4736138.9999999991</v>
      </c>
      <c r="G1281" s="99">
        <v>0</v>
      </c>
      <c r="H1281" s="98" t="s">
        <v>225</v>
      </c>
      <c r="I1281" s="99">
        <v>1</v>
      </c>
      <c r="J1281" s="98" t="s">
        <v>229</v>
      </c>
      <c r="K1281" s="99">
        <v>1</v>
      </c>
      <c r="L1281" s="98" t="s">
        <v>229</v>
      </c>
      <c r="M1281" s="98" t="s">
        <v>225</v>
      </c>
      <c r="N1281" s="99">
        <v>1</v>
      </c>
      <c r="O1281" s="100">
        <v>0</v>
      </c>
      <c r="P1281" s="100">
        <v>2.3415302110667054E-3</v>
      </c>
      <c r="Q1281" s="100">
        <v>2.1114245168902352E-3</v>
      </c>
    </row>
    <row r="1282" spans="1:17" x14ac:dyDescent="0.35">
      <c r="A1282" s="98" t="s">
        <v>29</v>
      </c>
      <c r="B1282" s="98" t="s">
        <v>168</v>
      </c>
      <c r="C1282" s="98" t="s">
        <v>255</v>
      </c>
      <c r="D1282" s="99">
        <v>3742958.9999999981</v>
      </c>
      <c r="E1282" s="99">
        <v>4270711.4999999972</v>
      </c>
      <c r="F1282" s="99">
        <v>4736138.9999999991</v>
      </c>
      <c r="G1282" s="99">
        <v>0</v>
      </c>
      <c r="H1282" s="98" t="s">
        <v>225</v>
      </c>
      <c r="I1282" s="99">
        <v>87</v>
      </c>
      <c r="J1282" s="98" t="s">
        <v>229</v>
      </c>
      <c r="K1282" s="99">
        <v>85</v>
      </c>
      <c r="L1282" s="98">
        <v>2022</v>
      </c>
      <c r="M1282" s="98" t="s">
        <v>226</v>
      </c>
      <c r="N1282" s="99">
        <v>96.787074254283908</v>
      </c>
      <c r="O1282" s="100">
        <v>0</v>
      </c>
      <c r="P1282" s="100">
        <v>0.20371312836280339</v>
      </c>
      <c r="Q1282" s="100">
        <v>0.20435860149857071</v>
      </c>
    </row>
    <row r="1283" spans="1:17" x14ac:dyDescent="0.35">
      <c r="A1283" s="98" t="s">
        <v>29</v>
      </c>
      <c r="B1283" s="98" t="s">
        <v>168</v>
      </c>
      <c r="C1283" s="98" t="s">
        <v>256</v>
      </c>
      <c r="D1283" s="99">
        <v>3742958.9999999981</v>
      </c>
      <c r="E1283" s="99">
        <v>4270711.4999999972</v>
      </c>
      <c r="F1283" s="99">
        <v>4736138.9999999991</v>
      </c>
      <c r="G1283" s="99">
        <v>0</v>
      </c>
      <c r="H1283" s="98" t="s">
        <v>225</v>
      </c>
      <c r="I1283" s="99">
        <v>13</v>
      </c>
      <c r="J1283" s="98" t="s">
        <v>229</v>
      </c>
      <c r="K1283" s="99">
        <v>13</v>
      </c>
      <c r="L1283" s="98" t="s">
        <v>229</v>
      </c>
      <c r="M1283" s="98" t="s">
        <v>225</v>
      </c>
      <c r="N1283" s="99">
        <v>13</v>
      </c>
      <c r="O1283" s="100">
        <v>0</v>
      </c>
      <c r="P1283" s="100">
        <v>3.0439892743867172E-2</v>
      </c>
      <c r="Q1283" s="100">
        <v>2.7448518719573059E-2</v>
      </c>
    </row>
    <row r="1284" spans="1:17" x14ac:dyDescent="0.35">
      <c r="A1284" s="98" t="s">
        <v>29</v>
      </c>
      <c r="B1284" s="98" t="s">
        <v>168</v>
      </c>
      <c r="C1284" s="98" t="s">
        <v>257</v>
      </c>
      <c r="D1284" s="99">
        <v>3742958.9999999981</v>
      </c>
      <c r="E1284" s="99">
        <v>4270711.4999999972</v>
      </c>
      <c r="F1284" s="99">
        <v>4736138.9999999991</v>
      </c>
      <c r="G1284" s="99">
        <v>0</v>
      </c>
      <c r="H1284" s="98" t="s">
        <v>225</v>
      </c>
      <c r="I1284" s="99">
        <v>151</v>
      </c>
      <c r="J1284" s="98" t="s">
        <v>229</v>
      </c>
      <c r="K1284" s="99">
        <v>131</v>
      </c>
      <c r="L1284" s="98">
        <v>2022</v>
      </c>
      <c r="M1284" s="98" t="s">
        <v>226</v>
      </c>
      <c r="N1284" s="99">
        <v>149.16596149777874</v>
      </c>
      <c r="O1284" s="100">
        <v>0</v>
      </c>
      <c r="P1284" s="100">
        <v>0.35357106187107251</v>
      </c>
      <c r="Q1284" s="100">
        <v>0.31495266819191492</v>
      </c>
    </row>
    <row r="1285" spans="1:17" x14ac:dyDescent="0.35">
      <c r="A1285" s="98" t="s">
        <v>29</v>
      </c>
      <c r="B1285" s="98" t="s">
        <v>168</v>
      </c>
      <c r="C1285" s="98" t="s">
        <v>258</v>
      </c>
      <c r="D1285" s="99">
        <v>3742958.9999999981</v>
      </c>
      <c r="E1285" s="99">
        <v>4270711.4999999972</v>
      </c>
      <c r="F1285" s="99">
        <v>4736138.9999999991</v>
      </c>
      <c r="G1285" s="99">
        <v>0</v>
      </c>
      <c r="H1285" s="98" t="s">
        <v>225</v>
      </c>
      <c r="I1285" s="99">
        <v>0</v>
      </c>
      <c r="J1285" s="98" t="s">
        <v>225</v>
      </c>
      <c r="K1285" s="99">
        <v>0</v>
      </c>
      <c r="L1285" s="98" t="s">
        <v>225</v>
      </c>
      <c r="M1285" s="98" t="s">
        <v>225</v>
      </c>
      <c r="N1285" s="99">
        <v>0</v>
      </c>
      <c r="O1285" s="100">
        <v>0</v>
      </c>
      <c r="P1285" s="100">
        <v>0</v>
      </c>
      <c r="Q1285" s="100">
        <v>0</v>
      </c>
    </row>
    <row r="1286" spans="1:17" x14ac:dyDescent="0.35">
      <c r="A1286" s="98" t="s">
        <v>29</v>
      </c>
      <c r="B1286" s="98" t="s">
        <v>168</v>
      </c>
      <c r="C1286" s="98" t="s">
        <v>259</v>
      </c>
      <c r="D1286" s="99">
        <v>3742958.9999999981</v>
      </c>
      <c r="E1286" s="99">
        <v>4270711.4999999972</v>
      </c>
      <c r="F1286" s="99">
        <v>4736138.9999999991</v>
      </c>
      <c r="G1286" s="99">
        <v>0</v>
      </c>
      <c r="H1286" s="98" t="s">
        <v>225</v>
      </c>
      <c r="I1286" s="99">
        <v>0</v>
      </c>
      <c r="J1286" s="98" t="s">
        <v>225</v>
      </c>
      <c r="K1286" s="99">
        <v>0</v>
      </c>
      <c r="L1286" s="98" t="s">
        <v>225</v>
      </c>
      <c r="M1286" s="98" t="s">
        <v>225</v>
      </c>
      <c r="N1286" s="99">
        <v>0</v>
      </c>
      <c r="O1286" s="100">
        <v>0</v>
      </c>
      <c r="P1286" s="100">
        <v>0</v>
      </c>
      <c r="Q1286" s="100">
        <v>0</v>
      </c>
    </row>
    <row r="1287" spans="1:17" x14ac:dyDescent="0.35">
      <c r="A1287" s="98" t="s">
        <v>30</v>
      </c>
      <c r="B1287" s="98" t="s">
        <v>169</v>
      </c>
      <c r="C1287" s="98" t="s">
        <v>246</v>
      </c>
      <c r="D1287" s="99">
        <v>1290691.4999999998</v>
      </c>
      <c r="E1287" s="99">
        <v>1295381.5000000005</v>
      </c>
      <c r="F1287" s="99">
        <v>1299468.9999999986</v>
      </c>
      <c r="G1287" s="99">
        <v>2046</v>
      </c>
      <c r="H1287" s="98">
        <v>2013</v>
      </c>
      <c r="I1287" s="99">
        <v>2395</v>
      </c>
      <c r="J1287" s="98">
        <v>2018</v>
      </c>
      <c r="K1287" s="99">
        <v>1555</v>
      </c>
      <c r="L1287" s="98">
        <v>2022</v>
      </c>
      <c r="M1287" s="98" t="s">
        <v>226</v>
      </c>
      <c r="N1287" s="99">
        <v>1833.6554988586008</v>
      </c>
      <c r="O1287" s="100">
        <v>15.851967724278035</v>
      </c>
      <c r="P1287" s="100">
        <v>18.48876180492001</v>
      </c>
      <c r="Q1287" s="100">
        <v>14.110806020448374</v>
      </c>
    </row>
    <row r="1288" spans="1:17" x14ac:dyDescent="0.35">
      <c r="A1288" s="98" t="s">
        <v>30</v>
      </c>
      <c r="B1288" s="98" t="s">
        <v>169</v>
      </c>
      <c r="C1288" s="98" t="s">
        <v>247</v>
      </c>
      <c r="D1288" s="99">
        <v>1290691.4999999998</v>
      </c>
      <c r="E1288" s="99">
        <v>1295381.5000000005</v>
      </c>
      <c r="F1288" s="99">
        <v>1299468.9999999986</v>
      </c>
      <c r="G1288" s="99">
        <v>0</v>
      </c>
      <c r="H1288" s="98" t="s">
        <v>225</v>
      </c>
      <c r="I1288" s="99">
        <v>1188</v>
      </c>
      <c r="J1288" s="98">
        <v>2018</v>
      </c>
      <c r="K1288" s="99">
        <v>1207</v>
      </c>
      <c r="L1288" s="98">
        <v>2022</v>
      </c>
      <c r="M1288" s="98" t="s">
        <v>225</v>
      </c>
      <c r="N1288" s="99">
        <v>1207</v>
      </c>
      <c r="O1288" s="100">
        <v>0</v>
      </c>
      <c r="P1288" s="100">
        <v>9.171043433922744</v>
      </c>
      <c r="Q1288" s="100">
        <v>9.2884093425853269</v>
      </c>
    </row>
    <row r="1289" spans="1:17" x14ac:dyDescent="0.35">
      <c r="A1289" s="98" t="s">
        <v>30</v>
      </c>
      <c r="B1289" s="98" t="s">
        <v>169</v>
      </c>
      <c r="C1289" s="98" t="s">
        <v>248</v>
      </c>
      <c r="D1289" s="99">
        <v>1290691.4999999998</v>
      </c>
      <c r="E1289" s="99">
        <v>1295381.5000000005</v>
      </c>
      <c r="F1289" s="99">
        <v>1299468.9999999986</v>
      </c>
      <c r="G1289" s="99">
        <v>0</v>
      </c>
      <c r="H1289" s="98" t="s">
        <v>225</v>
      </c>
      <c r="I1289" s="99">
        <v>1207</v>
      </c>
      <c r="J1289" s="98">
        <v>2018</v>
      </c>
      <c r="K1289" s="99">
        <v>348</v>
      </c>
      <c r="L1289" s="98">
        <v>2022</v>
      </c>
      <c r="M1289" s="98" t="s">
        <v>226</v>
      </c>
      <c r="N1289" s="99">
        <v>410.36148784745535</v>
      </c>
      <c r="O1289" s="100">
        <v>0</v>
      </c>
      <c r="P1289" s="100">
        <v>9.317718370997266</v>
      </c>
      <c r="Q1289" s="100">
        <v>3.1579167171164206</v>
      </c>
    </row>
    <row r="1290" spans="1:17" x14ac:dyDescent="0.35">
      <c r="A1290" s="98" t="s">
        <v>30</v>
      </c>
      <c r="B1290" s="98" t="s">
        <v>169</v>
      </c>
      <c r="C1290" s="98" t="s">
        <v>249</v>
      </c>
      <c r="D1290" s="99">
        <v>1290691.4999999998</v>
      </c>
      <c r="E1290" s="99">
        <v>1295381.5000000005</v>
      </c>
      <c r="F1290" s="99">
        <v>1299468.9999999986</v>
      </c>
      <c r="G1290" s="99">
        <v>3963</v>
      </c>
      <c r="H1290" s="98">
        <v>2013</v>
      </c>
      <c r="I1290" s="99">
        <v>4986</v>
      </c>
      <c r="J1290" s="98">
        <v>2018</v>
      </c>
      <c r="K1290" s="99">
        <v>3900</v>
      </c>
      <c r="L1290" s="98">
        <v>2022</v>
      </c>
      <c r="M1290" s="98" t="s">
        <v>226</v>
      </c>
      <c r="N1290" s="99">
        <v>4598.8787431180344</v>
      </c>
      <c r="O1290" s="100">
        <v>30.704471207875784</v>
      </c>
      <c r="P1290" s="100">
        <v>38.49059138176667</v>
      </c>
      <c r="Q1290" s="100">
        <v>35.390445967684023</v>
      </c>
    </row>
    <row r="1291" spans="1:17" x14ac:dyDescent="0.35">
      <c r="A1291" s="98" t="s">
        <v>30</v>
      </c>
      <c r="B1291" s="98" t="s">
        <v>169</v>
      </c>
      <c r="C1291" s="98" t="s">
        <v>250</v>
      </c>
      <c r="D1291" s="99">
        <v>1290691.4999999998</v>
      </c>
      <c r="E1291" s="99">
        <v>1295381.5000000005</v>
      </c>
      <c r="F1291" s="99">
        <v>1299468.9999999986</v>
      </c>
      <c r="G1291" s="99">
        <v>0</v>
      </c>
      <c r="H1291" s="98" t="s">
        <v>225</v>
      </c>
      <c r="I1291" s="99">
        <v>4419</v>
      </c>
      <c r="J1291" s="98" t="s">
        <v>229</v>
      </c>
      <c r="K1291" s="99">
        <v>3715</v>
      </c>
      <c r="L1291" s="98">
        <v>2022</v>
      </c>
      <c r="M1291" s="98" t="s">
        <v>226</v>
      </c>
      <c r="N1291" s="99">
        <v>4380.7268027393584</v>
      </c>
      <c r="O1291" s="100">
        <v>0</v>
      </c>
      <c r="P1291" s="100">
        <v>34.113502470121723</v>
      </c>
      <c r="Q1291" s="100">
        <v>33.711668402550302</v>
      </c>
    </row>
    <row r="1292" spans="1:17" x14ac:dyDescent="0.35">
      <c r="A1292" s="98" t="s">
        <v>30</v>
      </c>
      <c r="B1292" s="98" t="s">
        <v>169</v>
      </c>
      <c r="C1292" s="98" t="s">
        <v>251</v>
      </c>
      <c r="D1292" s="99">
        <v>1290691.4999999998</v>
      </c>
      <c r="E1292" s="99">
        <v>1295381.5000000005</v>
      </c>
      <c r="F1292" s="99">
        <v>1299468.9999999986</v>
      </c>
      <c r="G1292" s="99">
        <v>0</v>
      </c>
      <c r="H1292" s="98" t="s">
        <v>225</v>
      </c>
      <c r="I1292" s="99">
        <v>0</v>
      </c>
      <c r="J1292" s="98" t="s">
        <v>225</v>
      </c>
      <c r="K1292" s="99">
        <v>185</v>
      </c>
      <c r="L1292" s="98">
        <v>2022</v>
      </c>
      <c r="M1292" s="98" t="s">
        <v>225</v>
      </c>
      <c r="N1292" s="99">
        <v>185</v>
      </c>
      <c r="O1292" s="100">
        <v>0</v>
      </c>
      <c r="P1292" s="100">
        <v>0</v>
      </c>
      <c r="Q1292" s="100">
        <v>1.4236584327906261</v>
      </c>
    </row>
    <row r="1293" spans="1:17" x14ac:dyDescent="0.35">
      <c r="A1293" s="98" t="s">
        <v>30</v>
      </c>
      <c r="B1293" s="98" t="s">
        <v>169</v>
      </c>
      <c r="C1293" s="98" t="s">
        <v>252</v>
      </c>
      <c r="D1293" s="99">
        <v>1290691.4999999998</v>
      </c>
      <c r="E1293" s="99">
        <v>1295381.5000000005</v>
      </c>
      <c r="F1293" s="99">
        <v>1299468.9999999986</v>
      </c>
      <c r="G1293" s="99">
        <v>0</v>
      </c>
      <c r="H1293" s="98" t="s">
        <v>225</v>
      </c>
      <c r="I1293" s="99">
        <v>567</v>
      </c>
      <c r="J1293" s="98" t="s">
        <v>229</v>
      </c>
      <c r="K1293" s="99">
        <v>567</v>
      </c>
      <c r="L1293" s="98" t="s">
        <v>229</v>
      </c>
      <c r="M1293" s="98" t="s">
        <v>225</v>
      </c>
      <c r="N1293" s="99">
        <v>567</v>
      </c>
      <c r="O1293" s="100">
        <v>0</v>
      </c>
      <c r="P1293" s="100">
        <v>4.3770889116449458</v>
      </c>
      <c r="Q1293" s="100">
        <v>4.3633207102285674</v>
      </c>
    </row>
    <row r="1294" spans="1:17" x14ac:dyDescent="0.35">
      <c r="A1294" s="98" t="s">
        <v>30</v>
      </c>
      <c r="B1294" s="98" t="s">
        <v>169</v>
      </c>
      <c r="C1294" s="98" t="s">
        <v>253</v>
      </c>
      <c r="D1294" s="99">
        <v>1290691.4999999998</v>
      </c>
      <c r="E1294" s="99">
        <v>1295381.5000000005</v>
      </c>
      <c r="F1294" s="99">
        <v>1299468.9999999986</v>
      </c>
      <c r="G1294" s="99">
        <v>0</v>
      </c>
      <c r="H1294" s="98" t="s">
        <v>225</v>
      </c>
      <c r="I1294" s="99">
        <v>567</v>
      </c>
      <c r="J1294" s="98" t="s">
        <v>229</v>
      </c>
      <c r="K1294" s="99">
        <v>567</v>
      </c>
      <c r="L1294" s="98" t="s">
        <v>229</v>
      </c>
      <c r="M1294" s="98" t="s">
        <v>225</v>
      </c>
      <c r="N1294" s="99">
        <v>567</v>
      </c>
      <c r="O1294" s="100">
        <v>0</v>
      </c>
      <c r="P1294" s="100">
        <v>4.3770889116449458</v>
      </c>
      <c r="Q1294" s="100">
        <v>4.3633207102285674</v>
      </c>
    </row>
    <row r="1295" spans="1:17" x14ac:dyDescent="0.35">
      <c r="A1295" s="98" t="s">
        <v>30</v>
      </c>
      <c r="B1295" s="98" t="s">
        <v>169</v>
      </c>
      <c r="C1295" s="98" t="s">
        <v>254</v>
      </c>
      <c r="D1295" s="99">
        <v>1290691.4999999998</v>
      </c>
      <c r="E1295" s="99">
        <v>1295381.5000000005</v>
      </c>
      <c r="F1295" s="99">
        <v>1299468.9999999986</v>
      </c>
      <c r="G1295" s="99">
        <v>0</v>
      </c>
      <c r="H1295" s="98" t="s">
        <v>225</v>
      </c>
      <c r="I1295" s="99">
        <v>0</v>
      </c>
      <c r="J1295" s="98" t="s">
        <v>225</v>
      </c>
      <c r="K1295" s="99">
        <v>0</v>
      </c>
      <c r="L1295" s="98" t="s">
        <v>225</v>
      </c>
      <c r="M1295" s="98" t="s">
        <v>225</v>
      </c>
      <c r="N1295" s="99">
        <v>0</v>
      </c>
      <c r="O1295" s="100">
        <v>0</v>
      </c>
      <c r="P1295" s="100">
        <v>0</v>
      </c>
      <c r="Q1295" s="100">
        <v>0</v>
      </c>
    </row>
    <row r="1296" spans="1:17" x14ac:dyDescent="0.35">
      <c r="A1296" s="98" t="s">
        <v>30</v>
      </c>
      <c r="B1296" s="98" t="s">
        <v>169</v>
      </c>
      <c r="C1296" s="98" t="s">
        <v>255</v>
      </c>
      <c r="D1296" s="99">
        <v>1290691.4999999998</v>
      </c>
      <c r="E1296" s="99">
        <v>1295381.5000000005</v>
      </c>
      <c r="F1296" s="99">
        <v>1299468.9999999986</v>
      </c>
      <c r="G1296" s="99">
        <v>460</v>
      </c>
      <c r="H1296" s="98">
        <v>2013</v>
      </c>
      <c r="I1296" s="99">
        <v>748</v>
      </c>
      <c r="J1296" s="98">
        <v>2018</v>
      </c>
      <c r="K1296" s="99">
        <v>35</v>
      </c>
      <c r="L1296" s="98">
        <v>2022</v>
      </c>
      <c r="M1296" s="98" t="s">
        <v>226</v>
      </c>
      <c r="N1296" s="99">
        <v>41.271988720290047</v>
      </c>
      <c r="O1296" s="100">
        <v>3.5639810132785414</v>
      </c>
      <c r="P1296" s="100">
        <v>5.7743606806180248</v>
      </c>
      <c r="Q1296" s="100">
        <v>0.31760656637665147</v>
      </c>
    </row>
    <row r="1297" spans="1:17" x14ac:dyDescent="0.35">
      <c r="A1297" s="98" t="s">
        <v>30</v>
      </c>
      <c r="B1297" s="98" t="s">
        <v>169</v>
      </c>
      <c r="C1297" s="98" t="s">
        <v>256</v>
      </c>
      <c r="D1297" s="99">
        <v>1290691.4999999998</v>
      </c>
      <c r="E1297" s="99">
        <v>1295381.5000000005</v>
      </c>
      <c r="F1297" s="99">
        <v>1299468.9999999986</v>
      </c>
      <c r="G1297" s="99">
        <v>0</v>
      </c>
      <c r="H1297" s="98" t="s">
        <v>225</v>
      </c>
      <c r="I1297" s="99">
        <v>217</v>
      </c>
      <c r="J1297" s="98" t="s">
        <v>229</v>
      </c>
      <c r="K1297" s="99">
        <v>314</v>
      </c>
      <c r="L1297" s="98">
        <v>2022</v>
      </c>
      <c r="M1297" s="98" t="s">
        <v>225</v>
      </c>
      <c r="N1297" s="99">
        <v>314</v>
      </c>
      <c r="O1297" s="100">
        <v>0</v>
      </c>
      <c r="P1297" s="100">
        <v>1.6751821760616461</v>
      </c>
      <c r="Q1297" s="100">
        <v>2.4163716102500357</v>
      </c>
    </row>
    <row r="1298" spans="1:17" x14ac:dyDescent="0.35">
      <c r="A1298" s="98" t="s">
        <v>30</v>
      </c>
      <c r="B1298" s="98" t="s">
        <v>169</v>
      </c>
      <c r="C1298" s="98" t="s">
        <v>257</v>
      </c>
      <c r="D1298" s="99">
        <v>1290691.4999999998</v>
      </c>
      <c r="E1298" s="99">
        <v>1295381.5000000005</v>
      </c>
      <c r="F1298" s="99">
        <v>1299468.9999999986</v>
      </c>
      <c r="G1298" s="99">
        <v>351</v>
      </c>
      <c r="H1298" s="98">
        <v>2013</v>
      </c>
      <c r="I1298" s="99">
        <v>466</v>
      </c>
      <c r="J1298" s="98">
        <v>2018</v>
      </c>
      <c r="K1298" s="99">
        <v>351</v>
      </c>
      <c r="L1298" s="98">
        <v>2018</v>
      </c>
      <c r="M1298" s="98" t="s">
        <v>226</v>
      </c>
      <c r="N1298" s="99">
        <v>413.89908688062309</v>
      </c>
      <c r="O1298" s="100">
        <v>2.7194724688277567</v>
      </c>
      <c r="P1298" s="100">
        <v>3.5973958250909082</v>
      </c>
      <c r="Q1298" s="100">
        <v>3.1851401370915622</v>
      </c>
    </row>
    <row r="1299" spans="1:17" x14ac:dyDescent="0.35">
      <c r="A1299" s="98" t="s">
        <v>30</v>
      </c>
      <c r="B1299" s="98" t="s">
        <v>169</v>
      </c>
      <c r="C1299" s="98" t="s">
        <v>258</v>
      </c>
      <c r="D1299" s="99">
        <v>1290691.4999999998</v>
      </c>
      <c r="E1299" s="99">
        <v>1295381.5000000005</v>
      </c>
      <c r="F1299" s="99">
        <v>1299468.9999999986</v>
      </c>
      <c r="G1299" s="99">
        <v>0</v>
      </c>
      <c r="H1299" s="98" t="s">
        <v>225</v>
      </c>
      <c r="I1299" s="99">
        <v>65</v>
      </c>
      <c r="J1299" s="98" t="s">
        <v>229</v>
      </c>
      <c r="K1299" s="99">
        <v>78</v>
      </c>
      <c r="L1299" s="98">
        <v>2022</v>
      </c>
      <c r="M1299" s="98" t="s">
        <v>225</v>
      </c>
      <c r="N1299" s="99">
        <v>78</v>
      </c>
      <c r="O1299" s="100">
        <v>0</v>
      </c>
      <c r="P1299" s="100">
        <v>0.50178267946547006</v>
      </c>
      <c r="Q1299" s="100">
        <v>0.60024517706848013</v>
      </c>
    </row>
    <row r="1300" spans="1:17" x14ac:dyDescent="0.35">
      <c r="A1300" s="98" t="s">
        <v>30</v>
      </c>
      <c r="B1300" s="98" t="s">
        <v>169</v>
      </c>
      <c r="C1300" s="98" t="s">
        <v>259</v>
      </c>
      <c r="D1300" s="99">
        <v>1290691.4999999998</v>
      </c>
      <c r="E1300" s="99">
        <v>1295381.5000000005</v>
      </c>
      <c r="F1300" s="99">
        <v>1299468.9999999986</v>
      </c>
      <c r="G1300" s="99">
        <v>0</v>
      </c>
      <c r="H1300" s="98" t="s">
        <v>225</v>
      </c>
      <c r="I1300" s="99">
        <v>0</v>
      </c>
      <c r="J1300" s="98" t="s">
        <v>225</v>
      </c>
      <c r="K1300" s="99">
        <v>16</v>
      </c>
      <c r="L1300" s="98">
        <v>2022</v>
      </c>
      <c r="M1300" s="98" t="s">
        <v>225</v>
      </c>
      <c r="N1300" s="99">
        <v>16</v>
      </c>
      <c r="O1300" s="100">
        <v>0</v>
      </c>
      <c r="P1300" s="100">
        <v>0</v>
      </c>
      <c r="Q1300" s="100">
        <v>0.123127215808919</v>
      </c>
    </row>
    <row r="1301" spans="1:17" x14ac:dyDescent="0.35">
      <c r="A1301" s="98" t="s">
        <v>27</v>
      </c>
      <c r="B1301" s="98" t="s">
        <v>166</v>
      </c>
      <c r="C1301" s="98" t="s">
        <v>246</v>
      </c>
      <c r="D1301" s="99">
        <v>16024775.499999996</v>
      </c>
      <c r="E1301" s="99">
        <v>18367882.999999985</v>
      </c>
      <c r="F1301" s="99">
        <v>20405316.500000019</v>
      </c>
      <c r="G1301" s="99">
        <v>200</v>
      </c>
      <c r="H1301" s="98">
        <v>2013</v>
      </c>
      <c r="I1301" s="99">
        <v>2760</v>
      </c>
      <c r="J1301" s="98">
        <v>2018</v>
      </c>
      <c r="K1301" s="99">
        <v>996</v>
      </c>
      <c r="L1301" s="98">
        <v>2022</v>
      </c>
      <c r="M1301" s="98" t="s">
        <v>226</v>
      </c>
      <c r="N1301" s="99">
        <v>1103.5637751855782</v>
      </c>
      <c r="O1301" s="100">
        <v>0.12480674066229511</v>
      </c>
      <c r="P1301" s="100">
        <v>1.5026228117851155</v>
      </c>
      <c r="Q1301" s="100">
        <v>0.54082168986968526</v>
      </c>
    </row>
    <row r="1302" spans="1:17" x14ac:dyDescent="0.35">
      <c r="A1302" s="98" t="s">
        <v>27</v>
      </c>
      <c r="B1302" s="98" t="s">
        <v>166</v>
      </c>
      <c r="C1302" s="98" t="s">
        <v>247</v>
      </c>
      <c r="D1302" s="99">
        <v>16024775.499999996</v>
      </c>
      <c r="E1302" s="99">
        <v>18367882.999999985</v>
      </c>
      <c r="F1302" s="99">
        <v>20405316.500000019</v>
      </c>
      <c r="G1302" s="99">
        <v>0</v>
      </c>
      <c r="H1302" s="98" t="s">
        <v>225</v>
      </c>
      <c r="I1302" s="99">
        <v>2582</v>
      </c>
      <c r="J1302" s="98">
        <v>2018</v>
      </c>
      <c r="K1302" s="99">
        <v>843</v>
      </c>
      <c r="L1302" s="98">
        <v>2022</v>
      </c>
      <c r="M1302" s="98" t="s">
        <v>226</v>
      </c>
      <c r="N1302" s="99">
        <v>934.04042417815492</v>
      </c>
      <c r="O1302" s="100">
        <v>0</v>
      </c>
      <c r="P1302" s="100">
        <v>1.4057145289960755</v>
      </c>
      <c r="Q1302" s="100">
        <v>0.45774365919693238</v>
      </c>
    </row>
    <row r="1303" spans="1:17" x14ac:dyDescent="0.35">
      <c r="A1303" s="98" t="s">
        <v>27</v>
      </c>
      <c r="B1303" s="98" t="s">
        <v>166</v>
      </c>
      <c r="C1303" s="98" t="s">
        <v>248</v>
      </c>
      <c r="D1303" s="99">
        <v>16024775.499999996</v>
      </c>
      <c r="E1303" s="99">
        <v>18367882.999999985</v>
      </c>
      <c r="F1303" s="99">
        <v>20405316.500000019</v>
      </c>
      <c r="G1303" s="99">
        <v>32</v>
      </c>
      <c r="H1303" s="98">
        <v>2013</v>
      </c>
      <c r="I1303" s="99">
        <v>178</v>
      </c>
      <c r="J1303" s="98">
        <v>2018</v>
      </c>
      <c r="K1303" s="99">
        <v>141</v>
      </c>
      <c r="L1303" s="98">
        <v>2022</v>
      </c>
      <c r="M1303" s="98" t="s">
        <v>226</v>
      </c>
      <c r="N1303" s="99">
        <v>156.22740190880171</v>
      </c>
      <c r="O1303" s="100">
        <v>1.9969078505967217E-2</v>
      </c>
      <c r="P1303" s="100">
        <v>9.6908282789040054E-2</v>
      </c>
      <c r="Q1303" s="100">
        <v>7.6562106698419286E-2</v>
      </c>
    </row>
    <row r="1304" spans="1:17" x14ac:dyDescent="0.35">
      <c r="A1304" s="98" t="s">
        <v>27</v>
      </c>
      <c r="B1304" s="98" t="s">
        <v>166</v>
      </c>
      <c r="C1304" s="98" t="s">
        <v>249</v>
      </c>
      <c r="D1304" s="99">
        <v>16024775.499999996</v>
      </c>
      <c r="E1304" s="99">
        <v>18367882.999999985</v>
      </c>
      <c r="F1304" s="99">
        <v>20405316.500000019</v>
      </c>
      <c r="G1304" s="99">
        <v>3545</v>
      </c>
      <c r="H1304" s="98">
        <v>2013</v>
      </c>
      <c r="I1304" s="99">
        <v>7957</v>
      </c>
      <c r="J1304" s="98">
        <v>2018</v>
      </c>
      <c r="K1304" s="99">
        <v>9592</v>
      </c>
      <c r="L1304" s="98">
        <v>2022</v>
      </c>
      <c r="M1304" s="98" t="s">
        <v>225</v>
      </c>
      <c r="N1304" s="99">
        <v>9592</v>
      </c>
      <c r="O1304" s="100">
        <v>2.2121994782391807</v>
      </c>
      <c r="P1304" s="100">
        <v>4.3320180120920888</v>
      </c>
      <c r="Q1304" s="100">
        <v>4.7007357126756606</v>
      </c>
    </row>
    <row r="1305" spans="1:17" x14ac:dyDescent="0.35">
      <c r="A1305" s="98" t="s">
        <v>27</v>
      </c>
      <c r="B1305" s="98" t="s">
        <v>166</v>
      </c>
      <c r="C1305" s="98" t="s">
        <v>250</v>
      </c>
      <c r="D1305" s="99">
        <v>16024775.499999996</v>
      </c>
      <c r="E1305" s="99">
        <v>18367882.999999985</v>
      </c>
      <c r="F1305" s="99">
        <v>20405316.500000019</v>
      </c>
      <c r="G1305" s="99">
        <v>0</v>
      </c>
      <c r="H1305" s="98" t="s">
        <v>225</v>
      </c>
      <c r="I1305" s="99">
        <v>1633</v>
      </c>
      <c r="J1305" s="98">
        <v>2018</v>
      </c>
      <c r="K1305" s="99">
        <v>2891</v>
      </c>
      <c r="L1305" s="98">
        <v>2022</v>
      </c>
      <c r="M1305" s="98" t="s">
        <v>225</v>
      </c>
      <c r="N1305" s="99">
        <v>2891</v>
      </c>
      <c r="O1305" s="100">
        <v>0</v>
      </c>
      <c r="P1305" s="100">
        <v>0.88905183030619328</v>
      </c>
      <c r="Q1305" s="100">
        <v>1.4167876298316653</v>
      </c>
    </row>
    <row r="1306" spans="1:17" x14ac:dyDescent="0.35">
      <c r="A1306" s="98" t="s">
        <v>27</v>
      </c>
      <c r="B1306" s="98" t="s">
        <v>166</v>
      </c>
      <c r="C1306" s="98" t="s">
        <v>251</v>
      </c>
      <c r="D1306" s="99">
        <v>16024775.499999996</v>
      </c>
      <c r="E1306" s="99">
        <v>18367882.999999985</v>
      </c>
      <c r="F1306" s="99">
        <v>20405316.500000019</v>
      </c>
      <c r="G1306" s="99">
        <v>0</v>
      </c>
      <c r="H1306" s="98" t="s">
        <v>225</v>
      </c>
      <c r="I1306" s="99">
        <v>6324</v>
      </c>
      <c r="J1306" s="98">
        <v>2018</v>
      </c>
      <c r="K1306" s="99">
        <v>6474</v>
      </c>
      <c r="L1306" s="98">
        <v>2022</v>
      </c>
      <c r="M1306" s="98" t="s">
        <v>225</v>
      </c>
      <c r="N1306" s="99">
        <v>6474</v>
      </c>
      <c r="O1306" s="100">
        <v>0</v>
      </c>
      <c r="P1306" s="100">
        <v>3.442966181785895</v>
      </c>
      <c r="Q1306" s="100">
        <v>3.1727025650398484</v>
      </c>
    </row>
    <row r="1307" spans="1:17" x14ac:dyDescent="0.35">
      <c r="A1307" s="98" t="s">
        <v>27</v>
      </c>
      <c r="B1307" s="98" t="s">
        <v>166</v>
      </c>
      <c r="C1307" s="98" t="s">
        <v>252</v>
      </c>
      <c r="D1307" s="99">
        <v>16024775.499999996</v>
      </c>
      <c r="E1307" s="99">
        <v>18367882.999999985</v>
      </c>
      <c r="F1307" s="99">
        <v>20405316.500000019</v>
      </c>
      <c r="G1307" s="99">
        <v>48</v>
      </c>
      <c r="H1307" s="98">
        <v>2013</v>
      </c>
      <c r="I1307" s="99">
        <v>0</v>
      </c>
      <c r="J1307" s="98" t="s">
        <v>225</v>
      </c>
      <c r="K1307" s="99">
        <v>616</v>
      </c>
      <c r="L1307" s="98">
        <v>2022</v>
      </c>
      <c r="M1307" s="98" t="s">
        <v>225</v>
      </c>
      <c r="N1307" s="99">
        <v>616</v>
      </c>
      <c r="O1307" s="100">
        <v>2.9953617758950828E-2</v>
      </c>
      <c r="P1307" s="100">
        <v>0</v>
      </c>
      <c r="Q1307" s="100">
        <v>0.30188210998834514</v>
      </c>
    </row>
    <row r="1308" spans="1:17" x14ac:dyDescent="0.35">
      <c r="A1308" s="98" t="s">
        <v>27</v>
      </c>
      <c r="B1308" s="98" t="s">
        <v>166</v>
      </c>
      <c r="C1308" s="98" t="s">
        <v>253</v>
      </c>
      <c r="D1308" s="99">
        <v>16024775.499999996</v>
      </c>
      <c r="E1308" s="99">
        <v>18367882.999999985</v>
      </c>
      <c r="F1308" s="99">
        <v>20405316.500000019</v>
      </c>
      <c r="G1308" s="99">
        <v>0</v>
      </c>
      <c r="H1308" s="98" t="s">
        <v>225</v>
      </c>
      <c r="I1308" s="99">
        <v>0</v>
      </c>
      <c r="J1308" s="98" t="s">
        <v>225</v>
      </c>
      <c r="K1308" s="99">
        <v>0</v>
      </c>
      <c r="L1308" s="98" t="s">
        <v>225</v>
      </c>
      <c r="M1308" s="98" t="s">
        <v>225</v>
      </c>
      <c r="N1308" s="99">
        <v>0</v>
      </c>
      <c r="O1308" s="100">
        <v>0</v>
      </c>
      <c r="P1308" s="100">
        <v>0</v>
      </c>
      <c r="Q1308" s="100">
        <v>0</v>
      </c>
    </row>
    <row r="1309" spans="1:17" x14ac:dyDescent="0.35">
      <c r="A1309" s="98" t="s">
        <v>27</v>
      </c>
      <c r="B1309" s="98" t="s">
        <v>166</v>
      </c>
      <c r="C1309" s="98" t="s">
        <v>254</v>
      </c>
      <c r="D1309" s="99">
        <v>16024775.499999996</v>
      </c>
      <c r="E1309" s="99">
        <v>18367882.999999985</v>
      </c>
      <c r="F1309" s="99">
        <v>20405316.500000019</v>
      </c>
      <c r="G1309" s="99">
        <v>48</v>
      </c>
      <c r="H1309" s="98">
        <v>2013</v>
      </c>
      <c r="I1309" s="99">
        <v>0</v>
      </c>
      <c r="J1309" s="98" t="s">
        <v>225</v>
      </c>
      <c r="K1309" s="99">
        <v>0</v>
      </c>
      <c r="L1309" s="98" t="s">
        <v>225</v>
      </c>
      <c r="M1309" s="98" t="s">
        <v>225</v>
      </c>
      <c r="N1309" s="99">
        <v>0</v>
      </c>
      <c r="O1309" s="100">
        <v>2.9953617758950828E-2</v>
      </c>
      <c r="P1309" s="100">
        <v>0</v>
      </c>
      <c r="Q1309" s="100">
        <v>0</v>
      </c>
    </row>
    <row r="1310" spans="1:17" x14ac:dyDescent="0.35">
      <c r="A1310" s="98" t="s">
        <v>27</v>
      </c>
      <c r="B1310" s="98" t="s">
        <v>166</v>
      </c>
      <c r="C1310" s="98" t="s">
        <v>255</v>
      </c>
      <c r="D1310" s="99">
        <v>16024775.499999996</v>
      </c>
      <c r="E1310" s="99">
        <v>18367882.999999985</v>
      </c>
      <c r="F1310" s="99">
        <v>20405316.500000019</v>
      </c>
      <c r="G1310" s="99">
        <v>170</v>
      </c>
      <c r="H1310" s="98">
        <v>2013</v>
      </c>
      <c r="I1310" s="99">
        <v>387</v>
      </c>
      <c r="J1310" s="98">
        <v>2018</v>
      </c>
      <c r="K1310" s="99">
        <v>111</v>
      </c>
      <c r="L1310" s="98">
        <v>2022</v>
      </c>
      <c r="M1310" s="98" t="s">
        <v>226</v>
      </c>
      <c r="N1310" s="99">
        <v>122.98752916224815</v>
      </c>
      <c r="O1310" s="100">
        <v>0.10608572956295084</v>
      </c>
      <c r="P1310" s="100">
        <v>0.21069385078291294</v>
      </c>
      <c r="Q1310" s="100">
        <v>6.0272296762585401E-2</v>
      </c>
    </row>
    <row r="1311" spans="1:17" x14ac:dyDescent="0.35">
      <c r="A1311" s="98" t="s">
        <v>27</v>
      </c>
      <c r="B1311" s="98" t="s">
        <v>166</v>
      </c>
      <c r="C1311" s="98" t="s">
        <v>256</v>
      </c>
      <c r="D1311" s="99">
        <v>16024775.499999996</v>
      </c>
      <c r="E1311" s="99">
        <v>18367882.999999985</v>
      </c>
      <c r="F1311" s="99">
        <v>20405316.500000019</v>
      </c>
      <c r="G1311" s="99">
        <v>0</v>
      </c>
      <c r="H1311" s="98" t="s">
        <v>225</v>
      </c>
      <c r="I1311" s="99">
        <v>276</v>
      </c>
      <c r="J1311" s="98" t="s">
        <v>229</v>
      </c>
      <c r="K1311" s="99">
        <v>710</v>
      </c>
      <c r="L1311" s="98">
        <v>2022</v>
      </c>
      <c r="M1311" s="98" t="s">
        <v>225</v>
      </c>
      <c r="N1311" s="99">
        <v>710</v>
      </c>
      <c r="O1311" s="100">
        <v>0</v>
      </c>
      <c r="P1311" s="100">
        <v>0.15026228117851154</v>
      </c>
      <c r="Q1311" s="100">
        <v>0.34794853586319002</v>
      </c>
    </row>
    <row r="1312" spans="1:17" x14ac:dyDescent="0.35">
      <c r="A1312" s="98" t="s">
        <v>27</v>
      </c>
      <c r="B1312" s="98" t="s">
        <v>166</v>
      </c>
      <c r="C1312" s="98" t="s">
        <v>257</v>
      </c>
      <c r="D1312" s="99">
        <v>16024775.499999996</v>
      </c>
      <c r="E1312" s="99">
        <v>18367882.999999985</v>
      </c>
      <c r="F1312" s="99">
        <v>20405316.500000019</v>
      </c>
      <c r="G1312" s="99">
        <v>0</v>
      </c>
      <c r="H1312" s="98" t="s">
        <v>225</v>
      </c>
      <c r="I1312" s="99">
        <v>112</v>
      </c>
      <c r="J1312" s="98">
        <v>2018</v>
      </c>
      <c r="K1312" s="99">
        <v>91</v>
      </c>
      <c r="L1312" s="98">
        <v>2022</v>
      </c>
      <c r="M1312" s="98" t="s">
        <v>226</v>
      </c>
      <c r="N1312" s="99">
        <v>100.82761399787913</v>
      </c>
      <c r="O1312" s="100">
        <v>0</v>
      </c>
      <c r="P1312" s="100">
        <v>6.0975998159395993E-2</v>
      </c>
      <c r="Q1312" s="100">
        <v>4.9412423472029475E-2</v>
      </c>
    </row>
    <row r="1313" spans="1:17" x14ac:dyDescent="0.35">
      <c r="A1313" s="98" t="s">
        <v>27</v>
      </c>
      <c r="B1313" s="98" t="s">
        <v>166</v>
      </c>
      <c r="C1313" s="98" t="s">
        <v>258</v>
      </c>
      <c r="D1313" s="99">
        <v>16024775.499999996</v>
      </c>
      <c r="E1313" s="99">
        <v>18367882.999999985</v>
      </c>
      <c r="F1313" s="99">
        <v>20405316.500000019</v>
      </c>
      <c r="G1313" s="99">
        <v>0</v>
      </c>
      <c r="H1313" s="98" t="s">
        <v>225</v>
      </c>
      <c r="I1313" s="99">
        <v>76</v>
      </c>
      <c r="J1313" s="98" t="s">
        <v>229</v>
      </c>
      <c r="K1313" s="99">
        <v>173</v>
      </c>
      <c r="L1313" s="98">
        <v>2022</v>
      </c>
      <c r="M1313" s="98" t="s">
        <v>225</v>
      </c>
      <c r="N1313" s="99">
        <v>173</v>
      </c>
      <c r="O1313" s="100">
        <v>0</v>
      </c>
      <c r="P1313" s="100">
        <v>4.1376570179590136E-2</v>
      </c>
      <c r="Q1313" s="100">
        <v>8.478182634412941E-2</v>
      </c>
    </row>
    <row r="1314" spans="1:17" x14ac:dyDescent="0.35">
      <c r="A1314" s="98" t="s">
        <v>27</v>
      </c>
      <c r="B1314" s="98" t="s">
        <v>166</v>
      </c>
      <c r="C1314" s="98" t="s">
        <v>259</v>
      </c>
      <c r="D1314" s="99">
        <v>16024775.499999996</v>
      </c>
      <c r="E1314" s="99">
        <v>18367882.999999985</v>
      </c>
      <c r="F1314" s="99">
        <v>20405316.500000019</v>
      </c>
      <c r="G1314" s="99">
        <v>0</v>
      </c>
      <c r="H1314" s="98" t="s">
        <v>225</v>
      </c>
      <c r="I1314" s="99">
        <v>0</v>
      </c>
      <c r="J1314" s="98" t="s">
        <v>225</v>
      </c>
      <c r="K1314" s="99">
        <v>11</v>
      </c>
      <c r="L1314" s="98">
        <v>2022</v>
      </c>
      <c r="M1314" s="98" t="s">
        <v>225</v>
      </c>
      <c r="N1314" s="99">
        <v>11</v>
      </c>
      <c r="O1314" s="100">
        <v>0</v>
      </c>
      <c r="P1314" s="100">
        <v>0</v>
      </c>
      <c r="Q1314" s="100">
        <v>5.3907519640775921E-3</v>
      </c>
    </row>
    <row r="1315" spans="1:17" x14ac:dyDescent="0.35">
      <c r="A1315" s="98" t="s">
        <v>32</v>
      </c>
      <c r="B1315" s="98" t="s">
        <v>171</v>
      </c>
      <c r="C1315" s="98" t="s">
        <v>246</v>
      </c>
      <c r="D1315" s="99">
        <v>2204510.0000000005</v>
      </c>
      <c r="E1315" s="99">
        <v>2405680.5000000005</v>
      </c>
      <c r="F1315" s="99">
        <v>2567012.4999999995</v>
      </c>
      <c r="G1315" s="99">
        <v>0</v>
      </c>
      <c r="H1315" s="98" t="s">
        <v>225</v>
      </c>
      <c r="I1315" s="99">
        <v>1445</v>
      </c>
      <c r="J1315" s="98" t="s">
        <v>229</v>
      </c>
      <c r="K1315" s="99">
        <v>1597</v>
      </c>
      <c r="L1315" s="98">
        <v>2022</v>
      </c>
      <c r="M1315" s="98" t="s">
        <v>225</v>
      </c>
      <c r="N1315" s="99">
        <v>1597</v>
      </c>
      <c r="O1315" s="100">
        <v>0</v>
      </c>
      <c r="P1315" s="100">
        <v>6.0066164230869381</v>
      </c>
      <c r="Q1315" s="100">
        <v>6.2212396706287967</v>
      </c>
    </row>
    <row r="1316" spans="1:17" x14ac:dyDescent="0.35">
      <c r="A1316" s="98" t="s">
        <v>32</v>
      </c>
      <c r="B1316" s="98" t="s">
        <v>171</v>
      </c>
      <c r="C1316" s="98" t="s">
        <v>247</v>
      </c>
      <c r="D1316" s="99">
        <v>2204510.0000000005</v>
      </c>
      <c r="E1316" s="99">
        <v>2405680.5000000005</v>
      </c>
      <c r="F1316" s="99">
        <v>2567012.4999999995</v>
      </c>
      <c r="G1316" s="99">
        <v>0</v>
      </c>
      <c r="H1316" s="98" t="s">
        <v>225</v>
      </c>
      <c r="I1316" s="99">
        <v>1044</v>
      </c>
      <c r="J1316" s="98" t="s">
        <v>229</v>
      </c>
      <c r="K1316" s="99">
        <v>1336</v>
      </c>
      <c r="L1316" s="98">
        <v>2022</v>
      </c>
      <c r="M1316" s="98" t="s">
        <v>225</v>
      </c>
      <c r="N1316" s="99">
        <v>1336</v>
      </c>
      <c r="O1316" s="100">
        <v>0</v>
      </c>
      <c r="P1316" s="100">
        <v>4.3397284053306322</v>
      </c>
      <c r="Q1316" s="100">
        <v>5.2044935503820113</v>
      </c>
    </row>
    <row r="1317" spans="1:17" x14ac:dyDescent="0.35">
      <c r="A1317" s="98" t="s">
        <v>32</v>
      </c>
      <c r="B1317" s="98" t="s">
        <v>171</v>
      </c>
      <c r="C1317" s="98" t="s">
        <v>248</v>
      </c>
      <c r="D1317" s="99">
        <v>2204510.0000000005</v>
      </c>
      <c r="E1317" s="99">
        <v>2405680.5000000005</v>
      </c>
      <c r="F1317" s="99">
        <v>2567012.4999999995</v>
      </c>
      <c r="G1317" s="99">
        <v>0</v>
      </c>
      <c r="H1317" s="98" t="s">
        <v>225</v>
      </c>
      <c r="I1317" s="99">
        <v>401</v>
      </c>
      <c r="J1317" s="98" t="s">
        <v>229</v>
      </c>
      <c r="K1317" s="99">
        <v>58</v>
      </c>
      <c r="L1317" s="98">
        <v>2022</v>
      </c>
      <c r="M1317" s="98" t="s">
        <v>226</v>
      </c>
      <c r="N1317" s="99">
        <v>87.857332293291734</v>
      </c>
      <c r="O1317" s="100">
        <v>0</v>
      </c>
      <c r="P1317" s="100">
        <v>1.6668880177563061</v>
      </c>
      <c r="Q1317" s="100">
        <v>0.34225517909745962</v>
      </c>
    </row>
    <row r="1318" spans="1:17" x14ac:dyDescent="0.35">
      <c r="A1318" s="98" t="s">
        <v>32</v>
      </c>
      <c r="B1318" s="98" t="s">
        <v>171</v>
      </c>
      <c r="C1318" s="98" t="s">
        <v>249</v>
      </c>
      <c r="D1318" s="99">
        <v>2204510.0000000005</v>
      </c>
      <c r="E1318" s="99">
        <v>2405680.5000000005</v>
      </c>
      <c r="F1318" s="99">
        <v>2567012.4999999995</v>
      </c>
      <c r="G1318" s="99">
        <v>4110</v>
      </c>
      <c r="H1318" s="98">
        <v>2013</v>
      </c>
      <c r="I1318" s="99">
        <v>12956</v>
      </c>
      <c r="J1318" s="98" t="s">
        <v>229</v>
      </c>
      <c r="K1318" s="99">
        <v>10271</v>
      </c>
      <c r="L1318" s="98">
        <v>2022</v>
      </c>
      <c r="M1318" s="98" t="s">
        <v>226</v>
      </c>
      <c r="N1318" s="99">
        <v>15558.321723868956</v>
      </c>
      <c r="O1318" s="100">
        <v>18.643598804269427</v>
      </c>
      <c r="P1318" s="100">
        <v>53.855863237034164</v>
      </c>
      <c r="Q1318" s="100">
        <v>60.6086714570691</v>
      </c>
    </row>
    <row r="1319" spans="1:17" x14ac:dyDescent="0.35">
      <c r="A1319" s="98" t="s">
        <v>32</v>
      </c>
      <c r="B1319" s="98" t="s">
        <v>171</v>
      </c>
      <c r="C1319" s="98" t="s">
        <v>250</v>
      </c>
      <c r="D1319" s="99">
        <v>2204510.0000000005</v>
      </c>
      <c r="E1319" s="99">
        <v>2405680.5000000005</v>
      </c>
      <c r="F1319" s="99">
        <v>2567012.4999999995</v>
      </c>
      <c r="G1319" s="99">
        <v>2042</v>
      </c>
      <c r="H1319" s="98">
        <v>2013</v>
      </c>
      <c r="I1319" s="99">
        <v>8719</v>
      </c>
      <c r="J1319" s="98" t="s">
        <v>229</v>
      </c>
      <c r="K1319" s="99">
        <v>8560</v>
      </c>
      <c r="L1319" s="98">
        <v>2022</v>
      </c>
      <c r="M1319" s="98" t="s">
        <v>226</v>
      </c>
      <c r="N1319" s="99">
        <v>12966.53042121685</v>
      </c>
      <c r="O1319" s="100">
        <v>9.2628293815859291</v>
      </c>
      <c r="P1319" s="100">
        <v>36.243383109269907</v>
      </c>
      <c r="Q1319" s="100">
        <v>50.512143673694041</v>
      </c>
    </row>
    <row r="1320" spans="1:17" x14ac:dyDescent="0.35">
      <c r="A1320" s="98" t="s">
        <v>32</v>
      </c>
      <c r="B1320" s="98" t="s">
        <v>171</v>
      </c>
      <c r="C1320" s="98" t="s">
        <v>251</v>
      </c>
      <c r="D1320" s="99">
        <v>2204510.0000000005</v>
      </c>
      <c r="E1320" s="99">
        <v>2405680.5000000005</v>
      </c>
      <c r="F1320" s="99">
        <v>2567012.4999999995</v>
      </c>
      <c r="G1320" s="99">
        <v>2068</v>
      </c>
      <c r="H1320" s="98">
        <v>2013</v>
      </c>
      <c r="I1320" s="99">
        <v>4237</v>
      </c>
      <c r="J1320" s="98" t="s">
        <v>229</v>
      </c>
      <c r="K1320" s="99">
        <v>45</v>
      </c>
      <c r="L1320" s="98">
        <v>2021</v>
      </c>
      <c r="M1320" s="98" t="s">
        <v>226</v>
      </c>
      <c r="N1320" s="99">
        <v>68.165171606864277</v>
      </c>
      <c r="O1320" s="100">
        <v>9.3807694226834961</v>
      </c>
      <c r="P1320" s="100">
        <v>17.612480127764261</v>
      </c>
      <c r="Q1320" s="100">
        <v>0.26554281136871866</v>
      </c>
    </row>
    <row r="1321" spans="1:17" x14ac:dyDescent="0.35">
      <c r="A1321" s="98" t="s">
        <v>32</v>
      </c>
      <c r="B1321" s="98" t="s">
        <v>171</v>
      </c>
      <c r="C1321" s="98" t="s">
        <v>252</v>
      </c>
      <c r="D1321" s="99">
        <v>2204510.0000000005</v>
      </c>
      <c r="E1321" s="99">
        <v>2405680.5000000005</v>
      </c>
      <c r="F1321" s="99">
        <v>2567012.4999999995</v>
      </c>
      <c r="G1321" s="99">
        <v>0</v>
      </c>
      <c r="H1321" s="98" t="s">
        <v>225</v>
      </c>
      <c r="I1321" s="99">
        <v>5</v>
      </c>
      <c r="J1321" s="98">
        <v>2018</v>
      </c>
      <c r="K1321" s="99">
        <v>17</v>
      </c>
      <c r="L1321" s="98">
        <v>2022</v>
      </c>
      <c r="M1321" s="98" t="s">
        <v>225</v>
      </c>
      <c r="N1321" s="99">
        <v>17</v>
      </c>
      <c r="O1321" s="100">
        <v>0</v>
      </c>
      <c r="P1321" s="100">
        <v>2.0784139872273143E-2</v>
      </c>
      <c r="Q1321" s="100">
        <v>6.6224843081208226E-2</v>
      </c>
    </row>
    <row r="1322" spans="1:17" x14ac:dyDescent="0.35">
      <c r="A1322" s="98" t="s">
        <v>32</v>
      </c>
      <c r="B1322" s="98" t="s">
        <v>171</v>
      </c>
      <c r="C1322" s="98" t="s">
        <v>253</v>
      </c>
      <c r="D1322" s="99">
        <v>2204510.0000000005</v>
      </c>
      <c r="E1322" s="99">
        <v>2405680.5000000005</v>
      </c>
      <c r="F1322" s="99">
        <v>2567012.4999999995</v>
      </c>
      <c r="G1322" s="99">
        <v>0</v>
      </c>
      <c r="H1322" s="98" t="s">
        <v>225</v>
      </c>
      <c r="I1322" s="99">
        <v>5</v>
      </c>
      <c r="J1322" s="98">
        <v>2018</v>
      </c>
      <c r="K1322" s="99">
        <v>7</v>
      </c>
      <c r="L1322" s="98">
        <v>2022</v>
      </c>
      <c r="M1322" s="98" t="s">
        <v>225</v>
      </c>
      <c r="N1322" s="99">
        <v>7</v>
      </c>
      <c r="O1322" s="100">
        <v>0</v>
      </c>
      <c r="P1322" s="100">
        <v>2.0784139872273143E-2</v>
      </c>
      <c r="Q1322" s="100">
        <v>2.726905303343868E-2</v>
      </c>
    </row>
    <row r="1323" spans="1:17" x14ac:dyDescent="0.35">
      <c r="A1323" s="98" t="s">
        <v>32</v>
      </c>
      <c r="B1323" s="98" t="s">
        <v>171</v>
      </c>
      <c r="C1323" s="98" t="s">
        <v>254</v>
      </c>
      <c r="D1323" s="99">
        <v>2204510.0000000005</v>
      </c>
      <c r="E1323" s="99">
        <v>2405680.5000000005</v>
      </c>
      <c r="F1323" s="99">
        <v>2567012.4999999995</v>
      </c>
      <c r="G1323" s="99">
        <v>0</v>
      </c>
      <c r="H1323" s="98" t="s">
        <v>225</v>
      </c>
      <c r="I1323" s="99">
        <v>0</v>
      </c>
      <c r="J1323" s="98" t="s">
        <v>225</v>
      </c>
      <c r="K1323" s="99">
        <v>0</v>
      </c>
      <c r="L1323" s="98" t="s">
        <v>225</v>
      </c>
      <c r="M1323" s="98" t="s">
        <v>225</v>
      </c>
      <c r="N1323" s="99">
        <v>0</v>
      </c>
      <c r="O1323" s="100">
        <v>0</v>
      </c>
      <c r="P1323" s="100">
        <v>0</v>
      </c>
      <c r="Q1323" s="100">
        <v>0</v>
      </c>
    </row>
    <row r="1324" spans="1:17" x14ac:dyDescent="0.35">
      <c r="A1324" s="98" t="s">
        <v>32</v>
      </c>
      <c r="B1324" s="98" t="s">
        <v>171</v>
      </c>
      <c r="C1324" s="98" t="s">
        <v>255</v>
      </c>
      <c r="D1324" s="99">
        <v>2204510.0000000005</v>
      </c>
      <c r="E1324" s="99">
        <v>2405680.5000000005</v>
      </c>
      <c r="F1324" s="99">
        <v>2567012.4999999995</v>
      </c>
      <c r="G1324" s="99">
        <v>0</v>
      </c>
      <c r="H1324" s="98" t="s">
        <v>225</v>
      </c>
      <c r="I1324" s="99">
        <v>598</v>
      </c>
      <c r="J1324" s="98" t="s">
        <v>229</v>
      </c>
      <c r="K1324" s="99">
        <v>655</v>
      </c>
      <c r="L1324" s="98">
        <v>2022</v>
      </c>
      <c r="M1324" s="98" t="s">
        <v>225</v>
      </c>
      <c r="N1324" s="99">
        <v>655</v>
      </c>
      <c r="O1324" s="100">
        <v>0</v>
      </c>
      <c r="P1324" s="100">
        <v>2.4857831287238681</v>
      </c>
      <c r="Q1324" s="100">
        <v>2.5516042481289052</v>
      </c>
    </row>
    <row r="1325" spans="1:17" x14ac:dyDescent="0.35">
      <c r="A1325" s="98" t="s">
        <v>32</v>
      </c>
      <c r="B1325" s="98" t="s">
        <v>171</v>
      </c>
      <c r="C1325" s="98" t="s">
        <v>256</v>
      </c>
      <c r="D1325" s="99">
        <v>2204510.0000000005</v>
      </c>
      <c r="E1325" s="99">
        <v>2405680.5000000005</v>
      </c>
      <c r="F1325" s="99">
        <v>2567012.4999999995</v>
      </c>
      <c r="G1325" s="99">
        <v>0</v>
      </c>
      <c r="H1325" s="98" t="s">
        <v>225</v>
      </c>
      <c r="I1325" s="99">
        <v>309</v>
      </c>
      <c r="J1325" s="98" t="s">
        <v>229</v>
      </c>
      <c r="K1325" s="99">
        <v>402</v>
      </c>
      <c r="L1325" s="98">
        <v>2022</v>
      </c>
      <c r="M1325" s="98" t="s">
        <v>225</v>
      </c>
      <c r="N1325" s="99">
        <v>402</v>
      </c>
      <c r="O1325" s="100">
        <v>0</v>
      </c>
      <c r="P1325" s="100">
        <v>1.2844598441064803</v>
      </c>
      <c r="Q1325" s="100">
        <v>1.5660227599203358</v>
      </c>
    </row>
    <row r="1326" spans="1:17" x14ac:dyDescent="0.35">
      <c r="A1326" s="98" t="s">
        <v>32</v>
      </c>
      <c r="B1326" s="98" t="s">
        <v>171</v>
      </c>
      <c r="C1326" s="98" t="s">
        <v>257</v>
      </c>
      <c r="D1326" s="99">
        <v>2204510.0000000005</v>
      </c>
      <c r="E1326" s="99">
        <v>2405680.5000000005</v>
      </c>
      <c r="F1326" s="99">
        <v>2567012.4999999995</v>
      </c>
      <c r="G1326" s="99">
        <v>68</v>
      </c>
      <c r="H1326" s="98">
        <v>2014</v>
      </c>
      <c r="I1326" s="99">
        <v>181</v>
      </c>
      <c r="J1326" s="98" t="s">
        <v>229</v>
      </c>
      <c r="K1326" s="99">
        <v>224</v>
      </c>
      <c r="L1326" s="98">
        <v>2022</v>
      </c>
      <c r="M1326" s="98" t="s">
        <v>225</v>
      </c>
      <c r="N1326" s="99">
        <v>224</v>
      </c>
      <c r="O1326" s="100">
        <v>0.30845856902440899</v>
      </c>
      <c r="P1326" s="100">
        <v>0.75238586337628777</v>
      </c>
      <c r="Q1326" s="100">
        <v>0.87260969707003777</v>
      </c>
    </row>
    <row r="1327" spans="1:17" x14ac:dyDescent="0.35">
      <c r="A1327" s="98" t="s">
        <v>32</v>
      </c>
      <c r="B1327" s="98" t="s">
        <v>171</v>
      </c>
      <c r="C1327" s="98" t="s">
        <v>258</v>
      </c>
      <c r="D1327" s="99">
        <v>2204510.0000000005</v>
      </c>
      <c r="E1327" s="99">
        <v>2405680.5000000005</v>
      </c>
      <c r="F1327" s="99">
        <v>2567012.4999999995</v>
      </c>
      <c r="G1327" s="99">
        <v>0</v>
      </c>
      <c r="H1327" s="98" t="s">
        <v>225</v>
      </c>
      <c r="I1327" s="99">
        <v>108</v>
      </c>
      <c r="J1327" s="98" t="s">
        <v>229</v>
      </c>
      <c r="K1327" s="99">
        <v>104</v>
      </c>
      <c r="L1327" s="98">
        <v>2022</v>
      </c>
      <c r="M1327" s="98" t="s">
        <v>226</v>
      </c>
      <c r="N1327" s="99">
        <v>157.53728549141965</v>
      </c>
      <c r="O1327" s="100">
        <v>0</v>
      </c>
      <c r="P1327" s="100">
        <v>0.44893742124109987</v>
      </c>
      <c r="Q1327" s="100">
        <v>0.61369894182992757</v>
      </c>
    </row>
    <row r="1328" spans="1:17" x14ac:dyDescent="0.35">
      <c r="A1328" s="98" t="s">
        <v>32</v>
      </c>
      <c r="B1328" s="98" t="s">
        <v>171</v>
      </c>
      <c r="C1328" s="98" t="s">
        <v>259</v>
      </c>
      <c r="D1328" s="99">
        <v>2204510.0000000005</v>
      </c>
      <c r="E1328" s="99">
        <v>2405680.5000000005</v>
      </c>
      <c r="F1328" s="99">
        <v>2567012.4999999995</v>
      </c>
      <c r="G1328" s="99">
        <v>0</v>
      </c>
      <c r="H1328" s="98" t="s">
        <v>225</v>
      </c>
      <c r="I1328" s="99">
        <v>0</v>
      </c>
      <c r="J1328" s="98" t="s">
        <v>225</v>
      </c>
      <c r="K1328" s="99">
        <v>13</v>
      </c>
      <c r="L1328" s="98">
        <v>2022</v>
      </c>
      <c r="M1328" s="98" t="s">
        <v>225</v>
      </c>
      <c r="N1328" s="99">
        <v>13</v>
      </c>
      <c r="O1328" s="100">
        <v>0</v>
      </c>
      <c r="P1328" s="100">
        <v>0</v>
      </c>
      <c r="Q1328" s="100">
        <v>5.0642527062100408E-2</v>
      </c>
    </row>
    <row r="1329" spans="1:17" x14ac:dyDescent="0.35">
      <c r="A1329" s="98" t="s">
        <v>33</v>
      </c>
      <c r="B1329" s="98" t="s">
        <v>172</v>
      </c>
      <c r="C1329" s="98" t="s">
        <v>246</v>
      </c>
      <c r="D1329" s="99">
        <v>18653199</v>
      </c>
      <c r="E1329" s="99">
        <v>22577057.999999996</v>
      </c>
      <c r="F1329" s="99">
        <v>26207976.5</v>
      </c>
      <c r="G1329" s="99">
        <v>946</v>
      </c>
      <c r="H1329" s="98">
        <v>2013</v>
      </c>
      <c r="I1329" s="99">
        <v>1065</v>
      </c>
      <c r="J1329" s="98" t="s">
        <v>229</v>
      </c>
      <c r="K1329" s="99">
        <v>614</v>
      </c>
      <c r="L1329" s="98">
        <v>2022</v>
      </c>
      <c r="M1329" s="98" t="s">
        <v>226</v>
      </c>
      <c r="N1329" s="99">
        <v>705.66936761273496</v>
      </c>
      <c r="O1329" s="100">
        <v>0.50715161511974438</v>
      </c>
      <c r="P1329" s="100">
        <v>0.47171779423164883</v>
      </c>
      <c r="Q1329" s="100">
        <v>0.2692574787728213</v>
      </c>
    </row>
    <row r="1330" spans="1:17" x14ac:dyDescent="0.35">
      <c r="A1330" s="98" t="s">
        <v>33</v>
      </c>
      <c r="B1330" s="98" t="s">
        <v>172</v>
      </c>
      <c r="C1330" s="98" t="s">
        <v>247</v>
      </c>
      <c r="D1330" s="99">
        <v>18653199</v>
      </c>
      <c r="E1330" s="99">
        <v>22577057.999999996</v>
      </c>
      <c r="F1330" s="99">
        <v>26207976.5</v>
      </c>
      <c r="G1330" s="99">
        <v>0</v>
      </c>
      <c r="H1330" s="98" t="s">
        <v>225</v>
      </c>
      <c r="I1330" s="99">
        <v>1065</v>
      </c>
      <c r="J1330" s="98" t="s">
        <v>229</v>
      </c>
      <c r="K1330" s="99">
        <v>316</v>
      </c>
      <c r="L1330" s="98">
        <v>2022</v>
      </c>
      <c r="M1330" s="98" t="s">
        <v>226</v>
      </c>
      <c r="N1330" s="99">
        <v>363.17837160525119</v>
      </c>
      <c r="O1330" s="100">
        <v>0</v>
      </c>
      <c r="P1330" s="100">
        <v>0.47171779423164883</v>
      </c>
      <c r="Q1330" s="100">
        <v>0.13857551024790149</v>
      </c>
    </row>
    <row r="1331" spans="1:17" x14ac:dyDescent="0.35">
      <c r="A1331" s="98" t="s">
        <v>33</v>
      </c>
      <c r="B1331" s="98" t="s">
        <v>172</v>
      </c>
      <c r="C1331" s="98" t="s">
        <v>248</v>
      </c>
      <c r="D1331" s="99">
        <v>18653199</v>
      </c>
      <c r="E1331" s="99">
        <v>22577057.999999996</v>
      </c>
      <c r="F1331" s="99">
        <v>26207976.5</v>
      </c>
      <c r="G1331" s="99">
        <v>0</v>
      </c>
      <c r="H1331" s="98" t="s">
        <v>225</v>
      </c>
      <c r="I1331" s="99">
        <v>0</v>
      </c>
      <c r="J1331" s="98" t="s">
        <v>225</v>
      </c>
      <c r="K1331" s="99">
        <v>298</v>
      </c>
      <c r="L1331" s="98">
        <v>2022</v>
      </c>
      <c r="M1331" s="98" t="s">
        <v>225</v>
      </c>
      <c r="N1331" s="99">
        <v>298</v>
      </c>
      <c r="O1331" s="100">
        <v>0</v>
      </c>
      <c r="P1331" s="100">
        <v>0</v>
      </c>
      <c r="Q1331" s="100">
        <v>0.11370584066267</v>
      </c>
    </row>
    <row r="1332" spans="1:17" x14ac:dyDescent="0.35">
      <c r="A1332" s="98" t="s">
        <v>33</v>
      </c>
      <c r="B1332" s="98" t="s">
        <v>172</v>
      </c>
      <c r="C1332" s="98" t="s">
        <v>249</v>
      </c>
      <c r="D1332" s="99">
        <v>18653199</v>
      </c>
      <c r="E1332" s="99">
        <v>22577057.999999996</v>
      </c>
      <c r="F1332" s="99">
        <v>26207976.5</v>
      </c>
      <c r="G1332" s="99">
        <v>3533</v>
      </c>
      <c r="H1332" s="98">
        <v>2013</v>
      </c>
      <c r="I1332" s="99">
        <v>4107</v>
      </c>
      <c r="J1332" s="98">
        <v>2018</v>
      </c>
      <c r="K1332" s="99">
        <v>4565</v>
      </c>
      <c r="L1332" s="98">
        <v>2022</v>
      </c>
      <c r="M1332" s="98" t="s">
        <v>225</v>
      </c>
      <c r="N1332" s="99">
        <v>4565</v>
      </c>
      <c r="O1332" s="100">
        <v>1.894045091139595</v>
      </c>
      <c r="P1332" s="100">
        <v>1.8191032684595134</v>
      </c>
      <c r="Q1332" s="100">
        <v>1.7418361161915725</v>
      </c>
    </row>
    <row r="1333" spans="1:17" x14ac:dyDescent="0.35">
      <c r="A1333" s="98" t="s">
        <v>33</v>
      </c>
      <c r="B1333" s="98" t="s">
        <v>172</v>
      </c>
      <c r="C1333" s="98" t="s">
        <v>250</v>
      </c>
      <c r="D1333" s="99">
        <v>18653199</v>
      </c>
      <c r="E1333" s="99">
        <v>22577057.999999996</v>
      </c>
      <c r="F1333" s="99">
        <v>26207976.5</v>
      </c>
      <c r="G1333" s="99">
        <v>0</v>
      </c>
      <c r="H1333" s="98" t="s">
        <v>225</v>
      </c>
      <c r="I1333" s="99">
        <v>2398</v>
      </c>
      <c r="J1333" s="98">
        <v>2018</v>
      </c>
      <c r="K1333" s="99">
        <v>4565</v>
      </c>
      <c r="L1333" s="98">
        <v>2022</v>
      </c>
      <c r="M1333" s="98" t="s">
        <v>225</v>
      </c>
      <c r="N1333" s="99">
        <v>4565</v>
      </c>
      <c r="O1333" s="100">
        <v>0</v>
      </c>
      <c r="P1333" s="100">
        <v>1.0621401601572713</v>
      </c>
      <c r="Q1333" s="100">
        <v>1.7418361161915725</v>
      </c>
    </row>
    <row r="1334" spans="1:17" x14ac:dyDescent="0.35">
      <c r="A1334" s="98" t="s">
        <v>33</v>
      </c>
      <c r="B1334" s="98" t="s">
        <v>172</v>
      </c>
      <c r="C1334" s="98" t="s">
        <v>251</v>
      </c>
      <c r="D1334" s="99">
        <v>18653199</v>
      </c>
      <c r="E1334" s="99">
        <v>22577057.999999996</v>
      </c>
      <c r="F1334" s="99">
        <v>26207976.5</v>
      </c>
      <c r="G1334" s="99">
        <v>0</v>
      </c>
      <c r="H1334" s="98" t="s">
        <v>225</v>
      </c>
      <c r="I1334" s="99">
        <v>1709</v>
      </c>
      <c r="J1334" s="98">
        <v>2018</v>
      </c>
      <c r="K1334" s="99">
        <v>1709</v>
      </c>
      <c r="L1334" s="98">
        <v>2018</v>
      </c>
      <c r="M1334" s="98" t="s">
        <v>225</v>
      </c>
      <c r="N1334" s="99">
        <v>1709</v>
      </c>
      <c r="O1334" s="100">
        <v>0</v>
      </c>
      <c r="P1334" s="100">
        <v>0.75696310830224212</v>
      </c>
      <c r="Q1334" s="100">
        <v>0.6520915493037015</v>
      </c>
    </row>
    <row r="1335" spans="1:17" x14ac:dyDescent="0.35">
      <c r="A1335" s="98" t="s">
        <v>33</v>
      </c>
      <c r="B1335" s="98" t="s">
        <v>172</v>
      </c>
      <c r="C1335" s="98" t="s">
        <v>252</v>
      </c>
      <c r="D1335" s="99">
        <v>18653199</v>
      </c>
      <c r="E1335" s="99">
        <v>22577057.999999996</v>
      </c>
      <c r="F1335" s="99">
        <v>26207976.5</v>
      </c>
      <c r="G1335" s="99">
        <v>917</v>
      </c>
      <c r="H1335" s="98">
        <v>2013</v>
      </c>
      <c r="I1335" s="99">
        <v>906</v>
      </c>
      <c r="J1335" s="98">
        <v>2018</v>
      </c>
      <c r="K1335" s="99">
        <v>718</v>
      </c>
      <c r="L1335" s="98">
        <v>2022</v>
      </c>
      <c r="M1335" s="98" t="s">
        <v>226</v>
      </c>
      <c r="N1335" s="99">
        <v>825.19642662205808</v>
      </c>
      <c r="O1335" s="100">
        <v>0.49160468400085156</v>
      </c>
      <c r="P1335" s="100">
        <v>0.40129232072664212</v>
      </c>
      <c r="Q1335" s="100">
        <v>0.31486460872782684</v>
      </c>
    </row>
    <row r="1336" spans="1:17" x14ac:dyDescent="0.35">
      <c r="A1336" s="98" t="s">
        <v>33</v>
      </c>
      <c r="B1336" s="98" t="s">
        <v>172</v>
      </c>
      <c r="C1336" s="98" t="s">
        <v>253</v>
      </c>
      <c r="D1336" s="99">
        <v>18653199</v>
      </c>
      <c r="E1336" s="99">
        <v>22577057.999999996</v>
      </c>
      <c r="F1336" s="99">
        <v>26207976.5</v>
      </c>
      <c r="G1336" s="99">
        <v>829</v>
      </c>
      <c r="H1336" s="98">
        <v>2013</v>
      </c>
      <c r="I1336" s="99">
        <v>903</v>
      </c>
      <c r="J1336" s="98">
        <v>2018</v>
      </c>
      <c r="K1336" s="99">
        <v>718</v>
      </c>
      <c r="L1336" s="98">
        <v>2022</v>
      </c>
      <c r="M1336" s="98" t="s">
        <v>226</v>
      </c>
      <c r="N1336" s="99">
        <v>825.19642662205808</v>
      </c>
      <c r="O1336" s="100">
        <v>0.4444277895711079</v>
      </c>
      <c r="P1336" s="100">
        <v>0.39996353820767971</v>
      </c>
      <c r="Q1336" s="100">
        <v>0.31486460872782684</v>
      </c>
    </row>
    <row r="1337" spans="1:17" x14ac:dyDescent="0.35">
      <c r="A1337" s="98" t="s">
        <v>33</v>
      </c>
      <c r="B1337" s="98" t="s">
        <v>172</v>
      </c>
      <c r="C1337" s="98" t="s">
        <v>254</v>
      </c>
      <c r="D1337" s="99">
        <v>18653199</v>
      </c>
      <c r="E1337" s="99">
        <v>22577057.999999996</v>
      </c>
      <c r="F1337" s="99">
        <v>26207976.5</v>
      </c>
      <c r="G1337" s="99">
        <v>12</v>
      </c>
      <c r="H1337" s="98">
        <v>2014</v>
      </c>
      <c r="I1337" s="99">
        <v>6</v>
      </c>
      <c r="J1337" s="98" t="s">
        <v>229</v>
      </c>
      <c r="K1337" s="99">
        <v>6</v>
      </c>
      <c r="L1337" s="98" t="s">
        <v>229</v>
      </c>
      <c r="M1337" s="98" t="s">
        <v>225</v>
      </c>
      <c r="N1337" s="99">
        <v>6</v>
      </c>
      <c r="O1337" s="100">
        <v>6.4332128767832265E-3</v>
      </c>
      <c r="P1337" s="100">
        <v>2.6575650379247824E-3</v>
      </c>
      <c r="Q1337" s="100">
        <v>2.2893793422014094E-3</v>
      </c>
    </row>
    <row r="1338" spans="1:17" x14ac:dyDescent="0.35">
      <c r="A1338" s="98" t="s">
        <v>33</v>
      </c>
      <c r="B1338" s="98" t="s">
        <v>172</v>
      </c>
      <c r="C1338" s="98" t="s">
        <v>255</v>
      </c>
      <c r="D1338" s="99">
        <v>18653199</v>
      </c>
      <c r="E1338" s="99">
        <v>22577057.999999996</v>
      </c>
      <c r="F1338" s="99">
        <v>26207976.5</v>
      </c>
      <c r="G1338" s="99">
        <v>51</v>
      </c>
      <c r="H1338" s="98">
        <v>2013</v>
      </c>
      <c r="I1338" s="99">
        <v>60</v>
      </c>
      <c r="J1338" s="98">
        <v>2018</v>
      </c>
      <c r="K1338" s="99">
        <v>43</v>
      </c>
      <c r="L1338" s="98">
        <v>2022</v>
      </c>
      <c r="M1338" s="98" t="s">
        <v>226</v>
      </c>
      <c r="N1338" s="99">
        <v>49.419841705777856</v>
      </c>
      <c r="O1338" s="100">
        <v>2.7341154726328712E-2</v>
      </c>
      <c r="P1338" s="100">
        <v>2.6575650379247823E-2</v>
      </c>
      <c r="Q1338" s="100">
        <v>1.8856794116011915E-2</v>
      </c>
    </row>
    <row r="1339" spans="1:17" x14ac:dyDescent="0.35">
      <c r="A1339" s="98" t="s">
        <v>33</v>
      </c>
      <c r="B1339" s="98" t="s">
        <v>172</v>
      </c>
      <c r="C1339" s="98" t="s">
        <v>256</v>
      </c>
      <c r="D1339" s="99">
        <v>18653199</v>
      </c>
      <c r="E1339" s="99">
        <v>22577057.999999996</v>
      </c>
      <c r="F1339" s="99">
        <v>26207976.5</v>
      </c>
      <c r="G1339" s="99">
        <v>0</v>
      </c>
      <c r="H1339" s="98" t="s">
        <v>225</v>
      </c>
      <c r="I1339" s="99">
        <v>0</v>
      </c>
      <c r="J1339" s="98" t="s">
        <v>225</v>
      </c>
      <c r="K1339" s="99">
        <v>4</v>
      </c>
      <c r="L1339" s="98">
        <v>2022</v>
      </c>
      <c r="M1339" s="98" t="s">
        <v>225</v>
      </c>
      <c r="N1339" s="99">
        <v>4</v>
      </c>
      <c r="O1339" s="100">
        <v>0</v>
      </c>
      <c r="P1339" s="100">
        <v>0</v>
      </c>
      <c r="Q1339" s="100">
        <v>1.5262528948009398E-3</v>
      </c>
    </row>
    <row r="1340" spans="1:17" x14ac:dyDescent="0.35">
      <c r="A1340" s="98" t="s">
        <v>33</v>
      </c>
      <c r="B1340" s="98" t="s">
        <v>172</v>
      </c>
      <c r="C1340" s="98" t="s">
        <v>257</v>
      </c>
      <c r="D1340" s="99">
        <v>18653199</v>
      </c>
      <c r="E1340" s="99">
        <v>22577057.999999996</v>
      </c>
      <c r="F1340" s="99">
        <v>26207976.5</v>
      </c>
      <c r="G1340" s="99">
        <v>30</v>
      </c>
      <c r="H1340" s="98">
        <v>2013</v>
      </c>
      <c r="I1340" s="99">
        <v>30</v>
      </c>
      <c r="J1340" s="98">
        <v>2018</v>
      </c>
      <c r="K1340" s="99">
        <v>24</v>
      </c>
      <c r="L1340" s="98">
        <v>2022</v>
      </c>
      <c r="M1340" s="98" t="s">
        <v>226</v>
      </c>
      <c r="N1340" s="99">
        <v>27.583167463689964</v>
      </c>
      <c r="O1340" s="100">
        <v>1.6083032191958065E-2</v>
      </c>
      <c r="P1340" s="100">
        <v>1.3287825189623912E-2</v>
      </c>
      <c r="Q1340" s="100">
        <v>1.0524722297308976E-2</v>
      </c>
    </row>
    <row r="1341" spans="1:17" x14ac:dyDescent="0.35">
      <c r="A1341" s="98" t="s">
        <v>33</v>
      </c>
      <c r="B1341" s="98" t="s">
        <v>172</v>
      </c>
      <c r="C1341" s="98" t="s">
        <v>258</v>
      </c>
      <c r="D1341" s="99">
        <v>18653199</v>
      </c>
      <c r="E1341" s="99">
        <v>22577057.999999996</v>
      </c>
      <c r="F1341" s="99">
        <v>26207976.5</v>
      </c>
      <c r="G1341" s="99">
        <v>0</v>
      </c>
      <c r="H1341" s="98" t="s">
        <v>225</v>
      </c>
      <c r="I1341" s="99">
        <v>0</v>
      </c>
      <c r="J1341" s="98" t="s">
        <v>225</v>
      </c>
      <c r="K1341" s="99">
        <v>0</v>
      </c>
      <c r="L1341" s="98" t="s">
        <v>225</v>
      </c>
      <c r="M1341" s="98" t="s">
        <v>225</v>
      </c>
      <c r="N1341" s="99">
        <v>0</v>
      </c>
      <c r="O1341" s="100">
        <v>0</v>
      </c>
      <c r="P1341" s="100">
        <v>0</v>
      </c>
      <c r="Q1341" s="100">
        <v>0</v>
      </c>
    </row>
    <row r="1342" spans="1:17" x14ac:dyDescent="0.35">
      <c r="A1342" s="98" t="s">
        <v>33</v>
      </c>
      <c r="B1342" s="98" t="s">
        <v>172</v>
      </c>
      <c r="C1342" s="98" t="s">
        <v>259</v>
      </c>
      <c r="D1342" s="99">
        <v>18653199</v>
      </c>
      <c r="E1342" s="99">
        <v>22577057.999999996</v>
      </c>
      <c r="F1342" s="99">
        <v>26207976.5</v>
      </c>
      <c r="G1342" s="99">
        <v>0</v>
      </c>
      <c r="H1342" s="98" t="s">
        <v>225</v>
      </c>
      <c r="I1342" s="99">
        <v>0</v>
      </c>
      <c r="J1342" s="98" t="s">
        <v>225</v>
      </c>
      <c r="K1342" s="99">
        <v>0</v>
      </c>
      <c r="L1342" s="98" t="s">
        <v>225</v>
      </c>
      <c r="M1342" s="98" t="s">
        <v>225</v>
      </c>
      <c r="N1342" s="99">
        <v>0</v>
      </c>
      <c r="O1342" s="100">
        <v>0</v>
      </c>
      <c r="P1342" s="100">
        <v>0</v>
      </c>
      <c r="Q1342" s="100">
        <v>0</v>
      </c>
    </row>
    <row r="1343" spans="1:17" x14ac:dyDescent="0.35">
      <c r="A1343" s="98" t="s">
        <v>34</v>
      </c>
      <c r="B1343" s="98" t="s">
        <v>173</v>
      </c>
      <c r="C1343" s="98" t="s">
        <v>246</v>
      </c>
      <c r="D1343" s="99">
        <v>174726123.50000006</v>
      </c>
      <c r="E1343" s="99">
        <v>198387623.50000006</v>
      </c>
      <c r="F1343" s="99">
        <v>218541211.50000003</v>
      </c>
      <c r="G1343" s="99">
        <v>65759</v>
      </c>
      <c r="H1343" s="98">
        <v>2013</v>
      </c>
      <c r="I1343" s="99">
        <v>83907</v>
      </c>
      <c r="J1343" s="98" t="s">
        <v>229</v>
      </c>
      <c r="K1343" s="99">
        <v>86181</v>
      </c>
      <c r="L1343" s="98">
        <v>2022</v>
      </c>
      <c r="M1343" s="98" t="s">
        <v>225</v>
      </c>
      <c r="N1343" s="99">
        <v>86181</v>
      </c>
      <c r="O1343" s="100">
        <v>3.7635471263688842</v>
      </c>
      <c r="P1343" s="100">
        <v>4.229447307230835</v>
      </c>
      <c r="Q1343" s="100">
        <v>3.943466745172683</v>
      </c>
    </row>
    <row r="1344" spans="1:17" x14ac:dyDescent="0.35">
      <c r="A1344" s="98" t="s">
        <v>34</v>
      </c>
      <c r="B1344" s="98" t="s">
        <v>173</v>
      </c>
      <c r="C1344" s="98" t="s">
        <v>247</v>
      </c>
      <c r="D1344" s="99">
        <v>174726123.50000006</v>
      </c>
      <c r="E1344" s="99">
        <v>198387623.50000006</v>
      </c>
      <c r="F1344" s="99">
        <v>218541211.50000003</v>
      </c>
      <c r="G1344" s="99">
        <v>0</v>
      </c>
      <c r="H1344" s="98" t="s">
        <v>225</v>
      </c>
      <c r="I1344" s="99">
        <v>74543</v>
      </c>
      <c r="J1344" s="98" t="s">
        <v>229</v>
      </c>
      <c r="K1344" s="99">
        <v>85719</v>
      </c>
      <c r="L1344" s="98">
        <v>2022</v>
      </c>
      <c r="M1344" s="98" t="s">
        <v>225</v>
      </c>
      <c r="N1344" s="99">
        <v>85719</v>
      </c>
      <c r="O1344" s="100">
        <v>0</v>
      </c>
      <c r="P1344" s="100">
        <v>3.757442056358923</v>
      </c>
      <c r="Q1344" s="100">
        <v>3.9223265676826355</v>
      </c>
    </row>
    <row r="1345" spans="1:17" x14ac:dyDescent="0.35">
      <c r="A1345" s="98" t="s">
        <v>34</v>
      </c>
      <c r="B1345" s="98" t="s">
        <v>173</v>
      </c>
      <c r="C1345" s="98" t="s">
        <v>248</v>
      </c>
      <c r="D1345" s="99">
        <v>174726123.50000006</v>
      </c>
      <c r="E1345" s="99">
        <v>198387623.50000006</v>
      </c>
      <c r="F1345" s="99">
        <v>218541211.50000003</v>
      </c>
      <c r="G1345" s="99">
        <v>0</v>
      </c>
      <c r="H1345" s="98" t="s">
        <v>225</v>
      </c>
      <c r="I1345" s="99">
        <v>9364</v>
      </c>
      <c r="J1345" s="98" t="s">
        <v>229</v>
      </c>
      <c r="K1345" s="99">
        <v>462</v>
      </c>
      <c r="L1345" s="98">
        <v>2022</v>
      </c>
      <c r="M1345" s="98" t="s">
        <v>226</v>
      </c>
      <c r="N1345" s="99">
        <v>530.9759736760318</v>
      </c>
      <c r="O1345" s="100">
        <v>0</v>
      </c>
      <c r="P1345" s="100">
        <v>0.47200525087191225</v>
      </c>
      <c r="Q1345" s="100">
        <v>2.4296377330004493E-2</v>
      </c>
    </row>
    <row r="1346" spans="1:17" x14ac:dyDescent="0.35">
      <c r="A1346" s="98" t="s">
        <v>34</v>
      </c>
      <c r="B1346" s="98" t="s">
        <v>173</v>
      </c>
      <c r="C1346" s="98" t="s">
        <v>249</v>
      </c>
      <c r="D1346" s="99">
        <v>174726123.50000006</v>
      </c>
      <c r="E1346" s="99">
        <v>198387623.50000006</v>
      </c>
      <c r="F1346" s="99">
        <v>218541211.50000003</v>
      </c>
      <c r="G1346" s="99">
        <v>74920</v>
      </c>
      <c r="H1346" s="98">
        <v>2013</v>
      </c>
      <c r="I1346" s="99">
        <v>180709</v>
      </c>
      <c r="J1346" s="98" t="s">
        <v>229</v>
      </c>
      <c r="K1346" s="99">
        <v>220681</v>
      </c>
      <c r="L1346" s="98">
        <v>2022</v>
      </c>
      <c r="M1346" s="98" t="s">
        <v>225</v>
      </c>
      <c r="N1346" s="99">
        <v>220681</v>
      </c>
      <c r="O1346" s="100">
        <v>4.2878533844425375</v>
      </c>
      <c r="P1346" s="100">
        <v>9.1088847586301149</v>
      </c>
      <c r="Q1346" s="100">
        <v>10.097912356452731</v>
      </c>
    </row>
    <row r="1347" spans="1:17" x14ac:dyDescent="0.35">
      <c r="A1347" s="98" t="s">
        <v>34</v>
      </c>
      <c r="B1347" s="98" t="s">
        <v>173</v>
      </c>
      <c r="C1347" s="98" t="s">
        <v>250</v>
      </c>
      <c r="D1347" s="99">
        <v>174726123.50000006</v>
      </c>
      <c r="E1347" s="99">
        <v>198387623.50000006</v>
      </c>
      <c r="F1347" s="99">
        <v>218541211.50000003</v>
      </c>
      <c r="G1347" s="99">
        <v>0</v>
      </c>
      <c r="H1347" s="98" t="s">
        <v>225</v>
      </c>
      <c r="I1347" s="99">
        <v>180709</v>
      </c>
      <c r="J1347" s="98" t="s">
        <v>229</v>
      </c>
      <c r="K1347" s="99">
        <v>220681</v>
      </c>
      <c r="L1347" s="98">
        <v>2022</v>
      </c>
      <c r="M1347" s="98" t="s">
        <v>225</v>
      </c>
      <c r="N1347" s="99">
        <v>220681</v>
      </c>
      <c r="O1347" s="100">
        <v>0</v>
      </c>
      <c r="P1347" s="100">
        <v>9.1088847586301149</v>
      </c>
      <c r="Q1347" s="100">
        <v>10.097912356452731</v>
      </c>
    </row>
    <row r="1348" spans="1:17" x14ac:dyDescent="0.35">
      <c r="A1348" s="98" t="s">
        <v>34</v>
      </c>
      <c r="B1348" s="98" t="s">
        <v>173</v>
      </c>
      <c r="C1348" s="98" t="s">
        <v>251</v>
      </c>
      <c r="D1348" s="99">
        <v>174726123.50000006</v>
      </c>
      <c r="E1348" s="99">
        <v>198387623.50000006</v>
      </c>
      <c r="F1348" s="99">
        <v>218541211.50000003</v>
      </c>
      <c r="G1348" s="99">
        <v>0</v>
      </c>
      <c r="H1348" s="98" t="s">
        <v>225</v>
      </c>
      <c r="I1348" s="99">
        <v>0</v>
      </c>
      <c r="J1348" s="98" t="s">
        <v>225</v>
      </c>
      <c r="K1348" s="99">
        <v>0</v>
      </c>
      <c r="L1348" s="98" t="s">
        <v>225</v>
      </c>
      <c r="M1348" s="98" t="s">
        <v>225</v>
      </c>
      <c r="N1348" s="99">
        <v>0</v>
      </c>
      <c r="O1348" s="100">
        <v>0</v>
      </c>
      <c r="P1348" s="100">
        <v>0</v>
      </c>
      <c r="Q1348" s="100">
        <v>0</v>
      </c>
    </row>
    <row r="1349" spans="1:17" x14ac:dyDescent="0.35">
      <c r="A1349" s="98" t="s">
        <v>34</v>
      </c>
      <c r="B1349" s="98" t="s">
        <v>173</v>
      </c>
      <c r="C1349" s="98" t="s">
        <v>252</v>
      </c>
      <c r="D1349" s="99">
        <v>174726123.50000006</v>
      </c>
      <c r="E1349" s="99">
        <v>198387623.50000006</v>
      </c>
      <c r="F1349" s="99">
        <v>218541211.50000003</v>
      </c>
      <c r="G1349" s="99">
        <v>101275</v>
      </c>
      <c r="H1349" s="98">
        <v>2013</v>
      </c>
      <c r="I1349" s="99">
        <v>120870</v>
      </c>
      <c r="J1349" s="98" t="s">
        <v>229</v>
      </c>
      <c r="K1349" s="99">
        <v>146787</v>
      </c>
      <c r="L1349" s="98">
        <v>2022</v>
      </c>
      <c r="M1349" s="98" t="s">
        <v>225</v>
      </c>
      <c r="N1349" s="99">
        <v>146787</v>
      </c>
      <c r="O1349" s="100">
        <v>5.7962139817060594</v>
      </c>
      <c r="P1349" s="100">
        <v>6.0926179701930829</v>
      </c>
      <c r="Q1349" s="100">
        <v>6.7166736650034533</v>
      </c>
    </row>
    <row r="1350" spans="1:17" x14ac:dyDescent="0.35">
      <c r="A1350" s="98" t="s">
        <v>34</v>
      </c>
      <c r="B1350" s="98" t="s">
        <v>173</v>
      </c>
      <c r="C1350" s="98" t="s">
        <v>253</v>
      </c>
      <c r="D1350" s="99">
        <v>174726123.50000006</v>
      </c>
      <c r="E1350" s="99">
        <v>198387623.50000006</v>
      </c>
      <c r="F1350" s="99">
        <v>218541211.50000003</v>
      </c>
      <c r="G1350" s="99">
        <v>101275</v>
      </c>
      <c r="H1350" s="98">
        <v>2013</v>
      </c>
      <c r="I1350" s="99">
        <v>120870</v>
      </c>
      <c r="J1350" s="98" t="s">
        <v>229</v>
      </c>
      <c r="K1350" s="99">
        <v>146787</v>
      </c>
      <c r="L1350" s="98">
        <v>2022</v>
      </c>
      <c r="M1350" s="98" t="s">
        <v>225</v>
      </c>
      <c r="N1350" s="99">
        <v>146787</v>
      </c>
      <c r="O1350" s="100">
        <v>5.7962139817060594</v>
      </c>
      <c r="P1350" s="100">
        <v>6.0926179701930829</v>
      </c>
      <c r="Q1350" s="100">
        <v>6.7166736650034533</v>
      </c>
    </row>
    <row r="1351" spans="1:17" x14ac:dyDescent="0.35">
      <c r="A1351" s="98" t="s">
        <v>34</v>
      </c>
      <c r="B1351" s="98" t="s">
        <v>173</v>
      </c>
      <c r="C1351" s="98" t="s">
        <v>254</v>
      </c>
      <c r="D1351" s="99">
        <v>174726123.50000006</v>
      </c>
      <c r="E1351" s="99">
        <v>198387623.50000006</v>
      </c>
      <c r="F1351" s="99">
        <v>218541211.50000003</v>
      </c>
      <c r="G1351" s="99">
        <v>0</v>
      </c>
      <c r="H1351" s="98" t="s">
        <v>225</v>
      </c>
      <c r="I1351" s="99">
        <v>0</v>
      </c>
      <c r="J1351" s="98" t="s">
        <v>225</v>
      </c>
      <c r="K1351" s="99">
        <v>0</v>
      </c>
      <c r="L1351" s="98" t="s">
        <v>225</v>
      </c>
      <c r="M1351" s="98" t="s">
        <v>225</v>
      </c>
      <c r="N1351" s="99">
        <v>0</v>
      </c>
      <c r="O1351" s="100">
        <v>0</v>
      </c>
      <c r="P1351" s="100">
        <v>0</v>
      </c>
      <c r="Q1351" s="100">
        <v>0</v>
      </c>
    </row>
    <row r="1352" spans="1:17" x14ac:dyDescent="0.35">
      <c r="A1352" s="98" t="s">
        <v>34</v>
      </c>
      <c r="B1352" s="98" t="s">
        <v>173</v>
      </c>
      <c r="C1352" s="98" t="s">
        <v>255</v>
      </c>
      <c r="D1352" s="99">
        <v>174726123.50000006</v>
      </c>
      <c r="E1352" s="99">
        <v>198387623.50000006</v>
      </c>
      <c r="F1352" s="99">
        <v>218541211.50000003</v>
      </c>
      <c r="G1352" s="99">
        <v>20035</v>
      </c>
      <c r="H1352" s="98">
        <v>2015</v>
      </c>
      <c r="I1352" s="99">
        <v>24668</v>
      </c>
      <c r="J1352" s="98">
        <v>2018</v>
      </c>
      <c r="K1352" s="99">
        <v>18277</v>
      </c>
      <c r="L1352" s="98">
        <v>2022</v>
      </c>
      <c r="M1352" s="98" t="s">
        <v>226</v>
      </c>
      <c r="N1352" s="99">
        <v>21005.731322244228</v>
      </c>
      <c r="O1352" s="100">
        <v>1.1466516625374563</v>
      </c>
      <c r="P1352" s="100">
        <v>1.2434243409342516</v>
      </c>
      <c r="Q1352" s="100">
        <v>0.96117941225214742</v>
      </c>
    </row>
    <row r="1353" spans="1:17" x14ac:dyDescent="0.35">
      <c r="A1353" s="98" t="s">
        <v>34</v>
      </c>
      <c r="B1353" s="98" t="s">
        <v>173</v>
      </c>
      <c r="C1353" s="98" t="s">
        <v>256</v>
      </c>
      <c r="D1353" s="99">
        <v>174726123.50000006</v>
      </c>
      <c r="E1353" s="99">
        <v>198387623.50000006</v>
      </c>
      <c r="F1353" s="99">
        <v>218541211.50000003</v>
      </c>
      <c r="G1353" s="99">
        <v>0</v>
      </c>
      <c r="H1353" s="98" t="s">
        <v>225</v>
      </c>
      <c r="I1353" s="99">
        <v>5793</v>
      </c>
      <c r="J1353" s="98">
        <v>2018</v>
      </c>
      <c r="K1353" s="99">
        <v>2326</v>
      </c>
      <c r="L1353" s="98">
        <v>2022</v>
      </c>
      <c r="M1353" s="98" t="s">
        <v>226</v>
      </c>
      <c r="N1353" s="99">
        <v>2673.2686466892856</v>
      </c>
      <c r="O1353" s="100">
        <v>0</v>
      </c>
      <c r="P1353" s="100">
        <v>0.29200410276601746</v>
      </c>
      <c r="Q1353" s="100">
        <v>0.12232331963114816</v>
      </c>
    </row>
    <row r="1354" spans="1:17" x14ac:dyDescent="0.35">
      <c r="A1354" s="98" t="s">
        <v>34</v>
      </c>
      <c r="B1354" s="98" t="s">
        <v>173</v>
      </c>
      <c r="C1354" s="98" t="s">
        <v>257</v>
      </c>
      <c r="D1354" s="99">
        <v>174726123.50000006</v>
      </c>
      <c r="E1354" s="99">
        <v>198387623.50000006</v>
      </c>
      <c r="F1354" s="99">
        <v>218541211.50000003</v>
      </c>
      <c r="G1354" s="99">
        <v>0</v>
      </c>
      <c r="H1354" s="98" t="s">
        <v>225</v>
      </c>
      <c r="I1354" s="99">
        <v>4358</v>
      </c>
      <c r="J1354" s="98">
        <v>2018</v>
      </c>
      <c r="K1354" s="99">
        <v>5048</v>
      </c>
      <c r="L1354" s="98">
        <v>2022</v>
      </c>
      <c r="M1354" s="98" t="s">
        <v>225</v>
      </c>
      <c r="N1354" s="99">
        <v>5048</v>
      </c>
      <c r="O1354" s="100">
        <v>0</v>
      </c>
      <c r="P1354" s="100">
        <v>0.21967096148011464</v>
      </c>
      <c r="Q1354" s="100">
        <v>0.23098618175272628</v>
      </c>
    </row>
    <row r="1355" spans="1:17" x14ac:dyDescent="0.35">
      <c r="A1355" s="98" t="s">
        <v>34</v>
      </c>
      <c r="B1355" s="98" t="s">
        <v>173</v>
      </c>
      <c r="C1355" s="98" t="s">
        <v>258</v>
      </c>
      <c r="D1355" s="99">
        <v>174726123.50000006</v>
      </c>
      <c r="E1355" s="99">
        <v>198387623.50000006</v>
      </c>
      <c r="F1355" s="99">
        <v>218541211.50000003</v>
      </c>
      <c r="G1355" s="99">
        <v>0</v>
      </c>
      <c r="H1355" s="98" t="s">
        <v>225</v>
      </c>
      <c r="I1355" s="99">
        <v>21129</v>
      </c>
      <c r="J1355" s="98" t="s">
        <v>229</v>
      </c>
      <c r="K1355" s="99">
        <v>11781</v>
      </c>
      <c r="L1355" s="98">
        <v>2021</v>
      </c>
      <c r="M1355" s="98" t="s">
        <v>226</v>
      </c>
      <c r="N1355" s="99">
        <v>13539.887328738811</v>
      </c>
      <c r="O1355" s="100">
        <v>0</v>
      </c>
      <c r="P1355" s="100">
        <v>1.0650361966758473</v>
      </c>
      <c r="Q1355" s="100">
        <v>0.61955762191511465</v>
      </c>
    </row>
    <row r="1356" spans="1:17" x14ac:dyDescent="0.35">
      <c r="A1356" s="98" t="s">
        <v>34</v>
      </c>
      <c r="B1356" s="98" t="s">
        <v>173</v>
      </c>
      <c r="C1356" s="98" t="s">
        <v>259</v>
      </c>
      <c r="D1356" s="99">
        <v>174726123.50000006</v>
      </c>
      <c r="E1356" s="99">
        <v>198387623.50000006</v>
      </c>
      <c r="F1356" s="99">
        <v>218541211.50000003</v>
      </c>
      <c r="G1356" s="99">
        <v>0</v>
      </c>
      <c r="H1356" s="98" t="s">
        <v>225</v>
      </c>
      <c r="I1356" s="99">
        <v>267</v>
      </c>
      <c r="J1356" s="98">
        <v>2019</v>
      </c>
      <c r="K1356" s="99">
        <v>267</v>
      </c>
      <c r="L1356" s="98">
        <v>2019</v>
      </c>
      <c r="M1356" s="98" t="s">
        <v>225</v>
      </c>
      <c r="N1356" s="99">
        <v>267</v>
      </c>
      <c r="O1356" s="100">
        <v>0</v>
      </c>
      <c r="P1356" s="100">
        <v>1.3458500852498993E-2</v>
      </c>
      <c r="Q1356" s="100">
        <v>1.2217375302689761E-2</v>
      </c>
    </row>
    <row r="1357" spans="1:17" x14ac:dyDescent="0.35">
      <c r="A1357" s="98" t="s">
        <v>35</v>
      </c>
      <c r="B1357" s="98" t="s">
        <v>174</v>
      </c>
      <c r="C1357" s="98" t="s">
        <v>246</v>
      </c>
      <c r="D1357" s="99">
        <v>11101349.499999996</v>
      </c>
      <c r="E1357" s="99">
        <v>12531807.499999998</v>
      </c>
      <c r="F1357" s="99">
        <v>13776697.499999994</v>
      </c>
      <c r="G1357" s="99">
        <v>1104</v>
      </c>
      <c r="H1357" s="98">
        <v>2013</v>
      </c>
      <c r="I1357" s="99">
        <v>1648</v>
      </c>
      <c r="J1357" s="98">
        <v>2017</v>
      </c>
      <c r="K1357" s="99">
        <v>1648</v>
      </c>
      <c r="L1357" s="98">
        <v>2022</v>
      </c>
      <c r="M1357" s="98" t="s">
        <v>225</v>
      </c>
      <c r="N1357" s="99">
        <v>1648</v>
      </c>
      <c r="O1357" s="100">
        <v>0.99447368988788287</v>
      </c>
      <c r="P1357" s="100">
        <v>1.3150537143185452</v>
      </c>
      <c r="Q1357" s="100">
        <v>1.1962228248097926</v>
      </c>
    </row>
    <row r="1358" spans="1:17" x14ac:dyDescent="0.35">
      <c r="A1358" s="98" t="s">
        <v>35</v>
      </c>
      <c r="B1358" s="98" t="s">
        <v>174</v>
      </c>
      <c r="C1358" s="98" t="s">
        <v>247</v>
      </c>
      <c r="D1358" s="99">
        <v>11101349.499999996</v>
      </c>
      <c r="E1358" s="99">
        <v>12531807.499999998</v>
      </c>
      <c r="F1358" s="99">
        <v>13776697.499999994</v>
      </c>
      <c r="G1358" s="99">
        <v>609</v>
      </c>
      <c r="H1358" s="98">
        <v>2013</v>
      </c>
      <c r="I1358" s="99">
        <v>1114</v>
      </c>
      <c r="J1358" s="98">
        <v>2017</v>
      </c>
      <c r="K1358" s="99">
        <v>1114</v>
      </c>
      <c r="L1358" s="98">
        <v>2017</v>
      </c>
      <c r="M1358" s="98" t="s">
        <v>225</v>
      </c>
      <c r="N1358" s="99">
        <v>1114</v>
      </c>
      <c r="O1358" s="100">
        <v>0.54858195393271802</v>
      </c>
      <c r="P1358" s="100">
        <v>0.88893800834396808</v>
      </c>
      <c r="Q1358" s="100">
        <v>0.80861178812992041</v>
      </c>
    </row>
    <row r="1359" spans="1:17" x14ac:dyDescent="0.35">
      <c r="A1359" s="98" t="s">
        <v>35</v>
      </c>
      <c r="B1359" s="98" t="s">
        <v>174</v>
      </c>
      <c r="C1359" s="98" t="s">
        <v>248</v>
      </c>
      <c r="D1359" s="99">
        <v>11101349.499999996</v>
      </c>
      <c r="E1359" s="99">
        <v>12531807.499999998</v>
      </c>
      <c r="F1359" s="99">
        <v>13776697.499999994</v>
      </c>
      <c r="G1359" s="99">
        <v>495</v>
      </c>
      <c r="H1359" s="98">
        <v>2013</v>
      </c>
      <c r="I1359" s="99">
        <v>567</v>
      </c>
      <c r="J1359" s="98" t="s">
        <v>229</v>
      </c>
      <c r="K1359" s="99">
        <v>567</v>
      </c>
      <c r="L1359" s="98" t="s">
        <v>229</v>
      </c>
      <c r="M1359" s="98" t="s">
        <v>225</v>
      </c>
      <c r="N1359" s="99">
        <v>567</v>
      </c>
      <c r="O1359" s="100">
        <v>0.4458917359551649</v>
      </c>
      <c r="P1359" s="100">
        <v>0.45244869904042179</v>
      </c>
      <c r="Q1359" s="100">
        <v>0.41156452771065072</v>
      </c>
    </row>
    <row r="1360" spans="1:17" x14ac:dyDescent="0.35">
      <c r="A1360" s="98" t="s">
        <v>35</v>
      </c>
      <c r="B1360" s="98" t="s">
        <v>174</v>
      </c>
      <c r="C1360" s="98" t="s">
        <v>249</v>
      </c>
      <c r="D1360" s="99">
        <v>11101349.499999996</v>
      </c>
      <c r="E1360" s="99">
        <v>12531807.499999998</v>
      </c>
      <c r="F1360" s="99">
        <v>13776697.499999994</v>
      </c>
      <c r="G1360" s="99">
        <v>9625</v>
      </c>
      <c r="H1360" s="98">
        <v>2014</v>
      </c>
      <c r="I1360" s="99">
        <v>13345</v>
      </c>
      <c r="J1360" s="98">
        <v>2018</v>
      </c>
      <c r="K1360" s="99">
        <v>13060</v>
      </c>
      <c r="L1360" s="98">
        <v>2022</v>
      </c>
      <c r="M1360" s="98" t="s">
        <v>226</v>
      </c>
      <c r="N1360" s="99">
        <v>13501.239749316621</v>
      </c>
      <c r="O1360" s="100">
        <v>8.6701170880170952</v>
      </c>
      <c r="P1360" s="100">
        <v>10.648902801930211</v>
      </c>
      <c r="Q1360" s="100">
        <v>9.8000553102923451</v>
      </c>
    </row>
    <row r="1361" spans="1:17" x14ac:dyDescent="0.35">
      <c r="A1361" s="98" t="s">
        <v>35</v>
      </c>
      <c r="B1361" s="98" t="s">
        <v>174</v>
      </c>
      <c r="C1361" s="98" t="s">
        <v>250</v>
      </c>
      <c r="D1361" s="99">
        <v>11101349.499999996</v>
      </c>
      <c r="E1361" s="99">
        <v>12531807.499999998</v>
      </c>
      <c r="F1361" s="99">
        <v>13776697.499999994</v>
      </c>
      <c r="G1361" s="99">
        <v>0</v>
      </c>
      <c r="H1361" s="98" t="s">
        <v>225</v>
      </c>
      <c r="I1361" s="99">
        <v>9551</v>
      </c>
      <c r="J1361" s="98" t="s">
        <v>229</v>
      </c>
      <c r="K1361" s="99">
        <v>9551</v>
      </c>
      <c r="L1361" s="98" t="s">
        <v>229</v>
      </c>
      <c r="M1361" s="98" t="s">
        <v>225</v>
      </c>
      <c r="N1361" s="99">
        <v>9551</v>
      </c>
      <c r="O1361" s="100">
        <v>0</v>
      </c>
      <c r="P1361" s="100">
        <v>7.6214065688449182</v>
      </c>
      <c r="Q1361" s="100">
        <v>6.9327209949989861</v>
      </c>
    </row>
    <row r="1362" spans="1:17" x14ac:dyDescent="0.35">
      <c r="A1362" s="98" t="s">
        <v>35</v>
      </c>
      <c r="B1362" s="98" t="s">
        <v>174</v>
      </c>
      <c r="C1362" s="98" t="s">
        <v>251</v>
      </c>
      <c r="D1362" s="99">
        <v>11101349.499999996</v>
      </c>
      <c r="E1362" s="99">
        <v>12531807.499999998</v>
      </c>
      <c r="F1362" s="99">
        <v>13776697.499999994</v>
      </c>
      <c r="G1362" s="99">
        <v>0</v>
      </c>
      <c r="H1362" s="98" t="s">
        <v>225</v>
      </c>
      <c r="I1362" s="99">
        <v>0</v>
      </c>
      <c r="J1362" s="98" t="s">
        <v>225</v>
      </c>
      <c r="K1362" s="99">
        <v>0</v>
      </c>
      <c r="L1362" s="98" t="s">
        <v>225</v>
      </c>
      <c r="M1362" s="98" t="s">
        <v>225</v>
      </c>
      <c r="N1362" s="99">
        <v>0</v>
      </c>
      <c r="O1362" s="100">
        <v>0</v>
      </c>
      <c r="P1362" s="100">
        <v>0</v>
      </c>
      <c r="Q1362" s="100">
        <v>0</v>
      </c>
    </row>
    <row r="1363" spans="1:17" x14ac:dyDescent="0.35">
      <c r="A1363" s="98" t="s">
        <v>35</v>
      </c>
      <c r="B1363" s="98" t="s">
        <v>174</v>
      </c>
      <c r="C1363" s="98" t="s">
        <v>252</v>
      </c>
      <c r="D1363" s="99">
        <v>11101349.499999996</v>
      </c>
      <c r="E1363" s="99">
        <v>12531807.499999998</v>
      </c>
      <c r="F1363" s="99">
        <v>13776697.499999994</v>
      </c>
      <c r="G1363" s="99">
        <v>622</v>
      </c>
      <c r="H1363" s="98">
        <v>2013</v>
      </c>
      <c r="I1363" s="99">
        <v>1471</v>
      </c>
      <c r="J1363" s="98">
        <v>2018</v>
      </c>
      <c r="K1363" s="99">
        <v>1990</v>
      </c>
      <c r="L1363" s="98">
        <v>2022</v>
      </c>
      <c r="M1363" s="98" t="s">
        <v>225</v>
      </c>
      <c r="N1363" s="99">
        <v>1990</v>
      </c>
      <c r="O1363" s="100">
        <v>0.56029224194770211</v>
      </c>
      <c r="P1363" s="100">
        <v>1.1738131151471967</v>
      </c>
      <c r="Q1363" s="100">
        <v>1.4444680954924072</v>
      </c>
    </row>
    <row r="1364" spans="1:17" x14ac:dyDescent="0.35">
      <c r="A1364" s="98" t="s">
        <v>35</v>
      </c>
      <c r="B1364" s="98" t="s">
        <v>174</v>
      </c>
      <c r="C1364" s="98" t="s">
        <v>253</v>
      </c>
      <c r="D1364" s="99">
        <v>11101349.499999996</v>
      </c>
      <c r="E1364" s="99">
        <v>12531807.499999998</v>
      </c>
      <c r="F1364" s="99">
        <v>13776697.499999994</v>
      </c>
      <c r="G1364" s="99">
        <v>622</v>
      </c>
      <c r="H1364" s="98">
        <v>2013</v>
      </c>
      <c r="I1364" s="99">
        <v>1207</v>
      </c>
      <c r="J1364" s="98" t="s">
        <v>229</v>
      </c>
      <c r="K1364" s="99">
        <v>1207</v>
      </c>
      <c r="L1364" s="98" t="s">
        <v>229</v>
      </c>
      <c r="M1364" s="98" t="s">
        <v>225</v>
      </c>
      <c r="N1364" s="99">
        <v>1207</v>
      </c>
      <c r="O1364" s="100">
        <v>0.56029224194770211</v>
      </c>
      <c r="P1364" s="100">
        <v>0.96314917062043937</v>
      </c>
      <c r="Q1364" s="100">
        <v>0.87611708103484198</v>
      </c>
    </row>
    <row r="1365" spans="1:17" x14ac:dyDescent="0.35">
      <c r="A1365" s="98" t="s">
        <v>35</v>
      </c>
      <c r="B1365" s="98" t="s">
        <v>174</v>
      </c>
      <c r="C1365" s="98" t="s">
        <v>254</v>
      </c>
      <c r="D1365" s="99">
        <v>11101349.499999996</v>
      </c>
      <c r="E1365" s="99">
        <v>12531807.499999998</v>
      </c>
      <c r="F1365" s="99">
        <v>13776697.499999994</v>
      </c>
      <c r="G1365" s="99">
        <v>0</v>
      </c>
      <c r="H1365" s="98" t="s">
        <v>225</v>
      </c>
      <c r="I1365" s="99">
        <v>879</v>
      </c>
      <c r="J1365" s="98">
        <v>2017</v>
      </c>
      <c r="K1365" s="99">
        <v>879</v>
      </c>
      <c r="L1365" s="98">
        <v>2017</v>
      </c>
      <c r="M1365" s="98" t="s">
        <v>225</v>
      </c>
      <c r="N1365" s="99">
        <v>879</v>
      </c>
      <c r="O1365" s="100">
        <v>0</v>
      </c>
      <c r="P1365" s="100">
        <v>0.70141517893568039</v>
      </c>
      <c r="Q1365" s="100">
        <v>0.63803389745619399</v>
      </c>
    </row>
    <row r="1366" spans="1:17" x14ac:dyDescent="0.35">
      <c r="A1366" s="98" t="s">
        <v>35</v>
      </c>
      <c r="B1366" s="98" t="s">
        <v>174</v>
      </c>
      <c r="C1366" s="98" t="s">
        <v>255</v>
      </c>
      <c r="D1366" s="99">
        <v>11101349.499999996</v>
      </c>
      <c r="E1366" s="99">
        <v>12531807.499999998</v>
      </c>
      <c r="F1366" s="99">
        <v>13776697.499999994</v>
      </c>
      <c r="G1366" s="99">
        <v>114</v>
      </c>
      <c r="H1366" s="98">
        <v>2015</v>
      </c>
      <c r="I1366" s="99">
        <v>886</v>
      </c>
      <c r="J1366" s="98">
        <v>2018</v>
      </c>
      <c r="K1366" s="99">
        <v>886</v>
      </c>
      <c r="L1366" s="98">
        <v>2018</v>
      </c>
      <c r="M1366" s="98" t="s">
        <v>225</v>
      </c>
      <c r="N1366" s="99">
        <v>886</v>
      </c>
      <c r="O1366" s="100">
        <v>0.10269021797755312</v>
      </c>
      <c r="P1366" s="100">
        <v>0.70700096534358681</v>
      </c>
      <c r="Q1366" s="100">
        <v>0.64311494100817734</v>
      </c>
    </row>
    <row r="1367" spans="1:17" x14ac:dyDescent="0.35">
      <c r="A1367" s="98" t="s">
        <v>35</v>
      </c>
      <c r="B1367" s="98" t="s">
        <v>174</v>
      </c>
      <c r="C1367" s="98" t="s">
        <v>256</v>
      </c>
      <c r="D1367" s="99">
        <v>11101349.499999996</v>
      </c>
      <c r="E1367" s="99">
        <v>12531807.499999998</v>
      </c>
      <c r="F1367" s="99">
        <v>13776697.499999994</v>
      </c>
      <c r="G1367" s="99">
        <v>0</v>
      </c>
      <c r="H1367" s="98" t="s">
        <v>225</v>
      </c>
      <c r="I1367" s="99">
        <v>201</v>
      </c>
      <c r="J1367" s="98">
        <v>2017</v>
      </c>
      <c r="K1367" s="99">
        <v>201</v>
      </c>
      <c r="L1367" s="98">
        <v>2017</v>
      </c>
      <c r="M1367" s="98" t="s">
        <v>225</v>
      </c>
      <c r="N1367" s="99">
        <v>201</v>
      </c>
      <c r="O1367" s="100">
        <v>0</v>
      </c>
      <c r="P1367" s="100">
        <v>0.16039186685559925</v>
      </c>
      <c r="Q1367" s="100">
        <v>0.14589853627837882</v>
      </c>
    </row>
    <row r="1368" spans="1:17" x14ac:dyDescent="0.35">
      <c r="A1368" s="98" t="s">
        <v>35</v>
      </c>
      <c r="B1368" s="98" t="s">
        <v>174</v>
      </c>
      <c r="C1368" s="98" t="s">
        <v>257</v>
      </c>
      <c r="D1368" s="99">
        <v>11101349.499999996</v>
      </c>
      <c r="E1368" s="99">
        <v>12531807.499999998</v>
      </c>
      <c r="F1368" s="99">
        <v>13776697.499999994</v>
      </c>
      <c r="G1368" s="99">
        <v>127</v>
      </c>
      <c r="H1368" s="98">
        <v>2015</v>
      </c>
      <c r="I1368" s="99">
        <v>228</v>
      </c>
      <c r="J1368" s="98">
        <v>2018</v>
      </c>
      <c r="K1368" s="99">
        <v>236</v>
      </c>
      <c r="L1368" s="98">
        <v>2022</v>
      </c>
      <c r="M1368" s="98" t="s">
        <v>225</v>
      </c>
      <c r="N1368" s="99">
        <v>236</v>
      </c>
      <c r="O1368" s="100">
        <v>0.11440050599253725</v>
      </c>
      <c r="P1368" s="100">
        <v>0.18193704300038124</v>
      </c>
      <c r="Q1368" s="100">
        <v>0.17130375403829554</v>
      </c>
    </row>
    <row r="1369" spans="1:17" x14ac:dyDescent="0.35">
      <c r="A1369" s="98" t="s">
        <v>35</v>
      </c>
      <c r="B1369" s="98" t="s">
        <v>174</v>
      </c>
      <c r="C1369" s="98" t="s">
        <v>258</v>
      </c>
      <c r="D1369" s="99">
        <v>11101349.499999996</v>
      </c>
      <c r="E1369" s="99">
        <v>12531807.499999998</v>
      </c>
      <c r="F1369" s="99">
        <v>13776697.499999994</v>
      </c>
      <c r="G1369" s="99">
        <v>0</v>
      </c>
      <c r="H1369" s="98" t="s">
        <v>225</v>
      </c>
      <c r="I1369" s="99">
        <v>0</v>
      </c>
      <c r="J1369" s="98" t="s">
        <v>225</v>
      </c>
      <c r="K1369" s="99">
        <v>0</v>
      </c>
      <c r="L1369" s="98" t="s">
        <v>225</v>
      </c>
      <c r="M1369" s="98" t="s">
        <v>225</v>
      </c>
      <c r="N1369" s="99">
        <v>0</v>
      </c>
      <c r="O1369" s="100">
        <v>0</v>
      </c>
      <c r="P1369" s="100">
        <v>0</v>
      </c>
      <c r="Q1369" s="100">
        <v>0</v>
      </c>
    </row>
    <row r="1370" spans="1:17" x14ac:dyDescent="0.35">
      <c r="A1370" s="98" t="s">
        <v>35</v>
      </c>
      <c r="B1370" s="98" t="s">
        <v>174</v>
      </c>
      <c r="C1370" s="98" t="s">
        <v>259</v>
      </c>
      <c r="D1370" s="99">
        <v>11101349.499999996</v>
      </c>
      <c r="E1370" s="99">
        <v>12531807.499999998</v>
      </c>
      <c r="F1370" s="99">
        <v>13776697.499999994</v>
      </c>
      <c r="G1370" s="99">
        <v>0</v>
      </c>
      <c r="H1370" s="98" t="s">
        <v>225</v>
      </c>
      <c r="I1370" s="99">
        <v>310</v>
      </c>
      <c r="J1370" s="98">
        <v>2018</v>
      </c>
      <c r="K1370" s="99">
        <v>310</v>
      </c>
      <c r="L1370" s="98">
        <v>2018</v>
      </c>
      <c r="M1370" s="98" t="s">
        <v>225</v>
      </c>
      <c r="N1370" s="99">
        <v>310</v>
      </c>
      <c r="O1370" s="100">
        <v>0</v>
      </c>
      <c r="P1370" s="100">
        <v>0.24737054092157101</v>
      </c>
      <c r="Q1370" s="100">
        <v>0.22501764301640514</v>
      </c>
    </row>
    <row r="1371" spans="1:17" x14ac:dyDescent="0.35">
      <c r="A1371" s="98" t="s">
        <v>37</v>
      </c>
      <c r="B1371" s="98" t="s">
        <v>177</v>
      </c>
      <c r="C1371" s="98" t="s">
        <v>246</v>
      </c>
      <c r="D1371" s="99">
        <v>13595565.499999993</v>
      </c>
      <c r="E1371" s="99">
        <v>15574908.999999998</v>
      </c>
      <c r="F1371" s="99">
        <v>17316449</v>
      </c>
      <c r="G1371" s="99">
        <v>0</v>
      </c>
      <c r="H1371" s="98" t="s">
        <v>225</v>
      </c>
      <c r="I1371" s="99">
        <v>2883</v>
      </c>
      <c r="J1371" s="98" t="s">
        <v>229</v>
      </c>
      <c r="K1371" s="99">
        <v>2188</v>
      </c>
      <c r="L1371" s="98">
        <v>2022</v>
      </c>
      <c r="M1371" s="98" t="s">
        <v>226</v>
      </c>
      <c r="N1371" s="99">
        <v>2560.8623058327948</v>
      </c>
      <c r="O1371" s="100">
        <v>0</v>
      </c>
      <c r="P1371" s="100">
        <v>1.8510541538316534</v>
      </c>
      <c r="Q1371" s="100">
        <v>1.4788611139805827</v>
      </c>
    </row>
    <row r="1372" spans="1:17" x14ac:dyDescent="0.35">
      <c r="A1372" s="98" t="s">
        <v>37</v>
      </c>
      <c r="B1372" s="98" t="s">
        <v>177</v>
      </c>
      <c r="C1372" s="98" t="s">
        <v>247</v>
      </c>
      <c r="D1372" s="99">
        <v>13595565.499999993</v>
      </c>
      <c r="E1372" s="99">
        <v>15574908.999999998</v>
      </c>
      <c r="F1372" s="99">
        <v>17316449</v>
      </c>
      <c r="G1372" s="99">
        <v>0</v>
      </c>
      <c r="H1372" s="98" t="s">
        <v>225</v>
      </c>
      <c r="I1372" s="99">
        <v>676</v>
      </c>
      <c r="J1372" s="98" t="s">
        <v>229</v>
      </c>
      <c r="K1372" s="99">
        <v>703</v>
      </c>
      <c r="L1372" s="98">
        <v>2022</v>
      </c>
      <c r="M1372" s="98" t="s">
        <v>225</v>
      </c>
      <c r="N1372" s="99">
        <v>703</v>
      </c>
      <c r="O1372" s="100">
        <v>0</v>
      </c>
      <c r="P1372" s="100">
        <v>0.43403142836982234</v>
      </c>
      <c r="Q1372" s="100">
        <v>0.40597237921007939</v>
      </c>
    </row>
    <row r="1373" spans="1:17" x14ac:dyDescent="0.35">
      <c r="A1373" s="98" t="s">
        <v>37</v>
      </c>
      <c r="B1373" s="98" t="s">
        <v>177</v>
      </c>
      <c r="C1373" s="98" t="s">
        <v>248</v>
      </c>
      <c r="D1373" s="99">
        <v>13595565.499999993</v>
      </c>
      <c r="E1373" s="99">
        <v>15574908.999999998</v>
      </c>
      <c r="F1373" s="99">
        <v>17316449</v>
      </c>
      <c r="G1373" s="99">
        <v>0</v>
      </c>
      <c r="H1373" s="98" t="s">
        <v>225</v>
      </c>
      <c r="I1373" s="99">
        <v>2207</v>
      </c>
      <c r="J1373" s="98" t="s">
        <v>229</v>
      </c>
      <c r="K1373" s="99">
        <v>1485</v>
      </c>
      <c r="L1373" s="98">
        <v>2022</v>
      </c>
      <c r="M1373" s="98" t="s">
        <v>226</v>
      </c>
      <c r="N1373" s="99">
        <v>1738.0623967832269</v>
      </c>
      <c r="O1373" s="100">
        <v>0</v>
      </c>
      <c r="P1373" s="100">
        <v>1.4170227254618311</v>
      </c>
      <c r="Q1373" s="100">
        <v>1.0037060120023606</v>
      </c>
    </row>
    <row r="1374" spans="1:17" x14ac:dyDescent="0.35">
      <c r="A1374" s="98" t="s">
        <v>37</v>
      </c>
      <c r="B1374" s="98" t="s">
        <v>177</v>
      </c>
      <c r="C1374" s="98" t="s">
        <v>249</v>
      </c>
      <c r="D1374" s="99">
        <v>13595565.499999993</v>
      </c>
      <c r="E1374" s="99">
        <v>15574908.999999998</v>
      </c>
      <c r="F1374" s="99">
        <v>17316449</v>
      </c>
      <c r="G1374" s="99">
        <v>1682</v>
      </c>
      <c r="H1374" s="98">
        <v>2015</v>
      </c>
      <c r="I1374" s="99">
        <v>4577</v>
      </c>
      <c r="J1374" s="98" t="s">
        <v>229</v>
      </c>
      <c r="K1374" s="99">
        <v>4737</v>
      </c>
      <c r="L1374" s="98">
        <v>2022</v>
      </c>
      <c r="M1374" s="98" t="s">
        <v>225</v>
      </c>
      <c r="N1374" s="99">
        <v>4737</v>
      </c>
      <c r="O1374" s="100">
        <v>1.2371681045558576</v>
      </c>
      <c r="P1374" s="100">
        <v>2.9387009580601728</v>
      </c>
      <c r="Q1374" s="100">
        <v>2.7355493034397527</v>
      </c>
    </row>
    <row r="1375" spans="1:17" x14ac:dyDescent="0.35">
      <c r="A1375" s="98" t="s">
        <v>37</v>
      </c>
      <c r="B1375" s="98" t="s">
        <v>177</v>
      </c>
      <c r="C1375" s="98" t="s">
        <v>250</v>
      </c>
      <c r="D1375" s="99">
        <v>13595565.499999993</v>
      </c>
      <c r="E1375" s="99">
        <v>15574908.999999998</v>
      </c>
      <c r="F1375" s="99">
        <v>17316449</v>
      </c>
      <c r="G1375" s="99">
        <v>1020</v>
      </c>
      <c r="H1375" s="98">
        <v>2015</v>
      </c>
      <c r="I1375" s="99">
        <v>3231</v>
      </c>
      <c r="J1375" s="98" t="s">
        <v>229</v>
      </c>
      <c r="K1375" s="99">
        <v>2769</v>
      </c>
      <c r="L1375" s="98">
        <v>2022</v>
      </c>
      <c r="M1375" s="98" t="s">
        <v>226</v>
      </c>
      <c r="N1375" s="99">
        <v>3240.8719034968049</v>
      </c>
      <c r="O1375" s="100">
        <v>0.75024462939772574</v>
      </c>
      <c r="P1375" s="100">
        <v>2.074490451276473</v>
      </c>
      <c r="Q1375" s="100">
        <v>1.8715568668246041</v>
      </c>
    </row>
    <row r="1376" spans="1:17" x14ac:dyDescent="0.35">
      <c r="A1376" s="98" t="s">
        <v>37</v>
      </c>
      <c r="B1376" s="98" t="s">
        <v>177</v>
      </c>
      <c r="C1376" s="98" t="s">
        <v>251</v>
      </c>
      <c r="D1376" s="99">
        <v>13595565.499999993</v>
      </c>
      <c r="E1376" s="99">
        <v>15574908.999999998</v>
      </c>
      <c r="F1376" s="99">
        <v>17316449</v>
      </c>
      <c r="G1376" s="99">
        <v>662</v>
      </c>
      <c r="H1376" s="98">
        <v>2015</v>
      </c>
      <c r="I1376" s="99">
        <v>1346</v>
      </c>
      <c r="J1376" s="98" t="s">
        <v>229</v>
      </c>
      <c r="K1376" s="99">
        <v>1968</v>
      </c>
      <c r="L1376" s="98">
        <v>2022</v>
      </c>
      <c r="M1376" s="98" t="s">
        <v>225</v>
      </c>
      <c r="N1376" s="99">
        <v>1968</v>
      </c>
      <c r="O1376" s="100">
        <v>0.48692347515813178</v>
      </c>
      <c r="P1376" s="100">
        <v>0.86421050678369948</v>
      </c>
      <c r="Q1376" s="100">
        <v>1.136491667546851</v>
      </c>
    </row>
    <row r="1377" spans="1:17" x14ac:dyDescent="0.35">
      <c r="A1377" s="98" t="s">
        <v>37</v>
      </c>
      <c r="B1377" s="98" t="s">
        <v>177</v>
      </c>
      <c r="C1377" s="98" t="s">
        <v>252</v>
      </c>
      <c r="D1377" s="99">
        <v>13595565.499999993</v>
      </c>
      <c r="E1377" s="99">
        <v>15574908.999999998</v>
      </c>
      <c r="F1377" s="99">
        <v>17316449</v>
      </c>
      <c r="G1377" s="99">
        <v>3946</v>
      </c>
      <c r="H1377" s="98">
        <v>2013</v>
      </c>
      <c r="I1377" s="99">
        <v>3015</v>
      </c>
      <c r="J1377" s="98" t="s">
        <v>229</v>
      </c>
      <c r="K1377" s="99">
        <v>2803</v>
      </c>
      <c r="L1377" s="98">
        <v>2022</v>
      </c>
      <c r="M1377" s="98" t="s">
        <v>226</v>
      </c>
      <c r="N1377" s="99">
        <v>3280.6659247026164</v>
      </c>
      <c r="O1377" s="100">
        <v>2.9024169682386525</v>
      </c>
      <c r="P1377" s="100">
        <v>1.9358058528624471</v>
      </c>
      <c r="Q1377" s="100">
        <v>1.8945373411734798</v>
      </c>
    </row>
    <row r="1378" spans="1:17" x14ac:dyDescent="0.35">
      <c r="A1378" s="98" t="s">
        <v>37</v>
      </c>
      <c r="B1378" s="98" t="s">
        <v>177</v>
      </c>
      <c r="C1378" s="98" t="s">
        <v>253</v>
      </c>
      <c r="D1378" s="99">
        <v>13595565.499999993</v>
      </c>
      <c r="E1378" s="99">
        <v>15574908.999999998</v>
      </c>
      <c r="F1378" s="99">
        <v>17316449</v>
      </c>
      <c r="G1378" s="99">
        <v>3946</v>
      </c>
      <c r="H1378" s="98">
        <v>2013</v>
      </c>
      <c r="I1378" s="99">
        <v>3015</v>
      </c>
      <c r="J1378" s="98" t="s">
        <v>229</v>
      </c>
      <c r="K1378" s="99">
        <v>2803</v>
      </c>
      <c r="L1378" s="98">
        <v>2022</v>
      </c>
      <c r="M1378" s="98" t="s">
        <v>226</v>
      </c>
      <c r="N1378" s="99">
        <v>3280.6659247026164</v>
      </c>
      <c r="O1378" s="100">
        <v>2.9024169682386525</v>
      </c>
      <c r="P1378" s="100">
        <v>1.9358058528624471</v>
      </c>
      <c r="Q1378" s="100">
        <v>1.8945373411734798</v>
      </c>
    </row>
    <row r="1379" spans="1:17" x14ac:dyDescent="0.35">
      <c r="A1379" s="98" t="s">
        <v>37</v>
      </c>
      <c r="B1379" s="98" t="s">
        <v>177</v>
      </c>
      <c r="C1379" s="98" t="s">
        <v>254</v>
      </c>
      <c r="D1379" s="99">
        <v>13595565.499999993</v>
      </c>
      <c r="E1379" s="99">
        <v>15574908.999999998</v>
      </c>
      <c r="F1379" s="99">
        <v>17316449</v>
      </c>
      <c r="G1379" s="99">
        <v>0</v>
      </c>
      <c r="H1379" s="98" t="s">
        <v>225</v>
      </c>
      <c r="I1379" s="99">
        <v>460</v>
      </c>
      <c r="J1379" s="98">
        <v>2019</v>
      </c>
      <c r="K1379" s="99">
        <v>29</v>
      </c>
      <c r="L1379" s="98">
        <v>2021</v>
      </c>
      <c r="M1379" s="98" t="s">
        <v>226</v>
      </c>
      <c r="N1379" s="99">
        <v>33.941959263780191</v>
      </c>
      <c r="O1379" s="100">
        <v>0</v>
      </c>
      <c r="P1379" s="100">
        <v>0.29534682995579625</v>
      </c>
      <c r="Q1379" s="100">
        <v>1.960099282698213E-2</v>
      </c>
    </row>
    <row r="1380" spans="1:17" x14ac:dyDescent="0.35">
      <c r="A1380" s="98" t="s">
        <v>37</v>
      </c>
      <c r="B1380" s="98" t="s">
        <v>177</v>
      </c>
      <c r="C1380" s="98" t="s">
        <v>255</v>
      </c>
      <c r="D1380" s="99">
        <v>13595565.499999993</v>
      </c>
      <c r="E1380" s="99">
        <v>15574908.999999998</v>
      </c>
      <c r="F1380" s="99">
        <v>17316449</v>
      </c>
      <c r="G1380" s="99">
        <v>143</v>
      </c>
      <c r="H1380" s="98">
        <v>2015</v>
      </c>
      <c r="I1380" s="99">
        <v>162</v>
      </c>
      <c r="J1380" s="98" t="s">
        <v>229</v>
      </c>
      <c r="K1380" s="99">
        <v>352</v>
      </c>
      <c r="L1380" s="98">
        <v>2022</v>
      </c>
      <c r="M1380" s="98" t="s">
        <v>225</v>
      </c>
      <c r="N1380" s="99">
        <v>352</v>
      </c>
      <c r="O1380" s="100">
        <v>0.10518135490575958</v>
      </c>
      <c r="P1380" s="100">
        <v>0.10401344881051955</v>
      </c>
      <c r="Q1380" s="100">
        <v>0.20327493240675384</v>
      </c>
    </row>
    <row r="1381" spans="1:17" x14ac:dyDescent="0.35">
      <c r="A1381" s="98" t="s">
        <v>37</v>
      </c>
      <c r="B1381" s="98" t="s">
        <v>177</v>
      </c>
      <c r="C1381" s="98" t="s">
        <v>256</v>
      </c>
      <c r="D1381" s="99">
        <v>13595565.499999993</v>
      </c>
      <c r="E1381" s="99">
        <v>15574908.999999998</v>
      </c>
      <c r="F1381" s="99">
        <v>17316449</v>
      </c>
      <c r="G1381" s="99">
        <v>371</v>
      </c>
      <c r="H1381" s="98">
        <v>2013</v>
      </c>
      <c r="I1381" s="99">
        <v>53</v>
      </c>
      <c r="J1381" s="98" t="s">
        <v>229</v>
      </c>
      <c r="K1381" s="99">
        <v>57</v>
      </c>
      <c r="L1381" s="98">
        <v>2022</v>
      </c>
      <c r="M1381" s="98" t="s">
        <v>225</v>
      </c>
      <c r="N1381" s="99">
        <v>57</v>
      </c>
      <c r="O1381" s="100">
        <v>0.27288309559466301</v>
      </c>
      <c r="P1381" s="100">
        <v>3.4029091277515654E-2</v>
      </c>
      <c r="Q1381" s="100">
        <v>3.2916679395411839E-2</v>
      </c>
    </row>
    <row r="1382" spans="1:17" x14ac:dyDescent="0.35">
      <c r="A1382" s="98" t="s">
        <v>37</v>
      </c>
      <c r="B1382" s="98" t="s">
        <v>177</v>
      </c>
      <c r="C1382" s="98" t="s">
        <v>257</v>
      </c>
      <c r="D1382" s="99">
        <v>13595565.499999993</v>
      </c>
      <c r="E1382" s="99">
        <v>15574908.999999998</v>
      </c>
      <c r="F1382" s="99">
        <v>17316449</v>
      </c>
      <c r="G1382" s="99">
        <v>54</v>
      </c>
      <c r="H1382" s="98">
        <v>2013</v>
      </c>
      <c r="I1382" s="99">
        <v>136</v>
      </c>
      <c r="J1382" s="98" t="s">
        <v>229</v>
      </c>
      <c r="K1382" s="99">
        <v>223</v>
      </c>
      <c r="L1382" s="98">
        <v>2022</v>
      </c>
      <c r="M1382" s="98" t="s">
        <v>225</v>
      </c>
      <c r="N1382" s="99">
        <v>223</v>
      </c>
      <c r="O1382" s="100">
        <v>3.9718833321056066E-2</v>
      </c>
      <c r="P1382" s="100">
        <v>8.7319932334757155E-2</v>
      </c>
      <c r="Q1382" s="100">
        <v>0.12877928956450599</v>
      </c>
    </row>
    <row r="1383" spans="1:17" x14ac:dyDescent="0.35">
      <c r="A1383" s="98" t="s">
        <v>37</v>
      </c>
      <c r="B1383" s="98" t="s">
        <v>177</v>
      </c>
      <c r="C1383" s="98" t="s">
        <v>258</v>
      </c>
      <c r="D1383" s="99">
        <v>13595565.499999993</v>
      </c>
      <c r="E1383" s="99">
        <v>15574908.999999998</v>
      </c>
      <c r="F1383" s="99">
        <v>17316449</v>
      </c>
      <c r="G1383" s="99">
        <v>0</v>
      </c>
      <c r="H1383" s="98" t="s">
        <v>225</v>
      </c>
      <c r="I1383" s="99">
        <v>100</v>
      </c>
      <c r="J1383" s="98" t="s">
        <v>229</v>
      </c>
      <c r="K1383" s="99">
        <v>64</v>
      </c>
      <c r="L1383" s="98">
        <v>2022</v>
      </c>
      <c r="M1383" s="98" t="s">
        <v>226</v>
      </c>
      <c r="N1383" s="99">
        <v>74.906392857997659</v>
      </c>
      <c r="O1383" s="100">
        <v>0</v>
      </c>
      <c r="P1383" s="100">
        <v>6.4205832599086146E-2</v>
      </c>
      <c r="Q1383" s="100">
        <v>4.3257363480236427E-2</v>
      </c>
    </row>
    <row r="1384" spans="1:17" x14ac:dyDescent="0.35">
      <c r="A1384" s="98" t="s">
        <v>37</v>
      </c>
      <c r="B1384" s="98" t="s">
        <v>177</v>
      </c>
      <c r="C1384" s="98" t="s">
        <v>259</v>
      </c>
      <c r="D1384" s="99">
        <v>13595565.499999993</v>
      </c>
      <c r="E1384" s="99">
        <v>15574908.999999998</v>
      </c>
      <c r="F1384" s="99">
        <v>17316449</v>
      </c>
      <c r="G1384" s="99">
        <v>0</v>
      </c>
      <c r="H1384" s="98" t="s">
        <v>225</v>
      </c>
      <c r="I1384" s="99">
        <v>16</v>
      </c>
      <c r="J1384" s="98">
        <v>2019</v>
      </c>
      <c r="K1384" s="99">
        <v>14</v>
      </c>
      <c r="L1384" s="98">
        <v>2022</v>
      </c>
      <c r="M1384" s="98" t="s">
        <v>226</v>
      </c>
      <c r="N1384" s="99">
        <v>16.385773437686989</v>
      </c>
      <c r="O1384" s="100">
        <v>0</v>
      </c>
      <c r="P1384" s="100">
        <v>1.0272933215853782E-2</v>
      </c>
      <c r="Q1384" s="100">
        <v>9.4625482613017193E-3</v>
      </c>
    </row>
    <row r="1385" spans="1:17" x14ac:dyDescent="0.35">
      <c r="A1385" s="98" t="s">
        <v>39</v>
      </c>
      <c r="B1385" s="98" t="s">
        <v>179</v>
      </c>
      <c r="C1385" s="98" t="s">
        <v>246</v>
      </c>
      <c r="D1385" s="99">
        <v>6964858.4999999972</v>
      </c>
      <c r="E1385" s="99">
        <v>7861281</v>
      </c>
      <c r="F1385" s="99">
        <v>8605718.0000000056</v>
      </c>
      <c r="G1385" s="99">
        <v>0</v>
      </c>
      <c r="H1385" s="98" t="s">
        <v>225</v>
      </c>
      <c r="I1385" s="99">
        <v>566</v>
      </c>
      <c r="J1385" s="98">
        <v>2018</v>
      </c>
      <c r="K1385" s="99">
        <v>1106</v>
      </c>
      <c r="L1385" s="98">
        <v>2022</v>
      </c>
      <c r="M1385" s="98" t="s">
        <v>225</v>
      </c>
      <c r="N1385" s="99">
        <v>1106</v>
      </c>
      <c r="O1385" s="100">
        <v>0</v>
      </c>
      <c r="P1385" s="100">
        <v>0.71998444019492502</v>
      </c>
      <c r="Q1385" s="100">
        <v>1.2851920083832624</v>
      </c>
    </row>
    <row r="1386" spans="1:17" x14ac:dyDescent="0.35">
      <c r="A1386" s="98" t="s">
        <v>39</v>
      </c>
      <c r="B1386" s="98" t="s">
        <v>179</v>
      </c>
      <c r="C1386" s="98" t="s">
        <v>247</v>
      </c>
      <c r="D1386" s="99">
        <v>6964858.4999999972</v>
      </c>
      <c r="E1386" s="99">
        <v>7861281</v>
      </c>
      <c r="F1386" s="99">
        <v>8605718.0000000056</v>
      </c>
      <c r="G1386" s="99">
        <v>0</v>
      </c>
      <c r="H1386" s="98" t="s">
        <v>225</v>
      </c>
      <c r="I1386" s="99">
        <v>500</v>
      </c>
      <c r="J1386" s="98">
        <v>2018</v>
      </c>
      <c r="K1386" s="99">
        <v>338</v>
      </c>
      <c r="L1386" s="98">
        <v>2022</v>
      </c>
      <c r="M1386" s="98" t="s">
        <v>226</v>
      </c>
      <c r="N1386" s="99">
        <v>388.46294178030035</v>
      </c>
      <c r="O1386" s="100">
        <v>0</v>
      </c>
      <c r="P1386" s="100">
        <v>0.63602865741601144</v>
      </c>
      <c r="Q1386" s="100">
        <v>0.45140096593950685</v>
      </c>
    </row>
    <row r="1387" spans="1:17" x14ac:dyDescent="0.35">
      <c r="A1387" s="98" t="s">
        <v>39</v>
      </c>
      <c r="B1387" s="98" t="s">
        <v>179</v>
      </c>
      <c r="C1387" s="98" t="s">
        <v>248</v>
      </c>
      <c r="D1387" s="99">
        <v>6964858.4999999972</v>
      </c>
      <c r="E1387" s="99">
        <v>7861281</v>
      </c>
      <c r="F1387" s="99">
        <v>8605718.0000000056</v>
      </c>
      <c r="G1387" s="99">
        <v>0</v>
      </c>
      <c r="H1387" s="98" t="s">
        <v>225</v>
      </c>
      <c r="I1387" s="99">
        <v>66</v>
      </c>
      <c r="J1387" s="98">
        <v>2018</v>
      </c>
      <c r="K1387" s="99">
        <v>28</v>
      </c>
      <c r="L1387" s="98">
        <v>2022</v>
      </c>
      <c r="M1387" s="98" t="s">
        <v>226</v>
      </c>
      <c r="N1387" s="99">
        <v>32.180362040971623</v>
      </c>
      <c r="O1387" s="100">
        <v>0</v>
      </c>
      <c r="P1387" s="100">
        <v>8.395578277891351E-2</v>
      </c>
      <c r="Q1387" s="100">
        <v>3.7394162858894055E-2</v>
      </c>
    </row>
    <row r="1388" spans="1:17" x14ac:dyDescent="0.35">
      <c r="A1388" s="98" t="s">
        <v>39</v>
      </c>
      <c r="B1388" s="98" t="s">
        <v>179</v>
      </c>
      <c r="C1388" s="98" t="s">
        <v>249</v>
      </c>
      <c r="D1388" s="99">
        <v>6964858.4999999972</v>
      </c>
      <c r="E1388" s="99">
        <v>7861281</v>
      </c>
      <c r="F1388" s="99">
        <v>8605718.0000000056</v>
      </c>
      <c r="G1388" s="99">
        <v>6106</v>
      </c>
      <c r="H1388" s="98">
        <v>2013</v>
      </c>
      <c r="I1388" s="99">
        <v>5757</v>
      </c>
      <c r="J1388" s="98">
        <v>2018</v>
      </c>
      <c r="K1388" s="99">
        <v>15666</v>
      </c>
      <c r="L1388" s="98">
        <v>2022</v>
      </c>
      <c r="M1388" s="98" t="s">
        <v>225</v>
      </c>
      <c r="N1388" s="99">
        <v>15666</v>
      </c>
      <c r="O1388" s="100">
        <v>8.7668687023577032</v>
      </c>
      <c r="P1388" s="100">
        <v>7.323233961487956</v>
      </c>
      <c r="Q1388" s="100">
        <v>18.204175409884439</v>
      </c>
    </row>
    <row r="1389" spans="1:17" x14ac:dyDescent="0.35">
      <c r="A1389" s="98" t="s">
        <v>39</v>
      </c>
      <c r="B1389" s="98" t="s">
        <v>179</v>
      </c>
      <c r="C1389" s="98" t="s">
        <v>250</v>
      </c>
      <c r="D1389" s="99">
        <v>6964858.4999999972</v>
      </c>
      <c r="E1389" s="99">
        <v>7861281</v>
      </c>
      <c r="F1389" s="99">
        <v>8605718.0000000056</v>
      </c>
      <c r="G1389" s="99">
        <v>634</v>
      </c>
      <c r="H1389" s="98">
        <v>2013</v>
      </c>
      <c r="I1389" s="99">
        <v>868</v>
      </c>
      <c r="J1389" s="98">
        <v>2018</v>
      </c>
      <c r="K1389" s="99">
        <v>1449</v>
      </c>
      <c r="L1389" s="98">
        <v>2022</v>
      </c>
      <c r="M1389" s="98" t="s">
        <v>225</v>
      </c>
      <c r="N1389" s="99">
        <v>1449</v>
      </c>
      <c r="O1389" s="100">
        <v>0.91028410699226736</v>
      </c>
      <c r="P1389" s="100">
        <v>1.104145749274196</v>
      </c>
      <c r="Q1389" s="100">
        <v>1.6837642135147806</v>
      </c>
    </row>
    <row r="1390" spans="1:17" x14ac:dyDescent="0.35">
      <c r="A1390" s="98" t="s">
        <v>39</v>
      </c>
      <c r="B1390" s="98" t="s">
        <v>179</v>
      </c>
      <c r="C1390" s="98" t="s">
        <v>251</v>
      </c>
      <c r="D1390" s="99">
        <v>6964858.4999999972</v>
      </c>
      <c r="E1390" s="99">
        <v>7861281</v>
      </c>
      <c r="F1390" s="99">
        <v>8605718.0000000056</v>
      </c>
      <c r="G1390" s="99">
        <v>2707</v>
      </c>
      <c r="H1390" s="98">
        <v>2013</v>
      </c>
      <c r="I1390" s="99">
        <v>4722</v>
      </c>
      <c r="J1390" s="98" t="s">
        <v>229</v>
      </c>
      <c r="K1390" s="99">
        <v>5907</v>
      </c>
      <c r="L1390" s="98">
        <v>2022</v>
      </c>
      <c r="M1390" s="98" t="s">
        <v>225</v>
      </c>
      <c r="N1390" s="99">
        <v>5907</v>
      </c>
      <c r="O1390" s="100">
        <v>3.8866546965742392</v>
      </c>
      <c r="P1390" s="100">
        <v>6.0066546406368122</v>
      </c>
      <c r="Q1390" s="100">
        <v>6.8640408621337539</v>
      </c>
    </row>
    <row r="1391" spans="1:17" x14ac:dyDescent="0.35">
      <c r="A1391" s="98" t="s">
        <v>39</v>
      </c>
      <c r="B1391" s="98" t="s">
        <v>179</v>
      </c>
      <c r="C1391" s="98" t="s">
        <v>252</v>
      </c>
      <c r="D1391" s="99">
        <v>6964858.4999999972</v>
      </c>
      <c r="E1391" s="99">
        <v>7861281</v>
      </c>
      <c r="F1391" s="99">
        <v>8605718.0000000056</v>
      </c>
      <c r="G1391" s="99">
        <v>2187</v>
      </c>
      <c r="H1391" s="98">
        <v>2013</v>
      </c>
      <c r="I1391" s="99">
        <v>391</v>
      </c>
      <c r="J1391" s="98" t="s">
        <v>229</v>
      </c>
      <c r="K1391" s="99">
        <v>2271</v>
      </c>
      <c r="L1391" s="98">
        <v>2022</v>
      </c>
      <c r="M1391" s="98" t="s">
        <v>225</v>
      </c>
      <c r="N1391" s="99">
        <v>2271</v>
      </c>
      <c r="O1391" s="100">
        <v>3.140049435318752</v>
      </c>
      <c r="P1391" s="100">
        <v>0.49737441009932098</v>
      </c>
      <c r="Q1391" s="100">
        <v>2.6389430841215091</v>
      </c>
    </row>
    <row r="1392" spans="1:17" x14ac:dyDescent="0.35">
      <c r="A1392" s="98" t="s">
        <v>39</v>
      </c>
      <c r="B1392" s="98" t="s">
        <v>179</v>
      </c>
      <c r="C1392" s="98" t="s">
        <v>253</v>
      </c>
      <c r="D1392" s="99">
        <v>6964858.4999999972</v>
      </c>
      <c r="E1392" s="99">
        <v>7861281</v>
      </c>
      <c r="F1392" s="99">
        <v>8605718.0000000056</v>
      </c>
      <c r="G1392" s="99">
        <v>286</v>
      </c>
      <c r="H1392" s="98">
        <v>2013</v>
      </c>
      <c r="I1392" s="99">
        <v>287</v>
      </c>
      <c r="J1392" s="98" t="s">
        <v>229</v>
      </c>
      <c r="K1392" s="99">
        <v>184</v>
      </c>
      <c r="L1392" s="98">
        <v>2022</v>
      </c>
      <c r="M1392" s="98" t="s">
        <v>226</v>
      </c>
      <c r="N1392" s="99">
        <v>211.4709505549564</v>
      </c>
      <c r="O1392" s="100">
        <v>0.41063289369051809</v>
      </c>
      <c r="P1392" s="100">
        <v>0.36508044935679057</v>
      </c>
      <c r="Q1392" s="100">
        <v>0.24573307021558952</v>
      </c>
    </row>
    <row r="1393" spans="1:17" x14ac:dyDescent="0.35">
      <c r="A1393" s="98" t="s">
        <v>39</v>
      </c>
      <c r="B1393" s="98" t="s">
        <v>179</v>
      </c>
      <c r="C1393" s="98" t="s">
        <v>254</v>
      </c>
      <c r="D1393" s="99">
        <v>6964858.4999999972</v>
      </c>
      <c r="E1393" s="99">
        <v>7861281</v>
      </c>
      <c r="F1393" s="99">
        <v>8605718.0000000056</v>
      </c>
      <c r="G1393" s="99">
        <v>1901</v>
      </c>
      <c r="H1393" s="98">
        <v>2013</v>
      </c>
      <c r="I1393" s="99">
        <v>104</v>
      </c>
      <c r="J1393" s="98" t="s">
        <v>229</v>
      </c>
      <c r="K1393" s="99">
        <v>2087</v>
      </c>
      <c r="L1393" s="98">
        <v>2022</v>
      </c>
      <c r="M1393" s="98" t="s">
        <v>225</v>
      </c>
      <c r="N1393" s="99">
        <v>2087</v>
      </c>
      <c r="O1393" s="100">
        <v>2.7294165416282339</v>
      </c>
      <c r="P1393" s="100">
        <v>0.13229396074253039</v>
      </c>
      <c r="Q1393" s="100">
        <v>2.4251317554212197</v>
      </c>
    </row>
    <row r="1394" spans="1:17" x14ac:dyDescent="0.35">
      <c r="A1394" s="98" t="s">
        <v>39</v>
      </c>
      <c r="B1394" s="98" t="s">
        <v>179</v>
      </c>
      <c r="C1394" s="98" t="s">
        <v>255</v>
      </c>
      <c r="D1394" s="99">
        <v>6964858.4999999972</v>
      </c>
      <c r="E1394" s="99">
        <v>7861281</v>
      </c>
      <c r="F1394" s="99">
        <v>8605718.0000000056</v>
      </c>
      <c r="G1394" s="99">
        <v>0</v>
      </c>
      <c r="H1394" s="98" t="s">
        <v>225</v>
      </c>
      <c r="I1394" s="99">
        <v>156</v>
      </c>
      <c r="J1394" s="98">
        <v>2018</v>
      </c>
      <c r="K1394" s="99">
        <v>193</v>
      </c>
      <c r="L1394" s="98">
        <v>2020</v>
      </c>
      <c r="M1394" s="98" t="s">
        <v>225</v>
      </c>
      <c r="N1394" s="99">
        <v>193</v>
      </c>
      <c r="O1394" s="100">
        <v>0</v>
      </c>
      <c r="P1394" s="100">
        <v>0.19844094111379557</v>
      </c>
      <c r="Q1394" s="100">
        <v>0.22426949151715159</v>
      </c>
    </row>
    <row r="1395" spans="1:17" x14ac:dyDescent="0.35">
      <c r="A1395" s="98" t="s">
        <v>39</v>
      </c>
      <c r="B1395" s="98" t="s">
        <v>179</v>
      </c>
      <c r="C1395" s="98" t="s">
        <v>256</v>
      </c>
      <c r="D1395" s="99">
        <v>6964858.4999999972</v>
      </c>
      <c r="E1395" s="99">
        <v>7861281</v>
      </c>
      <c r="F1395" s="99">
        <v>8605718.0000000056</v>
      </c>
      <c r="G1395" s="99">
        <v>0</v>
      </c>
      <c r="H1395" s="98" t="s">
        <v>225</v>
      </c>
      <c r="I1395" s="99">
        <v>21</v>
      </c>
      <c r="J1395" s="98" t="s">
        <v>229</v>
      </c>
      <c r="K1395" s="99">
        <v>857</v>
      </c>
      <c r="L1395" s="98">
        <v>2022</v>
      </c>
      <c r="M1395" s="98" t="s">
        <v>225</v>
      </c>
      <c r="N1395" s="99">
        <v>857</v>
      </c>
      <c r="O1395" s="100">
        <v>0</v>
      </c>
      <c r="P1395" s="100">
        <v>2.6713203611472482E-2</v>
      </c>
      <c r="Q1395" s="100">
        <v>0.99584950378341408</v>
      </c>
    </row>
    <row r="1396" spans="1:17" x14ac:dyDescent="0.35">
      <c r="A1396" s="98" t="s">
        <v>39</v>
      </c>
      <c r="B1396" s="98" t="s">
        <v>179</v>
      </c>
      <c r="C1396" s="98" t="s">
        <v>257</v>
      </c>
      <c r="D1396" s="99">
        <v>6964858.4999999972</v>
      </c>
      <c r="E1396" s="99">
        <v>7861281</v>
      </c>
      <c r="F1396" s="99">
        <v>8605718.0000000056</v>
      </c>
      <c r="G1396" s="99">
        <v>0</v>
      </c>
      <c r="H1396" s="98" t="s">
        <v>225</v>
      </c>
      <c r="I1396" s="99">
        <v>15</v>
      </c>
      <c r="J1396" s="98">
        <v>2018</v>
      </c>
      <c r="K1396" s="99">
        <v>15</v>
      </c>
      <c r="L1396" s="98">
        <v>2020</v>
      </c>
      <c r="M1396" s="98" t="s">
        <v>225</v>
      </c>
      <c r="N1396" s="99">
        <v>15</v>
      </c>
      <c r="O1396" s="100">
        <v>0</v>
      </c>
      <c r="P1396" s="100">
        <v>1.9080859722480345E-2</v>
      </c>
      <c r="Q1396" s="100">
        <v>1.7430271361436652E-2</v>
      </c>
    </row>
    <row r="1397" spans="1:17" x14ac:dyDescent="0.35">
      <c r="A1397" s="98" t="s">
        <v>39</v>
      </c>
      <c r="B1397" s="98" t="s">
        <v>179</v>
      </c>
      <c r="C1397" s="98" t="s">
        <v>258</v>
      </c>
      <c r="D1397" s="99">
        <v>6964858.4999999972</v>
      </c>
      <c r="E1397" s="99">
        <v>7861281</v>
      </c>
      <c r="F1397" s="99">
        <v>8605718.0000000056</v>
      </c>
      <c r="G1397" s="99">
        <v>0</v>
      </c>
      <c r="H1397" s="98" t="s">
        <v>225</v>
      </c>
      <c r="I1397" s="99">
        <v>414</v>
      </c>
      <c r="J1397" s="98" t="s">
        <v>229</v>
      </c>
      <c r="K1397" s="99">
        <v>126</v>
      </c>
      <c r="L1397" s="98">
        <v>2022</v>
      </c>
      <c r="M1397" s="98" t="s">
        <v>226</v>
      </c>
      <c r="N1397" s="99">
        <v>144.81162918437232</v>
      </c>
      <c r="O1397" s="100">
        <v>0</v>
      </c>
      <c r="P1397" s="100">
        <v>0.52663172834045746</v>
      </c>
      <c r="Q1397" s="100">
        <v>0.16827373286502328</v>
      </c>
    </row>
    <row r="1398" spans="1:17" x14ac:dyDescent="0.35">
      <c r="A1398" s="98" t="s">
        <v>39</v>
      </c>
      <c r="B1398" s="98" t="s">
        <v>179</v>
      </c>
      <c r="C1398" s="98" t="s">
        <v>259</v>
      </c>
      <c r="D1398" s="99">
        <v>6964858.4999999972</v>
      </c>
      <c r="E1398" s="99">
        <v>7861281</v>
      </c>
      <c r="F1398" s="99">
        <v>8605718.0000000056</v>
      </c>
      <c r="G1398" s="99">
        <v>0</v>
      </c>
      <c r="H1398" s="98" t="s">
        <v>225</v>
      </c>
      <c r="I1398" s="99">
        <v>0</v>
      </c>
      <c r="J1398" s="98" t="s">
        <v>225</v>
      </c>
      <c r="K1398" s="99">
        <v>0</v>
      </c>
      <c r="L1398" s="98" t="s">
        <v>225</v>
      </c>
      <c r="M1398" s="98" t="s">
        <v>225</v>
      </c>
      <c r="N1398" s="99">
        <v>0</v>
      </c>
      <c r="O1398" s="100">
        <v>0</v>
      </c>
      <c r="P1398" s="100">
        <v>0</v>
      </c>
      <c r="Q1398" s="100">
        <v>0</v>
      </c>
    </row>
    <row r="1399" spans="1:17" x14ac:dyDescent="0.35">
      <c r="A1399" s="98" t="s">
        <v>41</v>
      </c>
      <c r="B1399" s="98" t="s">
        <v>181</v>
      </c>
      <c r="C1399" s="98" t="s">
        <v>246</v>
      </c>
      <c r="D1399" s="99">
        <v>11106031.000000004</v>
      </c>
      <c r="E1399" s="99">
        <v>10395329.5</v>
      </c>
      <c r="F1399" s="99">
        <v>10913163.5</v>
      </c>
      <c r="G1399" s="99">
        <v>0</v>
      </c>
      <c r="H1399" s="98" t="s">
        <v>225</v>
      </c>
      <c r="I1399" s="99">
        <v>411</v>
      </c>
      <c r="J1399" s="98">
        <v>2018</v>
      </c>
      <c r="K1399" s="99">
        <v>456</v>
      </c>
      <c r="L1399" s="98">
        <v>2020</v>
      </c>
      <c r="M1399" s="98" t="s">
        <v>225</v>
      </c>
      <c r="N1399" s="99">
        <v>456</v>
      </c>
      <c r="O1399" s="100">
        <v>0</v>
      </c>
      <c r="P1399" s="100">
        <v>0.39536986297548338</v>
      </c>
      <c r="Q1399" s="100">
        <v>0.41784401012593642</v>
      </c>
    </row>
    <row r="1400" spans="1:17" x14ac:dyDescent="0.35">
      <c r="A1400" s="98" t="s">
        <v>41</v>
      </c>
      <c r="B1400" s="98" t="s">
        <v>181</v>
      </c>
      <c r="C1400" s="98" t="s">
        <v>247</v>
      </c>
      <c r="D1400" s="99">
        <v>11106031.000000004</v>
      </c>
      <c r="E1400" s="99">
        <v>10395329.5</v>
      </c>
      <c r="F1400" s="99">
        <v>10913163.5</v>
      </c>
      <c r="G1400" s="99">
        <v>0</v>
      </c>
      <c r="H1400" s="98" t="s">
        <v>225</v>
      </c>
      <c r="I1400" s="99">
        <v>338</v>
      </c>
      <c r="J1400" s="98">
        <v>2018</v>
      </c>
      <c r="K1400" s="99">
        <v>383</v>
      </c>
      <c r="L1400" s="98">
        <v>2020</v>
      </c>
      <c r="M1400" s="98" t="s">
        <v>225</v>
      </c>
      <c r="N1400" s="99">
        <v>383</v>
      </c>
      <c r="O1400" s="100">
        <v>0</v>
      </c>
      <c r="P1400" s="100">
        <v>0.32514601870003257</v>
      </c>
      <c r="Q1400" s="100">
        <v>0.35095231552244222</v>
      </c>
    </row>
    <row r="1401" spans="1:17" x14ac:dyDescent="0.35">
      <c r="A1401" s="98" t="s">
        <v>41</v>
      </c>
      <c r="B1401" s="98" t="s">
        <v>181</v>
      </c>
      <c r="C1401" s="98" t="s">
        <v>248</v>
      </c>
      <c r="D1401" s="99">
        <v>11106031.000000004</v>
      </c>
      <c r="E1401" s="99">
        <v>10395329.5</v>
      </c>
      <c r="F1401" s="99">
        <v>10913163.5</v>
      </c>
      <c r="G1401" s="99">
        <v>0</v>
      </c>
      <c r="H1401" s="98" t="s">
        <v>225</v>
      </c>
      <c r="I1401" s="99">
        <v>73</v>
      </c>
      <c r="J1401" s="98">
        <v>2018</v>
      </c>
      <c r="K1401" s="99">
        <v>73</v>
      </c>
      <c r="L1401" s="98">
        <v>2020</v>
      </c>
      <c r="M1401" s="98" t="s">
        <v>225</v>
      </c>
      <c r="N1401" s="99">
        <v>73</v>
      </c>
      <c r="O1401" s="100">
        <v>0</v>
      </c>
      <c r="P1401" s="100">
        <v>7.0223844275450822E-2</v>
      </c>
      <c r="Q1401" s="100">
        <v>6.6891694603494214E-2</v>
      </c>
    </row>
    <row r="1402" spans="1:17" x14ac:dyDescent="0.35">
      <c r="A1402" s="98" t="s">
        <v>41</v>
      </c>
      <c r="B1402" s="98" t="s">
        <v>181</v>
      </c>
      <c r="C1402" s="98" t="s">
        <v>249</v>
      </c>
      <c r="D1402" s="99">
        <v>11106031.000000004</v>
      </c>
      <c r="E1402" s="99">
        <v>10395329.5</v>
      </c>
      <c r="F1402" s="99">
        <v>10913163.5</v>
      </c>
      <c r="G1402" s="99">
        <v>0</v>
      </c>
      <c r="H1402" s="98" t="s">
        <v>225</v>
      </c>
      <c r="I1402" s="99">
        <v>3726</v>
      </c>
      <c r="J1402" s="98">
        <v>2018</v>
      </c>
      <c r="K1402" s="99">
        <v>4530</v>
      </c>
      <c r="L1402" s="98">
        <v>2020</v>
      </c>
      <c r="M1402" s="98" t="s">
        <v>225</v>
      </c>
      <c r="N1402" s="99">
        <v>4530</v>
      </c>
      <c r="O1402" s="100">
        <v>0</v>
      </c>
      <c r="P1402" s="100">
        <v>3.5843019694565719</v>
      </c>
      <c r="Q1402" s="100">
        <v>4.150950363751079</v>
      </c>
    </row>
    <row r="1403" spans="1:17" x14ac:dyDescent="0.35">
      <c r="A1403" s="98" t="s">
        <v>41</v>
      </c>
      <c r="B1403" s="98" t="s">
        <v>181</v>
      </c>
      <c r="C1403" s="98" t="s">
        <v>250</v>
      </c>
      <c r="D1403" s="99">
        <v>11106031.000000004</v>
      </c>
      <c r="E1403" s="99">
        <v>10395329.5</v>
      </c>
      <c r="F1403" s="99">
        <v>10913163.5</v>
      </c>
      <c r="G1403" s="99">
        <v>0</v>
      </c>
      <c r="H1403" s="98" t="s">
        <v>225</v>
      </c>
      <c r="I1403" s="99">
        <v>2014</v>
      </c>
      <c r="J1403" s="98" t="s">
        <v>229</v>
      </c>
      <c r="K1403" s="99">
        <v>596</v>
      </c>
      <c r="L1403" s="98">
        <v>2020</v>
      </c>
      <c r="M1403" s="98" t="s">
        <v>226</v>
      </c>
      <c r="N1403" s="99">
        <v>684.98199201496743</v>
      </c>
      <c r="O1403" s="100">
        <v>0</v>
      </c>
      <c r="P1403" s="100">
        <v>1.9374085256268212</v>
      </c>
      <c r="Q1403" s="100">
        <v>0.62766583861312764</v>
      </c>
    </row>
    <row r="1404" spans="1:17" x14ac:dyDescent="0.35">
      <c r="A1404" s="98" t="s">
        <v>41</v>
      </c>
      <c r="B1404" s="98" t="s">
        <v>181</v>
      </c>
      <c r="C1404" s="98" t="s">
        <v>251</v>
      </c>
      <c r="D1404" s="99">
        <v>11106031.000000004</v>
      </c>
      <c r="E1404" s="99">
        <v>10395329.5</v>
      </c>
      <c r="F1404" s="99">
        <v>10913163.5</v>
      </c>
      <c r="G1404" s="99">
        <v>0</v>
      </c>
      <c r="H1404" s="98" t="s">
        <v>225</v>
      </c>
      <c r="I1404" s="99">
        <v>3212</v>
      </c>
      <c r="J1404" s="98">
        <v>2019</v>
      </c>
      <c r="K1404" s="99">
        <v>3934</v>
      </c>
      <c r="L1404" s="98">
        <v>2020</v>
      </c>
      <c r="M1404" s="98" t="s">
        <v>225</v>
      </c>
      <c r="N1404" s="99">
        <v>3934</v>
      </c>
      <c r="O1404" s="100">
        <v>0</v>
      </c>
      <c r="P1404" s="100">
        <v>3.089849148119836</v>
      </c>
      <c r="Q1404" s="100">
        <v>3.6048209119198114</v>
      </c>
    </row>
    <row r="1405" spans="1:17" x14ac:dyDescent="0.35">
      <c r="A1405" s="98" t="s">
        <v>41</v>
      </c>
      <c r="B1405" s="98" t="s">
        <v>181</v>
      </c>
      <c r="C1405" s="98" t="s">
        <v>252</v>
      </c>
      <c r="D1405" s="99">
        <v>11106031.000000004</v>
      </c>
      <c r="E1405" s="99">
        <v>10395329.5</v>
      </c>
      <c r="F1405" s="99">
        <v>10913163.5</v>
      </c>
      <c r="G1405" s="99">
        <v>0</v>
      </c>
      <c r="H1405" s="98" t="s">
        <v>225</v>
      </c>
      <c r="I1405" s="99">
        <v>1712</v>
      </c>
      <c r="J1405" s="98" t="s">
        <v>229</v>
      </c>
      <c r="K1405" s="99">
        <v>3020</v>
      </c>
      <c r="L1405" s="98">
        <v>2020</v>
      </c>
      <c r="M1405" s="98" t="s">
        <v>225</v>
      </c>
      <c r="N1405" s="99">
        <v>3020</v>
      </c>
      <c r="O1405" s="100">
        <v>0</v>
      </c>
      <c r="P1405" s="100">
        <v>1.6468934438297507</v>
      </c>
      <c r="Q1405" s="100">
        <v>2.7673002425007196</v>
      </c>
    </row>
    <row r="1406" spans="1:17" x14ac:dyDescent="0.35">
      <c r="A1406" s="98" t="s">
        <v>41</v>
      </c>
      <c r="B1406" s="98" t="s">
        <v>181</v>
      </c>
      <c r="C1406" s="98" t="s">
        <v>253</v>
      </c>
      <c r="D1406" s="99">
        <v>11106031.000000004</v>
      </c>
      <c r="E1406" s="99">
        <v>10395329.5</v>
      </c>
      <c r="F1406" s="99">
        <v>10913163.5</v>
      </c>
      <c r="G1406" s="99">
        <v>0</v>
      </c>
      <c r="H1406" s="98" t="s">
        <v>225</v>
      </c>
      <c r="I1406" s="99">
        <v>1112</v>
      </c>
      <c r="J1406" s="98" t="s">
        <v>229</v>
      </c>
      <c r="K1406" s="99">
        <v>456</v>
      </c>
      <c r="L1406" s="98">
        <v>2020</v>
      </c>
      <c r="M1406" s="98" t="s">
        <v>226</v>
      </c>
      <c r="N1406" s="99">
        <v>524.08018181010937</v>
      </c>
      <c r="O1406" s="100">
        <v>0</v>
      </c>
      <c r="P1406" s="100">
        <v>1.0697111621137165</v>
      </c>
      <c r="Q1406" s="100">
        <v>0.48022755437514469</v>
      </c>
    </row>
    <row r="1407" spans="1:17" x14ac:dyDescent="0.35">
      <c r="A1407" s="98" t="s">
        <v>41</v>
      </c>
      <c r="B1407" s="98" t="s">
        <v>181</v>
      </c>
      <c r="C1407" s="98" t="s">
        <v>254</v>
      </c>
      <c r="D1407" s="99">
        <v>11106031.000000004</v>
      </c>
      <c r="E1407" s="99">
        <v>10395329.5</v>
      </c>
      <c r="F1407" s="99">
        <v>10913163.5</v>
      </c>
      <c r="G1407" s="99">
        <v>0</v>
      </c>
      <c r="H1407" s="98" t="s">
        <v>225</v>
      </c>
      <c r="I1407" s="99">
        <v>600</v>
      </c>
      <c r="J1407" s="98" t="s">
        <v>229</v>
      </c>
      <c r="K1407" s="99">
        <v>2564</v>
      </c>
      <c r="L1407" s="98">
        <v>2020</v>
      </c>
      <c r="M1407" s="98" t="s">
        <v>225</v>
      </c>
      <c r="N1407" s="99">
        <v>2564</v>
      </c>
      <c r="O1407" s="100">
        <v>0</v>
      </c>
      <c r="P1407" s="100">
        <v>0.57718228171603414</v>
      </c>
      <c r="Q1407" s="100">
        <v>2.349456232374783</v>
      </c>
    </row>
    <row r="1408" spans="1:17" x14ac:dyDescent="0.35">
      <c r="A1408" s="98" t="s">
        <v>41</v>
      </c>
      <c r="B1408" s="98" t="s">
        <v>181</v>
      </c>
      <c r="C1408" s="98" t="s">
        <v>255</v>
      </c>
      <c r="D1408" s="99">
        <v>11106031.000000004</v>
      </c>
      <c r="E1408" s="99">
        <v>10395329.5</v>
      </c>
      <c r="F1408" s="99">
        <v>10913163.5</v>
      </c>
      <c r="G1408" s="99">
        <v>0</v>
      </c>
      <c r="H1408" s="98" t="s">
        <v>225</v>
      </c>
      <c r="I1408" s="99">
        <v>360</v>
      </c>
      <c r="J1408" s="98">
        <v>2018</v>
      </c>
      <c r="K1408" s="99">
        <v>139</v>
      </c>
      <c r="L1408" s="98">
        <v>2020</v>
      </c>
      <c r="M1408" s="98" t="s">
        <v>226</v>
      </c>
      <c r="N1408" s="99">
        <v>159.7525115605377</v>
      </c>
      <c r="O1408" s="100">
        <v>0</v>
      </c>
      <c r="P1408" s="100">
        <v>0.34630936902962045</v>
      </c>
      <c r="Q1408" s="100">
        <v>0.1463851536362831</v>
      </c>
    </row>
    <row r="1409" spans="1:17" x14ac:dyDescent="0.35">
      <c r="A1409" s="98" t="s">
        <v>41</v>
      </c>
      <c r="B1409" s="98" t="s">
        <v>181</v>
      </c>
      <c r="C1409" s="98" t="s">
        <v>256</v>
      </c>
      <c r="D1409" s="99">
        <v>11106031.000000004</v>
      </c>
      <c r="E1409" s="99">
        <v>10395329.5</v>
      </c>
      <c r="F1409" s="99">
        <v>10913163.5</v>
      </c>
      <c r="G1409" s="99">
        <v>0</v>
      </c>
      <c r="H1409" s="98" t="s">
        <v>225</v>
      </c>
      <c r="I1409" s="99">
        <v>150</v>
      </c>
      <c r="J1409" s="98" t="s">
        <v>229</v>
      </c>
      <c r="K1409" s="99">
        <v>291</v>
      </c>
      <c r="L1409" s="98">
        <v>2020</v>
      </c>
      <c r="M1409" s="98" t="s">
        <v>225</v>
      </c>
      <c r="N1409" s="99">
        <v>291</v>
      </c>
      <c r="O1409" s="100">
        <v>0</v>
      </c>
      <c r="P1409" s="100">
        <v>0.14429557042900854</v>
      </c>
      <c r="Q1409" s="100">
        <v>0.26665045383036734</v>
      </c>
    </row>
    <row r="1410" spans="1:17" x14ac:dyDescent="0.35">
      <c r="A1410" s="98" t="s">
        <v>41</v>
      </c>
      <c r="B1410" s="98" t="s">
        <v>181</v>
      </c>
      <c r="C1410" s="98" t="s">
        <v>257</v>
      </c>
      <c r="D1410" s="99">
        <v>11106031.000000004</v>
      </c>
      <c r="E1410" s="99">
        <v>10395329.5</v>
      </c>
      <c r="F1410" s="99">
        <v>10913163.5</v>
      </c>
      <c r="G1410" s="99">
        <v>0</v>
      </c>
      <c r="H1410" s="98" t="s">
        <v>225</v>
      </c>
      <c r="I1410" s="99">
        <v>32</v>
      </c>
      <c r="J1410" s="98">
        <v>2018</v>
      </c>
      <c r="K1410" s="99">
        <v>28</v>
      </c>
      <c r="L1410" s="98">
        <v>2020</v>
      </c>
      <c r="M1410" s="98" t="s">
        <v>226</v>
      </c>
      <c r="N1410" s="99">
        <v>32.180362040971623</v>
      </c>
      <c r="O1410" s="100">
        <v>0</v>
      </c>
      <c r="P1410" s="100">
        <v>3.0783055024855153E-2</v>
      </c>
      <c r="Q1410" s="100">
        <v>2.9487656847596595E-2</v>
      </c>
    </row>
    <row r="1411" spans="1:17" x14ac:dyDescent="0.35">
      <c r="A1411" s="98" t="s">
        <v>41</v>
      </c>
      <c r="B1411" s="98" t="s">
        <v>181</v>
      </c>
      <c r="C1411" s="98" t="s">
        <v>258</v>
      </c>
      <c r="D1411" s="99">
        <v>11106031.000000004</v>
      </c>
      <c r="E1411" s="99">
        <v>10395329.5</v>
      </c>
      <c r="F1411" s="99">
        <v>10913163.5</v>
      </c>
      <c r="G1411" s="99">
        <v>0</v>
      </c>
      <c r="H1411" s="98" t="s">
        <v>225</v>
      </c>
      <c r="I1411" s="99">
        <v>22</v>
      </c>
      <c r="J1411" s="98">
        <v>2018</v>
      </c>
      <c r="K1411" s="99">
        <v>128</v>
      </c>
      <c r="L1411" s="98">
        <v>2020</v>
      </c>
      <c r="M1411" s="98" t="s">
        <v>225</v>
      </c>
      <c r="N1411" s="99">
        <v>128</v>
      </c>
      <c r="O1411" s="100">
        <v>0</v>
      </c>
      <c r="P1411" s="100">
        <v>2.1163350329587917E-2</v>
      </c>
      <c r="Q1411" s="100">
        <v>0.11728954670201724</v>
      </c>
    </row>
    <row r="1412" spans="1:17" x14ac:dyDescent="0.35">
      <c r="A1412" s="98" t="s">
        <v>41</v>
      </c>
      <c r="B1412" s="98" t="s">
        <v>181</v>
      </c>
      <c r="C1412" s="98" t="s">
        <v>259</v>
      </c>
      <c r="D1412" s="99">
        <v>11106031.000000004</v>
      </c>
      <c r="E1412" s="99">
        <v>10395329.5</v>
      </c>
      <c r="F1412" s="99">
        <v>10913163.5</v>
      </c>
      <c r="G1412" s="99">
        <v>0</v>
      </c>
      <c r="H1412" s="98" t="s">
        <v>225</v>
      </c>
      <c r="I1412" s="99">
        <v>0</v>
      </c>
      <c r="J1412" s="98" t="s">
        <v>225</v>
      </c>
      <c r="K1412" s="99">
        <v>0</v>
      </c>
      <c r="L1412" s="98" t="s">
        <v>225</v>
      </c>
      <c r="M1412" s="98" t="s">
        <v>225</v>
      </c>
      <c r="N1412" s="99">
        <v>0</v>
      </c>
      <c r="O1412" s="100">
        <v>0</v>
      </c>
      <c r="P1412" s="100">
        <v>0</v>
      </c>
      <c r="Q1412" s="100">
        <v>0</v>
      </c>
    </row>
    <row r="1413" spans="1:17" x14ac:dyDescent="0.35">
      <c r="A1413" s="98" t="s">
        <v>36</v>
      </c>
      <c r="B1413" s="98" t="s">
        <v>176</v>
      </c>
      <c r="C1413" s="98" t="s">
        <v>246</v>
      </c>
      <c r="D1413" s="99">
        <v>193756.99999999997</v>
      </c>
      <c r="E1413" s="99">
        <v>211344</v>
      </c>
      <c r="F1413" s="99">
        <v>227379.5</v>
      </c>
      <c r="G1413" s="99">
        <v>63</v>
      </c>
      <c r="H1413" s="98">
        <v>2015</v>
      </c>
      <c r="I1413" s="99">
        <v>60</v>
      </c>
      <c r="J1413" s="98" t="s">
        <v>229</v>
      </c>
      <c r="K1413" s="99">
        <v>105</v>
      </c>
      <c r="L1413" s="98" t="s">
        <v>229</v>
      </c>
      <c r="M1413" s="98" t="s">
        <v>225</v>
      </c>
      <c r="N1413" s="99">
        <v>105</v>
      </c>
      <c r="O1413" s="100">
        <v>3.2514954298425351</v>
      </c>
      <c r="P1413" s="100">
        <v>2.8389734272087215</v>
      </c>
      <c r="Q1413" s="100">
        <v>4.6178305432107996</v>
      </c>
    </row>
    <row r="1414" spans="1:17" x14ac:dyDescent="0.35">
      <c r="A1414" s="98" t="s">
        <v>36</v>
      </c>
      <c r="B1414" s="98" t="s">
        <v>176</v>
      </c>
      <c r="C1414" s="98" t="s">
        <v>247</v>
      </c>
      <c r="D1414" s="99">
        <v>193756.99999999997</v>
      </c>
      <c r="E1414" s="99">
        <v>211344</v>
      </c>
      <c r="F1414" s="99">
        <v>227379.5</v>
      </c>
      <c r="G1414" s="99">
        <v>0</v>
      </c>
      <c r="H1414" s="98" t="s">
        <v>225</v>
      </c>
      <c r="I1414" s="99">
        <v>40</v>
      </c>
      <c r="J1414" s="98" t="s">
        <v>229</v>
      </c>
      <c r="K1414" s="99">
        <v>40</v>
      </c>
      <c r="L1414" s="98" t="s">
        <v>229</v>
      </c>
      <c r="M1414" s="98" t="s">
        <v>225</v>
      </c>
      <c r="N1414" s="99">
        <v>40</v>
      </c>
      <c r="O1414" s="100">
        <v>0</v>
      </c>
      <c r="P1414" s="100">
        <v>1.8926489514724809</v>
      </c>
      <c r="Q1414" s="100">
        <v>1.7591735402707809</v>
      </c>
    </row>
    <row r="1415" spans="1:17" x14ac:dyDescent="0.35">
      <c r="A1415" s="98" t="s">
        <v>36</v>
      </c>
      <c r="B1415" s="98" t="s">
        <v>176</v>
      </c>
      <c r="C1415" s="98" t="s">
        <v>248</v>
      </c>
      <c r="D1415" s="99">
        <v>193756.99999999997</v>
      </c>
      <c r="E1415" s="99">
        <v>211344</v>
      </c>
      <c r="F1415" s="99">
        <v>227379.5</v>
      </c>
      <c r="G1415" s="99">
        <v>0</v>
      </c>
      <c r="H1415" s="98" t="s">
        <v>225</v>
      </c>
      <c r="I1415" s="99">
        <v>20</v>
      </c>
      <c r="J1415" s="98" t="s">
        <v>229</v>
      </c>
      <c r="K1415" s="99">
        <v>20</v>
      </c>
      <c r="L1415" s="98" t="s">
        <v>229</v>
      </c>
      <c r="M1415" s="98" t="s">
        <v>225</v>
      </c>
      <c r="N1415" s="99">
        <v>20</v>
      </c>
      <c r="O1415" s="100">
        <v>0</v>
      </c>
      <c r="P1415" s="100">
        <v>0.94632447573624046</v>
      </c>
      <c r="Q1415" s="100">
        <v>0.87958677013539044</v>
      </c>
    </row>
    <row r="1416" spans="1:17" x14ac:dyDescent="0.35">
      <c r="A1416" s="98" t="s">
        <v>36</v>
      </c>
      <c r="B1416" s="98" t="s">
        <v>176</v>
      </c>
      <c r="C1416" s="98" t="s">
        <v>249</v>
      </c>
      <c r="D1416" s="99">
        <v>193756.99999999997</v>
      </c>
      <c r="E1416" s="99">
        <v>211344</v>
      </c>
      <c r="F1416" s="99">
        <v>227379.5</v>
      </c>
      <c r="G1416" s="99">
        <v>442</v>
      </c>
      <c r="H1416" s="98">
        <v>2015</v>
      </c>
      <c r="I1416" s="99">
        <v>406</v>
      </c>
      <c r="J1416" s="98">
        <v>2018</v>
      </c>
      <c r="K1416" s="99">
        <v>440</v>
      </c>
      <c r="L1416" s="98">
        <v>2018</v>
      </c>
      <c r="M1416" s="98" t="s">
        <v>225</v>
      </c>
      <c r="N1416" s="99">
        <v>440</v>
      </c>
      <c r="O1416" s="100">
        <v>22.812079047466675</v>
      </c>
      <c r="P1416" s="100">
        <v>19.21038685744568</v>
      </c>
      <c r="Q1416" s="100">
        <v>19.350908942978588</v>
      </c>
    </row>
    <row r="1417" spans="1:17" x14ac:dyDescent="0.35">
      <c r="A1417" s="98" t="s">
        <v>36</v>
      </c>
      <c r="B1417" s="98" t="s">
        <v>176</v>
      </c>
      <c r="C1417" s="98" t="s">
        <v>250</v>
      </c>
      <c r="D1417" s="99">
        <v>193756.99999999997</v>
      </c>
      <c r="E1417" s="99">
        <v>211344</v>
      </c>
      <c r="F1417" s="99">
        <v>227379.5</v>
      </c>
      <c r="G1417" s="99">
        <v>0</v>
      </c>
      <c r="H1417" s="98" t="s">
        <v>225</v>
      </c>
      <c r="I1417" s="99">
        <v>206</v>
      </c>
      <c r="J1417" s="98" t="s">
        <v>229</v>
      </c>
      <c r="K1417" s="99">
        <v>206</v>
      </c>
      <c r="L1417" s="98" t="s">
        <v>229</v>
      </c>
      <c r="M1417" s="98" t="s">
        <v>225</v>
      </c>
      <c r="N1417" s="99">
        <v>206</v>
      </c>
      <c r="O1417" s="100">
        <v>0</v>
      </c>
      <c r="P1417" s="100">
        <v>9.747142100083277</v>
      </c>
      <c r="Q1417" s="100">
        <v>9.0597437323945211</v>
      </c>
    </row>
    <row r="1418" spans="1:17" x14ac:dyDescent="0.35">
      <c r="A1418" s="98" t="s">
        <v>36</v>
      </c>
      <c r="B1418" s="98" t="s">
        <v>176</v>
      </c>
      <c r="C1418" s="98" t="s">
        <v>251</v>
      </c>
      <c r="D1418" s="99">
        <v>193756.99999999997</v>
      </c>
      <c r="E1418" s="99">
        <v>211344</v>
      </c>
      <c r="F1418" s="99">
        <v>227379.5</v>
      </c>
      <c r="G1418" s="99">
        <v>0</v>
      </c>
      <c r="H1418" s="98" t="s">
        <v>225</v>
      </c>
      <c r="I1418" s="99">
        <v>0</v>
      </c>
      <c r="J1418" s="98" t="s">
        <v>225</v>
      </c>
      <c r="K1418" s="99">
        <v>0</v>
      </c>
      <c r="L1418" s="98" t="s">
        <v>225</v>
      </c>
      <c r="M1418" s="98" t="s">
        <v>225</v>
      </c>
      <c r="N1418" s="99">
        <v>0</v>
      </c>
      <c r="O1418" s="100">
        <v>0</v>
      </c>
      <c r="P1418" s="100">
        <v>0</v>
      </c>
      <c r="Q1418" s="100">
        <v>0</v>
      </c>
    </row>
    <row r="1419" spans="1:17" x14ac:dyDescent="0.35">
      <c r="A1419" s="98" t="s">
        <v>36</v>
      </c>
      <c r="B1419" s="98" t="s">
        <v>176</v>
      </c>
      <c r="C1419" s="98" t="s">
        <v>252</v>
      </c>
      <c r="D1419" s="99">
        <v>193756.99999999997</v>
      </c>
      <c r="E1419" s="99">
        <v>211344</v>
      </c>
      <c r="F1419" s="99">
        <v>227379.5</v>
      </c>
      <c r="G1419" s="99">
        <v>31</v>
      </c>
      <c r="H1419" s="98">
        <v>2013</v>
      </c>
      <c r="I1419" s="99">
        <v>50</v>
      </c>
      <c r="J1419" s="98" t="s">
        <v>229</v>
      </c>
      <c r="K1419" s="99">
        <v>22</v>
      </c>
      <c r="L1419" s="98" t="s">
        <v>229</v>
      </c>
      <c r="M1419" s="98" t="s">
        <v>226</v>
      </c>
      <c r="N1419" s="99">
        <v>25.284570175049133</v>
      </c>
      <c r="O1419" s="100">
        <v>1.599942195636803</v>
      </c>
      <c r="P1419" s="100">
        <v>2.3658111893406013</v>
      </c>
      <c r="Q1419" s="100">
        <v>1.1119986707266545</v>
      </c>
    </row>
    <row r="1420" spans="1:17" x14ac:dyDescent="0.35">
      <c r="A1420" s="98" t="s">
        <v>36</v>
      </c>
      <c r="B1420" s="98" t="s">
        <v>176</v>
      </c>
      <c r="C1420" s="98" t="s">
        <v>253</v>
      </c>
      <c r="D1420" s="99">
        <v>193756.99999999997</v>
      </c>
      <c r="E1420" s="99">
        <v>211344</v>
      </c>
      <c r="F1420" s="99">
        <v>227379.5</v>
      </c>
      <c r="G1420" s="99">
        <v>31</v>
      </c>
      <c r="H1420" s="98">
        <v>2013</v>
      </c>
      <c r="I1420" s="99">
        <v>50</v>
      </c>
      <c r="J1420" s="98" t="s">
        <v>229</v>
      </c>
      <c r="K1420" s="99">
        <v>50</v>
      </c>
      <c r="L1420" s="98" t="s">
        <v>229</v>
      </c>
      <c r="M1420" s="98" t="s">
        <v>225</v>
      </c>
      <c r="N1420" s="99">
        <v>50</v>
      </c>
      <c r="O1420" s="100">
        <v>1.599942195636803</v>
      </c>
      <c r="P1420" s="100">
        <v>2.3658111893406013</v>
      </c>
      <c r="Q1420" s="100">
        <v>2.198966925338476</v>
      </c>
    </row>
    <row r="1421" spans="1:17" x14ac:dyDescent="0.35">
      <c r="A1421" s="98" t="s">
        <v>36</v>
      </c>
      <c r="B1421" s="98" t="s">
        <v>176</v>
      </c>
      <c r="C1421" s="98" t="s">
        <v>254</v>
      </c>
      <c r="D1421" s="99">
        <v>193756.99999999997</v>
      </c>
      <c r="E1421" s="99">
        <v>211344</v>
      </c>
      <c r="F1421" s="99">
        <v>227379.5</v>
      </c>
      <c r="G1421" s="99">
        <v>0</v>
      </c>
      <c r="H1421" s="98" t="s">
        <v>225</v>
      </c>
      <c r="I1421" s="99">
        <v>0</v>
      </c>
      <c r="J1421" s="98" t="s">
        <v>225</v>
      </c>
      <c r="K1421" s="99">
        <v>0</v>
      </c>
      <c r="L1421" s="98" t="s">
        <v>225</v>
      </c>
      <c r="M1421" s="98" t="s">
        <v>225</v>
      </c>
      <c r="N1421" s="99">
        <v>0</v>
      </c>
      <c r="O1421" s="100">
        <v>0</v>
      </c>
      <c r="P1421" s="100">
        <v>0</v>
      </c>
      <c r="Q1421" s="100">
        <v>0</v>
      </c>
    </row>
    <row r="1422" spans="1:17" x14ac:dyDescent="0.35">
      <c r="A1422" s="98" t="s">
        <v>36</v>
      </c>
      <c r="B1422" s="98" t="s">
        <v>176</v>
      </c>
      <c r="C1422" s="98" t="s">
        <v>255</v>
      </c>
      <c r="D1422" s="99">
        <v>193756.99999999997</v>
      </c>
      <c r="E1422" s="99">
        <v>211344</v>
      </c>
      <c r="F1422" s="99">
        <v>227379.5</v>
      </c>
      <c r="G1422" s="99">
        <v>0</v>
      </c>
      <c r="H1422" s="98" t="s">
        <v>225</v>
      </c>
      <c r="I1422" s="99">
        <v>37</v>
      </c>
      <c r="J1422" s="98">
        <v>2019</v>
      </c>
      <c r="K1422" s="99">
        <v>37</v>
      </c>
      <c r="L1422" s="98">
        <v>2019</v>
      </c>
      <c r="M1422" s="98" t="s">
        <v>225</v>
      </c>
      <c r="N1422" s="99">
        <v>37</v>
      </c>
      <c r="O1422" s="100">
        <v>0</v>
      </c>
      <c r="P1422" s="100">
        <v>1.7507002801120448</v>
      </c>
      <c r="Q1422" s="100">
        <v>1.6272355247504722</v>
      </c>
    </row>
    <row r="1423" spans="1:17" x14ac:dyDescent="0.35">
      <c r="A1423" s="98" t="s">
        <v>36</v>
      </c>
      <c r="B1423" s="98" t="s">
        <v>176</v>
      </c>
      <c r="C1423" s="98" t="s">
        <v>256</v>
      </c>
      <c r="D1423" s="99">
        <v>193756.99999999997</v>
      </c>
      <c r="E1423" s="99">
        <v>211344</v>
      </c>
      <c r="F1423" s="99">
        <v>227379.5</v>
      </c>
      <c r="G1423" s="99">
        <v>0</v>
      </c>
      <c r="H1423" s="98" t="s">
        <v>225</v>
      </c>
      <c r="I1423" s="99">
        <v>0</v>
      </c>
      <c r="J1423" s="98" t="s">
        <v>225</v>
      </c>
      <c r="K1423" s="99">
        <v>0</v>
      </c>
      <c r="L1423" s="98" t="s">
        <v>225</v>
      </c>
      <c r="M1423" s="98" t="s">
        <v>225</v>
      </c>
      <c r="N1423" s="99">
        <v>0</v>
      </c>
      <c r="O1423" s="100">
        <v>0</v>
      </c>
      <c r="P1423" s="100">
        <v>0</v>
      </c>
      <c r="Q1423" s="100">
        <v>0</v>
      </c>
    </row>
    <row r="1424" spans="1:17" x14ac:dyDescent="0.35">
      <c r="A1424" s="98" t="s">
        <v>36</v>
      </c>
      <c r="B1424" s="98" t="s">
        <v>176</v>
      </c>
      <c r="C1424" s="98" t="s">
        <v>257</v>
      </c>
      <c r="D1424" s="99">
        <v>193756.99999999997</v>
      </c>
      <c r="E1424" s="99">
        <v>211344</v>
      </c>
      <c r="F1424" s="99">
        <v>227379.5</v>
      </c>
      <c r="G1424" s="99">
        <v>0</v>
      </c>
      <c r="H1424" s="98" t="s">
        <v>225</v>
      </c>
      <c r="I1424" s="99">
        <v>6</v>
      </c>
      <c r="J1424" s="98">
        <v>2019</v>
      </c>
      <c r="K1424" s="99">
        <v>6</v>
      </c>
      <c r="L1424" s="98">
        <v>2019</v>
      </c>
      <c r="M1424" s="98" t="s">
        <v>225</v>
      </c>
      <c r="N1424" s="99">
        <v>6</v>
      </c>
      <c r="O1424" s="100">
        <v>0</v>
      </c>
      <c r="P1424" s="100">
        <v>0.28389734272087214</v>
      </c>
      <c r="Q1424" s="100">
        <v>0.26387603104061713</v>
      </c>
    </row>
    <row r="1425" spans="1:17" x14ac:dyDescent="0.35">
      <c r="A1425" s="98" t="s">
        <v>36</v>
      </c>
      <c r="B1425" s="98" t="s">
        <v>176</v>
      </c>
      <c r="C1425" s="98" t="s">
        <v>258</v>
      </c>
      <c r="D1425" s="99">
        <v>193756.99999999997</v>
      </c>
      <c r="E1425" s="99">
        <v>211344</v>
      </c>
      <c r="F1425" s="99">
        <v>227379.5</v>
      </c>
      <c r="G1425" s="99">
        <v>0</v>
      </c>
      <c r="H1425" s="98" t="s">
        <v>225</v>
      </c>
      <c r="I1425" s="99">
        <v>0</v>
      </c>
      <c r="J1425" s="98" t="s">
        <v>225</v>
      </c>
      <c r="K1425" s="99">
        <v>0</v>
      </c>
      <c r="L1425" s="98" t="s">
        <v>225</v>
      </c>
      <c r="M1425" s="98" t="s">
        <v>225</v>
      </c>
      <c r="N1425" s="99">
        <v>0</v>
      </c>
      <c r="O1425" s="100">
        <v>0</v>
      </c>
      <c r="P1425" s="100">
        <v>0</v>
      </c>
      <c r="Q1425" s="100">
        <v>0</v>
      </c>
    </row>
    <row r="1426" spans="1:17" x14ac:dyDescent="0.35">
      <c r="A1426" s="98" t="s">
        <v>36</v>
      </c>
      <c r="B1426" s="98" t="s">
        <v>176</v>
      </c>
      <c r="C1426" s="98" t="s">
        <v>259</v>
      </c>
      <c r="D1426" s="99">
        <v>193756.99999999997</v>
      </c>
      <c r="E1426" s="99">
        <v>211344</v>
      </c>
      <c r="F1426" s="99">
        <v>227379.5</v>
      </c>
      <c r="G1426" s="99">
        <v>0</v>
      </c>
      <c r="H1426" s="98" t="s">
        <v>225</v>
      </c>
      <c r="I1426" s="99">
        <v>0</v>
      </c>
      <c r="J1426" s="98" t="s">
        <v>225</v>
      </c>
      <c r="K1426" s="99">
        <v>0</v>
      </c>
      <c r="L1426" s="98" t="s">
        <v>225</v>
      </c>
      <c r="M1426" s="98" t="s">
        <v>225</v>
      </c>
      <c r="N1426" s="99">
        <v>0</v>
      </c>
      <c r="O1426" s="100">
        <v>0</v>
      </c>
      <c r="P1426" s="100">
        <v>0</v>
      </c>
      <c r="Q1426" s="100">
        <v>0</v>
      </c>
    </row>
    <row r="1427" spans="1:17" x14ac:dyDescent="0.35">
      <c r="A1427" s="98" t="s">
        <v>16</v>
      </c>
      <c r="B1427" s="98" t="s">
        <v>154</v>
      </c>
      <c r="C1427" s="98" t="s">
        <v>246</v>
      </c>
      <c r="D1427" s="99">
        <v>1118318.9999999998</v>
      </c>
      <c r="E1427" s="99">
        <v>1160427.5</v>
      </c>
      <c r="F1427" s="99">
        <v>1201670.4999999995</v>
      </c>
      <c r="G1427" s="99">
        <v>0</v>
      </c>
      <c r="H1427" s="98" t="s">
        <v>225</v>
      </c>
      <c r="I1427" s="99">
        <v>278</v>
      </c>
      <c r="J1427" s="98">
        <v>2018</v>
      </c>
      <c r="K1427" s="99">
        <v>687</v>
      </c>
      <c r="L1427" s="98">
        <v>2022</v>
      </c>
      <c r="M1427" s="98" t="s">
        <v>225</v>
      </c>
      <c r="N1427" s="99">
        <v>687</v>
      </c>
      <c r="O1427" s="100">
        <v>0</v>
      </c>
      <c r="P1427" s="100">
        <v>2.395668837562019</v>
      </c>
      <c r="Q1427" s="100">
        <v>5.7170414019483733</v>
      </c>
    </row>
    <row r="1428" spans="1:17" x14ac:dyDescent="0.35">
      <c r="A1428" s="98" t="s">
        <v>16</v>
      </c>
      <c r="B1428" s="98" t="s">
        <v>154</v>
      </c>
      <c r="C1428" s="98" t="s">
        <v>247</v>
      </c>
      <c r="D1428" s="99">
        <v>1118318.9999999998</v>
      </c>
      <c r="E1428" s="99">
        <v>1160427.5</v>
      </c>
      <c r="F1428" s="99">
        <v>1201670.4999999995</v>
      </c>
      <c r="G1428" s="99">
        <v>0</v>
      </c>
      <c r="H1428" s="98" t="s">
        <v>225</v>
      </c>
      <c r="I1428" s="99">
        <v>211</v>
      </c>
      <c r="J1428" s="98">
        <v>2018</v>
      </c>
      <c r="K1428" s="99">
        <v>623</v>
      </c>
      <c r="L1428" s="98">
        <v>2022</v>
      </c>
      <c r="M1428" s="98" t="s">
        <v>225</v>
      </c>
      <c r="N1428" s="99">
        <v>623</v>
      </c>
      <c r="O1428" s="100">
        <v>0</v>
      </c>
      <c r="P1428" s="100">
        <v>1.8182954126819642</v>
      </c>
      <c r="Q1428" s="100">
        <v>5.1844494809517272</v>
      </c>
    </row>
    <row r="1429" spans="1:17" x14ac:dyDescent="0.35">
      <c r="A1429" s="98" t="s">
        <v>16</v>
      </c>
      <c r="B1429" s="98" t="s">
        <v>154</v>
      </c>
      <c r="C1429" s="98" t="s">
        <v>248</v>
      </c>
      <c r="D1429" s="99">
        <v>1118318.9999999998</v>
      </c>
      <c r="E1429" s="99">
        <v>1160427.5</v>
      </c>
      <c r="F1429" s="99">
        <v>1201670.4999999995</v>
      </c>
      <c r="G1429" s="99">
        <v>0</v>
      </c>
      <c r="H1429" s="98" t="s">
        <v>225</v>
      </c>
      <c r="I1429" s="99">
        <v>67</v>
      </c>
      <c r="J1429" s="98">
        <v>2018</v>
      </c>
      <c r="K1429" s="99">
        <v>29</v>
      </c>
      <c r="L1429" s="98">
        <v>2020</v>
      </c>
      <c r="M1429" s="98" t="s">
        <v>226</v>
      </c>
      <c r="N1429" s="99">
        <v>41.564529501174519</v>
      </c>
      <c r="O1429" s="100">
        <v>0</v>
      </c>
      <c r="P1429" s="100">
        <v>0.57737342488005494</v>
      </c>
      <c r="Q1429" s="100">
        <v>0.3458895720680048</v>
      </c>
    </row>
    <row r="1430" spans="1:17" x14ac:dyDescent="0.35">
      <c r="A1430" s="98" t="s">
        <v>16</v>
      </c>
      <c r="B1430" s="98" t="s">
        <v>154</v>
      </c>
      <c r="C1430" s="98" t="s">
        <v>249</v>
      </c>
      <c r="D1430" s="99">
        <v>1118318.9999999998</v>
      </c>
      <c r="E1430" s="99">
        <v>1160427.5</v>
      </c>
      <c r="F1430" s="99">
        <v>1201670.4999999995</v>
      </c>
      <c r="G1430" s="99">
        <v>3735</v>
      </c>
      <c r="H1430" s="98">
        <v>2013</v>
      </c>
      <c r="I1430" s="99">
        <v>4706</v>
      </c>
      <c r="J1430" s="98">
        <v>2018</v>
      </c>
      <c r="K1430" s="99">
        <v>5242</v>
      </c>
      <c r="L1430" s="98">
        <v>2022</v>
      </c>
      <c r="M1430" s="98" t="s">
        <v>225</v>
      </c>
      <c r="N1430" s="99">
        <v>5242</v>
      </c>
      <c r="O1430" s="100">
        <v>33.398341618089297</v>
      </c>
      <c r="P1430" s="100">
        <v>40.554019962470726</v>
      </c>
      <c r="Q1430" s="100">
        <v>43.622607029131544</v>
      </c>
    </row>
    <row r="1431" spans="1:17" x14ac:dyDescent="0.35">
      <c r="A1431" s="98" t="s">
        <v>16</v>
      </c>
      <c r="B1431" s="98" t="s">
        <v>154</v>
      </c>
      <c r="C1431" s="98" t="s">
        <v>250</v>
      </c>
      <c r="D1431" s="99">
        <v>1118318.9999999998</v>
      </c>
      <c r="E1431" s="99">
        <v>1160427.5</v>
      </c>
      <c r="F1431" s="99">
        <v>1201670.4999999995</v>
      </c>
      <c r="G1431" s="99">
        <v>2926</v>
      </c>
      <c r="H1431" s="98">
        <v>2013</v>
      </c>
      <c r="I1431" s="99">
        <v>3677</v>
      </c>
      <c r="J1431" s="98">
        <v>2018</v>
      </c>
      <c r="K1431" s="99">
        <v>3144</v>
      </c>
      <c r="L1431" s="98">
        <v>2022</v>
      </c>
      <c r="M1431" s="98" t="s">
        <v>226</v>
      </c>
      <c r="N1431" s="99">
        <v>4506.1683017825071</v>
      </c>
      <c r="O1431" s="100">
        <v>26.16426976560356</v>
      </c>
      <c r="P1431" s="100">
        <v>31.686598257969585</v>
      </c>
      <c r="Q1431" s="100">
        <v>37.499200502820941</v>
      </c>
    </row>
    <row r="1432" spans="1:17" x14ac:dyDescent="0.35">
      <c r="A1432" s="98" t="s">
        <v>16</v>
      </c>
      <c r="B1432" s="98" t="s">
        <v>154</v>
      </c>
      <c r="C1432" s="98" t="s">
        <v>251</v>
      </c>
      <c r="D1432" s="99">
        <v>1118318.9999999998</v>
      </c>
      <c r="E1432" s="99">
        <v>1160427.5</v>
      </c>
      <c r="F1432" s="99">
        <v>1201670.4999999995</v>
      </c>
      <c r="G1432" s="99">
        <v>809</v>
      </c>
      <c r="H1432" s="98">
        <v>2013</v>
      </c>
      <c r="I1432" s="99">
        <v>1029</v>
      </c>
      <c r="J1432" s="98">
        <v>2018</v>
      </c>
      <c r="K1432" s="99">
        <v>680</v>
      </c>
      <c r="L1432" s="98">
        <v>2022</v>
      </c>
      <c r="M1432" s="98" t="s">
        <v>226</v>
      </c>
      <c r="N1432" s="99">
        <v>974.61655382064396</v>
      </c>
      <c r="O1432" s="100">
        <v>7.2340718524857417</v>
      </c>
      <c r="P1432" s="100">
        <v>8.8674217045011421</v>
      </c>
      <c r="Q1432" s="100">
        <v>8.1105141036635615</v>
      </c>
    </row>
    <row r="1433" spans="1:17" x14ac:dyDescent="0.35">
      <c r="A1433" s="98" t="s">
        <v>16</v>
      </c>
      <c r="B1433" s="98" t="s">
        <v>154</v>
      </c>
      <c r="C1433" s="98" t="s">
        <v>252</v>
      </c>
      <c r="D1433" s="99">
        <v>1118318.9999999998</v>
      </c>
      <c r="E1433" s="99">
        <v>1160427.5</v>
      </c>
      <c r="F1433" s="99">
        <v>1201670.4999999995</v>
      </c>
      <c r="G1433" s="99">
        <v>0</v>
      </c>
      <c r="H1433" s="98" t="s">
        <v>225</v>
      </c>
      <c r="I1433" s="99">
        <v>14</v>
      </c>
      <c r="J1433" s="98" t="s">
        <v>229</v>
      </c>
      <c r="K1433" s="99">
        <v>14</v>
      </c>
      <c r="L1433" s="98" t="s">
        <v>229</v>
      </c>
      <c r="M1433" s="98" t="s">
        <v>225</v>
      </c>
      <c r="N1433" s="99">
        <v>14</v>
      </c>
      <c r="O1433" s="100">
        <v>0</v>
      </c>
      <c r="P1433" s="100">
        <v>0.12064519325851895</v>
      </c>
      <c r="Q1433" s="100">
        <v>0.11650448271801633</v>
      </c>
    </row>
    <row r="1434" spans="1:17" x14ac:dyDescent="0.35">
      <c r="A1434" s="98" t="s">
        <v>16</v>
      </c>
      <c r="B1434" s="98" t="s">
        <v>154</v>
      </c>
      <c r="C1434" s="98" t="s">
        <v>253</v>
      </c>
      <c r="D1434" s="99">
        <v>1118318.9999999998</v>
      </c>
      <c r="E1434" s="99">
        <v>1160427.5</v>
      </c>
      <c r="F1434" s="99">
        <v>1201670.4999999995</v>
      </c>
      <c r="G1434" s="99">
        <v>0</v>
      </c>
      <c r="H1434" s="98" t="s">
        <v>225</v>
      </c>
      <c r="I1434" s="99">
        <v>14</v>
      </c>
      <c r="J1434" s="98" t="s">
        <v>229</v>
      </c>
      <c r="K1434" s="99">
        <v>14</v>
      </c>
      <c r="L1434" s="98" t="s">
        <v>229</v>
      </c>
      <c r="M1434" s="98" t="s">
        <v>225</v>
      </c>
      <c r="N1434" s="99">
        <v>14</v>
      </c>
      <c r="O1434" s="100">
        <v>0</v>
      </c>
      <c r="P1434" s="100">
        <v>0.12064519325851895</v>
      </c>
      <c r="Q1434" s="100">
        <v>0.11650448271801633</v>
      </c>
    </row>
    <row r="1435" spans="1:17" x14ac:dyDescent="0.35">
      <c r="A1435" s="98" t="s">
        <v>16</v>
      </c>
      <c r="B1435" s="98" t="s">
        <v>154</v>
      </c>
      <c r="C1435" s="98" t="s">
        <v>254</v>
      </c>
      <c r="D1435" s="99">
        <v>1118318.9999999998</v>
      </c>
      <c r="E1435" s="99">
        <v>1160427.5</v>
      </c>
      <c r="F1435" s="99">
        <v>1201670.4999999995</v>
      </c>
      <c r="G1435" s="99">
        <v>0</v>
      </c>
      <c r="H1435" s="98" t="s">
        <v>225</v>
      </c>
      <c r="I1435" s="99">
        <v>0</v>
      </c>
      <c r="J1435" s="98" t="s">
        <v>225</v>
      </c>
      <c r="K1435" s="99">
        <v>0</v>
      </c>
      <c r="L1435" s="98" t="s">
        <v>225</v>
      </c>
      <c r="M1435" s="98" t="s">
        <v>225</v>
      </c>
      <c r="N1435" s="99">
        <v>0</v>
      </c>
      <c r="O1435" s="100">
        <v>0</v>
      </c>
      <c r="P1435" s="100">
        <v>0</v>
      </c>
      <c r="Q1435" s="100">
        <v>0</v>
      </c>
    </row>
    <row r="1436" spans="1:17" x14ac:dyDescent="0.35">
      <c r="A1436" s="98" t="s">
        <v>16</v>
      </c>
      <c r="B1436" s="98" t="s">
        <v>154</v>
      </c>
      <c r="C1436" s="98" t="s">
        <v>255</v>
      </c>
      <c r="D1436" s="99">
        <v>1118318.9999999998</v>
      </c>
      <c r="E1436" s="99">
        <v>1160427.5</v>
      </c>
      <c r="F1436" s="99">
        <v>1201670.4999999995</v>
      </c>
      <c r="G1436" s="99">
        <v>0</v>
      </c>
      <c r="H1436" s="98" t="s">
        <v>225</v>
      </c>
      <c r="I1436" s="99">
        <v>281</v>
      </c>
      <c r="J1436" s="98">
        <v>2018</v>
      </c>
      <c r="K1436" s="99">
        <v>42</v>
      </c>
      <c r="L1436" s="98">
        <v>2022</v>
      </c>
      <c r="M1436" s="98" t="s">
        <v>226</v>
      </c>
      <c r="N1436" s="99">
        <v>60.196904794804482</v>
      </c>
      <c r="O1436" s="100">
        <v>0</v>
      </c>
      <c r="P1436" s="100">
        <v>2.4215213789745591</v>
      </c>
      <c r="Q1436" s="100">
        <v>0.5009435181674553</v>
      </c>
    </row>
    <row r="1437" spans="1:17" x14ac:dyDescent="0.35">
      <c r="A1437" s="98" t="s">
        <v>16</v>
      </c>
      <c r="B1437" s="98" t="s">
        <v>154</v>
      </c>
      <c r="C1437" s="98" t="s">
        <v>256</v>
      </c>
      <c r="D1437" s="99">
        <v>1118318.9999999998</v>
      </c>
      <c r="E1437" s="99">
        <v>1160427.5</v>
      </c>
      <c r="F1437" s="99">
        <v>1201670.4999999995</v>
      </c>
      <c r="G1437" s="99">
        <v>0</v>
      </c>
      <c r="H1437" s="98" t="s">
        <v>225</v>
      </c>
      <c r="I1437" s="99">
        <v>171</v>
      </c>
      <c r="J1437" s="98" t="s">
        <v>229</v>
      </c>
      <c r="K1437" s="99">
        <v>80</v>
      </c>
      <c r="L1437" s="98">
        <v>2020</v>
      </c>
      <c r="M1437" s="98" t="s">
        <v>226</v>
      </c>
      <c r="N1437" s="99">
        <v>114.66077103772281</v>
      </c>
      <c r="O1437" s="100">
        <v>0</v>
      </c>
      <c r="P1437" s="100">
        <v>1.4735948605147673</v>
      </c>
      <c r="Q1437" s="100">
        <v>0.95417812984277195</v>
      </c>
    </row>
    <row r="1438" spans="1:17" x14ac:dyDescent="0.35">
      <c r="A1438" s="98" t="s">
        <v>16</v>
      </c>
      <c r="B1438" s="98" t="s">
        <v>154</v>
      </c>
      <c r="C1438" s="98" t="s">
        <v>257</v>
      </c>
      <c r="D1438" s="99">
        <v>1118318.9999999998</v>
      </c>
      <c r="E1438" s="99">
        <v>1160427.5</v>
      </c>
      <c r="F1438" s="99">
        <v>1201670.4999999995</v>
      </c>
      <c r="G1438" s="99">
        <v>0</v>
      </c>
      <c r="H1438" s="98" t="s">
        <v>225</v>
      </c>
      <c r="I1438" s="99">
        <v>74</v>
      </c>
      <c r="J1438" s="98">
        <v>2018</v>
      </c>
      <c r="K1438" s="99">
        <v>35</v>
      </c>
      <c r="L1438" s="98">
        <v>2022</v>
      </c>
      <c r="M1438" s="98" t="s">
        <v>226</v>
      </c>
      <c r="N1438" s="99">
        <v>50.164087329003735</v>
      </c>
      <c r="O1438" s="100">
        <v>0</v>
      </c>
      <c r="P1438" s="100">
        <v>0.63769602150931448</v>
      </c>
      <c r="Q1438" s="100">
        <v>0.41745293180621268</v>
      </c>
    </row>
    <row r="1439" spans="1:17" x14ac:dyDescent="0.35">
      <c r="A1439" s="98" t="s">
        <v>16</v>
      </c>
      <c r="B1439" s="98" t="s">
        <v>154</v>
      </c>
      <c r="C1439" s="98" t="s">
        <v>258</v>
      </c>
      <c r="D1439" s="99">
        <v>1118318.9999999998</v>
      </c>
      <c r="E1439" s="99">
        <v>1160427.5</v>
      </c>
      <c r="F1439" s="99">
        <v>1201670.4999999995</v>
      </c>
      <c r="G1439" s="99">
        <v>0</v>
      </c>
      <c r="H1439" s="98" t="s">
        <v>225</v>
      </c>
      <c r="I1439" s="99">
        <v>46</v>
      </c>
      <c r="J1439" s="98" t="s">
        <v>229</v>
      </c>
      <c r="K1439" s="99">
        <v>28</v>
      </c>
      <c r="L1439" s="98">
        <v>2020</v>
      </c>
      <c r="M1439" s="98" t="s">
        <v>226</v>
      </c>
      <c r="N1439" s="99">
        <v>40.131269863202988</v>
      </c>
      <c r="O1439" s="100">
        <v>0</v>
      </c>
      <c r="P1439" s="100">
        <v>0.39640563499227655</v>
      </c>
      <c r="Q1439" s="100">
        <v>0.33396234544497017</v>
      </c>
    </row>
    <row r="1440" spans="1:17" x14ac:dyDescent="0.35">
      <c r="A1440" s="98" t="s">
        <v>16</v>
      </c>
      <c r="B1440" s="98" t="s">
        <v>154</v>
      </c>
      <c r="C1440" s="98" t="s">
        <v>259</v>
      </c>
      <c r="D1440" s="99">
        <v>1118318.9999999998</v>
      </c>
      <c r="E1440" s="99">
        <v>1160427.5</v>
      </c>
      <c r="F1440" s="99">
        <v>1201670.4999999995</v>
      </c>
      <c r="G1440" s="99">
        <v>0</v>
      </c>
      <c r="H1440" s="98" t="s">
        <v>225</v>
      </c>
      <c r="I1440" s="99">
        <v>0</v>
      </c>
      <c r="J1440" s="98" t="s">
        <v>225</v>
      </c>
      <c r="K1440" s="99">
        <v>12</v>
      </c>
      <c r="L1440" s="98">
        <v>2020</v>
      </c>
      <c r="M1440" s="98" t="s">
        <v>225</v>
      </c>
      <c r="N1440" s="99">
        <v>12</v>
      </c>
      <c r="O1440" s="100">
        <v>0</v>
      </c>
      <c r="P1440" s="100">
        <v>0</v>
      </c>
      <c r="Q1440" s="100">
        <v>9.9860985186871143E-2</v>
      </c>
    </row>
    <row r="1441" spans="1:17" x14ac:dyDescent="0.35">
      <c r="A1441" s="98" t="s">
        <v>38</v>
      </c>
      <c r="B1441" s="98" t="s">
        <v>178</v>
      </c>
      <c r="C1441" s="98" t="s">
        <v>246</v>
      </c>
      <c r="D1441" s="99">
        <v>96714</v>
      </c>
      <c r="E1441" s="99">
        <v>103101.00000000003</v>
      </c>
      <c r="F1441" s="99">
        <v>107118.5</v>
      </c>
      <c r="G1441" s="99">
        <v>93</v>
      </c>
      <c r="H1441" s="98">
        <v>2012</v>
      </c>
      <c r="I1441" s="99">
        <v>240</v>
      </c>
      <c r="J1441" s="98">
        <v>2018</v>
      </c>
      <c r="K1441" s="99">
        <v>828</v>
      </c>
      <c r="L1441" s="98">
        <v>2022</v>
      </c>
      <c r="M1441" s="98" t="s">
        <v>225</v>
      </c>
      <c r="N1441" s="99">
        <v>828</v>
      </c>
      <c r="O1441" s="100">
        <v>9.6159811402692483</v>
      </c>
      <c r="P1441" s="100">
        <v>23.278144731864863</v>
      </c>
      <c r="Q1441" s="100">
        <v>77.297572314772893</v>
      </c>
    </row>
    <row r="1442" spans="1:17" x14ac:dyDescent="0.35">
      <c r="A1442" s="98" t="s">
        <v>38</v>
      </c>
      <c r="B1442" s="98" t="s">
        <v>178</v>
      </c>
      <c r="C1442" s="98" t="s">
        <v>247</v>
      </c>
      <c r="D1442" s="99">
        <v>96714</v>
      </c>
      <c r="E1442" s="99">
        <v>103101.00000000003</v>
      </c>
      <c r="F1442" s="99">
        <v>107118.5</v>
      </c>
      <c r="G1442" s="99">
        <v>0</v>
      </c>
      <c r="H1442" s="98" t="s">
        <v>225</v>
      </c>
      <c r="I1442" s="99">
        <v>125</v>
      </c>
      <c r="J1442" s="98">
        <v>2018</v>
      </c>
      <c r="K1442" s="99">
        <v>125</v>
      </c>
      <c r="L1442" s="98">
        <v>2022</v>
      </c>
      <c r="M1442" s="98" t="s">
        <v>225</v>
      </c>
      <c r="N1442" s="99">
        <v>125</v>
      </c>
      <c r="O1442" s="100">
        <v>0</v>
      </c>
      <c r="P1442" s="100">
        <v>12.124033714512949</v>
      </c>
      <c r="Q1442" s="100">
        <v>11.669319491964506</v>
      </c>
    </row>
    <row r="1443" spans="1:17" x14ac:dyDescent="0.35">
      <c r="A1443" s="98" t="s">
        <v>38</v>
      </c>
      <c r="B1443" s="98" t="s">
        <v>178</v>
      </c>
      <c r="C1443" s="98" t="s">
        <v>248</v>
      </c>
      <c r="D1443" s="99">
        <v>96714</v>
      </c>
      <c r="E1443" s="99">
        <v>103101.00000000003</v>
      </c>
      <c r="F1443" s="99">
        <v>107118.5</v>
      </c>
      <c r="G1443" s="99">
        <v>0</v>
      </c>
      <c r="H1443" s="98" t="s">
        <v>225</v>
      </c>
      <c r="I1443" s="99">
        <v>115</v>
      </c>
      <c r="J1443" s="98">
        <v>2018</v>
      </c>
      <c r="K1443" s="99">
        <v>346</v>
      </c>
      <c r="L1443" s="98">
        <v>2022</v>
      </c>
      <c r="M1443" s="98" t="s">
        <v>225</v>
      </c>
      <c r="N1443" s="99">
        <v>346</v>
      </c>
      <c r="O1443" s="100">
        <v>0</v>
      </c>
      <c r="P1443" s="100">
        <v>11.154111017351914</v>
      </c>
      <c r="Q1443" s="100">
        <v>32.300676353757751</v>
      </c>
    </row>
    <row r="1444" spans="1:17" x14ac:dyDescent="0.35">
      <c r="A1444" s="98" t="s">
        <v>38</v>
      </c>
      <c r="B1444" s="98" t="s">
        <v>178</v>
      </c>
      <c r="C1444" s="98" t="s">
        <v>249</v>
      </c>
      <c r="D1444" s="99">
        <v>96714</v>
      </c>
      <c r="E1444" s="99">
        <v>103101.00000000003</v>
      </c>
      <c r="F1444" s="99">
        <v>107118.5</v>
      </c>
      <c r="G1444" s="99">
        <v>419</v>
      </c>
      <c r="H1444" s="98">
        <v>2012</v>
      </c>
      <c r="I1444" s="99">
        <v>1272</v>
      </c>
      <c r="J1444" s="98" t="s">
        <v>229</v>
      </c>
      <c r="K1444" s="99">
        <v>1277</v>
      </c>
      <c r="L1444" s="98">
        <v>2022</v>
      </c>
      <c r="M1444" s="98" t="s">
        <v>225</v>
      </c>
      <c r="N1444" s="99">
        <v>1277</v>
      </c>
      <c r="O1444" s="100">
        <v>43.323613954546396</v>
      </c>
      <c r="P1444" s="100">
        <v>123.37416707888377</v>
      </c>
      <c r="Q1444" s="100">
        <v>119.21376792990939</v>
      </c>
    </row>
    <row r="1445" spans="1:17" x14ac:dyDescent="0.35">
      <c r="A1445" s="98" t="s">
        <v>38</v>
      </c>
      <c r="B1445" s="98" t="s">
        <v>178</v>
      </c>
      <c r="C1445" s="98" t="s">
        <v>250</v>
      </c>
      <c r="D1445" s="99">
        <v>96714</v>
      </c>
      <c r="E1445" s="99">
        <v>103101.00000000003</v>
      </c>
      <c r="F1445" s="99">
        <v>107118.5</v>
      </c>
      <c r="G1445" s="99">
        <v>0</v>
      </c>
      <c r="H1445" s="98" t="s">
        <v>225</v>
      </c>
      <c r="I1445" s="99">
        <v>1272</v>
      </c>
      <c r="J1445" s="98" t="s">
        <v>229</v>
      </c>
      <c r="K1445" s="99">
        <v>623</v>
      </c>
      <c r="L1445" s="98">
        <v>2022</v>
      </c>
      <c r="M1445" s="98" t="s">
        <v>226</v>
      </c>
      <c r="N1445" s="99">
        <v>716.01305541161867</v>
      </c>
      <c r="O1445" s="100">
        <v>0</v>
      </c>
      <c r="P1445" s="100">
        <v>123.37416707888377</v>
      </c>
      <c r="Q1445" s="100">
        <v>66.843080832126915</v>
      </c>
    </row>
    <row r="1446" spans="1:17" x14ac:dyDescent="0.35">
      <c r="A1446" s="98" t="s">
        <v>38</v>
      </c>
      <c r="B1446" s="98" t="s">
        <v>178</v>
      </c>
      <c r="C1446" s="98" t="s">
        <v>251</v>
      </c>
      <c r="D1446" s="99">
        <v>96714</v>
      </c>
      <c r="E1446" s="99">
        <v>103101.00000000003</v>
      </c>
      <c r="F1446" s="99">
        <v>107118.5</v>
      </c>
      <c r="G1446" s="99">
        <v>0</v>
      </c>
      <c r="H1446" s="98" t="s">
        <v>225</v>
      </c>
      <c r="I1446" s="99">
        <v>0</v>
      </c>
      <c r="J1446" s="98" t="s">
        <v>225</v>
      </c>
      <c r="K1446" s="99">
        <v>0</v>
      </c>
      <c r="L1446" s="98" t="s">
        <v>225</v>
      </c>
      <c r="M1446" s="98" t="s">
        <v>225</v>
      </c>
      <c r="N1446" s="99">
        <v>0</v>
      </c>
      <c r="O1446" s="100">
        <v>0</v>
      </c>
      <c r="P1446" s="100">
        <v>0</v>
      </c>
      <c r="Q1446" s="100">
        <v>0</v>
      </c>
    </row>
    <row r="1447" spans="1:17" x14ac:dyDescent="0.35">
      <c r="A1447" s="98" t="s">
        <v>38</v>
      </c>
      <c r="B1447" s="98" t="s">
        <v>178</v>
      </c>
      <c r="C1447" s="98" t="s">
        <v>252</v>
      </c>
      <c r="D1447" s="99">
        <v>96714</v>
      </c>
      <c r="E1447" s="99">
        <v>103101.00000000003</v>
      </c>
      <c r="F1447" s="99">
        <v>107118.5</v>
      </c>
      <c r="G1447" s="99">
        <v>0</v>
      </c>
      <c r="H1447" s="98" t="s">
        <v>225</v>
      </c>
      <c r="I1447" s="99">
        <v>158</v>
      </c>
      <c r="J1447" s="98">
        <v>2018</v>
      </c>
      <c r="K1447" s="99">
        <v>156</v>
      </c>
      <c r="L1447" s="98">
        <v>2022</v>
      </c>
      <c r="M1447" s="98" t="s">
        <v>226</v>
      </c>
      <c r="N1447" s="99">
        <v>179.29058851398477</v>
      </c>
      <c r="O1447" s="100">
        <v>0</v>
      </c>
      <c r="P1447" s="100">
        <v>15.324778615144369</v>
      </c>
      <c r="Q1447" s="100">
        <v>16.737593274176241</v>
      </c>
    </row>
    <row r="1448" spans="1:17" x14ac:dyDescent="0.35">
      <c r="A1448" s="98" t="s">
        <v>38</v>
      </c>
      <c r="B1448" s="98" t="s">
        <v>178</v>
      </c>
      <c r="C1448" s="98" t="s">
        <v>253</v>
      </c>
      <c r="D1448" s="99">
        <v>96714</v>
      </c>
      <c r="E1448" s="99">
        <v>103101.00000000003</v>
      </c>
      <c r="F1448" s="99">
        <v>107118.5</v>
      </c>
      <c r="G1448" s="99">
        <v>0</v>
      </c>
      <c r="H1448" s="98" t="s">
        <v>225</v>
      </c>
      <c r="I1448" s="99">
        <v>158</v>
      </c>
      <c r="J1448" s="98">
        <v>2018</v>
      </c>
      <c r="K1448" s="99">
        <v>156</v>
      </c>
      <c r="L1448" s="98">
        <v>2022</v>
      </c>
      <c r="M1448" s="98" t="s">
        <v>226</v>
      </c>
      <c r="N1448" s="99">
        <v>179.29058851398477</v>
      </c>
      <c r="O1448" s="100">
        <v>0</v>
      </c>
      <c r="P1448" s="100">
        <v>15.324778615144369</v>
      </c>
      <c r="Q1448" s="100">
        <v>16.737593274176241</v>
      </c>
    </row>
    <row r="1449" spans="1:17" x14ac:dyDescent="0.35">
      <c r="A1449" s="98" t="s">
        <v>38</v>
      </c>
      <c r="B1449" s="98" t="s">
        <v>178</v>
      </c>
      <c r="C1449" s="98" t="s">
        <v>254</v>
      </c>
      <c r="D1449" s="99">
        <v>96714</v>
      </c>
      <c r="E1449" s="99">
        <v>103101.00000000003</v>
      </c>
      <c r="F1449" s="99">
        <v>107118.5</v>
      </c>
      <c r="G1449" s="99">
        <v>0</v>
      </c>
      <c r="H1449" s="98" t="s">
        <v>225</v>
      </c>
      <c r="I1449" s="99">
        <v>0</v>
      </c>
      <c r="J1449" s="98" t="s">
        <v>225</v>
      </c>
      <c r="K1449" s="99">
        <v>0</v>
      </c>
      <c r="L1449" s="98" t="s">
        <v>225</v>
      </c>
      <c r="M1449" s="98" t="s">
        <v>225</v>
      </c>
      <c r="N1449" s="99">
        <v>0</v>
      </c>
      <c r="O1449" s="100">
        <v>0</v>
      </c>
      <c r="P1449" s="100">
        <v>0</v>
      </c>
      <c r="Q1449" s="100">
        <v>0</v>
      </c>
    </row>
    <row r="1450" spans="1:17" x14ac:dyDescent="0.35">
      <c r="A1450" s="98" t="s">
        <v>38</v>
      </c>
      <c r="B1450" s="98" t="s">
        <v>178</v>
      </c>
      <c r="C1450" s="98" t="s">
        <v>255</v>
      </c>
      <c r="D1450" s="99">
        <v>96714</v>
      </c>
      <c r="E1450" s="99">
        <v>103101.00000000003</v>
      </c>
      <c r="F1450" s="99">
        <v>107118.5</v>
      </c>
      <c r="G1450" s="99">
        <v>4</v>
      </c>
      <c r="H1450" s="98">
        <v>2012</v>
      </c>
      <c r="I1450" s="99">
        <v>124</v>
      </c>
      <c r="J1450" s="98">
        <v>2018</v>
      </c>
      <c r="K1450" s="99">
        <v>61</v>
      </c>
      <c r="L1450" s="98">
        <v>2022</v>
      </c>
      <c r="M1450" s="98" t="s">
        <v>226</v>
      </c>
      <c r="N1450" s="99">
        <v>70.107217303545326</v>
      </c>
      <c r="O1450" s="100">
        <v>0.41359058667824722</v>
      </c>
      <c r="P1450" s="100">
        <v>12.027041444796847</v>
      </c>
      <c r="Q1450" s="100">
        <v>6.5448281392612229</v>
      </c>
    </row>
    <row r="1451" spans="1:17" x14ac:dyDescent="0.35">
      <c r="A1451" s="98" t="s">
        <v>38</v>
      </c>
      <c r="B1451" s="98" t="s">
        <v>178</v>
      </c>
      <c r="C1451" s="98" t="s">
        <v>256</v>
      </c>
      <c r="D1451" s="99">
        <v>96714</v>
      </c>
      <c r="E1451" s="99">
        <v>103101.00000000003</v>
      </c>
      <c r="F1451" s="99">
        <v>107118.5</v>
      </c>
      <c r="G1451" s="99">
        <v>0</v>
      </c>
      <c r="H1451" s="98" t="s">
        <v>225</v>
      </c>
      <c r="I1451" s="99">
        <v>63</v>
      </c>
      <c r="J1451" s="98" t="s">
        <v>229</v>
      </c>
      <c r="K1451" s="99">
        <v>63</v>
      </c>
      <c r="L1451" s="98" t="s">
        <v>229</v>
      </c>
      <c r="M1451" s="98" t="s">
        <v>225</v>
      </c>
      <c r="N1451" s="99">
        <v>63</v>
      </c>
      <c r="O1451" s="100">
        <v>0</v>
      </c>
      <c r="P1451" s="100">
        <v>6.1105129921145265</v>
      </c>
      <c r="Q1451" s="100">
        <v>5.8813370239501115</v>
      </c>
    </row>
    <row r="1452" spans="1:17" x14ac:dyDescent="0.35">
      <c r="A1452" s="98" t="s">
        <v>38</v>
      </c>
      <c r="B1452" s="98" t="s">
        <v>178</v>
      </c>
      <c r="C1452" s="98" t="s">
        <v>257</v>
      </c>
      <c r="D1452" s="99">
        <v>96714</v>
      </c>
      <c r="E1452" s="99">
        <v>103101.00000000003</v>
      </c>
      <c r="F1452" s="99">
        <v>107118.5</v>
      </c>
      <c r="G1452" s="99">
        <v>14</v>
      </c>
      <c r="H1452" s="98">
        <v>2012</v>
      </c>
      <c r="I1452" s="99">
        <v>38</v>
      </c>
      <c r="J1452" s="98" t="s">
        <v>229</v>
      </c>
      <c r="K1452" s="99">
        <v>44</v>
      </c>
      <c r="L1452" s="98">
        <v>2022</v>
      </c>
      <c r="M1452" s="98" t="s">
        <v>225</v>
      </c>
      <c r="N1452" s="99">
        <v>44</v>
      </c>
      <c r="O1452" s="100">
        <v>1.4475670533738652</v>
      </c>
      <c r="P1452" s="100">
        <v>3.6857062492119366</v>
      </c>
      <c r="Q1452" s="100">
        <v>4.107600461171506</v>
      </c>
    </row>
    <row r="1453" spans="1:17" x14ac:dyDescent="0.35">
      <c r="A1453" s="98" t="s">
        <v>38</v>
      </c>
      <c r="B1453" s="98" t="s">
        <v>178</v>
      </c>
      <c r="C1453" s="98" t="s">
        <v>258</v>
      </c>
      <c r="D1453" s="99">
        <v>96714</v>
      </c>
      <c r="E1453" s="99">
        <v>103101.00000000003</v>
      </c>
      <c r="F1453" s="99">
        <v>107118.5</v>
      </c>
      <c r="G1453" s="99">
        <v>0</v>
      </c>
      <c r="H1453" s="98" t="s">
        <v>225</v>
      </c>
      <c r="I1453" s="99">
        <v>125</v>
      </c>
      <c r="J1453" s="98" t="s">
        <v>229</v>
      </c>
      <c r="K1453" s="99">
        <v>114</v>
      </c>
      <c r="L1453" s="98">
        <v>2022</v>
      </c>
      <c r="M1453" s="98" t="s">
        <v>226</v>
      </c>
      <c r="N1453" s="99">
        <v>131.02004545252734</v>
      </c>
      <c r="O1453" s="100">
        <v>0</v>
      </c>
      <c r="P1453" s="100">
        <v>12.124033714512949</v>
      </c>
      <c r="Q1453" s="100">
        <v>12.231318161898024</v>
      </c>
    </row>
    <row r="1454" spans="1:17" x14ac:dyDescent="0.35">
      <c r="A1454" s="98" t="s">
        <v>38</v>
      </c>
      <c r="B1454" s="98" t="s">
        <v>178</v>
      </c>
      <c r="C1454" s="98" t="s">
        <v>259</v>
      </c>
      <c r="D1454" s="99">
        <v>96714</v>
      </c>
      <c r="E1454" s="99">
        <v>103101.00000000003</v>
      </c>
      <c r="F1454" s="99">
        <v>107118.5</v>
      </c>
      <c r="G1454" s="99">
        <v>0</v>
      </c>
      <c r="H1454" s="98" t="s">
        <v>225</v>
      </c>
      <c r="I1454" s="99">
        <v>0</v>
      </c>
      <c r="J1454" s="98" t="s">
        <v>225</v>
      </c>
      <c r="K1454" s="99">
        <v>27</v>
      </c>
      <c r="L1454" s="98">
        <v>2022</v>
      </c>
      <c r="M1454" s="98" t="s">
        <v>225</v>
      </c>
      <c r="N1454" s="99">
        <v>27</v>
      </c>
      <c r="O1454" s="100">
        <v>0</v>
      </c>
      <c r="P1454" s="100">
        <v>0</v>
      </c>
      <c r="Q1454" s="100">
        <v>2.5205730102643336</v>
      </c>
    </row>
    <row r="1455" spans="1:17" x14ac:dyDescent="0.35">
      <c r="A1455" s="98" t="s">
        <v>9</v>
      </c>
      <c r="B1455" s="98" t="s">
        <v>145</v>
      </c>
      <c r="C1455" s="98" t="s">
        <v>246</v>
      </c>
      <c r="D1455" s="99">
        <v>13216766.5</v>
      </c>
      <c r="E1455" s="99">
        <v>15604210</v>
      </c>
      <c r="F1455" s="99">
        <v>17723314.500000004</v>
      </c>
      <c r="G1455" s="99">
        <v>573</v>
      </c>
      <c r="H1455" s="98">
        <v>2013</v>
      </c>
      <c r="I1455" s="99">
        <v>803</v>
      </c>
      <c r="J1455" s="98">
        <v>2018</v>
      </c>
      <c r="K1455" s="99">
        <v>1507</v>
      </c>
      <c r="L1455" s="98">
        <v>2022</v>
      </c>
      <c r="M1455" s="98" t="s">
        <v>225</v>
      </c>
      <c r="N1455" s="99">
        <v>1507</v>
      </c>
      <c r="O1455" s="100">
        <v>0.43354023088778937</v>
      </c>
      <c r="P1455" s="100">
        <v>0.51460471244619244</v>
      </c>
      <c r="Q1455" s="100">
        <v>0.85029242131882254</v>
      </c>
    </row>
    <row r="1456" spans="1:17" x14ac:dyDescent="0.35">
      <c r="A1456" s="98" t="s">
        <v>9</v>
      </c>
      <c r="B1456" s="98" t="s">
        <v>145</v>
      </c>
      <c r="C1456" s="98" t="s">
        <v>247</v>
      </c>
      <c r="D1456" s="99">
        <v>13216766.5</v>
      </c>
      <c r="E1456" s="99">
        <v>15604210</v>
      </c>
      <c r="F1456" s="99">
        <v>17723314.500000004</v>
      </c>
      <c r="G1456" s="99">
        <v>0</v>
      </c>
      <c r="H1456" s="98" t="s">
        <v>225</v>
      </c>
      <c r="I1456" s="99">
        <v>646</v>
      </c>
      <c r="J1456" s="98">
        <v>2018</v>
      </c>
      <c r="K1456" s="99">
        <v>1197</v>
      </c>
      <c r="L1456" s="98">
        <v>2022</v>
      </c>
      <c r="M1456" s="98" t="s">
        <v>225</v>
      </c>
      <c r="N1456" s="99">
        <v>1197</v>
      </c>
      <c r="O1456" s="100">
        <v>0</v>
      </c>
      <c r="P1456" s="100">
        <v>0.41399083965160682</v>
      </c>
      <c r="Q1456" s="100">
        <v>0.67538157154520939</v>
      </c>
    </row>
    <row r="1457" spans="1:17" x14ac:dyDescent="0.35">
      <c r="A1457" s="98" t="s">
        <v>9</v>
      </c>
      <c r="B1457" s="98" t="s">
        <v>145</v>
      </c>
      <c r="C1457" s="98" t="s">
        <v>248</v>
      </c>
      <c r="D1457" s="99">
        <v>13216766.5</v>
      </c>
      <c r="E1457" s="99">
        <v>15604210</v>
      </c>
      <c r="F1457" s="99">
        <v>17723314.500000004</v>
      </c>
      <c r="G1457" s="99">
        <v>0</v>
      </c>
      <c r="H1457" s="98" t="s">
        <v>225</v>
      </c>
      <c r="I1457" s="99">
        <v>157</v>
      </c>
      <c r="J1457" s="98">
        <v>2018</v>
      </c>
      <c r="K1457" s="99">
        <v>310</v>
      </c>
      <c r="L1457" s="98">
        <v>2022</v>
      </c>
      <c r="M1457" s="98" t="s">
        <v>225</v>
      </c>
      <c r="N1457" s="99">
        <v>310</v>
      </c>
      <c r="O1457" s="100">
        <v>0</v>
      </c>
      <c r="P1457" s="100">
        <v>0.10061387279458556</v>
      </c>
      <c r="Q1457" s="100">
        <v>0.17491084977361313</v>
      </c>
    </row>
    <row r="1458" spans="1:17" x14ac:dyDescent="0.35">
      <c r="A1458" s="98" t="s">
        <v>9</v>
      </c>
      <c r="B1458" s="98" t="s">
        <v>145</v>
      </c>
      <c r="C1458" s="98" t="s">
        <v>249</v>
      </c>
      <c r="D1458" s="99">
        <v>13216766.5</v>
      </c>
      <c r="E1458" s="99">
        <v>15604210</v>
      </c>
      <c r="F1458" s="99">
        <v>17723314.500000004</v>
      </c>
      <c r="G1458" s="99">
        <v>3606</v>
      </c>
      <c r="H1458" s="98">
        <v>2013</v>
      </c>
      <c r="I1458" s="99">
        <v>4799</v>
      </c>
      <c r="J1458" s="98">
        <v>2018</v>
      </c>
      <c r="K1458" s="99">
        <v>2933</v>
      </c>
      <c r="L1458" s="98">
        <v>2022</v>
      </c>
      <c r="M1458" s="98" t="s">
        <v>226</v>
      </c>
      <c r="N1458" s="99">
        <v>3387.151734852408</v>
      </c>
      <c r="O1458" s="100">
        <v>2.7283526572100674</v>
      </c>
      <c r="P1458" s="100">
        <v>3.0754520735109305</v>
      </c>
      <c r="Q1458" s="100">
        <v>1.9111277040490406</v>
      </c>
    </row>
    <row r="1459" spans="1:17" x14ac:dyDescent="0.35">
      <c r="A1459" s="98" t="s">
        <v>9</v>
      </c>
      <c r="B1459" s="98" t="s">
        <v>145</v>
      </c>
      <c r="C1459" s="98" t="s">
        <v>250</v>
      </c>
      <c r="D1459" s="99">
        <v>13216766.5</v>
      </c>
      <c r="E1459" s="99">
        <v>15604210</v>
      </c>
      <c r="F1459" s="99">
        <v>17723314.500000004</v>
      </c>
      <c r="G1459" s="99">
        <v>0</v>
      </c>
      <c r="H1459" s="98" t="s">
        <v>225</v>
      </c>
      <c r="I1459" s="99">
        <v>1787</v>
      </c>
      <c r="J1459" s="98" t="s">
        <v>229</v>
      </c>
      <c r="K1459" s="99">
        <v>1668</v>
      </c>
      <c r="L1459" s="98">
        <v>2022</v>
      </c>
      <c r="M1459" s="98" t="s">
        <v>226</v>
      </c>
      <c r="N1459" s="99">
        <v>1926.2765406525116</v>
      </c>
      <c r="O1459" s="100">
        <v>0</v>
      </c>
      <c r="P1459" s="100">
        <v>1.1452037623179898</v>
      </c>
      <c r="Q1459" s="100">
        <v>1.0868602149177633</v>
      </c>
    </row>
    <row r="1460" spans="1:17" x14ac:dyDescent="0.35">
      <c r="A1460" s="98" t="s">
        <v>9</v>
      </c>
      <c r="B1460" s="98" t="s">
        <v>145</v>
      </c>
      <c r="C1460" s="98" t="s">
        <v>251</v>
      </c>
      <c r="D1460" s="99">
        <v>13216766.5</v>
      </c>
      <c r="E1460" s="99">
        <v>15604210</v>
      </c>
      <c r="F1460" s="99">
        <v>17723314.500000004</v>
      </c>
      <c r="G1460" s="99">
        <v>0</v>
      </c>
      <c r="H1460" s="98" t="s">
        <v>225</v>
      </c>
      <c r="I1460" s="99">
        <v>2076</v>
      </c>
      <c r="J1460" s="98" t="s">
        <v>229</v>
      </c>
      <c r="K1460" s="99">
        <v>1265</v>
      </c>
      <c r="L1460" s="98">
        <v>2022</v>
      </c>
      <c r="M1460" s="98" t="s">
        <v>226</v>
      </c>
      <c r="N1460" s="99">
        <v>1460.8751941998964</v>
      </c>
      <c r="O1460" s="100">
        <v>0</v>
      </c>
      <c r="P1460" s="100">
        <v>1.3304101905831824</v>
      </c>
      <c r="Q1460" s="100">
        <v>0.82426748913127734</v>
      </c>
    </row>
    <row r="1461" spans="1:17" x14ac:dyDescent="0.35">
      <c r="A1461" s="98" t="s">
        <v>9</v>
      </c>
      <c r="B1461" s="98" t="s">
        <v>145</v>
      </c>
      <c r="C1461" s="98" t="s">
        <v>252</v>
      </c>
      <c r="D1461" s="99">
        <v>13216766.5</v>
      </c>
      <c r="E1461" s="99">
        <v>15604210</v>
      </c>
      <c r="F1461" s="99">
        <v>17723314.500000004</v>
      </c>
      <c r="G1461" s="99">
        <v>451</v>
      </c>
      <c r="H1461" s="98">
        <v>2013</v>
      </c>
      <c r="I1461" s="99">
        <v>936</v>
      </c>
      <c r="J1461" s="98" t="s">
        <v>229</v>
      </c>
      <c r="K1461" s="99">
        <v>783</v>
      </c>
      <c r="L1461" s="98">
        <v>2022</v>
      </c>
      <c r="M1461" s="98" t="s">
        <v>226</v>
      </c>
      <c r="N1461" s="99">
        <v>904.24132573795964</v>
      </c>
      <c r="O1461" s="100">
        <v>0.3412332358296562</v>
      </c>
      <c r="P1461" s="100">
        <v>0.5998381206097585</v>
      </c>
      <c r="Q1461" s="100">
        <v>0.51019876995240343</v>
      </c>
    </row>
    <row r="1462" spans="1:17" x14ac:dyDescent="0.35">
      <c r="A1462" s="98" t="s">
        <v>9</v>
      </c>
      <c r="B1462" s="98" t="s">
        <v>145</v>
      </c>
      <c r="C1462" s="98" t="s">
        <v>253</v>
      </c>
      <c r="D1462" s="99">
        <v>13216766.5</v>
      </c>
      <c r="E1462" s="99">
        <v>15604210</v>
      </c>
      <c r="F1462" s="99">
        <v>17723314.500000004</v>
      </c>
      <c r="G1462" s="99">
        <v>0</v>
      </c>
      <c r="H1462" s="98" t="s">
        <v>225</v>
      </c>
      <c r="I1462" s="99">
        <v>744</v>
      </c>
      <c r="J1462" s="98" t="s">
        <v>229</v>
      </c>
      <c r="K1462" s="99">
        <v>657</v>
      </c>
      <c r="L1462" s="98">
        <v>2022</v>
      </c>
      <c r="M1462" s="98" t="s">
        <v>226</v>
      </c>
      <c r="N1462" s="99">
        <v>758.73122734334538</v>
      </c>
      <c r="O1462" s="100">
        <v>0</v>
      </c>
      <c r="P1462" s="100">
        <v>0.47679440356160291</v>
      </c>
      <c r="Q1462" s="100">
        <v>0.42809781846580963</v>
      </c>
    </row>
    <row r="1463" spans="1:17" x14ac:dyDescent="0.35">
      <c r="A1463" s="98" t="s">
        <v>9</v>
      </c>
      <c r="B1463" s="98" t="s">
        <v>145</v>
      </c>
      <c r="C1463" s="98" t="s">
        <v>254</v>
      </c>
      <c r="D1463" s="99">
        <v>13216766.5</v>
      </c>
      <c r="E1463" s="99">
        <v>15604210</v>
      </c>
      <c r="F1463" s="99">
        <v>17723314.500000004</v>
      </c>
      <c r="G1463" s="99">
        <v>0</v>
      </c>
      <c r="H1463" s="98" t="s">
        <v>225</v>
      </c>
      <c r="I1463" s="99">
        <v>192</v>
      </c>
      <c r="J1463" s="98" t="s">
        <v>229</v>
      </c>
      <c r="K1463" s="99">
        <v>126</v>
      </c>
      <c r="L1463" s="98">
        <v>2022</v>
      </c>
      <c r="M1463" s="98" t="s">
        <v>226</v>
      </c>
      <c r="N1463" s="99">
        <v>145.5100983946142</v>
      </c>
      <c r="O1463" s="100">
        <v>0</v>
      </c>
      <c r="P1463" s="100">
        <v>0.12304371704815559</v>
      </c>
      <c r="Q1463" s="100">
        <v>8.2100951486593646E-2</v>
      </c>
    </row>
    <row r="1464" spans="1:17" x14ac:dyDescent="0.35">
      <c r="A1464" s="98" t="s">
        <v>9</v>
      </c>
      <c r="B1464" s="98" t="s">
        <v>145</v>
      </c>
      <c r="C1464" s="98" t="s">
        <v>255</v>
      </c>
      <c r="D1464" s="99">
        <v>13216766.5</v>
      </c>
      <c r="E1464" s="99">
        <v>15604210</v>
      </c>
      <c r="F1464" s="99">
        <v>17723314.500000004</v>
      </c>
      <c r="G1464" s="99">
        <v>72</v>
      </c>
      <c r="H1464" s="98">
        <v>2013</v>
      </c>
      <c r="I1464" s="99">
        <v>269</v>
      </c>
      <c r="J1464" s="98">
        <v>2018</v>
      </c>
      <c r="K1464" s="99">
        <v>163</v>
      </c>
      <c r="L1464" s="98">
        <v>2022</v>
      </c>
      <c r="M1464" s="98" t="s">
        <v>226</v>
      </c>
      <c r="N1464" s="99">
        <v>188.23925427239772</v>
      </c>
      <c r="O1464" s="100">
        <v>5.4476259378570396E-2</v>
      </c>
      <c r="P1464" s="100">
        <v>0.17238937440600965</v>
      </c>
      <c r="Q1464" s="100">
        <v>0.10620996105011717</v>
      </c>
    </row>
    <row r="1465" spans="1:17" x14ac:dyDescent="0.35">
      <c r="A1465" s="98" t="s">
        <v>9</v>
      </c>
      <c r="B1465" s="98" t="s">
        <v>145</v>
      </c>
      <c r="C1465" s="98" t="s">
        <v>256</v>
      </c>
      <c r="D1465" s="99">
        <v>13216766.5</v>
      </c>
      <c r="E1465" s="99">
        <v>15604210</v>
      </c>
      <c r="F1465" s="99">
        <v>17723314.500000004</v>
      </c>
      <c r="G1465" s="99">
        <v>0</v>
      </c>
      <c r="H1465" s="98" t="s">
        <v>225</v>
      </c>
      <c r="I1465" s="99">
        <v>171</v>
      </c>
      <c r="J1465" s="98" t="s">
        <v>229</v>
      </c>
      <c r="K1465" s="99">
        <v>320</v>
      </c>
      <c r="L1465" s="98">
        <v>2022</v>
      </c>
      <c r="M1465" s="98" t="s">
        <v>225</v>
      </c>
      <c r="N1465" s="99">
        <v>320</v>
      </c>
      <c r="O1465" s="100">
        <v>0</v>
      </c>
      <c r="P1465" s="100">
        <v>0.10958581049601357</v>
      </c>
      <c r="Q1465" s="100">
        <v>0.1805531352501813</v>
      </c>
    </row>
    <row r="1466" spans="1:17" x14ac:dyDescent="0.35">
      <c r="A1466" s="98" t="s">
        <v>9</v>
      </c>
      <c r="B1466" s="98" t="s">
        <v>145</v>
      </c>
      <c r="C1466" s="98" t="s">
        <v>257</v>
      </c>
      <c r="D1466" s="99">
        <v>13216766.5</v>
      </c>
      <c r="E1466" s="99">
        <v>15604210</v>
      </c>
      <c r="F1466" s="99">
        <v>17723314.500000004</v>
      </c>
      <c r="G1466" s="99">
        <v>0</v>
      </c>
      <c r="H1466" s="98" t="s">
        <v>225</v>
      </c>
      <c r="I1466" s="99">
        <v>3</v>
      </c>
      <c r="J1466" s="98">
        <v>2018</v>
      </c>
      <c r="K1466" s="99">
        <v>21</v>
      </c>
      <c r="L1466" s="98">
        <v>2022</v>
      </c>
      <c r="M1466" s="98" t="s">
        <v>225</v>
      </c>
      <c r="N1466" s="99">
        <v>21</v>
      </c>
      <c r="O1466" s="100">
        <v>0</v>
      </c>
      <c r="P1466" s="100">
        <v>1.9225580788774311E-3</v>
      </c>
      <c r="Q1466" s="100">
        <v>1.1848799500793148E-2</v>
      </c>
    </row>
    <row r="1467" spans="1:17" x14ac:dyDescent="0.35">
      <c r="A1467" s="98" t="s">
        <v>9</v>
      </c>
      <c r="B1467" s="98" t="s">
        <v>145</v>
      </c>
      <c r="C1467" s="98" t="s">
        <v>258</v>
      </c>
      <c r="D1467" s="99">
        <v>13216766.5</v>
      </c>
      <c r="E1467" s="99">
        <v>15604210</v>
      </c>
      <c r="F1467" s="99">
        <v>17723314.500000004</v>
      </c>
      <c r="G1467" s="99">
        <v>0</v>
      </c>
      <c r="H1467" s="98" t="s">
        <v>225</v>
      </c>
      <c r="I1467" s="99">
        <v>11</v>
      </c>
      <c r="J1467" s="98">
        <v>2019</v>
      </c>
      <c r="K1467" s="99">
        <v>11</v>
      </c>
      <c r="L1467" s="98">
        <v>2021</v>
      </c>
      <c r="M1467" s="98" t="s">
        <v>225</v>
      </c>
      <c r="N1467" s="99">
        <v>11</v>
      </c>
      <c r="O1467" s="100">
        <v>0</v>
      </c>
      <c r="P1467" s="100">
        <v>7.0493796225505811E-3</v>
      </c>
      <c r="Q1467" s="100">
        <v>6.206514024224982E-3</v>
      </c>
    </row>
    <row r="1468" spans="1:17" x14ac:dyDescent="0.35">
      <c r="A1468" s="98" t="s">
        <v>9</v>
      </c>
      <c r="B1468" s="98" t="s">
        <v>145</v>
      </c>
      <c r="C1468" s="98" t="s">
        <v>259</v>
      </c>
      <c r="D1468" s="99">
        <v>13216766.5</v>
      </c>
      <c r="E1468" s="99">
        <v>15604210</v>
      </c>
      <c r="F1468" s="99">
        <v>17723314.500000004</v>
      </c>
      <c r="G1468" s="99">
        <v>0</v>
      </c>
      <c r="H1468" s="98" t="s">
        <v>225</v>
      </c>
      <c r="I1468" s="99">
        <v>0</v>
      </c>
      <c r="J1468" s="98" t="s">
        <v>225</v>
      </c>
      <c r="K1468" s="99">
        <v>0</v>
      </c>
      <c r="L1468" s="98" t="s">
        <v>225</v>
      </c>
      <c r="M1468" s="98" t="s">
        <v>225</v>
      </c>
      <c r="N1468" s="99">
        <v>0</v>
      </c>
      <c r="O1468" s="100">
        <v>0</v>
      </c>
      <c r="P1468" s="100">
        <v>0</v>
      </c>
      <c r="Q1468" s="100">
        <v>0</v>
      </c>
    </row>
    <row r="1469" spans="1:17" x14ac:dyDescent="0.35">
      <c r="A1469" s="98" t="s">
        <v>43</v>
      </c>
      <c r="B1469" s="98" t="s">
        <v>182</v>
      </c>
      <c r="C1469" s="98" t="s">
        <v>246</v>
      </c>
      <c r="D1469" s="99">
        <v>7106229</v>
      </c>
      <c r="E1469" s="99">
        <v>8046679</v>
      </c>
      <c r="F1469" s="99">
        <v>8848698.5000000019</v>
      </c>
      <c r="G1469" s="99">
        <v>361</v>
      </c>
      <c r="H1469" s="98">
        <v>2015</v>
      </c>
      <c r="I1469" s="99">
        <v>611</v>
      </c>
      <c r="J1469" s="98">
        <v>2018</v>
      </c>
      <c r="K1469" s="99">
        <v>730</v>
      </c>
      <c r="L1469" s="98">
        <v>2022</v>
      </c>
      <c r="M1469" s="98" t="s">
        <v>225</v>
      </c>
      <c r="N1469" s="99">
        <v>730</v>
      </c>
      <c r="O1469" s="100">
        <v>0.5080050192584562</v>
      </c>
      <c r="P1469" s="100">
        <v>0.75931946583180465</v>
      </c>
      <c r="Q1469" s="100">
        <v>0.82498008040391457</v>
      </c>
    </row>
    <row r="1470" spans="1:17" x14ac:dyDescent="0.35">
      <c r="A1470" s="98" t="s">
        <v>43</v>
      </c>
      <c r="B1470" s="98" t="s">
        <v>182</v>
      </c>
      <c r="C1470" s="98" t="s">
        <v>247</v>
      </c>
      <c r="D1470" s="99">
        <v>7106229</v>
      </c>
      <c r="E1470" s="99">
        <v>8046679</v>
      </c>
      <c r="F1470" s="99">
        <v>8848698.5000000019</v>
      </c>
      <c r="G1470" s="99">
        <v>97</v>
      </c>
      <c r="H1470" s="98">
        <v>2015</v>
      </c>
      <c r="I1470" s="99">
        <v>230</v>
      </c>
      <c r="J1470" s="98">
        <v>2017</v>
      </c>
      <c r="K1470" s="99">
        <v>331</v>
      </c>
      <c r="L1470" s="98">
        <v>2022</v>
      </c>
      <c r="M1470" s="98" t="s">
        <v>225</v>
      </c>
      <c r="N1470" s="99">
        <v>331</v>
      </c>
      <c r="O1470" s="100">
        <v>0.13649996362346331</v>
      </c>
      <c r="P1470" s="100">
        <v>0.28583220481393629</v>
      </c>
      <c r="Q1470" s="100">
        <v>0.37406631042972016</v>
      </c>
    </row>
    <row r="1471" spans="1:17" x14ac:dyDescent="0.35">
      <c r="A1471" s="98" t="s">
        <v>43</v>
      </c>
      <c r="B1471" s="98" t="s">
        <v>182</v>
      </c>
      <c r="C1471" s="98" t="s">
        <v>248</v>
      </c>
      <c r="D1471" s="99">
        <v>7106229</v>
      </c>
      <c r="E1471" s="99">
        <v>8046679</v>
      </c>
      <c r="F1471" s="99">
        <v>8848698.5000000019</v>
      </c>
      <c r="G1471" s="99">
        <v>264</v>
      </c>
      <c r="H1471" s="98">
        <v>2015</v>
      </c>
      <c r="I1471" s="99">
        <v>392</v>
      </c>
      <c r="J1471" s="98">
        <v>2018</v>
      </c>
      <c r="K1471" s="99">
        <v>399</v>
      </c>
      <c r="L1471" s="98">
        <v>2022</v>
      </c>
      <c r="M1471" s="98" t="s">
        <v>225</v>
      </c>
      <c r="N1471" s="99">
        <v>399</v>
      </c>
      <c r="O1471" s="100">
        <v>0.37150505563499292</v>
      </c>
      <c r="P1471" s="100">
        <v>0.48715749690027399</v>
      </c>
      <c r="Q1471" s="100">
        <v>0.45091376997419441</v>
      </c>
    </row>
    <row r="1472" spans="1:17" x14ac:dyDescent="0.35">
      <c r="A1472" s="98" t="s">
        <v>43</v>
      </c>
      <c r="B1472" s="98" t="s">
        <v>182</v>
      </c>
      <c r="C1472" s="98" t="s">
        <v>249</v>
      </c>
      <c r="D1472" s="99">
        <v>7106229</v>
      </c>
      <c r="E1472" s="99">
        <v>8046679</v>
      </c>
      <c r="F1472" s="99">
        <v>8848698.5000000019</v>
      </c>
      <c r="G1472" s="99">
        <v>1341</v>
      </c>
      <c r="H1472" s="98">
        <v>2015</v>
      </c>
      <c r="I1472" s="99">
        <v>1966</v>
      </c>
      <c r="J1472" s="98">
        <v>2017</v>
      </c>
      <c r="K1472" s="99">
        <v>2630</v>
      </c>
      <c r="L1472" s="98">
        <v>2022</v>
      </c>
      <c r="M1472" s="98" t="s">
        <v>225</v>
      </c>
      <c r="N1472" s="99">
        <v>2630</v>
      </c>
      <c r="O1472" s="100">
        <v>1.8870768166913845</v>
      </c>
      <c r="P1472" s="100">
        <v>2.443243976800864</v>
      </c>
      <c r="Q1472" s="100">
        <v>2.9721885088524593</v>
      </c>
    </row>
    <row r="1473" spans="1:17" x14ac:dyDescent="0.35">
      <c r="A1473" s="98" t="s">
        <v>43</v>
      </c>
      <c r="B1473" s="98" t="s">
        <v>182</v>
      </c>
      <c r="C1473" s="98" t="s">
        <v>250</v>
      </c>
      <c r="D1473" s="99">
        <v>7106229</v>
      </c>
      <c r="E1473" s="99">
        <v>8046679</v>
      </c>
      <c r="F1473" s="99">
        <v>8848698.5000000019</v>
      </c>
      <c r="G1473" s="99">
        <v>0</v>
      </c>
      <c r="H1473" s="98" t="s">
        <v>225</v>
      </c>
      <c r="I1473" s="99">
        <v>1204</v>
      </c>
      <c r="J1473" s="98">
        <v>2017</v>
      </c>
      <c r="K1473" s="99">
        <v>1699</v>
      </c>
      <c r="L1473" s="98">
        <v>2022</v>
      </c>
      <c r="M1473" s="98" t="s">
        <v>225</v>
      </c>
      <c r="N1473" s="99">
        <v>1699</v>
      </c>
      <c r="O1473" s="100">
        <v>0</v>
      </c>
      <c r="P1473" s="100">
        <v>1.4962694547651274</v>
      </c>
      <c r="Q1473" s="100">
        <v>1.9200563789126726</v>
      </c>
    </row>
    <row r="1474" spans="1:17" x14ac:dyDescent="0.35">
      <c r="A1474" s="98" t="s">
        <v>43</v>
      </c>
      <c r="B1474" s="98" t="s">
        <v>182</v>
      </c>
      <c r="C1474" s="98" t="s">
        <v>251</v>
      </c>
      <c r="D1474" s="99">
        <v>7106229</v>
      </c>
      <c r="E1474" s="99">
        <v>8046679</v>
      </c>
      <c r="F1474" s="99">
        <v>8848698.5000000019</v>
      </c>
      <c r="G1474" s="99">
        <v>0</v>
      </c>
      <c r="H1474" s="98" t="s">
        <v>225</v>
      </c>
      <c r="I1474" s="99">
        <v>925</v>
      </c>
      <c r="J1474" s="98">
        <v>2018</v>
      </c>
      <c r="K1474" s="99">
        <v>931</v>
      </c>
      <c r="L1474" s="98">
        <v>2022</v>
      </c>
      <c r="M1474" s="98" t="s">
        <v>225</v>
      </c>
      <c r="N1474" s="99">
        <v>931</v>
      </c>
      <c r="O1474" s="100">
        <v>0</v>
      </c>
      <c r="P1474" s="100">
        <v>1.1495425628386569</v>
      </c>
      <c r="Q1474" s="100">
        <v>1.052132129939787</v>
      </c>
    </row>
    <row r="1475" spans="1:17" x14ac:dyDescent="0.35">
      <c r="A1475" s="98" t="s">
        <v>43</v>
      </c>
      <c r="B1475" s="98" t="s">
        <v>182</v>
      </c>
      <c r="C1475" s="98" t="s">
        <v>252</v>
      </c>
      <c r="D1475" s="99">
        <v>7106229</v>
      </c>
      <c r="E1475" s="99">
        <v>8046679</v>
      </c>
      <c r="F1475" s="99">
        <v>8848698.5000000019</v>
      </c>
      <c r="G1475" s="99">
        <v>795</v>
      </c>
      <c r="H1475" s="98">
        <v>2013</v>
      </c>
      <c r="I1475" s="99">
        <v>1285</v>
      </c>
      <c r="J1475" s="98">
        <v>2018</v>
      </c>
      <c r="K1475" s="99">
        <v>1864</v>
      </c>
      <c r="L1475" s="98">
        <v>2022</v>
      </c>
      <c r="M1475" s="98" t="s">
        <v>225</v>
      </c>
      <c r="N1475" s="99">
        <v>1864</v>
      </c>
      <c r="O1475" s="100">
        <v>1.1187368152644672</v>
      </c>
      <c r="P1475" s="100">
        <v>1.5969321008082962</v>
      </c>
      <c r="Q1475" s="100">
        <v>2.1065244792779407</v>
      </c>
    </row>
    <row r="1476" spans="1:17" x14ac:dyDescent="0.35">
      <c r="A1476" s="98" t="s">
        <v>43</v>
      </c>
      <c r="B1476" s="98" t="s">
        <v>182</v>
      </c>
      <c r="C1476" s="98" t="s">
        <v>253</v>
      </c>
      <c r="D1476" s="99">
        <v>7106229</v>
      </c>
      <c r="E1476" s="99">
        <v>8046679</v>
      </c>
      <c r="F1476" s="99">
        <v>8848698.5000000019</v>
      </c>
      <c r="G1476" s="99">
        <v>396</v>
      </c>
      <c r="H1476" s="98">
        <v>2013</v>
      </c>
      <c r="I1476" s="99">
        <v>655</v>
      </c>
      <c r="J1476" s="98">
        <v>2018</v>
      </c>
      <c r="K1476" s="99">
        <v>1043</v>
      </c>
      <c r="L1476" s="98">
        <v>2022</v>
      </c>
      <c r="M1476" s="98" t="s">
        <v>225</v>
      </c>
      <c r="N1476" s="99">
        <v>1043</v>
      </c>
      <c r="O1476" s="100">
        <v>0.55725758345248932</v>
      </c>
      <c r="P1476" s="100">
        <v>0.81400040936142726</v>
      </c>
      <c r="Q1476" s="100">
        <v>1.1787044162483327</v>
      </c>
    </row>
    <row r="1477" spans="1:17" x14ac:dyDescent="0.35">
      <c r="A1477" s="98" t="s">
        <v>43</v>
      </c>
      <c r="B1477" s="98" t="s">
        <v>182</v>
      </c>
      <c r="C1477" s="98" t="s">
        <v>254</v>
      </c>
      <c r="D1477" s="99">
        <v>7106229</v>
      </c>
      <c r="E1477" s="99">
        <v>8046679</v>
      </c>
      <c r="F1477" s="99">
        <v>8848698.5000000019</v>
      </c>
      <c r="G1477" s="99">
        <v>399</v>
      </c>
      <c r="H1477" s="98">
        <v>2013</v>
      </c>
      <c r="I1477" s="99">
        <v>630</v>
      </c>
      <c r="J1477" s="98">
        <v>2018</v>
      </c>
      <c r="K1477" s="99">
        <v>821</v>
      </c>
      <c r="L1477" s="98">
        <v>2022</v>
      </c>
      <c r="M1477" s="98" t="s">
        <v>225</v>
      </c>
      <c r="N1477" s="99">
        <v>821</v>
      </c>
      <c r="O1477" s="100">
        <v>0.5614792318119779</v>
      </c>
      <c r="P1477" s="100">
        <v>0.78293169144686892</v>
      </c>
      <c r="Q1477" s="100">
        <v>0.92782006302960807</v>
      </c>
    </row>
    <row r="1478" spans="1:17" x14ac:dyDescent="0.35">
      <c r="A1478" s="98" t="s">
        <v>43</v>
      </c>
      <c r="B1478" s="98" t="s">
        <v>182</v>
      </c>
      <c r="C1478" s="98" t="s">
        <v>255</v>
      </c>
      <c r="D1478" s="99">
        <v>7106229</v>
      </c>
      <c r="E1478" s="99">
        <v>8046679</v>
      </c>
      <c r="F1478" s="99">
        <v>8848698.5000000019</v>
      </c>
      <c r="G1478" s="99">
        <v>17</v>
      </c>
      <c r="H1478" s="98">
        <v>2015</v>
      </c>
      <c r="I1478" s="99">
        <v>226</v>
      </c>
      <c r="J1478" s="98" t="s">
        <v>229</v>
      </c>
      <c r="K1478" s="99">
        <v>255</v>
      </c>
      <c r="L1478" s="98">
        <v>2022</v>
      </c>
      <c r="M1478" s="98" t="s">
        <v>225</v>
      </c>
      <c r="N1478" s="99">
        <v>255</v>
      </c>
      <c r="O1478" s="100">
        <v>2.3922674037101816E-2</v>
      </c>
      <c r="P1478" s="100">
        <v>0.28086120994760694</v>
      </c>
      <c r="Q1478" s="100">
        <v>0.28817797329177841</v>
      </c>
    </row>
    <row r="1479" spans="1:17" x14ac:dyDescent="0.35">
      <c r="A1479" s="98" t="s">
        <v>43</v>
      </c>
      <c r="B1479" s="98" t="s">
        <v>182</v>
      </c>
      <c r="C1479" s="98" t="s">
        <v>256</v>
      </c>
      <c r="D1479" s="99">
        <v>7106229</v>
      </c>
      <c r="E1479" s="99">
        <v>8046679</v>
      </c>
      <c r="F1479" s="99">
        <v>8848698.5000000019</v>
      </c>
      <c r="G1479" s="99">
        <v>0</v>
      </c>
      <c r="H1479" s="98" t="s">
        <v>225</v>
      </c>
      <c r="I1479" s="99">
        <v>3</v>
      </c>
      <c r="J1479" s="98">
        <v>2017</v>
      </c>
      <c r="K1479" s="99">
        <v>73</v>
      </c>
      <c r="L1479" s="98">
        <v>2022</v>
      </c>
      <c r="M1479" s="98" t="s">
        <v>225</v>
      </c>
      <c r="N1479" s="99">
        <v>73</v>
      </c>
      <c r="O1479" s="100">
        <v>0</v>
      </c>
      <c r="P1479" s="100">
        <v>3.7282461497469949E-3</v>
      </c>
      <c r="Q1479" s="100">
        <v>8.2498008040391466E-2</v>
      </c>
    </row>
    <row r="1480" spans="1:17" x14ac:dyDescent="0.35">
      <c r="A1480" s="98" t="s">
        <v>43</v>
      </c>
      <c r="B1480" s="98" t="s">
        <v>182</v>
      </c>
      <c r="C1480" s="98" t="s">
        <v>257</v>
      </c>
      <c r="D1480" s="99">
        <v>7106229</v>
      </c>
      <c r="E1480" s="99">
        <v>8046679</v>
      </c>
      <c r="F1480" s="99">
        <v>8848698.5000000019</v>
      </c>
      <c r="G1480" s="99">
        <v>18</v>
      </c>
      <c r="H1480" s="98">
        <v>2015</v>
      </c>
      <c r="I1480" s="99">
        <v>21</v>
      </c>
      <c r="J1480" s="98">
        <v>2018</v>
      </c>
      <c r="K1480" s="99">
        <v>18</v>
      </c>
      <c r="L1480" s="98">
        <v>2022</v>
      </c>
      <c r="M1480" s="98" t="s">
        <v>226</v>
      </c>
      <c r="N1480" s="99">
        <v>21.759416355615883</v>
      </c>
      <c r="O1480" s="100">
        <v>2.5329890156931333E-2</v>
      </c>
      <c r="P1480" s="100">
        <v>2.6097723048228966E-2</v>
      </c>
      <c r="Q1480" s="100">
        <v>2.4590527472052391E-2</v>
      </c>
    </row>
    <row r="1481" spans="1:17" x14ac:dyDescent="0.35">
      <c r="A1481" s="98" t="s">
        <v>43</v>
      </c>
      <c r="B1481" s="98" t="s">
        <v>182</v>
      </c>
      <c r="C1481" s="98" t="s">
        <v>258</v>
      </c>
      <c r="D1481" s="99">
        <v>7106229</v>
      </c>
      <c r="E1481" s="99">
        <v>8046679</v>
      </c>
      <c r="F1481" s="99">
        <v>8848698.5000000019</v>
      </c>
      <c r="G1481" s="99">
        <v>0</v>
      </c>
      <c r="H1481" s="98" t="s">
        <v>225</v>
      </c>
      <c r="I1481" s="99">
        <v>25</v>
      </c>
      <c r="J1481" s="98">
        <v>2019</v>
      </c>
      <c r="K1481" s="99">
        <v>1</v>
      </c>
      <c r="L1481" s="98">
        <v>2022</v>
      </c>
      <c r="M1481" s="98" t="s">
        <v>226</v>
      </c>
      <c r="N1481" s="99">
        <v>1.2088564642008823</v>
      </c>
      <c r="O1481" s="100">
        <v>0</v>
      </c>
      <c r="P1481" s="100">
        <v>3.1068717914558293E-2</v>
      </c>
      <c r="Q1481" s="100">
        <v>1.3661404151140216E-3</v>
      </c>
    </row>
    <row r="1482" spans="1:17" x14ac:dyDescent="0.35">
      <c r="A1482" s="98" t="s">
        <v>43</v>
      </c>
      <c r="B1482" s="98" t="s">
        <v>182</v>
      </c>
      <c r="C1482" s="98" t="s">
        <v>259</v>
      </c>
      <c r="D1482" s="99">
        <v>7106229</v>
      </c>
      <c r="E1482" s="99">
        <v>8046679</v>
      </c>
      <c r="F1482" s="99">
        <v>8848698.5000000019</v>
      </c>
      <c r="G1482" s="99">
        <v>0</v>
      </c>
      <c r="H1482" s="98" t="s">
        <v>225</v>
      </c>
      <c r="I1482" s="99">
        <v>62</v>
      </c>
      <c r="J1482" s="98">
        <v>2018</v>
      </c>
      <c r="K1482" s="99">
        <v>69</v>
      </c>
      <c r="L1482" s="98">
        <v>2021</v>
      </c>
      <c r="M1482" s="98" t="s">
        <v>225</v>
      </c>
      <c r="N1482" s="99">
        <v>69</v>
      </c>
      <c r="O1482" s="100">
        <v>0</v>
      </c>
      <c r="P1482" s="100">
        <v>7.705042042810456E-2</v>
      </c>
      <c r="Q1482" s="100">
        <v>7.7977569243657674E-2</v>
      </c>
    </row>
    <row r="1483" spans="1:17" x14ac:dyDescent="0.35">
      <c r="A1483" s="98" t="s">
        <v>42</v>
      </c>
      <c r="B1483" s="98" t="s">
        <v>184</v>
      </c>
      <c r="C1483" s="98" t="s">
        <v>246</v>
      </c>
      <c r="D1483" s="99">
        <v>49253643.5</v>
      </c>
      <c r="E1483" s="99">
        <v>58090443.000000007</v>
      </c>
      <c r="F1483" s="99">
        <v>65497748.000000045</v>
      </c>
      <c r="G1483" s="99">
        <v>1481</v>
      </c>
      <c r="H1483" s="98">
        <v>2012</v>
      </c>
      <c r="I1483" s="99">
        <v>2885</v>
      </c>
      <c r="J1483" s="98">
        <v>2018</v>
      </c>
      <c r="K1483" s="99">
        <v>8693</v>
      </c>
      <c r="L1483" s="98">
        <v>2022</v>
      </c>
      <c r="M1483" s="98" t="s">
        <v>225</v>
      </c>
      <c r="N1483" s="99">
        <v>8693</v>
      </c>
      <c r="O1483" s="100">
        <v>0.30068841506111116</v>
      </c>
      <c r="P1483" s="100">
        <v>0.49663935253514929</v>
      </c>
      <c r="Q1483" s="100">
        <v>1.3272212046130187</v>
      </c>
    </row>
    <row r="1484" spans="1:17" x14ac:dyDescent="0.35">
      <c r="A1484" s="98" t="s">
        <v>42</v>
      </c>
      <c r="B1484" s="98" t="s">
        <v>184</v>
      </c>
      <c r="C1484" s="98" t="s">
        <v>247</v>
      </c>
      <c r="D1484" s="99">
        <v>49253643.5</v>
      </c>
      <c r="E1484" s="99">
        <v>58090443.000000007</v>
      </c>
      <c r="F1484" s="99">
        <v>65497748.000000045</v>
      </c>
      <c r="G1484" s="99">
        <v>0</v>
      </c>
      <c r="H1484" s="98" t="s">
        <v>225</v>
      </c>
      <c r="I1484" s="99">
        <v>2434</v>
      </c>
      <c r="J1484" s="98">
        <v>2018</v>
      </c>
      <c r="K1484" s="99">
        <v>6701</v>
      </c>
      <c r="L1484" s="98">
        <v>2022</v>
      </c>
      <c r="M1484" s="98" t="s">
        <v>225</v>
      </c>
      <c r="N1484" s="99">
        <v>6701</v>
      </c>
      <c r="O1484" s="100">
        <v>0</v>
      </c>
      <c r="P1484" s="100">
        <v>0.41900179690487122</v>
      </c>
      <c r="Q1484" s="100">
        <v>1.0230886106191004</v>
      </c>
    </row>
    <row r="1485" spans="1:17" x14ac:dyDescent="0.35">
      <c r="A1485" s="98" t="s">
        <v>42</v>
      </c>
      <c r="B1485" s="98" t="s">
        <v>184</v>
      </c>
      <c r="C1485" s="98" t="s">
        <v>248</v>
      </c>
      <c r="D1485" s="99">
        <v>49253643.5</v>
      </c>
      <c r="E1485" s="99">
        <v>58090443.000000007</v>
      </c>
      <c r="F1485" s="99">
        <v>65497748.000000045</v>
      </c>
      <c r="G1485" s="99">
        <v>929</v>
      </c>
      <c r="H1485" s="98">
        <v>2014</v>
      </c>
      <c r="I1485" s="99">
        <v>451</v>
      </c>
      <c r="J1485" s="98">
        <v>2018</v>
      </c>
      <c r="K1485" s="99">
        <v>1992</v>
      </c>
      <c r="L1485" s="98">
        <v>2022</v>
      </c>
      <c r="M1485" s="98" t="s">
        <v>225</v>
      </c>
      <c r="N1485" s="99">
        <v>1992</v>
      </c>
      <c r="O1485" s="100">
        <v>0.18861548790801638</v>
      </c>
      <c r="P1485" s="100">
        <v>7.7637555630278104E-2</v>
      </c>
      <c r="Q1485" s="100">
        <v>0.30413259399391851</v>
      </c>
    </row>
    <row r="1486" spans="1:17" x14ac:dyDescent="0.35">
      <c r="A1486" s="98" t="s">
        <v>42</v>
      </c>
      <c r="B1486" s="98" t="s">
        <v>184</v>
      </c>
      <c r="C1486" s="98" t="s">
        <v>249</v>
      </c>
      <c r="D1486" s="99">
        <v>49253643.5</v>
      </c>
      <c r="E1486" s="99">
        <v>58090443.000000007</v>
      </c>
      <c r="F1486" s="99">
        <v>65497748.000000045</v>
      </c>
      <c r="G1486" s="99">
        <v>20800</v>
      </c>
      <c r="H1486" s="98">
        <v>2012</v>
      </c>
      <c r="I1486" s="99">
        <v>31940</v>
      </c>
      <c r="J1486" s="98">
        <v>2017</v>
      </c>
      <c r="K1486" s="99">
        <v>31940</v>
      </c>
      <c r="L1486" s="98">
        <v>2017</v>
      </c>
      <c r="M1486" s="98" t="s">
        <v>225</v>
      </c>
      <c r="N1486" s="99">
        <v>31940</v>
      </c>
      <c r="O1486" s="100">
        <v>4.2230378347542956</v>
      </c>
      <c r="P1486" s="100">
        <v>5.4983226759004049</v>
      </c>
      <c r="Q1486" s="100">
        <v>4.8765035402438537</v>
      </c>
    </row>
    <row r="1487" spans="1:17" x14ac:dyDescent="0.35">
      <c r="A1487" s="98" t="s">
        <v>42</v>
      </c>
      <c r="B1487" s="98" t="s">
        <v>184</v>
      </c>
      <c r="C1487" s="98" t="s">
        <v>250</v>
      </c>
      <c r="D1487" s="99">
        <v>49253643.5</v>
      </c>
      <c r="E1487" s="99">
        <v>58090443.000000007</v>
      </c>
      <c r="F1487" s="99">
        <v>65497748.000000045</v>
      </c>
      <c r="G1487" s="99">
        <v>0</v>
      </c>
      <c r="H1487" s="98" t="s">
        <v>225</v>
      </c>
      <c r="I1487" s="99">
        <v>10589</v>
      </c>
      <c r="J1487" s="98">
        <v>2017</v>
      </c>
      <c r="K1487" s="99">
        <v>10589</v>
      </c>
      <c r="L1487" s="98">
        <v>2017</v>
      </c>
      <c r="M1487" s="98" t="s">
        <v>225</v>
      </c>
      <c r="N1487" s="99">
        <v>10589</v>
      </c>
      <c r="O1487" s="100">
        <v>0</v>
      </c>
      <c r="P1487" s="100">
        <v>1.8228471764279708</v>
      </c>
      <c r="Q1487" s="100">
        <v>1.6166968061253026</v>
      </c>
    </row>
    <row r="1488" spans="1:17" x14ac:dyDescent="0.35">
      <c r="A1488" s="98" t="s">
        <v>42</v>
      </c>
      <c r="B1488" s="98" t="s">
        <v>184</v>
      </c>
      <c r="C1488" s="98" t="s">
        <v>251</v>
      </c>
      <c r="D1488" s="99">
        <v>49253643.5</v>
      </c>
      <c r="E1488" s="99">
        <v>58090443.000000007</v>
      </c>
      <c r="F1488" s="99">
        <v>65497748.000000045</v>
      </c>
      <c r="G1488" s="99">
        <v>0</v>
      </c>
      <c r="H1488" s="98" t="s">
        <v>225</v>
      </c>
      <c r="I1488" s="99">
        <v>21351</v>
      </c>
      <c r="J1488" s="98">
        <v>2017</v>
      </c>
      <c r="K1488" s="99">
        <v>21351</v>
      </c>
      <c r="L1488" s="98">
        <v>2017</v>
      </c>
      <c r="M1488" s="98" t="s">
        <v>225</v>
      </c>
      <c r="N1488" s="99">
        <v>21351</v>
      </c>
      <c r="O1488" s="100">
        <v>0</v>
      </c>
      <c r="P1488" s="100">
        <v>3.6754754994724341</v>
      </c>
      <c r="Q1488" s="100">
        <v>3.259806734118551</v>
      </c>
    </row>
    <row r="1489" spans="1:17" x14ac:dyDescent="0.35">
      <c r="A1489" s="98" t="s">
        <v>42</v>
      </c>
      <c r="B1489" s="98" t="s">
        <v>184</v>
      </c>
      <c r="C1489" s="98" t="s">
        <v>252</v>
      </c>
      <c r="D1489" s="99">
        <v>49253643.5</v>
      </c>
      <c r="E1489" s="99">
        <v>58090443.000000007</v>
      </c>
      <c r="F1489" s="99">
        <v>65497748.000000045</v>
      </c>
      <c r="G1489" s="99">
        <v>0</v>
      </c>
      <c r="H1489" s="98" t="s">
        <v>225</v>
      </c>
      <c r="I1489" s="99">
        <v>0</v>
      </c>
      <c r="J1489" s="98" t="s">
        <v>225</v>
      </c>
      <c r="K1489" s="99">
        <v>0</v>
      </c>
      <c r="L1489" s="98" t="s">
        <v>225</v>
      </c>
      <c r="M1489" s="98" t="s">
        <v>225</v>
      </c>
      <c r="N1489" s="99">
        <v>0</v>
      </c>
      <c r="O1489" s="100">
        <v>0</v>
      </c>
      <c r="P1489" s="100">
        <v>0</v>
      </c>
      <c r="Q1489" s="100">
        <v>0</v>
      </c>
    </row>
    <row r="1490" spans="1:17" x14ac:dyDescent="0.35">
      <c r="A1490" s="98" t="s">
        <v>42</v>
      </c>
      <c r="B1490" s="98" t="s">
        <v>184</v>
      </c>
      <c r="C1490" s="98" t="s">
        <v>253</v>
      </c>
      <c r="D1490" s="99">
        <v>49253643.5</v>
      </c>
      <c r="E1490" s="99">
        <v>58090443.000000007</v>
      </c>
      <c r="F1490" s="99">
        <v>65497748.000000045</v>
      </c>
      <c r="G1490" s="99">
        <v>0</v>
      </c>
      <c r="H1490" s="98" t="s">
        <v>225</v>
      </c>
      <c r="I1490" s="99">
        <v>0</v>
      </c>
      <c r="J1490" s="98" t="s">
        <v>225</v>
      </c>
      <c r="K1490" s="99">
        <v>0</v>
      </c>
      <c r="L1490" s="98" t="s">
        <v>225</v>
      </c>
      <c r="M1490" s="98" t="s">
        <v>225</v>
      </c>
      <c r="N1490" s="99">
        <v>0</v>
      </c>
      <c r="O1490" s="100">
        <v>0</v>
      </c>
      <c r="P1490" s="100">
        <v>0</v>
      </c>
      <c r="Q1490" s="100">
        <v>0</v>
      </c>
    </row>
    <row r="1491" spans="1:17" x14ac:dyDescent="0.35">
      <c r="A1491" s="98" t="s">
        <v>42</v>
      </c>
      <c r="B1491" s="98" t="s">
        <v>184</v>
      </c>
      <c r="C1491" s="98" t="s">
        <v>254</v>
      </c>
      <c r="D1491" s="99">
        <v>49253643.5</v>
      </c>
      <c r="E1491" s="99">
        <v>58090443.000000007</v>
      </c>
      <c r="F1491" s="99">
        <v>65497748.000000045</v>
      </c>
      <c r="G1491" s="99">
        <v>0</v>
      </c>
      <c r="H1491" s="98" t="s">
        <v>225</v>
      </c>
      <c r="I1491" s="99">
        <v>0</v>
      </c>
      <c r="J1491" s="98" t="s">
        <v>225</v>
      </c>
      <c r="K1491" s="99">
        <v>0</v>
      </c>
      <c r="L1491" s="98" t="s">
        <v>225</v>
      </c>
      <c r="M1491" s="98" t="s">
        <v>225</v>
      </c>
      <c r="N1491" s="99">
        <v>0</v>
      </c>
      <c r="O1491" s="100">
        <v>0</v>
      </c>
      <c r="P1491" s="100">
        <v>0</v>
      </c>
      <c r="Q1491" s="100">
        <v>0</v>
      </c>
    </row>
    <row r="1492" spans="1:17" x14ac:dyDescent="0.35">
      <c r="A1492" s="98" t="s">
        <v>42</v>
      </c>
      <c r="B1492" s="98" t="s">
        <v>184</v>
      </c>
      <c r="C1492" s="98" t="s">
        <v>255</v>
      </c>
      <c r="D1492" s="99">
        <v>49253643.5</v>
      </c>
      <c r="E1492" s="99">
        <v>58090443.000000007</v>
      </c>
      <c r="F1492" s="99">
        <v>65497748.000000045</v>
      </c>
      <c r="G1492" s="99">
        <v>339</v>
      </c>
      <c r="H1492" s="98">
        <v>2012</v>
      </c>
      <c r="I1492" s="99">
        <v>1845</v>
      </c>
      <c r="J1492" s="98">
        <v>2018</v>
      </c>
      <c r="K1492" s="99">
        <v>1746</v>
      </c>
      <c r="L1492" s="98">
        <v>2022</v>
      </c>
      <c r="M1492" s="98" t="s">
        <v>226</v>
      </c>
      <c r="N1492" s="99">
        <v>2261.9470224210058</v>
      </c>
      <c r="O1492" s="100">
        <v>6.8827395479889725E-2</v>
      </c>
      <c r="P1492" s="100">
        <v>0.31760818212386499</v>
      </c>
      <c r="Q1492" s="100">
        <v>0.34534729689042198</v>
      </c>
    </row>
    <row r="1493" spans="1:17" x14ac:dyDescent="0.35">
      <c r="A1493" s="98" t="s">
        <v>42</v>
      </c>
      <c r="B1493" s="98" t="s">
        <v>184</v>
      </c>
      <c r="C1493" s="98" t="s">
        <v>256</v>
      </c>
      <c r="D1493" s="99">
        <v>49253643.5</v>
      </c>
      <c r="E1493" s="99">
        <v>58090443.000000007</v>
      </c>
      <c r="F1493" s="99">
        <v>65497748.000000045</v>
      </c>
      <c r="G1493" s="99">
        <v>317</v>
      </c>
      <c r="H1493" s="98">
        <v>2012</v>
      </c>
      <c r="I1493" s="99">
        <v>1246</v>
      </c>
      <c r="J1493" s="98" t="s">
        <v>229</v>
      </c>
      <c r="K1493" s="99">
        <v>5583</v>
      </c>
      <c r="L1493" s="98">
        <v>2022</v>
      </c>
      <c r="M1493" s="98" t="s">
        <v>225</v>
      </c>
      <c r="N1493" s="99">
        <v>5583</v>
      </c>
      <c r="O1493" s="100">
        <v>6.4360720846976527E-2</v>
      </c>
      <c r="P1493" s="100">
        <v>0.2144931137812118</v>
      </c>
      <c r="Q1493" s="100">
        <v>0.85239571901006372</v>
      </c>
    </row>
    <row r="1494" spans="1:17" x14ac:dyDescent="0.35">
      <c r="A1494" s="98" t="s">
        <v>42</v>
      </c>
      <c r="B1494" s="98" t="s">
        <v>184</v>
      </c>
      <c r="C1494" s="98" t="s">
        <v>257</v>
      </c>
      <c r="D1494" s="99">
        <v>49253643.5</v>
      </c>
      <c r="E1494" s="99">
        <v>58090443.000000007</v>
      </c>
      <c r="F1494" s="99">
        <v>65497748.000000045</v>
      </c>
      <c r="G1494" s="99">
        <v>99</v>
      </c>
      <c r="H1494" s="98">
        <v>2012</v>
      </c>
      <c r="I1494" s="99">
        <v>682</v>
      </c>
      <c r="J1494" s="98">
        <v>2018</v>
      </c>
      <c r="K1494" s="99">
        <v>583</v>
      </c>
      <c r="L1494" s="98">
        <v>2022</v>
      </c>
      <c r="M1494" s="98" t="s">
        <v>226</v>
      </c>
      <c r="N1494" s="99">
        <v>755.27784311079404</v>
      </c>
      <c r="O1494" s="100">
        <v>2.010003584810939E-2</v>
      </c>
      <c r="P1494" s="100">
        <v>0.11740313290432298</v>
      </c>
      <c r="Q1494" s="100">
        <v>0.11531355904187629</v>
      </c>
    </row>
    <row r="1495" spans="1:17" x14ac:dyDescent="0.35">
      <c r="A1495" s="98" t="s">
        <v>42</v>
      </c>
      <c r="B1495" s="98" t="s">
        <v>184</v>
      </c>
      <c r="C1495" s="98" t="s">
        <v>258</v>
      </c>
      <c r="D1495" s="99">
        <v>49253643.5</v>
      </c>
      <c r="E1495" s="99">
        <v>58090443.000000007</v>
      </c>
      <c r="F1495" s="99">
        <v>65497748.000000045</v>
      </c>
      <c r="G1495" s="99">
        <v>366</v>
      </c>
      <c r="H1495" s="98">
        <v>2012</v>
      </c>
      <c r="I1495" s="99">
        <v>768</v>
      </c>
      <c r="J1495" s="98">
        <v>2018</v>
      </c>
      <c r="K1495" s="99">
        <v>449</v>
      </c>
      <c r="L1495" s="98">
        <v>2022</v>
      </c>
      <c r="M1495" s="98" t="s">
        <v>226</v>
      </c>
      <c r="N1495" s="99">
        <v>581.68053440265271</v>
      </c>
      <c r="O1495" s="100">
        <v>7.4309223438465008E-2</v>
      </c>
      <c r="P1495" s="100">
        <v>0.13220763353448689</v>
      </c>
      <c r="Q1495" s="100">
        <v>8.8809241869300962E-2</v>
      </c>
    </row>
    <row r="1496" spans="1:17" x14ac:dyDescent="0.35">
      <c r="A1496" s="98" t="s">
        <v>42</v>
      </c>
      <c r="B1496" s="98" t="s">
        <v>184</v>
      </c>
      <c r="C1496" s="98" t="s">
        <v>259</v>
      </c>
      <c r="D1496" s="99">
        <v>49253643.5</v>
      </c>
      <c r="E1496" s="99">
        <v>58090443.000000007</v>
      </c>
      <c r="F1496" s="99">
        <v>65497748.000000045</v>
      </c>
      <c r="G1496" s="99">
        <v>0</v>
      </c>
      <c r="H1496" s="98" t="s">
        <v>225</v>
      </c>
      <c r="I1496" s="99">
        <v>0</v>
      </c>
      <c r="J1496" s="98" t="s">
        <v>225</v>
      </c>
      <c r="K1496" s="99">
        <v>0</v>
      </c>
      <c r="L1496" s="98" t="s">
        <v>225</v>
      </c>
      <c r="M1496" s="98" t="s">
        <v>225</v>
      </c>
      <c r="N1496" s="99">
        <v>0</v>
      </c>
      <c r="O1496" s="100">
        <v>0</v>
      </c>
      <c r="P1496" s="100">
        <v>0</v>
      </c>
      <c r="Q1496" s="100">
        <v>0</v>
      </c>
    </row>
    <row r="1497" spans="1:17" x14ac:dyDescent="0.35">
      <c r="A1497" s="98" t="s">
        <v>44</v>
      </c>
      <c r="B1497" s="98" t="s">
        <v>183</v>
      </c>
      <c r="C1497" s="98" t="s">
        <v>246</v>
      </c>
      <c r="D1497" s="99">
        <v>35273569.999999993</v>
      </c>
      <c r="E1497" s="99">
        <v>41515395.000000015</v>
      </c>
      <c r="F1497" s="99">
        <v>47249584.999999978</v>
      </c>
      <c r="G1497" s="99">
        <v>3370</v>
      </c>
      <c r="H1497" s="98">
        <v>2012</v>
      </c>
      <c r="I1497" s="99">
        <v>17186</v>
      </c>
      <c r="J1497" s="98" t="s">
        <v>229</v>
      </c>
      <c r="K1497" s="99">
        <v>7941</v>
      </c>
      <c r="L1497" s="98">
        <v>2022</v>
      </c>
      <c r="M1497" s="98" t="s">
        <v>226</v>
      </c>
      <c r="N1497" s="99">
        <v>9051.7813279678066</v>
      </c>
      <c r="O1497" s="100">
        <v>0.95538954520339181</v>
      </c>
      <c r="P1497" s="100">
        <v>4.139669151648441</v>
      </c>
      <c r="Q1497" s="100">
        <v>1.9157377420283819</v>
      </c>
    </row>
    <row r="1498" spans="1:17" x14ac:dyDescent="0.35">
      <c r="A1498" s="98" t="s">
        <v>44</v>
      </c>
      <c r="B1498" s="98" t="s">
        <v>183</v>
      </c>
      <c r="C1498" s="98" t="s">
        <v>247</v>
      </c>
      <c r="D1498" s="99">
        <v>35273569.999999993</v>
      </c>
      <c r="E1498" s="99">
        <v>41515395.000000015</v>
      </c>
      <c r="F1498" s="99">
        <v>47249584.999999978</v>
      </c>
      <c r="G1498" s="99">
        <v>0</v>
      </c>
      <c r="H1498" s="98" t="s">
        <v>225</v>
      </c>
      <c r="I1498" s="99">
        <v>17007</v>
      </c>
      <c r="J1498" s="98" t="s">
        <v>229</v>
      </c>
      <c r="K1498" s="99">
        <v>6369</v>
      </c>
      <c r="L1498" s="98">
        <v>2022</v>
      </c>
      <c r="M1498" s="98" t="s">
        <v>226</v>
      </c>
      <c r="N1498" s="99">
        <v>7259.8911066398387</v>
      </c>
      <c r="O1498" s="100">
        <v>0</v>
      </c>
      <c r="P1498" s="100">
        <v>4.0965526162041801</v>
      </c>
      <c r="Q1498" s="100">
        <v>1.5364983854651511</v>
      </c>
    </row>
    <row r="1499" spans="1:17" x14ac:dyDescent="0.35">
      <c r="A1499" s="98" t="s">
        <v>44</v>
      </c>
      <c r="B1499" s="98" t="s">
        <v>183</v>
      </c>
      <c r="C1499" s="98" t="s">
        <v>248</v>
      </c>
      <c r="D1499" s="99">
        <v>35273569.999999993</v>
      </c>
      <c r="E1499" s="99">
        <v>41515395.000000015</v>
      </c>
      <c r="F1499" s="99">
        <v>47249584.999999978</v>
      </c>
      <c r="G1499" s="99">
        <v>0</v>
      </c>
      <c r="H1499" s="98" t="s">
        <v>225</v>
      </c>
      <c r="I1499" s="99">
        <v>179</v>
      </c>
      <c r="J1499" s="98" t="s">
        <v>229</v>
      </c>
      <c r="K1499" s="99">
        <v>1572</v>
      </c>
      <c r="L1499" s="98">
        <v>2022</v>
      </c>
      <c r="M1499" s="98" t="s">
        <v>225</v>
      </c>
      <c r="N1499" s="99">
        <v>1572</v>
      </c>
      <c r="O1499" s="100">
        <v>0</v>
      </c>
      <c r="P1499" s="100">
        <v>4.3116535444261084E-2</v>
      </c>
      <c r="Q1499" s="100">
        <v>0.33270133483712094</v>
      </c>
    </row>
    <row r="1500" spans="1:17" x14ac:dyDescent="0.35">
      <c r="A1500" s="98" t="s">
        <v>44</v>
      </c>
      <c r="B1500" s="98" t="s">
        <v>183</v>
      </c>
      <c r="C1500" s="98" t="s">
        <v>249</v>
      </c>
      <c r="D1500" s="99">
        <v>35273569.999999993</v>
      </c>
      <c r="E1500" s="99">
        <v>41515395.000000015</v>
      </c>
      <c r="F1500" s="99">
        <v>47249584.999999978</v>
      </c>
      <c r="G1500" s="99">
        <v>40149</v>
      </c>
      <c r="H1500" s="98">
        <v>2013</v>
      </c>
      <c r="I1500" s="99">
        <v>52907</v>
      </c>
      <c r="J1500" s="98">
        <v>2018</v>
      </c>
      <c r="K1500" s="99">
        <v>74197</v>
      </c>
      <c r="L1500" s="98">
        <v>2022</v>
      </c>
      <c r="M1500" s="98" t="s">
        <v>225</v>
      </c>
      <c r="N1500" s="99">
        <v>74197</v>
      </c>
      <c r="O1500" s="100">
        <v>11.382176513463198</v>
      </c>
      <c r="P1500" s="100">
        <v>12.743947155025257</v>
      </c>
      <c r="Q1500" s="100">
        <v>15.703206705413399</v>
      </c>
    </row>
    <row r="1501" spans="1:17" x14ac:dyDescent="0.35">
      <c r="A1501" s="98" t="s">
        <v>44</v>
      </c>
      <c r="B1501" s="98" t="s">
        <v>183</v>
      </c>
      <c r="C1501" s="98" t="s">
        <v>250</v>
      </c>
      <c r="D1501" s="99">
        <v>35273569.999999993</v>
      </c>
      <c r="E1501" s="99">
        <v>41515395.000000015</v>
      </c>
      <c r="F1501" s="99">
        <v>47249584.999999978</v>
      </c>
      <c r="G1501" s="99">
        <v>14303</v>
      </c>
      <c r="H1501" s="98">
        <v>2013</v>
      </c>
      <c r="I1501" s="99">
        <v>5026</v>
      </c>
      <c r="J1501" s="98">
        <v>2018</v>
      </c>
      <c r="K1501" s="99">
        <v>5026</v>
      </c>
      <c r="L1501" s="98">
        <v>2018</v>
      </c>
      <c r="M1501" s="98" t="s">
        <v>225</v>
      </c>
      <c r="N1501" s="99">
        <v>5026</v>
      </c>
      <c r="O1501" s="100">
        <v>4.0548773486777785</v>
      </c>
      <c r="P1501" s="100">
        <v>1.2106352354349508</v>
      </c>
      <c r="Q1501" s="100">
        <v>1.063713046368556</v>
      </c>
    </row>
    <row r="1502" spans="1:17" x14ac:dyDescent="0.35">
      <c r="A1502" s="98" t="s">
        <v>44</v>
      </c>
      <c r="B1502" s="98" t="s">
        <v>183</v>
      </c>
      <c r="C1502" s="98" t="s">
        <v>251</v>
      </c>
      <c r="D1502" s="99">
        <v>35273569.999999993</v>
      </c>
      <c r="E1502" s="99">
        <v>41515395.000000015</v>
      </c>
      <c r="F1502" s="99">
        <v>47249584.999999978</v>
      </c>
      <c r="G1502" s="99">
        <v>25846</v>
      </c>
      <c r="H1502" s="98">
        <v>2013</v>
      </c>
      <c r="I1502" s="99">
        <v>47881</v>
      </c>
      <c r="J1502" s="98">
        <v>2018</v>
      </c>
      <c r="K1502" s="99">
        <v>21425</v>
      </c>
      <c r="L1502" s="98">
        <v>2022</v>
      </c>
      <c r="M1502" s="98" t="s">
        <v>226</v>
      </c>
      <c r="N1502" s="99">
        <v>24421.913480885312</v>
      </c>
      <c r="O1502" s="100">
        <v>7.32729916478542</v>
      </c>
      <c r="P1502" s="100">
        <v>11.533311919590307</v>
      </c>
      <c r="Q1502" s="100">
        <v>5.1687043348391999</v>
      </c>
    </row>
    <row r="1503" spans="1:17" x14ac:dyDescent="0.35">
      <c r="A1503" s="98" t="s">
        <v>44</v>
      </c>
      <c r="B1503" s="98" t="s">
        <v>183</v>
      </c>
      <c r="C1503" s="98" t="s">
        <v>252</v>
      </c>
      <c r="D1503" s="99">
        <v>35273569.999999993</v>
      </c>
      <c r="E1503" s="99">
        <v>41515395.000000015</v>
      </c>
      <c r="F1503" s="99">
        <v>47249584.999999978</v>
      </c>
      <c r="G1503" s="99">
        <v>7000</v>
      </c>
      <c r="H1503" s="98">
        <v>2013</v>
      </c>
      <c r="I1503" s="99">
        <v>7237</v>
      </c>
      <c r="J1503" s="98" t="s">
        <v>229</v>
      </c>
      <c r="K1503" s="99">
        <v>32957</v>
      </c>
      <c r="L1503" s="98">
        <v>2022</v>
      </c>
      <c r="M1503" s="98" t="s">
        <v>225</v>
      </c>
      <c r="N1503" s="99">
        <v>32957</v>
      </c>
      <c r="O1503" s="100">
        <v>1.9844886695619415</v>
      </c>
      <c r="P1503" s="100">
        <v>1.7432087542464663</v>
      </c>
      <c r="Q1503" s="100">
        <v>6.9750877177016513</v>
      </c>
    </row>
    <row r="1504" spans="1:17" x14ac:dyDescent="0.35">
      <c r="A1504" s="98" t="s">
        <v>44</v>
      </c>
      <c r="B1504" s="98" t="s">
        <v>183</v>
      </c>
      <c r="C1504" s="98" t="s">
        <v>253</v>
      </c>
      <c r="D1504" s="99">
        <v>35273569.999999993</v>
      </c>
      <c r="E1504" s="99">
        <v>41515395.000000015</v>
      </c>
      <c r="F1504" s="99">
        <v>47249584.999999978</v>
      </c>
      <c r="G1504" s="99">
        <v>7000</v>
      </c>
      <c r="H1504" s="98">
        <v>2013</v>
      </c>
      <c r="I1504" s="99">
        <v>0</v>
      </c>
      <c r="J1504" s="98" t="s">
        <v>225</v>
      </c>
      <c r="K1504" s="99">
        <v>0</v>
      </c>
      <c r="L1504" s="98" t="s">
        <v>225</v>
      </c>
      <c r="M1504" s="98" t="s">
        <v>225</v>
      </c>
      <c r="N1504" s="99">
        <v>0</v>
      </c>
      <c r="O1504" s="100">
        <v>1.9844886695619415</v>
      </c>
      <c r="P1504" s="100">
        <v>0</v>
      </c>
      <c r="Q1504" s="100">
        <v>0</v>
      </c>
    </row>
    <row r="1505" spans="1:17" x14ac:dyDescent="0.35">
      <c r="A1505" s="98" t="s">
        <v>44</v>
      </c>
      <c r="B1505" s="98" t="s">
        <v>183</v>
      </c>
      <c r="C1505" s="98" t="s">
        <v>254</v>
      </c>
      <c r="D1505" s="99">
        <v>35273569.999999993</v>
      </c>
      <c r="E1505" s="99">
        <v>41515395.000000015</v>
      </c>
      <c r="F1505" s="99">
        <v>47249584.999999978</v>
      </c>
      <c r="G1505" s="99">
        <v>0</v>
      </c>
      <c r="H1505" s="98" t="s">
        <v>225</v>
      </c>
      <c r="I1505" s="99">
        <v>7237</v>
      </c>
      <c r="J1505" s="98" t="s">
        <v>229</v>
      </c>
      <c r="K1505" s="99">
        <v>8698</v>
      </c>
      <c r="L1505" s="98">
        <v>2022</v>
      </c>
      <c r="M1505" s="98" t="s">
        <v>225</v>
      </c>
      <c r="N1505" s="99">
        <v>8698</v>
      </c>
      <c r="O1505" s="100">
        <v>0</v>
      </c>
      <c r="P1505" s="100">
        <v>1.7432087542464663</v>
      </c>
      <c r="Q1505" s="100">
        <v>1.8408627292705331</v>
      </c>
    </row>
    <row r="1506" spans="1:17" x14ac:dyDescent="0.35">
      <c r="A1506" s="98" t="s">
        <v>44</v>
      </c>
      <c r="B1506" s="98" t="s">
        <v>183</v>
      </c>
      <c r="C1506" s="98" t="s">
        <v>255</v>
      </c>
      <c r="D1506" s="99">
        <v>35273569.999999993</v>
      </c>
      <c r="E1506" s="99">
        <v>41515395.000000015</v>
      </c>
      <c r="F1506" s="99">
        <v>47249584.999999978</v>
      </c>
      <c r="G1506" s="99">
        <v>550</v>
      </c>
      <c r="H1506" s="98">
        <v>2012</v>
      </c>
      <c r="I1506" s="99">
        <v>324</v>
      </c>
      <c r="J1506" s="98">
        <v>2018</v>
      </c>
      <c r="K1506" s="99">
        <v>1712</v>
      </c>
      <c r="L1506" s="98">
        <v>2022</v>
      </c>
      <c r="M1506" s="98" t="s">
        <v>225</v>
      </c>
      <c r="N1506" s="99">
        <v>1712</v>
      </c>
      <c r="O1506" s="100">
        <v>0.15592410975129542</v>
      </c>
      <c r="P1506" s="100">
        <v>7.8043337899109444E-2</v>
      </c>
      <c r="Q1506" s="100">
        <v>0.36233122470811135</v>
      </c>
    </row>
    <row r="1507" spans="1:17" x14ac:dyDescent="0.35">
      <c r="A1507" s="98" t="s">
        <v>44</v>
      </c>
      <c r="B1507" s="98" t="s">
        <v>183</v>
      </c>
      <c r="C1507" s="98" t="s">
        <v>256</v>
      </c>
      <c r="D1507" s="99">
        <v>35273569.999999993</v>
      </c>
      <c r="E1507" s="99">
        <v>41515395.000000015</v>
      </c>
      <c r="F1507" s="99">
        <v>47249584.999999978</v>
      </c>
      <c r="G1507" s="99">
        <v>650</v>
      </c>
      <c r="H1507" s="98">
        <v>2012</v>
      </c>
      <c r="I1507" s="99">
        <v>234</v>
      </c>
      <c r="J1507" s="98" t="s">
        <v>229</v>
      </c>
      <c r="K1507" s="99">
        <v>1820</v>
      </c>
      <c r="L1507" s="98">
        <v>2022</v>
      </c>
      <c r="M1507" s="98" t="s">
        <v>225</v>
      </c>
      <c r="N1507" s="99">
        <v>1820</v>
      </c>
      <c r="O1507" s="100">
        <v>0.18427394788789458</v>
      </c>
      <c r="P1507" s="100">
        <v>5.6364632927134603E-2</v>
      </c>
      <c r="Q1507" s="100">
        <v>0.3851885683228754</v>
      </c>
    </row>
    <row r="1508" spans="1:17" x14ac:dyDescent="0.35">
      <c r="A1508" s="98" t="s">
        <v>44</v>
      </c>
      <c r="B1508" s="98" t="s">
        <v>183</v>
      </c>
      <c r="C1508" s="98" t="s">
        <v>257</v>
      </c>
      <c r="D1508" s="99">
        <v>35273569.999999993</v>
      </c>
      <c r="E1508" s="99">
        <v>41515395.000000015</v>
      </c>
      <c r="F1508" s="99">
        <v>47249584.999999978</v>
      </c>
      <c r="G1508" s="99">
        <v>276</v>
      </c>
      <c r="H1508" s="98">
        <v>2015</v>
      </c>
      <c r="I1508" s="99">
        <v>26</v>
      </c>
      <c r="J1508" s="98">
        <v>2018</v>
      </c>
      <c r="K1508" s="99">
        <v>504</v>
      </c>
      <c r="L1508" s="98">
        <v>2022</v>
      </c>
      <c r="M1508" s="98" t="s">
        <v>225</v>
      </c>
      <c r="N1508" s="99">
        <v>504</v>
      </c>
      <c r="O1508" s="100">
        <v>7.8245553257013697E-2</v>
      </c>
      <c r="P1508" s="100">
        <v>6.2627369919038443E-3</v>
      </c>
      <c r="Q1508" s="100">
        <v>0.10666760353556549</v>
      </c>
    </row>
    <row r="1509" spans="1:17" x14ac:dyDescent="0.35">
      <c r="A1509" s="98" t="s">
        <v>44</v>
      </c>
      <c r="B1509" s="98" t="s">
        <v>183</v>
      </c>
      <c r="C1509" s="98" t="s">
        <v>258</v>
      </c>
      <c r="D1509" s="99">
        <v>35273569.999999993</v>
      </c>
      <c r="E1509" s="99">
        <v>41515395.000000015</v>
      </c>
      <c r="F1509" s="99">
        <v>47249584.999999978</v>
      </c>
      <c r="G1509" s="99">
        <v>0</v>
      </c>
      <c r="H1509" s="98" t="s">
        <v>225</v>
      </c>
      <c r="I1509" s="99">
        <v>26</v>
      </c>
      <c r="J1509" s="98" t="s">
        <v>229</v>
      </c>
      <c r="K1509" s="99">
        <v>1084</v>
      </c>
      <c r="L1509" s="98">
        <v>2022</v>
      </c>
      <c r="M1509" s="98" t="s">
        <v>225</v>
      </c>
      <c r="N1509" s="99">
        <v>1084</v>
      </c>
      <c r="O1509" s="100">
        <v>0</v>
      </c>
      <c r="P1509" s="100">
        <v>6.2627369919038443E-3</v>
      </c>
      <c r="Q1509" s="100">
        <v>0.22942000442966864</v>
      </c>
    </row>
    <row r="1510" spans="1:17" x14ac:dyDescent="0.35">
      <c r="A1510" s="98" t="s">
        <v>44</v>
      </c>
      <c r="B1510" s="98" t="s">
        <v>183</v>
      </c>
      <c r="C1510" s="98" t="s">
        <v>259</v>
      </c>
      <c r="D1510" s="99">
        <v>35273569.999999993</v>
      </c>
      <c r="E1510" s="99">
        <v>41515395.000000015</v>
      </c>
      <c r="F1510" s="99">
        <v>47249584.999999978</v>
      </c>
      <c r="G1510" s="99">
        <v>0</v>
      </c>
      <c r="H1510" s="98" t="s">
        <v>225</v>
      </c>
      <c r="I1510" s="99">
        <v>0</v>
      </c>
      <c r="J1510" s="98" t="s">
        <v>225</v>
      </c>
      <c r="K1510" s="99">
        <v>0</v>
      </c>
      <c r="L1510" s="98" t="s">
        <v>225</v>
      </c>
      <c r="M1510" s="98" t="s">
        <v>225</v>
      </c>
      <c r="N1510" s="99">
        <v>0</v>
      </c>
      <c r="O1510" s="100">
        <v>0</v>
      </c>
      <c r="P1510" s="100">
        <v>0</v>
      </c>
      <c r="Q1510" s="100">
        <v>0</v>
      </c>
    </row>
    <row r="1511" spans="1:17" x14ac:dyDescent="0.35">
      <c r="A1511" s="98" t="s">
        <v>40</v>
      </c>
      <c r="B1511" s="98" t="s">
        <v>180</v>
      </c>
      <c r="C1511" s="98" t="s">
        <v>246</v>
      </c>
      <c r="D1511" s="99">
        <v>53873616</v>
      </c>
      <c r="E1511" s="99">
        <v>57339635.000000015</v>
      </c>
      <c r="F1511" s="99">
        <v>59893885.5</v>
      </c>
      <c r="G1511" s="99">
        <v>0</v>
      </c>
      <c r="H1511" s="98" t="s">
        <v>225</v>
      </c>
      <c r="I1511" s="99">
        <v>43503</v>
      </c>
      <c r="J1511" s="98">
        <v>2018</v>
      </c>
      <c r="K1511" s="99">
        <v>48021</v>
      </c>
      <c r="L1511" s="98">
        <v>2021</v>
      </c>
      <c r="M1511" s="98" t="s">
        <v>225</v>
      </c>
      <c r="N1511" s="99">
        <v>48021</v>
      </c>
      <c r="O1511" s="100">
        <v>0</v>
      </c>
      <c r="P1511" s="100">
        <v>7.5868986609349687</v>
      </c>
      <c r="Q1511" s="100">
        <v>8.0176798681728538</v>
      </c>
    </row>
    <row r="1512" spans="1:17" x14ac:dyDescent="0.35">
      <c r="A1512" s="98" t="s">
        <v>40</v>
      </c>
      <c r="B1512" s="98" t="s">
        <v>180</v>
      </c>
      <c r="C1512" s="98" t="s">
        <v>247</v>
      </c>
      <c r="D1512" s="99">
        <v>53873616</v>
      </c>
      <c r="E1512" s="99">
        <v>57339635.000000015</v>
      </c>
      <c r="F1512" s="99">
        <v>59893885.5</v>
      </c>
      <c r="G1512" s="99">
        <v>0</v>
      </c>
      <c r="H1512" s="98" t="s">
        <v>225</v>
      </c>
      <c r="I1512" s="99">
        <v>29311</v>
      </c>
      <c r="J1512" s="98">
        <v>2018</v>
      </c>
      <c r="K1512" s="99">
        <v>29311</v>
      </c>
      <c r="L1512" s="98">
        <v>2018</v>
      </c>
      <c r="M1512" s="98" t="s">
        <v>225</v>
      </c>
      <c r="N1512" s="99">
        <v>29311</v>
      </c>
      <c r="O1512" s="100">
        <v>0</v>
      </c>
      <c r="P1512" s="100">
        <v>5.1118218663233543</v>
      </c>
      <c r="Q1512" s="100">
        <v>4.8938217574814047</v>
      </c>
    </row>
    <row r="1513" spans="1:17" x14ac:dyDescent="0.35">
      <c r="A1513" s="98" t="s">
        <v>40</v>
      </c>
      <c r="B1513" s="98" t="s">
        <v>180</v>
      </c>
      <c r="C1513" s="98" t="s">
        <v>248</v>
      </c>
      <c r="D1513" s="99">
        <v>53873616</v>
      </c>
      <c r="E1513" s="99">
        <v>57339635.000000015</v>
      </c>
      <c r="F1513" s="99">
        <v>59893885.5</v>
      </c>
      <c r="G1513" s="99">
        <v>0</v>
      </c>
      <c r="H1513" s="98" t="s">
        <v>225</v>
      </c>
      <c r="I1513" s="99">
        <v>14192</v>
      </c>
      <c r="J1513" s="98">
        <v>2018</v>
      </c>
      <c r="K1513" s="99">
        <v>14192</v>
      </c>
      <c r="L1513" s="98">
        <v>2018</v>
      </c>
      <c r="M1513" s="98" t="s">
        <v>225</v>
      </c>
      <c r="N1513" s="99">
        <v>14192</v>
      </c>
      <c r="O1513" s="100">
        <v>0</v>
      </c>
      <c r="P1513" s="100">
        <v>2.4750767946116148</v>
      </c>
      <c r="Q1513" s="100">
        <v>2.3695240142668652</v>
      </c>
    </row>
    <row r="1514" spans="1:17" x14ac:dyDescent="0.35">
      <c r="A1514" s="98" t="s">
        <v>40</v>
      </c>
      <c r="B1514" s="98" t="s">
        <v>180</v>
      </c>
      <c r="C1514" s="98" t="s">
        <v>249</v>
      </c>
      <c r="D1514" s="99">
        <v>53873616</v>
      </c>
      <c r="E1514" s="99">
        <v>57339635.000000015</v>
      </c>
      <c r="F1514" s="99">
        <v>59893885.5</v>
      </c>
      <c r="G1514" s="99">
        <v>58722</v>
      </c>
      <c r="H1514" s="98">
        <v>2012</v>
      </c>
      <c r="I1514" s="99">
        <v>287458</v>
      </c>
      <c r="J1514" s="98" t="s">
        <v>229</v>
      </c>
      <c r="K1514" s="99">
        <v>271047</v>
      </c>
      <c r="L1514" s="98">
        <v>2022</v>
      </c>
      <c r="M1514" s="98" t="s">
        <v>226</v>
      </c>
      <c r="N1514" s="99">
        <v>397261.24962174537</v>
      </c>
      <c r="O1514" s="100">
        <v>10.899955183999529</v>
      </c>
      <c r="P1514" s="100">
        <v>50.132513051399776</v>
      </c>
      <c r="Q1514" s="100">
        <v>66.327513452394967</v>
      </c>
    </row>
    <row r="1515" spans="1:17" x14ac:dyDescent="0.35">
      <c r="A1515" s="98" t="s">
        <v>40</v>
      </c>
      <c r="B1515" s="98" t="s">
        <v>180</v>
      </c>
      <c r="C1515" s="98" t="s">
        <v>250</v>
      </c>
      <c r="D1515" s="99">
        <v>53873616</v>
      </c>
      <c r="E1515" s="99">
        <v>57339635.000000015</v>
      </c>
      <c r="F1515" s="99">
        <v>59893885.5</v>
      </c>
      <c r="G1515" s="99">
        <v>0</v>
      </c>
      <c r="H1515" s="98" t="s">
        <v>225</v>
      </c>
      <c r="I1515" s="99">
        <v>140598</v>
      </c>
      <c r="J1515" s="98" t="s">
        <v>229</v>
      </c>
      <c r="K1515" s="99">
        <v>140598</v>
      </c>
      <c r="L1515" s="98" t="s">
        <v>229</v>
      </c>
      <c r="M1515" s="98" t="s">
        <v>225</v>
      </c>
      <c r="N1515" s="99">
        <v>140598</v>
      </c>
      <c r="O1515" s="100">
        <v>0</v>
      </c>
      <c r="P1515" s="100">
        <v>24.520211891826651</v>
      </c>
      <c r="Q1515" s="100">
        <v>23.474516442918034</v>
      </c>
    </row>
    <row r="1516" spans="1:17" x14ac:dyDescent="0.35">
      <c r="A1516" s="98" t="s">
        <v>40</v>
      </c>
      <c r="B1516" s="98" t="s">
        <v>180</v>
      </c>
      <c r="C1516" s="98" t="s">
        <v>251</v>
      </c>
      <c r="D1516" s="99">
        <v>53873616</v>
      </c>
      <c r="E1516" s="99">
        <v>57339635.000000015</v>
      </c>
      <c r="F1516" s="99">
        <v>59893885.5</v>
      </c>
      <c r="G1516" s="99">
        <v>0</v>
      </c>
      <c r="H1516" s="98" t="s">
        <v>225</v>
      </c>
      <c r="I1516" s="99">
        <v>146860</v>
      </c>
      <c r="J1516" s="98" t="s">
        <v>229</v>
      </c>
      <c r="K1516" s="99">
        <v>146860</v>
      </c>
      <c r="L1516" s="98" t="s">
        <v>229</v>
      </c>
      <c r="M1516" s="98" t="s">
        <v>225</v>
      </c>
      <c r="N1516" s="99">
        <v>146860</v>
      </c>
      <c r="O1516" s="100">
        <v>0</v>
      </c>
      <c r="P1516" s="100">
        <v>25.612301159573121</v>
      </c>
      <c r="Q1516" s="100">
        <v>24.520032182583979</v>
      </c>
    </row>
    <row r="1517" spans="1:17" x14ac:dyDescent="0.35">
      <c r="A1517" s="98" t="s">
        <v>40</v>
      </c>
      <c r="B1517" s="98" t="s">
        <v>180</v>
      </c>
      <c r="C1517" s="98" t="s">
        <v>252</v>
      </c>
      <c r="D1517" s="99">
        <v>53873616</v>
      </c>
      <c r="E1517" s="99">
        <v>57339635.000000015</v>
      </c>
      <c r="F1517" s="99">
        <v>59893885.5</v>
      </c>
      <c r="G1517" s="99">
        <v>0</v>
      </c>
      <c r="H1517" s="98" t="s">
        <v>225</v>
      </c>
      <c r="I1517" s="99">
        <v>0</v>
      </c>
      <c r="J1517" s="98" t="s">
        <v>225</v>
      </c>
      <c r="K1517" s="99">
        <v>0</v>
      </c>
      <c r="L1517" s="98" t="s">
        <v>225</v>
      </c>
      <c r="M1517" s="98" t="s">
        <v>225</v>
      </c>
      <c r="N1517" s="99">
        <v>0</v>
      </c>
      <c r="O1517" s="100">
        <v>0</v>
      </c>
      <c r="P1517" s="100">
        <v>0</v>
      </c>
      <c r="Q1517" s="100">
        <v>0</v>
      </c>
    </row>
    <row r="1518" spans="1:17" x14ac:dyDescent="0.35">
      <c r="A1518" s="98" t="s">
        <v>40</v>
      </c>
      <c r="B1518" s="98" t="s">
        <v>180</v>
      </c>
      <c r="C1518" s="98" t="s">
        <v>253</v>
      </c>
      <c r="D1518" s="99">
        <v>53873616</v>
      </c>
      <c r="E1518" s="99">
        <v>57339635.000000015</v>
      </c>
      <c r="F1518" s="99">
        <v>59893885.5</v>
      </c>
      <c r="G1518" s="99">
        <v>0</v>
      </c>
      <c r="H1518" s="98" t="s">
        <v>225</v>
      </c>
      <c r="I1518" s="99">
        <v>0</v>
      </c>
      <c r="J1518" s="98" t="s">
        <v>225</v>
      </c>
      <c r="K1518" s="99">
        <v>0</v>
      </c>
      <c r="L1518" s="98" t="s">
        <v>225</v>
      </c>
      <c r="M1518" s="98" t="s">
        <v>225</v>
      </c>
      <c r="N1518" s="99">
        <v>0</v>
      </c>
      <c r="O1518" s="100">
        <v>0</v>
      </c>
      <c r="P1518" s="100">
        <v>0</v>
      </c>
      <c r="Q1518" s="100">
        <v>0</v>
      </c>
    </row>
    <row r="1519" spans="1:17" x14ac:dyDescent="0.35">
      <c r="A1519" s="98" t="s">
        <v>40</v>
      </c>
      <c r="B1519" s="98" t="s">
        <v>180</v>
      </c>
      <c r="C1519" s="98" t="s">
        <v>254</v>
      </c>
      <c r="D1519" s="99">
        <v>53873616</v>
      </c>
      <c r="E1519" s="99">
        <v>57339635.000000015</v>
      </c>
      <c r="F1519" s="99">
        <v>59893885.5</v>
      </c>
      <c r="G1519" s="99">
        <v>0</v>
      </c>
      <c r="H1519" s="98" t="s">
        <v>225</v>
      </c>
      <c r="I1519" s="99">
        <v>0</v>
      </c>
      <c r="J1519" s="98" t="s">
        <v>225</v>
      </c>
      <c r="K1519" s="99">
        <v>0</v>
      </c>
      <c r="L1519" s="98" t="s">
        <v>225</v>
      </c>
      <c r="M1519" s="98" t="s">
        <v>225</v>
      </c>
      <c r="N1519" s="99">
        <v>0</v>
      </c>
      <c r="O1519" s="100">
        <v>0</v>
      </c>
      <c r="P1519" s="100">
        <v>0</v>
      </c>
      <c r="Q1519" s="100">
        <v>0</v>
      </c>
    </row>
    <row r="1520" spans="1:17" x14ac:dyDescent="0.35">
      <c r="A1520" s="98" t="s">
        <v>40</v>
      </c>
      <c r="B1520" s="98" t="s">
        <v>180</v>
      </c>
      <c r="C1520" s="98" t="s">
        <v>255</v>
      </c>
      <c r="D1520" s="99">
        <v>53873616</v>
      </c>
      <c r="E1520" s="99">
        <v>57339635.000000015</v>
      </c>
      <c r="F1520" s="99">
        <v>59893885.5</v>
      </c>
      <c r="G1520" s="99">
        <v>13642</v>
      </c>
      <c r="H1520" s="98">
        <v>2012</v>
      </c>
      <c r="I1520" s="99">
        <v>14412</v>
      </c>
      <c r="J1520" s="98" t="s">
        <v>229</v>
      </c>
      <c r="K1520" s="99">
        <v>17703</v>
      </c>
      <c r="L1520" s="98">
        <v>2022</v>
      </c>
      <c r="M1520" s="98" t="s">
        <v>225</v>
      </c>
      <c r="N1520" s="99">
        <v>17703</v>
      </c>
      <c r="O1520" s="100">
        <v>2.5322228231347976</v>
      </c>
      <c r="P1520" s="100">
        <v>2.513444670514557</v>
      </c>
      <c r="Q1520" s="100">
        <v>2.9557274256317867</v>
      </c>
    </row>
    <row r="1521" spans="1:17" x14ac:dyDescent="0.35">
      <c r="A1521" s="98" t="s">
        <v>40</v>
      </c>
      <c r="B1521" s="98" t="s">
        <v>180</v>
      </c>
      <c r="C1521" s="98" t="s">
        <v>256</v>
      </c>
      <c r="D1521" s="99">
        <v>53873616</v>
      </c>
      <c r="E1521" s="99">
        <v>57339635.000000015</v>
      </c>
      <c r="F1521" s="99">
        <v>59893885.5</v>
      </c>
      <c r="G1521" s="99">
        <v>7320</v>
      </c>
      <c r="H1521" s="98">
        <v>2012</v>
      </c>
      <c r="I1521" s="99">
        <v>1783</v>
      </c>
      <c r="J1521" s="98" t="s">
        <v>229</v>
      </c>
      <c r="K1521" s="99">
        <v>1783</v>
      </c>
      <c r="L1521" s="98" t="s">
        <v>229</v>
      </c>
      <c r="M1521" s="98" t="s">
        <v>225</v>
      </c>
      <c r="N1521" s="99">
        <v>1783</v>
      </c>
      <c r="O1521" s="100">
        <v>1.3587356007437852</v>
      </c>
      <c r="P1521" s="100">
        <v>0.31095419424975401</v>
      </c>
      <c r="Q1521" s="100">
        <v>0.29769315934595691</v>
      </c>
    </row>
    <row r="1522" spans="1:17" x14ac:dyDescent="0.35">
      <c r="A1522" s="98" t="s">
        <v>40</v>
      </c>
      <c r="B1522" s="98" t="s">
        <v>180</v>
      </c>
      <c r="C1522" s="98" t="s">
        <v>257</v>
      </c>
      <c r="D1522" s="99">
        <v>53873616</v>
      </c>
      <c r="E1522" s="99">
        <v>57339635.000000015</v>
      </c>
      <c r="F1522" s="99">
        <v>59893885.5</v>
      </c>
      <c r="G1522" s="99">
        <v>5770</v>
      </c>
      <c r="H1522" s="98">
        <v>2013</v>
      </c>
      <c r="I1522" s="99">
        <v>6433</v>
      </c>
      <c r="J1522" s="98">
        <v>2018</v>
      </c>
      <c r="K1522" s="99">
        <v>1348</v>
      </c>
      <c r="L1522" s="98">
        <v>2022</v>
      </c>
      <c r="M1522" s="98" t="s">
        <v>226</v>
      </c>
      <c r="N1522" s="99">
        <v>1975.7022379517678</v>
      </c>
      <c r="O1522" s="100">
        <v>1.0710251934824646</v>
      </c>
      <c r="P1522" s="100">
        <v>1.1219115712892136</v>
      </c>
      <c r="Q1522" s="100">
        <v>0.32986710103350497</v>
      </c>
    </row>
    <row r="1523" spans="1:17" x14ac:dyDescent="0.35">
      <c r="A1523" s="98" t="s">
        <v>40</v>
      </c>
      <c r="B1523" s="98" t="s">
        <v>180</v>
      </c>
      <c r="C1523" s="98" t="s">
        <v>258</v>
      </c>
      <c r="D1523" s="99">
        <v>53873616</v>
      </c>
      <c r="E1523" s="99">
        <v>57339635.000000015</v>
      </c>
      <c r="F1523" s="99">
        <v>59893885.5</v>
      </c>
      <c r="G1523" s="99">
        <v>4625</v>
      </c>
      <c r="H1523" s="98">
        <v>2013</v>
      </c>
      <c r="I1523" s="99">
        <v>661</v>
      </c>
      <c r="J1523" s="98" t="s">
        <v>229</v>
      </c>
      <c r="K1523" s="99">
        <v>1550</v>
      </c>
      <c r="L1523" s="98">
        <v>2022</v>
      </c>
      <c r="M1523" s="98" t="s">
        <v>225</v>
      </c>
      <c r="N1523" s="99">
        <v>1550</v>
      </c>
      <c r="O1523" s="100">
        <v>0.85849073134426324</v>
      </c>
      <c r="P1523" s="100">
        <v>0.11527802714474897</v>
      </c>
      <c r="Q1523" s="100">
        <v>0.25879102466978871</v>
      </c>
    </row>
    <row r="1524" spans="1:17" x14ac:dyDescent="0.35">
      <c r="A1524" s="98" t="s">
        <v>40</v>
      </c>
      <c r="B1524" s="98" t="s">
        <v>180</v>
      </c>
      <c r="C1524" s="98" t="s">
        <v>259</v>
      </c>
      <c r="D1524" s="99">
        <v>53873616</v>
      </c>
      <c r="E1524" s="99">
        <v>57339635.000000015</v>
      </c>
      <c r="F1524" s="99">
        <v>59893885.5</v>
      </c>
      <c r="G1524" s="99">
        <v>0</v>
      </c>
      <c r="H1524" s="98" t="s">
        <v>225</v>
      </c>
      <c r="I1524" s="99">
        <v>8565</v>
      </c>
      <c r="J1524" s="98">
        <v>2018</v>
      </c>
      <c r="K1524" s="99">
        <v>723</v>
      </c>
      <c r="L1524" s="98">
        <v>2022</v>
      </c>
      <c r="M1524" s="98" t="s">
        <v>226</v>
      </c>
      <c r="N1524" s="99">
        <v>1059.6681884563263</v>
      </c>
      <c r="O1524" s="100">
        <v>0</v>
      </c>
      <c r="P1524" s="100">
        <v>1.4937311686759076</v>
      </c>
      <c r="Q1524" s="100">
        <v>0.17692426858102675</v>
      </c>
    </row>
    <row r="1525" spans="1:17" x14ac:dyDescent="0.35">
      <c r="A1525" s="98" t="s">
        <v>45</v>
      </c>
      <c r="B1525" s="98" t="s">
        <v>185</v>
      </c>
      <c r="C1525" s="98" t="s">
        <v>246</v>
      </c>
      <c r="D1525" s="99">
        <v>15234975.999999991</v>
      </c>
      <c r="E1525" s="99">
        <v>17835892.999999981</v>
      </c>
      <c r="F1525" s="99">
        <v>20017675.000000004</v>
      </c>
      <c r="G1525" s="99">
        <v>0</v>
      </c>
      <c r="H1525" s="98" t="s">
        <v>225</v>
      </c>
      <c r="I1525" s="99">
        <v>4021</v>
      </c>
      <c r="J1525" s="98">
        <v>2018</v>
      </c>
      <c r="K1525" s="99">
        <v>6531</v>
      </c>
      <c r="L1525" s="98">
        <v>2022</v>
      </c>
      <c r="M1525" s="98" t="s">
        <v>225</v>
      </c>
      <c r="N1525" s="99">
        <v>6531</v>
      </c>
      <c r="O1525" s="100">
        <v>0</v>
      </c>
      <c r="P1525" s="100">
        <v>2.2544427688594029</v>
      </c>
      <c r="Q1525" s="100">
        <v>3.2626166625244934</v>
      </c>
    </row>
    <row r="1526" spans="1:17" x14ac:dyDescent="0.35">
      <c r="A1526" s="98" t="s">
        <v>45</v>
      </c>
      <c r="B1526" s="98" t="s">
        <v>185</v>
      </c>
      <c r="C1526" s="98" t="s">
        <v>247</v>
      </c>
      <c r="D1526" s="99">
        <v>15234975.999999991</v>
      </c>
      <c r="E1526" s="99">
        <v>17835892.999999981</v>
      </c>
      <c r="F1526" s="99">
        <v>20017675.000000004</v>
      </c>
      <c r="G1526" s="99">
        <v>0</v>
      </c>
      <c r="H1526" s="98" t="s">
        <v>225</v>
      </c>
      <c r="I1526" s="99">
        <v>1701</v>
      </c>
      <c r="J1526" s="98" t="s">
        <v>229</v>
      </c>
      <c r="K1526" s="99">
        <v>4709</v>
      </c>
      <c r="L1526" s="98">
        <v>2022</v>
      </c>
      <c r="M1526" s="98" t="s">
        <v>225</v>
      </c>
      <c r="N1526" s="99">
        <v>4709</v>
      </c>
      <c r="O1526" s="100">
        <v>0</v>
      </c>
      <c r="P1526" s="100">
        <v>0.95369488928869539</v>
      </c>
      <c r="Q1526" s="100">
        <v>2.3524210478989187</v>
      </c>
    </row>
    <row r="1527" spans="1:17" x14ac:dyDescent="0.35">
      <c r="A1527" s="98" t="s">
        <v>45</v>
      </c>
      <c r="B1527" s="98" t="s">
        <v>185</v>
      </c>
      <c r="C1527" s="98" t="s">
        <v>248</v>
      </c>
      <c r="D1527" s="99">
        <v>15234975.999999991</v>
      </c>
      <c r="E1527" s="99">
        <v>17835892.999999981</v>
      </c>
      <c r="F1527" s="99">
        <v>20017675.000000004</v>
      </c>
      <c r="G1527" s="99">
        <v>0</v>
      </c>
      <c r="H1527" s="98" t="s">
        <v>225</v>
      </c>
      <c r="I1527" s="99">
        <v>325</v>
      </c>
      <c r="J1527" s="98" t="s">
        <v>229</v>
      </c>
      <c r="K1527" s="99">
        <v>534</v>
      </c>
      <c r="L1527" s="98">
        <v>2022</v>
      </c>
      <c r="M1527" s="98" t="s">
        <v>225</v>
      </c>
      <c r="N1527" s="99">
        <v>534</v>
      </c>
      <c r="O1527" s="100">
        <v>0</v>
      </c>
      <c r="P1527" s="100">
        <v>0.18221683657779308</v>
      </c>
      <c r="Q1527" s="100">
        <v>0.26676424709662833</v>
      </c>
    </row>
    <row r="1528" spans="1:17" x14ac:dyDescent="0.35">
      <c r="A1528" s="98" t="s">
        <v>45</v>
      </c>
      <c r="B1528" s="98" t="s">
        <v>185</v>
      </c>
      <c r="C1528" s="98" t="s">
        <v>249</v>
      </c>
      <c r="D1528" s="99">
        <v>15234975.999999991</v>
      </c>
      <c r="E1528" s="99">
        <v>17835892.999999981</v>
      </c>
      <c r="F1528" s="99">
        <v>20017675.000000004</v>
      </c>
      <c r="G1528" s="99">
        <v>0</v>
      </c>
      <c r="H1528" s="98" t="s">
        <v>225</v>
      </c>
      <c r="I1528" s="99">
        <v>20746</v>
      </c>
      <c r="J1528" s="98">
        <v>2018</v>
      </c>
      <c r="K1528" s="99">
        <v>49975</v>
      </c>
      <c r="L1528" s="98">
        <v>2022</v>
      </c>
      <c r="M1528" s="98" t="s">
        <v>225</v>
      </c>
      <c r="N1528" s="99">
        <v>49975</v>
      </c>
      <c r="O1528" s="100">
        <v>0</v>
      </c>
      <c r="P1528" s="100">
        <v>11.63160151274737</v>
      </c>
      <c r="Q1528" s="100">
        <v>24.965436795232208</v>
      </c>
    </row>
    <row r="1529" spans="1:17" x14ac:dyDescent="0.35">
      <c r="A1529" s="98" t="s">
        <v>45</v>
      </c>
      <c r="B1529" s="98" t="s">
        <v>185</v>
      </c>
      <c r="C1529" s="98" t="s">
        <v>250</v>
      </c>
      <c r="D1529" s="99">
        <v>15234975.999999991</v>
      </c>
      <c r="E1529" s="99">
        <v>17835892.999999981</v>
      </c>
      <c r="F1529" s="99">
        <v>20017675.000000004</v>
      </c>
      <c r="G1529" s="99">
        <v>0</v>
      </c>
      <c r="H1529" s="98" t="s">
        <v>225</v>
      </c>
      <c r="I1529" s="99">
        <v>20746</v>
      </c>
      <c r="J1529" s="98">
        <v>2018</v>
      </c>
      <c r="K1529" s="99">
        <v>33779</v>
      </c>
      <c r="L1529" s="98">
        <v>2022</v>
      </c>
      <c r="M1529" s="98" t="s">
        <v>225</v>
      </c>
      <c r="N1529" s="99">
        <v>33779</v>
      </c>
      <c r="O1529" s="100">
        <v>0</v>
      </c>
      <c r="P1529" s="100">
        <v>11.63160151274737</v>
      </c>
      <c r="Q1529" s="100">
        <v>16.874587083664807</v>
      </c>
    </row>
    <row r="1530" spans="1:17" x14ac:dyDescent="0.35">
      <c r="A1530" s="98" t="s">
        <v>45</v>
      </c>
      <c r="B1530" s="98" t="s">
        <v>185</v>
      </c>
      <c r="C1530" s="98" t="s">
        <v>251</v>
      </c>
      <c r="D1530" s="99">
        <v>15234975.999999991</v>
      </c>
      <c r="E1530" s="99">
        <v>17835892.999999981</v>
      </c>
      <c r="F1530" s="99">
        <v>20017675.000000004</v>
      </c>
      <c r="G1530" s="99">
        <v>0</v>
      </c>
      <c r="H1530" s="98" t="s">
        <v>225</v>
      </c>
      <c r="I1530" s="99">
        <v>0</v>
      </c>
      <c r="J1530" s="98" t="s">
        <v>225</v>
      </c>
      <c r="K1530" s="99">
        <v>0</v>
      </c>
      <c r="L1530" s="98" t="s">
        <v>225</v>
      </c>
      <c r="M1530" s="98" t="s">
        <v>225</v>
      </c>
      <c r="N1530" s="99">
        <v>0</v>
      </c>
      <c r="O1530" s="100">
        <v>0</v>
      </c>
      <c r="P1530" s="100">
        <v>0</v>
      </c>
      <c r="Q1530" s="100">
        <v>0</v>
      </c>
    </row>
    <row r="1531" spans="1:17" x14ac:dyDescent="0.35">
      <c r="A1531" s="98" t="s">
        <v>45</v>
      </c>
      <c r="B1531" s="98" t="s">
        <v>185</v>
      </c>
      <c r="C1531" s="98" t="s">
        <v>252</v>
      </c>
      <c r="D1531" s="99">
        <v>15234975.999999991</v>
      </c>
      <c r="E1531" s="99">
        <v>17835892.999999981</v>
      </c>
      <c r="F1531" s="99">
        <v>20017675.000000004</v>
      </c>
      <c r="G1531" s="99">
        <v>2773</v>
      </c>
      <c r="H1531" s="98">
        <v>2013</v>
      </c>
      <c r="I1531" s="99">
        <v>3432</v>
      </c>
      <c r="J1531" s="98" t="s">
        <v>229</v>
      </c>
      <c r="K1531" s="99">
        <v>9202</v>
      </c>
      <c r="L1531" s="98">
        <v>2022</v>
      </c>
      <c r="M1531" s="98" t="s">
        <v>225</v>
      </c>
      <c r="N1531" s="99">
        <v>9202</v>
      </c>
      <c r="O1531" s="100">
        <v>1.8201538354901259</v>
      </c>
      <c r="P1531" s="100">
        <v>1.9242097942614949</v>
      </c>
      <c r="Q1531" s="100">
        <v>4.5969374565227969</v>
      </c>
    </row>
    <row r="1532" spans="1:17" x14ac:dyDescent="0.35">
      <c r="A1532" s="98" t="s">
        <v>45</v>
      </c>
      <c r="B1532" s="98" t="s">
        <v>185</v>
      </c>
      <c r="C1532" s="98" t="s">
        <v>253</v>
      </c>
      <c r="D1532" s="99">
        <v>15234975.999999991</v>
      </c>
      <c r="E1532" s="99">
        <v>17835892.999999981</v>
      </c>
      <c r="F1532" s="99">
        <v>20017675.000000004</v>
      </c>
      <c r="G1532" s="99">
        <v>2773</v>
      </c>
      <c r="H1532" s="98">
        <v>2013</v>
      </c>
      <c r="I1532" s="99">
        <v>3432</v>
      </c>
      <c r="J1532" s="98" t="s">
        <v>229</v>
      </c>
      <c r="K1532" s="99">
        <v>9202</v>
      </c>
      <c r="L1532" s="98">
        <v>2022</v>
      </c>
      <c r="M1532" s="98" t="s">
        <v>225</v>
      </c>
      <c r="N1532" s="99">
        <v>9202</v>
      </c>
      <c r="O1532" s="100">
        <v>1.8201538354901259</v>
      </c>
      <c r="P1532" s="100">
        <v>1.9242097942614949</v>
      </c>
      <c r="Q1532" s="100">
        <v>4.5969374565227969</v>
      </c>
    </row>
    <row r="1533" spans="1:17" x14ac:dyDescent="0.35">
      <c r="A1533" s="98" t="s">
        <v>45</v>
      </c>
      <c r="B1533" s="98" t="s">
        <v>185</v>
      </c>
      <c r="C1533" s="98" t="s">
        <v>254</v>
      </c>
      <c r="D1533" s="99">
        <v>15234975.999999991</v>
      </c>
      <c r="E1533" s="99">
        <v>17835892.999999981</v>
      </c>
      <c r="F1533" s="99">
        <v>20017675.000000004</v>
      </c>
      <c r="G1533" s="99">
        <v>0</v>
      </c>
      <c r="H1533" s="98" t="s">
        <v>225</v>
      </c>
      <c r="I1533" s="99">
        <v>0</v>
      </c>
      <c r="J1533" s="98" t="s">
        <v>225</v>
      </c>
      <c r="K1533" s="99">
        <v>0</v>
      </c>
      <c r="L1533" s="98" t="s">
        <v>225</v>
      </c>
      <c r="M1533" s="98" t="s">
        <v>225</v>
      </c>
      <c r="N1533" s="99">
        <v>0</v>
      </c>
      <c r="O1533" s="100">
        <v>0</v>
      </c>
      <c r="P1533" s="100">
        <v>0</v>
      </c>
      <c r="Q1533" s="100">
        <v>0</v>
      </c>
    </row>
    <row r="1534" spans="1:17" x14ac:dyDescent="0.35">
      <c r="A1534" s="98" t="s">
        <v>45</v>
      </c>
      <c r="B1534" s="98" t="s">
        <v>185</v>
      </c>
      <c r="C1534" s="98" t="s">
        <v>255</v>
      </c>
      <c r="D1534" s="99">
        <v>15234975.999999991</v>
      </c>
      <c r="E1534" s="99">
        <v>17835892.999999981</v>
      </c>
      <c r="F1534" s="99">
        <v>20017675.000000004</v>
      </c>
      <c r="G1534" s="99">
        <v>409</v>
      </c>
      <c r="H1534" s="98">
        <v>2012</v>
      </c>
      <c r="I1534" s="99">
        <v>727</v>
      </c>
      <c r="J1534" s="98">
        <v>2018</v>
      </c>
      <c r="K1534" s="99">
        <v>1425</v>
      </c>
      <c r="L1534" s="98">
        <v>2022</v>
      </c>
      <c r="M1534" s="98" t="s">
        <v>225</v>
      </c>
      <c r="N1534" s="99">
        <v>1425</v>
      </c>
      <c r="O1534" s="100">
        <v>0.26846120400846069</v>
      </c>
      <c r="P1534" s="100">
        <v>0.40760504674478637</v>
      </c>
      <c r="Q1534" s="100">
        <v>0.71187088410617105</v>
      </c>
    </row>
    <row r="1535" spans="1:17" x14ac:dyDescent="0.35">
      <c r="A1535" s="98" t="s">
        <v>45</v>
      </c>
      <c r="B1535" s="98" t="s">
        <v>185</v>
      </c>
      <c r="C1535" s="98" t="s">
        <v>256</v>
      </c>
      <c r="D1535" s="99">
        <v>15234975.999999991</v>
      </c>
      <c r="E1535" s="99">
        <v>17835892.999999981</v>
      </c>
      <c r="F1535" s="99">
        <v>20017675.000000004</v>
      </c>
      <c r="G1535" s="99">
        <v>814</v>
      </c>
      <c r="H1535" s="98">
        <v>2012</v>
      </c>
      <c r="I1535" s="99">
        <v>1284</v>
      </c>
      <c r="J1535" s="98" t="s">
        <v>229</v>
      </c>
      <c r="K1535" s="99">
        <v>1800</v>
      </c>
      <c r="L1535" s="98">
        <v>2022</v>
      </c>
      <c r="M1535" s="98" t="s">
        <v>225</v>
      </c>
      <c r="N1535" s="99">
        <v>1800</v>
      </c>
      <c r="O1535" s="100">
        <v>0.53429687056940589</v>
      </c>
      <c r="P1535" s="100">
        <v>0.71989667127965018</v>
      </c>
      <c r="Q1535" s="100">
        <v>0.89920532729200553</v>
      </c>
    </row>
    <row r="1536" spans="1:17" x14ac:dyDescent="0.35">
      <c r="A1536" s="98" t="s">
        <v>45</v>
      </c>
      <c r="B1536" s="98" t="s">
        <v>185</v>
      </c>
      <c r="C1536" s="98" t="s">
        <v>257</v>
      </c>
      <c r="D1536" s="99">
        <v>15234975.999999991</v>
      </c>
      <c r="E1536" s="99">
        <v>17835892.999999981</v>
      </c>
      <c r="F1536" s="99">
        <v>20017675.000000004</v>
      </c>
      <c r="G1536" s="99">
        <v>0</v>
      </c>
      <c r="H1536" s="98" t="s">
        <v>225</v>
      </c>
      <c r="I1536" s="99">
        <v>160</v>
      </c>
      <c r="J1536" s="98">
        <v>2018</v>
      </c>
      <c r="K1536" s="99">
        <v>306</v>
      </c>
      <c r="L1536" s="98">
        <v>2022</v>
      </c>
      <c r="M1536" s="98" t="s">
        <v>225</v>
      </c>
      <c r="N1536" s="99">
        <v>306</v>
      </c>
      <c r="O1536" s="100">
        <v>0</v>
      </c>
      <c r="P1536" s="100">
        <v>8.9706750315221198E-2</v>
      </c>
      <c r="Q1536" s="100">
        <v>0.15286490563964095</v>
      </c>
    </row>
    <row r="1537" spans="1:17" x14ac:dyDescent="0.35">
      <c r="A1537" s="98" t="s">
        <v>45</v>
      </c>
      <c r="B1537" s="98" t="s">
        <v>185</v>
      </c>
      <c r="C1537" s="98" t="s">
        <v>258</v>
      </c>
      <c r="D1537" s="99">
        <v>15234975.999999991</v>
      </c>
      <c r="E1537" s="99">
        <v>17835892.999999981</v>
      </c>
      <c r="F1537" s="99">
        <v>20017675.000000004</v>
      </c>
      <c r="G1537" s="99">
        <v>282</v>
      </c>
      <c r="H1537" s="98">
        <v>2012</v>
      </c>
      <c r="I1537" s="99">
        <v>412</v>
      </c>
      <c r="J1537" s="98" t="s">
        <v>229</v>
      </c>
      <c r="K1537" s="99">
        <v>743</v>
      </c>
      <c r="L1537" s="98">
        <v>2022</v>
      </c>
      <c r="M1537" s="98" t="s">
        <v>225</v>
      </c>
      <c r="N1537" s="99">
        <v>743</v>
      </c>
      <c r="O1537" s="100">
        <v>0.18510039004984333</v>
      </c>
      <c r="P1537" s="100">
        <v>0.23099488206169461</v>
      </c>
      <c r="Q1537" s="100">
        <v>0.37117197676553337</v>
      </c>
    </row>
    <row r="1538" spans="1:17" x14ac:dyDescent="0.35">
      <c r="A1538" s="98" t="s">
        <v>45</v>
      </c>
      <c r="B1538" s="98" t="s">
        <v>185</v>
      </c>
      <c r="C1538" s="98" t="s">
        <v>259</v>
      </c>
      <c r="D1538" s="99">
        <v>15234975.999999991</v>
      </c>
      <c r="E1538" s="99">
        <v>17835892.999999981</v>
      </c>
      <c r="F1538" s="99">
        <v>20017675.000000004</v>
      </c>
      <c r="G1538" s="99">
        <v>0</v>
      </c>
      <c r="H1538" s="98" t="s">
        <v>225</v>
      </c>
      <c r="I1538" s="99">
        <v>0</v>
      </c>
      <c r="J1538" s="98" t="s">
        <v>225</v>
      </c>
      <c r="K1538" s="99">
        <v>4</v>
      </c>
      <c r="L1538" s="98">
        <v>2022</v>
      </c>
      <c r="M1538" s="98" t="s">
        <v>225</v>
      </c>
      <c r="N1538" s="99">
        <v>4</v>
      </c>
      <c r="O1538" s="100">
        <v>0</v>
      </c>
      <c r="P1538" s="100">
        <v>0</v>
      </c>
      <c r="Q1538" s="100">
        <v>1.998234060648901E-3</v>
      </c>
    </row>
    <row r="1539" spans="1:17" x14ac:dyDescent="0.35">
      <c r="A1539" s="98" t="s">
        <v>46</v>
      </c>
      <c r="B1539" s="98" t="s">
        <v>186</v>
      </c>
      <c r="C1539" s="98" t="s">
        <v>246</v>
      </c>
      <c r="D1539" s="99">
        <v>13555421.500000011</v>
      </c>
      <c r="E1539" s="99">
        <v>15052184.000000007</v>
      </c>
      <c r="F1539" s="99">
        <v>16320536.999999996</v>
      </c>
      <c r="G1539" s="99">
        <v>1114</v>
      </c>
      <c r="H1539" s="98">
        <v>2013</v>
      </c>
      <c r="I1539" s="99">
        <v>3026</v>
      </c>
      <c r="J1539" s="98">
        <v>2018</v>
      </c>
      <c r="K1539" s="99">
        <v>2708</v>
      </c>
      <c r="L1539" s="98">
        <v>2022</v>
      </c>
      <c r="M1539" s="98" t="s">
        <v>226</v>
      </c>
      <c r="N1539" s="99">
        <v>3131.5983655333839</v>
      </c>
      <c r="O1539" s="100">
        <v>0.82181140586443524</v>
      </c>
      <c r="P1539" s="100">
        <v>2.010339496248517</v>
      </c>
      <c r="Q1539" s="100">
        <v>1.9188084102461731</v>
      </c>
    </row>
    <row r="1540" spans="1:17" x14ac:dyDescent="0.35">
      <c r="A1540" s="98" t="s">
        <v>46</v>
      </c>
      <c r="B1540" s="98" t="s">
        <v>186</v>
      </c>
      <c r="C1540" s="98" t="s">
        <v>247</v>
      </c>
      <c r="D1540" s="99">
        <v>13555421.500000011</v>
      </c>
      <c r="E1540" s="99">
        <v>15052184.000000007</v>
      </c>
      <c r="F1540" s="99">
        <v>16320536.999999996</v>
      </c>
      <c r="G1540" s="99">
        <v>1458</v>
      </c>
      <c r="H1540" s="98">
        <v>2014</v>
      </c>
      <c r="I1540" s="99">
        <v>1863</v>
      </c>
      <c r="J1540" s="98">
        <v>2018</v>
      </c>
      <c r="K1540" s="99">
        <v>2032</v>
      </c>
      <c r="L1540" s="98">
        <v>2022</v>
      </c>
      <c r="M1540" s="98" t="s">
        <v>225</v>
      </c>
      <c r="N1540" s="99">
        <v>2032</v>
      </c>
      <c r="O1540" s="100">
        <v>1.0755844073162895</v>
      </c>
      <c r="P1540" s="100">
        <v>1.2376941445839349</v>
      </c>
      <c r="Q1540" s="100">
        <v>1.2450570713451405</v>
      </c>
    </row>
    <row r="1541" spans="1:17" x14ac:dyDescent="0.35">
      <c r="A1541" s="98" t="s">
        <v>46</v>
      </c>
      <c r="B1541" s="98" t="s">
        <v>186</v>
      </c>
      <c r="C1541" s="98" t="s">
        <v>248</v>
      </c>
      <c r="D1541" s="99">
        <v>13555421.500000011</v>
      </c>
      <c r="E1541" s="99">
        <v>15052184.000000007</v>
      </c>
      <c r="F1541" s="99">
        <v>16320536.999999996</v>
      </c>
      <c r="G1541" s="99">
        <v>227</v>
      </c>
      <c r="H1541" s="98">
        <v>2014</v>
      </c>
      <c r="I1541" s="99">
        <v>619</v>
      </c>
      <c r="J1541" s="98">
        <v>2018</v>
      </c>
      <c r="K1541" s="99">
        <v>676</v>
      </c>
      <c r="L1541" s="98">
        <v>2022</v>
      </c>
      <c r="M1541" s="98" t="s">
        <v>225</v>
      </c>
      <c r="N1541" s="99">
        <v>676</v>
      </c>
      <c r="O1541" s="100">
        <v>0.16746067246968294</v>
      </c>
      <c r="P1541" s="100">
        <v>0.41123600402439919</v>
      </c>
      <c r="Q1541" s="100">
        <v>0.41420205719946601</v>
      </c>
    </row>
    <row r="1542" spans="1:17" x14ac:dyDescent="0.35">
      <c r="A1542" s="98" t="s">
        <v>46</v>
      </c>
      <c r="B1542" s="98" t="s">
        <v>186</v>
      </c>
      <c r="C1542" s="98" t="s">
        <v>249</v>
      </c>
      <c r="D1542" s="99">
        <v>13555421.500000011</v>
      </c>
      <c r="E1542" s="99">
        <v>15052184.000000007</v>
      </c>
      <c r="F1542" s="99">
        <v>16320536.999999996</v>
      </c>
      <c r="G1542" s="99">
        <v>18722</v>
      </c>
      <c r="H1542" s="98">
        <v>2013</v>
      </c>
      <c r="I1542" s="99">
        <v>27874</v>
      </c>
      <c r="J1542" s="98">
        <v>2018</v>
      </c>
      <c r="K1542" s="99">
        <v>46537</v>
      </c>
      <c r="L1542" s="98">
        <v>2022</v>
      </c>
      <c r="M1542" s="98" t="s">
        <v>225</v>
      </c>
      <c r="N1542" s="99">
        <v>46537</v>
      </c>
      <c r="O1542" s="100">
        <v>13.811448061574467</v>
      </c>
      <c r="P1542" s="100">
        <v>18.518242934048633</v>
      </c>
      <c r="Q1542" s="100">
        <v>28.514380378537798</v>
      </c>
    </row>
    <row r="1543" spans="1:17" x14ac:dyDescent="0.35">
      <c r="A1543" s="98" t="s">
        <v>46</v>
      </c>
      <c r="B1543" s="98" t="s">
        <v>186</v>
      </c>
      <c r="C1543" s="98" t="s">
        <v>250</v>
      </c>
      <c r="D1543" s="99">
        <v>13555421.500000011</v>
      </c>
      <c r="E1543" s="99">
        <v>15052184.000000007</v>
      </c>
      <c r="F1543" s="99">
        <v>16320536.999999996</v>
      </c>
      <c r="G1543" s="99">
        <v>18315</v>
      </c>
      <c r="H1543" s="98">
        <v>2014</v>
      </c>
      <c r="I1543" s="99">
        <v>19171</v>
      </c>
      <c r="J1543" s="98" t="s">
        <v>229</v>
      </c>
      <c r="K1543" s="99">
        <v>32182</v>
      </c>
      <c r="L1543" s="98">
        <v>2022</v>
      </c>
      <c r="M1543" s="98" t="s">
        <v>225</v>
      </c>
      <c r="N1543" s="99">
        <v>32182</v>
      </c>
      <c r="O1543" s="100">
        <v>13.511199190670673</v>
      </c>
      <c r="P1543" s="100">
        <v>12.736357727224163</v>
      </c>
      <c r="Q1543" s="100">
        <v>19.718713912416</v>
      </c>
    </row>
    <row r="1544" spans="1:17" x14ac:dyDescent="0.35">
      <c r="A1544" s="98" t="s">
        <v>46</v>
      </c>
      <c r="B1544" s="98" t="s">
        <v>186</v>
      </c>
      <c r="C1544" s="98" t="s">
        <v>251</v>
      </c>
      <c r="D1544" s="99">
        <v>13555421.500000011</v>
      </c>
      <c r="E1544" s="99">
        <v>15052184.000000007</v>
      </c>
      <c r="F1544" s="99">
        <v>16320536.999999996</v>
      </c>
      <c r="G1544" s="99">
        <v>2570</v>
      </c>
      <c r="H1544" s="98">
        <v>2014</v>
      </c>
      <c r="I1544" s="99">
        <v>13052</v>
      </c>
      <c r="J1544" s="98">
        <v>2018</v>
      </c>
      <c r="K1544" s="99">
        <v>13052</v>
      </c>
      <c r="L1544" s="98">
        <v>2018</v>
      </c>
      <c r="M1544" s="98" t="s">
        <v>225</v>
      </c>
      <c r="N1544" s="99">
        <v>13052</v>
      </c>
      <c r="O1544" s="100">
        <v>1.8959203887536791</v>
      </c>
      <c r="P1544" s="100">
        <v>8.6711669216905616</v>
      </c>
      <c r="Q1544" s="100">
        <v>7.9972858736204593</v>
      </c>
    </row>
    <row r="1545" spans="1:17" x14ac:dyDescent="0.35">
      <c r="A1545" s="98" t="s">
        <v>46</v>
      </c>
      <c r="B1545" s="98" t="s">
        <v>186</v>
      </c>
      <c r="C1545" s="98" t="s">
        <v>252</v>
      </c>
      <c r="D1545" s="99">
        <v>13555421.500000011</v>
      </c>
      <c r="E1545" s="99">
        <v>15052184.000000007</v>
      </c>
      <c r="F1545" s="99">
        <v>16320536.999999996</v>
      </c>
      <c r="G1545" s="99">
        <v>0</v>
      </c>
      <c r="H1545" s="98" t="s">
        <v>225</v>
      </c>
      <c r="I1545" s="99">
        <v>854</v>
      </c>
      <c r="J1545" s="98" t="s">
        <v>229</v>
      </c>
      <c r="K1545" s="99">
        <v>9601</v>
      </c>
      <c r="L1545" s="98">
        <v>2022</v>
      </c>
      <c r="M1545" s="98" t="s">
        <v>225</v>
      </c>
      <c r="N1545" s="99">
        <v>9601</v>
      </c>
      <c r="O1545" s="100">
        <v>0</v>
      </c>
      <c r="P1545" s="100">
        <v>0.56735952736161055</v>
      </c>
      <c r="Q1545" s="100">
        <v>5.8827721171184519</v>
      </c>
    </row>
    <row r="1546" spans="1:17" x14ac:dyDescent="0.35">
      <c r="A1546" s="98" t="s">
        <v>46</v>
      </c>
      <c r="B1546" s="98" t="s">
        <v>186</v>
      </c>
      <c r="C1546" s="98" t="s">
        <v>253</v>
      </c>
      <c r="D1546" s="99">
        <v>13555421.500000011</v>
      </c>
      <c r="E1546" s="99">
        <v>15052184.000000007</v>
      </c>
      <c r="F1546" s="99">
        <v>16320536.999999996</v>
      </c>
      <c r="G1546" s="99">
        <v>0</v>
      </c>
      <c r="H1546" s="98" t="s">
        <v>225</v>
      </c>
      <c r="I1546" s="99">
        <v>845</v>
      </c>
      <c r="J1546" s="98" t="s">
        <v>229</v>
      </c>
      <c r="K1546" s="99">
        <v>2796</v>
      </c>
      <c r="L1546" s="98">
        <v>2022</v>
      </c>
      <c r="M1546" s="98" t="s">
        <v>225</v>
      </c>
      <c r="N1546" s="99">
        <v>2796</v>
      </c>
      <c r="O1546" s="100">
        <v>0</v>
      </c>
      <c r="P1546" s="100">
        <v>0.56138032859550457</v>
      </c>
      <c r="Q1546" s="100">
        <v>1.7131789229729393</v>
      </c>
    </row>
    <row r="1547" spans="1:17" x14ac:dyDescent="0.35">
      <c r="A1547" s="98" t="s">
        <v>46</v>
      </c>
      <c r="B1547" s="98" t="s">
        <v>186</v>
      </c>
      <c r="C1547" s="98" t="s">
        <v>254</v>
      </c>
      <c r="D1547" s="99">
        <v>13555421.500000011</v>
      </c>
      <c r="E1547" s="99">
        <v>15052184.000000007</v>
      </c>
      <c r="F1547" s="99">
        <v>16320536.999999996</v>
      </c>
      <c r="G1547" s="99">
        <v>0</v>
      </c>
      <c r="H1547" s="98" t="s">
        <v>225</v>
      </c>
      <c r="I1547" s="99">
        <v>9</v>
      </c>
      <c r="J1547" s="98" t="s">
        <v>229</v>
      </c>
      <c r="K1547" s="99">
        <v>9</v>
      </c>
      <c r="L1547" s="98" t="s">
        <v>229</v>
      </c>
      <c r="M1547" s="98" t="s">
        <v>225</v>
      </c>
      <c r="N1547" s="99">
        <v>9</v>
      </c>
      <c r="O1547" s="100">
        <v>0</v>
      </c>
      <c r="P1547" s="100">
        <v>5.9791987661059658E-3</v>
      </c>
      <c r="Q1547" s="100">
        <v>5.5145244301704052E-3</v>
      </c>
    </row>
    <row r="1548" spans="1:17" x14ac:dyDescent="0.35">
      <c r="A1548" s="98" t="s">
        <v>46</v>
      </c>
      <c r="B1548" s="98" t="s">
        <v>186</v>
      </c>
      <c r="C1548" s="98" t="s">
        <v>255</v>
      </c>
      <c r="D1548" s="99">
        <v>13555421.500000011</v>
      </c>
      <c r="E1548" s="99">
        <v>15052184.000000007</v>
      </c>
      <c r="F1548" s="99">
        <v>16320536.999999996</v>
      </c>
      <c r="G1548" s="99">
        <v>394</v>
      </c>
      <c r="H1548" s="98">
        <v>2013</v>
      </c>
      <c r="I1548" s="99">
        <v>1397</v>
      </c>
      <c r="J1548" s="98">
        <v>2018</v>
      </c>
      <c r="K1548" s="99">
        <v>1902</v>
      </c>
      <c r="L1548" s="98">
        <v>2022</v>
      </c>
      <c r="M1548" s="98" t="s">
        <v>225</v>
      </c>
      <c r="N1548" s="99">
        <v>1902</v>
      </c>
      <c r="O1548" s="100">
        <v>0.29065861212799593</v>
      </c>
      <c r="P1548" s="100">
        <v>0.92810451958333706</v>
      </c>
      <c r="Q1548" s="100">
        <v>1.1654028295760124</v>
      </c>
    </row>
    <row r="1549" spans="1:17" x14ac:dyDescent="0.35">
      <c r="A1549" s="98" t="s">
        <v>46</v>
      </c>
      <c r="B1549" s="98" t="s">
        <v>186</v>
      </c>
      <c r="C1549" s="98" t="s">
        <v>256</v>
      </c>
      <c r="D1549" s="99">
        <v>13555421.500000011</v>
      </c>
      <c r="E1549" s="99">
        <v>15052184.000000007</v>
      </c>
      <c r="F1549" s="99">
        <v>16320536.999999996</v>
      </c>
      <c r="G1549" s="99">
        <v>511</v>
      </c>
      <c r="H1549" s="98">
        <v>2014</v>
      </c>
      <c r="I1549" s="99">
        <v>1827</v>
      </c>
      <c r="J1549" s="98">
        <v>2018</v>
      </c>
      <c r="K1549" s="99">
        <v>588</v>
      </c>
      <c r="L1549" s="98">
        <v>2022</v>
      </c>
      <c r="M1549" s="98" t="s">
        <v>226</v>
      </c>
      <c r="N1549" s="99">
        <v>679.97778394890315</v>
      </c>
      <c r="O1549" s="100">
        <v>0.37697094111016732</v>
      </c>
      <c r="P1549" s="100">
        <v>1.213777349519511</v>
      </c>
      <c r="Q1549" s="100">
        <v>0.41663934461770669</v>
      </c>
    </row>
    <row r="1550" spans="1:17" x14ac:dyDescent="0.35">
      <c r="A1550" s="98" t="s">
        <v>46</v>
      </c>
      <c r="B1550" s="98" t="s">
        <v>186</v>
      </c>
      <c r="C1550" s="98" t="s">
        <v>257</v>
      </c>
      <c r="D1550" s="99">
        <v>13555421.500000011</v>
      </c>
      <c r="E1550" s="99">
        <v>15052184.000000007</v>
      </c>
      <c r="F1550" s="99">
        <v>16320536.999999996</v>
      </c>
      <c r="G1550" s="99">
        <v>236</v>
      </c>
      <c r="H1550" s="98">
        <v>2013</v>
      </c>
      <c r="I1550" s="99">
        <v>142</v>
      </c>
      <c r="J1550" s="98" t="s">
        <v>229</v>
      </c>
      <c r="K1550" s="99">
        <v>201</v>
      </c>
      <c r="L1550" s="98">
        <v>2022</v>
      </c>
      <c r="M1550" s="98" t="s">
        <v>225</v>
      </c>
      <c r="N1550" s="99">
        <v>201</v>
      </c>
      <c r="O1550" s="100">
        <v>0.17410008239138841</v>
      </c>
      <c r="P1550" s="100">
        <v>9.4338469420783014E-2</v>
      </c>
      <c r="Q1550" s="100">
        <v>0.12315771227380573</v>
      </c>
    </row>
    <row r="1551" spans="1:17" x14ac:dyDescent="0.35">
      <c r="A1551" s="98" t="s">
        <v>46</v>
      </c>
      <c r="B1551" s="98" t="s">
        <v>186</v>
      </c>
      <c r="C1551" s="98" t="s">
        <v>258</v>
      </c>
      <c r="D1551" s="99">
        <v>13555421.500000011</v>
      </c>
      <c r="E1551" s="99">
        <v>15052184.000000007</v>
      </c>
      <c r="F1551" s="99">
        <v>16320536.999999996</v>
      </c>
      <c r="G1551" s="99">
        <v>171</v>
      </c>
      <c r="H1551" s="98">
        <v>2014</v>
      </c>
      <c r="I1551" s="99">
        <v>508</v>
      </c>
      <c r="J1551" s="98">
        <v>2018</v>
      </c>
      <c r="K1551" s="99">
        <v>178</v>
      </c>
      <c r="L1551" s="98">
        <v>2022</v>
      </c>
      <c r="M1551" s="98" t="s">
        <v>226</v>
      </c>
      <c r="N1551" s="99">
        <v>205.84361486888565</v>
      </c>
      <c r="O1551" s="100">
        <v>0.12614878851240433</v>
      </c>
      <c r="P1551" s="100">
        <v>0.33749255257575894</v>
      </c>
      <c r="Q1551" s="100">
        <v>0.12612551588767312</v>
      </c>
    </row>
    <row r="1552" spans="1:17" x14ac:dyDescent="0.35">
      <c r="A1552" s="98" t="s">
        <v>46</v>
      </c>
      <c r="B1552" s="98" t="s">
        <v>186</v>
      </c>
      <c r="C1552" s="98" t="s">
        <v>259</v>
      </c>
      <c r="D1552" s="99">
        <v>13555421.500000011</v>
      </c>
      <c r="E1552" s="99">
        <v>15052184.000000007</v>
      </c>
      <c r="F1552" s="99">
        <v>16320536.999999996</v>
      </c>
      <c r="G1552" s="99">
        <v>0</v>
      </c>
      <c r="H1552" s="98" t="s">
        <v>225</v>
      </c>
      <c r="I1552" s="99">
        <v>0</v>
      </c>
      <c r="J1552" s="98" t="s">
        <v>225</v>
      </c>
      <c r="K1552" s="99">
        <v>39</v>
      </c>
      <c r="L1552" s="98">
        <v>2022</v>
      </c>
      <c r="M1552" s="98" t="s">
        <v>225</v>
      </c>
      <c r="N1552" s="99">
        <v>39</v>
      </c>
      <c r="O1552" s="100">
        <v>0</v>
      </c>
      <c r="P1552" s="100">
        <v>0</v>
      </c>
      <c r="Q1552" s="100">
        <v>2.3896272530738425E-2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492D-CF61-4280-89F8-6F3888F80B15}">
  <dimension ref="A1:L51"/>
  <sheetViews>
    <sheetView topLeftCell="H1" zoomScale="90" zoomScaleNormal="90" workbookViewId="0">
      <selection activeCell="AI26" sqref="AI26"/>
    </sheetView>
  </sheetViews>
  <sheetFormatPr defaultColWidth="8.81640625" defaultRowHeight="14.5" x14ac:dyDescent="0.35"/>
  <cols>
    <col min="1" max="1" width="27.26953125" style="58" bestFit="1" customWidth="1"/>
    <col min="2" max="2" width="13" style="58" bestFit="1" customWidth="1"/>
    <col min="3" max="3" width="15.08984375" customWidth="1"/>
    <col min="4" max="4" width="15.08984375" style="42" customWidth="1"/>
    <col min="5" max="5" width="16.36328125" customWidth="1"/>
    <col min="8" max="8" width="11" customWidth="1"/>
    <col min="9" max="9" width="13.7265625" customWidth="1"/>
    <col min="10" max="10" width="14.26953125" customWidth="1"/>
    <col min="11" max="11" width="13.26953125" bestFit="1" customWidth="1"/>
    <col min="12" max="12" width="12.08984375" bestFit="1" customWidth="1"/>
  </cols>
  <sheetData>
    <row r="1" spans="1:12" s="61" customFormat="1" ht="44" thickTop="1" x14ac:dyDescent="0.35">
      <c r="A1" s="59" t="s">
        <v>0</v>
      </c>
      <c r="B1" s="60" t="s">
        <v>187</v>
      </c>
      <c r="C1" s="60" t="s">
        <v>135</v>
      </c>
      <c r="D1" s="60" t="s">
        <v>134</v>
      </c>
      <c r="E1" s="60" t="s">
        <v>74</v>
      </c>
      <c r="H1" s="60" t="s">
        <v>187</v>
      </c>
      <c r="I1" s="60" t="s">
        <v>188</v>
      </c>
      <c r="J1" s="60" t="s">
        <v>189</v>
      </c>
      <c r="K1" s="60" t="s">
        <v>74</v>
      </c>
      <c r="L1" s="60" t="s">
        <v>102</v>
      </c>
    </row>
    <row r="2" spans="1:12" x14ac:dyDescent="0.35">
      <c r="A2" s="64" t="s">
        <v>1</v>
      </c>
      <c r="B2" s="65" t="s">
        <v>136</v>
      </c>
      <c r="C2" s="42">
        <v>0.55000000000000004</v>
      </c>
      <c r="D2" s="52">
        <v>0.10730769159999999</v>
      </c>
      <c r="E2" s="47">
        <v>98.058568574484738</v>
      </c>
      <c r="H2" s="65" t="s">
        <v>136</v>
      </c>
      <c r="I2" s="3">
        <v>1.9914855492738153</v>
      </c>
      <c r="J2" s="67">
        <v>1.3590370091771649</v>
      </c>
      <c r="K2" s="47">
        <v>98.058568574484738</v>
      </c>
      <c r="L2" s="67">
        <v>22.857935830441416</v>
      </c>
    </row>
    <row r="3" spans="1:12" x14ac:dyDescent="0.35">
      <c r="A3" s="64" t="s">
        <v>2</v>
      </c>
      <c r="B3" s="65" t="s">
        <v>137</v>
      </c>
      <c r="C3" s="42">
        <v>0.50045872095830901</v>
      </c>
      <c r="D3" s="52">
        <v>5.3643193200000001E-2</v>
      </c>
      <c r="E3" s="47">
        <v>38.456345697593264</v>
      </c>
      <c r="H3" s="65" t="s">
        <v>137</v>
      </c>
      <c r="I3" s="3">
        <v>1.5849680131637138</v>
      </c>
      <c r="J3" s="67">
        <v>1.3258590047651035</v>
      </c>
      <c r="K3" s="47">
        <v>38.456345697593264</v>
      </c>
      <c r="L3" s="67">
        <v>21.176735134619424</v>
      </c>
    </row>
    <row r="4" spans="1:12" x14ac:dyDescent="0.35">
      <c r="A4" s="64" t="s">
        <v>3</v>
      </c>
      <c r="B4" s="65" t="s">
        <v>138</v>
      </c>
      <c r="C4" s="42">
        <v>0.473026044369111</v>
      </c>
      <c r="D4" s="52">
        <v>4.5545940399999998E-2</v>
      </c>
      <c r="E4" s="47">
        <v>18.729624018891407</v>
      </c>
      <c r="H4" s="65" t="s">
        <v>138</v>
      </c>
      <c r="I4" s="3">
        <v>1.2725290593741871</v>
      </c>
      <c r="J4" s="67">
        <v>0.91369125978844856</v>
      </c>
      <c r="K4" s="47">
        <v>18.729624018891407</v>
      </c>
      <c r="L4" s="67">
        <v>8.1976856316297013</v>
      </c>
    </row>
    <row r="5" spans="1:12" x14ac:dyDescent="0.35">
      <c r="A5" s="64" t="s">
        <v>4</v>
      </c>
      <c r="B5" s="65" t="s">
        <v>139</v>
      </c>
      <c r="C5" s="42">
        <v>0.52100000000000002</v>
      </c>
      <c r="D5" s="52">
        <v>0.12006065370000001</v>
      </c>
      <c r="E5" s="47">
        <v>68.115844081394968</v>
      </c>
      <c r="H5" s="65" t="s">
        <v>139</v>
      </c>
      <c r="I5" s="3">
        <v>1.8332481427025307</v>
      </c>
      <c r="J5" s="67">
        <v>1.2148438480476977</v>
      </c>
      <c r="K5" s="47">
        <v>68.115844081394968</v>
      </c>
      <c r="L5" s="67">
        <v>16.399999999999999</v>
      </c>
    </row>
    <row r="6" spans="1:12" x14ac:dyDescent="0.35">
      <c r="A6" s="64" t="s">
        <v>5</v>
      </c>
      <c r="B6" s="65" t="s">
        <v>140</v>
      </c>
      <c r="C6" s="42">
        <v>0.32880543493854802</v>
      </c>
      <c r="D6" s="52">
        <v>0.11463944440000001</v>
      </c>
      <c r="E6" s="47">
        <v>16.827323041243478</v>
      </c>
      <c r="H6" s="65" t="s">
        <v>140</v>
      </c>
      <c r="I6" s="3">
        <v>1.2260150321442151</v>
      </c>
      <c r="J6" s="67">
        <v>0.81243620650053627</v>
      </c>
      <c r="K6" s="47">
        <v>16.827323041243478</v>
      </c>
      <c r="L6" s="67">
        <v>6.4928625093914354</v>
      </c>
    </row>
    <row r="7" spans="1:12" x14ac:dyDescent="0.35">
      <c r="A7" s="64" t="s">
        <v>6</v>
      </c>
      <c r="B7" s="65" t="s">
        <v>141</v>
      </c>
      <c r="C7" s="42">
        <v>0.26769999999999999</v>
      </c>
      <c r="D7" s="52">
        <v>8.3128080399999998E-2</v>
      </c>
      <c r="E7" s="47">
        <v>40.986337247671983</v>
      </c>
      <c r="H7" s="65" t="s">
        <v>141</v>
      </c>
      <c r="I7" s="3">
        <v>1.6126391092362451</v>
      </c>
      <c r="J7" s="67">
        <v>0.76314631612737616</v>
      </c>
      <c r="K7" s="47">
        <v>40.986337247671983</v>
      </c>
      <c r="L7" s="67">
        <v>5.7962394193302087</v>
      </c>
    </row>
    <row r="8" spans="1:12" x14ac:dyDescent="0.35">
      <c r="A8" s="64" t="s">
        <v>60</v>
      </c>
      <c r="B8" s="65" t="s">
        <v>142</v>
      </c>
      <c r="C8" s="42">
        <v>0.32863412813189302</v>
      </c>
      <c r="D8" s="52">
        <v>0.10392424580000001</v>
      </c>
      <c r="E8" s="47">
        <v>104.36309518407614</v>
      </c>
      <c r="H8" s="65" t="s">
        <v>142</v>
      </c>
      <c r="I8" s="3">
        <v>2.0185469508558489</v>
      </c>
      <c r="J8" s="67">
        <v>1.3590370091771649</v>
      </c>
      <c r="K8" s="47">
        <v>104.36309518407614</v>
      </c>
      <c r="L8" s="67">
        <v>22.857935830441416</v>
      </c>
    </row>
    <row r="9" spans="1:12" x14ac:dyDescent="0.35">
      <c r="A9" s="64" t="s">
        <v>7</v>
      </c>
      <c r="B9" s="65" t="s">
        <v>143</v>
      </c>
      <c r="C9" s="42">
        <v>0.60169835832363905</v>
      </c>
      <c r="D9" s="52">
        <v>3.6992728700000005E-2</v>
      </c>
      <c r="E9" s="47">
        <v>11.326441981493597</v>
      </c>
      <c r="H9" s="65" t="s">
        <v>143</v>
      </c>
      <c r="I9" s="3">
        <v>1.0540935047016506</v>
      </c>
      <c r="J9" s="67">
        <v>0.7669627175435717</v>
      </c>
      <c r="K9" s="47">
        <v>11.326441981493597</v>
      </c>
      <c r="L9" s="67">
        <v>5.8473988439306357</v>
      </c>
    </row>
    <row r="10" spans="1:12" x14ac:dyDescent="0.35">
      <c r="A10" s="64" t="s">
        <v>8</v>
      </c>
      <c r="B10" s="65" t="s">
        <v>144</v>
      </c>
      <c r="C10" s="42">
        <v>0.60169835832363905</v>
      </c>
      <c r="D10" s="52">
        <v>4.8423175799999996E-2</v>
      </c>
      <c r="E10" s="47">
        <v>10.210731090719779</v>
      </c>
      <c r="H10" s="65" t="s">
        <v>144</v>
      </c>
      <c r="I10" s="3">
        <v>1.0090568387860535</v>
      </c>
      <c r="J10" s="67">
        <v>1.6450234519046578</v>
      </c>
      <c r="K10" s="47">
        <v>10.210731090719779</v>
      </c>
      <c r="L10" s="67">
        <v>44.159429280397021</v>
      </c>
    </row>
    <row r="11" spans="1:12" x14ac:dyDescent="0.35">
      <c r="A11" s="64" t="s">
        <v>9</v>
      </c>
      <c r="B11" s="65" t="s">
        <v>145</v>
      </c>
      <c r="C11" s="42">
        <v>0.35310312003413502</v>
      </c>
      <c r="D11" s="52">
        <v>4.8723001500000002E-2</v>
      </c>
      <c r="E11" s="47">
        <v>22.710971898965504</v>
      </c>
      <c r="H11" s="65" t="s">
        <v>145</v>
      </c>
      <c r="I11" s="3">
        <v>1.3562357199232156</v>
      </c>
      <c r="J11" s="67">
        <v>0.17779406880755011</v>
      </c>
      <c r="K11" s="47">
        <v>22.710971898965504</v>
      </c>
      <c r="L11" s="67">
        <v>1.5058928414930488</v>
      </c>
    </row>
    <row r="12" spans="1:12" x14ac:dyDescent="0.35">
      <c r="A12" s="64" t="s">
        <v>10</v>
      </c>
      <c r="B12" s="65" t="s">
        <v>146</v>
      </c>
      <c r="C12" s="42">
        <v>0.65</v>
      </c>
      <c r="D12" s="52">
        <v>4.1246685999999998E-2</v>
      </c>
      <c r="E12" s="47">
        <v>31.333794542132008</v>
      </c>
      <c r="H12" s="65" t="s">
        <v>146</v>
      </c>
      <c r="I12" s="3">
        <v>1.4960129914001041</v>
      </c>
      <c r="J12" s="67">
        <v>1.4544526651817888</v>
      </c>
      <c r="K12" s="47">
        <v>31.333794542132008</v>
      </c>
      <c r="L12" s="67">
        <v>28.47427435177109</v>
      </c>
    </row>
    <row r="13" spans="1:12" x14ac:dyDescent="0.35">
      <c r="A13" s="64" t="s">
        <v>147</v>
      </c>
      <c r="B13" s="65" t="s">
        <v>148</v>
      </c>
      <c r="C13" s="42">
        <v>0.43066371754243699</v>
      </c>
      <c r="D13" s="52">
        <v>8.2168407400000004E-2</v>
      </c>
      <c r="E13" s="47">
        <v>20.330016447381468</v>
      </c>
      <c r="H13" s="65" t="s">
        <v>148</v>
      </c>
      <c r="I13" s="3">
        <v>1.3081377299909223</v>
      </c>
      <c r="J13" s="67">
        <v>1.7413486024758948</v>
      </c>
      <c r="K13" s="47">
        <v>20.330016447381468</v>
      </c>
      <c r="L13" s="67">
        <v>55.125</v>
      </c>
    </row>
    <row r="14" spans="1:12" x14ac:dyDescent="0.35">
      <c r="A14" s="64" t="s">
        <v>149</v>
      </c>
      <c r="B14" s="65" t="s">
        <v>150</v>
      </c>
      <c r="C14" s="42">
        <v>0.373</v>
      </c>
      <c r="D14" s="52">
        <v>6.6596483200000001E-2</v>
      </c>
      <c r="E14" s="47">
        <v>25.91975377602575</v>
      </c>
      <c r="H14" s="65" t="s">
        <v>150</v>
      </c>
      <c r="I14" s="3">
        <v>1.4136308716498971</v>
      </c>
      <c r="J14" s="67">
        <v>1.3067231622417232</v>
      </c>
      <c r="K14" s="47">
        <v>25.91975377602575</v>
      </c>
      <c r="L14" s="67">
        <v>20.263906002583152</v>
      </c>
    </row>
    <row r="15" spans="1:12" ht="29" x14ac:dyDescent="0.35">
      <c r="A15" s="64" t="s">
        <v>82</v>
      </c>
      <c r="B15" s="65" t="s">
        <v>151</v>
      </c>
      <c r="C15" s="42">
        <v>0.473026044369111</v>
      </c>
      <c r="D15" s="52">
        <v>6.2699966400000001E-2</v>
      </c>
      <c r="E15" s="47">
        <v>15.888047021793218</v>
      </c>
      <c r="H15" s="65" t="s">
        <v>151</v>
      </c>
      <c r="I15" s="3">
        <v>1.2010705164782889</v>
      </c>
      <c r="J15" s="67">
        <v>0.65717737391864628</v>
      </c>
      <c r="K15" s="47">
        <v>15.888047021793218</v>
      </c>
      <c r="L15" s="67">
        <v>4.5412705268813731</v>
      </c>
    </row>
    <row r="16" spans="1:12" x14ac:dyDescent="0.35">
      <c r="A16" s="64" t="s">
        <v>14</v>
      </c>
      <c r="B16" s="65" t="s">
        <v>152</v>
      </c>
      <c r="C16" s="42">
        <v>0.473026044369111</v>
      </c>
      <c r="D16" s="52">
        <v>5.2922940299999999E-2</v>
      </c>
      <c r="E16" s="47">
        <v>27.930586305707227</v>
      </c>
      <c r="H16" s="65" t="s">
        <v>152</v>
      </c>
      <c r="I16" s="3">
        <v>1.4460800523018218</v>
      </c>
      <c r="J16" s="67">
        <v>-2.0394658534172067E-2</v>
      </c>
      <c r="K16" s="47">
        <v>27.930586305707227</v>
      </c>
      <c r="L16" s="67">
        <v>0.95412514516632685</v>
      </c>
    </row>
    <row r="17" spans="1:12" x14ac:dyDescent="0.35">
      <c r="A17" s="64" t="s">
        <v>15</v>
      </c>
      <c r="B17" s="65" t="s">
        <v>153</v>
      </c>
      <c r="C17" s="42">
        <v>0.67300000000000004</v>
      </c>
      <c r="D17" s="52">
        <v>2.3541069000000001E-2</v>
      </c>
      <c r="E17" s="47">
        <v>38.107951184321514</v>
      </c>
      <c r="H17" s="65" t="s">
        <v>153</v>
      </c>
      <c r="I17" s="3">
        <v>1.5810156002215963</v>
      </c>
      <c r="J17" s="67">
        <v>1.1226923285672605</v>
      </c>
      <c r="K17" s="47">
        <v>38.107951184321514</v>
      </c>
      <c r="L17" s="67">
        <v>13.264544118808269</v>
      </c>
    </row>
    <row r="18" spans="1:12" x14ac:dyDescent="0.35">
      <c r="A18" s="64" t="s">
        <v>16</v>
      </c>
      <c r="B18" s="65" t="s">
        <v>154</v>
      </c>
      <c r="C18" s="42">
        <v>0.3</v>
      </c>
      <c r="D18" s="52">
        <v>9.9682931900000007E-2</v>
      </c>
      <c r="E18" s="47">
        <v>140.19826135915432</v>
      </c>
      <c r="H18" s="65" t="s">
        <v>154</v>
      </c>
      <c r="I18" s="3">
        <v>2.1467426278474209</v>
      </c>
      <c r="J18" s="67">
        <v>1.5688614676890389</v>
      </c>
      <c r="K18" s="47">
        <v>140.19826135915432</v>
      </c>
      <c r="L18" s="67">
        <v>37.056249999999999</v>
      </c>
    </row>
    <row r="19" spans="1:12" x14ac:dyDescent="0.35">
      <c r="A19" s="64" t="s">
        <v>17</v>
      </c>
      <c r="B19" s="65" t="s">
        <v>155</v>
      </c>
      <c r="C19" s="42">
        <v>0.18662367321998</v>
      </c>
      <c r="D19" s="52">
        <v>6.79223251E-2</v>
      </c>
      <c r="E19" s="47">
        <v>33.829583652601642</v>
      </c>
      <c r="H19" s="65" t="s">
        <v>155</v>
      </c>
      <c r="I19" s="3">
        <v>1.5292966528725109</v>
      </c>
      <c r="J19" s="67">
        <v>1.2166581852846132</v>
      </c>
      <c r="K19" s="47">
        <v>33.829583652601642</v>
      </c>
      <c r="L19" s="67">
        <v>16.468657033574161</v>
      </c>
    </row>
    <row r="20" spans="1:12" x14ac:dyDescent="0.35">
      <c r="A20" s="64" t="s">
        <v>18</v>
      </c>
      <c r="B20" s="65" t="s">
        <v>156</v>
      </c>
      <c r="C20" s="42">
        <v>0.487577741763977</v>
      </c>
      <c r="D20" s="52">
        <v>9.5915584600000006E-2</v>
      </c>
      <c r="E20" s="47">
        <v>57.112151673993168</v>
      </c>
      <c r="H20" s="65" t="s">
        <v>156</v>
      </c>
      <c r="I20" s="3">
        <v>1.7567285223174451</v>
      </c>
      <c r="J20" s="67">
        <v>1.6301601552531939</v>
      </c>
      <c r="K20" s="47">
        <v>57.112151673993168</v>
      </c>
      <c r="L20" s="67">
        <v>42.673685800866124</v>
      </c>
    </row>
    <row r="21" spans="1:12" x14ac:dyDescent="0.35">
      <c r="A21" s="64" t="s">
        <v>157</v>
      </c>
      <c r="B21" s="65" t="s">
        <v>158</v>
      </c>
      <c r="C21" s="42">
        <v>0.170669454827377</v>
      </c>
      <c r="D21" s="52">
        <v>5.4796643300000003E-2</v>
      </c>
      <c r="E21" s="47">
        <v>34.171087572485987</v>
      </c>
      <c r="H21" s="65" t="s">
        <v>158</v>
      </c>
      <c r="I21" s="3">
        <v>1.5336588014271741</v>
      </c>
      <c r="J21" s="67">
        <v>1.027163743248569</v>
      </c>
      <c r="K21" s="47">
        <v>34.171087572485987</v>
      </c>
      <c r="L21" s="67">
        <v>10.645443106523956</v>
      </c>
    </row>
    <row r="22" spans="1:12" x14ac:dyDescent="0.35">
      <c r="A22" s="64" t="s">
        <v>20</v>
      </c>
      <c r="B22" s="65" t="s">
        <v>159</v>
      </c>
      <c r="C22" s="42">
        <v>0.57699999999999996</v>
      </c>
      <c r="D22" s="52">
        <v>6.8515443800000006E-2</v>
      </c>
      <c r="E22" s="47">
        <v>70.640914271306528</v>
      </c>
      <c r="H22" s="65" t="s">
        <v>159</v>
      </c>
      <c r="I22" s="3">
        <v>1.8490563114700485</v>
      </c>
      <c r="J22" s="67">
        <v>0.7517158637564777</v>
      </c>
      <c r="K22" s="47">
        <v>70.640914271306528</v>
      </c>
      <c r="L22" s="67">
        <v>5.6456748687645337</v>
      </c>
    </row>
    <row r="23" spans="1:12" x14ac:dyDescent="0.35">
      <c r="A23" s="64" t="s">
        <v>21</v>
      </c>
      <c r="B23" s="65" t="s">
        <v>160</v>
      </c>
      <c r="C23" s="42">
        <v>0.391998679499238</v>
      </c>
      <c r="D23" s="52">
        <v>6.1485252399999996E-2</v>
      </c>
      <c r="E23" s="47">
        <v>17.813553305551778</v>
      </c>
      <c r="H23" s="65" t="s">
        <v>160</v>
      </c>
      <c r="I23" s="3">
        <v>1.250750557704271</v>
      </c>
      <c r="J23" s="67">
        <v>0.49089436829734151</v>
      </c>
      <c r="K23" s="47">
        <v>17.813553305551778</v>
      </c>
      <c r="L23" s="67">
        <v>3.096666017972511</v>
      </c>
    </row>
    <row r="24" spans="1:12" x14ac:dyDescent="0.35">
      <c r="A24" s="64" t="s">
        <v>22</v>
      </c>
      <c r="B24" s="65" t="s">
        <v>161</v>
      </c>
      <c r="C24" s="42">
        <v>0.473026044369111</v>
      </c>
      <c r="D24" s="52">
        <v>2.7522828600000004E-2</v>
      </c>
      <c r="E24" s="47">
        <v>43.637164811660909</v>
      </c>
      <c r="H24" s="65" t="s">
        <v>161</v>
      </c>
      <c r="I24" s="3">
        <v>1.6398565259069067</v>
      </c>
      <c r="J24" s="67">
        <v>1.3590370091771649</v>
      </c>
      <c r="K24" s="47">
        <v>43.637164811660909</v>
      </c>
      <c r="L24" s="67">
        <v>22.857935830441416</v>
      </c>
    </row>
    <row r="25" spans="1:12" x14ac:dyDescent="0.35">
      <c r="A25" s="64" t="s">
        <v>23</v>
      </c>
      <c r="B25" s="65" t="s">
        <v>162</v>
      </c>
      <c r="C25" s="42">
        <v>0.437</v>
      </c>
      <c r="D25" s="52">
        <v>8.2324161500000007E-2</v>
      </c>
      <c r="E25" s="47">
        <v>52.761765904512501</v>
      </c>
      <c r="H25" s="65" t="s">
        <v>162</v>
      </c>
      <c r="I25" s="3">
        <v>1.7223193226922009</v>
      </c>
      <c r="J25" s="67">
        <v>1.8763079356017813</v>
      </c>
      <c r="K25" s="47">
        <v>52.761765904512501</v>
      </c>
      <c r="L25" s="67">
        <v>75.215601965601962</v>
      </c>
    </row>
    <row r="26" spans="1:12" x14ac:dyDescent="0.35">
      <c r="A26" s="64" t="s">
        <v>24</v>
      </c>
      <c r="B26" s="65" t="s">
        <v>163</v>
      </c>
      <c r="C26" s="42">
        <v>0.2407</v>
      </c>
      <c r="D26" s="52">
        <v>0.1107517719</v>
      </c>
      <c r="E26" s="47">
        <v>125.68172362603974</v>
      </c>
      <c r="H26" s="65" t="s">
        <v>163</v>
      </c>
      <c r="I26" s="3">
        <v>2.099272128080174</v>
      </c>
      <c r="J26" s="67">
        <v>0.6641545288300662</v>
      </c>
      <c r="K26" s="47">
        <v>125.68172362603974</v>
      </c>
      <c r="L26" s="67">
        <v>4.6148174783924176</v>
      </c>
    </row>
    <row r="27" spans="1:12" x14ac:dyDescent="0.35">
      <c r="A27" s="64" t="s">
        <v>25</v>
      </c>
      <c r="B27" s="65" t="s">
        <v>164</v>
      </c>
      <c r="C27" s="42">
        <v>0.71079999999999999</v>
      </c>
      <c r="D27" s="52">
        <v>4.5191278500000001E-2</v>
      </c>
      <c r="E27" s="47">
        <v>57.003752262980719</v>
      </c>
      <c r="H27" s="65" t="s">
        <v>164</v>
      </c>
      <c r="I27" s="3">
        <v>1.7559034439790238</v>
      </c>
      <c r="J27" s="67">
        <v>1.7668164389653847</v>
      </c>
      <c r="K27" s="47">
        <v>57.003752262980719</v>
      </c>
      <c r="L27" s="67">
        <v>58.454296612863345</v>
      </c>
    </row>
    <row r="28" spans="1:12" x14ac:dyDescent="0.35">
      <c r="A28" s="64" t="s">
        <v>26</v>
      </c>
      <c r="B28" s="65" t="s">
        <v>165</v>
      </c>
      <c r="C28" s="42">
        <v>0.45</v>
      </c>
      <c r="D28" s="52">
        <v>8.78966999E-2</v>
      </c>
      <c r="E28" s="47">
        <v>21.968767905514429</v>
      </c>
      <c r="H28" s="65" t="s">
        <v>165</v>
      </c>
      <c r="I28" s="3">
        <v>1.3418057006692128</v>
      </c>
      <c r="J28" s="67">
        <v>0.53502448869900099</v>
      </c>
      <c r="K28" s="47">
        <v>21.968767905514429</v>
      </c>
      <c r="L28" s="67">
        <v>3.4278711484593836</v>
      </c>
    </row>
    <row r="29" spans="1:12" x14ac:dyDescent="0.35">
      <c r="A29" s="64" t="s">
        <v>27</v>
      </c>
      <c r="B29" s="65" t="s">
        <v>166</v>
      </c>
      <c r="C29" s="42">
        <v>0.116668416553577</v>
      </c>
      <c r="D29" s="52">
        <v>8.6677389100000002E-2</v>
      </c>
      <c r="E29" s="47">
        <v>18.931285154211427</v>
      </c>
      <c r="H29" s="65" t="s">
        <v>166</v>
      </c>
      <c r="I29" s="3">
        <v>1.2771800971353457</v>
      </c>
      <c r="J29" s="67">
        <v>1.3293659557938311</v>
      </c>
      <c r="K29" s="47">
        <v>18.931285154211427</v>
      </c>
      <c r="L29" s="67">
        <v>21.348430688993169</v>
      </c>
    </row>
    <row r="30" spans="1:12" x14ac:dyDescent="0.35">
      <c r="A30" s="64" t="s">
        <v>28</v>
      </c>
      <c r="B30" s="65" t="s">
        <v>167</v>
      </c>
      <c r="C30" s="42">
        <v>0.38900000000000001</v>
      </c>
      <c r="D30" s="52">
        <v>5.6687855699999998E-2</v>
      </c>
      <c r="E30" s="47">
        <v>16.946843842481947</v>
      </c>
      <c r="H30" s="65" t="s">
        <v>167</v>
      </c>
      <c r="I30" s="3">
        <v>1.2290888276467695</v>
      </c>
      <c r="J30" s="67">
        <v>1.3590370091771649</v>
      </c>
      <c r="K30" s="47">
        <v>16.946843842481947</v>
      </c>
      <c r="L30" s="67">
        <v>22.857935830441416</v>
      </c>
    </row>
    <row r="31" spans="1:12" x14ac:dyDescent="0.35">
      <c r="A31" s="64" t="s">
        <v>29</v>
      </c>
      <c r="B31" s="65" t="s">
        <v>168</v>
      </c>
      <c r="C31" s="42">
        <v>0.35207721704356598</v>
      </c>
      <c r="D31" s="52">
        <v>6.9763922699999995E-2</v>
      </c>
      <c r="E31" s="47">
        <v>43.978835355257424</v>
      </c>
      <c r="H31" s="65" t="s">
        <v>168</v>
      </c>
      <c r="I31" s="3">
        <v>1.6432437242179894</v>
      </c>
      <c r="J31" s="67">
        <v>1.837679746129431</v>
      </c>
      <c r="K31" s="47">
        <v>43.978835355257424</v>
      </c>
      <c r="L31" s="67">
        <v>68.81446632132112</v>
      </c>
    </row>
    <row r="32" spans="1:12" x14ac:dyDescent="0.35">
      <c r="A32" s="64" t="s">
        <v>30</v>
      </c>
      <c r="B32" s="65" t="s">
        <v>169</v>
      </c>
      <c r="C32" s="42">
        <v>0.55969999999999998</v>
      </c>
      <c r="D32" s="52">
        <v>0.102022686</v>
      </c>
      <c r="E32" s="47">
        <v>117.20284698003086</v>
      </c>
      <c r="H32" s="65" t="s">
        <v>169</v>
      </c>
      <c r="I32" s="3">
        <v>2.0689381612784907</v>
      </c>
      <c r="J32" s="67">
        <v>1.0251934156706199</v>
      </c>
      <c r="K32" s="47">
        <v>117.20284698003086</v>
      </c>
      <c r="L32" s="67">
        <v>10.597255752844539</v>
      </c>
    </row>
    <row r="33" spans="1:12" x14ac:dyDescent="0.35">
      <c r="A33" s="64" t="s">
        <v>31</v>
      </c>
      <c r="B33" s="65" t="s">
        <v>170</v>
      </c>
      <c r="C33" s="42">
        <v>0.61</v>
      </c>
      <c r="D33" s="52">
        <v>7.2900424000000005E-2</v>
      </c>
      <c r="E33" s="47">
        <v>54.608508445493854</v>
      </c>
      <c r="H33" s="65" t="s">
        <v>170</v>
      </c>
      <c r="I33" s="3">
        <v>1.7372603145553582</v>
      </c>
      <c r="J33" s="67">
        <v>1.2137711551232062</v>
      </c>
      <c r="K33" s="47">
        <v>54.608508445493854</v>
      </c>
      <c r="L33" s="67">
        <v>16.359542530378842</v>
      </c>
    </row>
    <row r="34" spans="1:12" x14ac:dyDescent="0.35">
      <c r="A34" s="64" t="s">
        <v>32</v>
      </c>
      <c r="B34" s="65" t="s">
        <v>171</v>
      </c>
      <c r="C34" s="42">
        <v>0.4869</v>
      </c>
      <c r="D34" s="52">
        <v>0.10652340890000001</v>
      </c>
      <c r="E34" s="47">
        <v>105.35216319078796</v>
      </c>
      <c r="H34" s="65" t="s">
        <v>171</v>
      </c>
      <c r="I34" s="3">
        <v>2.0226434573829182</v>
      </c>
      <c r="J34" s="67">
        <v>1.4050950942181666</v>
      </c>
      <c r="K34" s="47">
        <v>105.35216319078796</v>
      </c>
      <c r="L34" s="67">
        <v>25.415291442768822</v>
      </c>
    </row>
    <row r="35" spans="1:12" x14ac:dyDescent="0.35">
      <c r="A35" s="64" t="s">
        <v>33</v>
      </c>
      <c r="B35" s="65" t="s">
        <v>172</v>
      </c>
      <c r="C35" s="42">
        <v>0.17051779817360399</v>
      </c>
      <c r="D35" s="52">
        <v>0.1023069668</v>
      </c>
      <c r="E35" s="47">
        <v>4.955848322257995</v>
      </c>
      <c r="H35" s="65" t="s">
        <v>172</v>
      </c>
      <c r="I35" s="3">
        <v>0.69511800597391782</v>
      </c>
      <c r="J35" s="67">
        <v>0.89256200067381375</v>
      </c>
      <c r="K35" s="47">
        <v>4.955848322257995</v>
      </c>
      <c r="L35" s="67">
        <v>7.8083990631299782</v>
      </c>
    </row>
    <row r="36" spans="1:12" x14ac:dyDescent="0.35">
      <c r="A36" s="64" t="s">
        <v>34</v>
      </c>
      <c r="B36" s="65" t="s">
        <v>173</v>
      </c>
      <c r="C36" s="42">
        <v>0.66749999999999998</v>
      </c>
      <c r="D36" s="52">
        <v>4.2245168700000002E-2</v>
      </c>
      <c r="E36" s="47">
        <v>36.583982353138666</v>
      </c>
      <c r="H36" s="65" t="s">
        <v>173</v>
      </c>
      <c r="I36" s="3">
        <v>1.5632909788838778</v>
      </c>
      <c r="J36" s="67">
        <v>1.2520463655347098</v>
      </c>
      <c r="K36" s="47">
        <v>36.583982353138666</v>
      </c>
      <c r="L36" s="67">
        <v>17.866783114992721</v>
      </c>
    </row>
    <row r="37" spans="1:12" x14ac:dyDescent="0.35">
      <c r="A37" s="64" t="s">
        <v>35</v>
      </c>
      <c r="B37" s="65" t="s">
        <v>174</v>
      </c>
      <c r="C37" s="42">
        <v>7.4999999999999997E-2</v>
      </c>
      <c r="D37" s="52">
        <v>8.8827714899999993E-2</v>
      </c>
      <c r="E37" s="47">
        <v>59.624042517676429</v>
      </c>
      <c r="H37" s="65" t="s">
        <v>174</v>
      </c>
      <c r="I37" s="3">
        <v>1.7754214179160368</v>
      </c>
      <c r="J37" s="67">
        <v>1.6169097533210601</v>
      </c>
      <c r="K37" s="47">
        <v>59.624042517676429</v>
      </c>
      <c r="L37" s="67">
        <v>41.391365435291313</v>
      </c>
    </row>
    <row r="38" spans="1:12" x14ac:dyDescent="0.35">
      <c r="A38" s="64" t="s">
        <v>175</v>
      </c>
      <c r="B38" s="65" t="s">
        <v>176</v>
      </c>
      <c r="C38" s="42">
        <v>0.477408095311257</v>
      </c>
      <c r="D38" s="52">
        <v>0.10762632370000001</v>
      </c>
      <c r="E38" s="47">
        <v>63.393220513883151</v>
      </c>
      <c r="H38" s="65" t="s">
        <v>176</v>
      </c>
      <c r="I38" s="3">
        <v>1.8020428154394388</v>
      </c>
      <c r="J38" s="67">
        <v>1.3590370091771649</v>
      </c>
      <c r="K38" s="47">
        <v>63.393220513883151</v>
      </c>
      <c r="L38" s="67">
        <v>22.857935830441416</v>
      </c>
    </row>
    <row r="39" spans="1:12" x14ac:dyDescent="0.35">
      <c r="A39" s="64" t="s">
        <v>37</v>
      </c>
      <c r="B39" s="65" t="s">
        <v>177</v>
      </c>
      <c r="C39" s="42">
        <v>0.473026044369111</v>
      </c>
      <c r="D39" s="52">
        <v>6.4810943600000004E-2</v>
      </c>
      <c r="E39" s="47">
        <v>23.796885847380697</v>
      </c>
      <c r="H39" s="65" t="s">
        <v>177</v>
      </c>
      <c r="I39" s="3">
        <v>1.3765201273174978</v>
      </c>
      <c r="J39" s="67">
        <v>0.85630195700274225</v>
      </c>
      <c r="K39" s="47">
        <v>23.796885847380697</v>
      </c>
      <c r="L39" s="67">
        <v>7.1829353403866092</v>
      </c>
    </row>
    <row r="40" spans="1:12" x14ac:dyDescent="0.35">
      <c r="A40" s="64" t="s">
        <v>38</v>
      </c>
      <c r="B40" s="65" t="s">
        <v>178</v>
      </c>
      <c r="C40" s="42">
        <v>0.377</v>
      </c>
      <c r="D40" s="52">
        <v>0.10179439540000002</v>
      </c>
      <c r="E40" s="47">
        <v>296.4662893379861</v>
      </c>
      <c r="H40" s="65" t="s">
        <v>178</v>
      </c>
      <c r="I40" s="3">
        <v>2.4719753176435297</v>
      </c>
      <c r="J40" s="67">
        <v>1.6242820958356683</v>
      </c>
      <c r="K40" s="47">
        <v>296.4662893379861</v>
      </c>
      <c r="L40" s="67">
        <v>42.1</v>
      </c>
    </row>
    <row r="41" spans="1:12" x14ac:dyDescent="0.35">
      <c r="A41" s="64" t="s">
        <v>39</v>
      </c>
      <c r="B41" s="65" t="s">
        <v>179</v>
      </c>
      <c r="C41" s="42">
        <v>0.33232562471434801</v>
      </c>
      <c r="D41" s="52">
        <v>5.2879381199999999E-2</v>
      </c>
      <c r="E41" s="47">
        <v>45.477301239981145</v>
      </c>
      <c r="H41" s="65" t="s">
        <v>179</v>
      </c>
      <c r="I41" s="3">
        <v>1.657794684437857</v>
      </c>
      <c r="J41" s="67">
        <v>0.92967794312633822</v>
      </c>
      <c r="K41" s="47">
        <v>45.477301239981145</v>
      </c>
      <c r="L41" s="67">
        <v>8.5050709939148081</v>
      </c>
    </row>
    <row r="42" spans="1:12" x14ac:dyDescent="0.35">
      <c r="A42" s="64" t="s">
        <v>40</v>
      </c>
      <c r="B42" s="65" t="s">
        <v>180</v>
      </c>
      <c r="C42" s="42">
        <v>0.54793438602622901</v>
      </c>
      <c r="D42" s="52">
        <v>0.1528983974</v>
      </c>
      <c r="E42" s="47">
        <v>110.14054068074168</v>
      </c>
      <c r="H42" s="65" t="s">
        <v>180</v>
      </c>
      <c r="I42" s="3">
        <v>2.0419472041053712</v>
      </c>
      <c r="J42" s="67">
        <v>2.0303780382652743</v>
      </c>
      <c r="K42" s="47">
        <v>110.14054068074168</v>
      </c>
      <c r="L42" s="67">
        <v>107.24524316516025</v>
      </c>
    </row>
    <row r="43" spans="1:12" x14ac:dyDescent="0.35">
      <c r="A43" s="64" t="s">
        <v>41</v>
      </c>
      <c r="B43" s="65" t="s">
        <v>181</v>
      </c>
      <c r="C43" s="42">
        <v>0.24952584171475101</v>
      </c>
      <c r="D43" s="52">
        <v>2.10620522E-2</v>
      </c>
      <c r="E43" s="47">
        <v>19.70458233636975</v>
      </c>
      <c r="H43" s="65" t="s">
        <v>181</v>
      </c>
      <c r="I43" s="3">
        <v>1.2945672338764618</v>
      </c>
      <c r="J43" s="67">
        <v>1.3157352315928863</v>
      </c>
      <c r="K43" s="47">
        <v>19.70458233636975</v>
      </c>
      <c r="L43" s="67">
        <v>20.688796680497926</v>
      </c>
    </row>
    <row r="44" spans="1:12" x14ac:dyDescent="0.35">
      <c r="A44" s="64" t="s">
        <v>43</v>
      </c>
      <c r="B44" s="65" t="s">
        <v>182</v>
      </c>
      <c r="C44" s="42">
        <v>0.25088889751308202</v>
      </c>
      <c r="D44" s="52">
        <v>5.3817400899999999E-2</v>
      </c>
      <c r="E44" s="47">
        <v>30.235229462209936</v>
      </c>
      <c r="H44" s="65" t="s">
        <v>182</v>
      </c>
      <c r="I44" s="3">
        <v>1.4805132689166067</v>
      </c>
      <c r="J44" s="67">
        <v>1.0252800151720924</v>
      </c>
      <c r="K44" s="47">
        <v>30.235229462209936</v>
      </c>
      <c r="L44" s="67">
        <v>10.599369085173501</v>
      </c>
    </row>
    <row r="45" spans="1:12" x14ac:dyDescent="0.35">
      <c r="A45" s="64" t="s">
        <v>44</v>
      </c>
      <c r="B45" s="65" t="s">
        <v>183</v>
      </c>
      <c r="C45" s="42">
        <v>0.56299999999999994</v>
      </c>
      <c r="D45" s="52">
        <v>3.1388299500000001E-2</v>
      </c>
      <c r="E45" s="47">
        <v>70.939806529751905</v>
      </c>
      <c r="H45" s="65" t="s">
        <v>183</v>
      </c>
      <c r="I45" s="3">
        <v>1.8508899997099904</v>
      </c>
      <c r="J45" s="67">
        <v>0.71631219217137176</v>
      </c>
      <c r="K45" s="47">
        <v>70.939806529751905</v>
      </c>
      <c r="L45" s="67">
        <v>5.2036992954099146</v>
      </c>
    </row>
    <row r="46" spans="1:12" x14ac:dyDescent="0.35">
      <c r="A46" s="64" t="s">
        <v>42</v>
      </c>
      <c r="B46" s="65" t="s">
        <v>184</v>
      </c>
      <c r="C46" s="42">
        <v>0.56999999999999995</v>
      </c>
      <c r="D46" s="52">
        <v>9.4023561499999991E-2</v>
      </c>
      <c r="E46" s="47">
        <v>28.683351968574311</v>
      </c>
      <c r="H46" s="65" t="s">
        <v>184</v>
      </c>
      <c r="I46" s="3">
        <v>1.4576299021000942</v>
      </c>
      <c r="J46" s="67">
        <v>1.0969955271941416</v>
      </c>
      <c r="K46" s="47">
        <v>28.683351968574311</v>
      </c>
      <c r="L46" s="67">
        <v>12.502461538461539</v>
      </c>
    </row>
    <row r="47" spans="1:12" x14ac:dyDescent="0.35">
      <c r="A47" s="64" t="s">
        <v>45</v>
      </c>
      <c r="B47" s="65" t="s">
        <v>185</v>
      </c>
      <c r="C47" s="42">
        <v>0.26773290915292702</v>
      </c>
      <c r="D47" s="52">
        <v>7.1645693799999993E-2</v>
      </c>
      <c r="E47" s="47">
        <v>55.939473332937403</v>
      </c>
      <c r="H47" s="65" t="s">
        <v>185</v>
      </c>
      <c r="I47" s="3">
        <v>1.7477183731961123</v>
      </c>
      <c r="J47" s="67">
        <v>1.0219585611420867</v>
      </c>
      <c r="K47" s="47">
        <v>55.939473332937403</v>
      </c>
      <c r="L47" s="67">
        <v>10.51861504095309</v>
      </c>
    </row>
    <row r="48" spans="1:12" ht="15" thickBot="1" x14ac:dyDescent="0.4">
      <c r="A48" s="66" t="s">
        <v>46</v>
      </c>
      <c r="B48" s="65" t="s">
        <v>186</v>
      </c>
      <c r="C48" s="42">
        <v>0.35</v>
      </c>
      <c r="D48" s="52">
        <v>5.1729364399999998E-2</v>
      </c>
      <c r="E48" s="47">
        <v>64.042986580794391</v>
      </c>
      <c r="H48" s="65" t="s">
        <v>186</v>
      </c>
      <c r="I48" s="3">
        <v>1.8064715766094552</v>
      </c>
      <c r="J48" s="67">
        <v>1.560949253118078</v>
      </c>
      <c r="K48" s="47">
        <v>64.042986580794391</v>
      </c>
      <c r="L48" s="67">
        <v>36.387251549841309</v>
      </c>
    </row>
    <row r="49" spans="1:12" ht="15" thickTop="1" x14ac:dyDescent="0.35">
      <c r="A49" s="53"/>
      <c r="B49" s="53" t="s">
        <v>103</v>
      </c>
      <c r="C49" s="54">
        <f>+AVERAGE(C2:C48)</f>
        <v>0.42362639990663958</v>
      </c>
      <c r="D49" s="54">
        <f>+AVERAGE(D2:D48)</f>
        <v>7.287659531276594E-2</v>
      </c>
      <c r="E49" s="62">
        <v>53.428046434715839</v>
      </c>
      <c r="I49" s="3"/>
      <c r="J49" s="68"/>
      <c r="K49" s="1">
        <f>AVERAGE(K2:K48)</f>
        <v>53.428046434715839</v>
      </c>
      <c r="L49" s="1">
        <f>AVERAGE(L2:L48)</f>
        <v>22.857935830441416</v>
      </c>
    </row>
    <row r="50" spans="1:12" x14ac:dyDescent="0.35">
      <c r="A50" s="55"/>
      <c r="B50" s="56" t="s">
        <v>99</v>
      </c>
      <c r="C50" s="57">
        <f>MEDIAN(C2:C48)</f>
        <v>0.45</v>
      </c>
      <c r="D50" s="57">
        <f>MEDIAN(D2:D48)</f>
        <v>6.8515443800000006E-2</v>
      </c>
      <c r="E50" s="63">
        <v>38.456345697593264</v>
      </c>
      <c r="J50" t="s">
        <v>190</v>
      </c>
      <c r="K50" s="47">
        <f>MIN($K$2:$K$48)</f>
        <v>4.955848322257995</v>
      </c>
      <c r="L50" s="47">
        <f>MIN($L$2:$L$48)</f>
        <v>0.95412514516632685</v>
      </c>
    </row>
    <row r="51" spans="1:12" x14ac:dyDescent="0.35">
      <c r="J51" t="s">
        <v>191</v>
      </c>
      <c r="K51" s="47">
        <f>MAX($K$2:$K$48)</f>
        <v>296.4662893379861</v>
      </c>
      <c r="L51" s="47">
        <f>MAX($L$2:$L$48)</f>
        <v>107.24524316516025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1489-2790-4F08-819F-B8BCFB891CC3}">
  <dimension ref="A1"/>
  <sheetViews>
    <sheetView zoomScaleNormal="100" workbookViewId="0">
      <selection activeCell="U21" sqref="U21"/>
    </sheetView>
  </sheetViews>
  <sheetFormatPr defaultColWidth="8.81640625"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E74-9BF9-4B26-96ED-F7676FC01C79}">
  <dimension ref="B2:F49"/>
  <sheetViews>
    <sheetView workbookViewId="0">
      <selection activeCell="C48" sqref="C48"/>
    </sheetView>
  </sheetViews>
  <sheetFormatPr defaultRowHeight="14.5" x14ac:dyDescent="0.35"/>
  <cols>
    <col min="2" max="2" width="5" bestFit="1" customWidth="1"/>
    <col min="3" max="3" width="22.7265625" bestFit="1" customWidth="1"/>
    <col min="4" max="4" width="15.81640625" customWidth="1"/>
    <col min="5" max="5" width="17.08984375" customWidth="1"/>
    <col min="6" max="6" width="20.36328125" customWidth="1"/>
  </cols>
  <sheetData>
    <row r="2" spans="2:6" s="61" customFormat="1" ht="43.5" x14ac:dyDescent="0.35">
      <c r="B2" s="61" t="s">
        <v>195</v>
      </c>
      <c r="C2" s="61" t="s">
        <v>0</v>
      </c>
      <c r="D2" s="61" t="s">
        <v>194</v>
      </c>
      <c r="E2" s="61" t="s">
        <v>193</v>
      </c>
      <c r="F2" s="61" t="s">
        <v>196</v>
      </c>
    </row>
    <row r="3" spans="2:6" x14ac:dyDescent="0.35">
      <c r="B3">
        <v>1</v>
      </c>
      <c r="C3" t="s">
        <v>1</v>
      </c>
      <c r="D3">
        <v>16.816609497424736</v>
      </c>
      <c r="E3">
        <v>25.353635512816727</v>
      </c>
      <c r="F3">
        <f>SUM(D3:E3)</f>
        <v>42.170245010241459</v>
      </c>
    </row>
    <row r="4" spans="2:6" x14ac:dyDescent="0.35">
      <c r="B4">
        <v>2</v>
      </c>
      <c r="C4" t="s">
        <v>2</v>
      </c>
      <c r="D4">
        <v>2.4426095634584915</v>
      </c>
      <c r="E4">
        <v>18.755796326105237</v>
      </c>
      <c r="F4">
        <f t="shared" ref="F4:F49" si="0">SUM(D4:E4)</f>
        <v>21.19840588956373</v>
      </c>
    </row>
    <row r="5" spans="2:6" x14ac:dyDescent="0.35">
      <c r="B5">
        <v>3</v>
      </c>
      <c r="C5" t="s">
        <v>3</v>
      </c>
      <c r="D5">
        <v>1.953139041931379</v>
      </c>
      <c r="E5">
        <v>5.9522810986467025</v>
      </c>
      <c r="F5">
        <f t="shared" si="0"/>
        <v>7.905420140578082</v>
      </c>
    </row>
    <row r="6" spans="2:6" x14ac:dyDescent="0.35">
      <c r="B6">
        <v>4</v>
      </c>
      <c r="C6" t="s">
        <v>4</v>
      </c>
      <c r="D6">
        <v>3.7714386517715091</v>
      </c>
      <c r="E6">
        <v>30.521279734296041</v>
      </c>
      <c r="F6">
        <f t="shared" si="0"/>
        <v>34.292718386067548</v>
      </c>
    </row>
    <row r="7" spans="2:6" x14ac:dyDescent="0.35">
      <c r="B7">
        <v>5</v>
      </c>
      <c r="C7" t="s">
        <v>5</v>
      </c>
      <c r="D7">
        <v>1.4655706450477866</v>
      </c>
      <c r="E7">
        <v>10.256348284858944</v>
      </c>
      <c r="F7">
        <f t="shared" si="0"/>
        <v>11.721918929906732</v>
      </c>
    </row>
    <row r="8" spans="2:6" x14ac:dyDescent="0.35">
      <c r="B8">
        <v>6</v>
      </c>
      <c r="C8" t="s">
        <v>6</v>
      </c>
      <c r="D8">
        <v>0.78735018131878509</v>
      </c>
      <c r="E8">
        <v>7.4096503697244298</v>
      </c>
      <c r="F8">
        <f t="shared" si="0"/>
        <v>8.1970005510432156</v>
      </c>
    </row>
    <row r="9" spans="2:6" x14ac:dyDescent="0.35">
      <c r="B9">
        <v>7</v>
      </c>
      <c r="C9" t="s">
        <v>7</v>
      </c>
      <c r="D9">
        <v>1.3466102150755759</v>
      </c>
      <c r="E9">
        <v>6.5009139592914282</v>
      </c>
      <c r="F9">
        <f t="shared" si="0"/>
        <v>7.8475241743670043</v>
      </c>
    </row>
    <row r="10" spans="2:6" x14ac:dyDescent="0.35">
      <c r="B10">
        <v>8</v>
      </c>
      <c r="C10" t="s">
        <v>60</v>
      </c>
      <c r="D10">
        <v>44.57560867875636</v>
      </c>
      <c r="E10">
        <v>16.319663086624868</v>
      </c>
      <c r="F10">
        <f t="shared" si="0"/>
        <v>60.895271765381224</v>
      </c>
    </row>
    <row r="11" spans="2:6" x14ac:dyDescent="0.35">
      <c r="B11">
        <v>9</v>
      </c>
      <c r="C11" t="s">
        <v>8</v>
      </c>
      <c r="D11">
        <v>0.2623871892948651</v>
      </c>
      <c r="E11">
        <v>2.1248425477555357</v>
      </c>
      <c r="F11">
        <f t="shared" si="0"/>
        <v>2.3872297370504008</v>
      </c>
    </row>
    <row r="12" spans="2:6" x14ac:dyDescent="0.35">
      <c r="B12">
        <v>10</v>
      </c>
      <c r="C12" t="s">
        <v>9</v>
      </c>
      <c r="D12">
        <v>0.85029242131882254</v>
      </c>
      <c r="E12">
        <v>2.421326474001444</v>
      </c>
      <c r="F12">
        <f t="shared" si="0"/>
        <v>3.2716188953202665</v>
      </c>
    </row>
    <row r="13" spans="2:6" x14ac:dyDescent="0.35">
      <c r="B13">
        <v>11</v>
      </c>
      <c r="C13" t="s">
        <v>10</v>
      </c>
      <c r="D13">
        <v>4.2305355033351333</v>
      </c>
      <c r="E13">
        <v>16.384015197312582</v>
      </c>
      <c r="F13">
        <f t="shared" si="0"/>
        <v>20.614550700647715</v>
      </c>
    </row>
    <row r="14" spans="2:6" x14ac:dyDescent="0.35">
      <c r="B14">
        <v>12</v>
      </c>
      <c r="C14" t="s">
        <v>147</v>
      </c>
      <c r="D14">
        <v>1.7452696826892025</v>
      </c>
      <c r="E14">
        <v>11.080308317128926</v>
      </c>
      <c r="F14">
        <f t="shared" si="0"/>
        <v>12.82557799981813</v>
      </c>
    </row>
    <row r="15" spans="2:6" x14ac:dyDescent="0.35">
      <c r="B15">
        <v>13</v>
      </c>
      <c r="C15" t="s">
        <v>149</v>
      </c>
      <c r="D15">
        <v>2.2469567053544797</v>
      </c>
      <c r="E15">
        <v>9.463679007454445</v>
      </c>
      <c r="F15">
        <f t="shared" si="0"/>
        <v>11.710635712808925</v>
      </c>
    </row>
    <row r="16" spans="2:6" x14ac:dyDescent="0.35">
      <c r="B16">
        <v>14</v>
      </c>
      <c r="C16" t="s">
        <v>82</v>
      </c>
      <c r="D16">
        <v>2.1502790761743422</v>
      </c>
      <c r="E16">
        <v>11.953846200151981</v>
      </c>
      <c r="F16">
        <f t="shared" si="0"/>
        <v>14.104125276326323</v>
      </c>
    </row>
    <row r="17" spans="2:6" x14ac:dyDescent="0.35">
      <c r="B17">
        <v>15</v>
      </c>
      <c r="C17" t="s">
        <v>14</v>
      </c>
      <c r="D17">
        <v>1.6399848588255548</v>
      </c>
      <c r="E17">
        <v>8.3672289392573767</v>
      </c>
      <c r="F17">
        <f t="shared" si="0"/>
        <v>10.007213798082931</v>
      </c>
    </row>
    <row r="18" spans="2:6" x14ac:dyDescent="0.35">
      <c r="B18">
        <v>16</v>
      </c>
      <c r="C18" t="s">
        <v>15</v>
      </c>
      <c r="D18">
        <v>0.81111588628736697</v>
      </c>
      <c r="E18">
        <v>13.772954981519559</v>
      </c>
      <c r="F18">
        <f t="shared" si="0"/>
        <v>14.584070867806926</v>
      </c>
    </row>
    <row r="19" spans="2:6" x14ac:dyDescent="0.35">
      <c r="B19">
        <v>17</v>
      </c>
      <c r="C19" t="s">
        <v>16</v>
      </c>
      <c r="D19">
        <v>5.7170414019483733</v>
      </c>
      <c r="E19">
        <v>43.739111511849558</v>
      </c>
      <c r="F19">
        <f t="shared" si="0"/>
        <v>49.456152913797929</v>
      </c>
    </row>
    <row r="20" spans="2:6" x14ac:dyDescent="0.35">
      <c r="B20">
        <v>18</v>
      </c>
      <c r="C20" t="s">
        <v>17</v>
      </c>
      <c r="D20">
        <v>1.9242190409996556</v>
      </c>
      <c r="E20">
        <v>13.438409909223111</v>
      </c>
      <c r="F20">
        <f t="shared" si="0"/>
        <v>15.362628950222767</v>
      </c>
    </row>
    <row r="21" spans="2:6" x14ac:dyDescent="0.35">
      <c r="B21">
        <v>19</v>
      </c>
      <c r="C21" t="s">
        <v>18</v>
      </c>
      <c r="D21">
        <v>5.2967509113158195</v>
      </c>
      <c r="E21">
        <v>23.74055120630122</v>
      </c>
      <c r="F21">
        <f t="shared" si="0"/>
        <v>29.037302117617038</v>
      </c>
    </row>
    <row r="22" spans="2:6" x14ac:dyDescent="0.35">
      <c r="B22">
        <v>20</v>
      </c>
      <c r="C22" t="s">
        <v>157</v>
      </c>
      <c r="D22">
        <v>1.0120770028849391</v>
      </c>
      <c r="E22">
        <v>6.6829601481629322</v>
      </c>
      <c r="F22">
        <f t="shared" si="0"/>
        <v>7.6950371510478712</v>
      </c>
    </row>
    <row r="23" spans="2:6" x14ac:dyDescent="0.35">
      <c r="B23">
        <v>21</v>
      </c>
      <c r="C23" t="s">
        <v>20</v>
      </c>
      <c r="D23">
        <v>1.411763138467153</v>
      </c>
      <c r="E23">
        <v>44.236721783822048</v>
      </c>
      <c r="F23">
        <f t="shared" si="0"/>
        <v>45.6484849222892</v>
      </c>
    </row>
    <row r="24" spans="2:6" x14ac:dyDescent="0.35">
      <c r="B24">
        <v>22</v>
      </c>
      <c r="C24" t="s">
        <v>21</v>
      </c>
      <c r="D24">
        <v>0.24629000013612709</v>
      </c>
      <c r="E24">
        <v>4.2657096319873329</v>
      </c>
      <c r="F24">
        <f t="shared" si="0"/>
        <v>4.5119996321234597</v>
      </c>
    </row>
    <row r="25" spans="2:6" x14ac:dyDescent="0.35">
      <c r="B25">
        <v>23</v>
      </c>
      <c r="C25" t="s">
        <v>22</v>
      </c>
      <c r="D25">
        <v>2.5212882917133439</v>
      </c>
      <c r="E25">
        <v>9.8595840404869897</v>
      </c>
      <c r="F25">
        <f t="shared" si="0"/>
        <v>12.380872332200333</v>
      </c>
    </row>
    <row r="26" spans="2:6" x14ac:dyDescent="0.35">
      <c r="B26">
        <v>24</v>
      </c>
      <c r="C26" t="s">
        <v>23</v>
      </c>
      <c r="D26">
        <v>2.3676836940426274</v>
      </c>
      <c r="E26">
        <v>20.322248191924977</v>
      </c>
      <c r="F26">
        <f t="shared" si="0"/>
        <v>22.689931885967603</v>
      </c>
    </row>
    <row r="27" spans="2:6" x14ac:dyDescent="0.35">
      <c r="B27">
        <v>25</v>
      </c>
      <c r="C27" t="s">
        <v>24</v>
      </c>
      <c r="D27">
        <v>2.3271916222532258</v>
      </c>
      <c r="E27">
        <v>17.410164529383941</v>
      </c>
      <c r="F27">
        <f t="shared" si="0"/>
        <v>19.737356151637165</v>
      </c>
    </row>
    <row r="28" spans="2:6" x14ac:dyDescent="0.35">
      <c r="B28">
        <v>26</v>
      </c>
      <c r="C28" t="s">
        <v>25</v>
      </c>
      <c r="D28">
        <v>1.7990899320551237</v>
      </c>
      <c r="E28">
        <v>10.207514450251695</v>
      </c>
      <c r="F28">
        <f t="shared" si="0"/>
        <v>12.006604382306818</v>
      </c>
    </row>
    <row r="29" spans="2:6" x14ac:dyDescent="0.35">
      <c r="B29">
        <v>27</v>
      </c>
      <c r="C29" t="s">
        <v>26</v>
      </c>
      <c r="D29">
        <v>1.766192932972404</v>
      </c>
      <c r="E29">
        <v>2.888721672781251</v>
      </c>
      <c r="F29">
        <f t="shared" si="0"/>
        <v>4.654914605753655</v>
      </c>
    </row>
    <row r="30" spans="2:6" x14ac:dyDescent="0.35">
      <c r="B30">
        <v>28</v>
      </c>
      <c r="C30" t="s">
        <v>27</v>
      </c>
      <c r="D30">
        <v>0.54082168986968526</v>
      </c>
      <c r="E30">
        <v>5.0026178226640061</v>
      </c>
      <c r="F30">
        <f t="shared" si="0"/>
        <v>5.5434395125336913</v>
      </c>
    </row>
    <row r="31" spans="2:6" x14ac:dyDescent="0.35">
      <c r="B31">
        <v>29</v>
      </c>
      <c r="C31" t="s">
        <v>28</v>
      </c>
      <c r="D31">
        <v>1.9483401719615994</v>
      </c>
      <c r="E31">
        <v>3.650152464455966</v>
      </c>
      <c r="F31">
        <f t="shared" si="0"/>
        <v>5.5984926364175651</v>
      </c>
    </row>
    <row r="32" spans="2:6" x14ac:dyDescent="0.35">
      <c r="B32">
        <v>30</v>
      </c>
      <c r="C32" t="s">
        <v>29</v>
      </c>
      <c r="D32">
        <v>2.6879166644164951</v>
      </c>
      <c r="E32">
        <v>16.559902485970117</v>
      </c>
      <c r="F32">
        <f t="shared" si="0"/>
        <v>19.247819150386611</v>
      </c>
    </row>
    <row r="33" spans="2:6" x14ac:dyDescent="0.35">
      <c r="B33">
        <v>31</v>
      </c>
      <c r="C33" t="s">
        <v>30</v>
      </c>
      <c r="D33">
        <v>14.110806020448374</v>
      </c>
      <c r="E33">
        <v>39.753766677912594</v>
      </c>
      <c r="F33">
        <f t="shared" si="0"/>
        <v>53.864572698360966</v>
      </c>
    </row>
    <row r="34" spans="2:6" x14ac:dyDescent="0.35">
      <c r="B34">
        <v>32</v>
      </c>
      <c r="C34" t="s">
        <v>31</v>
      </c>
      <c r="D34">
        <v>1.734632551579423</v>
      </c>
      <c r="E34">
        <v>9.2667413386701387</v>
      </c>
      <c r="F34">
        <f t="shared" si="0"/>
        <v>11.001373890249562</v>
      </c>
    </row>
    <row r="35" spans="2:6" x14ac:dyDescent="0.35">
      <c r="B35">
        <v>33</v>
      </c>
      <c r="C35" t="s">
        <v>32</v>
      </c>
      <c r="D35">
        <v>6.2212396706287967</v>
      </c>
      <c r="E35">
        <v>60.674896300150309</v>
      </c>
      <c r="F35">
        <f t="shared" si="0"/>
        <v>66.896135970779099</v>
      </c>
    </row>
    <row r="36" spans="2:6" x14ac:dyDescent="0.35">
      <c r="B36">
        <v>34</v>
      </c>
      <c r="C36" t="s">
        <v>33</v>
      </c>
      <c r="D36">
        <v>0.2692574787728213</v>
      </c>
      <c r="E36">
        <v>2.0567007249193994</v>
      </c>
      <c r="F36">
        <f t="shared" si="0"/>
        <v>2.3259582036922208</v>
      </c>
    </row>
    <row r="37" spans="2:6" x14ac:dyDescent="0.35">
      <c r="B37">
        <v>35</v>
      </c>
      <c r="C37" t="s">
        <v>34</v>
      </c>
      <c r="D37">
        <v>3.943466745172683</v>
      </c>
      <c r="E37">
        <v>16.814586021456186</v>
      </c>
      <c r="F37">
        <f t="shared" si="0"/>
        <v>20.758052766628868</v>
      </c>
    </row>
    <row r="38" spans="2:6" x14ac:dyDescent="0.35">
      <c r="B38">
        <v>36</v>
      </c>
      <c r="C38" t="s">
        <v>35</v>
      </c>
      <c r="D38">
        <v>1.1962228248097926</v>
      </c>
      <c r="E38">
        <v>11.244523405784753</v>
      </c>
      <c r="F38">
        <f t="shared" si="0"/>
        <v>12.440746230594545</v>
      </c>
    </row>
    <row r="39" spans="2:6" x14ac:dyDescent="0.35">
      <c r="B39">
        <v>37</v>
      </c>
      <c r="C39" t="s">
        <v>175</v>
      </c>
      <c r="D39">
        <v>4.6178305432107996</v>
      </c>
      <c r="E39">
        <v>20.462907613705241</v>
      </c>
      <c r="F39">
        <f t="shared" si="0"/>
        <v>25.080738156916041</v>
      </c>
    </row>
    <row r="40" spans="2:6" x14ac:dyDescent="0.35">
      <c r="B40">
        <v>38</v>
      </c>
      <c r="C40" t="s">
        <v>37</v>
      </c>
      <c r="D40">
        <v>1.4788611139805827</v>
      </c>
      <c r="E40">
        <v>4.6300866446132325</v>
      </c>
      <c r="F40">
        <f t="shared" si="0"/>
        <v>6.108947758593815</v>
      </c>
    </row>
    <row r="41" spans="2:6" x14ac:dyDescent="0.35">
      <c r="B41">
        <v>39</v>
      </c>
      <c r="C41" t="s">
        <v>38</v>
      </c>
      <c r="D41">
        <v>77.297572314772893</v>
      </c>
      <c r="E41">
        <v>135.95136120408563</v>
      </c>
      <c r="F41">
        <f t="shared" si="0"/>
        <v>213.24893351885851</v>
      </c>
    </row>
    <row r="42" spans="2:6" x14ac:dyDescent="0.35">
      <c r="B42">
        <v>40</v>
      </c>
      <c r="C42" t="s">
        <v>39</v>
      </c>
      <c r="D42">
        <v>1.2851920083832624</v>
      </c>
      <c r="E42">
        <v>20.84311849400595</v>
      </c>
      <c r="F42">
        <f t="shared" si="0"/>
        <v>22.128310502389212</v>
      </c>
    </row>
    <row r="43" spans="2:6" x14ac:dyDescent="0.35">
      <c r="B43">
        <v>41</v>
      </c>
      <c r="C43" t="s">
        <v>40</v>
      </c>
      <c r="D43">
        <v>8.0176798681728538</v>
      </c>
      <c r="E43">
        <v>66.327513452394967</v>
      </c>
      <c r="F43">
        <f t="shared" si="0"/>
        <v>74.345193320567816</v>
      </c>
    </row>
    <row r="44" spans="2:6" x14ac:dyDescent="0.35">
      <c r="B44">
        <v>42</v>
      </c>
      <c r="C44" t="s">
        <v>41</v>
      </c>
      <c r="D44">
        <v>0.41784401012593642</v>
      </c>
      <c r="E44">
        <v>6.9182506062517986</v>
      </c>
      <c r="F44">
        <f t="shared" si="0"/>
        <v>7.3360946163777347</v>
      </c>
    </row>
    <row r="45" spans="2:6" x14ac:dyDescent="0.35">
      <c r="B45">
        <v>43</v>
      </c>
      <c r="C45" t="s">
        <v>42</v>
      </c>
      <c r="D45">
        <v>1.3272212046130187</v>
      </c>
      <c r="E45">
        <v>4.8765035402438537</v>
      </c>
      <c r="F45">
        <f t="shared" si="0"/>
        <v>6.2037247448568724</v>
      </c>
    </row>
    <row r="46" spans="2:6" x14ac:dyDescent="0.35">
      <c r="B46">
        <v>44</v>
      </c>
      <c r="C46" t="s">
        <v>43</v>
      </c>
      <c r="D46">
        <v>0.82498008040391457</v>
      </c>
      <c r="E46">
        <v>5.0787129881304001</v>
      </c>
      <c r="F46">
        <f t="shared" si="0"/>
        <v>5.9036930685343147</v>
      </c>
    </row>
    <row r="47" spans="2:6" x14ac:dyDescent="0.35">
      <c r="B47">
        <v>45</v>
      </c>
      <c r="C47" t="s">
        <v>44</v>
      </c>
      <c r="D47">
        <v>1.9157377420283819</v>
      </c>
      <c r="E47">
        <v>22.678294423115048</v>
      </c>
      <c r="F47">
        <f t="shared" si="0"/>
        <v>24.594032165143432</v>
      </c>
    </row>
    <row r="48" spans="2:6" x14ac:dyDescent="0.35">
      <c r="B48">
        <v>46</v>
      </c>
      <c r="C48" t="s">
        <v>45</v>
      </c>
      <c r="D48">
        <v>3.2626166625244934</v>
      </c>
      <c r="E48">
        <v>29.562374251755003</v>
      </c>
      <c r="F48">
        <f t="shared" si="0"/>
        <v>32.824990914279496</v>
      </c>
    </row>
    <row r="49" spans="2:6" x14ac:dyDescent="0.35">
      <c r="B49">
        <v>47</v>
      </c>
      <c r="C49" t="s">
        <v>46</v>
      </c>
      <c r="D49">
        <v>1.9188084102461731</v>
      </c>
      <c r="E49">
        <v>34.39715249565625</v>
      </c>
      <c r="F49">
        <f t="shared" si="0"/>
        <v>36.315960905902422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4711-C151-4D4B-BFE3-2E85DD698D56}">
  <dimension ref="B1:R51"/>
  <sheetViews>
    <sheetView topLeftCell="G1" workbookViewId="0">
      <selection activeCell="Q9" sqref="Q9"/>
    </sheetView>
  </sheetViews>
  <sheetFormatPr defaultRowHeight="14.5" x14ac:dyDescent="0.35"/>
  <cols>
    <col min="2" max="2" width="11" customWidth="1"/>
    <col min="3" max="3" width="13.7265625" customWidth="1"/>
    <col min="4" max="4" width="14.26953125" customWidth="1"/>
    <col min="5" max="5" width="13.26953125" bestFit="1" customWidth="1"/>
    <col min="6" max="6" width="12.08984375" bestFit="1" customWidth="1"/>
    <col min="7" max="7" width="8.81640625"/>
    <col min="8" max="8" width="11.7265625" customWidth="1"/>
    <col min="9" max="9" width="14.26953125" customWidth="1"/>
    <col min="11" max="11" width="11" customWidth="1"/>
    <col min="12" max="12" width="11.7265625" customWidth="1"/>
    <col min="13" max="13" width="12.08984375" bestFit="1" customWidth="1"/>
    <col min="14" max="15" width="12.54296875" bestFit="1" customWidth="1"/>
    <col min="18" max="18" width="11" customWidth="1"/>
  </cols>
  <sheetData>
    <row r="1" spans="2:18" ht="43.5" x14ac:dyDescent="0.35">
      <c r="B1" s="60" t="s">
        <v>187</v>
      </c>
      <c r="C1" s="60" t="s">
        <v>188</v>
      </c>
      <c r="D1" s="60" t="s">
        <v>189</v>
      </c>
      <c r="E1" s="60" t="s">
        <v>74</v>
      </c>
      <c r="F1" s="60" t="s">
        <v>102</v>
      </c>
      <c r="G1" s="61"/>
      <c r="H1" s="102" t="s">
        <v>261</v>
      </c>
      <c r="I1" s="103" t="s">
        <v>189</v>
      </c>
      <c r="K1" s="60" t="s">
        <v>187</v>
      </c>
      <c r="L1" s="102" t="s">
        <v>261</v>
      </c>
      <c r="M1" s="60" t="s">
        <v>102</v>
      </c>
      <c r="N1" s="102" t="s">
        <v>261</v>
      </c>
      <c r="O1" s="60" t="s">
        <v>102</v>
      </c>
      <c r="P1" s="106" t="s">
        <v>262</v>
      </c>
      <c r="R1" s="60" t="s">
        <v>187</v>
      </c>
    </row>
    <row r="2" spans="2:18" x14ac:dyDescent="0.35">
      <c r="B2" s="65" t="s">
        <v>136</v>
      </c>
      <c r="C2" s="3">
        <v>1.9914855492738153</v>
      </c>
      <c r="D2" s="67">
        <v>1.3590370091771649</v>
      </c>
      <c r="E2" s="47">
        <v>98.058568574484738</v>
      </c>
      <c r="F2" s="67">
        <v>22.857935830441416</v>
      </c>
      <c r="H2">
        <v>3.6950126815550437</v>
      </c>
      <c r="I2" s="67">
        <v>1.3590370091771649</v>
      </c>
      <c r="K2" s="65" t="s">
        <v>136</v>
      </c>
      <c r="L2">
        <v>3.6950126815550437</v>
      </c>
      <c r="M2" s="67">
        <v>22.857935830441416</v>
      </c>
      <c r="N2" t="str">
        <f>IF(L2&lt;$L$49,"Below Average","Above Average")</f>
        <v>Above Average</v>
      </c>
      <c r="O2" t="str">
        <f>IF(M2&lt;$M$49,"Below Average","Above Average")</f>
        <v>Above Average</v>
      </c>
      <c r="P2" t="str" cm="1">
        <f t="array" ref="P2">_xlfn.IFS(AND(N2="Above Average",O2="Below Average"),"3",AND(N2="Above Average",O2="Above Average"),"4",AND(N2="Below Average",O2="Above Average"),"2",AND(N2="Below Average",O2="Below Average"),"1")</f>
        <v>4</v>
      </c>
      <c r="R2" s="65" t="s">
        <v>136</v>
      </c>
    </row>
    <row r="3" spans="2:18" x14ac:dyDescent="0.35">
      <c r="B3" s="65" t="s">
        <v>137</v>
      </c>
      <c r="C3" s="3">
        <v>1.5849680131637138</v>
      </c>
      <c r="D3" s="67">
        <v>1.3258590047651035</v>
      </c>
      <c r="E3" s="47">
        <v>38.456345697593264</v>
      </c>
      <c r="F3" s="67">
        <v>21.176735134619424</v>
      </c>
      <c r="H3">
        <v>1.1485145197284106</v>
      </c>
      <c r="I3" s="67">
        <v>1.3258590047651035</v>
      </c>
      <c r="K3" s="65" t="s">
        <v>137</v>
      </c>
      <c r="L3">
        <v>1.1485145197284106</v>
      </c>
      <c r="M3" s="67">
        <v>21.176735134619424</v>
      </c>
      <c r="N3" t="str">
        <f t="shared" ref="N3:N48" si="0">IF(L3&lt;$L$49,"Below Average","Above Average")</f>
        <v>Above Average</v>
      </c>
      <c r="O3" t="str">
        <f t="shared" ref="O3:O48" si="1">IF(M3&lt;$M$49,"Below Average","Above Average")</f>
        <v>Below Average</v>
      </c>
      <c r="P3" t="str" cm="1">
        <f t="array" ref="P3">_xlfn.IFS(AND(N3="Above Average",O3="Below Average"),"3",AND(N3="Above Average",O3="Above Average"),"4",AND(N3="Below Average",O3="Above Average"),"2",AND(N3="Below Average",O3="Below Average"),"1")</f>
        <v>3</v>
      </c>
      <c r="R3" s="65" t="s">
        <v>137</v>
      </c>
    </row>
    <row r="4" spans="2:18" x14ac:dyDescent="0.35">
      <c r="B4" s="65" t="s">
        <v>138</v>
      </c>
      <c r="C4" s="3">
        <v>1.2725290593741871</v>
      </c>
      <c r="D4" s="67">
        <v>0.91369125978844856</v>
      </c>
      <c r="E4" s="47">
        <v>18.729624018891407</v>
      </c>
      <c r="F4" s="67">
        <v>8.1976856316297013</v>
      </c>
      <c r="H4">
        <v>0.20987288638745535</v>
      </c>
      <c r="I4" s="67">
        <v>0.91369125978844856</v>
      </c>
      <c r="K4" s="65" t="s">
        <v>138</v>
      </c>
      <c r="L4">
        <v>0.20987288638745535</v>
      </c>
      <c r="M4" s="67">
        <v>8.1976856316297013</v>
      </c>
      <c r="N4" t="str">
        <f t="shared" si="0"/>
        <v>Below Average</v>
      </c>
      <c r="O4" t="str">
        <f t="shared" si="1"/>
        <v>Below Average</v>
      </c>
      <c r="P4" t="str" cm="1">
        <f t="array" ref="P4">_xlfn.IFS(AND(N4="Above Average",O4="Below Average"),"3",AND(N4="Above Average",O4="Above Average"),"4",AND(N4="Below Average",O4="Above Average"),"2",AND(N4="Below Average",O4="Below Average"),"1")</f>
        <v>1</v>
      </c>
      <c r="R4" s="65" t="s">
        <v>138</v>
      </c>
    </row>
    <row r="5" spans="2:18" x14ac:dyDescent="0.35">
      <c r="B5" s="65" t="s">
        <v>139</v>
      </c>
      <c r="C5" s="3">
        <v>1.8332481427025307</v>
      </c>
      <c r="D5" s="67">
        <v>1.2148438480476977</v>
      </c>
      <c r="E5" s="47">
        <v>68.115844081394968</v>
      </c>
      <c r="F5" s="67">
        <v>16.399999999999999</v>
      </c>
      <c r="H5">
        <v>0.15035075647857676</v>
      </c>
      <c r="I5" s="67">
        <v>1.2148438480476977</v>
      </c>
      <c r="K5" s="65" t="s">
        <v>139</v>
      </c>
      <c r="L5">
        <v>0.15035075647857676</v>
      </c>
      <c r="M5" s="67">
        <v>16.399999999999999</v>
      </c>
      <c r="N5" t="str">
        <f t="shared" si="0"/>
        <v>Below Average</v>
      </c>
      <c r="O5" t="str">
        <f t="shared" si="1"/>
        <v>Below Average</v>
      </c>
      <c r="P5" t="str" cm="1">
        <f t="array" ref="P5">_xlfn.IFS(AND(N5="Above Average",O5="Below Average"),"3",AND(N5="Above Average",O5="Above Average"),"4",AND(N5="Below Average",O5="Above Average"),"2",AND(N5="Below Average",O5="Below Average"),"1")</f>
        <v>1</v>
      </c>
      <c r="R5" s="65" t="s">
        <v>139</v>
      </c>
    </row>
    <row r="6" spans="2:18" x14ac:dyDescent="0.35">
      <c r="B6" s="65" t="s">
        <v>140</v>
      </c>
      <c r="C6" s="3">
        <v>1.2260150321442151</v>
      </c>
      <c r="D6" s="67">
        <v>0.81243620650053627</v>
      </c>
      <c r="E6" s="47">
        <v>16.827323041243478</v>
      </c>
      <c r="F6" s="67">
        <v>6.4928625093914354</v>
      </c>
      <c r="H6">
        <v>0.32017798429058059</v>
      </c>
      <c r="I6" s="67">
        <v>0.81243620650053627</v>
      </c>
      <c r="K6" s="65" t="s">
        <v>140</v>
      </c>
      <c r="L6">
        <v>0.32017798429058059</v>
      </c>
      <c r="M6" s="67">
        <v>6.4928625093914354</v>
      </c>
      <c r="N6" t="str">
        <f t="shared" si="0"/>
        <v>Below Average</v>
      </c>
      <c r="O6" t="str">
        <f t="shared" si="1"/>
        <v>Below Average</v>
      </c>
      <c r="P6" t="str" cm="1">
        <f t="array" ref="P6">_xlfn.IFS(AND(N6="Above Average",O6="Below Average"),"3",AND(N6="Above Average",O6="Above Average"),"4",AND(N6="Below Average",O6="Above Average"),"2",AND(N6="Below Average",O6="Below Average"),"1")</f>
        <v>1</v>
      </c>
      <c r="R6" s="65" t="s">
        <v>140</v>
      </c>
    </row>
    <row r="7" spans="2:18" x14ac:dyDescent="0.35">
      <c r="B7" s="65" t="s">
        <v>141</v>
      </c>
      <c r="C7" s="3">
        <v>1.6126391092362451</v>
      </c>
      <c r="D7" s="67">
        <v>0.76314631612737616</v>
      </c>
      <c r="E7" s="47">
        <v>40.986337247671983</v>
      </c>
      <c r="F7" s="67">
        <v>5.7962394193302087</v>
      </c>
      <c r="H7">
        <v>0.44333355969284122</v>
      </c>
      <c r="I7" s="67">
        <v>0.76314631612737616</v>
      </c>
      <c r="K7" s="65" t="s">
        <v>141</v>
      </c>
      <c r="L7">
        <v>0.44333355969284122</v>
      </c>
      <c r="M7" s="67">
        <v>5.7962394193302087</v>
      </c>
      <c r="N7" t="str">
        <f t="shared" si="0"/>
        <v>Below Average</v>
      </c>
      <c r="O7" t="str">
        <f t="shared" si="1"/>
        <v>Below Average</v>
      </c>
      <c r="P7" t="str" cm="1">
        <f t="array" ref="P7">_xlfn.IFS(AND(N7="Above Average",O7="Below Average"),"3",AND(N7="Above Average",O7="Above Average"),"4",AND(N7="Below Average",O7="Above Average"),"2",AND(N7="Below Average",O7="Below Average"),"1")</f>
        <v>1</v>
      </c>
      <c r="R7" s="65" t="s">
        <v>141</v>
      </c>
    </row>
    <row r="8" spans="2:18" x14ac:dyDescent="0.35">
      <c r="B8" s="65" t="s">
        <v>142</v>
      </c>
      <c r="C8" s="3">
        <v>2.0185469508558489</v>
      </c>
      <c r="D8" s="67">
        <v>1.3590370091771649</v>
      </c>
      <c r="E8" s="47">
        <v>104.36309518407614</v>
      </c>
      <c r="F8" s="67">
        <v>22.857935830441416</v>
      </c>
      <c r="H8">
        <v>5.1947418435536935E-2</v>
      </c>
      <c r="I8" s="67">
        <v>1.3590370091771649</v>
      </c>
      <c r="K8" s="65" t="s">
        <v>142</v>
      </c>
      <c r="L8">
        <v>5.1947418435536935E-2</v>
      </c>
      <c r="M8" s="67">
        <v>22.857935830441416</v>
      </c>
      <c r="N8" t="str">
        <f t="shared" si="0"/>
        <v>Below Average</v>
      </c>
      <c r="O8" t="str">
        <f t="shared" si="1"/>
        <v>Above Average</v>
      </c>
      <c r="P8" t="str" cm="1">
        <f t="array" ref="P8">_xlfn.IFS(AND(N8="Above Average",O8="Below Average"),"3",AND(N8="Above Average",O8="Above Average"),"4",AND(N8="Below Average",O8="Above Average"),"2",AND(N8="Below Average",O8="Below Average"),"1")</f>
        <v>2</v>
      </c>
      <c r="R8" s="65" t="s">
        <v>142</v>
      </c>
    </row>
    <row r="9" spans="2:18" x14ac:dyDescent="0.35">
      <c r="B9" s="65" t="s">
        <v>143</v>
      </c>
      <c r="C9" s="3">
        <v>1.0540935047016506</v>
      </c>
      <c r="D9" s="67">
        <v>0.7669627175435717</v>
      </c>
      <c r="E9" s="47">
        <v>11.326441981493597</v>
      </c>
      <c r="F9" s="67">
        <v>5.8473988439306357</v>
      </c>
      <c r="H9">
        <v>0.26532414668682264</v>
      </c>
      <c r="I9" s="67">
        <v>0.7669627175435717</v>
      </c>
      <c r="K9" s="65" t="s">
        <v>143</v>
      </c>
      <c r="L9">
        <v>0.26532414668682264</v>
      </c>
      <c r="M9" s="67">
        <v>5.8473988439306357</v>
      </c>
      <c r="N9" t="str">
        <f t="shared" si="0"/>
        <v>Below Average</v>
      </c>
      <c r="O9" t="str">
        <f t="shared" si="1"/>
        <v>Below Average</v>
      </c>
      <c r="P9" t="str" cm="1">
        <f t="array" ref="P9">_xlfn.IFS(AND(N9="Above Average",O9="Below Average"),"3",AND(N9="Above Average",O9="Above Average"),"4",AND(N9="Below Average",O9="Above Average"),"2",AND(N9="Below Average",O9="Below Average"),"1")</f>
        <v>1</v>
      </c>
      <c r="R9" s="65" t="s">
        <v>143</v>
      </c>
    </row>
    <row r="10" spans="2:18" x14ac:dyDescent="0.35">
      <c r="B10" s="65" t="s">
        <v>144</v>
      </c>
      <c r="C10" s="3">
        <v>1.0090568387860535</v>
      </c>
      <c r="D10" s="67">
        <v>1.6450234519046578</v>
      </c>
      <c r="E10" s="47">
        <v>10.210731090719779</v>
      </c>
      <c r="F10" s="67">
        <v>44.159429280397021</v>
      </c>
      <c r="H10">
        <v>4.7805429136147902E-2</v>
      </c>
      <c r="I10" s="67">
        <v>1.6450234519046578</v>
      </c>
      <c r="K10" s="65" t="s">
        <v>144</v>
      </c>
      <c r="L10">
        <v>4.7805429136147902E-2</v>
      </c>
      <c r="M10" s="67">
        <v>44.159429280397021</v>
      </c>
      <c r="N10" t="str">
        <f t="shared" si="0"/>
        <v>Below Average</v>
      </c>
      <c r="O10" t="str">
        <f t="shared" si="1"/>
        <v>Above Average</v>
      </c>
      <c r="P10" t="str" cm="1">
        <f t="array" ref="P10">_xlfn.IFS(AND(N10="Above Average",O10="Below Average"),"3",AND(N10="Above Average",O10="Above Average"),"4",AND(N10="Below Average",O10="Above Average"),"2",AND(N10="Below Average",O10="Below Average"),"1")</f>
        <v>2</v>
      </c>
      <c r="R10" s="65" t="s">
        <v>144</v>
      </c>
    </row>
    <row r="11" spans="2:18" x14ac:dyDescent="0.35">
      <c r="B11" s="65" t="s">
        <v>145</v>
      </c>
      <c r="C11" s="3">
        <v>1.3562357199232156</v>
      </c>
      <c r="D11" s="67">
        <v>0.17779406880755011</v>
      </c>
      <c r="E11" s="47">
        <v>22.710971898965504</v>
      </c>
      <c r="F11" s="67">
        <v>1.5058928414930488</v>
      </c>
      <c r="H11">
        <v>0.33777967568103295</v>
      </c>
      <c r="I11" s="67">
        <v>0.17779406880755011</v>
      </c>
      <c r="K11" s="65" t="s">
        <v>145</v>
      </c>
      <c r="L11">
        <v>0.33777967568103295</v>
      </c>
      <c r="M11" s="67">
        <v>1.5058928414930488</v>
      </c>
      <c r="N11" t="str">
        <f t="shared" si="0"/>
        <v>Below Average</v>
      </c>
      <c r="O11" t="str">
        <f t="shared" si="1"/>
        <v>Below Average</v>
      </c>
      <c r="P11" t="str" cm="1">
        <f t="array" ref="P11">_xlfn.IFS(AND(N11="Above Average",O11="Below Average"),"3",AND(N11="Above Average",O11="Above Average"),"4",AND(N11="Below Average",O11="Above Average"),"2",AND(N11="Below Average",O11="Below Average"),"1")</f>
        <v>1</v>
      </c>
      <c r="R11" s="65" t="s">
        <v>145</v>
      </c>
    </row>
    <row r="12" spans="2:18" x14ac:dyDescent="0.35">
      <c r="B12" s="65" t="s">
        <v>146</v>
      </c>
      <c r="C12" s="3">
        <v>1.4960129914001041</v>
      </c>
      <c r="D12" s="67">
        <v>1.4544526651817888</v>
      </c>
      <c r="E12" s="47">
        <v>31.333794542132008</v>
      </c>
      <c r="F12" s="67">
        <v>28.47427435177109</v>
      </c>
      <c r="H12">
        <v>2.2002587648580929E-2</v>
      </c>
      <c r="I12" s="67">
        <v>1.4544526651817888</v>
      </c>
      <c r="K12" s="65" t="s">
        <v>146</v>
      </c>
      <c r="L12">
        <v>2.2002587648580929E-2</v>
      </c>
      <c r="M12" s="67">
        <v>28.47427435177109</v>
      </c>
      <c r="N12" t="str">
        <f t="shared" si="0"/>
        <v>Below Average</v>
      </c>
      <c r="O12" t="str">
        <f t="shared" si="1"/>
        <v>Above Average</v>
      </c>
      <c r="P12" t="str" cm="1">
        <f t="array" ref="P12">_xlfn.IFS(AND(N12="Above Average",O12="Below Average"),"3",AND(N12="Above Average",O12="Above Average"),"4",AND(N12="Below Average",O12="Above Average"),"2",AND(N12="Below Average",O12="Below Average"),"1")</f>
        <v>2</v>
      </c>
      <c r="R12" s="65" t="s">
        <v>146</v>
      </c>
    </row>
    <row r="13" spans="2:18" x14ac:dyDescent="0.35">
      <c r="B13" s="65" t="s">
        <v>148</v>
      </c>
      <c r="C13" s="3">
        <v>1.3081377299909223</v>
      </c>
      <c r="D13" s="67">
        <v>1.7413486024758948</v>
      </c>
      <c r="E13" s="47">
        <v>20.330016447381468</v>
      </c>
      <c r="F13" s="67">
        <v>55.125</v>
      </c>
      <c r="H13">
        <v>0.10185814312981475</v>
      </c>
      <c r="I13" s="67">
        <v>1.7413486024758948</v>
      </c>
      <c r="K13" s="65" t="s">
        <v>148</v>
      </c>
      <c r="L13">
        <v>0.10185814312981475</v>
      </c>
      <c r="M13" s="67">
        <v>55.125</v>
      </c>
      <c r="N13" t="str">
        <f t="shared" si="0"/>
        <v>Below Average</v>
      </c>
      <c r="O13" t="str">
        <f t="shared" si="1"/>
        <v>Above Average</v>
      </c>
      <c r="P13" t="str" cm="1">
        <f t="array" ref="P13">_xlfn.IFS(AND(N13="Above Average",O13="Below Average"),"3",AND(N13="Above Average",O13="Above Average"),"4",AND(N13="Below Average",O13="Above Average"),"2",AND(N13="Below Average",O13="Below Average"),"1")</f>
        <v>2</v>
      </c>
      <c r="R13" s="65" t="s">
        <v>148</v>
      </c>
    </row>
    <row r="14" spans="2:18" x14ac:dyDescent="0.35">
      <c r="B14" s="65" t="s">
        <v>150</v>
      </c>
      <c r="C14" s="3">
        <v>1.4136308716498971</v>
      </c>
      <c r="D14" s="67">
        <v>1.3067231622417232</v>
      </c>
      <c r="E14" s="47">
        <v>25.91975377602575</v>
      </c>
      <c r="F14" s="67">
        <v>20.263906002583152</v>
      </c>
      <c r="H14">
        <v>0.61252629763871769</v>
      </c>
      <c r="I14" s="67">
        <v>1.3067231622417232</v>
      </c>
      <c r="K14" s="65" t="s">
        <v>150</v>
      </c>
      <c r="L14">
        <v>0.61252629763871769</v>
      </c>
      <c r="M14" s="67">
        <v>20.263906002583152</v>
      </c>
      <c r="N14" t="str">
        <f t="shared" si="0"/>
        <v>Below Average</v>
      </c>
      <c r="O14" t="str">
        <f t="shared" si="1"/>
        <v>Below Average</v>
      </c>
      <c r="P14" t="str" cm="1">
        <f t="array" ref="P14">_xlfn.IFS(AND(N14="Above Average",O14="Below Average"),"3",AND(N14="Above Average",O14="Above Average"),"4",AND(N14="Below Average",O14="Above Average"),"2",AND(N14="Below Average",O14="Below Average"),"1")</f>
        <v>1</v>
      </c>
      <c r="R14" s="65" t="s">
        <v>150</v>
      </c>
    </row>
    <row r="15" spans="2:18" x14ac:dyDescent="0.35">
      <c r="B15" s="65" t="s">
        <v>151</v>
      </c>
      <c r="C15" s="3">
        <v>1.2010705164782889</v>
      </c>
      <c r="D15" s="67">
        <v>0.65717737391864628</v>
      </c>
      <c r="E15" s="47">
        <v>15.888047021793218</v>
      </c>
      <c r="F15" s="67">
        <v>4.5412705268813731</v>
      </c>
      <c r="H15">
        <v>1.3200894409083583</v>
      </c>
      <c r="I15" s="67">
        <v>0.65717737391864628</v>
      </c>
      <c r="K15" s="65" t="s">
        <v>151</v>
      </c>
      <c r="L15">
        <v>1.3200894409083583</v>
      </c>
      <c r="M15" s="67">
        <v>4.5412705268813731</v>
      </c>
      <c r="N15" t="str">
        <f t="shared" si="0"/>
        <v>Above Average</v>
      </c>
      <c r="O15" t="str">
        <f t="shared" si="1"/>
        <v>Below Average</v>
      </c>
      <c r="P15" t="str" cm="1">
        <f t="array" ref="P15">_xlfn.IFS(AND(N15="Above Average",O15="Below Average"),"3",AND(N15="Above Average",O15="Above Average"),"4",AND(N15="Below Average",O15="Above Average"),"2",AND(N15="Below Average",O15="Below Average"),"1")</f>
        <v>3</v>
      </c>
      <c r="R15" s="65" t="s">
        <v>151</v>
      </c>
    </row>
    <row r="16" spans="2:18" x14ac:dyDescent="0.35">
      <c r="B16" s="65" t="s">
        <v>152</v>
      </c>
      <c r="C16" s="3">
        <v>1.4460800523018218</v>
      </c>
      <c r="D16" s="67">
        <v>-2.0394658534172067E-2</v>
      </c>
      <c r="E16" s="47">
        <v>27.930586305707227</v>
      </c>
      <c r="F16" s="67">
        <v>0.95412514516632685</v>
      </c>
      <c r="H16">
        <v>3.9257610300616946E-2</v>
      </c>
      <c r="I16" s="67">
        <v>-2.0394658534172067E-2</v>
      </c>
      <c r="K16" s="65" t="s">
        <v>152</v>
      </c>
      <c r="L16">
        <v>3.9257610300616946E-2</v>
      </c>
      <c r="M16" s="67">
        <v>0.95412514516632685</v>
      </c>
      <c r="N16" t="str">
        <f t="shared" si="0"/>
        <v>Below Average</v>
      </c>
      <c r="O16" t="str">
        <f t="shared" si="1"/>
        <v>Below Average</v>
      </c>
      <c r="P16" t="str" cm="1">
        <f t="array" ref="P16">_xlfn.IFS(AND(N16="Above Average",O16="Below Average"),"3",AND(N16="Above Average",O16="Above Average"),"4",AND(N16="Below Average",O16="Above Average"),"2",AND(N16="Below Average",O16="Below Average"),"1")</f>
        <v>1</v>
      </c>
      <c r="R16" s="65" t="s">
        <v>152</v>
      </c>
    </row>
    <row r="17" spans="2:18" x14ac:dyDescent="0.35">
      <c r="B17" s="65" t="s">
        <v>153</v>
      </c>
      <c r="C17" s="3">
        <v>1.5810156002215963</v>
      </c>
      <c r="D17" s="67">
        <v>1.1226923285672605</v>
      </c>
      <c r="E17" s="47">
        <v>38.107951184321514</v>
      </c>
      <c r="F17" s="67">
        <v>13.264544118808269</v>
      </c>
      <c r="H17">
        <v>0.11781261220530713</v>
      </c>
      <c r="I17" s="67">
        <v>1.1226923285672605</v>
      </c>
      <c r="K17" s="65" t="s">
        <v>153</v>
      </c>
      <c r="L17">
        <v>0.11781261220530713</v>
      </c>
      <c r="M17" s="67">
        <v>13.264544118808269</v>
      </c>
      <c r="N17" t="str">
        <f t="shared" si="0"/>
        <v>Below Average</v>
      </c>
      <c r="O17" t="str">
        <f t="shared" si="1"/>
        <v>Below Average</v>
      </c>
      <c r="P17" t="str" cm="1">
        <f t="array" ref="P17">_xlfn.IFS(AND(N17="Above Average",O17="Below Average"),"3",AND(N17="Above Average",O17="Above Average"),"4",AND(N17="Below Average",O17="Above Average"),"2",AND(N17="Below Average",O17="Below Average"),"1")</f>
        <v>1</v>
      </c>
      <c r="R17" s="65" t="s">
        <v>153</v>
      </c>
    </row>
    <row r="18" spans="2:18" x14ac:dyDescent="0.35">
      <c r="B18" s="65" t="s">
        <v>154</v>
      </c>
      <c r="C18" s="3">
        <v>2.1467426278474209</v>
      </c>
      <c r="D18" s="67">
        <v>1.5688614676890389</v>
      </c>
      <c r="E18" s="47">
        <v>140.19826135915432</v>
      </c>
      <c r="F18" s="67">
        <v>37.056249999999999</v>
      </c>
      <c r="H18">
        <v>0.14137768888743704</v>
      </c>
      <c r="I18" s="67">
        <v>1.5688614676890389</v>
      </c>
      <c r="K18" s="65" t="s">
        <v>154</v>
      </c>
      <c r="L18">
        <v>0.14137768888743704</v>
      </c>
      <c r="M18" s="67">
        <v>37.056249999999999</v>
      </c>
      <c r="N18" t="str">
        <f t="shared" si="0"/>
        <v>Below Average</v>
      </c>
      <c r="O18" t="str">
        <f t="shared" si="1"/>
        <v>Above Average</v>
      </c>
      <c r="P18" t="str" cm="1">
        <f t="array" ref="P18">_xlfn.IFS(AND(N18="Above Average",O18="Below Average"),"3",AND(N18="Above Average",O18="Above Average"),"4",AND(N18="Below Average",O18="Above Average"),"2",AND(N18="Below Average",O18="Below Average"),"1")</f>
        <v>2</v>
      </c>
      <c r="R18" s="65" t="s">
        <v>154</v>
      </c>
    </row>
    <row r="19" spans="2:18" x14ac:dyDescent="0.35">
      <c r="B19" s="65" t="s">
        <v>155</v>
      </c>
      <c r="C19" s="3">
        <v>1.5292966528725109</v>
      </c>
      <c r="D19" s="67">
        <v>1.2166581852846132</v>
      </c>
      <c r="E19" s="47">
        <v>33.829583652601642</v>
      </c>
      <c r="F19" s="67">
        <v>16.468657033574161</v>
      </c>
      <c r="H19">
        <v>3.5026279054070923</v>
      </c>
      <c r="I19" s="67">
        <v>1.2166581852846132</v>
      </c>
      <c r="K19" s="65" t="s">
        <v>155</v>
      </c>
      <c r="L19">
        <v>3.5026279054070923</v>
      </c>
      <c r="M19" s="67">
        <v>16.468657033574161</v>
      </c>
      <c r="N19" t="str">
        <f t="shared" si="0"/>
        <v>Above Average</v>
      </c>
      <c r="O19" t="str">
        <f t="shared" si="1"/>
        <v>Below Average</v>
      </c>
      <c r="P19" t="str" cm="1">
        <f t="array" ref="P19">_xlfn.IFS(AND(N19="Above Average",O19="Below Average"),"3",AND(N19="Above Average",O19="Above Average"),"4",AND(N19="Below Average",O19="Above Average"),"2",AND(N19="Below Average",O19="Below Average"),"1")</f>
        <v>3</v>
      </c>
      <c r="R19" s="65" t="s">
        <v>155</v>
      </c>
    </row>
    <row r="20" spans="2:18" x14ac:dyDescent="0.35">
      <c r="B20" s="65" t="s">
        <v>156</v>
      </c>
      <c r="C20" s="3">
        <v>1.7567285223174451</v>
      </c>
      <c r="D20" s="67">
        <v>1.6301601552531939</v>
      </c>
      <c r="E20" s="47">
        <v>57.112151673993168</v>
      </c>
      <c r="F20" s="67">
        <v>42.673685800866124</v>
      </c>
      <c r="H20">
        <v>0.11449754082088195</v>
      </c>
      <c r="I20" s="67">
        <v>1.6301601552531939</v>
      </c>
      <c r="K20" s="65" t="s">
        <v>156</v>
      </c>
      <c r="L20">
        <v>0.11449754082088195</v>
      </c>
      <c r="M20" s="67">
        <v>42.673685800866124</v>
      </c>
      <c r="N20" t="str">
        <f t="shared" si="0"/>
        <v>Below Average</v>
      </c>
      <c r="O20" t="str">
        <f t="shared" si="1"/>
        <v>Above Average</v>
      </c>
      <c r="P20" t="str" cm="1">
        <f t="array" ref="P20">_xlfn.IFS(AND(N20="Above Average",O20="Below Average"),"3",AND(N20="Above Average",O20="Above Average"),"4",AND(N20="Below Average",O20="Above Average"),"2",AND(N20="Below Average",O20="Below Average"),"1")</f>
        <v>2</v>
      </c>
      <c r="R20" s="65" t="s">
        <v>156</v>
      </c>
    </row>
    <row r="21" spans="2:18" x14ac:dyDescent="0.35">
      <c r="B21" s="65" t="s">
        <v>158</v>
      </c>
      <c r="C21" s="3">
        <v>1.5336588014271741</v>
      </c>
      <c r="D21" s="67">
        <v>1.027163743248569</v>
      </c>
      <c r="E21" s="47">
        <v>34.171087572485987</v>
      </c>
      <c r="F21" s="67">
        <v>10.645443106523956</v>
      </c>
      <c r="H21">
        <v>7.7595790190691891E-2</v>
      </c>
      <c r="I21" s="67">
        <v>1.027163743248569</v>
      </c>
      <c r="K21" s="65" t="s">
        <v>158</v>
      </c>
      <c r="L21">
        <v>7.7595790190691891E-2</v>
      </c>
      <c r="M21" s="67">
        <v>10.645443106523956</v>
      </c>
      <c r="N21" t="str">
        <f t="shared" si="0"/>
        <v>Below Average</v>
      </c>
      <c r="O21" t="str">
        <f t="shared" si="1"/>
        <v>Below Average</v>
      </c>
      <c r="P21" t="str" cm="1">
        <f t="array" ref="P21">_xlfn.IFS(AND(N21="Above Average",O21="Below Average"),"3",AND(N21="Above Average",O21="Above Average"),"4",AND(N21="Below Average",O21="Above Average"),"2",AND(N21="Below Average",O21="Below Average"),"1")</f>
        <v>1</v>
      </c>
      <c r="R21" s="65" t="s">
        <v>158</v>
      </c>
    </row>
    <row r="22" spans="2:18" x14ac:dyDescent="0.35">
      <c r="B22" s="65" t="s">
        <v>159</v>
      </c>
      <c r="C22" s="3">
        <v>1.8490563114700485</v>
      </c>
      <c r="D22" s="67">
        <v>0.7517158637564777</v>
      </c>
      <c r="E22" s="47">
        <v>70.640914271306528</v>
      </c>
      <c r="F22" s="67">
        <v>5.6456748687645337</v>
      </c>
      <c r="H22">
        <v>1.9844540211277069</v>
      </c>
      <c r="I22" s="67">
        <v>0.7517158637564777</v>
      </c>
      <c r="K22" s="65" t="s">
        <v>159</v>
      </c>
      <c r="L22">
        <v>1.9844540211277069</v>
      </c>
      <c r="M22" s="67">
        <v>5.6456748687645337</v>
      </c>
      <c r="N22" t="str">
        <f t="shared" si="0"/>
        <v>Above Average</v>
      </c>
      <c r="O22" t="str">
        <f t="shared" si="1"/>
        <v>Below Average</v>
      </c>
      <c r="P22" t="str" cm="1">
        <f t="array" ref="P22">_xlfn.IFS(AND(N22="Above Average",O22="Below Average"),"3",AND(N22="Above Average",O22="Above Average"),"4",AND(N22="Below Average",O22="Above Average"),"2",AND(N22="Below Average",O22="Below Average"),"1")</f>
        <v>3</v>
      </c>
      <c r="R22" s="65" t="s">
        <v>159</v>
      </c>
    </row>
    <row r="23" spans="2:18" x14ac:dyDescent="0.35">
      <c r="B23" s="65" t="s">
        <v>160</v>
      </c>
      <c r="C23" s="3">
        <v>1.250750557704271</v>
      </c>
      <c r="D23" s="67">
        <v>0.49089436829734151</v>
      </c>
      <c r="E23" s="47">
        <v>17.813553305551778</v>
      </c>
      <c r="F23" s="67">
        <v>3.096666017972511</v>
      </c>
      <c r="H23">
        <v>0.20717911463727129</v>
      </c>
      <c r="I23" s="67">
        <v>0.49089436829734151</v>
      </c>
      <c r="K23" s="65" t="s">
        <v>160</v>
      </c>
      <c r="L23">
        <v>0.20717911463727129</v>
      </c>
      <c r="M23" s="67">
        <v>3.096666017972511</v>
      </c>
      <c r="N23" t="str">
        <f t="shared" si="0"/>
        <v>Below Average</v>
      </c>
      <c r="O23" t="str">
        <f t="shared" si="1"/>
        <v>Below Average</v>
      </c>
      <c r="P23" t="str" cm="1">
        <f t="array" ref="P23">_xlfn.IFS(AND(N23="Above Average",O23="Below Average"),"3",AND(N23="Above Average",O23="Above Average"),"4",AND(N23="Below Average",O23="Above Average"),"2",AND(N23="Below Average",O23="Below Average"),"1")</f>
        <v>1</v>
      </c>
      <c r="R23" s="65" t="s">
        <v>160</v>
      </c>
    </row>
    <row r="24" spans="2:18" x14ac:dyDescent="0.35">
      <c r="B24" s="65" t="s">
        <v>161</v>
      </c>
      <c r="C24" s="3">
        <v>1.6398565259069067</v>
      </c>
      <c r="D24" s="67">
        <v>1.3590370091771649</v>
      </c>
      <c r="E24" s="47">
        <v>43.637164811660909</v>
      </c>
      <c r="F24" s="67">
        <v>22.857935830441416</v>
      </c>
      <c r="H24">
        <v>7.7104217185446564E-2</v>
      </c>
      <c r="I24" s="67">
        <v>1.3590370091771649</v>
      </c>
      <c r="K24" s="65" t="s">
        <v>161</v>
      </c>
      <c r="L24">
        <v>7.7104217185446564E-2</v>
      </c>
      <c r="M24" s="67">
        <v>22.857935830441416</v>
      </c>
      <c r="N24" t="str">
        <f t="shared" si="0"/>
        <v>Below Average</v>
      </c>
      <c r="O24" t="str">
        <f t="shared" si="1"/>
        <v>Above Average</v>
      </c>
      <c r="P24" t="str" cm="1">
        <f t="array" ref="P24">_xlfn.IFS(AND(N24="Above Average",O24="Below Average"),"3",AND(N24="Above Average",O24="Above Average"),"4",AND(N24="Below Average",O24="Above Average"),"2",AND(N24="Below Average",O24="Below Average"),"1")</f>
        <v>2</v>
      </c>
      <c r="R24" s="65" t="s">
        <v>161</v>
      </c>
    </row>
    <row r="25" spans="2:18" x14ac:dyDescent="0.35">
      <c r="B25" s="65" t="s">
        <v>162</v>
      </c>
      <c r="C25" s="3">
        <v>1.7223193226922009</v>
      </c>
      <c r="D25" s="67">
        <v>1.8763079356017813</v>
      </c>
      <c r="E25" s="47">
        <v>52.761765904512501</v>
      </c>
      <c r="F25" s="67">
        <v>75.215601965601962</v>
      </c>
      <c r="H25">
        <v>2.392141913566511</v>
      </c>
      <c r="I25" s="67">
        <v>1.8763079356017813</v>
      </c>
      <c r="K25" s="65" t="s">
        <v>162</v>
      </c>
      <c r="L25">
        <v>2.392141913566511</v>
      </c>
      <c r="M25" s="67">
        <v>75.215601965601962</v>
      </c>
      <c r="N25" t="str">
        <f t="shared" si="0"/>
        <v>Above Average</v>
      </c>
      <c r="O25" t="str">
        <f t="shared" si="1"/>
        <v>Above Average</v>
      </c>
      <c r="P25" t="str" cm="1">
        <f t="array" ref="P25">_xlfn.IFS(AND(N25="Above Average",O25="Below Average"),"3",AND(N25="Above Average",O25="Above Average"),"4",AND(N25="Below Average",O25="Above Average"),"2",AND(N25="Below Average",O25="Below Average"),"1")</f>
        <v>4</v>
      </c>
      <c r="R25" s="65" t="s">
        <v>162</v>
      </c>
    </row>
    <row r="26" spans="2:18" x14ac:dyDescent="0.35">
      <c r="B26" s="65" t="s">
        <v>163</v>
      </c>
      <c r="C26" s="3">
        <v>2.099272128080174</v>
      </c>
      <c r="D26" s="67">
        <v>0.6641545288300662</v>
      </c>
      <c r="E26" s="47">
        <v>125.68172362603974</v>
      </c>
      <c r="F26" s="67">
        <v>4.6148174783924176</v>
      </c>
      <c r="H26">
        <v>0.24319319373674986</v>
      </c>
      <c r="I26" s="67">
        <v>0.6641545288300662</v>
      </c>
      <c r="K26" s="65" t="s">
        <v>163</v>
      </c>
      <c r="L26">
        <v>0.24319319373674986</v>
      </c>
      <c r="M26" s="67">
        <v>4.6148174783924176</v>
      </c>
      <c r="N26" t="str">
        <f t="shared" si="0"/>
        <v>Below Average</v>
      </c>
      <c r="O26" t="str">
        <f t="shared" si="1"/>
        <v>Below Average</v>
      </c>
      <c r="P26" t="str" cm="1">
        <f t="array" ref="P26">_xlfn.IFS(AND(N26="Above Average",O26="Below Average"),"3",AND(N26="Above Average",O26="Above Average"),"4",AND(N26="Below Average",O26="Above Average"),"2",AND(N26="Below Average",O26="Below Average"),"1")</f>
        <v>1</v>
      </c>
      <c r="R26" s="65" t="s">
        <v>163</v>
      </c>
    </row>
    <row r="27" spans="2:18" x14ac:dyDescent="0.35">
      <c r="B27" s="65" t="s">
        <v>164</v>
      </c>
      <c r="C27" s="3">
        <v>1.7559034439790238</v>
      </c>
      <c r="D27" s="67">
        <v>1.7668164389653847</v>
      </c>
      <c r="E27" s="47">
        <v>57.003752262980719</v>
      </c>
      <c r="F27" s="67">
        <v>58.454296612863345</v>
      </c>
      <c r="H27">
        <v>0.25365988769489528</v>
      </c>
      <c r="I27" s="67">
        <v>1.7668164389653847</v>
      </c>
      <c r="K27" s="65" t="s">
        <v>164</v>
      </c>
      <c r="L27">
        <v>0.25365988769489528</v>
      </c>
      <c r="M27" s="67">
        <v>58.454296612863345</v>
      </c>
      <c r="N27" t="str">
        <f t="shared" si="0"/>
        <v>Below Average</v>
      </c>
      <c r="O27" t="str">
        <f t="shared" si="1"/>
        <v>Above Average</v>
      </c>
      <c r="P27" t="str" cm="1">
        <f t="array" ref="P27">_xlfn.IFS(AND(N27="Above Average",O27="Below Average"),"3",AND(N27="Above Average",O27="Above Average"),"4",AND(N27="Below Average",O27="Above Average"),"2",AND(N27="Below Average",O27="Below Average"),"1")</f>
        <v>2</v>
      </c>
      <c r="R27" s="65" t="s">
        <v>164</v>
      </c>
    </row>
    <row r="28" spans="2:18" x14ac:dyDescent="0.35">
      <c r="B28" s="65" t="s">
        <v>165</v>
      </c>
      <c r="C28" s="3">
        <v>1.3418057006692128</v>
      </c>
      <c r="D28" s="67">
        <v>0.53502448869900099</v>
      </c>
      <c r="E28" s="47">
        <v>21.968767905514429</v>
      </c>
      <c r="F28" s="67">
        <v>3.4278711484593836</v>
      </c>
      <c r="H28">
        <v>0.54591131656778469</v>
      </c>
      <c r="I28" s="67">
        <v>0.53502448869900099</v>
      </c>
      <c r="K28" s="65" t="s">
        <v>165</v>
      </c>
      <c r="L28">
        <v>0.54591131656778469</v>
      </c>
      <c r="M28" s="67">
        <v>3.4278711484593836</v>
      </c>
      <c r="N28" t="str">
        <f t="shared" si="0"/>
        <v>Below Average</v>
      </c>
      <c r="O28" t="str">
        <f t="shared" si="1"/>
        <v>Below Average</v>
      </c>
      <c r="P28" t="str" cm="1">
        <f t="array" ref="P28">_xlfn.IFS(AND(N28="Above Average",O28="Below Average"),"3",AND(N28="Above Average",O28="Above Average"),"4",AND(N28="Below Average",O28="Above Average"),"2",AND(N28="Below Average",O28="Below Average"),"1")</f>
        <v>1</v>
      </c>
      <c r="R28" s="65" t="s">
        <v>165</v>
      </c>
    </row>
    <row r="29" spans="2:18" x14ac:dyDescent="0.35">
      <c r="B29" s="65" t="s">
        <v>166</v>
      </c>
      <c r="C29" s="3">
        <v>1.2771800971353457</v>
      </c>
      <c r="D29" s="67">
        <v>1.3293659557938311</v>
      </c>
      <c r="E29" s="47">
        <v>18.931285154211427</v>
      </c>
      <c r="F29" s="67">
        <v>21.348430688993169</v>
      </c>
      <c r="H29">
        <v>0.32417258402366966</v>
      </c>
      <c r="I29" s="67">
        <v>1.3293659557938311</v>
      </c>
      <c r="K29" s="65" t="s">
        <v>166</v>
      </c>
      <c r="L29">
        <v>0.32417258402366966</v>
      </c>
      <c r="M29" s="67">
        <v>21.348430688993169</v>
      </c>
      <c r="N29" t="str">
        <f t="shared" si="0"/>
        <v>Below Average</v>
      </c>
      <c r="O29" t="str">
        <f t="shared" si="1"/>
        <v>Below Average</v>
      </c>
      <c r="P29" t="str" cm="1">
        <f t="array" ref="P29">_xlfn.IFS(AND(N29="Above Average",O29="Below Average"),"3",AND(N29="Above Average",O29="Above Average"),"4",AND(N29="Below Average",O29="Above Average"),"2",AND(N29="Below Average",O29="Below Average"),"1")</f>
        <v>1</v>
      </c>
      <c r="R29" s="65" t="s">
        <v>166</v>
      </c>
    </row>
    <row r="30" spans="2:18" x14ac:dyDescent="0.35">
      <c r="B30" s="65" t="s">
        <v>167</v>
      </c>
      <c r="C30" s="3">
        <v>1.2290888276467695</v>
      </c>
      <c r="D30" s="67">
        <v>1.3590370091771649</v>
      </c>
      <c r="E30" s="47">
        <v>16.946843842481947</v>
      </c>
      <c r="F30" s="67">
        <v>22.857935830441416</v>
      </c>
      <c r="H30">
        <v>0.32131198939957734</v>
      </c>
      <c r="I30" s="67">
        <v>1.3590370091771649</v>
      </c>
      <c r="K30" s="65" t="s">
        <v>167</v>
      </c>
      <c r="L30">
        <v>0.32131198939957734</v>
      </c>
      <c r="M30" s="67">
        <v>22.857935830441416</v>
      </c>
      <c r="N30" t="str">
        <f t="shared" si="0"/>
        <v>Below Average</v>
      </c>
      <c r="O30" t="str">
        <f t="shared" si="1"/>
        <v>Above Average</v>
      </c>
      <c r="P30" t="str" cm="1">
        <f t="array" ref="P30">_xlfn.IFS(AND(N30="Above Average",O30="Below Average"),"3",AND(N30="Above Average",O30="Above Average"),"4",AND(N30="Below Average",O30="Above Average"),"2",AND(N30="Below Average",O30="Below Average"),"1")</f>
        <v>2</v>
      </c>
      <c r="R30" s="65" t="s">
        <v>167</v>
      </c>
    </row>
    <row r="31" spans="2:18" x14ac:dyDescent="0.35">
      <c r="B31" s="65" t="s">
        <v>168</v>
      </c>
      <c r="C31" s="3">
        <v>1.6432437242179894</v>
      </c>
      <c r="D31" s="67">
        <v>1.837679746129431</v>
      </c>
      <c r="E31" s="47">
        <v>43.978835355257424</v>
      </c>
      <c r="F31" s="67">
        <v>68.81446632132112</v>
      </c>
      <c r="H31">
        <v>0.17479178380184746</v>
      </c>
      <c r="I31" s="67">
        <v>1.837679746129431</v>
      </c>
      <c r="K31" s="65" t="s">
        <v>168</v>
      </c>
      <c r="L31">
        <v>0.17479178380184746</v>
      </c>
      <c r="M31" s="67">
        <v>68.81446632132112</v>
      </c>
      <c r="N31" t="str">
        <f t="shared" si="0"/>
        <v>Below Average</v>
      </c>
      <c r="O31" t="str">
        <f t="shared" si="1"/>
        <v>Above Average</v>
      </c>
      <c r="P31" t="str" cm="1">
        <f t="array" ref="P31">_xlfn.IFS(AND(N31="Above Average",O31="Below Average"),"3",AND(N31="Above Average",O31="Above Average"),"4",AND(N31="Below Average",O31="Above Average"),"2",AND(N31="Below Average",O31="Below Average"),"1")</f>
        <v>2</v>
      </c>
      <c r="R31" s="65" t="s">
        <v>168</v>
      </c>
    </row>
    <row r="32" spans="2:18" x14ac:dyDescent="0.35">
      <c r="B32" s="65" t="s">
        <v>169</v>
      </c>
      <c r="C32" s="3">
        <v>2.0689381612784907</v>
      </c>
      <c r="D32" s="67">
        <v>1.0251934156706199</v>
      </c>
      <c r="E32" s="47">
        <v>117.20284698003086</v>
      </c>
      <c r="F32" s="67">
        <v>10.597255752844539</v>
      </c>
      <c r="H32">
        <v>0.12780767517896055</v>
      </c>
      <c r="I32" s="67">
        <v>1.0251934156706199</v>
      </c>
      <c r="K32" s="65" t="s">
        <v>169</v>
      </c>
      <c r="L32">
        <v>0.12780767517896055</v>
      </c>
      <c r="M32" s="67">
        <v>10.597255752844539</v>
      </c>
      <c r="N32" t="str">
        <f t="shared" si="0"/>
        <v>Below Average</v>
      </c>
      <c r="O32" t="str">
        <f t="shared" si="1"/>
        <v>Below Average</v>
      </c>
      <c r="P32" t="str" cm="1">
        <f t="array" ref="P32">_xlfn.IFS(AND(N32="Above Average",O32="Below Average"),"3",AND(N32="Above Average",O32="Above Average"),"4",AND(N32="Below Average",O32="Above Average"),"2",AND(N32="Below Average",O32="Below Average"),"1")</f>
        <v>1</v>
      </c>
      <c r="R32" s="65" t="s">
        <v>169</v>
      </c>
    </row>
    <row r="33" spans="2:18" x14ac:dyDescent="0.35">
      <c r="B33" s="65" t="s">
        <v>170</v>
      </c>
      <c r="C33" s="3">
        <v>1.7372603145553582</v>
      </c>
      <c r="D33" s="67">
        <v>1.2137711551232062</v>
      </c>
      <c r="E33" s="47">
        <v>54.608508445493854</v>
      </c>
      <c r="F33" s="67">
        <v>16.359542530378842</v>
      </c>
      <c r="H33">
        <v>1.5108653786250514</v>
      </c>
      <c r="I33" s="67">
        <v>1.2137711551232062</v>
      </c>
      <c r="K33" s="65" t="s">
        <v>170</v>
      </c>
      <c r="L33">
        <v>1.5108653786250514</v>
      </c>
      <c r="M33" s="67">
        <v>16.359542530378842</v>
      </c>
      <c r="N33" t="str">
        <f t="shared" si="0"/>
        <v>Above Average</v>
      </c>
      <c r="O33" t="str">
        <f t="shared" si="1"/>
        <v>Below Average</v>
      </c>
      <c r="P33" t="str" cm="1">
        <f t="array" ref="P33">_xlfn.IFS(AND(N33="Above Average",O33="Below Average"),"3",AND(N33="Above Average",O33="Above Average"),"4",AND(N33="Below Average",O33="Above Average"),"2",AND(N33="Below Average",O33="Below Average"),"1")</f>
        <v>3</v>
      </c>
      <c r="R33" s="65" t="s">
        <v>170</v>
      </c>
    </row>
    <row r="34" spans="2:18" x14ac:dyDescent="0.35">
      <c r="B34" s="65" t="s">
        <v>171</v>
      </c>
      <c r="C34" s="3">
        <v>2.0226434573829182</v>
      </c>
      <c r="D34" s="67">
        <v>1.4050950942181666</v>
      </c>
      <c r="E34" s="47">
        <v>105.35216319078796</v>
      </c>
      <c r="F34" s="67">
        <v>25.415291442768822</v>
      </c>
      <c r="H34">
        <v>0.2269469189988374</v>
      </c>
      <c r="I34" s="67">
        <v>1.4050950942181666</v>
      </c>
      <c r="K34" s="65" t="s">
        <v>171</v>
      </c>
      <c r="L34">
        <v>0.2269469189988374</v>
      </c>
      <c r="M34" s="67">
        <v>25.415291442768822</v>
      </c>
      <c r="N34" t="str">
        <f t="shared" si="0"/>
        <v>Below Average</v>
      </c>
      <c r="O34" t="str">
        <f t="shared" si="1"/>
        <v>Above Average</v>
      </c>
      <c r="P34" t="str" cm="1">
        <f t="array" ref="P34">_xlfn.IFS(AND(N34="Above Average",O34="Below Average"),"3",AND(N34="Above Average",O34="Above Average"),"4",AND(N34="Below Average",O34="Above Average"),"2",AND(N34="Below Average",O34="Below Average"),"1")</f>
        <v>2</v>
      </c>
      <c r="R34" s="65" t="s">
        <v>171</v>
      </c>
    </row>
    <row r="35" spans="2:18" x14ac:dyDescent="0.35">
      <c r="B35" s="65" t="s">
        <v>172</v>
      </c>
      <c r="C35" s="3">
        <v>0.69511800597391782</v>
      </c>
      <c r="D35" s="67">
        <v>0.89256200067381375</v>
      </c>
      <c r="E35" s="47">
        <v>4.955848322257995</v>
      </c>
      <c r="F35" s="67">
        <v>7.8083990631299782</v>
      </c>
      <c r="H35">
        <v>0.10899444065530016</v>
      </c>
      <c r="I35" s="67">
        <v>0.89256200067381375</v>
      </c>
      <c r="K35" s="65" t="s">
        <v>172</v>
      </c>
      <c r="L35">
        <v>0.10899444065530016</v>
      </c>
      <c r="M35" s="67">
        <v>7.8083990631299782</v>
      </c>
      <c r="N35" t="str">
        <f t="shared" si="0"/>
        <v>Below Average</v>
      </c>
      <c r="O35" t="str">
        <f t="shared" si="1"/>
        <v>Below Average</v>
      </c>
      <c r="P35" t="str" cm="1">
        <f t="array" ref="P35">_xlfn.IFS(AND(N35="Above Average",O35="Below Average"),"3",AND(N35="Above Average",O35="Above Average"),"4",AND(N35="Below Average",O35="Above Average"),"2",AND(N35="Below Average",O35="Below Average"),"1")</f>
        <v>1</v>
      </c>
      <c r="R35" s="65" t="s">
        <v>172</v>
      </c>
    </row>
    <row r="36" spans="2:18" x14ac:dyDescent="0.35">
      <c r="B36" s="65" t="s">
        <v>173</v>
      </c>
      <c r="C36" s="3">
        <v>1.5632909788838778</v>
      </c>
      <c r="D36" s="67">
        <v>1.2520463655347098</v>
      </c>
      <c r="E36" s="47">
        <v>36.583982353138666</v>
      </c>
      <c r="F36" s="67">
        <v>17.866783114992721</v>
      </c>
      <c r="H36">
        <v>6.7092994461470346</v>
      </c>
      <c r="I36" s="67">
        <v>1.2520463655347098</v>
      </c>
      <c r="K36" s="65" t="s">
        <v>173</v>
      </c>
      <c r="L36">
        <v>6.7092994461470346</v>
      </c>
      <c r="M36" s="67">
        <v>17.866783114992721</v>
      </c>
      <c r="N36" t="str">
        <f t="shared" si="0"/>
        <v>Above Average</v>
      </c>
      <c r="O36" t="str">
        <f t="shared" si="1"/>
        <v>Below Average</v>
      </c>
      <c r="P36" t="str" cm="1">
        <f t="array" ref="P36">_xlfn.IFS(AND(N36="Above Average",O36="Below Average"),"3",AND(N36="Above Average",O36="Above Average"),"4",AND(N36="Below Average",O36="Above Average"),"2",AND(N36="Below Average",O36="Below Average"),"1")</f>
        <v>3</v>
      </c>
      <c r="R36" s="65" t="s">
        <v>173</v>
      </c>
    </row>
    <row r="37" spans="2:18" x14ac:dyDescent="0.35">
      <c r="B37" s="65" t="s">
        <v>174</v>
      </c>
      <c r="C37" s="3">
        <v>1.7754214179160368</v>
      </c>
      <c r="D37" s="67">
        <v>1.6169097533210601</v>
      </c>
      <c r="E37" s="47">
        <v>59.624042517676429</v>
      </c>
      <c r="F37" s="67">
        <v>41.391365435291313</v>
      </c>
      <c r="H37">
        <v>0.68931763738764196</v>
      </c>
      <c r="I37" s="67">
        <v>1.6169097533210601</v>
      </c>
      <c r="K37" s="65" t="s">
        <v>174</v>
      </c>
      <c r="L37">
        <v>0.68931763738764196</v>
      </c>
      <c r="M37" s="67">
        <v>41.391365435291313</v>
      </c>
      <c r="N37" t="str">
        <f t="shared" si="0"/>
        <v>Below Average</v>
      </c>
      <c r="O37" t="str">
        <f t="shared" si="1"/>
        <v>Above Average</v>
      </c>
      <c r="P37" t="str" cm="1">
        <f t="array" ref="P37">_xlfn.IFS(AND(N37="Above Average",O37="Below Average"),"3",AND(N37="Above Average",O37="Above Average"),"4",AND(N37="Below Average",O37="Above Average"),"2",AND(N37="Below Average",O37="Below Average"),"1")</f>
        <v>2</v>
      </c>
      <c r="R37" s="65" t="s">
        <v>174</v>
      </c>
    </row>
    <row r="38" spans="2:18" x14ac:dyDescent="0.35">
      <c r="B38" s="65" t="s">
        <v>176</v>
      </c>
      <c r="C38" s="3">
        <v>1.8020428154394388</v>
      </c>
      <c r="D38" s="67">
        <v>1.3590370091771649</v>
      </c>
      <c r="E38" s="47">
        <v>63.393220513883151</v>
      </c>
      <c r="F38" s="67">
        <v>22.857935830441416</v>
      </c>
      <c r="H38">
        <v>1.2096144686277734E-2</v>
      </c>
      <c r="I38" s="67">
        <v>1.3590370091771649</v>
      </c>
      <c r="K38" s="65" t="s">
        <v>176</v>
      </c>
      <c r="L38">
        <v>1.2096144686277734E-2</v>
      </c>
      <c r="M38" s="67">
        <v>22.857935830441416</v>
      </c>
      <c r="N38" t="str">
        <f t="shared" si="0"/>
        <v>Below Average</v>
      </c>
      <c r="O38" t="str">
        <f t="shared" si="1"/>
        <v>Above Average</v>
      </c>
      <c r="P38" t="str" cm="1">
        <f t="array" ref="P38">_xlfn.IFS(AND(N38="Above Average",O38="Below Average"),"3",AND(N38="Above Average",O38="Above Average"),"4",AND(N38="Below Average",O38="Above Average"),"2",AND(N38="Below Average",O38="Below Average"),"1")</f>
        <v>2</v>
      </c>
      <c r="R38" s="65" t="s">
        <v>176</v>
      </c>
    </row>
    <row r="39" spans="2:18" x14ac:dyDescent="0.35">
      <c r="B39" s="65" t="s">
        <v>177</v>
      </c>
      <c r="C39" s="3">
        <v>1.3765201273174978</v>
      </c>
      <c r="D39" s="67">
        <v>0.85630195700274225</v>
      </c>
      <c r="E39" s="47">
        <v>23.796885847380697</v>
      </c>
      <c r="F39" s="67">
        <v>7.1829353403866092</v>
      </c>
      <c r="H39">
        <v>0.34580543583860351</v>
      </c>
      <c r="I39" s="67">
        <v>0.85630195700274225</v>
      </c>
      <c r="K39" s="65" t="s">
        <v>177</v>
      </c>
      <c r="L39">
        <v>0.34580543583860351</v>
      </c>
      <c r="M39" s="67">
        <v>7.1829353403866092</v>
      </c>
      <c r="N39" t="str">
        <f t="shared" si="0"/>
        <v>Below Average</v>
      </c>
      <c r="O39" t="str">
        <f t="shared" si="1"/>
        <v>Below Average</v>
      </c>
      <c r="P39" t="str" cm="1">
        <f t="array" ref="P39">_xlfn.IFS(AND(N39="Above Average",O39="Below Average"),"3",AND(N39="Above Average",O39="Above Average"),"4",AND(N39="Below Average",O39="Above Average"),"2",AND(N39="Below Average",O39="Below Average"),"1")</f>
        <v>1</v>
      </c>
      <c r="R39" s="65" t="s">
        <v>177</v>
      </c>
    </row>
    <row r="40" spans="2:18" x14ac:dyDescent="0.35">
      <c r="B40" s="65" t="s">
        <v>178</v>
      </c>
      <c r="C40" s="3">
        <v>2.4719753176435297</v>
      </c>
      <c r="D40" s="67">
        <v>1.6242820958356683</v>
      </c>
      <c r="E40" s="47">
        <v>296.4662893379861</v>
      </c>
      <c r="F40" s="67">
        <v>42.1</v>
      </c>
      <c r="H40">
        <v>2.6649720008577755E-2</v>
      </c>
      <c r="I40" s="67">
        <v>1.6242820958356683</v>
      </c>
      <c r="K40" s="65" t="s">
        <v>178</v>
      </c>
      <c r="L40">
        <v>2.6649720008577755E-2</v>
      </c>
      <c r="M40" s="67">
        <v>42.1</v>
      </c>
      <c r="N40" t="str">
        <f t="shared" si="0"/>
        <v>Below Average</v>
      </c>
      <c r="O40" t="str">
        <f t="shared" si="1"/>
        <v>Above Average</v>
      </c>
      <c r="P40" t="str" cm="1">
        <f t="array" ref="P40">_xlfn.IFS(AND(N40="Above Average",O40="Below Average"),"3",AND(N40="Above Average",O40="Above Average"),"4",AND(N40="Below Average",O40="Above Average"),"2",AND(N40="Below Average",O40="Below Average"),"1")</f>
        <v>2</v>
      </c>
      <c r="R40" s="65" t="s">
        <v>178</v>
      </c>
    </row>
    <row r="41" spans="2:18" x14ac:dyDescent="0.35">
      <c r="B41" s="65" t="s">
        <v>179</v>
      </c>
      <c r="C41" s="3">
        <v>1.657794684437857</v>
      </c>
      <c r="D41" s="67">
        <v>0.92967794312633822</v>
      </c>
      <c r="E41" s="47">
        <v>45.477301239981145</v>
      </c>
      <c r="F41" s="67">
        <v>8.5050709939148081</v>
      </c>
      <c r="H41">
        <v>0.32842381788896147</v>
      </c>
      <c r="I41" s="67">
        <v>0.92967794312633822</v>
      </c>
      <c r="K41" s="65" t="s">
        <v>179</v>
      </c>
      <c r="L41">
        <v>0.32842381788896147</v>
      </c>
      <c r="M41" s="67">
        <v>8.5050709939148081</v>
      </c>
      <c r="N41" t="str">
        <f t="shared" si="0"/>
        <v>Below Average</v>
      </c>
      <c r="O41" t="str">
        <f t="shared" si="1"/>
        <v>Below Average</v>
      </c>
      <c r="P41" t="str" cm="1">
        <f t="array" ref="P41">_xlfn.IFS(AND(N41="Above Average",O41="Below Average"),"3",AND(N41="Above Average",O41="Above Average"),"4",AND(N41="Below Average",O41="Above Average"),"2",AND(N41="Below Average",O41="Below Average"),"1")</f>
        <v>1</v>
      </c>
      <c r="R41" s="65" t="s">
        <v>179</v>
      </c>
    </row>
    <row r="42" spans="2:18" x14ac:dyDescent="0.35">
      <c r="B42" s="65" t="s">
        <v>180</v>
      </c>
      <c r="C42" s="3">
        <v>2.0419472041053712</v>
      </c>
      <c r="D42" s="67">
        <v>2.0303780382652743</v>
      </c>
      <c r="E42" s="47">
        <v>110.14054068074168</v>
      </c>
      <c r="F42" s="67">
        <v>107.24524316516025</v>
      </c>
      <c r="H42">
        <v>5.535827419797827</v>
      </c>
      <c r="I42" s="67">
        <v>2.0303780382652743</v>
      </c>
      <c r="K42" s="65" t="s">
        <v>180</v>
      </c>
      <c r="L42">
        <v>5.535827419797827</v>
      </c>
      <c r="M42" s="67">
        <v>107.24524316516025</v>
      </c>
      <c r="N42" t="str">
        <f t="shared" si="0"/>
        <v>Above Average</v>
      </c>
      <c r="O42" t="str">
        <f t="shared" si="1"/>
        <v>Above Average</v>
      </c>
      <c r="P42" t="str" cm="1">
        <f t="array" ref="P42">_xlfn.IFS(AND(N42="Above Average",O42="Below Average"),"3",AND(N42="Above Average",O42="Above Average"),"4",AND(N42="Below Average",O42="Above Average"),"2",AND(N42="Below Average",O42="Below Average"),"1")</f>
        <v>4</v>
      </c>
      <c r="R42" s="65" t="s">
        <v>180</v>
      </c>
    </row>
    <row r="43" spans="2:18" x14ac:dyDescent="0.35">
      <c r="B43" s="65" t="s">
        <v>181</v>
      </c>
      <c r="C43" s="3">
        <v>1.2945672338764618</v>
      </c>
      <c r="D43" s="67">
        <v>1.3157352315928863</v>
      </c>
      <c r="E43" s="47">
        <v>19.70458233636975</v>
      </c>
      <c r="F43" s="67">
        <v>20.688796680497926</v>
      </c>
      <c r="H43">
        <v>0.18045575879365716</v>
      </c>
      <c r="I43" s="67">
        <v>1.3157352315928863</v>
      </c>
      <c r="K43" s="65" t="s">
        <v>181</v>
      </c>
      <c r="L43">
        <v>0.18045575879365716</v>
      </c>
      <c r="M43" s="67">
        <v>20.688796680497926</v>
      </c>
      <c r="N43" t="str">
        <f t="shared" si="0"/>
        <v>Below Average</v>
      </c>
      <c r="O43" t="str">
        <f t="shared" si="1"/>
        <v>Below Average</v>
      </c>
      <c r="P43" t="str" cm="1">
        <f t="array" ref="P43">_xlfn.IFS(AND(N43="Above Average",O43="Below Average"),"3",AND(N43="Above Average",O43="Above Average"),"4",AND(N43="Below Average",O43="Above Average"),"2",AND(N43="Below Average",O43="Below Average"),"1")</f>
        <v>1</v>
      </c>
      <c r="R43" s="65" t="s">
        <v>181</v>
      </c>
    </row>
    <row r="44" spans="2:18" x14ac:dyDescent="0.35">
      <c r="B44" s="65" t="s">
        <v>182</v>
      </c>
      <c r="C44" s="3">
        <v>1.4805132689166067</v>
      </c>
      <c r="D44" s="67">
        <v>1.0252800151720924</v>
      </c>
      <c r="E44" s="47">
        <v>30.235229462209936</v>
      </c>
      <c r="F44" s="67">
        <v>10.599369085173501</v>
      </c>
      <c r="H44">
        <v>0.22451508021737129</v>
      </c>
      <c r="I44" s="67">
        <v>1.0252800151720924</v>
      </c>
      <c r="K44" s="65" t="s">
        <v>182</v>
      </c>
      <c r="L44">
        <v>0.22451508021737129</v>
      </c>
      <c r="M44" s="67">
        <v>10.599369085173501</v>
      </c>
      <c r="N44" t="str">
        <f t="shared" si="0"/>
        <v>Below Average</v>
      </c>
      <c r="O44" t="str">
        <f t="shared" si="1"/>
        <v>Below Average</v>
      </c>
      <c r="P44" t="str" cm="1">
        <f t="array" ref="P44">_xlfn.IFS(AND(N44="Above Average",O44="Below Average"),"3",AND(N44="Above Average",O44="Above Average"),"4",AND(N44="Below Average",O44="Above Average"),"2",AND(N44="Below Average",O44="Below Average"),"1")</f>
        <v>1</v>
      </c>
      <c r="R44" s="65" t="s">
        <v>182</v>
      </c>
    </row>
    <row r="45" spans="2:18" x14ac:dyDescent="0.35">
      <c r="B45" s="65" t="s">
        <v>183</v>
      </c>
      <c r="C45" s="3">
        <v>1.8508899997099904</v>
      </c>
      <c r="D45" s="67">
        <v>0.71631219217137176</v>
      </c>
      <c r="E45" s="47">
        <v>70.939806529751905</v>
      </c>
      <c r="F45" s="67">
        <v>5.2036992954099146</v>
      </c>
      <c r="H45">
        <v>2.8128129214331787</v>
      </c>
      <c r="I45" s="67">
        <v>0.71631219217137176</v>
      </c>
      <c r="K45" s="65" t="s">
        <v>183</v>
      </c>
      <c r="L45">
        <v>2.8128129214331787</v>
      </c>
      <c r="M45" s="67">
        <v>5.2036992954099146</v>
      </c>
      <c r="N45" t="str">
        <f t="shared" si="0"/>
        <v>Above Average</v>
      </c>
      <c r="O45" t="str">
        <f t="shared" si="1"/>
        <v>Below Average</v>
      </c>
      <c r="P45" t="str" cm="1">
        <f t="array" ref="P45">_xlfn.IFS(AND(N45="Above Average",O45="Below Average"),"3",AND(N45="Above Average",O45="Above Average"),"4",AND(N45="Below Average",O45="Above Average"),"2",AND(N45="Below Average",O45="Below Average"),"1")</f>
        <v>3</v>
      </c>
      <c r="R45" s="65" t="s">
        <v>183</v>
      </c>
    </row>
    <row r="46" spans="2:18" x14ac:dyDescent="0.35">
      <c r="B46" s="65" t="s">
        <v>184</v>
      </c>
      <c r="C46" s="3">
        <v>1.4576299021000942</v>
      </c>
      <c r="D46" s="67">
        <v>1.0969955271941416</v>
      </c>
      <c r="E46" s="47">
        <v>28.683351968574311</v>
      </c>
      <c r="F46" s="67">
        <v>12.502461538461539</v>
      </c>
      <c r="H46">
        <v>1.5765549788815736</v>
      </c>
      <c r="I46" s="67">
        <v>1.0969955271941416</v>
      </c>
      <c r="K46" s="65" t="s">
        <v>184</v>
      </c>
      <c r="L46">
        <v>1.5765549788815736</v>
      </c>
      <c r="M46" s="67">
        <v>12.502461538461539</v>
      </c>
      <c r="N46" t="str">
        <f t="shared" si="0"/>
        <v>Above Average</v>
      </c>
      <c r="O46" t="str">
        <f t="shared" si="1"/>
        <v>Below Average</v>
      </c>
      <c r="P46" t="str" cm="1">
        <f t="array" ref="P46">_xlfn.IFS(AND(N46="Above Average",O46="Below Average"),"3",AND(N46="Above Average",O46="Above Average"),"4",AND(N46="Below Average",O46="Above Average"),"2",AND(N46="Below Average",O46="Below Average"),"1")</f>
        <v>3</v>
      </c>
      <c r="R46" s="65" t="s">
        <v>184</v>
      </c>
    </row>
    <row r="47" spans="2:18" x14ac:dyDescent="0.35">
      <c r="B47" s="65" t="s">
        <v>185</v>
      </c>
      <c r="C47" s="3">
        <v>1.7477183731961123</v>
      </c>
      <c r="D47" s="67">
        <v>1.0219585611420867</v>
      </c>
      <c r="E47" s="47">
        <v>55.939473332937403</v>
      </c>
      <c r="F47" s="67">
        <v>10.51861504095309</v>
      </c>
      <c r="H47">
        <v>0.93969054582200373</v>
      </c>
      <c r="I47" s="67">
        <v>1.0219585611420867</v>
      </c>
      <c r="K47" s="65" t="s">
        <v>185</v>
      </c>
      <c r="L47">
        <v>0.93969054582200373</v>
      </c>
      <c r="M47" s="67">
        <v>10.51861504095309</v>
      </c>
      <c r="N47" t="str">
        <f t="shared" si="0"/>
        <v>Above Average</v>
      </c>
      <c r="O47" t="str">
        <f t="shared" si="1"/>
        <v>Below Average</v>
      </c>
      <c r="P47" t="str" cm="1">
        <f t="array" ref="P47">_xlfn.IFS(AND(N47="Above Average",O47="Below Average"),"3",AND(N47="Above Average",O47="Above Average"),"4",AND(N47="Below Average",O47="Above Average"),"2",AND(N47="Below Average",O47="Below Average"),"1")</f>
        <v>3</v>
      </c>
      <c r="R47" s="65" t="s">
        <v>185</v>
      </c>
    </row>
    <row r="48" spans="2:18" x14ac:dyDescent="0.35">
      <c r="B48" s="65" t="s">
        <v>186</v>
      </c>
      <c r="C48" s="3">
        <v>1.8064715766094552</v>
      </c>
      <c r="D48" s="67">
        <v>1.560949253118078</v>
      </c>
      <c r="E48" s="47">
        <v>64.042986580794391</v>
      </c>
      <c r="F48" s="67">
        <v>36.387251549841309</v>
      </c>
      <c r="H48">
        <v>0.87711971217454798</v>
      </c>
      <c r="I48" s="67">
        <v>1.560949253118078</v>
      </c>
      <c r="K48" s="65" t="s">
        <v>186</v>
      </c>
      <c r="L48">
        <v>0.87711971217454798</v>
      </c>
      <c r="M48" s="67">
        <v>36.387251549841309</v>
      </c>
      <c r="N48" t="str">
        <f t="shared" si="0"/>
        <v>Below Average</v>
      </c>
      <c r="O48" t="str">
        <f t="shared" si="1"/>
        <v>Above Average</v>
      </c>
      <c r="P48" t="str" cm="1">
        <f t="array" ref="P48">_xlfn.IFS(AND(N48="Above Average",O48="Below Average"),"3",AND(N48="Above Average",O48="Above Average"),"4",AND(N48="Below Average",O48="Above Average"),"2",AND(N48="Below Average",O48="Below Average"),"1")</f>
        <v>2</v>
      </c>
      <c r="R48" s="65" t="s">
        <v>186</v>
      </c>
    </row>
    <row r="49" spans="3:13" x14ac:dyDescent="0.35">
      <c r="C49" s="3"/>
      <c r="D49" s="68"/>
      <c r="E49" s="1">
        <v>53.428046434715839</v>
      </c>
      <c r="F49" s="1">
        <v>22.857935830441416</v>
      </c>
      <c r="H49" s="105">
        <v>0.88248654743588983</v>
      </c>
      <c r="I49" s="104">
        <v>1.1692594227645297</v>
      </c>
      <c r="L49" s="105">
        <f>AVERAGE(L2:L48)</f>
        <v>0.88248654743588983</v>
      </c>
      <c r="M49" s="105">
        <f>AVERAGE(M2:M48)</f>
        <v>22.857935830441416</v>
      </c>
    </row>
    <row r="50" spans="3:13" x14ac:dyDescent="0.35">
      <c r="D50" t="s">
        <v>190</v>
      </c>
      <c r="E50" s="47">
        <v>4.955848322257995</v>
      </c>
      <c r="F50" s="47">
        <v>0.95412514516632685</v>
      </c>
      <c r="M50" s="47"/>
    </row>
    <row r="51" spans="3:13" x14ac:dyDescent="0.35">
      <c r="D51" t="s">
        <v>191</v>
      </c>
      <c r="E51" s="47">
        <v>296.4662893379861</v>
      </c>
      <c r="F51" s="47">
        <v>107.24524316516025</v>
      </c>
      <c r="M51" s="4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9451-00E9-43A6-9F21-B46844BE6387}">
  <sheetPr>
    <tabColor rgb="FFFF0000"/>
  </sheetPr>
  <dimension ref="A1:Z51"/>
  <sheetViews>
    <sheetView zoomScale="95" zoomScaleNormal="90" workbookViewId="0">
      <selection activeCell="G1" activeCellId="1" sqref="A1:A1048576 G1:G1048576"/>
    </sheetView>
  </sheetViews>
  <sheetFormatPr defaultColWidth="8.81640625" defaultRowHeight="14.5" x14ac:dyDescent="0.35"/>
  <cols>
    <col min="1" max="1" width="27.26953125" style="58" bestFit="1" customWidth="1"/>
    <col min="2" max="2" width="13" style="58" bestFit="1" customWidth="1"/>
    <col min="3" max="3" width="15.08984375" customWidth="1"/>
    <col min="4" max="4" width="15.08984375" style="42" customWidth="1"/>
    <col min="5" max="5" width="16.36328125" customWidth="1"/>
    <col min="6" max="6" width="14.26953125" customWidth="1"/>
    <col min="7" max="9" width="16.36328125" customWidth="1"/>
    <col min="10" max="10" width="16.36328125" style="4" customWidth="1"/>
    <col min="11" max="11" width="11.7265625" bestFit="1" customWidth="1"/>
    <col min="12" max="14" width="11.7265625" customWidth="1"/>
    <col min="16" max="16" width="11" customWidth="1"/>
    <col min="17" max="17" width="13.7265625" customWidth="1"/>
    <col min="18" max="18" width="14.26953125" customWidth="1"/>
    <col min="19" max="19" width="13.26953125" bestFit="1" customWidth="1"/>
    <col min="20" max="20" width="12.08984375" bestFit="1" customWidth="1"/>
    <col min="21" max="23" width="12.08984375" customWidth="1"/>
    <col min="25" max="25" width="11.7265625" customWidth="1"/>
    <col min="26" max="26" width="14.26953125" customWidth="1"/>
  </cols>
  <sheetData>
    <row r="1" spans="1:26" s="61" customFormat="1" ht="44" thickTop="1" x14ac:dyDescent="0.35">
      <c r="A1" s="59" t="s">
        <v>0</v>
      </c>
      <c r="B1" s="60" t="s">
        <v>187</v>
      </c>
      <c r="C1" s="60" t="s">
        <v>135</v>
      </c>
      <c r="D1" s="60" t="s">
        <v>134</v>
      </c>
      <c r="E1" s="60" t="s">
        <v>74</v>
      </c>
      <c r="F1" s="60" t="s">
        <v>189</v>
      </c>
      <c r="G1" s="60" t="s">
        <v>208</v>
      </c>
      <c r="H1" s="60"/>
      <c r="I1" s="60"/>
      <c r="J1" s="107"/>
      <c r="K1" s="61" t="s">
        <v>260</v>
      </c>
      <c r="L1" s="61" t="s">
        <v>261</v>
      </c>
      <c r="P1" s="60" t="s">
        <v>187</v>
      </c>
      <c r="Q1" s="60" t="s">
        <v>188</v>
      </c>
      <c r="R1" s="60" t="s">
        <v>189</v>
      </c>
      <c r="S1" s="60" t="s">
        <v>74</v>
      </c>
      <c r="T1" s="60" t="s">
        <v>102</v>
      </c>
      <c r="U1" s="60" t="s">
        <v>267</v>
      </c>
      <c r="V1" s="60"/>
      <c r="W1" s="60"/>
      <c r="Y1" s="102" t="s">
        <v>261</v>
      </c>
      <c r="Z1" s="103" t="s">
        <v>189</v>
      </c>
    </row>
    <row r="2" spans="1:26" x14ac:dyDescent="0.35">
      <c r="A2" s="64" t="s">
        <v>1</v>
      </c>
      <c r="B2" s="65" t="s">
        <v>136</v>
      </c>
      <c r="C2" s="42">
        <v>0.55000000000000004</v>
      </c>
      <c r="D2" s="52">
        <v>0.10730769159999999</v>
      </c>
      <c r="E2" s="47">
        <v>130.9</v>
      </c>
      <c r="F2" s="67">
        <v>1.3590370091771649</v>
      </c>
      <c r="G2" s="101">
        <f>_xlfn.XLOOKUP(B2,Sheet6!B:B,Sheet6!F:F)</f>
        <v>44903225.000000007</v>
      </c>
      <c r="H2" s="101"/>
      <c r="I2" s="101"/>
      <c r="J2" s="108"/>
      <c r="K2">
        <f>G2/$G$49</f>
        <v>3.7681691006414525E-2</v>
      </c>
      <c r="L2">
        <f>K2*E2</f>
        <v>4.9325333527396618</v>
      </c>
      <c r="P2" s="65" t="s">
        <v>136</v>
      </c>
      <c r="Q2" s="3">
        <v>1.9914855492738153</v>
      </c>
      <c r="R2" s="67">
        <v>1.3590370091771649</v>
      </c>
      <c r="S2" s="47">
        <v>98.058568574484738</v>
      </c>
      <c r="T2" s="67">
        <v>22.857935830441416</v>
      </c>
      <c r="U2" s="67">
        <f>T2*K2</f>
        <v>0.86132567500714463</v>
      </c>
      <c r="V2" s="67"/>
      <c r="W2" s="67"/>
      <c r="Y2">
        <v>3.6950126815550437</v>
      </c>
      <c r="Z2" s="67">
        <v>1.3590370091771649</v>
      </c>
    </row>
    <row r="3" spans="1:26" x14ac:dyDescent="0.35">
      <c r="A3" s="64" t="s">
        <v>2</v>
      </c>
      <c r="B3" s="65" t="s">
        <v>137</v>
      </c>
      <c r="C3" s="42">
        <v>0.50045872095830901</v>
      </c>
      <c r="D3" s="52">
        <v>5.3643193200000001E-2</v>
      </c>
      <c r="E3" s="47">
        <v>38.456345697593264</v>
      </c>
      <c r="F3" s="67">
        <v>1.3258590047651035</v>
      </c>
      <c r="G3" s="101">
        <f>_xlfn.XLOOKUP(B3,Sheet6!B:B,Sheet6!F:F)</f>
        <v>35588987.00000003</v>
      </c>
      <c r="H3" s="101"/>
      <c r="I3" s="101"/>
      <c r="J3" s="108"/>
      <c r="K3">
        <f t="shared" ref="K3:K50" si="0">G3/$G$49</f>
        <v>2.9865409697528506E-2</v>
      </c>
      <c r="L3">
        <f t="shared" ref="L3:L50" si="1">K3*E3</f>
        <v>1.1485145197284106</v>
      </c>
      <c r="P3" s="65" t="s">
        <v>137</v>
      </c>
      <c r="Q3" s="3">
        <v>1.5849680131637138</v>
      </c>
      <c r="R3" s="67">
        <v>1.3258590047651035</v>
      </c>
      <c r="S3" s="47">
        <v>38.456345697593264</v>
      </c>
      <c r="T3" s="67">
        <v>21.176735134619424</v>
      </c>
      <c r="U3" s="67">
        <f t="shared" ref="U3:U50" si="2">T3*K3</f>
        <v>0.6324518708514556</v>
      </c>
      <c r="V3" s="67"/>
      <c r="W3" s="67"/>
      <c r="Y3">
        <v>1.1485145197284106</v>
      </c>
      <c r="Z3" s="67">
        <v>1.3258590047651035</v>
      </c>
    </row>
    <row r="4" spans="1:26" x14ac:dyDescent="0.35">
      <c r="A4" s="64" t="s">
        <v>3</v>
      </c>
      <c r="B4" s="65" t="s">
        <v>138</v>
      </c>
      <c r="C4" s="42">
        <v>0.473026044369111</v>
      </c>
      <c r="D4" s="52">
        <v>4.5545940399999998E-2</v>
      </c>
      <c r="E4" s="47">
        <v>18.729624018891407</v>
      </c>
      <c r="F4" s="67">
        <v>0.91369125978844856</v>
      </c>
      <c r="G4" s="101">
        <f>_xlfn.XLOOKUP(B4,Sheet6!B:B,Sheet6!F:F)</f>
        <v>13352864</v>
      </c>
      <c r="H4" s="101"/>
      <c r="I4" s="101"/>
      <c r="J4" s="108"/>
      <c r="K4">
        <f t="shared" si="0"/>
        <v>1.1205397725857691E-2</v>
      </c>
      <c r="L4">
        <f t="shared" si="1"/>
        <v>0.20987288638745535</v>
      </c>
      <c r="P4" s="65" t="s">
        <v>138</v>
      </c>
      <c r="Q4" s="3">
        <v>1.2725290593741871</v>
      </c>
      <c r="R4" s="67">
        <v>0.91369125978844856</v>
      </c>
      <c r="S4" s="47">
        <v>18.729624018891407</v>
      </c>
      <c r="T4" s="67">
        <v>8.1976856316297013</v>
      </c>
      <c r="U4" s="67">
        <f t="shared" si="2"/>
        <v>9.1858327933959719E-2</v>
      </c>
      <c r="V4" s="67"/>
      <c r="W4" s="67"/>
      <c r="Y4">
        <v>0.20987288638745535</v>
      </c>
      <c r="Z4" s="67">
        <v>0.91369125978844856</v>
      </c>
    </row>
    <row r="5" spans="1:26" x14ac:dyDescent="0.35">
      <c r="A5" s="64" t="s">
        <v>4</v>
      </c>
      <c r="B5" s="65" t="s">
        <v>139</v>
      </c>
      <c r="C5" s="42">
        <v>0.52100000000000002</v>
      </c>
      <c r="D5" s="52">
        <v>0.12006065370000001</v>
      </c>
      <c r="E5" s="47">
        <v>68.115844081394968</v>
      </c>
      <c r="F5" s="67">
        <v>1.2148438480476977</v>
      </c>
      <c r="G5" s="101">
        <f>_xlfn.XLOOKUP(B5,Sheet6!B:B,Sheet6!F:F)</f>
        <v>2630296.0000000019</v>
      </c>
      <c r="H5" s="101"/>
      <c r="I5" s="101"/>
      <c r="J5" s="108"/>
      <c r="K5">
        <f t="shared" si="0"/>
        <v>2.2072802371635482E-3</v>
      </c>
      <c r="L5">
        <f t="shared" si="1"/>
        <v>0.15035075647857676</v>
      </c>
      <c r="P5" s="65" t="s">
        <v>139</v>
      </c>
      <c r="Q5" s="3">
        <v>1.8332481427025307</v>
      </c>
      <c r="R5" s="67">
        <v>1.2148438480476977</v>
      </c>
      <c r="S5" s="47">
        <v>68.115844081394968</v>
      </c>
      <c r="T5" s="67">
        <v>16.399999999999999</v>
      </c>
      <c r="U5" s="67">
        <f t="shared" si="2"/>
        <v>3.6199395889482185E-2</v>
      </c>
      <c r="V5" s="67"/>
      <c r="W5" s="67"/>
      <c r="Y5">
        <v>0.15035075647857676</v>
      </c>
      <c r="Z5" s="67">
        <v>1.2148438480476977</v>
      </c>
    </row>
    <row r="6" spans="1:26" x14ac:dyDescent="0.35">
      <c r="A6" s="64" t="s">
        <v>5</v>
      </c>
      <c r="B6" s="65" t="s">
        <v>140</v>
      </c>
      <c r="C6" s="42">
        <v>0.32880543493854802</v>
      </c>
      <c r="D6" s="52">
        <v>0.11463944440000001</v>
      </c>
      <c r="E6" s="47">
        <v>16.827323041243478</v>
      </c>
      <c r="F6" s="67">
        <v>0.81243620650053627</v>
      </c>
      <c r="G6" s="101">
        <f>_xlfn.XLOOKUP(B6,Sheet6!B:B,Sheet6!F:F)</f>
        <v>22673762.000000007</v>
      </c>
      <c r="H6" s="101"/>
      <c r="I6" s="101"/>
      <c r="J6" s="108"/>
      <c r="K6">
        <f t="shared" si="0"/>
        <v>1.9027267944273125E-2</v>
      </c>
      <c r="L6">
        <f t="shared" si="1"/>
        <v>0.32017798429058059</v>
      </c>
      <c r="P6" s="65" t="s">
        <v>140</v>
      </c>
      <c r="Q6" s="3">
        <v>1.2260150321442151</v>
      </c>
      <c r="R6" s="67">
        <v>0.81243620650053627</v>
      </c>
      <c r="S6" s="47">
        <v>16.827323041243478</v>
      </c>
      <c r="T6" s="67">
        <v>6.4928625093914354</v>
      </c>
      <c r="U6" s="67">
        <f t="shared" si="2"/>
        <v>0.12354143469151642</v>
      </c>
      <c r="V6" s="67"/>
      <c r="W6" s="67"/>
      <c r="Y6">
        <v>0.32017798429058059</v>
      </c>
      <c r="Z6" s="67">
        <v>0.81243620650053627</v>
      </c>
    </row>
    <row r="7" spans="1:26" x14ac:dyDescent="0.35">
      <c r="A7" s="64" t="s">
        <v>6</v>
      </c>
      <c r="B7" s="65" t="s">
        <v>141</v>
      </c>
      <c r="C7" s="42">
        <v>0.26769999999999999</v>
      </c>
      <c r="D7" s="52">
        <v>8.3128080399999998E-2</v>
      </c>
      <c r="E7" s="47">
        <v>40.986337247671983</v>
      </c>
      <c r="F7" s="67">
        <v>0.76314631612737616</v>
      </c>
      <c r="G7" s="101">
        <f>_xlfn.XLOOKUP(B7,Sheet6!B:B,Sheet6!F:F)</f>
        <v>12889576.499999994</v>
      </c>
      <c r="H7" s="101"/>
      <c r="I7" s="101"/>
      <c r="J7" s="108"/>
      <c r="K7">
        <f t="shared" si="0"/>
        <v>1.0816618157750178E-2</v>
      </c>
      <c r="L7">
        <f t="shared" si="1"/>
        <v>0.44333355969284122</v>
      </c>
      <c r="P7" s="65" t="s">
        <v>141</v>
      </c>
      <c r="Q7" s="3">
        <v>1.6126391092362451</v>
      </c>
      <c r="R7" s="67">
        <v>0.76314631612737616</v>
      </c>
      <c r="S7" s="47">
        <v>40.986337247671983</v>
      </c>
      <c r="T7" s="67">
        <v>5.7962394193302087</v>
      </c>
      <c r="U7" s="67">
        <f t="shared" si="2"/>
        <v>6.2695708549794477E-2</v>
      </c>
      <c r="V7" s="67"/>
      <c r="W7" s="67"/>
      <c r="Y7">
        <v>0.44333355969284122</v>
      </c>
      <c r="Z7" s="67">
        <v>0.76314631612737616</v>
      </c>
    </row>
    <row r="8" spans="1:26" x14ac:dyDescent="0.35">
      <c r="A8" s="64" t="s">
        <v>60</v>
      </c>
      <c r="B8" s="65" t="s">
        <v>142</v>
      </c>
      <c r="C8" s="42">
        <v>0.32863412813189302</v>
      </c>
      <c r="D8" s="52">
        <v>0.10392424580000001</v>
      </c>
      <c r="E8" s="47">
        <v>104.36309518407614</v>
      </c>
      <c r="F8" s="67">
        <v>1.3590370091771649</v>
      </c>
      <c r="G8" s="101">
        <f>_xlfn.XLOOKUP(B8,Sheet6!B:B,Sheet6!F:F)</f>
        <v>593149.50000000012</v>
      </c>
      <c r="H8" s="101"/>
      <c r="I8" s="101"/>
      <c r="J8" s="108"/>
      <c r="K8">
        <f t="shared" si="0"/>
        <v>4.9775659052572003E-4</v>
      </c>
      <c r="L8">
        <f t="shared" si="1"/>
        <v>5.1947418435536935E-2</v>
      </c>
      <c r="P8" s="65" t="s">
        <v>142</v>
      </c>
      <c r="Q8" s="3">
        <v>2.0185469508558489</v>
      </c>
      <c r="R8" s="67">
        <v>1.3590370091771649</v>
      </c>
      <c r="S8" s="47">
        <v>104.36309518407614</v>
      </c>
      <c r="T8" s="67">
        <v>22.857935830441416</v>
      </c>
      <c r="U8" s="67">
        <f t="shared" si="2"/>
        <v>1.1377688205416212E-2</v>
      </c>
      <c r="V8" s="67"/>
      <c r="W8" s="67"/>
      <c r="Y8">
        <v>5.1947418435536935E-2</v>
      </c>
      <c r="Z8" s="67">
        <v>1.3590370091771649</v>
      </c>
    </row>
    <row r="9" spans="1:26" x14ac:dyDescent="0.35">
      <c r="A9" s="64" t="s">
        <v>7</v>
      </c>
      <c r="B9" s="65" t="s">
        <v>143</v>
      </c>
      <c r="C9" s="42">
        <v>0.60169835832363905</v>
      </c>
      <c r="D9" s="52">
        <v>3.6992728700000005E-2</v>
      </c>
      <c r="E9" s="47">
        <v>11.326441981493597</v>
      </c>
      <c r="F9" s="67">
        <v>0.7669627175435717</v>
      </c>
      <c r="G9" s="101">
        <f>_xlfn.XLOOKUP(B9,Sheet6!B:B,Sheet6!F:F)</f>
        <v>27914536.499999989</v>
      </c>
      <c r="H9" s="101"/>
      <c r="I9" s="101"/>
      <c r="J9" s="108"/>
      <c r="K9">
        <f t="shared" si="0"/>
        <v>2.3425198056047855E-2</v>
      </c>
      <c r="L9">
        <f t="shared" si="1"/>
        <v>0.26532414668682264</v>
      </c>
      <c r="P9" s="65" t="s">
        <v>143</v>
      </c>
      <c r="Q9" s="3">
        <v>1.0540935047016506</v>
      </c>
      <c r="R9" s="67">
        <v>0.7669627175435717</v>
      </c>
      <c r="S9" s="47">
        <v>11.326441981493597</v>
      </c>
      <c r="T9" s="67">
        <v>5.8473988439306357</v>
      </c>
      <c r="U9" s="67">
        <f t="shared" si="2"/>
        <v>0.1369764760317804</v>
      </c>
      <c r="V9" s="67"/>
      <c r="W9" s="67"/>
      <c r="Y9">
        <v>0.26532414668682264</v>
      </c>
      <c r="Z9" s="67">
        <v>0.7669627175435717</v>
      </c>
    </row>
    <row r="10" spans="1:26" x14ac:dyDescent="0.35">
      <c r="A10" s="64" t="s">
        <v>8</v>
      </c>
      <c r="B10" s="65" t="s">
        <v>144</v>
      </c>
      <c r="C10" s="42">
        <v>0.60169835832363905</v>
      </c>
      <c r="D10" s="52">
        <v>4.8423175799999996E-2</v>
      </c>
      <c r="E10" s="47">
        <v>10.210731090719779</v>
      </c>
      <c r="F10" s="67">
        <v>1.6450234519046578</v>
      </c>
      <c r="G10" s="101">
        <f>_xlfn.XLOOKUP(B10,Sheet6!B:B,Sheet6!F:F)</f>
        <v>5579143.5000000047</v>
      </c>
      <c r="H10" s="101"/>
      <c r="I10" s="101"/>
      <c r="J10" s="108"/>
      <c r="K10">
        <f t="shared" si="0"/>
        <v>4.6818811220674288E-3</v>
      </c>
      <c r="L10">
        <f t="shared" si="1"/>
        <v>4.7805429136147902E-2</v>
      </c>
      <c r="P10" s="65" t="s">
        <v>144</v>
      </c>
      <c r="Q10" s="3">
        <v>1.0090568387860535</v>
      </c>
      <c r="R10" s="67">
        <v>1.6450234519046578</v>
      </c>
      <c r="S10" s="47">
        <v>10.210731090719779</v>
      </c>
      <c r="T10" s="67">
        <v>44.159429280397021</v>
      </c>
      <c r="U10" s="67">
        <f t="shared" si="2"/>
        <v>0.20674919830916247</v>
      </c>
      <c r="V10" s="67"/>
      <c r="W10" s="67"/>
      <c r="Y10">
        <v>4.7805429136147902E-2</v>
      </c>
      <c r="Z10" s="67">
        <v>1.6450234519046578</v>
      </c>
    </row>
    <row r="11" spans="1:26" x14ac:dyDescent="0.35">
      <c r="A11" s="64" t="s">
        <v>9</v>
      </c>
      <c r="B11" s="65" t="s">
        <v>145</v>
      </c>
      <c r="C11" s="42">
        <v>0.35310312003413502</v>
      </c>
      <c r="D11" s="52">
        <v>4.8723001500000002E-2</v>
      </c>
      <c r="E11" s="47">
        <v>22.710971898965504</v>
      </c>
      <c r="F11" s="67">
        <v>0.17779406880755011</v>
      </c>
      <c r="G11" s="101">
        <f>_xlfn.XLOOKUP(B11,Sheet6!B:B,Sheet6!F:F)</f>
        <v>17723314.500000004</v>
      </c>
      <c r="H11" s="101"/>
      <c r="I11" s="101"/>
      <c r="J11" s="108"/>
      <c r="K11">
        <f t="shared" si="0"/>
        <v>1.4872973168375016E-2</v>
      </c>
      <c r="L11">
        <f t="shared" si="1"/>
        <v>0.33777967568103295</v>
      </c>
      <c r="P11" s="65" t="s">
        <v>145</v>
      </c>
      <c r="Q11" s="3">
        <v>1.3562357199232156</v>
      </c>
      <c r="R11" s="67">
        <v>0.17779406880755011</v>
      </c>
      <c r="S11" s="47">
        <v>22.710971898965504</v>
      </c>
      <c r="T11" s="67">
        <v>1.5058928414930488</v>
      </c>
      <c r="U11" s="67">
        <f t="shared" si="2"/>
        <v>2.2397103825974127E-2</v>
      </c>
      <c r="V11" s="67"/>
      <c r="W11" s="67"/>
      <c r="Y11">
        <v>0.33777967568103295</v>
      </c>
      <c r="Z11" s="67">
        <v>0.17779406880755011</v>
      </c>
    </row>
    <row r="12" spans="1:26" x14ac:dyDescent="0.35">
      <c r="A12" s="64" t="s">
        <v>10</v>
      </c>
      <c r="B12" s="65" t="s">
        <v>146</v>
      </c>
      <c r="C12" s="42">
        <v>0.65</v>
      </c>
      <c r="D12" s="52">
        <v>4.1246685999999998E-2</v>
      </c>
      <c r="E12" s="47">
        <v>31.333794542132008</v>
      </c>
      <c r="F12" s="67">
        <v>1.4544526651817888</v>
      </c>
      <c r="G12" s="101">
        <f>_xlfn.XLOOKUP(B12,Sheet6!B:B,Sheet6!F:F)</f>
        <v>836773.49999999977</v>
      </c>
      <c r="H12" s="101"/>
      <c r="I12" s="101"/>
      <c r="J12" s="108"/>
      <c r="K12">
        <f t="shared" si="0"/>
        <v>7.0219990812143214E-4</v>
      </c>
      <c r="L12">
        <f t="shared" si="1"/>
        <v>2.2002587648580929E-2</v>
      </c>
      <c r="P12" s="65" t="s">
        <v>146</v>
      </c>
      <c r="Q12" s="3">
        <v>1.4960129914001041</v>
      </c>
      <c r="R12" s="67">
        <v>1.4544526651817888</v>
      </c>
      <c r="S12" s="47">
        <v>31.333794542132008</v>
      </c>
      <c r="T12" s="67">
        <v>28.47427435177109</v>
      </c>
      <c r="U12" s="67">
        <f t="shared" si="2"/>
        <v>1.9994632833638112E-2</v>
      </c>
      <c r="V12" s="67"/>
      <c r="W12" s="67"/>
      <c r="Y12">
        <v>2.2002587648580929E-2</v>
      </c>
      <c r="Z12" s="67">
        <v>1.4544526651817888</v>
      </c>
    </row>
    <row r="13" spans="1:26" x14ac:dyDescent="0.35">
      <c r="A13" s="64" t="s">
        <v>147</v>
      </c>
      <c r="B13" s="65" t="s">
        <v>148</v>
      </c>
      <c r="C13" s="42">
        <v>0.43066371754243699</v>
      </c>
      <c r="D13" s="52">
        <v>8.2168407400000004E-2</v>
      </c>
      <c r="E13" s="47">
        <v>20.330016447381468</v>
      </c>
      <c r="F13" s="67">
        <v>1.7413486024758948</v>
      </c>
      <c r="G13" s="101">
        <f>_xlfn.XLOOKUP(B13,Sheet6!B:B,Sheet6!F:F)</f>
        <v>5970424.0000000009</v>
      </c>
      <c r="H13" s="101"/>
      <c r="I13" s="101"/>
      <c r="J13" s="108"/>
      <c r="K13">
        <f t="shared" si="0"/>
        <v>5.0102341723847555E-3</v>
      </c>
      <c r="L13">
        <f t="shared" si="1"/>
        <v>0.10185814312981475</v>
      </c>
      <c r="P13" s="65" t="s">
        <v>148</v>
      </c>
      <c r="Q13" s="3">
        <v>1.3081377299909223</v>
      </c>
      <c r="R13" s="67">
        <v>1.7413486024758948</v>
      </c>
      <c r="S13" s="47">
        <v>20.330016447381468</v>
      </c>
      <c r="T13" s="67">
        <v>55.125</v>
      </c>
      <c r="U13" s="67">
        <f t="shared" si="2"/>
        <v>0.27618915875270966</v>
      </c>
      <c r="V13" s="67"/>
      <c r="W13" s="67"/>
      <c r="Y13">
        <v>0.10185814312981475</v>
      </c>
      <c r="Z13" s="67">
        <v>1.7413486024758948</v>
      </c>
    </row>
    <row r="14" spans="1:26" x14ac:dyDescent="0.35">
      <c r="A14" s="64" t="s">
        <v>149</v>
      </c>
      <c r="B14" s="65" t="s">
        <v>150</v>
      </c>
      <c r="C14" s="42">
        <v>0.373</v>
      </c>
      <c r="D14" s="52">
        <v>6.6596483200000001E-2</v>
      </c>
      <c r="E14" s="47">
        <v>25.91975377602575</v>
      </c>
      <c r="F14" s="67">
        <v>1.3067231622417232</v>
      </c>
      <c r="G14" s="101">
        <f>_xlfn.XLOOKUP(B14,Sheet6!B:B,Sheet6!F:F)</f>
        <v>28160542.500000004</v>
      </c>
      <c r="H14" s="101"/>
      <c r="I14" s="101"/>
      <c r="J14" s="108"/>
      <c r="K14">
        <f t="shared" si="0"/>
        <v>2.3631640289934721E-2</v>
      </c>
      <c r="L14">
        <f t="shared" si="1"/>
        <v>0.61252629763871769</v>
      </c>
      <c r="P14" s="65" t="s">
        <v>150</v>
      </c>
      <c r="Q14" s="3">
        <v>1.4136308716498971</v>
      </c>
      <c r="R14" s="67">
        <v>1.3067231622417232</v>
      </c>
      <c r="S14" s="47">
        <v>25.91975377602575</v>
      </c>
      <c r="T14" s="67">
        <v>20.263906002583152</v>
      </c>
      <c r="U14" s="67">
        <f t="shared" si="2"/>
        <v>0.47886933752209404</v>
      </c>
      <c r="V14" s="67"/>
      <c r="W14" s="67"/>
      <c r="Y14">
        <v>0.61252629763871769</v>
      </c>
      <c r="Z14" s="67">
        <v>1.3067231622417232</v>
      </c>
    </row>
    <row r="15" spans="1:26" ht="29" x14ac:dyDescent="0.35">
      <c r="A15" s="64" t="s">
        <v>82</v>
      </c>
      <c r="B15" s="65" t="s">
        <v>151</v>
      </c>
      <c r="C15" s="42">
        <v>0.473026044369111</v>
      </c>
      <c r="D15" s="52">
        <v>6.2699966400000001E-2</v>
      </c>
      <c r="E15" s="47">
        <v>15.888047021793218</v>
      </c>
      <c r="F15" s="67">
        <v>0.65717737391864628</v>
      </c>
      <c r="G15" s="101">
        <f>_xlfn.XLOOKUP(B15,Sheet6!B:B,Sheet6!F:F)</f>
        <v>99010212</v>
      </c>
      <c r="H15" s="101"/>
      <c r="I15" s="101"/>
      <c r="J15" s="108"/>
      <c r="K15">
        <f t="shared" si="0"/>
        <v>8.3086954557575657E-2</v>
      </c>
      <c r="L15">
        <f t="shared" si="1"/>
        <v>1.3200894409083583</v>
      </c>
      <c r="P15" s="65" t="s">
        <v>151</v>
      </c>
      <c r="Q15" s="3">
        <v>1.2010705164782889</v>
      </c>
      <c r="R15" s="67">
        <v>0.65717737391864628</v>
      </c>
      <c r="S15" s="47">
        <v>15.888047021793218</v>
      </c>
      <c r="T15" s="67">
        <v>4.5412705268813731</v>
      </c>
      <c r="U15" s="67">
        <f t="shared" si="2"/>
        <v>0.37732033790065028</v>
      </c>
      <c r="V15" s="67"/>
      <c r="W15" s="67"/>
      <c r="Y15">
        <v>1.3200894409083583</v>
      </c>
      <c r="Z15" s="67">
        <v>0.65717737391864628</v>
      </c>
    </row>
    <row r="16" spans="1:26" x14ac:dyDescent="0.35">
      <c r="A16" s="64" t="s">
        <v>14</v>
      </c>
      <c r="B16" s="65" t="s">
        <v>152</v>
      </c>
      <c r="C16" s="42">
        <v>0.473026044369111</v>
      </c>
      <c r="D16" s="52">
        <v>5.2922940299999999E-2</v>
      </c>
      <c r="E16" s="47">
        <v>27.930586305707227</v>
      </c>
      <c r="F16" s="67">
        <v>-2.0394658534172067E-2</v>
      </c>
      <c r="G16" s="101">
        <f>_xlfn.XLOOKUP(B16,Sheet6!B:B,Sheet6!F:F)</f>
        <v>1674908</v>
      </c>
      <c r="H16" s="101"/>
      <c r="I16" s="101"/>
      <c r="J16" s="108"/>
      <c r="K16">
        <f t="shared" si="0"/>
        <v>1.4055419342412874E-3</v>
      </c>
      <c r="L16">
        <f t="shared" si="1"/>
        <v>3.9257610300616946E-2</v>
      </c>
      <c r="P16" s="65" t="s">
        <v>152</v>
      </c>
      <c r="Q16" s="3">
        <v>1.4460800523018218</v>
      </c>
      <c r="R16" s="67">
        <v>-2.0394658534172067E-2</v>
      </c>
      <c r="S16" s="47">
        <v>27.930586305707227</v>
      </c>
      <c r="T16" s="67">
        <v>0.95412514516632685</v>
      </c>
      <c r="U16" s="67">
        <f t="shared" si="2"/>
        <v>1.341062902045328E-3</v>
      </c>
      <c r="V16" s="67"/>
      <c r="W16" s="67"/>
      <c r="Y16">
        <v>3.9257610300616946E-2</v>
      </c>
      <c r="Z16" s="67">
        <v>-2.0394658534172067E-2</v>
      </c>
    </row>
    <row r="17" spans="1:26" x14ac:dyDescent="0.35">
      <c r="A17" s="64" t="s">
        <v>15</v>
      </c>
      <c r="B17" s="65" t="s">
        <v>153</v>
      </c>
      <c r="C17" s="42">
        <v>0.67300000000000004</v>
      </c>
      <c r="D17" s="52">
        <v>2.3541069000000001E-2</v>
      </c>
      <c r="E17" s="47">
        <v>38.107951184321514</v>
      </c>
      <c r="F17" s="67">
        <v>1.1226923285672605</v>
      </c>
      <c r="G17" s="101">
        <f>_xlfn.XLOOKUP(B17,Sheet6!B:B,Sheet6!F:F)</f>
        <v>3684031.5000000019</v>
      </c>
      <c r="H17" s="101"/>
      <c r="I17" s="101"/>
      <c r="J17" s="108"/>
      <c r="K17">
        <f t="shared" si="0"/>
        <v>3.0915493628998333E-3</v>
      </c>
      <c r="L17">
        <f t="shared" si="1"/>
        <v>0.11781261220530713</v>
      </c>
      <c r="P17" s="65" t="s">
        <v>153</v>
      </c>
      <c r="Q17" s="3">
        <v>1.5810156002215963</v>
      </c>
      <c r="R17" s="67">
        <v>1.1226923285672605</v>
      </c>
      <c r="S17" s="47">
        <v>38.107951184321514</v>
      </c>
      <c r="T17" s="67">
        <v>13.264544118808269</v>
      </c>
      <c r="U17" s="67">
        <f t="shared" si="2"/>
        <v>4.1007992919658433E-2</v>
      </c>
      <c r="V17" s="67"/>
      <c r="W17" s="67"/>
      <c r="Y17">
        <v>0.11781261220530713</v>
      </c>
      <c r="Z17" s="67">
        <v>1.1226923285672605</v>
      </c>
    </row>
    <row r="18" spans="1:26" x14ac:dyDescent="0.35">
      <c r="A18" s="64" t="s">
        <v>16</v>
      </c>
      <c r="B18" s="65" t="s">
        <v>154</v>
      </c>
      <c r="C18" s="42">
        <v>0.3</v>
      </c>
      <c r="D18" s="52">
        <v>9.9682931900000007E-2</v>
      </c>
      <c r="E18" s="47">
        <v>140.19826135915432</v>
      </c>
      <c r="F18" s="67">
        <v>1.5688614676890389</v>
      </c>
      <c r="G18" s="101">
        <f>_xlfn.XLOOKUP(B18,Sheet6!B:B,Sheet6!F:F)</f>
        <v>1201670.4999999995</v>
      </c>
      <c r="H18" s="101"/>
      <c r="I18" s="101"/>
      <c r="J18" s="108"/>
      <c r="K18">
        <f t="shared" si="0"/>
        <v>1.0084125688638985E-3</v>
      </c>
      <c r="L18">
        <f t="shared" si="1"/>
        <v>0.14137768888743704</v>
      </c>
      <c r="P18" s="65" t="s">
        <v>154</v>
      </c>
      <c r="Q18" s="3">
        <v>2.1467426278474209</v>
      </c>
      <c r="R18" s="67">
        <v>1.5688614676890389</v>
      </c>
      <c r="S18" s="47">
        <v>140.19826135915432</v>
      </c>
      <c r="T18" s="67">
        <v>37.056249999999999</v>
      </c>
      <c r="U18" s="67">
        <f t="shared" si="2"/>
        <v>3.7367988254962833E-2</v>
      </c>
      <c r="V18" s="67"/>
      <c r="W18" s="67"/>
      <c r="Y18">
        <v>0.14137768888743704</v>
      </c>
      <c r="Z18" s="67">
        <v>1.5688614676890389</v>
      </c>
    </row>
    <row r="19" spans="1:26" x14ac:dyDescent="0.35">
      <c r="A19" s="64" t="s">
        <v>17</v>
      </c>
      <c r="B19" s="65" t="s">
        <v>155</v>
      </c>
      <c r="C19" s="42">
        <v>0.18662367321998</v>
      </c>
      <c r="D19" s="52">
        <v>6.79223251E-2</v>
      </c>
      <c r="E19" s="47">
        <v>33.829583652601642</v>
      </c>
      <c r="F19" s="67">
        <v>1.2166581852846132</v>
      </c>
      <c r="G19" s="101">
        <f>_xlfn.XLOOKUP(B19,Sheet6!B:B,Sheet6!F:F)</f>
        <v>123379924.50000004</v>
      </c>
      <c r="H19" s="101"/>
      <c r="I19" s="101"/>
      <c r="J19" s="108"/>
      <c r="K19">
        <f t="shared" si="0"/>
        <v>0.10353742278875859</v>
      </c>
      <c r="L19">
        <f t="shared" si="1"/>
        <v>3.5026279054070923</v>
      </c>
      <c r="P19" s="65" t="s">
        <v>155</v>
      </c>
      <c r="Q19" s="3">
        <v>1.5292966528725109</v>
      </c>
      <c r="R19" s="67">
        <v>1.2166581852846132</v>
      </c>
      <c r="S19" s="47">
        <v>33.829583652601642</v>
      </c>
      <c r="T19" s="67">
        <v>16.468657033574161</v>
      </c>
      <c r="U19" s="67">
        <f t="shared" si="2"/>
        <v>1.7051223060482308</v>
      </c>
      <c r="V19" s="67"/>
      <c r="W19" s="67"/>
      <c r="Y19">
        <v>3.5026279054070923</v>
      </c>
      <c r="Z19" s="67">
        <v>1.2166581852846132</v>
      </c>
    </row>
    <row r="20" spans="1:26" x14ac:dyDescent="0.35">
      <c r="A20" s="64" t="s">
        <v>18</v>
      </c>
      <c r="B20" s="65" t="s">
        <v>156</v>
      </c>
      <c r="C20" s="42">
        <v>0.487577741763977</v>
      </c>
      <c r="D20" s="52">
        <v>9.5915584600000006E-2</v>
      </c>
      <c r="E20" s="47">
        <v>57.112151673993168</v>
      </c>
      <c r="F20" s="67">
        <v>1.6301601552531939</v>
      </c>
      <c r="G20" s="101">
        <f>_xlfn.XLOOKUP(B20,Sheet6!B:B,Sheet6!F:F)</f>
        <v>2388992.5000000005</v>
      </c>
      <c r="H20" s="101"/>
      <c r="I20" s="101"/>
      <c r="J20" s="108"/>
      <c r="K20">
        <f t="shared" si="0"/>
        <v>2.0047842265592673E-3</v>
      </c>
      <c r="L20">
        <f t="shared" si="1"/>
        <v>0.11449754082088195</v>
      </c>
      <c r="P20" s="65" t="s">
        <v>156</v>
      </c>
      <c r="Q20" s="3">
        <v>1.7567285223174451</v>
      </c>
      <c r="R20" s="67">
        <v>1.6301601552531939</v>
      </c>
      <c r="S20" s="47">
        <v>57.112151673993168</v>
      </c>
      <c r="T20" s="67">
        <v>42.673685800866124</v>
      </c>
      <c r="U20" s="67">
        <f t="shared" si="2"/>
        <v>8.5551532182722587E-2</v>
      </c>
      <c r="V20" s="67"/>
      <c r="W20" s="67"/>
      <c r="Y20">
        <v>0.11449754082088195</v>
      </c>
      <c r="Z20" s="67">
        <v>1.6301601552531939</v>
      </c>
    </row>
    <row r="21" spans="1:26" x14ac:dyDescent="0.35">
      <c r="A21" s="64" t="s">
        <v>157</v>
      </c>
      <c r="B21" s="65" t="s">
        <v>158</v>
      </c>
      <c r="C21" s="42">
        <v>0.170669454827377</v>
      </c>
      <c r="D21" s="52">
        <v>5.4796643300000003E-2</v>
      </c>
      <c r="E21" s="47">
        <v>34.171087572485987</v>
      </c>
      <c r="F21" s="67">
        <v>1.027163743248569</v>
      </c>
      <c r="G21" s="101">
        <f>_xlfn.XLOOKUP(B21,Sheet6!B:B,Sheet6!F:F)</f>
        <v>2705991.9999999995</v>
      </c>
      <c r="H21" s="101"/>
      <c r="I21" s="101"/>
      <c r="J21" s="108"/>
      <c r="K21">
        <f t="shared" si="0"/>
        <v>2.2708024737606181E-3</v>
      </c>
      <c r="L21">
        <f t="shared" si="1"/>
        <v>7.7595790190691891E-2</v>
      </c>
      <c r="P21" s="65" t="s">
        <v>158</v>
      </c>
      <c r="Q21" s="3">
        <v>1.5336588014271741</v>
      </c>
      <c r="R21" s="67">
        <v>1.027163743248569</v>
      </c>
      <c r="S21" s="47">
        <v>34.171087572485987</v>
      </c>
      <c r="T21" s="67">
        <v>10.645443106523956</v>
      </c>
      <c r="U21" s="67">
        <f t="shared" si="2"/>
        <v>2.4173698540572518E-2</v>
      </c>
      <c r="V21" s="67"/>
      <c r="W21" s="67"/>
      <c r="Y21">
        <v>7.7595790190691891E-2</v>
      </c>
      <c r="Z21" s="67">
        <v>1.027163743248569</v>
      </c>
    </row>
    <row r="22" spans="1:26" x14ac:dyDescent="0.35">
      <c r="A22" s="64" t="s">
        <v>20</v>
      </c>
      <c r="B22" s="65" t="s">
        <v>159</v>
      </c>
      <c r="C22" s="42">
        <v>0.57699999999999996</v>
      </c>
      <c r="D22" s="52">
        <v>6.8515443800000006E-2</v>
      </c>
      <c r="E22" s="47">
        <v>70.640914271306528</v>
      </c>
      <c r="F22" s="67">
        <v>0.7517158637564777</v>
      </c>
      <c r="G22" s="101">
        <f>_xlfn.XLOOKUP(B22,Sheet6!B:B,Sheet6!F:F)</f>
        <v>33475870.500000011</v>
      </c>
      <c r="H22" s="101"/>
      <c r="I22" s="101"/>
      <c r="J22" s="108"/>
      <c r="K22">
        <f t="shared" si="0"/>
        <v>2.8092133880177818E-2</v>
      </c>
      <c r="L22">
        <f t="shared" si="1"/>
        <v>1.9844540211277069</v>
      </c>
      <c r="P22" s="65" t="s">
        <v>159</v>
      </c>
      <c r="Q22" s="3">
        <v>1.8490563114700485</v>
      </c>
      <c r="R22" s="67">
        <v>0.7517158637564777</v>
      </c>
      <c r="S22" s="47">
        <v>70.640914271306528</v>
      </c>
      <c r="T22" s="67">
        <v>5.6456748687645337</v>
      </c>
      <c r="U22" s="67">
        <f t="shared" si="2"/>
        <v>0.15859905425728862</v>
      </c>
      <c r="V22" s="67"/>
      <c r="W22" s="67"/>
      <c r="Y22">
        <v>1.9844540211277069</v>
      </c>
      <c r="Z22" s="67">
        <v>0.7517158637564777</v>
      </c>
    </row>
    <row r="23" spans="1:26" x14ac:dyDescent="0.35">
      <c r="A23" s="64" t="s">
        <v>21</v>
      </c>
      <c r="B23" s="65" t="s">
        <v>160</v>
      </c>
      <c r="C23" s="42">
        <v>0.391998679499238</v>
      </c>
      <c r="D23" s="52">
        <v>6.1485252399999996E-2</v>
      </c>
      <c r="E23" s="47">
        <v>17.813553305551778</v>
      </c>
      <c r="F23" s="67">
        <v>0.49089436829734151</v>
      </c>
      <c r="G23" s="101">
        <f>_xlfn.XLOOKUP(B23,Sheet6!B:B,Sheet6!F:F)</f>
        <v>13859340.500000006</v>
      </c>
      <c r="H23" s="101"/>
      <c r="I23" s="101"/>
      <c r="J23" s="108"/>
      <c r="K23">
        <f t="shared" si="0"/>
        <v>1.1630420449170115E-2</v>
      </c>
      <c r="L23">
        <f t="shared" si="1"/>
        <v>0.20717911463727129</v>
      </c>
      <c r="P23" s="65" t="s">
        <v>160</v>
      </c>
      <c r="Q23" s="3">
        <v>1.250750557704271</v>
      </c>
      <c r="R23" s="67">
        <v>0.49089436829734151</v>
      </c>
      <c r="S23" s="47">
        <v>17.813553305551778</v>
      </c>
      <c r="T23" s="67">
        <v>3.096666017972511</v>
      </c>
      <c r="U23" s="67">
        <f t="shared" si="2"/>
        <v>3.6015527779677682E-2</v>
      </c>
      <c r="V23" s="67"/>
      <c r="W23" s="67"/>
      <c r="Y23">
        <v>0.20717911463727129</v>
      </c>
      <c r="Z23" s="67">
        <v>0.49089436829734151</v>
      </c>
    </row>
    <row r="24" spans="1:26" x14ac:dyDescent="0.35">
      <c r="A24" s="64" t="s">
        <v>22</v>
      </c>
      <c r="B24" s="65" t="s">
        <v>161</v>
      </c>
      <c r="C24" s="42">
        <v>0.473026044369111</v>
      </c>
      <c r="D24" s="52">
        <v>2.7522828600000004E-2</v>
      </c>
      <c r="E24" s="47">
        <v>43.637164811660909</v>
      </c>
      <c r="F24" s="67">
        <v>1.3590370091771649</v>
      </c>
      <c r="G24" s="101">
        <f>_xlfn.XLOOKUP(B24,Sheet6!B:B,Sheet6!F:F)</f>
        <v>2105565.4999999991</v>
      </c>
      <c r="H24" s="101"/>
      <c r="I24" s="101"/>
      <c r="J24" s="108"/>
      <c r="K24">
        <f t="shared" si="0"/>
        <v>1.7669392023572173E-3</v>
      </c>
      <c r="L24">
        <f t="shared" si="1"/>
        <v>7.7104217185446564E-2</v>
      </c>
      <c r="P24" s="65" t="s">
        <v>161</v>
      </c>
      <c r="Q24" s="3">
        <v>1.6398565259069067</v>
      </c>
      <c r="R24" s="67">
        <v>1.3590370091771649</v>
      </c>
      <c r="S24" s="47">
        <v>43.637164811660909</v>
      </c>
      <c r="T24" s="67">
        <v>22.857935830441416</v>
      </c>
      <c r="U24" s="67">
        <f t="shared" si="2"/>
        <v>4.0388582903772612E-2</v>
      </c>
      <c r="V24" s="67"/>
      <c r="W24" s="67"/>
      <c r="Y24">
        <v>7.7104217185446564E-2</v>
      </c>
      <c r="Z24" s="67">
        <v>1.3590370091771649</v>
      </c>
    </row>
    <row r="25" spans="1:26" x14ac:dyDescent="0.35">
      <c r="A25" s="64" t="s">
        <v>23</v>
      </c>
      <c r="B25" s="65" t="s">
        <v>162</v>
      </c>
      <c r="C25" s="42">
        <v>0.437</v>
      </c>
      <c r="D25" s="52">
        <v>8.2324161500000007E-2</v>
      </c>
      <c r="E25" s="47">
        <v>52.761765904512501</v>
      </c>
      <c r="F25" s="67">
        <v>1.8763079356017813</v>
      </c>
      <c r="G25" s="101">
        <f>_xlfn.XLOOKUP(B25,Sheet6!B:B,Sheet6!F:F)</f>
        <v>54027486.999999985</v>
      </c>
      <c r="H25" s="101"/>
      <c r="I25" s="101"/>
      <c r="J25" s="108"/>
      <c r="K25">
        <f t="shared" si="0"/>
        <v>4.5338549090562577E-2</v>
      </c>
      <c r="L25">
        <f t="shared" si="1"/>
        <v>2.392141913566511</v>
      </c>
      <c r="P25" s="65" t="s">
        <v>162</v>
      </c>
      <c r="Q25" s="3">
        <v>1.7223193226922009</v>
      </c>
      <c r="R25" s="67">
        <v>1.8763079356017813</v>
      </c>
      <c r="S25" s="47">
        <v>52.761765904512501</v>
      </c>
      <c r="T25" s="67">
        <v>75.215601965601962</v>
      </c>
      <c r="U25" s="67">
        <f t="shared" si="2"/>
        <v>3.4101662620936595</v>
      </c>
      <c r="V25" s="67"/>
      <c r="W25" s="67"/>
      <c r="Y25">
        <v>2.392141913566511</v>
      </c>
      <c r="Z25" s="67">
        <v>1.8763079356017813</v>
      </c>
    </row>
    <row r="26" spans="1:26" x14ac:dyDescent="0.35">
      <c r="A26" s="64" t="s">
        <v>24</v>
      </c>
      <c r="B26" s="65" t="s">
        <v>163</v>
      </c>
      <c r="C26" s="42">
        <v>0.2407</v>
      </c>
      <c r="D26" s="52">
        <v>0.1107517719</v>
      </c>
      <c r="E26" s="47">
        <v>125.68172362603974</v>
      </c>
      <c r="F26" s="67">
        <v>0.6641545288300662</v>
      </c>
      <c r="G26" s="101">
        <f>_xlfn.XLOOKUP(B26,Sheet6!B:B,Sheet6!F:F)</f>
        <v>2305825.5000000019</v>
      </c>
      <c r="H26" s="101"/>
      <c r="I26" s="101"/>
      <c r="J26" s="108"/>
      <c r="K26">
        <f t="shared" si="0"/>
        <v>1.9349925090171437E-3</v>
      </c>
      <c r="L26">
        <f t="shared" si="1"/>
        <v>0.24319319373674986</v>
      </c>
      <c r="P26" s="65" t="s">
        <v>163</v>
      </c>
      <c r="Q26" s="3">
        <v>2.099272128080174</v>
      </c>
      <c r="R26" s="67">
        <v>0.6641545288300662</v>
      </c>
      <c r="S26" s="47">
        <v>125.68172362603974</v>
      </c>
      <c r="T26" s="67">
        <v>4.6148174783924176</v>
      </c>
      <c r="U26" s="67">
        <f t="shared" si="2"/>
        <v>8.9296372511707134E-3</v>
      </c>
      <c r="V26" s="67"/>
      <c r="W26" s="67"/>
      <c r="Y26">
        <v>0.24319319373674986</v>
      </c>
      <c r="Z26" s="67">
        <v>0.6641545288300662</v>
      </c>
    </row>
    <row r="27" spans="1:26" x14ac:dyDescent="0.35">
      <c r="A27" s="64" t="s">
        <v>25</v>
      </c>
      <c r="B27" s="65" t="s">
        <v>164</v>
      </c>
      <c r="C27" s="42">
        <v>0.71079999999999999</v>
      </c>
      <c r="D27" s="52">
        <v>4.5191278500000001E-2</v>
      </c>
      <c r="E27" s="47">
        <v>57.003752262980719</v>
      </c>
      <c r="F27" s="67">
        <v>1.7668164389653847</v>
      </c>
      <c r="G27" s="101">
        <f>_xlfn.XLOOKUP(B27,Sheet6!B:B,Sheet6!F:F)</f>
        <v>5302681.0000000028</v>
      </c>
      <c r="H27" s="101"/>
      <c r="I27" s="101"/>
      <c r="J27" s="108"/>
      <c r="K27">
        <f t="shared" si="0"/>
        <v>4.4498805363664918E-3</v>
      </c>
      <c r="L27">
        <f t="shared" si="1"/>
        <v>0.25365988769489528</v>
      </c>
      <c r="P27" s="65" t="s">
        <v>164</v>
      </c>
      <c r="Q27" s="3">
        <v>1.7559034439790238</v>
      </c>
      <c r="R27" s="67">
        <v>1.7668164389653847</v>
      </c>
      <c r="S27" s="47">
        <v>57.003752262980719</v>
      </c>
      <c r="T27" s="67">
        <v>58.454296612863345</v>
      </c>
      <c r="U27" s="67">
        <f t="shared" si="2"/>
        <v>0.26011463676457436</v>
      </c>
      <c r="V27" s="67"/>
      <c r="W27" s="67"/>
      <c r="Y27">
        <v>0.25365988769489528</v>
      </c>
      <c r="Z27" s="67">
        <v>1.7668164389653847</v>
      </c>
    </row>
    <row r="28" spans="1:26" x14ac:dyDescent="0.35">
      <c r="A28" s="64" t="s">
        <v>26</v>
      </c>
      <c r="B28" s="65" t="s">
        <v>165</v>
      </c>
      <c r="C28" s="42">
        <v>0.45</v>
      </c>
      <c r="D28" s="52">
        <v>8.78966999E-2</v>
      </c>
      <c r="E28" s="47">
        <v>21.968767905514429</v>
      </c>
      <c r="F28" s="67">
        <v>0.53502448869900099</v>
      </c>
      <c r="G28" s="101">
        <f>_xlfn.XLOOKUP(B28,Sheet6!B:B,Sheet6!F:F)</f>
        <v>29611714.000000004</v>
      </c>
      <c r="H28" s="101"/>
      <c r="I28" s="101"/>
      <c r="J28" s="108"/>
      <c r="K28">
        <f t="shared" si="0"/>
        <v>2.4849428011424996E-2</v>
      </c>
      <c r="L28">
        <f t="shared" si="1"/>
        <v>0.54591131656778469</v>
      </c>
      <c r="P28" s="65" t="s">
        <v>165</v>
      </c>
      <c r="Q28" s="3">
        <v>1.3418057006692128</v>
      </c>
      <c r="R28" s="67">
        <v>0.53502448869900099</v>
      </c>
      <c r="S28" s="47">
        <v>21.968767905514429</v>
      </c>
      <c r="T28" s="67">
        <v>3.4278711484593836</v>
      </c>
      <c r="U28" s="67">
        <f t="shared" si="2"/>
        <v>8.5180637336082179E-2</v>
      </c>
      <c r="V28" s="67"/>
      <c r="W28" s="67"/>
      <c r="Y28">
        <v>0.54591131656778469</v>
      </c>
      <c r="Z28" s="67">
        <v>0.53502448869900099</v>
      </c>
    </row>
    <row r="29" spans="1:26" x14ac:dyDescent="0.35">
      <c r="A29" s="64" t="s">
        <v>27</v>
      </c>
      <c r="B29" s="65" t="s">
        <v>166</v>
      </c>
      <c r="C29" s="42">
        <v>0.116668416553577</v>
      </c>
      <c r="D29" s="52">
        <v>8.6677389100000002E-2</v>
      </c>
      <c r="E29" s="47">
        <v>18.931285154211427</v>
      </c>
      <c r="F29" s="67">
        <v>1.3293659557938311</v>
      </c>
      <c r="G29" s="101">
        <f>_xlfn.XLOOKUP(B29,Sheet6!B:B,Sheet6!F:F)</f>
        <v>20405316.500000019</v>
      </c>
      <c r="H29" s="101"/>
      <c r="I29" s="101"/>
      <c r="J29" s="108"/>
      <c r="K29">
        <f t="shared" si="0"/>
        <v>1.7123643819371381E-2</v>
      </c>
      <c r="L29">
        <f t="shared" si="1"/>
        <v>0.32417258402366966</v>
      </c>
      <c r="P29" s="65" t="s">
        <v>166</v>
      </c>
      <c r="Q29" s="3">
        <v>1.2771800971353457</v>
      </c>
      <c r="R29" s="67">
        <v>1.3293659557938311</v>
      </c>
      <c r="S29" s="47">
        <v>18.931285154211427</v>
      </c>
      <c r="T29" s="67">
        <v>21.348430688993169</v>
      </c>
      <c r="U29" s="67">
        <f t="shared" si="2"/>
        <v>0.36556292322085621</v>
      </c>
      <c r="V29" s="67"/>
      <c r="W29" s="67"/>
      <c r="Y29">
        <v>0.32417258402366966</v>
      </c>
      <c r="Z29" s="67">
        <v>1.3293659557938311</v>
      </c>
    </row>
    <row r="30" spans="1:26" x14ac:dyDescent="0.35">
      <c r="A30" s="64" t="s">
        <v>28</v>
      </c>
      <c r="B30" s="65" t="s">
        <v>167</v>
      </c>
      <c r="C30" s="42">
        <v>0.38900000000000001</v>
      </c>
      <c r="D30" s="52">
        <v>5.6687855699999998E-2</v>
      </c>
      <c r="E30" s="47">
        <v>16.946843842481947</v>
      </c>
      <c r="F30" s="67">
        <v>1.3590370091771649</v>
      </c>
      <c r="G30" s="101">
        <f>_xlfn.XLOOKUP(B30,Sheet6!B:B,Sheet6!F:F)</f>
        <v>22593590.500000022</v>
      </c>
      <c r="H30" s="101"/>
      <c r="I30" s="101"/>
      <c r="J30" s="108"/>
      <c r="K30">
        <f t="shared" si="0"/>
        <v>1.8959989977255828E-2</v>
      </c>
      <c r="L30">
        <f t="shared" si="1"/>
        <v>0.32131198939957734</v>
      </c>
      <c r="P30" s="65" t="s">
        <v>167</v>
      </c>
      <c r="Q30" s="3">
        <v>1.2290888276467695</v>
      </c>
      <c r="R30" s="67">
        <v>1.3590370091771649</v>
      </c>
      <c r="S30" s="47">
        <v>16.946843842481947</v>
      </c>
      <c r="T30" s="67">
        <v>22.857935830441416</v>
      </c>
      <c r="U30" s="67">
        <f t="shared" si="2"/>
        <v>0.43338623424592615</v>
      </c>
      <c r="V30" s="67"/>
      <c r="W30" s="67"/>
      <c r="Y30">
        <v>0.32131198939957734</v>
      </c>
      <c r="Z30" s="67">
        <v>1.3590370091771649</v>
      </c>
    </row>
    <row r="31" spans="1:26" x14ac:dyDescent="0.35">
      <c r="A31" s="64" t="s">
        <v>29</v>
      </c>
      <c r="B31" s="65" t="s">
        <v>168</v>
      </c>
      <c r="C31" s="42">
        <v>0.35207721704356598</v>
      </c>
      <c r="D31" s="52">
        <v>6.9763922699999995E-2</v>
      </c>
      <c r="E31" s="47">
        <v>43.978835355257424</v>
      </c>
      <c r="F31" s="67">
        <v>1.837679746129431</v>
      </c>
      <c r="G31" s="101">
        <f>_xlfn.XLOOKUP(B31,Sheet6!B:B,Sheet6!F:F)</f>
        <v>4736138.9999999991</v>
      </c>
      <c r="H31" s="101"/>
      <c r="I31" s="101"/>
      <c r="J31" s="108"/>
      <c r="K31">
        <f t="shared" si="0"/>
        <v>3.9744523107511547E-3</v>
      </c>
      <c r="L31">
        <f t="shared" si="1"/>
        <v>0.17479178380184746</v>
      </c>
      <c r="P31" s="65" t="s">
        <v>168</v>
      </c>
      <c r="Q31" s="3">
        <v>1.6432437242179894</v>
      </c>
      <c r="R31" s="67">
        <v>1.837679746129431</v>
      </c>
      <c r="S31" s="47">
        <v>43.978835355257424</v>
      </c>
      <c r="T31" s="67">
        <v>68.81446632132112</v>
      </c>
      <c r="U31" s="67">
        <f t="shared" si="2"/>
        <v>0.27349981468388224</v>
      </c>
      <c r="V31" s="67"/>
      <c r="W31" s="67"/>
      <c r="Y31">
        <v>0.17479178380184746</v>
      </c>
      <c r="Z31" s="67">
        <v>1.837679746129431</v>
      </c>
    </row>
    <row r="32" spans="1:26" x14ac:dyDescent="0.35">
      <c r="A32" s="64" t="s">
        <v>30</v>
      </c>
      <c r="B32" s="65" t="s">
        <v>169</v>
      </c>
      <c r="C32" s="42">
        <v>0.55969999999999998</v>
      </c>
      <c r="D32" s="52">
        <v>0.102022686</v>
      </c>
      <c r="E32" s="47">
        <v>117.20284698003086</v>
      </c>
      <c r="F32" s="67">
        <v>1.0251934156706199</v>
      </c>
      <c r="G32" s="101">
        <f>_xlfn.XLOOKUP(B32,Sheet6!B:B,Sheet6!F:F)</f>
        <v>1299468.9999999986</v>
      </c>
      <c r="H32" s="101"/>
      <c r="I32" s="101"/>
      <c r="J32" s="108"/>
      <c r="K32">
        <f t="shared" si="0"/>
        <v>1.0904826842707716E-3</v>
      </c>
      <c r="L32">
        <f t="shared" si="1"/>
        <v>0.12780767517896055</v>
      </c>
      <c r="P32" s="65" t="s">
        <v>169</v>
      </c>
      <c r="Q32" s="3">
        <v>2.0689381612784907</v>
      </c>
      <c r="R32" s="67">
        <v>1.0251934156706199</v>
      </c>
      <c r="S32" s="47">
        <v>117.20284698003086</v>
      </c>
      <c r="T32" s="67">
        <v>10.597255752844539</v>
      </c>
      <c r="U32" s="67">
        <f t="shared" si="2"/>
        <v>1.155612389926579E-2</v>
      </c>
      <c r="V32" s="67"/>
      <c r="W32" s="67"/>
      <c r="Y32">
        <v>0.12780767517896055</v>
      </c>
      <c r="Z32" s="67">
        <v>1.0251934156706199</v>
      </c>
    </row>
    <row r="33" spans="1:26" x14ac:dyDescent="0.35">
      <c r="A33" s="64" t="s">
        <v>31</v>
      </c>
      <c r="B33" s="65" t="s">
        <v>170</v>
      </c>
      <c r="C33" s="42">
        <v>0.61</v>
      </c>
      <c r="D33" s="52">
        <v>7.2900424000000005E-2</v>
      </c>
      <c r="E33" s="47">
        <v>54.608508445493854</v>
      </c>
      <c r="F33" s="67">
        <v>1.2137711551232062</v>
      </c>
      <c r="G33" s="101">
        <f>_xlfn.XLOOKUP(B33,Sheet6!B:B,Sheet6!F:F)</f>
        <v>32969518.500000007</v>
      </c>
      <c r="H33" s="101"/>
      <c r="I33" s="101"/>
      <c r="J33" s="108"/>
      <c r="K33">
        <f t="shared" si="0"/>
        <v>2.766721563422822E-2</v>
      </c>
      <c r="L33">
        <f t="shared" si="1"/>
        <v>1.5108653786250514</v>
      </c>
      <c r="P33" s="65" t="s">
        <v>170</v>
      </c>
      <c r="Q33" s="3">
        <v>1.7372603145553582</v>
      </c>
      <c r="R33" s="67">
        <v>1.2137711551232062</v>
      </c>
      <c r="S33" s="47">
        <v>54.608508445493854</v>
      </c>
      <c r="T33" s="67">
        <v>16.359542530378842</v>
      </c>
      <c r="U33" s="67">
        <f t="shared" si="2"/>
        <v>0.45262299086531899</v>
      </c>
      <c r="V33" s="67"/>
      <c r="W33" s="67"/>
      <c r="Y33">
        <v>1.5108653786250514</v>
      </c>
      <c r="Z33" s="67">
        <v>1.2137711551232062</v>
      </c>
    </row>
    <row r="34" spans="1:26" x14ac:dyDescent="0.35">
      <c r="A34" s="64" t="s">
        <v>32</v>
      </c>
      <c r="B34" s="65" t="s">
        <v>171</v>
      </c>
      <c r="C34" s="42">
        <v>0.4869</v>
      </c>
      <c r="D34" s="52">
        <v>0.10652340890000001</v>
      </c>
      <c r="E34" s="47">
        <v>105.35216319078796</v>
      </c>
      <c r="F34" s="67">
        <v>1.4050950942181666</v>
      </c>
      <c r="G34" s="101">
        <f>_xlfn.XLOOKUP(B34,Sheet6!B:B,Sheet6!F:F)</f>
        <v>2567012.4999999995</v>
      </c>
      <c r="H34" s="101"/>
      <c r="I34" s="101"/>
      <c r="J34" s="108"/>
      <c r="K34">
        <f t="shared" si="0"/>
        <v>2.1541742677636993E-3</v>
      </c>
      <c r="L34">
        <f t="shared" si="1"/>
        <v>0.2269469189988374</v>
      </c>
      <c r="P34" s="65" t="s">
        <v>171</v>
      </c>
      <c r="Q34" s="3">
        <v>2.0226434573829182</v>
      </c>
      <c r="R34" s="67">
        <v>1.4050950942181666</v>
      </c>
      <c r="S34" s="47">
        <v>105.35216319078796</v>
      </c>
      <c r="T34" s="67">
        <v>25.415291442768822</v>
      </c>
      <c r="U34" s="67">
        <f t="shared" si="2"/>
        <v>5.4748966833727541E-2</v>
      </c>
      <c r="V34" s="67"/>
      <c r="W34" s="67"/>
      <c r="Y34">
        <v>0.2269469189988374</v>
      </c>
      <c r="Z34" s="67">
        <v>1.4050950942181666</v>
      </c>
    </row>
    <row r="35" spans="1:26" x14ac:dyDescent="0.35">
      <c r="A35" s="64" t="s">
        <v>33</v>
      </c>
      <c r="B35" s="65" t="s">
        <v>172</v>
      </c>
      <c r="C35" s="42">
        <v>0.17051779817360399</v>
      </c>
      <c r="D35" s="52">
        <v>0.1023069668</v>
      </c>
      <c r="E35" s="47">
        <v>4.955848322257995</v>
      </c>
      <c r="F35" s="67">
        <v>0.89256200067381375</v>
      </c>
      <c r="G35" s="101">
        <f>_xlfn.XLOOKUP(B35,Sheet6!B:B,Sheet6!F:F)</f>
        <v>26207976.5</v>
      </c>
      <c r="H35" s="101"/>
      <c r="I35" s="101"/>
      <c r="J35" s="108"/>
      <c r="K35">
        <f t="shared" si="0"/>
        <v>2.1993094535556701E-2</v>
      </c>
      <c r="L35">
        <f t="shared" si="1"/>
        <v>0.10899444065530016</v>
      </c>
      <c r="P35" s="65" t="s">
        <v>172</v>
      </c>
      <c r="Q35" s="3">
        <v>0.69511800597391782</v>
      </c>
      <c r="R35" s="67">
        <v>0.89256200067381375</v>
      </c>
      <c r="S35" s="47">
        <v>4.955848322257995</v>
      </c>
      <c r="T35" s="67">
        <v>7.8083990631299782</v>
      </c>
      <c r="U35" s="67">
        <f t="shared" si="2"/>
        <v>0.17173085876676999</v>
      </c>
      <c r="V35" s="67"/>
      <c r="W35" s="67"/>
      <c r="Y35">
        <v>0.10899444065530016</v>
      </c>
      <c r="Z35" s="67">
        <v>0.89256200067381375</v>
      </c>
    </row>
    <row r="36" spans="1:26" x14ac:dyDescent="0.35">
      <c r="A36" s="64" t="s">
        <v>34</v>
      </c>
      <c r="B36" s="65" t="s">
        <v>173</v>
      </c>
      <c r="C36" s="42">
        <v>0.66749999999999998</v>
      </c>
      <c r="D36" s="52">
        <v>4.2245168700000002E-2</v>
      </c>
      <c r="E36" s="47">
        <v>36.583982353138666</v>
      </c>
      <c r="F36" s="67">
        <v>1.2520463655347098</v>
      </c>
      <c r="G36" s="101">
        <f>_xlfn.XLOOKUP(B36,Sheet6!B:B,Sheet6!F:F)</f>
        <v>218541211.50000003</v>
      </c>
      <c r="H36" s="101"/>
      <c r="I36" s="101"/>
      <c r="J36" s="108"/>
      <c r="K36">
        <f t="shared" si="0"/>
        <v>0.18339445338080917</v>
      </c>
      <c r="L36">
        <f t="shared" si="1"/>
        <v>6.7092994461470346</v>
      </c>
      <c r="P36" s="65" t="s">
        <v>173</v>
      </c>
      <c r="Q36" s="3">
        <v>1.5632909788838778</v>
      </c>
      <c r="R36" s="67">
        <v>1.2520463655347098</v>
      </c>
      <c r="S36" s="47">
        <v>36.583982353138666</v>
      </c>
      <c r="T36" s="67">
        <v>17.866783114992721</v>
      </c>
      <c r="U36" s="67">
        <f t="shared" si="2"/>
        <v>3.276668923047561</v>
      </c>
      <c r="V36" s="67"/>
      <c r="W36" s="67"/>
      <c r="Y36">
        <v>6.7092994461470346</v>
      </c>
      <c r="Z36" s="67">
        <v>1.2520463655347098</v>
      </c>
    </row>
    <row r="37" spans="1:26" x14ac:dyDescent="0.35">
      <c r="A37" s="64" t="s">
        <v>35</v>
      </c>
      <c r="B37" s="65" t="s">
        <v>174</v>
      </c>
      <c r="C37" s="42">
        <v>7.4999999999999997E-2</v>
      </c>
      <c r="D37" s="52">
        <v>8.8827714899999993E-2</v>
      </c>
      <c r="E37" s="47">
        <v>59.624042517676429</v>
      </c>
      <c r="F37" s="67">
        <v>1.6169097533210601</v>
      </c>
      <c r="G37" s="101">
        <f>_xlfn.XLOOKUP(B37,Sheet6!B:B,Sheet6!F:F)</f>
        <v>13776697.499999994</v>
      </c>
      <c r="H37" s="101"/>
      <c r="I37" s="101"/>
      <c r="J37" s="108"/>
      <c r="K37">
        <f t="shared" si="0"/>
        <v>1.1561068459645009E-2</v>
      </c>
      <c r="L37">
        <f t="shared" si="1"/>
        <v>0.68931763738764196</v>
      </c>
      <c r="P37" s="65" t="s">
        <v>174</v>
      </c>
      <c r="Q37" s="3">
        <v>1.7754214179160368</v>
      </c>
      <c r="R37" s="67">
        <v>1.6169097533210601</v>
      </c>
      <c r="S37" s="47">
        <v>59.624042517676429</v>
      </c>
      <c r="T37" s="67">
        <v>41.391365435291313</v>
      </c>
      <c r="U37" s="67">
        <f t="shared" si="2"/>
        <v>0.478528409435587</v>
      </c>
      <c r="V37" s="67"/>
      <c r="W37" s="67"/>
      <c r="Y37">
        <v>0.68931763738764196</v>
      </c>
      <c r="Z37" s="67">
        <v>1.6169097533210601</v>
      </c>
    </row>
    <row r="38" spans="1:26" x14ac:dyDescent="0.35">
      <c r="A38" s="64" t="s">
        <v>175</v>
      </c>
      <c r="B38" s="65" t="s">
        <v>176</v>
      </c>
      <c r="C38" s="42">
        <v>0.477408095311257</v>
      </c>
      <c r="D38" s="52">
        <v>0.10762632370000001</v>
      </c>
      <c r="E38" s="47">
        <v>63.393220513883151</v>
      </c>
      <c r="F38" s="67">
        <v>1.3590370091771649</v>
      </c>
      <c r="G38" s="101">
        <f>_xlfn.XLOOKUP(B38,Sheet6!B:B,Sheet6!F:F)</f>
        <v>227379.5</v>
      </c>
      <c r="H38" s="101"/>
      <c r="I38" s="101"/>
      <c r="J38" s="108"/>
      <c r="K38">
        <f t="shared" si="0"/>
        <v>1.90811329480077E-4</v>
      </c>
      <c r="L38">
        <f t="shared" si="1"/>
        <v>1.2096144686277734E-2</v>
      </c>
      <c r="P38" s="65" t="s">
        <v>176</v>
      </c>
      <c r="Q38" s="3">
        <v>1.8020428154394388</v>
      </c>
      <c r="R38" s="67">
        <v>1.3590370091771649</v>
      </c>
      <c r="S38" s="47">
        <v>63.393220513883151</v>
      </c>
      <c r="T38" s="67">
        <v>22.857935830441416</v>
      </c>
      <c r="U38" s="67">
        <f t="shared" si="2"/>
        <v>4.3615531249768143E-3</v>
      </c>
      <c r="V38" s="67"/>
      <c r="W38" s="67"/>
      <c r="Y38">
        <v>1.2096144686277734E-2</v>
      </c>
      <c r="Z38" s="67">
        <v>1.3590370091771649</v>
      </c>
    </row>
    <row r="39" spans="1:26" x14ac:dyDescent="0.35">
      <c r="A39" s="64" t="s">
        <v>37</v>
      </c>
      <c r="B39" s="65" t="s">
        <v>177</v>
      </c>
      <c r="C39" s="42">
        <v>0.473026044369111</v>
      </c>
      <c r="D39" s="52">
        <v>6.4810943600000004E-2</v>
      </c>
      <c r="E39" s="47">
        <v>23.796885847380697</v>
      </c>
      <c r="F39" s="67">
        <v>0.85630195700274225</v>
      </c>
      <c r="G39" s="101">
        <f>_xlfn.XLOOKUP(B39,Sheet6!B:B,Sheet6!F:F)</f>
        <v>17316449</v>
      </c>
      <c r="H39" s="101"/>
      <c r="I39" s="101"/>
      <c r="J39" s="108"/>
      <c r="K39">
        <f t="shared" si="0"/>
        <v>1.4531541566253553E-2</v>
      </c>
      <c r="L39">
        <f t="shared" si="1"/>
        <v>0.34580543583860351</v>
      </c>
      <c r="P39" s="65" t="s">
        <v>177</v>
      </c>
      <c r="Q39" s="3">
        <v>1.3765201273174978</v>
      </c>
      <c r="R39" s="67">
        <v>0.85630195700274225</v>
      </c>
      <c r="S39" s="47">
        <v>23.796885847380697</v>
      </c>
      <c r="T39" s="67">
        <v>7.1829353403866092</v>
      </c>
      <c r="U39" s="67">
        <f t="shared" si="2"/>
        <v>0.10437912346653963</v>
      </c>
      <c r="V39" s="67"/>
      <c r="W39" s="67"/>
      <c r="Y39">
        <v>0.34580543583860351</v>
      </c>
      <c r="Z39" s="67">
        <v>0.85630195700274225</v>
      </c>
    </row>
    <row r="40" spans="1:26" x14ac:dyDescent="0.35">
      <c r="A40" s="64" t="s">
        <v>38</v>
      </c>
      <c r="B40" s="65" t="s">
        <v>178</v>
      </c>
      <c r="C40" s="42">
        <v>0.377</v>
      </c>
      <c r="D40" s="52">
        <v>0.10179439540000002</v>
      </c>
      <c r="E40" s="47">
        <v>296.4662893379861</v>
      </c>
      <c r="F40" s="67">
        <v>1.6242820958356683</v>
      </c>
      <c r="G40" s="101">
        <f>_xlfn.XLOOKUP(B40,Sheet6!B:B,Sheet6!F:F)</f>
        <v>107118.5</v>
      </c>
      <c r="H40" s="101"/>
      <c r="I40" s="101"/>
      <c r="J40" s="108"/>
      <c r="K40">
        <f t="shared" si="0"/>
        <v>8.9891232045596141E-5</v>
      </c>
      <c r="L40">
        <f t="shared" si="1"/>
        <v>2.6649720008577755E-2</v>
      </c>
      <c r="P40" s="65" t="s">
        <v>178</v>
      </c>
      <c r="Q40" s="3">
        <v>2.4719753176435297</v>
      </c>
      <c r="R40" s="67">
        <v>1.6242820958356683</v>
      </c>
      <c r="S40" s="47">
        <v>296.4662893379861</v>
      </c>
      <c r="T40" s="67">
        <v>42.1</v>
      </c>
      <c r="U40" s="67">
        <f t="shared" si="2"/>
        <v>3.7844208691195976E-3</v>
      </c>
      <c r="V40" s="67"/>
      <c r="W40" s="67"/>
      <c r="Y40">
        <v>2.6649720008577755E-2</v>
      </c>
      <c r="Z40" s="67">
        <v>1.6242820958356683</v>
      </c>
    </row>
    <row r="41" spans="1:26" x14ac:dyDescent="0.35">
      <c r="A41" s="64" t="s">
        <v>39</v>
      </c>
      <c r="B41" s="65" t="s">
        <v>179</v>
      </c>
      <c r="C41" s="42">
        <v>0.33232562471434801</v>
      </c>
      <c r="D41" s="52">
        <v>5.2879381199999999E-2</v>
      </c>
      <c r="E41" s="47">
        <v>45.477301239981145</v>
      </c>
      <c r="F41" s="67">
        <v>0.92967794312633822</v>
      </c>
      <c r="G41" s="101">
        <f>_xlfn.XLOOKUP(B41,Sheet6!B:B,Sheet6!F:F)</f>
        <v>8605718.0000000056</v>
      </c>
      <c r="H41" s="101"/>
      <c r="I41" s="101"/>
      <c r="J41" s="108"/>
      <c r="K41">
        <f t="shared" si="0"/>
        <v>7.2217086092221609E-3</v>
      </c>
      <c r="L41">
        <f t="shared" si="1"/>
        <v>0.32842381788896147</v>
      </c>
      <c r="P41" s="65" t="s">
        <v>179</v>
      </c>
      <c r="Q41" s="3">
        <v>1.657794684437857</v>
      </c>
      <c r="R41" s="67">
        <v>0.92967794312633822</v>
      </c>
      <c r="S41" s="47">
        <v>45.477301239981145</v>
      </c>
      <c r="T41" s="67">
        <v>8.5050709939148081</v>
      </c>
      <c r="U41" s="67">
        <f t="shared" si="2"/>
        <v>6.1421144418800248E-2</v>
      </c>
      <c r="V41" s="67"/>
      <c r="W41" s="67"/>
      <c r="Y41">
        <v>0.32842381788896147</v>
      </c>
      <c r="Z41" s="67">
        <v>0.92967794312633822</v>
      </c>
    </row>
    <row r="42" spans="1:26" x14ac:dyDescent="0.35">
      <c r="A42" s="64" t="s">
        <v>40</v>
      </c>
      <c r="B42" s="65" t="s">
        <v>180</v>
      </c>
      <c r="C42" s="42">
        <v>0.54793438602622901</v>
      </c>
      <c r="D42" s="52">
        <v>0.1528983974</v>
      </c>
      <c r="E42" s="47">
        <v>110.14054068074168</v>
      </c>
      <c r="F42" s="67">
        <v>2.0303780382652743</v>
      </c>
      <c r="G42" s="101">
        <f>_xlfn.XLOOKUP(B42,Sheet6!B:B,Sheet6!F:F)</f>
        <v>59893885.5</v>
      </c>
      <c r="H42" s="101"/>
      <c r="I42" s="101"/>
      <c r="J42" s="108"/>
      <c r="K42">
        <f t="shared" si="0"/>
        <v>5.0261487601048059E-2</v>
      </c>
      <c r="L42">
        <f t="shared" si="1"/>
        <v>5.535827419797827</v>
      </c>
      <c r="P42" s="65" t="s">
        <v>180</v>
      </c>
      <c r="Q42" s="3">
        <v>2.0419472041053712</v>
      </c>
      <c r="R42" s="67">
        <v>2.0303780382652743</v>
      </c>
      <c r="S42" s="47">
        <v>110.14054068074168</v>
      </c>
      <c r="T42" s="67">
        <v>107.24524316516025</v>
      </c>
      <c r="U42" s="67">
        <f t="shared" si="2"/>
        <v>5.3903054596170854</v>
      </c>
      <c r="V42" s="67"/>
      <c r="W42" s="67"/>
      <c r="Y42">
        <v>5.535827419797827</v>
      </c>
      <c r="Z42" s="67">
        <v>2.0303780382652743</v>
      </c>
    </row>
    <row r="43" spans="1:26" x14ac:dyDescent="0.35">
      <c r="A43" s="64" t="s">
        <v>41</v>
      </c>
      <c r="B43" s="65" t="s">
        <v>181</v>
      </c>
      <c r="C43" s="42">
        <v>0.24952584171475101</v>
      </c>
      <c r="D43" s="52">
        <v>2.10620522E-2</v>
      </c>
      <c r="E43" s="47">
        <v>19.70458233636975</v>
      </c>
      <c r="F43" s="67">
        <v>1.3157352315928863</v>
      </c>
      <c r="G43" s="101">
        <f>_xlfn.XLOOKUP(B43,Sheet6!B:B,Sheet6!F:F)</f>
        <v>10913163.5</v>
      </c>
      <c r="H43" s="101"/>
      <c r="I43" s="101"/>
      <c r="J43" s="108"/>
      <c r="K43">
        <f t="shared" si="0"/>
        <v>9.1580605827194204E-3</v>
      </c>
      <c r="L43">
        <f t="shared" si="1"/>
        <v>0.18045575879365716</v>
      </c>
      <c r="P43" s="65" t="s">
        <v>181</v>
      </c>
      <c r="Q43" s="3">
        <v>1.2945672338764618</v>
      </c>
      <c r="R43" s="67">
        <v>1.3157352315928863</v>
      </c>
      <c r="S43" s="47">
        <v>19.70458233636975</v>
      </c>
      <c r="T43" s="67">
        <v>20.688796680497926</v>
      </c>
      <c r="U43" s="67">
        <f t="shared" si="2"/>
        <v>0.18946925338356446</v>
      </c>
      <c r="V43" s="67"/>
      <c r="W43" s="67"/>
      <c r="Y43">
        <v>0.18045575879365716</v>
      </c>
      <c r="Z43" s="67">
        <v>1.3157352315928863</v>
      </c>
    </row>
    <row r="44" spans="1:26" x14ac:dyDescent="0.35">
      <c r="A44" s="64" t="s">
        <v>43</v>
      </c>
      <c r="B44" s="65" t="s">
        <v>182</v>
      </c>
      <c r="C44" s="42">
        <v>0.25088889751308202</v>
      </c>
      <c r="D44" s="52">
        <v>5.3817400899999999E-2</v>
      </c>
      <c r="E44" s="47">
        <v>30.235229462209936</v>
      </c>
      <c r="F44" s="67">
        <v>1.0252800151720924</v>
      </c>
      <c r="G44" s="101">
        <f>_xlfn.XLOOKUP(B44,Sheet6!B:B,Sheet6!F:F)</f>
        <v>8848698.5000000019</v>
      </c>
      <c r="H44" s="101"/>
      <c r="I44" s="101"/>
      <c r="J44" s="108"/>
      <c r="K44">
        <f t="shared" si="0"/>
        <v>7.4256119173160447E-3</v>
      </c>
      <c r="L44">
        <f t="shared" si="1"/>
        <v>0.22451508021737129</v>
      </c>
      <c r="P44" s="65" t="s">
        <v>182</v>
      </c>
      <c r="Q44" s="3">
        <v>1.4805132689166067</v>
      </c>
      <c r="R44" s="67">
        <v>1.0252800151720924</v>
      </c>
      <c r="S44" s="47">
        <v>30.235229462209936</v>
      </c>
      <c r="T44" s="67">
        <v>10.599369085173501</v>
      </c>
      <c r="U44" s="67">
        <f t="shared" si="2"/>
        <v>7.8706801394895609E-2</v>
      </c>
      <c r="V44" s="67"/>
      <c r="W44" s="67"/>
      <c r="Y44">
        <v>0.22451508021737129</v>
      </c>
      <c r="Z44" s="67">
        <v>1.0252800151720924</v>
      </c>
    </row>
    <row r="45" spans="1:26" x14ac:dyDescent="0.35">
      <c r="A45" s="64" t="s">
        <v>44</v>
      </c>
      <c r="B45" s="65" t="s">
        <v>183</v>
      </c>
      <c r="C45" s="42">
        <v>0.56299999999999994</v>
      </c>
      <c r="D45" s="52">
        <v>3.1388299500000001E-2</v>
      </c>
      <c r="E45" s="47">
        <v>70.939806529751905</v>
      </c>
      <c r="F45" s="67">
        <v>0.71631219217137176</v>
      </c>
      <c r="G45" s="101">
        <f>_xlfn.XLOOKUP(B45,Sheet6!B:B,Sheet6!F:F)</f>
        <v>47249584.999999978</v>
      </c>
      <c r="H45" s="101"/>
      <c r="I45" s="101"/>
      <c r="J45" s="108"/>
      <c r="K45">
        <f t="shared" si="0"/>
        <v>3.9650699078993046E-2</v>
      </c>
      <c r="L45">
        <f t="shared" si="1"/>
        <v>2.8128129214331787</v>
      </c>
      <c r="P45" s="65" t="s">
        <v>183</v>
      </c>
      <c r="Q45" s="3">
        <v>1.8508899997099904</v>
      </c>
      <c r="R45" s="67">
        <v>0.71631219217137176</v>
      </c>
      <c r="S45" s="47">
        <v>70.939806529751905</v>
      </c>
      <c r="T45" s="67">
        <v>5.2036992954099146</v>
      </c>
      <c r="U45" s="67">
        <f t="shared" si="2"/>
        <v>0.20633031485986666</v>
      </c>
      <c r="V45" s="67"/>
      <c r="W45" s="67"/>
      <c r="Y45">
        <v>2.8128129214331787</v>
      </c>
      <c r="Z45" s="67">
        <v>0.71631219217137176</v>
      </c>
    </row>
    <row r="46" spans="1:26" x14ac:dyDescent="0.35">
      <c r="A46" s="64" t="s">
        <v>42</v>
      </c>
      <c r="B46" s="65" t="s">
        <v>184</v>
      </c>
      <c r="C46" s="42">
        <v>0.56999999999999995</v>
      </c>
      <c r="D46" s="52">
        <v>9.4023561499999991E-2</v>
      </c>
      <c r="E46" s="47">
        <v>28.683351968574311</v>
      </c>
      <c r="F46" s="67">
        <v>1.0969955271941416</v>
      </c>
      <c r="G46" s="101">
        <f>_xlfn.XLOOKUP(B46,Sheet6!B:B,Sheet6!F:F)</f>
        <v>65497748.000000045</v>
      </c>
      <c r="H46" s="101"/>
      <c r="I46" s="101"/>
      <c r="J46" s="108"/>
      <c r="K46">
        <f t="shared" si="0"/>
        <v>5.496411230489584E-2</v>
      </c>
      <c r="L46">
        <f t="shared" si="1"/>
        <v>1.5765549788815736</v>
      </c>
      <c r="P46" s="65" t="s">
        <v>184</v>
      </c>
      <c r="Q46" s="3">
        <v>1.4576299021000942</v>
      </c>
      <c r="R46" s="67">
        <v>1.0969955271941416</v>
      </c>
      <c r="S46" s="47">
        <v>28.683351968574311</v>
      </c>
      <c r="T46" s="67">
        <v>12.502461538461539</v>
      </c>
      <c r="U46" s="67">
        <f t="shared" si="2"/>
        <v>0.68718670008764082</v>
      </c>
      <c r="V46" s="67"/>
      <c r="W46" s="67"/>
      <c r="Y46">
        <v>1.5765549788815736</v>
      </c>
      <c r="Z46" s="67">
        <v>1.0969955271941416</v>
      </c>
    </row>
    <row r="47" spans="1:26" x14ac:dyDescent="0.35">
      <c r="A47" s="64" t="s">
        <v>45</v>
      </c>
      <c r="B47" s="65" t="s">
        <v>185</v>
      </c>
      <c r="C47" s="42">
        <v>0.26773290915292702</v>
      </c>
      <c r="D47" s="52">
        <v>7.1645693799999993E-2</v>
      </c>
      <c r="E47" s="47">
        <v>55.939473332937403</v>
      </c>
      <c r="F47" s="67">
        <v>1.0219585611420867</v>
      </c>
      <c r="G47" s="101">
        <f>_xlfn.XLOOKUP(B47,Sheet6!B:B,Sheet6!F:F)</f>
        <v>20017675.000000004</v>
      </c>
      <c r="H47" s="101"/>
      <c r="I47" s="101"/>
      <c r="J47" s="108"/>
      <c r="K47">
        <f t="shared" si="0"/>
        <v>1.6798344529080682E-2</v>
      </c>
      <c r="L47">
        <f t="shared" si="1"/>
        <v>0.93969054582200373</v>
      </c>
      <c r="P47" s="65" t="s">
        <v>185</v>
      </c>
      <c r="Q47" s="3">
        <v>1.7477183731961123</v>
      </c>
      <c r="R47" s="67">
        <v>1.0219585611420867</v>
      </c>
      <c r="S47" s="47">
        <v>55.939473332937403</v>
      </c>
      <c r="T47" s="67">
        <v>10.51861504095309</v>
      </c>
      <c r="U47" s="67">
        <f t="shared" si="2"/>
        <v>0.17669531942670011</v>
      </c>
      <c r="V47" s="67"/>
      <c r="W47" s="67"/>
      <c r="Y47">
        <v>0.93969054582200373</v>
      </c>
      <c r="Z47" s="67">
        <v>1.0219585611420867</v>
      </c>
    </row>
    <row r="48" spans="1:26" ht="15" thickBot="1" x14ac:dyDescent="0.4">
      <c r="A48" s="66" t="s">
        <v>46</v>
      </c>
      <c r="B48" s="65" t="s">
        <v>186</v>
      </c>
      <c r="C48" s="42">
        <v>0.35</v>
      </c>
      <c r="D48" s="52">
        <v>5.1729364399999998E-2</v>
      </c>
      <c r="E48" s="47">
        <v>64.042986580794391</v>
      </c>
      <c r="F48" s="67">
        <v>1.560949253118078</v>
      </c>
      <c r="G48" s="101">
        <f>_xlfn.XLOOKUP(B48,Sheet6!B:B,Sheet6!F:F)</f>
        <v>16320536.999999996</v>
      </c>
      <c r="H48" s="101"/>
      <c r="I48" s="101"/>
      <c r="J48" s="108"/>
      <c r="K48">
        <f t="shared" si="0"/>
        <v>1.3695796511113741E-2</v>
      </c>
      <c r="L48">
        <f t="shared" si="1"/>
        <v>0.87711971217454798</v>
      </c>
      <c r="P48" s="65" t="s">
        <v>186</v>
      </c>
      <c r="Q48" s="3">
        <v>1.8064715766094552</v>
      </c>
      <c r="R48" s="67">
        <v>1.560949253118078</v>
      </c>
      <c r="S48" s="47">
        <v>64.042986580794391</v>
      </c>
      <c r="T48" s="67">
        <v>36.387251549841309</v>
      </c>
      <c r="U48" s="67">
        <f t="shared" si="2"/>
        <v>0.49835239282533467</v>
      </c>
      <c r="V48" s="67"/>
      <c r="W48" s="67"/>
      <c r="Y48">
        <v>0.87711971217454798</v>
      </c>
      <c r="Z48" s="67">
        <v>1.560949253118078</v>
      </c>
    </row>
    <row r="49" spans="1:26" ht="15" thickTop="1" x14ac:dyDescent="0.35">
      <c r="A49" s="53"/>
      <c r="B49" s="53" t="s">
        <v>103</v>
      </c>
      <c r="C49" s="54">
        <f>+AVERAGE(C2:C48)</f>
        <v>0.42362639990663958</v>
      </c>
      <c r="D49" s="54">
        <f>+AVERAGE(D2:D48)</f>
        <v>7.287659531276594E-2</v>
      </c>
      <c r="E49" s="62">
        <f>AVERAGE(E2:E48)</f>
        <v>54.126800294833181</v>
      </c>
      <c r="F49" s="110">
        <f>AVERAGE(F2:F48)</f>
        <v>1.1692594227645297</v>
      </c>
      <c r="G49" s="101">
        <f>SUM(G2:G48)</f>
        <v>1191645698.5</v>
      </c>
      <c r="H49" s="101"/>
      <c r="I49" s="101"/>
      <c r="J49" s="108"/>
      <c r="K49">
        <f t="shared" si="0"/>
        <v>1</v>
      </c>
      <c r="L49">
        <f t="shared" si="1"/>
        <v>54.126800294833181</v>
      </c>
      <c r="Q49" s="3"/>
      <c r="R49" s="68"/>
      <c r="S49" s="1">
        <f>AVERAGE(S2:S48)</f>
        <v>53.428046434715839</v>
      </c>
      <c r="T49" s="1">
        <f>AVERAGE(T2:T48)</f>
        <v>22.857935830441416</v>
      </c>
      <c r="U49" s="3">
        <f>AVERAGE(U2:U48)</f>
        <v>0.47130219136197044</v>
      </c>
      <c r="V49" s="1"/>
      <c r="W49" s="1"/>
      <c r="Y49" s="105">
        <f>AVERAGE(Y2:Y48)</f>
        <v>0.88248654743588983</v>
      </c>
      <c r="Z49" s="104">
        <f>AVERAGE(Z2:Z48)</f>
        <v>1.1692594227645297</v>
      </c>
    </row>
    <row r="50" spans="1:26" x14ac:dyDescent="0.35">
      <c r="A50" s="55"/>
      <c r="B50" s="56" t="s">
        <v>99</v>
      </c>
      <c r="C50" s="57">
        <f>MEDIAN(C2:C48)</f>
        <v>0.45</v>
      </c>
      <c r="D50" s="57">
        <f>MEDIAN(D2:D48)</f>
        <v>6.8515443800000006E-2</v>
      </c>
      <c r="E50" s="63">
        <v>38.456345697593264</v>
      </c>
      <c r="G50" s="101"/>
      <c r="H50" s="101"/>
      <c r="I50" s="101"/>
      <c r="J50" s="108"/>
      <c r="K50">
        <f t="shared" si="0"/>
        <v>0</v>
      </c>
      <c r="L50">
        <f t="shared" si="1"/>
        <v>0</v>
      </c>
      <c r="R50" t="s">
        <v>190</v>
      </c>
      <c r="S50" s="47">
        <f>MIN($S$2:$S$48)</f>
        <v>4.955848322257995</v>
      </c>
      <c r="T50" s="47">
        <f>MIN($T$2:$T$48)</f>
        <v>0.95412514516632685</v>
      </c>
      <c r="U50" s="67">
        <f t="shared" si="2"/>
        <v>0</v>
      </c>
      <c r="V50" s="47"/>
      <c r="W50" s="47"/>
    </row>
    <row r="51" spans="1:26" x14ac:dyDescent="0.35">
      <c r="B51" s="111" t="s">
        <v>270</v>
      </c>
      <c r="C51" s="112"/>
      <c r="D51" s="113"/>
      <c r="E51" s="114">
        <f>SUMPRODUCT($E$2:$E$48,$G$2:$G$48)/G49</f>
        <v>42.714388400671432</v>
      </c>
      <c r="F51" s="115">
        <f>+SUMPRODUCT(F2:F48,G2:G48)/G49</f>
        <v>1.1550140009774728</v>
      </c>
      <c r="R51" t="s">
        <v>191</v>
      </c>
      <c r="S51" s="47">
        <f>MAX($S$2:$S$48)</f>
        <v>296.4662893379861</v>
      </c>
      <c r="T51" s="47">
        <f>MAX($T$2:$T$48)</f>
        <v>107.24524316516025</v>
      </c>
      <c r="U51" s="47"/>
      <c r="V51" s="47"/>
      <c r="W51" s="47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3C7E-5C5C-4A03-A524-C087B17AC59E}">
  <dimension ref="A1:AH54"/>
  <sheetViews>
    <sheetView workbookViewId="0">
      <selection activeCell="C1" sqref="C1"/>
    </sheetView>
  </sheetViews>
  <sheetFormatPr defaultRowHeight="14.5" x14ac:dyDescent="0.35"/>
  <cols>
    <col min="1" max="1" width="27.26953125" style="58" bestFit="1" customWidth="1"/>
    <col min="2" max="2" width="11" customWidth="1"/>
    <col min="3" max="3" width="24" style="50" customWidth="1"/>
    <col min="4" max="4" width="13.81640625" bestFit="1" customWidth="1"/>
    <col min="5" max="6" width="13.81640625" customWidth="1"/>
    <col min="7" max="7" width="23.81640625" style="16" customWidth="1"/>
    <col min="8" max="8" width="24" style="50" customWidth="1"/>
    <col min="9" max="9" width="3.36328125" style="50" customWidth="1"/>
    <col min="10" max="10" width="27.26953125" style="58" bestFit="1" customWidth="1"/>
    <col min="11" max="12" width="13.81640625" bestFit="1" customWidth="1"/>
    <col min="13" max="14" width="13.81640625" customWidth="1"/>
    <col min="15" max="15" width="23.81640625" style="16" customWidth="1"/>
    <col min="16" max="16" width="29" style="50" customWidth="1"/>
    <col min="17" max="17" width="3.36328125" style="50" customWidth="1"/>
    <col min="18" max="18" width="31.6328125" bestFit="1" customWidth="1"/>
    <col min="19" max="19" width="8.26953125" bestFit="1" customWidth="1"/>
    <col min="20" max="20" width="16.26953125" bestFit="1" customWidth="1"/>
    <col min="21" max="21" width="31.08984375" bestFit="1" customWidth="1"/>
    <col min="27" max="27" width="27.26953125" style="58" bestFit="1" customWidth="1"/>
    <col min="34" max="34" width="27.26953125" style="58" bestFit="1" customWidth="1"/>
  </cols>
  <sheetData>
    <row r="1" spans="1:34" ht="73" thickTop="1" x14ac:dyDescent="0.35">
      <c r="A1" s="59" t="s">
        <v>0</v>
      </c>
      <c r="B1" s="60" t="s">
        <v>187</v>
      </c>
      <c r="C1" s="60" t="s">
        <v>196</v>
      </c>
      <c r="D1" s="60" t="s">
        <v>102</v>
      </c>
      <c r="E1" s="60" t="s">
        <v>201</v>
      </c>
      <c r="F1" s="60" t="s">
        <v>200</v>
      </c>
      <c r="G1" s="60" t="s">
        <v>204</v>
      </c>
      <c r="H1" s="60" t="s">
        <v>204</v>
      </c>
      <c r="J1" s="59" t="s">
        <v>0</v>
      </c>
      <c r="K1" s="60" t="s">
        <v>134</v>
      </c>
      <c r="L1" s="60" t="s">
        <v>135</v>
      </c>
      <c r="M1" s="60" t="s">
        <v>202</v>
      </c>
      <c r="N1" s="60" t="s">
        <v>203</v>
      </c>
      <c r="O1" s="60" t="s">
        <v>205</v>
      </c>
      <c r="P1" s="60" t="s">
        <v>205</v>
      </c>
      <c r="R1" s="71" t="s">
        <v>0</v>
      </c>
      <c r="S1" s="71"/>
      <c r="T1" s="71" t="s">
        <v>134</v>
      </c>
      <c r="U1" s="71" t="s">
        <v>135</v>
      </c>
      <c r="AA1" s="59" t="s">
        <v>0</v>
      </c>
      <c r="AH1" s="59" t="s">
        <v>0</v>
      </c>
    </row>
    <row r="2" spans="1:34" x14ac:dyDescent="0.35">
      <c r="A2" s="64" t="s">
        <v>1</v>
      </c>
      <c r="B2" s="65" t="s">
        <v>136</v>
      </c>
      <c r="C2" s="77">
        <v>42.170245010241459</v>
      </c>
      <c r="D2" s="77">
        <v>22.857935830441416</v>
      </c>
      <c r="E2" s="47" t="str">
        <f>IF(C2&gt;$C$49,"Above Average","Below Average")</f>
        <v>Above Average</v>
      </c>
      <c r="F2" s="47" t="str">
        <f>IF(D2&gt;$D$49,"Above Average","Below Average")</f>
        <v>Below Average</v>
      </c>
      <c r="G2" s="75" t="str" cm="1">
        <f t="array" ref="G2">_xlfn.IFS(AND(E2="Above Average",F2="Below Average"),"Q3",AND(E2="Above Average",F2="Above Average"),"Q2",AND(E2="Below Average",F2="Above Average"),"Q1",AND(E2="Below Average",F2="Below Average"),"Q4")</f>
        <v>Q3</v>
      </c>
      <c r="H2" s="86" cm="1">
        <f t="array" ref="H2">_xlfn.IFS(G2="Q1",1,G2="Q2",2,G2="Q3",3,G2="Q4",4)</f>
        <v>3</v>
      </c>
      <c r="J2" s="64" t="s">
        <v>1</v>
      </c>
      <c r="K2" s="52">
        <v>0.10730769159999999</v>
      </c>
      <c r="L2" s="52">
        <v>0.55000000000000004</v>
      </c>
      <c r="M2" s="47" t="str">
        <f t="shared" ref="M2:M48" si="0">IF(K2&gt;$K$49,"Above Average","Below Average")</f>
        <v>Above Average</v>
      </c>
      <c r="N2" s="47" t="str">
        <f>IF(L2&gt;$L$49,"Above Average","Below Average")</f>
        <v>Above Average</v>
      </c>
      <c r="O2" s="75" t="str" cm="1">
        <f t="array" ref="O2">_xlfn.IFS(AND(M2="Above Average",N2="Below Average"),"Q3",AND(M2="Above Average",N2="Above Average"),"Q2",AND(M2="Below Average",N2="Above Average"),"Q1",AND(M2="Below Average",N2="Below Average"),"Q4")</f>
        <v>Q2</v>
      </c>
      <c r="P2" s="89" cm="1">
        <f t="array" ref="P2">_xlfn.IFS(O2="Q1",1,O2="Q2",2,O2="Q3",3,O2="Q4",4)</f>
        <v>2</v>
      </c>
      <c r="R2" t="s">
        <v>1</v>
      </c>
      <c r="S2" t="s">
        <v>136</v>
      </c>
      <c r="T2">
        <v>0.10730769159999999</v>
      </c>
      <c r="U2">
        <v>0.55000000000000004</v>
      </c>
      <c r="AA2" s="64" t="s">
        <v>1</v>
      </c>
      <c r="AH2" s="64" t="s">
        <v>1</v>
      </c>
    </row>
    <row r="3" spans="1:34" x14ac:dyDescent="0.35">
      <c r="A3" s="64" t="s">
        <v>2</v>
      </c>
      <c r="B3" s="65" t="s">
        <v>137</v>
      </c>
      <c r="C3" s="77">
        <v>21.19840588956373</v>
      </c>
      <c r="D3" s="77">
        <v>21.176735134619424</v>
      </c>
      <c r="E3" s="47" t="str">
        <f t="shared" ref="E3:E48" si="1">IF(C3&gt;$C$49,"Above Average","Below Average")</f>
        <v>Below Average</v>
      </c>
      <c r="F3" s="47" t="str">
        <f t="shared" ref="F3:F48" si="2">IF(D3&gt;$D$49,"Above Average","Below Average")</f>
        <v>Below Average</v>
      </c>
      <c r="G3" s="75" t="str" cm="1">
        <f t="array" ref="G3">_xlfn.IFS(AND(E3="Above Average",F3="Below Average"),"Q3",AND(E3="Above Average",F3="Above Average"),"Q2",AND(E3="Below Average",F3="Above Average"),"Q1",AND(E3="Below Average",F3="Below Average"),"Q4")</f>
        <v>Q4</v>
      </c>
      <c r="H3" s="90" cm="1">
        <f t="array" ref="H3">_xlfn.IFS(G3="Q1",1,G3="Q2",2,G3="Q3",3,G3="Q4",4)</f>
        <v>4</v>
      </c>
      <c r="J3" s="64" t="s">
        <v>2</v>
      </c>
      <c r="K3" s="52">
        <v>5.3643193200000001E-2</v>
      </c>
      <c r="L3" s="52">
        <v>0.50045872095830901</v>
      </c>
      <c r="M3" s="47" t="str">
        <f t="shared" si="0"/>
        <v>Below Average</v>
      </c>
      <c r="N3" s="47" t="str">
        <f t="shared" ref="N3:N48" si="3">IF(L3&gt;$L$49,"Above Average","Below Average")</f>
        <v>Above Average</v>
      </c>
      <c r="O3" s="75" t="str" cm="1">
        <f t="array" ref="O3">_xlfn.IFS(AND(M3="Above Average",N3="Below Average"),"Q3",AND(M3="Above Average",N3="Above Average"),"Q2",AND(M3="Below Average",N3="Above Average"),"Q1",AND(M3="Below Average",N3="Below Average"),"Q4")</f>
        <v>Q1</v>
      </c>
      <c r="P3" s="88" cm="1">
        <f t="array" ref="P3">_xlfn.IFS(O3="Q1",1,O3="Q2",2,O3="Q3",3,O3="Q4",4)</f>
        <v>1</v>
      </c>
      <c r="R3" t="s">
        <v>2</v>
      </c>
      <c r="S3" t="s">
        <v>137</v>
      </c>
      <c r="T3">
        <v>5.3643193200000001E-2</v>
      </c>
      <c r="U3">
        <v>0.50045872095830901</v>
      </c>
      <c r="AA3" s="64" t="s">
        <v>2</v>
      </c>
      <c r="AH3" s="64" t="s">
        <v>2</v>
      </c>
    </row>
    <row r="4" spans="1:34" x14ac:dyDescent="0.35">
      <c r="A4" s="64" t="s">
        <v>3</v>
      </c>
      <c r="B4" s="65" t="s">
        <v>138</v>
      </c>
      <c r="C4" s="77">
        <v>7.905420140578082</v>
      </c>
      <c r="D4" s="77">
        <v>8.1976856316297013</v>
      </c>
      <c r="E4" s="47" t="str">
        <f t="shared" si="1"/>
        <v>Below Average</v>
      </c>
      <c r="F4" s="47" t="str">
        <f t="shared" si="2"/>
        <v>Below Average</v>
      </c>
      <c r="G4" s="75" t="str" cm="1">
        <f t="array" ref="G4">_xlfn.IFS(AND(E4="Above Average",F4="Below Average"),"Q3",AND(E4="Above Average",F4="Above Average"),"Q2",AND(E4="Below Average",F4="Above Average"),"Q1",AND(E4="Below Average",F4="Below Average"),"Q4")</f>
        <v>Q4</v>
      </c>
      <c r="H4" s="90" cm="1">
        <f t="array" ref="H4">_xlfn.IFS(G4="Q1",1,G4="Q2",2,G4="Q3",3,G4="Q4",4)</f>
        <v>4</v>
      </c>
      <c r="J4" s="64" t="s">
        <v>3</v>
      </c>
      <c r="K4" s="52">
        <v>4.5545940399999998E-2</v>
      </c>
      <c r="L4" s="52">
        <v>0.473026044369111</v>
      </c>
      <c r="M4" s="47" t="str">
        <f t="shared" si="0"/>
        <v>Below Average</v>
      </c>
      <c r="N4" s="47" t="str">
        <f t="shared" si="3"/>
        <v>Above Average</v>
      </c>
      <c r="O4" s="75" t="str" cm="1">
        <f t="array" ref="O4">_xlfn.IFS(AND(M4="Above Average",N4="Below Average"),"Q3",AND(M4="Above Average",N4="Above Average"),"Q2",AND(M4="Below Average",N4="Above Average"),"Q1",AND(M4="Below Average",N4="Below Average"),"Q4")</f>
        <v>Q1</v>
      </c>
      <c r="P4" s="88" cm="1">
        <f t="array" ref="P4">_xlfn.IFS(O4="Q1",1,O4="Q2",2,O4="Q3",3,O4="Q4",4)</f>
        <v>1</v>
      </c>
      <c r="R4" t="s">
        <v>3</v>
      </c>
      <c r="S4" t="s">
        <v>138</v>
      </c>
      <c r="T4">
        <v>4.5545940399999998E-2</v>
      </c>
      <c r="U4">
        <v>0.473026044369111</v>
      </c>
      <c r="AA4" s="64" t="s">
        <v>3</v>
      </c>
      <c r="AD4" s="50">
        <v>1</v>
      </c>
      <c r="AH4" s="64" t="s">
        <v>3</v>
      </c>
    </row>
    <row r="5" spans="1:34" x14ac:dyDescent="0.35">
      <c r="A5" s="64" t="s">
        <v>4</v>
      </c>
      <c r="B5" s="65" t="s">
        <v>139</v>
      </c>
      <c r="C5" s="77">
        <v>34.292718386067548</v>
      </c>
      <c r="D5" s="77">
        <v>16.399999999999999</v>
      </c>
      <c r="E5" s="47" t="str">
        <f t="shared" si="1"/>
        <v>Above Average</v>
      </c>
      <c r="F5" s="47" t="str">
        <f t="shared" si="2"/>
        <v>Below Average</v>
      </c>
      <c r="G5" s="75" t="str" cm="1">
        <f t="array" ref="G5">_xlfn.IFS(AND(E5="Above Average",F5="Below Average"),"Q3",AND(E5="Above Average",F5="Above Average"),"Q2",AND(E5="Below Average",F5="Above Average"),"Q1",AND(E5="Below Average",F5="Below Average"),"Q4")</f>
        <v>Q3</v>
      </c>
      <c r="H5" s="86" cm="1">
        <f t="array" ref="H5">_xlfn.IFS(G5="Q1",1,G5="Q2",2,G5="Q3",3,G5="Q4",4)</f>
        <v>3</v>
      </c>
      <c r="J5" s="64" t="s">
        <v>4</v>
      </c>
      <c r="K5" s="52">
        <v>0.12006065370000001</v>
      </c>
      <c r="L5" s="52">
        <v>0.52100000000000002</v>
      </c>
      <c r="M5" s="47" t="str">
        <f t="shared" si="0"/>
        <v>Above Average</v>
      </c>
      <c r="N5" s="47" t="str">
        <f t="shared" si="3"/>
        <v>Above Average</v>
      </c>
      <c r="O5" s="75" t="str" cm="1">
        <f t="array" ref="O5">_xlfn.IFS(AND(M5="Above Average",N5="Below Average"),"Q3",AND(M5="Above Average",N5="Above Average"),"Q2",AND(M5="Below Average",N5="Above Average"),"Q1",AND(M5="Below Average",N5="Below Average"),"Q4")</f>
        <v>Q2</v>
      </c>
      <c r="P5" s="89" cm="1">
        <f t="array" ref="P5">_xlfn.IFS(O5="Q1",1,O5="Q2",2,O5="Q3",3,O5="Q4",4)</f>
        <v>2</v>
      </c>
      <c r="R5" t="s">
        <v>4</v>
      </c>
      <c r="S5" t="s">
        <v>139</v>
      </c>
      <c r="T5">
        <v>0.12006065370000001</v>
      </c>
      <c r="U5">
        <v>0.52100000000000002</v>
      </c>
      <c r="AA5" s="64" t="s">
        <v>4</v>
      </c>
      <c r="AD5" s="50">
        <v>2</v>
      </c>
      <c r="AH5" s="64" t="s">
        <v>4</v>
      </c>
    </row>
    <row r="6" spans="1:34" x14ac:dyDescent="0.35">
      <c r="A6" s="64" t="s">
        <v>5</v>
      </c>
      <c r="B6" s="65" t="s">
        <v>140</v>
      </c>
      <c r="C6" s="77">
        <v>11.721918929906732</v>
      </c>
      <c r="D6" s="77">
        <v>6.4928625093914354</v>
      </c>
      <c r="E6" s="47" t="str">
        <f t="shared" si="1"/>
        <v>Below Average</v>
      </c>
      <c r="F6" s="47" t="str">
        <f t="shared" si="2"/>
        <v>Below Average</v>
      </c>
      <c r="G6" s="75" t="str" cm="1">
        <f t="array" ref="G6">_xlfn.IFS(AND(E6="Above Average",F6="Below Average"),"Q3",AND(E6="Above Average",F6="Above Average"),"Q2",AND(E6="Below Average",F6="Above Average"),"Q1",AND(E6="Below Average",F6="Below Average"),"Q4")</f>
        <v>Q4</v>
      </c>
      <c r="H6" s="90" cm="1">
        <f t="array" ref="H6">_xlfn.IFS(G6="Q1",1,G6="Q2",2,G6="Q3",3,G6="Q4",4)</f>
        <v>4</v>
      </c>
      <c r="J6" s="64" t="s">
        <v>5</v>
      </c>
      <c r="K6" s="52">
        <v>0.11463944440000001</v>
      </c>
      <c r="L6" s="52">
        <v>0.32880543493854802</v>
      </c>
      <c r="M6" s="47" t="str">
        <f t="shared" si="0"/>
        <v>Above Average</v>
      </c>
      <c r="N6" s="47" t="str">
        <f t="shared" si="3"/>
        <v>Below Average</v>
      </c>
      <c r="O6" s="75" t="str" cm="1">
        <f t="array" ref="O6">_xlfn.IFS(AND(M6="Above Average",N6="Below Average"),"Q3",AND(M6="Above Average",N6="Above Average"),"Q2",AND(M6="Below Average",N6="Above Average"),"Q1",AND(M6="Below Average",N6="Below Average"),"Q4")</f>
        <v>Q3</v>
      </c>
      <c r="P6" s="86" cm="1">
        <f t="array" ref="P6">_xlfn.IFS(O6="Q1",1,O6="Q2",2,O6="Q3",3,O6="Q4",4)</f>
        <v>3</v>
      </c>
      <c r="R6" t="s">
        <v>5</v>
      </c>
      <c r="S6" t="s">
        <v>140</v>
      </c>
      <c r="T6">
        <v>0.11463944440000001</v>
      </c>
      <c r="U6">
        <v>0.32880543493854802</v>
      </c>
      <c r="AA6" s="64" t="s">
        <v>5</v>
      </c>
      <c r="AD6" s="50">
        <v>3</v>
      </c>
      <c r="AH6" s="64" t="s">
        <v>5</v>
      </c>
    </row>
    <row r="7" spans="1:34" x14ac:dyDescent="0.35">
      <c r="A7" s="64" t="s">
        <v>6</v>
      </c>
      <c r="B7" s="65" t="s">
        <v>141</v>
      </c>
      <c r="C7" s="77">
        <v>8.1970005510432156</v>
      </c>
      <c r="D7" s="77">
        <v>5.7962394193302087</v>
      </c>
      <c r="E7" s="47" t="str">
        <f t="shared" si="1"/>
        <v>Below Average</v>
      </c>
      <c r="F7" s="47" t="str">
        <f t="shared" si="2"/>
        <v>Below Average</v>
      </c>
      <c r="G7" s="75" t="str" cm="1">
        <f t="array" ref="G7">_xlfn.IFS(AND(E7="Above Average",F7="Below Average"),"Q3",AND(E7="Above Average",F7="Above Average"),"Q2",AND(E7="Below Average",F7="Above Average"),"Q1",AND(E7="Below Average",F7="Below Average"),"Q4")</f>
        <v>Q4</v>
      </c>
      <c r="H7" s="90" cm="1">
        <f t="array" ref="H7">_xlfn.IFS(G7="Q1",1,G7="Q2",2,G7="Q3",3,G7="Q4",4)</f>
        <v>4</v>
      </c>
      <c r="J7" s="64" t="s">
        <v>6</v>
      </c>
      <c r="K7" s="52">
        <v>8.3128080399999998E-2</v>
      </c>
      <c r="L7" s="52">
        <v>0.26769999999999999</v>
      </c>
      <c r="M7" s="47" t="str">
        <f t="shared" si="0"/>
        <v>Above Average</v>
      </c>
      <c r="N7" s="47" t="str">
        <f t="shared" si="3"/>
        <v>Below Average</v>
      </c>
      <c r="O7" s="75" t="str" cm="1">
        <f t="array" ref="O7">_xlfn.IFS(AND(M7="Above Average",N7="Below Average"),"Q3",AND(M7="Above Average",N7="Above Average"),"Q2",AND(M7="Below Average",N7="Above Average"),"Q1",AND(M7="Below Average",N7="Below Average"),"Q4")</f>
        <v>Q3</v>
      </c>
      <c r="P7" s="86" cm="1">
        <f t="array" ref="P7">_xlfn.IFS(O7="Q1",1,O7="Q2",2,O7="Q3",3,O7="Q4",4)</f>
        <v>3</v>
      </c>
      <c r="R7" t="s">
        <v>6</v>
      </c>
      <c r="S7" t="s">
        <v>141</v>
      </c>
      <c r="T7">
        <v>8.3128080399999998E-2</v>
      </c>
      <c r="U7">
        <v>0.26769999999999999</v>
      </c>
      <c r="AA7" s="64" t="s">
        <v>6</v>
      </c>
      <c r="AD7" s="50">
        <v>4</v>
      </c>
      <c r="AH7" s="64" t="s">
        <v>6</v>
      </c>
    </row>
    <row r="8" spans="1:34" x14ac:dyDescent="0.35">
      <c r="A8" s="64" t="s">
        <v>60</v>
      </c>
      <c r="B8" s="65" t="s">
        <v>142</v>
      </c>
      <c r="C8" s="77">
        <v>60.895271765381224</v>
      </c>
      <c r="D8" s="77">
        <v>22.857935830441416</v>
      </c>
      <c r="E8" s="47" t="str">
        <f t="shared" si="1"/>
        <v>Above Average</v>
      </c>
      <c r="F8" s="47" t="str">
        <f t="shared" si="2"/>
        <v>Below Average</v>
      </c>
      <c r="G8" s="75" t="str" cm="1">
        <f t="array" ref="G8">_xlfn.IFS(AND(E8="Above Average",F8="Below Average"),"Q3",AND(E8="Above Average",F8="Above Average"),"Q2",AND(E8="Below Average",F8="Above Average"),"Q1",AND(E8="Below Average",F8="Below Average"),"Q4")</f>
        <v>Q3</v>
      </c>
      <c r="H8" s="86" cm="1">
        <f t="array" ref="H8">_xlfn.IFS(G8="Q1",1,G8="Q2",2,G8="Q3",3,G8="Q4",4)</f>
        <v>3</v>
      </c>
      <c r="J8" s="64" t="s">
        <v>60</v>
      </c>
      <c r="K8" s="52">
        <v>0.10392424580000001</v>
      </c>
      <c r="L8" s="52">
        <v>0.32863412813189302</v>
      </c>
      <c r="M8" s="47" t="str">
        <f t="shared" si="0"/>
        <v>Above Average</v>
      </c>
      <c r="N8" s="47" t="str">
        <f t="shared" si="3"/>
        <v>Below Average</v>
      </c>
      <c r="O8" s="75" t="str" cm="1">
        <f t="array" ref="O8">_xlfn.IFS(AND(M8="Above Average",N8="Below Average"),"Q3",AND(M8="Above Average",N8="Above Average"),"Q2",AND(M8="Below Average",N8="Above Average"),"Q1",AND(M8="Below Average",N8="Below Average"),"Q4")</f>
        <v>Q3</v>
      </c>
      <c r="P8" s="86" cm="1">
        <f t="array" ref="P8">_xlfn.IFS(O8="Q1",1,O8="Q2",2,O8="Q3",3,O8="Q4",4)</f>
        <v>3</v>
      </c>
      <c r="R8" t="s">
        <v>60</v>
      </c>
      <c r="S8" t="s">
        <v>142</v>
      </c>
      <c r="T8">
        <v>0.10392424580000001</v>
      </c>
      <c r="U8">
        <v>0.32863412813189302</v>
      </c>
      <c r="AA8" s="64" t="s">
        <v>60</v>
      </c>
      <c r="AH8" s="64" t="s">
        <v>60</v>
      </c>
    </row>
    <row r="9" spans="1:34" x14ac:dyDescent="0.35">
      <c r="A9" s="64" t="s">
        <v>7</v>
      </c>
      <c r="B9" s="65" t="s">
        <v>143</v>
      </c>
      <c r="C9" s="77">
        <v>7.8475241743670043</v>
      </c>
      <c r="D9" s="77">
        <v>5.8473988439306357</v>
      </c>
      <c r="E9" s="47" t="str">
        <f t="shared" si="1"/>
        <v>Below Average</v>
      </c>
      <c r="F9" s="47" t="str">
        <f t="shared" si="2"/>
        <v>Below Average</v>
      </c>
      <c r="G9" s="75" t="str" cm="1">
        <f t="array" ref="G9">_xlfn.IFS(AND(E9="Above Average",F9="Below Average"),"Q3",AND(E9="Above Average",F9="Above Average"),"Q2",AND(E9="Below Average",F9="Above Average"),"Q1",AND(E9="Below Average",F9="Below Average"),"Q4")</f>
        <v>Q4</v>
      </c>
      <c r="H9" s="90" cm="1">
        <f t="array" ref="H9">_xlfn.IFS(G9="Q1",1,G9="Q2",2,G9="Q3",3,G9="Q4",4)</f>
        <v>4</v>
      </c>
      <c r="J9" s="64" t="s">
        <v>7</v>
      </c>
      <c r="K9" s="52">
        <v>3.6992728700000005E-2</v>
      </c>
      <c r="L9" s="52">
        <v>0.60169835832363905</v>
      </c>
      <c r="M9" s="47" t="str">
        <f t="shared" si="0"/>
        <v>Below Average</v>
      </c>
      <c r="N9" s="47" t="str">
        <f t="shared" si="3"/>
        <v>Above Average</v>
      </c>
      <c r="O9" s="75" t="str" cm="1">
        <f t="array" ref="O9">_xlfn.IFS(AND(M9="Above Average",N9="Below Average"),"Q3",AND(M9="Above Average",N9="Above Average"),"Q2",AND(M9="Below Average",N9="Above Average"),"Q1",AND(M9="Below Average",N9="Below Average"),"Q4")</f>
        <v>Q1</v>
      </c>
      <c r="P9" s="88" cm="1">
        <f t="array" ref="P9">_xlfn.IFS(O9="Q1",1,O9="Q2",2,O9="Q3",3,O9="Q4",4)</f>
        <v>1</v>
      </c>
      <c r="R9" t="s">
        <v>7</v>
      </c>
      <c r="S9" t="s">
        <v>143</v>
      </c>
      <c r="T9">
        <v>3.6992728700000005E-2</v>
      </c>
      <c r="U9">
        <v>0.60169835832363905</v>
      </c>
      <c r="AA9" s="64" t="s">
        <v>7</v>
      </c>
      <c r="AH9" s="64" t="s">
        <v>7</v>
      </c>
    </row>
    <row r="10" spans="1:34" x14ac:dyDescent="0.35">
      <c r="A10" s="64" t="s">
        <v>8</v>
      </c>
      <c r="B10" s="65" t="s">
        <v>144</v>
      </c>
      <c r="C10" s="77">
        <v>2.3872297370504008</v>
      </c>
      <c r="D10" s="77">
        <v>44.159429280397021</v>
      </c>
      <c r="E10" s="47" t="str">
        <f t="shared" si="1"/>
        <v>Below Average</v>
      </c>
      <c r="F10" s="47" t="str">
        <f t="shared" si="2"/>
        <v>Above Average</v>
      </c>
      <c r="G10" s="75" t="str" cm="1">
        <f t="array" ref="G10">_xlfn.IFS(AND(E10="Above Average",F10="Below Average"),"Q3",AND(E10="Above Average",F10="Above Average"),"Q2",AND(E10="Below Average",F10="Above Average"),"Q1",AND(E10="Below Average",F10="Below Average"),"Q4")</f>
        <v>Q1</v>
      </c>
      <c r="H10" s="88" cm="1">
        <f t="array" ref="H10">_xlfn.IFS(G10="Q1",1,G10="Q2",2,G10="Q3",3,G10="Q4",4)</f>
        <v>1</v>
      </c>
      <c r="J10" s="64" t="s">
        <v>8</v>
      </c>
      <c r="K10" s="52">
        <v>4.8423175799999996E-2</v>
      </c>
      <c r="L10" s="52">
        <v>0.60169835832363905</v>
      </c>
      <c r="M10" s="47" t="str">
        <f t="shared" si="0"/>
        <v>Below Average</v>
      </c>
      <c r="N10" s="47" t="str">
        <f t="shared" si="3"/>
        <v>Above Average</v>
      </c>
      <c r="O10" s="75" t="str" cm="1">
        <f t="array" ref="O10">_xlfn.IFS(AND(M10="Above Average",N10="Below Average"),"Q3",AND(M10="Above Average",N10="Above Average"),"Q2",AND(M10="Below Average",N10="Above Average"),"Q1",AND(M10="Below Average",N10="Below Average"),"Q4")</f>
        <v>Q1</v>
      </c>
      <c r="P10" s="88" cm="1">
        <f t="array" ref="P10">_xlfn.IFS(O10="Q1",1,O10="Q2",2,O10="Q3",3,O10="Q4",4)</f>
        <v>1</v>
      </c>
      <c r="R10" t="s">
        <v>8</v>
      </c>
      <c r="S10" t="s">
        <v>144</v>
      </c>
      <c r="T10">
        <v>4.8423175799999996E-2</v>
      </c>
      <c r="U10">
        <v>0.60169835832363905</v>
      </c>
      <c r="AA10" s="64" t="s">
        <v>8</v>
      </c>
      <c r="AH10" s="64" t="s">
        <v>8</v>
      </c>
    </row>
    <row r="11" spans="1:34" x14ac:dyDescent="0.35">
      <c r="A11" s="64" t="s">
        <v>9</v>
      </c>
      <c r="B11" s="65" t="s">
        <v>145</v>
      </c>
      <c r="C11" s="77">
        <v>3.2716188953202665</v>
      </c>
      <c r="D11" s="77">
        <v>1.5058928414930488</v>
      </c>
      <c r="E11" s="47" t="str">
        <f t="shared" si="1"/>
        <v>Below Average</v>
      </c>
      <c r="F11" s="47" t="str">
        <f t="shared" si="2"/>
        <v>Below Average</v>
      </c>
      <c r="G11" s="75" t="str" cm="1">
        <f t="array" ref="G11">_xlfn.IFS(AND(E11="Above Average",F11="Below Average"),"Q3",AND(E11="Above Average",F11="Above Average"),"Q2",AND(E11="Below Average",F11="Above Average"),"Q1",AND(E11="Below Average",F11="Below Average"),"Q4")</f>
        <v>Q4</v>
      </c>
      <c r="H11" s="90" cm="1">
        <f t="array" ref="H11">_xlfn.IFS(G11="Q1",1,G11="Q2",2,G11="Q3",3,G11="Q4",4)</f>
        <v>4</v>
      </c>
      <c r="J11" s="64" t="s">
        <v>9</v>
      </c>
      <c r="K11" s="52">
        <v>4.8723001500000002E-2</v>
      </c>
      <c r="L11" s="52">
        <v>0.35310312003413502</v>
      </c>
      <c r="M11" s="47" t="str">
        <f t="shared" si="0"/>
        <v>Below Average</v>
      </c>
      <c r="N11" s="47" t="str">
        <f t="shared" si="3"/>
        <v>Below Average</v>
      </c>
      <c r="O11" s="75" t="str" cm="1">
        <f t="array" ref="O11">_xlfn.IFS(AND(M11="Above Average",N11="Below Average"),"Q3",AND(M11="Above Average",N11="Above Average"),"Q2",AND(M11="Below Average",N11="Above Average"),"Q1",AND(M11="Below Average",N11="Below Average"),"Q4")</f>
        <v>Q4</v>
      </c>
      <c r="P11" s="90" cm="1">
        <f t="array" ref="P11">_xlfn.IFS(O11="Q1",1,O11="Q2",2,O11="Q3",3,O11="Q4",4)</f>
        <v>4</v>
      </c>
      <c r="R11" t="s">
        <v>9</v>
      </c>
      <c r="S11" t="s">
        <v>145</v>
      </c>
      <c r="T11">
        <v>4.8723001500000002E-2</v>
      </c>
      <c r="U11">
        <v>0.35310312003413502</v>
      </c>
      <c r="AA11" s="64" t="s">
        <v>9</v>
      </c>
      <c r="AH11" s="64" t="s">
        <v>9</v>
      </c>
    </row>
    <row r="12" spans="1:34" x14ac:dyDescent="0.35">
      <c r="A12" s="64" t="s">
        <v>10</v>
      </c>
      <c r="B12" s="65" t="s">
        <v>146</v>
      </c>
      <c r="C12" s="77">
        <v>20.614550700647715</v>
      </c>
      <c r="D12" s="77">
        <v>28.47427435177109</v>
      </c>
      <c r="E12" s="47" t="str">
        <f t="shared" si="1"/>
        <v>Below Average</v>
      </c>
      <c r="F12" s="47" t="str">
        <f t="shared" si="2"/>
        <v>Above Average</v>
      </c>
      <c r="G12" s="75" t="str" cm="1">
        <f t="array" ref="G12">_xlfn.IFS(AND(E12="Above Average",F12="Below Average"),"Q3",AND(E12="Above Average",F12="Above Average"),"Q2",AND(E12="Below Average",F12="Above Average"),"Q1",AND(E12="Below Average",F12="Below Average"),"Q4")</f>
        <v>Q1</v>
      </c>
      <c r="H12" s="88" cm="1">
        <f t="array" ref="H12">_xlfn.IFS(G12="Q1",1,G12="Q2",2,G12="Q3",3,G12="Q4",4)</f>
        <v>1</v>
      </c>
      <c r="J12" s="64" t="s">
        <v>10</v>
      </c>
      <c r="K12" s="52">
        <v>4.1246685999999998E-2</v>
      </c>
      <c r="L12" s="52">
        <v>0.65</v>
      </c>
      <c r="M12" s="47" t="str">
        <f t="shared" si="0"/>
        <v>Below Average</v>
      </c>
      <c r="N12" s="47" t="str">
        <f t="shared" si="3"/>
        <v>Above Average</v>
      </c>
      <c r="O12" s="75" t="str" cm="1">
        <f t="array" ref="O12">_xlfn.IFS(AND(M12="Above Average",N12="Below Average"),"Q3",AND(M12="Above Average",N12="Above Average"),"Q2",AND(M12="Below Average",N12="Above Average"),"Q1",AND(M12="Below Average",N12="Below Average"),"Q4")</f>
        <v>Q1</v>
      </c>
      <c r="P12" s="88" cm="1">
        <f t="array" ref="P12">_xlfn.IFS(O12="Q1",1,O12="Q2",2,O12="Q3",3,O12="Q4",4)</f>
        <v>1</v>
      </c>
      <c r="R12" t="s">
        <v>10</v>
      </c>
      <c r="S12" t="s">
        <v>146</v>
      </c>
      <c r="T12">
        <v>4.1246685999999998E-2</v>
      </c>
      <c r="U12">
        <v>0.65</v>
      </c>
      <c r="AA12" s="64" t="s">
        <v>10</v>
      </c>
      <c r="AH12" s="64" t="s">
        <v>10</v>
      </c>
    </row>
    <row r="13" spans="1:34" x14ac:dyDescent="0.35">
      <c r="A13" s="64" t="s">
        <v>149</v>
      </c>
      <c r="B13" s="65" t="s">
        <v>150</v>
      </c>
      <c r="C13" s="77">
        <v>11.710635712808925</v>
      </c>
      <c r="D13" s="77">
        <v>20.263906002583152</v>
      </c>
      <c r="E13" s="47" t="str">
        <f t="shared" si="1"/>
        <v>Below Average</v>
      </c>
      <c r="F13" s="47" t="str">
        <f t="shared" si="2"/>
        <v>Below Average</v>
      </c>
      <c r="G13" s="75" t="str" cm="1">
        <f t="array" ref="G13">_xlfn.IFS(AND(E13="Above Average",F13="Below Average"),"Q3",AND(E13="Above Average",F13="Above Average"),"Q2",AND(E13="Below Average",F13="Above Average"),"Q1",AND(E13="Below Average",F13="Below Average"),"Q4")</f>
        <v>Q4</v>
      </c>
      <c r="H13" s="90" cm="1">
        <f t="array" ref="H13">_xlfn.IFS(G13="Q1",1,G13="Q2",2,G13="Q3",3,G13="Q4",4)</f>
        <v>4</v>
      </c>
      <c r="J13" s="64" t="s">
        <v>149</v>
      </c>
      <c r="K13" s="52">
        <v>6.6596483200000001E-2</v>
      </c>
      <c r="L13" s="52">
        <v>0.373</v>
      </c>
      <c r="M13" s="47" t="str">
        <f t="shared" si="0"/>
        <v>Below Average</v>
      </c>
      <c r="N13" s="47" t="str">
        <f t="shared" si="3"/>
        <v>Below Average</v>
      </c>
      <c r="O13" s="75" t="str" cm="1">
        <f t="array" ref="O13">_xlfn.IFS(AND(M13="Above Average",N13="Below Average"),"Q3",AND(M13="Above Average",N13="Above Average"),"Q2",AND(M13="Below Average",N13="Above Average"),"Q1",AND(M13="Below Average",N13="Below Average"),"Q4")</f>
        <v>Q4</v>
      </c>
      <c r="P13" s="90" cm="1">
        <f t="array" ref="P13">_xlfn.IFS(O13="Q1",1,O13="Q2",2,O13="Q3",3,O13="Q4",4)</f>
        <v>4</v>
      </c>
      <c r="R13" t="s">
        <v>147</v>
      </c>
      <c r="S13" t="s">
        <v>148</v>
      </c>
      <c r="T13">
        <v>8.2168407400000004E-2</v>
      </c>
      <c r="U13">
        <v>0.43066371754243699</v>
      </c>
      <c r="AA13" s="64" t="s">
        <v>149</v>
      </c>
      <c r="AH13" s="64" t="s">
        <v>149</v>
      </c>
    </row>
    <row r="14" spans="1:34" ht="29" x14ac:dyDescent="0.35">
      <c r="A14" s="64" t="s">
        <v>82</v>
      </c>
      <c r="B14" s="65" t="s">
        <v>151</v>
      </c>
      <c r="C14" s="77">
        <v>14.104125276326323</v>
      </c>
      <c r="D14" s="77">
        <v>4.5412705268813731</v>
      </c>
      <c r="E14" s="47" t="str">
        <f t="shared" si="1"/>
        <v>Below Average</v>
      </c>
      <c r="F14" s="47" t="str">
        <f t="shared" si="2"/>
        <v>Below Average</v>
      </c>
      <c r="G14" s="75" t="str" cm="1">
        <f t="array" ref="G14">_xlfn.IFS(AND(E14="Above Average",F14="Below Average"),"Q3",AND(E14="Above Average",F14="Above Average"),"Q2",AND(E14="Below Average",F14="Above Average"),"Q1",AND(E14="Below Average",F14="Below Average"),"Q4")</f>
        <v>Q4</v>
      </c>
      <c r="H14" s="90" cm="1">
        <f t="array" ref="H14">_xlfn.IFS(G14="Q1",1,G14="Q2",2,G14="Q3",3,G14="Q4",4)</f>
        <v>4</v>
      </c>
      <c r="J14" s="64" t="s">
        <v>82</v>
      </c>
      <c r="K14" s="52">
        <v>6.2699966400000001E-2</v>
      </c>
      <c r="L14" s="52">
        <v>0.473026044369111</v>
      </c>
      <c r="M14" s="47" t="str">
        <f t="shared" si="0"/>
        <v>Below Average</v>
      </c>
      <c r="N14" s="47" t="str">
        <f t="shared" si="3"/>
        <v>Above Average</v>
      </c>
      <c r="O14" s="75" t="str" cm="1">
        <f t="array" ref="O14">_xlfn.IFS(AND(M14="Above Average",N14="Below Average"),"Q3",AND(M14="Above Average",N14="Above Average"),"Q2",AND(M14="Below Average",N14="Above Average"),"Q1",AND(M14="Below Average",N14="Below Average"),"Q4")</f>
        <v>Q1</v>
      </c>
      <c r="P14" s="88" cm="1">
        <f t="array" ref="P14">_xlfn.IFS(O14="Q1",1,O14="Q2",2,O14="Q3",3,O14="Q4",4)</f>
        <v>1</v>
      </c>
      <c r="R14" t="s">
        <v>149</v>
      </c>
      <c r="S14" t="s">
        <v>150</v>
      </c>
      <c r="T14">
        <v>6.6596483200000001E-2</v>
      </c>
      <c r="U14">
        <v>0.373</v>
      </c>
      <c r="AA14" s="64" t="s">
        <v>82</v>
      </c>
      <c r="AH14" s="64" t="s">
        <v>82</v>
      </c>
    </row>
    <row r="15" spans="1:34" x14ac:dyDescent="0.35">
      <c r="A15" s="64" t="s">
        <v>14</v>
      </c>
      <c r="B15" s="65" t="s">
        <v>152</v>
      </c>
      <c r="C15" s="77">
        <v>10.007213798082931</v>
      </c>
      <c r="D15" s="77">
        <v>0.95412514516632685</v>
      </c>
      <c r="E15" s="47" t="str">
        <f t="shared" si="1"/>
        <v>Below Average</v>
      </c>
      <c r="F15" s="47" t="str">
        <f t="shared" si="2"/>
        <v>Below Average</v>
      </c>
      <c r="G15" s="75" t="str" cm="1">
        <f t="array" ref="G15">_xlfn.IFS(AND(E15="Above Average",F15="Below Average"),"Q3",AND(E15="Above Average",F15="Above Average"),"Q2",AND(E15="Below Average",F15="Above Average"),"Q1",AND(E15="Below Average",F15="Below Average"),"Q4")</f>
        <v>Q4</v>
      </c>
      <c r="H15" s="90" cm="1">
        <f t="array" ref="H15">_xlfn.IFS(G15="Q1",1,G15="Q2",2,G15="Q3",3,G15="Q4",4)</f>
        <v>4</v>
      </c>
      <c r="J15" s="64" t="s">
        <v>14</v>
      </c>
      <c r="K15" s="52">
        <v>5.2922940299999999E-2</v>
      </c>
      <c r="L15" s="52">
        <v>0.473026044369111</v>
      </c>
      <c r="M15" s="47" t="str">
        <f t="shared" si="0"/>
        <v>Below Average</v>
      </c>
      <c r="N15" s="47" t="str">
        <f t="shared" si="3"/>
        <v>Above Average</v>
      </c>
      <c r="O15" s="75" t="str" cm="1">
        <f t="array" ref="O15">_xlfn.IFS(AND(M15="Above Average",N15="Below Average"),"Q3",AND(M15="Above Average",N15="Above Average"),"Q2",AND(M15="Below Average",N15="Above Average"),"Q1",AND(M15="Below Average",N15="Below Average"),"Q4")</f>
        <v>Q1</v>
      </c>
      <c r="P15" s="88" cm="1">
        <f t="array" ref="P15">_xlfn.IFS(O15="Q1",1,O15="Q2",2,O15="Q3",3,O15="Q4",4)</f>
        <v>1</v>
      </c>
      <c r="R15" t="s">
        <v>82</v>
      </c>
      <c r="S15" t="s">
        <v>151</v>
      </c>
      <c r="T15">
        <v>6.2699966400000001E-2</v>
      </c>
      <c r="U15">
        <v>0.473026044369111</v>
      </c>
      <c r="AA15" s="64" t="s">
        <v>14</v>
      </c>
      <c r="AH15" s="64" t="s">
        <v>14</v>
      </c>
    </row>
    <row r="16" spans="1:34" x14ac:dyDescent="0.35">
      <c r="A16" s="64" t="s">
        <v>15</v>
      </c>
      <c r="B16" s="65" t="s">
        <v>153</v>
      </c>
      <c r="C16" s="77">
        <v>14.584070867806926</v>
      </c>
      <c r="D16" s="77">
        <v>13.264544118808269</v>
      </c>
      <c r="E16" s="47" t="str">
        <f t="shared" si="1"/>
        <v>Below Average</v>
      </c>
      <c r="F16" s="47" t="str">
        <f t="shared" si="2"/>
        <v>Below Average</v>
      </c>
      <c r="G16" s="75" t="str" cm="1">
        <f t="array" ref="G16">_xlfn.IFS(AND(E16="Above Average",F16="Below Average"),"Q3",AND(E16="Above Average",F16="Above Average"),"Q2",AND(E16="Below Average",F16="Above Average"),"Q1",AND(E16="Below Average",F16="Below Average"),"Q4")</f>
        <v>Q4</v>
      </c>
      <c r="H16" s="90" cm="1">
        <f t="array" ref="H16">_xlfn.IFS(G16="Q1",1,G16="Q2",2,G16="Q3",3,G16="Q4",4)</f>
        <v>4</v>
      </c>
      <c r="J16" s="64" t="s">
        <v>15</v>
      </c>
      <c r="K16" s="52">
        <v>2.3541069000000001E-2</v>
      </c>
      <c r="L16" s="52">
        <v>0.67300000000000004</v>
      </c>
      <c r="M16" s="47" t="str">
        <f t="shared" si="0"/>
        <v>Below Average</v>
      </c>
      <c r="N16" s="47" t="str">
        <f t="shared" si="3"/>
        <v>Above Average</v>
      </c>
      <c r="O16" s="75" t="str" cm="1">
        <f t="array" ref="O16">_xlfn.IFS(AND(M16="Above Average",N16="Below Average"),"Q3",AND(M16="Above Average",N16="Above Average"),"Q2",AND(M16="Below Average",N16="Above Average"),"Q1",AND(M16="Below Average",N16="Below Average"),"Q4")</f>
        <v>Q1</v>
      </c>
      <c r="P16" s="88" cm="1">
        <f t="array" ref="P16">_xlfn.IFS(O16="Q1",1,O16="Q2",2,O16="Q3",3,O16="Q4",4)</f>
        <v>1</v>
      </c>
      <c r="R16" t="s">
        <v>14</v>
      </c>
      <c r="S16" t="s">
        <v>152</v>
      </c>
      <c r="T16">
        <v>5.2922940299999999E-2</v>
      </c>
      <c r="U16">
        <v>0.473026044369111</v>
      </c>
      <c r="AA16" s="64" t="s">
        <v>15</v>
      </c>
      <c r="AH16" s="64" t="s">
        <v>15</v>
      </c>
    </row>
    <row r="17" spans="1:34" x14ac:dyDescent="0.35">
      <c r="A17" s="64" t="s">
        <v>16</v>
      </c>
      <c r="B17" s="65" t="s">
        <v>154</v>
      </c>
      <c r="C17" s="77">
        <v>49.456152913797929</v>
      </c>
      <c r="D17" s="77">
        <v>37.056249999999999</v>
      </c>
      <c r="E17" s="47" t="str">
        <f t="shared" si="1"/>
        <v>Above Average</v>
      </c>
      <c r="F17" s="47" t="str">
        <f t="shared" si="2"/>
        <v>Above Average</v>
      </c>
      <c r="G17" s="75" t="str" cm="1">
        <f t="array" ref="G17">_xlfn.IFS(AND(E17="Above Average",F17="Below Average"),"Q3",AND(E17="Above Average",F17="Above Average"),"Q2",AND(E17="Below Average",F17="Above Average"),"Q1",AND(E17="Below Average",F17="Below Average"),"Q4")</f>
        <v>Q2</v>
      </c>
      <c r="H17" s="89" cm="1">
        <f t="array" ref="H17">_xlfn.IFS(G17="Q1",1,G17="Q2",2,G17="Q3",3,G17="Q4",4)</f>
        <v>2</v>
      </c>
      <c r="J17" s="64" t="s">
        <v>16</v>
      </c>
      <c r="K17" s="52">
        <v>9.9682931900000007E-2</v>
      </c>
      <c r="L17" s="52">
        <v>0.3</v>
      </c>
      <c r="M17" s="47" t="str">
        <f t="shared" si="0"/>
        <v>Above Average</v>
      </c>
      <c r="N17" s="47" t="str">
        <f t="shared" si="3"/>
        <v>Below Average</v>
      </c>
      <c r="O17" s="75" t="str" cm="1">
        <f t="array" ref="O17">_xlfn.IFS(AND(M17="Above Average",N17="Below Average"),"Q3",AND(M17="Above Average",N17="Above Average"),"Q2",AND(M17="Below Average",N17="Above Average"),"Q1",AND(M17="Below Average",N17="Below Average"),"Q4")</f>
        <v>Q3</v>
      </c>
      <c r="P17" s="86" cm="1">
        <f t="array" ref="P17">_xlfn.IFS(O17="Q1",1,O17="Q2",2,O17="Q3",3,O17="Q4",4)</f>
        <v>3</v>
      </c>
      <c r="R17" t="s">
        <v>15</v>
      </c>
      <c r="S17" t="s">
        <v>153</v>
      </c>
      <c r="T17">
        <v>2.3541069000000001E-2</v>
      </c>
      <c r="U17">
        <v>0.67300000000000004</v>
      </c>
      <c r="AA17" s="64" t="s">
        <v>16</v>
      </c>
      <c r="AH17" s="64" t="s">
        <v>16</v>
      </c>
    </row>
    <row r="18" spans="1:34" x14ac:dyDescent="0.35">
      <c r="A18" s="64" t="s">
        <v>17</v>
      </c>
      <c r="B18" s="65" t="s">
        <v>155</v>
      </c>
      <c r="C18" s="77">
        <v>15.362628950222767</v>
      </c>
      <c r="D18" s="77">
        <v>16.468657033574161</v>
      </c>
      <c r="E18" s="47" t="str">
        <f t="shared" si="1"/>
        <v>Below Average</v>
      </c>
      <c r="F18" s="47" t="str">
        <f t="shared" si="2"/>
        <v>Below Average</v>
      </c>
      <c r="G18" s="75" t="str" cm="1">
        <f t="array" ref="G18">_xlfn.IFS(AND(E18="Above Average",F18="Below Average"),"Q3",AND(E18="Above Average",F18="Above Average"),"Q2",AND(E18="Below Average",F18="Above Average"),"Q1",AND(E18="Below Average",F18="Below Average"),"Q4")</f>
        <v>Q4</v>
      </c>
      <c r="H18" s="90" cm="1">
        <f t="array" ref="H18">_xlfn.IFS(G18="Q1",1,G18="Q2",2,G18="Q3",3,G18="Q4",4)</f>
        <v>4</v>
      </c>
      <c r="J18" s="64" t="s">
        <v>17</v>
      </c>
      <c r="K18" s="52">
        <v>6.79223251E-2</v>
      </c>
      <c r="L18" s="52">
        <v>0.18662367321998</v>
      </c>
      <c r="M18" s="47" t="str">
        <f t="shared" si="0"/>
        <v>Below Average</v>
      </c>
      <c r="N18" s="47" t="str">
        <f t="shared" si="3"/>
        <v>Below Average</v>
      </c>
      <c r="O18" s="75" t="str" cm="1">
        <f t="array" ref="O18">_xlfn.IFS(AND(M18="Above Average",N18="Below Average"),"Q3",AND(M18="Above Average",N18="Above Average"),"Q2",AND(M18="Below Average",N18="Above Average"),"Q1",AND(M18="Below Average",N18="Below Average"),"Q4")</f>
        <v>Q4</v>
      </c>
      <c r="P18" s="90" cm="1">
        <f t="array" ref="P18">_xlfn.IFS(O18="Q1",1,O18="Q2",2,O18="Q3",3,O18="Q4",4)</f>
        <v>4</v>
      </c>
      <c r="R18" t="s">
        <v>16</v>
      </c>
      <c r="S18" t="s">
        <v>154</v>
      </c>
      <c r="T18">
        <v>9.9682931900000007E-2</v>
      </c>
      <c r="U18">
        <v>0.3</v>
      </c>
      <c r="AA18" s="64" t="s">
        <v>17</v>
      </c>
      <c r="AH18" s="64" t="s">
        <v>17</v>
      </c>
    </row>
    <row r="19" spans="1:34" x14ac:dyDescent="0.35">
      <c r="A19" s="64" t="s">
        <v>18</v>
      </c>
      <c r="B19" s="65" t="s">
        <v>156</v>
      </c>
      <c r="C19" s="77">
        <v>29.037302117617038</v>
      </c>
      <c r="D19" s="77">
        <v>42.673685800866124</v>
      </c>
      <c r="E19" s="47" t="str">
        <f t="shared" si="1"/>
        <v>Above Average</v>
      </c>
      <c r="F19" s="47" t="str">
        <f t="shared" si="2"/>
        <v>Above Average</v>
      </c>
      <c r="G19" s="75" t="str" cm="1">
        <f t="array" ref="G19">_xlfn.IFS(AND(E19="Above Average",F19="Below Average"),"Q3",AND(E19="Above Average",F19="Above Average"),"Q2",AND(E19="Below Average",F19="Above Average"),"Q1",AND(E19="Below Average",F19="Below Average"),"Q4")</f>
        <v>Q2</v>
      </c>
      <c r="H19" s="89" cm="1">
        <f t="array" ref="H19">_xlfn.IFS(G19="Q1",1,G19="Q2",2,G19="Q3",3,G19="Q4",4)</f>
        <v>2</v>
      </c>
      <c r="J19" s="64" t="s">
        <v>18</v>
      </c>
      <c r="K19" s="52">
        <v>9.5915584600000006E-2</v>
      </c>
      <c r="L19" s="52">
        <v>0.487577741763977</v>
      </c>
      <c r="M19" s="47" t="str">
        <f t="shared" si="0"/>
        <v>Above Average</v>
      </c>
      <c r="N19" s="47" t="str">
        <f t="shared" si="3"/>
        <v>Above Average</v>
      </c>
      <c r="O19" s="75" t="str" cm="1">
        <f t="array" ref="O19">_xlfn.IFS(AND(M19="Above Average",N19="Below Average"),"Q3",AND(M19="Above Average",N19="Above Average"),"Q2",AND(M19="Below Average",N19="Above Average"),"Q1",AND(M19="Below Average",N19="Below Average"),"Q4")</f>
        <v>Q2</v>
      </c>
      <c r="P19" s="89" cm="1">
        <f t="array" ref="P19">_xlfn.IFS(O19="Q1",1,O19="Q2",2,O19="Q3",3,O19="Q4",4)</f>
        <v>2</v>
      </c>
      <c r="R19" t="s">
        <v>17</v>
      </c>
      <c r="S19" t="s">
        <v>155</v>
      </c>
      <c r="T19">
        <v>6.79223251E-2</v>
      </c>
      <c r="U19">
        <v>0.18662367321998</v>
      </c>
      <c r="AA19" s="64" t="s">
        <v>18</v>
      </c>
      <c r="AH19" s="64" t="s">
        <v>18</v>
      </c>
    </row>
    <row r="20" spans="1:34" x14ac:dyDescent="0.35">
      <c r="A20" s="64" t="s">
        <v>20</v>
      </c>
      <c r="B20" s="65" t="s">
        <v>159</v>
      </c>
      <c r="C20" s="77">
        <v>45.6484849222892</v>
      </c>
      <c r="D20" s="77">
        <v>5.6456748687645337</v>
      </c>
      <c r="E20" s="47" t="str">
        <f t="shared" si="1"/>
        <v>Above Average</v>
      </c>
      <c r="F20" s="47" t="str">
        <f t="shared" si="2"/>
        <v>Below Average</v>
      </c>
      <c r="G20" s="75" t="str" cm="1">
        <f t="array" ref="G20">_xlfn.IFS(AND(E20="Above Average",F20="Below Average"),"Q3",AND(E20="Above Average",F20="Above Average"),"Q2",AND(E20="Below Average",F20="Above Average"),"Q1",AND(E20="Below Average",F20="Below Average"),"Q4")</f>
        <v>Q3</v>
      </c>
      <c r="H20" s="86" cm="1">
        <f t="array" ref="H20">_xlfn.IFS(G20="Q1",1,G20="Q2",2,G20="Q3",3,G20="Q4",4)</f>
        <v>3</v>
      </c>
      <c r="J20" s="64" t="s">
        <v>20</v>
      </c>
      <c r="K20" s="52">
        <v>6.8515443800000006E-2</v>
      </c>
      <c r="L20" s="52">
        <v>0.57699999999999996</v>
      </c>
      <c r="M20" s="47" t="str">
        <f t="shared" si="0"/>
        <v>Below Average</v>
      </c>
      <c r="N20" s="47" t="str">
        <f t="shared" si="3"/>
        <v>Above Average</v>
      </c>
      <c r="O20" s="75" t="str" cm="1">
        <f t="array" ref="O20">_xlfn.IFS(AND(M20="Above Average",N20="Below Average"),"Q3",AND(M20="Above Average",N20="Above Average"),"Q2",AND(M20="Below Average",N20="Above Average"),"Q1",AND(M20="Below Average",N20="Below Average"),"Q4")</f>
        <v>Q1</v>
      </c>
      <c r="P20" s="88" cm="1">
        <f t="array" ref="P20">_xlfn.IFS(O20="Q1",1,O20="Q2",2,O20="Q3",3,O20="Q4",4)</f>
        <v>1</v>
      </c>
      <c r="R20" t="s">
        <v>18</v>
      </c>
      <c r="S20" t="s">
        <v>156</v>
      </c>
      <c r="T20">
        <v>9.5915584600000006E-2</v>
      </c>
      <c r="U20">
        <v>0.487577741763977</v>
      </c>
      <c r="AA20" s="64" t="s">
        <v>20</v>
      </c>
      <c r="AH20" s="64" t="s">
        <v>20</v>
      </c>
    </row>
    <row r="21" spans="1:34" x14ac:dyDescent="0.35">
      <c r="A21" s="64" t="s">
        <v>21</v>
      </c>
      <c r="B21" s="65" t="s">
        <v>160</v>
      </c>
      <c r="C21" s="77">
        <v>4.5119996321234597</v>
      </c>
      <c r="D21" s="77">
        <v>3.096666017972511</v>
      </c>
      <c r="E21" s="47" t="str">
        <f t="shared" si="1"/>
        <v>Below Average</v>
      </c>
      <c r="F21" s="47" t="str">
        <f t="shared" si="2"/>
        <v>Below Average</v>
      </c>
      <c r="G21" s="75" t="str" cm="1">
        <f t="array" ref="G21">_xlfn.IFS(AND(E21="Above Average",F21="Below Average"),"Q3",AND(E21="Above Average",F21="Above Average"),"Q2",AND(E21="Below Average",F21="Above Average"),"Q1",AND(E21="Below Average",F21="Below Average"),"Q4")</f>
        <v>Q4</v>
      </c>
      <c r="H21" s="90" cm="1">
        <f t="array" ref="H21">_xlfn.IFS(G21="Q1",1,G21="Q2",2,G21="Q3",3,G21="Q4",4)</f>
        <v>4</v>
      </c>
      <c r="J21" s="64" t="s">
        <v>21</v>
      </c>
      <c r="K21" s="52">
        <v>6.1485252399999996E-2</v>
      </c>
      <c r="L21" s="52">
        <v>0.391998679499238</v>
      </c>
      <c r="M21" s="47" t="str">
        <f t="shared" si="0"/>
        <v>Below Average</v>
      </c>
      <c r="N21" s="47" t="str">
        <f t="shared" si="3"/>
        <v>Below Average</v>
      </c>
      <c r="O21" s="75" t="str" cm="1">
        <f t="array" ref="O21">_xlfn.IFS(AND(M21="Above Average",N21="Below Average"),"Q3",AND(M21="Above Average",N21="Above Average"),"Q2",AND(M21="Below Average",N21="Above Average"),"Q1",AND(M21="Below Average",N21="Below Average"),"Q4")</f>
        <v>Q4</v>
      </c>
      <c r="P21" s="90" cm="1">
        <f t="array" ref="P21">_xlfn.IFS(O21="Q1",1,O21="Q2",2,O21="Q3",3,O21="Q4",4)</f>
        <v>4</v>
      </c>
      <c r="R21" t="s">
        <v>157</v>
      </c>
      <c r="S21" t="s">
        <v>158</v>
      </c>
      <c r="T21">
        <v>5.4796643300000003E-2</v>
      </c>
      <c r="U21">
        <v>0.170669454827377</v>
      </c>
      <c r="AA21" s="64" t="s">
        <v>21</v>
      </c>
      <c r="AH21" s="64" t="s">
        <v>21</v>
      </c>
    </row>
    <row r="22" spans="1:34" x14ac:dyDescent="0.35">
      <c r="A22" s="64" t="s">
        <v>22</v>
      </c>
      <c r="B22" s="65" t="s">
        <v>161</v>
      </c>
      <c r="C22" s="77">
        <v>12.380872332200333</v>
      </c>
      <c r="D22" s="77">
        <v>22.857935830441416</v>
      </c>
      <c r="E22" s="47" t="str">
        <f t="shared" si="1"/>
        <v>Below Average</v>
      </c>
      <c r="F22" s="47" t="str">
        <f t="shared" si="2"/>
        <v>Below Average</v>
      </c>
      <c r="G22" s="75" t="str" cm="1">
        <f t="array" ref="G22">_xlfn.IFS(AND(E22="Above Average",F22="Below Average"),"Q3",AND(E22="Above Average",F22="Above Average"),"Q2",AND(E22="Below Average",F22="Above Average"),"Q1",AND(E22="Below Average",F22="Below Average"),"Q4")</f>
        <v>Q4</v>
      </c>
      <c r="H22" s="90" cm="1">
        <f t="array" ref="H22">_xlfn.IFS(G22="Q1",1,G22="Q2",2,G22="Q3",3,G22="Q4",4)</f>
        <v>4</v>
      </c>
      <c r="J22" s="64" t="s">
        <v>22</v>
      </c>
      <c r="K22" s="52">
        <v>2.7522828600000004E-2</v>
      </c>
      <c r="L22" s="52">
        <v>0.473026044369111</v>
      </c>
      <c r="M22" s="47" t="str">
        <f t="shared" si="0"/>
        <v>Below Average</v>
      </c>
      <c r="N22" s="47" t="str">
        <f t="shared" si="3"/>
        <v>Above Average</v>
      </c>
      <c r="O22" s="75" t="str" cm="1">
        <f t="array" ref="O22">_xlfn.IFS(AND(M22="Above Average",N22="Below Average"),"Q3",AND(M22="Above Average",N22="Above Average"),"Q2",AND(M22="Below Average",N22="Above Average"),"Q1",AND(M22="Below Average",N22="Below Average"),"Q4")</f>
        <v>Q1</v>
      </c>
      <c r="P22" s="88" cm="1">
        <f t="array" ref="P22">_xlfn.IFS(O22="Q1",1,O22="Q2",2,O22="Q3",3,O22="Q4",4)</f>
        <v>1</v>
      </c>
      <c r="R22" t="s">
        <v>20</v>
      </c>
      <c r="S22" t="s">
        <v>159</v>
      </c>
      <c r="T22">
        <v>6.8515443800000006E-2</v>
      </c>
      <c r="U22">
        <v>0.57699999999999996</v>
      </c>
      <c r="AA22" s="64" t="s">
        <v>22</v>
      </c>
      <c r="AH22" s="64" t="s">
        <v>22</v>
      </c>
    </row>
    <row r="23" spans="1:34" x14ac:dyDescent="0.35">
      <c r="A23" s="64" t="s">
        <v>23</v>
      </c>
      <c r="B23" s="65" t="s">
        <v>162</v>
      </c>
      <c r="C23" s="77">
        <v>22.689931885967603</v>
      </c>
      <c r="D23" s="77">
        <v>75.215601965601962</v>
      </c>
      <c r="E23" s="47" t="str">
        <f t="shared" si="1"/>
        <v>Below Average</v>
      </c>
      <c r="F23" s="47" t="str">
        <f t="shared" si="2"/>
        <v>Above Average</v>
      </c>
      <c r="G23" s="75" t="str" cm="1">
        <f t="array" ref="G23">_xlfn.IFS(AND(E23="Above Average",F23="Below Average"),"Q3",AND(E23="Above Average",F23="Above Average"),"Q2",AND(E23="Below Average",F23="Above Average"),"Q1",AND(E23="Below Average",F23="Below Average"),"Q4")</f>
        <v>Q1</v>
      </c>
      <c r="H23" s="88" cm="1">
        <f t="array" ref="H23">_xlfn.IFS(G23="Q1",1,G23="Q2",2,G23="Q3",3,G23="Q4",4)</f>
        <v>1</v>
      </c>
      <c r="J23" s="64" t="s">
        <v>23</v>
      </c>
      <c r="K23" s="52">
        <v>8.2324161500000007E-2</v>
      </c>
      <c r="L23" s="52">
        <v>0.437</v>
      </c>
      <c r="M23" s="47" t="str">
        <f t="shared" si="0"/>
        <v>Above Average</v>
      </c>
      <c r="N23" s="47" t="str">
        <f t="shared" si="3"/>
        <v>Above Average</v>
      </c>
      <c r="O23" s="75" t="str" cm="1">
        <f t="array" ref="O23">_xlfn.IFS(AND(M23="Above Average",N23="Below Average"),"Q3",AND(M23="Above Average",N23="Above Average"),"Q2",AND(M23="Below Average",N23="Above Average"),"Q1",AND(M23="Below Average",N23="Below Average"),"Q4")</f>
        <v>Q2</v>
      </c>
      <c r="P23" s="89" cm="1">
        <f t="array" ref="P23">_xlfn.IFS(O23="Q1",1,O23="Q2",2,O23="Q3",3,O23="Q4",4)</f>
        <v>2</v>
      </c>
      <c r="R23" t="s">
        <v>21</v>
      </c>
      <c r="S23" t="s">
        <v>160</v>
      </c>
      <c r="T23">
        <v>6.1485252399999996E-2</v>
      </c>
      <c r="U23">
        <v>0.391998679499238</v>
      </c>
      <c r="AA23" s="64" t="s">
        <v>23</v>
      </c>
      <c r="AH23" s="64" t="s">
        <v>23</v>
      </c>
    </row>
    <row r="24" spans="1:34" x14ac:dyDescent="0.35">
      <c r="A24" s="64" t="s">
        <v>24</v>
      </c>
      <c r="B24" s="65" t="s">
        <v>163</v>
      </c>
      <c r="C24" s="77">
        <v>19.737356151637165</v>
      </c>
      <c r="D24" s="77">
        <v>4.6148174783924176</v>
      </c>
      <c r="E24" s="47" t="str">
        <f t="shared" si="1"/>
        <v>Below Average</v>
      </c>
      <c r="F24" s="47" t="str">
        <f t="shared" si="2"/>
        <v>Below Average</v>
      </c>
      <c r="G24" s="75" t="str" cm="1">
        <f t="array" ref="G24">_xlfn.IFS(AND(E24="Above Average",F24="Below Average"),"Q3",AND(E24="Above Average",F24="Above Average"),"Q2",AND(E24="Below Average",F24="Above Average"),"Q1",AND(E24="Below Average",F24="Below Average"),"Q4")</f>
        <v>Q4</v>
      </c>
      <c r="H24" s="90" cm="1">
        <f t="array" ref="H24">_xlfn.IFS(G24="Q1",1,G24="Q2",2,G24="Q3",3,G24="Q4",4)</f>
        <v>4</v>
      </c>
      <c r="J24" s="64" t="s">
        <v>24</v>
      </c>
      <c r="K24" s="52">
        <v>0.1107517719</v>
      </c>
      <c r="L24" s="52">
        <v>0.2407</v>
      </c>
      <c r="M24" s="47" t="str">
        <f t="shared" si="0"/>
        <v>Above Average</v>
      </c>
      <c r="N24" s="47" t="str">
        <f t="shared" si="3"/>
        <v>Below Average</v>
      </c>
      <c r="O24" s="75" t="str" cm="1">
        <f t="array" ref="O24">_xlfn.IFS(AND(M24="Above Average",N24="Below Average"),"Q3",AND(M24="Above Average",N24="Above Average"),"Q2",AND(M24="Below Average",N24="Above Average"),"Q1",AND(M24="Below Average",N24="Below Average"),"Q4")</f>
        <v>Q3</v>
      </c>
      <c r="P24" s="86" cm="1">
        <f t="array" ref="P24">_xlfn.IFS(O24="Q1",1,O24="Q2",2,O24="Q3",3,O24="Q4",4)</f>
        <v>3</v>
      </c>
      <c r="R24" t="s">
        <v>22</v>
      </c>
      <c r="S24" t="s">
        <v>161</v>
      </c>
      <c r="T24">
        <v>2.7522828600000004E-2</v>
      </c>
      <c r="U24">
        <v>0.473026044369111</v>
      </c>
      <c r="AA24" s="64" t="s">
        <v>24</v>
      </c>
      <c r="AH24" s="64" t="s">
        <v>24</v>
      </c>
    </row>
    <row r="25" spans="1:34" x14ac:dyDescent="0.35">
      <c r="A25" s="64" t="s">
        <v>25</v>
      </c>
      <c r="B25" s="65" t="s">
        <v>164</v>
      </c>
      <c r="C25" s="77">
        <v>12.006604382306818</v>
      </c>
      <c r="D25" s="77">
        <v>58.454296612863345</v>
      </c>
      <c r="E25" s="47" t="str">
        <f t="shared" si="1"/>
        <v>Below Average</v>
      </c>
      <c r="F25" s="47" t="str">
        <f t="shared" si="2"/>
        <v>Above Average</v>
      </c>
      <c r="G25" s="75" t="str" cm="1">
        <f t="array" ref="G25">_xlfn.IFS(AND(E25="Above Average",F25="Below Average"),"Q3",AND(E25="Above Average",F25="Above Average"),"Q2",AND(E25="Below Average",F25="Above Average"),"Q1",AND(E25="Below Average",F25="Below Average"),"Q4")</f>
        <v>Q1</v>
      </c>
      <c r="H25" s="88" cm="1">
        <f t="array" ref="H25">_xlfn.IFS(G25="Q1",1,G25="Q2",2,G25="Q3",3,G25="Q4",4)</f>
        <v>1</v>
      </c>
      <c r="J25" s="64" t="s">
        <v>25</v>
      </c>
      <c r="K25" s="52">
        <v>4.5191278500000001E-2</v>
      </c>
      <c r="L25" s="52">
        <v>0.71079999999999999</v>
      </c>
      <c r="M25" s="47" t="str">
        <f t="shared" si="0"/>
        <v>Below Average</v>
      </c>
      <c r="N25" s="47" t="str">
        <f t="shared" si="3"/>
        <v>Above Average</v>
      </c>
      <c r="O25" s="75" t="str" cm="1">
        <f t="array" ref="O25">_xlfn.IFS(AND(M25="Above Average",N25="Below Average"),"Q3",AND(M25="Above Average",N25="Above Average"),"Q2",AND(M25="Below Average",N25="Above Average"),"Q1",AND(M25="Below Average",N25="Below Average"),"Q4")</f>
        <v>Q1</v>
      </c>
      <c r="P25" s="88" cm="1">
        <f t="array" ref="P25">_xlfn.IFS(O25="Q1",1,O25="Q2",2,O25="Q3",3,O25="Q4",4)</f>
        <v>1</v>
      </c>
      <c r="R25" t="s">
        <v>23</v>
      </c>
      <c r="S25" t="s">
        <v>162</v>
      </c>
      <c r="T25">
        <v>8.2324161500000007E-2</v>
      </c>
      <c r="U25">
        <v>0.437</v>
      </c>
      <c r="AA25" s="64" t="s">
        <v>25</v>
      </c>
      <c r="AH25" s="64" t="s">
        <v>25</v>
      </c>
    </row>
    <row r="26" spans="1:34" x14ac:dyDescent="0.35">
      <c r="A26" s="64" t="s">
        <v>26</v>
      </c>
      <c r="B26" s="65" t="s">
        <v>165</v>
      </c>
      <c r="C26" s="77">
        <v>4.654914605753655</v>
      </c>
      <c r="D26" s="77">
        <v>3.4278711484593836</v>
      </c>
      <c r="E26" s="47" t="str">
        <f t="shared" si="1"/>
        <v>Below Average</v>
      </c>
      <c r="F26" s="47" t="str">
        <f t="shared" si="2"/>
        <v>Below Average</v>
      </c>
      <c r="G26" s="75" t="str" cm="1">
        <f t="array" ref="G26">_xlfn.IFS(AND(E26="Above Average",F26="Below Average"),"Q3",AND(E26="Above Average",F26="Above Average"),"Q2",AND(E26="Below Average",F26="Above Average"),"Q1",AND(E26="Below Average",F26="Below Average"),"Q4")</f>
        <v>Q4</v>
      </c>
      <c r="H26" s="90" cm="1">
        <f t="array" ref="H26">_xlfn.IFS(G26="Q1",1,G26="Q2",2,G26="Q3",3,G26="Q4",4)</f>
        <v>4</v>
      </c>
      <c r="J26" s="64" t="s">
        <v>26</v>
      </c>
      <c r="K26" s="52">
        <v>8.78966999E-2</v>
      </c>
      <c r="L26" s="52">
        <v>0.45</v>
      </c>
      <c r="M26" s="47" t="str">
        <f t="shared" si="0"/>
        <v>Above Average</v>
      </c>
      <c r="N26" s="47" t="str">
        <f t="shared" si="3"/>
        <v>Above Average</v>
      </c>
      <c r="O26" s="75" t="str" cm="1">
        <f t="array" ref="O26">_xlfn.IFS(AND(M26="Above Average",N26="Below Average"),"Q3",AND(M26="Above Average",N26="Above Average"),"Q2",AND(M26="Below Average",N26="Above Average"),"Q1",AND(M26="Below Average",N26="Below Average"),"Q4")</f>
        <v>Q2</v>
      </c>
      <c r="P26" s="89" cm="1">
        <f t="array" ref="P26">_xlfn.IFS(O26="Q1",1,O26="Q2",2,O26="Q3",3,O26="Q4",4)</f>
        <v>2</v>
      </c>
      <c r="R26" t="s">
        <v>24</v>
      </c>
      <c r="S26" t="s">
        <v>163</v>
      </c>
      <c r="T26">
        <v>0.1107517719</v>
      </c>
      <c r="U26">
        <v>0.2407</v>
      </c>
      <c r="AA26" s="64" t="s">
        <v>26</v>
      </c>
      <c r="AH26" s="64" t="s">
        <v>26</v>
      </c>
    </row>
    <row r="27" spans="1:34" x14ac:dyDescent="0.35">
      <c r="A27" s="64" t="s">
        <v>27</v>
      </c>
      <c r="B27" s="65" t="s">
        <v>166</v>
      </c>
      <c r="C27" s="77">
        <v>5.5434395125336913</v>
      </c>
      <c r="D27" s="77">
        <v>21.348430688993169</v>
      </c>
      <c r="E27" s="47" t="str">
        <f t="shared" si="1"/>
        <v>Below Average</v>
      </c>
      <c r="F27" s="47" t="str">
        <f t="shared" si="2"/>
        <v>Below Average</v>
      </c>
      <c r="G27" s="75" t="str" cm="1">
        <f t="array" ref="G27">_xlfn.IFS(AND(E27="Above Average",F27="Below Average"),"Q3",AND(E27="Above Average",F27="Above Average"),"Q2",AND(E27="Below Average",F27="Above Average"),"Q1",AND(E27="Below Average",F27="Below Average"),"Q4")</f>
        <v>Q4</v>
      </c>
      <c r="H27" s="90" cm="1">
        <f t="array" ref="H27">_xlfn.IFS(G27="Q1",1,G27="Q2",2,G27="Q3",3,G27="Q4",4)</f>
        <v>4</v>
      </c>
      <c r="J27" s="64" t="s">
        <v>27</v>
      </c>
      <c r="K27" s="52">
        <v>8.6677389100000002E-2</v>
      </c>
      <c r="L27" s="52">
        <v>0.116668416553577</v>
      </c>
      <c r="M27" s="47" t="str">
        <f t="shared" si="0"/>
        <v>Above Average</v>
      </c>
      <c r="N27" s="47" t="str">
        <f t="shared" si="3"/>
        <v>Below Average</v>
      </c>
      <c r="O27" s="75" t="str" cm="1">
        <f t="array" ref="O27">_xlfn.IFS(AND(M27="Above Average",N27="Below Average"),"Q3",AND(M27="Above Average",N27="Above Average"),"Q2",AND(M27="Below Average",N27="Above Average"),"Q1",AND(M27="Below Average",N27="Below Average"),"Q4")</f>
        <v>Q3</v>
      </c>
      <c r="P27" s="86" cm="1">
        <f t="array" ref="P27">_xlfn.IFS(O27="Q1",1,O27="Q2",2,O27="Q3",3,O27="Q4",4)</f>
        <v>3</v>
      </c>
      <c r="R27" t="s">
        <v>25</v>
      </c>
      <c r="S27" t="s">
        <v>164</v>
      </c>
      <c r="T27">
        <v>4.5191278500000001E-2</v>
      </c>
      <c r="U27">
        <v>0.71079999999999999</v>
      </c>
      <c r="AA27" s="64" t="s">
        <v>27</v>
      </c>
      <c r="AH27" s="64" t="s">
        <v>27</v>
      </c>
    </row>
    <row r="28" spans="1:34" x14ac:dyDescent="0.35">
      <c r="A28" s="64" t="s">
        <v>28</v>
      </c>
      <c r="B28" s="65" t="s">
        <v>167</v>
      </c>
      <c r="C28" s="77">
        <v>5.5984926364175651</v>
      </c>
      <c r="D28" s="77">
        <v>22.857935830441416</v>
      </c>
      <c r="E28" s="47" t="str">
        <f t="shared" si="1"/>
        <v>Below Average</v>
      </c>
      <c r="F28" s="47" t="str">
        <f t="shared" si="2"/>
        <v>Below Average</v>
      </c>
      <c r="G28" s="75" t="str" cm="1">
        <f t="array" ref="G28">_xlfn.IFS(AND(E28="Above Average",F28="Below Average"),"Q3",AND(E28="Above Average",F28="Above Average"),"Q2",AND(E28="Below Average",F28="Above Average"),"Q1",AND(E28="Below Average",F28="Below Average"),"Q4")</f>
        <v>Q4</v>
      </c>
      <c r="H28" s="90" cm="1">
        <f t="array" ref="H28">_xlfn.IFS(G28="Q1",1,G28="Q2",2,G28="Q3",3,G28="Q4",4)</f>
        <v>4</v>
      </c>
      <c r="J28" s="64" t="s">
        <v>28</v>
      </c>
      <c r="K28" s="52">
        <v>5.6687855699999998E-2</v>
      </c>
      <c r="L28" s="52">
        <v>0.38900000000000001</v>
      </c>
      <c r="M28" s="47" t="str">
        <f t="shared" si="0"/>
        <v>Below Average</v>
      </c>
      <c r="N28" s="47" t="str">
        <f t="shared" si="3"/>
        <v>Below Average</v>
      </c>
      <c r="O28" s="75" t="str" cm="1">
        <f t="array" ref="O28">_xlfn.IFS(AND(M28="Above Average",N28="Below Average"),"Q3",AND(M28="Above Average",N28="Above Average"),"Q2",AND(M28="Below Average",N28="Above Average"),"Q1",AND(M28="Below Average",N28="Below Average"),"Q4")</f>
        <v>Q4</v>
      </c>
      <c r="P28" s="90" cm="1">
        <f t="array" ref="P28">_xlfn.IFS(O28="Q1",1,O28="Q2",2,O28="Q3",3,O28="Q4",4)</f>
        <v>4</v>
      </c>
      <c r="R28" t="s">
        <v>26</v>
      </c>
      <c r="S28" t="s">
        <v>165</v>
      </c>
      <c r="T28">
        <v>8.78966999E-2</v>
      </c>
      <c r="U28">
        <v>0.45</v>
      </c>
      <c r="AA28" s="64" t="s">
        <v>28</v>
      </c>
      <c r="AH28" s="64" t="s">
        <v>28</v>
      </c>
    </row>
    <row r="29" spans="1:34" x14ac:dyDescent="0.35">
      <c r="A29" s="64" t="s">
        <v>29</v>
      </c>
      <c r="B29" s="65" t="s">
        <v>168</v>
      </c>
      <c r="C29" s="77">
        <v>19.247819150386611</v>
      </c>
      <c r="D29" s="77">
        <v>68.81446632132112</v>
      </c>
      <c r="E29" s="47" t="str">
        <f t="shared" si="1"/>
        <v>Below Average</v>
      </c>
      <c r="F29" s="47" t="str">
        <f t="shared" si="2"/>
        <v>Above Average</v>
      </c>
      <c r="G29" s="75" t="str" cm="1">
        <f t="array" ref="G29">_xlfn.IFS(AND(E29="Above Average",F29="Below Average"),"Q3",AND(E29="Above Average",F29="Above Average"),"Q2",AND(E29="Below Average",F29="Above Average"),"Q1",AND(E29="Below Average",F29="Below Average"),"Q4")</f>
        <v>Q1</v>
      </c>
      <c r="H29" s="88" cm="1">
        <f t="array" ref="H29">_xlfn.IFS(G29="Q1",1,G29="Q2",2,G29="Q3",3,G29="Q4",4)</f>
        <v>1</v>
      </c>
      <c r="J29" s="64" t="s">
        <v>29</v>
      </c>
      <c r="K29" s="52">
        <v>6.9763922699999995E-2</v>
      </c>
      <c r="L29" s="52">
        <v>0.35207721704356598</v>
      </c>
      <c r="M29" s="47" t="str">
        <f t="shared" si="0"/>
        <v>Below Average</v>
      </c>
      <c r="N29" s="47" t="str">
        <f t="shared" si="3"/>
        <v>Below Average</v>
      </c>
      <c r="O29" s="75" t="str" cm="1">
        <f t="array" ref="O29">_xlfn.IFS(AND(M29="Above Average",N29="Below Average"),"Q3",AND(M29="Above Average",N29="Above Average"),"Q2",AND(M29="Below Average",N29="Above Average"),"Q1",AND(M29="Below Average",N29="Below Average"),"Q4")</f>
        <v>Q4</v>
      </c>
      <c r="P29" s="90" cm="1">
        <f t="array" ref="P29">_xlfn.IFS(O29="Q1",1,O29="Q2",2,O29="Q3",3,O29="Q4",4)</f>
        <v>4</v>
      </c>
      <c r="R29" t="s">
        <v>27</v>
      </c>
      <c r="S29" t="s">
        <v>166</v>
      </c>
      <c r="T29">
        <v>8.6677389100000002E-2</v>
      </c>
      <c r="U29">
        <v>0.116668416553577</v>
      </c>
      <c r="AA29" s="64" t="s">
        <v>29</v>
      </c>
      <c r="AH29" s="64" t="s">
        <v>29</v>
      </c>
    </row>
    <row r="30" spans="1:34" x14ac:dyDescent="0.35">
      <c r="A30" s="64" t="s">
        <v>30</v>
      </c>
      <c r="B30" s="65" t="s">
        <v>169</v>
      </c>
      <c r="C30" s="77">
        <v>53.864572698360966</v>
      </c>
      <c r="D30" s="77">
        <v>10.597255752844539</v>
      </c>
      <c r="E30" s="47" t="str">
        <f t="shared" si="1"/>
        <v>Above Average</v>
      </c>
      <c r="F30" s="47" t="str">
        <f t="shared" si="2"/>
        <v>Below Average</v>
      </c>
      <c r="G30" s="75" t="str" cm="1">
        <f t="array" ref="G30">_xlfn.IFS(AND(E30="Above Average",F30="Below Average"),"Q3",AND(E30="Above Average",F30="Above Average"),"Q2",AND(E30="Below Average",F30="Above Average"),"Q1",AND(E30="Below Average",F30="Below Average"),"Q4")</f>
        <v>Q3</v>
      </c>
      <c r="H30" s="86" cm="1">
        <f t="array" ref="H30">_xlfn.IFS(G30="Q1",1,G30="Q2",2,G30="Q3",3,G30="Q4",4)</f>
        <v>3</v>
      </c>
      <c r="J30" s="64" t="s">
        <v>30</v>
      </c>
      <c r="K30" s="52">
        <v>0.102022686</v>
      </c>
      <c r="L30" s="52">
        <v>0.55969999999999998</v>
      </c>
      <c r="M30" s="47" t="str">
        <f t="shared" si="0"/>
        <v>Above Average</v>
      </c>
      <c r="N30" s="47" t="str">
        <f t="shared" si="3"/>
        <v>Above Average</v>
      </c>
      <c r="O30" s="75" t="str" cm="1">
        <f t="array" ref="O30">_xlfn.IFS(AND(M30="Above Average",N30="Below Average"),"Q3",AND(M30="Above Average",N30="Above Average"),"Q2",AND(M30="Below Average",N30="Above Average"),"Q1",AND(M30="Below Average",N30="Below Average"),"Q4")</f>
        <v>Q2</v>
      </c>
      <c r="P30" s="89" cm="1">
        <f t="array" ref="P30">_xlfn.IFS(O30="Q1",1,O30="Q2",2,O30="Q3",3,O30="Q4",4)</f>
        <v>2</v>
      </c>
      <c r="R30" t="s">
        <v>28</v>
      </c>
      <c r="S30" t="s">
        <v>167</v>
      </c>
      <c r="T30">
        <v>5.6687855699999998E-2</v>
      </c>
      <c r="U30">
        <v>0.38900000000000001</v>
      </c>
      <c r="AA30" s="64" t="s">
        <v>30</v>
      </c>
      <c r="AH30" s="64" t="s">
        <v>30</v>
      </c>
    </row>
    <row r="31" spans="1:34" x14ac:dyDescent="0.35">
      <c r="A31" s="64" t="s">
        <v>31</v>
      </c>
      <c r="B31" s="65" t="s">
        <v>170</v>
      </c>
      <c r="C31" s="77">
        <v>11.001373890249562</v>
      </c>
      <c r="D31" s="77">
        <v>16.359542530378842</v>
      </c>
      <c r="E31" s="47" t="str">
        <f t="shared" si="1"/>
        <v>Below Average</v>
      </c>
      <c r="F31" s="47" t="str">
        <f t="shared" si="2"/>
        <v>Below Average</v>
      </c>
      <c r="G31" s="75" t="str" cm="1">
        <f t="array" ref="G31">_xlfn.IFS(AND(E31="Above Average",F31="Below Average"),"Q3",AND(E31="Above Average",F31="Above Average"),"Q2",AND(E31="Below Average",F31="Above Average"),"Q1",AND(E31="Below Average",F31="Below Average"),"Q4")</f>
        <v>Q4</v>
      </c>
      <c r="H31" s="90" cm="1">
        <f t="array" ref="H31">_xlfn.IFS(G31="Q1",1,G31="Q2",2,G31="Q3",3,G31="Q4",4)</f>
        <v>4</v>
      </c>
      <c r="J31" s="64" t="s">
        <v>31</v>
      </c>
      <c r="K31" s="52">
        <v>7.2900424000000005E-2</v>
      </c>
      <c r="L31" s="52">
        <v>0.61</v>
      </c>
      <c r="M31" s="47" t="str">
        <f t="shared" si="0"/>
        <v>Above Average</v>
      </c>
      <c r="N31" s="47" t="str">
        <f t="shared" si="3"/>
        <v>Above Average</v>
      </c>
      <c r="O31" s="75" t="str" cm="1">
        <f t="array" ref="O31">_xlfn.IFS(AND(M31="Above Average",N31="Below Average"),"Q3",AND(M31="Above Average",N31="Above Average"),"Q2",AND(M31="Below Average",N31="Above Average"),"Q1",AND(M31="Below Average",N31="Below Average"),"Q4")</f>
        <v>Q2</v>
      </c>
      <c r="P31" s="89" cm="1">
        <f t="array" ref="P31">_xlfn.IFS(O31="Q1",1,O31="Q2",2,O31="Q3",3,O31="Q4",4)</f>
        <v>2</v>
      </c>
      <c r="R31" t="s">
        <v>29</v>
      </c>
      <c r="S31" t="s">
        <v>168</v>
      </c>
      <c r="T31">
        <v>6.9763922699999995E-2</v>
      </c>
      <c r="U31">
        <v>0.35207721704356598</v>
      </c>
      <c r="AA31" s="64" t="s">
        <v>31</v>
      </c>
      <c r="AH31" s="64" t="s">
        <v>31</v>
      </c>
    </row>
    <row r="32" spans="1:34" x14ac:dyDescent="0.35">
      <c r="A32" s="64" t="s">
        <v>32</v>
      </c>
      <c r="B32" s="65" t="s">
        <v>171</v>
      </c>
      <c r="C32" s="77">
        <v>66.896135970779099</v>
      </c>
      <c r="D32" s="77">
        <v>25.415291442768822</v>
      </c>
      <c r="E32" s="47" t="str">
        <f t="shared" si="1"/>
        <v>Above Average</v>
      </c>
      <c r="F32" s="47" t="str">
        <f t="shared" si="2"/>
        <v>Above Average</v>
      </c>
      <c r="G32" s="75" t="str" cm="1">
        <f t="array" ref="G32">_xlfn.IFS(AND(E32="Above Average",F32="Below Average"),"Q3",AND(E32="Above Average",F32="Above Average"),"Q2",AND(E32="Below Average",F32="Above Average"),"Q1",AND(E32="Below Average",F32="Below Average"),"Q4")</f>
        <v>Q2</v>
      </c>
      <c r="H32" s="89" cm="1">
        <f t="array" ref="H32">_xlfn.IFS(G32="Q1",1,G32="Q2",2,G32="Q3",3,G32="Q4",4)</f>
        <v>2</v>
      </c>
      <c r="J32" s="64" t="s">
        <v>32</v>
      </c>
      <c r="K32" s="52">
        <v>0.10652340890000001</v>
      </c>
      <c r="L32" s="52">
        <v>0.4869</v>
      </c>
      <c r="M32" s="47" t="str">
        <f t="shared" si="0"/>
        <v>Above Average</v>
      </c>
      <c r="N32" s="47" t="str">
        <f t="shared" si="3"/>
        <v>Above Average</v>
      </c>
      <c r="O32" s="75" t="str" cm="1">
        <f t="array" ref="O32">_xlfn.IFS(AND(M32="Above Average",N32="Below Average"),"Q3",AND(M32="Above Average",N32="Above Average"),"Q2",AND(M32="Below Average",N32="Above Average"),"Q1",AND(M32="Below Average",N32="Below Average"),"Q4")</f>
        <v>Q2</v>
      </c>
      <c r="P32" s="89" cm="1">
        <f t="array" ref="P32">_xlfn.IFS(O32="Q1",1,O32="Q2",2,O32="Q3",3,O32="Q4",4)</f>
        <v>2</v>
      </c>
      <c r="R32" t="s">
        <v>30</v>
      </c>
      <c r="S32" t="s">
        <v>169</v>
      </c>
      <c r="T32">
        <v>0.102022686</v>
      </c>
      <c r="U32">
        <v>0.55969999999999998</v>
      </c>
      <c r="AA32" s="64" t="s">
        <v>32</v>
      </c>
      <c r="AH32" s="64" t="s">
        <v>32</v>
      </c>
    </row>
    <row r="33" spans="1:34" x14ac:dyDescent="0.35">
      <c r="A33" s="64" t="s">
        <v>33</v>
      </c>
      <c r="B33" s="65" t="s">
        <v>172</v>
      </c>
      <c r="C33" s="77">
        <v>2.3259582036922208</v>
      </c>
      <c r="D33" s="77">
        <v>7.8083990631299782</v>
      </c>
      <c r="E33" s="47" t="str">
        <f t="shared" si="1"/>
        <v>Below Average</v>
      </c>
      <c r="F33" s="47" t="str">
        <f t="shared" si="2"/>
        <v>Below Average</v>
      </c>
      <c r="G33" s="75" t="str" cm="1">
        <f t="array" ref="G33">_xlfn.IFS(AND(E33="Above Average",F33="Below Average"),"Q3",AND(E33="Above Average",F33="Above Average"),"Q2",AND(E33="Below Average",F33="Above Average"),"Q1",AND(E33="Below Average",F33="Below Average"),"Q4")</f>
        <v>Q4</v>
      </c>
      <c r="H33" s="90" cm="1">
        <f t="array" ref="H33">_xlfn.IFS(G33="Q1",1,G33="Q2",2,G33="Q3",3,G33="Q4",4)</f>
        <v>4</v>
      </c>
      <c r="J33" s="64" t="s">
        <v>33</v>
      </c>
      <c r="K33" s="52">
        <v>0.1023069668</v>
      </c>
      <c r="L33" s="52">
        <v>0.17051779817360399</v>
      </c>
      <c r="M33" s="47" t="str">
        <f t="shared" si="0"/>
        <v>Above Average</v>
      </c>
      <c r="N33" s="47" t="str">
        <f t="shared" si="3"/>
        <v>Below Average</v>
      </c>
      <c r="O33" s="75" t="str" cm="1">
        <f t="array" ref="O33">_xlfn.IFS(AND(M33="Above Average",N33="Below Average"),"Q3",AND(M33="Above Average",N33="Above Average"),"Q2",AND(M33="Below Average",N33="Above Average"),"Q1",AND(M33="Below Average",N33="Below Average"),"Q4")</f>
        <v>Q3</v>
      </c>
      <c r="P33" s="86" cm="1">
        <f t="array" ref="P33">_xlfn.IFS(O33="Q1",1,O33="Q2",2,O33="Q3",3,O33="Q4",4)</f>
        <v>3</v>
      </c>
      <c r="R33" t="s">
        <v>31</v>
      </c>
      <c r="S33" t="s">
        <v>170</v>
      </c>
      <c r="T33">
        <v>7.2900424000000005E-2</v>
      </c>
      <c r="U33">
        <v>0.61</v>
      </c>
      <c r="AA33" s="64" t="s">
        <v>33</v>
      </c>
      <c r="AH33" s="64" t="s">
        <v>33</v>
      </c>
    </row>
    <row r="34" spans="1:34" x14ac:dyDescent="0.35">
      <c r="A34" s="64" t="s">
        <v>34</v>
      </c>
      <c r="B34" s="65" t="s">
        <v>173</v>
      </c>
      <c r="C34" s="77">
        <v>20.758052766628868</v>
      </c>
      <c r="D34" s="77">
        <v>17.866783114992721</v>
      </c>
      <c r="E34" s="47" t="str">
        <f t="shared" si="1"/>
        <v>Below Average</v>
      </c>
      <c r="F34" s="47" t="str">
        <f t="shared" si="2"/>
        <v>Below Average</v>
      </c>
      <c r="G34" s="75" t="str" cm="1">
        <f t="array" ref="G34">_xlfn.IFS(AND(E34="Above Average",F34="Below Average"),"Q3",AND(E34="Above Average",F34="Above Average"),"Q2",AND(E34="Below Average",F34="Above Average"),"Q1",AND(E34="Below Average",F34="Below Average"),"Q4")</f>
        <v>Q4</v>
      </c>
      <c r="H34" s="90" cm="1">
        <f t="array" ref="H34">_xlfn.IFS(G34="Q1",1,G34="Q2",2,G34="Q3",3,G34="Q4",4)</f>
        <v>4</v>
      </c>
      <c r="J34" s="64" t="s">
        <v>34</v>
      </c>
      <c r="K34" s="52">
        <v>4.2245168700000002E-2</v>
      </c>
      <c r="L34" s="52">
        <v>0.66749999999999998</v>
      </c>
      <c r="M34" s="47" t="str">
        <f t="shared" si="0"/>
        <v>Below Average</v>
      </c>
      <c r="N34" s="47" t="str">
        <f t="shared" si="3"/>
        <v>Above Average</v>
      </c>
      <c r="O34" s="75" t="str" cm="1">
        <f t="array" ref="O34">_xlfn.IFS(AND(M34="Above Average",N34="Below Average"),"Q3",AND(M34="Above Average",N34="Above Average"),"Q2",AND(M34="Below Average",N34="Above Average"),"Q1",AND(M34="Below Average",N34="Below Average"),"Q4")</f>
        <v>Q1</v>
      </c>
      <c r="P34" s="88" cm="1">
        <f t="array" ref="P34">_xlfn.IFS(O34="Q1",1,O34="Q2",2,O34="Q3",3,O34="Q4",4)</f>
        <v>1</v>
      </c>
      <c r="R34" t="s">
        <v>32</v>
      </c>
      <c r="S34" t="s">
        <v>171</v>
      </c>
      <c r="T34">
        <v>0.10652340890000001</v>
      </c>
      <c r="U34">
        <v>0.4869</v>
      </c>
      <c r="AA34" s="64" t="s">
        <v>34</v>
      </c>
      <c r="AH34" s="64" t="s">
        <v>34</v>
      </c>
    </row>
    <row r="35" spans="1:34" x14ac:dyDescent="0.35">
      <c r="A35" s="64" t="s">
        <v>147</v>
      </c>
      <c r="B35" s="65" t="s">
        <v>148</v>
      </c>
      <c r="C35" s="77">
        <v>12.82557799981813</v>
      </c>
      <c r="D35" s="77">
        <v>55.125</v>
      </c>
      <c r="E35" s="47" t="str">
        <f t="shared" si="1"/>
        <v>Below Average</v>
      </c>
      <c r="F35" s="47" t="str">
        <f t="shared" si="2"/>
        <v>Above Average</v>
      </c>
      <c r="G35" s="75" t="str" cm="1">
        <f t="array" ref="G35">_xlfn.IFS(AND(E35="Above Average",F35="Below Average"),"Q3",AND(E35="Above Average",F35="Above Average"),"Q2",AND(E35="Below Average",F35="Above Average"),"Q1",AND(E35="Below Average",F35="Below Average"),"Q4")</f>
        <v>Q1</v>
      </c>
      <c r="H35" s="88" cm="1">
        <f t="array" ref="H35">_xlfn.IFS(G35="Q1",1,G35="Q2",2,G35="Q3",3,G35="Q4",4)</f>
        <v>1</v>
      </c>
      <c r="J35" s="64" t="s">
        <v>147</v>
      </c>
      <c r="K35" s="52">
        <v>8.2168407400000004E-2</v>
      </c>
      <c r="L35" s="52">
        <v>0.43066371754243699</v>
      </c>
      <c r="M35" s="47" t="str">
        <f t="shared" si="0"/>
        <v>Above Average</v>
      </c>
      <c r="N35" s="47" t="str">
        <f t="shared" si="3"/>
        <v>Above Average</v>
      </c>
      <c r="O35" s="75" t="str" cm="1">
        <f t="array" ref="O35">_xlfn.IFS(AND(M35="Above Average",N35="Below Average"),"Q3",AND(M35="Above Average",N35="Above Average"),"Q2",AND(M35="Below Average",N35="Above Average"),"Q1",AND(M35="Below Average",N35="Below Average"),"Q4")</f>
        <v>Q2</v>
      </c>
      <c r="P35" s="89" cm="1">
        <f t="array" ref="P35">_xlfn.IFS(O35="Q1",1,O35="Q2",2,O35="Q3",3,O35="Q4",4)</f>
        <v>2</v>
      </c>
      <c r="R35" t="s">
        <v>33</v>
      </c>
      <c r="S35" t="s">
        <v>172</v>
      </c>
      <c r="T35">
        <v>0.1023069668</v>
      </c>
      <c r="U35">
        <v>0.17051779817360399</v>
      </c>
      <c r="AA35" s="64" t="s">
        <v>147</v>
      </c>
      <c r="AH35" s="64" t="s">
        <v>147</v>
      </c>
    </row>
    <row r="36" spans="1:34" x14ac:dyDescent="0.35">
      <c r="A36" s="64" t="s">
        <v>35</v>
      </c>
      <c r="B36" s="65" t="s">
        <v>174</v>
      </c>
      <c r="C36" s="77">
        <v>12.440746230594545</v>
      </c>
      <c r="D36" s="77">
        <v>41.391365435291313</v>
      </c>
      <c r="E36" s="47" t="str">
        <f t="shared" si="1"/>
        <v>Below Average</v>
      </c>
      <c r="F36" s="47" t="str">
        <f t="shared" si="2"/>
        <v>Above Average</v>
      </c>
      <c r="G36" s="75" t="str" cm="1">
        <f t="array" ref="G36">_xlfn.IFS(AND(E36="Above Average",F36="Below Average"),"Q3",AND(E36="Above Average",F36="Above Average"),"Q2",AND(E36="Below Average",F36="Above Average"),"Q1",AND(E36="Below Average",F36="Below Average"),"Q4")</f>
        <v>Q1</v>
      </c>
      <c r="H36" s="88" cm="1">
        <f t="array" ref="H36">_xlfn.IFS(G36="Q1",1,G36="Q2",2,G36="Q3",3,G36="Q4",4)</f>
        <v>1</v>
      </c>
      <c r="J36" s="64" t="s">
        <v>35</v>
      </c>
      <c r="K36" s="52">
        <v>8.8827714899999993E-2</v>
      </c>
      <c r="L36" s="52">
        <v>7.4999999999999997E-2</v>
      </c>
      <c r="M36" s="47" t="str">
        <f t="shared" si="0"/>
        <v>Above Average</v>
      </c>
      <c r="N36" s="47" t="str">
        <f t="shared" si="3"/>
        <v>Below Average</v>
      </c>
      <c r="O36" s="75" t="str" cm="1">
        <f t="array" ref="O36">_xlfn.IFS(AND(M36="Above Average",N36="Below Average"),"Q3",AND(M36="Above Average",N36="Above Average"),"Q2",AND(M36="Below Average",N36="Above Average"),"Q1",AND(M36="Below Average",N36="Below Average"),"Q4")</f>
        <v>Q3</v>
      </c>
      <c r="P36" s="86" cm="1">
        <f t="array" ref="P36">_xlfn.IFS(O36="Q1",1,O36="Q2",2,O36="Q3",3,O36="Q4",4)</f>
        <v>3</v>
      </c>
      <c r="R36" t="s">
        <v>34</v>
      </c>
      <c r="S36" t="s">
        <v>173</v>
      </c>
      <c r="T36">
        <v>4.2245168700000002E-2</v>
      </c>
      <c r="U36">
        <v>0.66749999999999998</v>
      </c>
      <c r="AA36" s="64" t="s">
        <v>35</v>
      </c>
      <c r="AH36" s="64" t="s">
        <v>35</v>
      </c>
    </row>
    <row r="37" spans="1:34" x14ac:dyDescent="0.35">
      <c r="A37" s="64" t="s">
        <v>175</v>
      </c>
      <c r="B37" s="65" t="s">
        <v>176</v>
      </c>
      <c r="C37" s="77">
        <v>25.080738156916041</v>
      </c>
      <c r="D37" s="77">
        <v>22.857935830441416</v>
      </c>
      <c r="E37" s="47" t="str">
        <f t="shared" si="1"/>
        <v>Above Average</v>
      </c>
      <c r="F37" s="47" t="str">
        <f t="shared" si="2"/>
        <v>Below Average</v>
      </c>
      <c r="G37" s="75" t="str" cm="1">
        <f t="array" ref="G37">_xlfn.IFS(AND(E37="Above Average",F37="Below Average"),"Q3",AND(E37="Above Average",F37="Above Average"),"Q2",AND(E37="Below Average",F37="Above Average"),"Q1",AND(E37="Below Average",F37="Below Average"),"Q4")</f>
        <v>Q3</v>
      </c>
      <c r="H37" s="86" cm="1">
        <f t="array" ref="H37">_xlfn.IFS(G37="Q1",1,G37="Q2",2,G37="Q3",3,G37="Q4",4)</f>
        <v>3</v>
      </c>
      <c r="J37" s="64" t="s">
        <v>175</v>
      </c>
      <c r="K37" s="52">
        <v>0.10762632370000001</v>
      </c>
      <c r="L37" s="52">
        <v>0.477408095311257</v>
      </c>
      <c r="M37" s="47" t="str">
        <f t="shared" si="0"/>
        <v>Above Average</v>
      </c>
      <c r="N37" s="47" t="str">
        <f t="shared" si="3"/>
        <v>Above Average</v>
      </c>
      <c r="O37" s="75" t="str" cm="1">
        <f t="array" ref="O37">_xlfn.IFS(AND(M37="Above Average",N37="Below Average"),"Q3",AND(M37="Above Average",N37="Above Average"),"Q2",AND(M37="Below Average",N37="Above Average"),"Q1",AND(M37="Below Average",N37="Below Average"),"Q4")</f>
        <v>Q2</v>
      </c>
      <c r="P37" s="89" cm="1">
        <f t="array" ref="P37">_xlfn.IFS(O37="Q1",1,O37="Q2",2,O37="Q3",3,O37="Q4",4)</f>
        <v>2</v>
      </c>
      <c r="R37" t="s">
        <v>35</v>
      </c>
      <c r="S37" t="s">
        <v>174</v>
      </c>
      <c r="T37">
        <v>8.8827714899999993E-2</v>
      </c>
      <c r="U37">
        <v>7.4999999999999997E-2</v>
      </c>
      <c r="AA37" s="64" t="s">
        <v>175</v>
      </c>
      <c r="AH37" s="64" t="s">
        <v>175</v>
      </c>
    </row>
    <row r="38" spans="1:34" x14ac:dyDescent="0.35">
      <c r="A38" s="64" t="s">
        <v>37</v>
      </c>
      <c r="B38" s="65" t="s">
        <v>177</v>
      </c>
      <c r="C38" s="77">
        <v>6.108947758593815</v>
      </c>
      <c r="D38" s="77">
        <v>7.1829353403866092</v>
      </c>
      <c r="E38" s="47" t="str">
        <f t="shared" si="1"/>
        <v>Below Average</v>
      </c>
      <c r="F38" s="47" t="str">
        <f t="shared" si="2"/>
        <v>Below Average</v>
      </c>
      <c r="G38" s="75" t="str" cm="1">
        <f t="array" ref="G38">_xlfn.IFS(AND(E38="Above Average",F38="Below Average"),"Q3",AND(E38="Above Average",F38="Above Average"),"Q2",AND(E38="Below Average",F38="Above Average"),"Q1",AND(E38="Below Average",F38="Below Average"),"Q4")</f>
        <v>Q4</v>
      </c>
      <c r="H38" s="90" cm="1">
        <f t="array" ref="H38">_xlfn.IFS(G38="Q1",1,G38="Q2",2,G38="Q3",3,G38="Q4",4)</f>
        <v>4</v>
      </c>
      <c r="J38" s="64" t="s">
        <v>37</v>
      </c>
      <c r="K38" s="52">
        <v>6.4810943600000004E-2</v>
      </c>
      <c r="L38" s="52">
        <v>0.473026044369111</v>
      </c>
      <c r="M38" s="47" t="str">
        <f t="shared" si="0"/>
        <v>Below Average</v>
      </c>
      <c r="N38" s="47" t="str">
        <f t="shared" si="3"/>
        <v>Above Average</v>
      </c>
      <c r="O38" s="75" t="str" cm="1">
        <f t="array" ref="O38">_xlfn.IFS(AND(M38="Above Average",N38="Below Average"),"Q3",AND(M38="Above Average",N38="Above Average"),"Q2",AND(M38="Below Average",N38="Above Average"),"Q1",AND(M38="Below Average",N38="Below Average"),"Q4")</f>
        <v>Q1</v>
      </c>
      <c r="P38" s="88" cm="1">
        <f t="array" ref="P38">_xlfn.IFS(O38="Q1",1,O38="Q2",2,O38="Q3",3,O38="Q4",4)</f>
        <v>1</v>
      </c>
      <c r="R38" t="s">
        <v>175</v>
      </c>
      <c r="S38" t="s">
        <v>176</v>
      </c>
      <c r="T38">
        <v>0.10762632370000001</v>
      </c>
      <c r="U38">
        <v>0.477408095311257</v>
      </c>
      <c r="AA38" s="64" t="s">
        <v>37</v>
      </c>
      <c r="AH38" s="64" t="s">
        <v>37</v>
      </c>
    </row>
    <row r="39" spans="1:34" x14ac:dyDescent="0.35">
      <c r="A39" s="64" t="s">
        <v>38</v>
      </c>
      <c r="B39" s="65" t="s">
        <v>178</v>
      </c>
      <c r="C39" s="77">
        <v>213.24893351885851</v>
      </c>
      <c r="D39" s="77">
        <v>42.1</v>
      </c>
      <c r="E39" s="47" t="str">
        <f t="shared" si="1"/>
        <v>Above Average</v>
      </c>
      <c r="F39" s="47" t="str">
        <f t="shared" si="2"/>
        <v>Above Average</v>
      </c>
      <c r="G39" s="75" t="str" cm="1">
        <f t="array" ref="G39">_xlfn.IFS(AND(E39="Above Average",F39="Below Average"),"Q3",AND(E39="Above Average",F39="Above Average"),"Q2",AND(E39="Below Average",F39="Above Average"),"Q1",AND(E39="Below Average",F39="Below Average"),"Q4")</f>
        <v>Q2</v>
      </c>
      <c r="H39" s="89" cm="1">
        <f t="array" ref="H39">_xlfn.IFS(G39="Q1",1,G39="Q2",2,G39="Q3",3,G39="Q4",4)</f>
        <v>2</v>
      </c>
      <c r="J39" s="64" t="s">
        <v>38</v>
      </c>
      <c r="K39" s="52">
        <v>0.10179439540000002</v>
      </c>
      <c r="L39" s="52">
        <v>0.377</v>
      </c>
      <c r="M39" s="47" t="str">
        <f t="shared" si="0"/>
        <v>Above Average</v>
      </c>
      <c r="N39" s="47" t="str">
        <f t="shared" si="3"/>
        <v>Below Average</v>
      </c>
      <c r="O39" s="75" t="str" cm="1">
        <f t="array" ref="O39">_xlfn.IFS(AND(M39="Above Average",N39="Below Average"),"Q3",AND(M39="Above Average",N39="Above Average"),"Q2",AND(M39="Below Average",N39="Above Average"),"Q1",AND(M39="Below Average",N39="Below Average"),"Q4")</f>
        <v>Q3</v>
      </c>
      <c r="P39" s="86" cm="1">
        <f t="array" ref="P39">_xlfn.IFS(O39="Q1",1,O39="Q2",2,O39="Q3",3,O39="Q4",4)</f>
        <v>3</v>
      </c>
      <c r="R39" t="s">
        <v>37</v>
      </c>
      <c r="S39" t="s">
        <v>177</v>
      </c>
      <c r="T39">
        <v>6.4810943600000004E-2</v>
      </c>
      <c r="U39">
        <v>0.473026044369111</v>
      </c>
      <c r="AA39" s="64" t="s">
        <v>38</v>
      </c>
      <c r="AH39" s="64" t="s">
        <v>38</v>
      </c>
    </row>
    <row r="40" spans="1:34" x14ac:dyDescent="0.35">
      <c r="A40" s="64" t="s">
        <v>39</v>
      </c>
      <c r="B40" s="65" t="s">
        <v>179</v>
      </c>
      <c r="C40" s="77">
        <v>22.128310502389212</v>
      </c>
      <c r="D40" s="77">
        <v>8.5050709939148081</v>
      </c>
      <c r="E40" s="47" t="str">
        <f t="shared" si="1"/>
        <v>Below Average</v>
      </c>
      <c r="F40" s="47" t="str">
        <f t="shared" si="2"/>
        <v>Below Average</v>
      </c>
      <c r="G40" s="75" t="str" cm="1">
        <f t="array" ref="G40">_xlfn.IFS(AND(E40="Above Average",F40="Below Average"),"Q3",AND(E40="Above Average",F40="Above Average"),"Q2",AND(E40="Below Average",F40="Above Average"),"Q1",AND(E40="Below Average",F40="Below Average"),"Q4")</f>
        <v>Q4</v>
      </c>
      <c r="H40" s="90" cm="1">
        <f t="array" ref="H40">_xlfn.IFS(G40="Q1",1,G40="Q2",2,G40="Q3",3,G40="Q4",4)</f>
        <v>4</v>
      </c>
      <c r="J40" s="64" t="s">
        <v>39</v>
      </c>
      <c r="K40" s="52">
        <v>5.2879381199999999E-2</v>
      </c>
      <c r="L40" s="52">
        <v>0.33232562471434801</v>
      </c>
      <c r="M40" s="47" t="str">
        <f t="shared" si="0"/>
        <v>Below Average</v>
      </c>
      <c r="N40" s="47" t="str">
        <f t="shared" si="3"/>
        <v>Below Average</v>
      </c>
      <c r="O40" s="75" t="str" cm="1">
        <f t="array" ref="O40">_xlfn.IFS(AND(M40="Above Average",N40="Below Average"),"Q3",AND(M40="Above Average",N40="Above Average"),"Q2",AND(M40="Below Average",N40="Above Average"),"Q1",AND(M40="Below Average",N40="Below Average"),"Q4")</f>
        <v>Q4</v>
      </c>
      <c r="P40" s="90" cm="1">
        <f t="array" ref="P40">_xlfn.IFS(O40="Q1",1,O40="Q2",2,O40="Q3",3,O40="Q4",4)</f>
        <v>4</v>
      </c>
      <c r="R40" t="s">
        <v>38</v>
      </c>
      <c r="S40" t="s">
        <v>178</v>
      </c>
      <c r="T40">
        <v>0.10179439540000002</v>
      </c>
      <c r="U40">
        <v>0.377</v>
      </c>
      <c r="AA40" s="64" t="s">
        <v>39</v>
      </c>
      <c r="AH40" s="64" t="s">
        <v>39</v>
      </c>
    </row>
    <row r="41" spans="1:34" x14ac:dyDescent="0.35">
      <c r="A41" s="64" t="s">
        <v>40</v>
      </c>
      <c r="B41" s="65" t="s">
        <v>180</v>
      </c>
      <c r="C41" s="77">
        <v>74.345193320567816</v>
      </c>
      <c r="D41" s="77">
        <v>107.24524316516025</v>
      </c>
      <c r="E41" s="47" t="str">
        <f t="shared" si="1"/>
        <v>Above Average</v>
      </c>
      <c r="F41" s="47" t="str">
        <f t="shared" si="2"/>
        <v>Above Average</v>
      </c>
      <c r="G41" s="75" t="str" cm="1">
        <f t="array" ref="G41">_xlfn.IFS(AND(E41="Above Average",F41="Below Average"),"Q3",AND(E41="Above Average",F41="Above Average"),"Q2",AND(E41="Below Average",F41="Above Average"),"Q1",AND(E41="Below Average",F41="Below Average"),"Q4")</f>
        <v>Q2</v>
      </c>
      <c r="H41" s="89" cm="1">
        <f t="array" ref="H41">_xlfn.IFS(G41="Q1",1,G41="Q2",2,G41="Q3",3,G41="Q4",4)</f>
        <v>2</v>
      </c>
      <c r="J41" s="64" t="s">
        <v>40</v>
      </c>
      <c r="K41" s="52">
        <v>0.1528983974</v>
      </c>
      <c r="L41" s="52">
        <v>0.54793438602622901</v>
      </c>
      <c r="M41" s="47" t="str">
        <f t="shared" si="0"/>
        <v>Above Average</v>
      </c>
      <c r="N41" s="47" t="str">
        <f t="shared" si="3"/>
        <v>Above Average</v>
      </c>
      <c r="O41" s="75" t="str" cm="1">
        <f t="array" ref="O41">_xlfn.IFS(AND(M41="Above Average",N41="Below Average"),"Q3",AND(M41="Above Average",N41="Above Average"),"Q2",AND(M41="Below Average",N41="Above Average"),"Q1",AND(M41="Below Average",N41="Below Average"),"Q4")</f>
        <v>Q2</v>
      </c>
      <c r="P41" s="89" cm="1">
        <f t="array" ref="P41">_xlfn.IFS(O41="Q1",1,O41="Q2",2,O41="Q3",3,O41="Q4",4)</f>
        <v>2</v>
      </c>
      <c r="R41" t="s">
        <v>39</v>
      </c>
      <c r="S41" t="s">
        <v>179</v>
      </c>
      <c r="T41">
        <v>5.2879381199999999E-2</v>
      </c>
      <c r="U41">
        <v>0.33232562471434801</v>
      </c>
      <c r="AA41" s="64" t="s">
        <v>40</v>
      </c>
      <c r="AH41" s="64" t="s">
        <v>40</v>
      </c>
    </row>
    <row r="42" spans="1:34" x14ac:dyDescent="0.35">
      <c r="A42" s="64" t="s">
        <v>41</v>
      </c>
      <c r="B42" s="65" t="s">
        <v>181</v>
      </c>
      <c r="C42" s="77">
        <v>7.3360946163777347</v>
      </c>
      <c r="D42" s="77">
        <v>20.688796680497926</v>
      </c>
      <c r="E42" s="47" t="str">
        <f t="shared" si="1"/>
        <v>Below Average</v>
      </c>
      <c r="F42" s="47" t="str">
        <f t="shared" si="2"/>
        <v>Below Average</v>
      </c>
      <c r="G42" s="75" t="str" cm="1">
        <f t="array" ref="G42">_xlfn.IFS(AND(E42="Above Average",F42="Below Average"),"Q3",AND(E42="Above Average",F42="Above Average"),"Q2",AND(E42="Below Average",F42="Above Average"),"Q1",AND(E42="Below Average",F42="Below Average"),"Q4")</f>
        <v>Q4</v>
      </c>
      <c r="H42" s="90" cm="1">
        <f t="array" ref="H42">_xlfn.IFS(G42="Q1",1,G42="Q2",2,G42="Q3",3,G42="Q4",4)</f>
        <v>4</v>
      </c>
      <c r="J42" s="64" t="s">
        <v>41</v>
      </c>
      <c r="K42" s="52">
        <v>2.10620522E-2</v>
      </c>
      <c r="L42" s="52">
        <v>0.24952584171475101</v>
      </c>
      <c r="M42" s="47" t="str">
        <f t="shared" si="0"/>
        <v>Below Average</v>
      </c>
      <c r="N42" s="47" t="str">
        <f t="shared" si="3"/>
        <v>Below Average</v>
      </c>
      <c r="O42" s="75" t="str" cm="1">
        <f t="array" ref="O42">_xlfn.IFS(AND(M42="Above Average",N42="Below Average"),"Q3",AND(M42="Above Average",N42="Above Average"),"Q2",AND(M42="Below Average",N42="Above Average"),"Q1",AND(M42="Below Average",N42="Below Average"),"Q4")</f>
        <v>Q4</v>
      </c>
      <c r="P42" s="90" cm="1">
        <f t="array" ref="P42">_xlfn.IFS(O42="Q1",1,O42="Q2",2,O42="Q3",3,O42="Q4",4)</f>
        <v>4</v>
      </c>
      <c r="R42" t="s">
        <v>40</v>
      </c>
      <c r="S42" t="s">
        <v>180</v>
      </c>
      <c r="T42">
        <v>0.1528983974</v>
      </c>
      <c r="U42">
        <v>0.54793438602622901</v>
      </c>
      <c r="AA42" s="64" t="s">
        <v>41</v>
      </c>
      <c r="AH42" s="64" t="s">
        <v>41</v>
      </c>
    </row>
    <row r="43" spans="1:34" x14ac:dyDescent="0.35">
      <c r="A43" s="64" t="s">
        <v>42</v>
      </c>
      <c r="B43" s="65" t="s">
        <v>184</v>
      </c>
      <c r="C43" s="77">
        <v>6.2037247448568724</v>
      </c>
      <c r="D43" s="77">
        <v>12.502461538461539</v>
      </c>
      <c r="E43" s="47" t="str">
        <f t="shared" si="1"/>
        <v>Below Average</v>
      </c>
      <c r="F43" s="47" t="str">
        <f t="shared" si="2"/>
        <v>Below Average</v>
      </c>
      <c r="G43" s="75" t="str" cm="1">
        <f t="array" ref="G43">_xlfn.IFS(AND(E43="Above Average",F43="Below Average"),"Q3",AND(E43="Above Average",F43="Above Average"),"Q2",AND(E43="Below Average",F43="Above Average"),"Q1",AND(E43="Below Average",F43="Below Average"),"Q4")</f>
        <v>Q4</v>
      </c>
      <c r="H43" s="90" cm="1">
        <f t="array" ref="H43">_xlfn.IFS(G43="Q1",1,G43="Q2",2,G43="Q3",3,G43="Q4",4)</f>
        <v>4</v>
      </c>
      <c r="J43" s="64" t="s">
        <v>42</v>
      </c>
      <c r="K43" s="52">
        <v>9.4023561499999991E-2</v>
      </c>
      <c r="L43" s="52">
        <v>0.56999999999999995</v>
      </c>
      <c r="M43" s="47" t="str">
        <f t="shared" si="0"/>
        <v>Above Average</v>
      </c>
      <c r="N43" s="47" t="str">
        <f t="shared" si="3"/>
        <v>Above Average</v>
      </c>
      <c r="O43" s="75" t="str" cm="1">
        <f t="array" ref="O43">_xlfn.IFS(AND(M43="Above Average",N43="Below Average"),"Q3",AND(M43="Above Average",N43="Above Average"),"Q2",AND(M43="Below Average",N43="Above Average"),"Q1",AND(M43="Below Average",N43="Below Average"),"Q4")</f>
        <v>Q2</v>
      </c>
      <c r="P43" s="89" cm="1">
        <f t="array" ref="P43">_xlfn.IFS(O43="Q1",1,O43="Q2",2,O43="Q3",3,O43="Q4",4)</f>
        <v>2</v>
      </c>
      <c r="R43" t="s">
        <v>41</v>
      </c>
      <c r="S43" t="s">
        <v>181</v>
      </c>
      <c r="T43">
        <v>2.10620522E-2</v>
      </c>
      <c r="U43">
        <v>0.24952584171475101</v>
      </c>
      <c r="AA43" s="64" t="s">
        <v>42</v>
      </c>
      <c r="AH43" s="64" t="s">
        <v>42</v>
      </c>
    </row>
    <row r="44" spans="1:34" x14ac:dyDescent="0.35">
      <c r="A44" s="64" t="s">
        <v>157</v>
      </c>
      <c r="B44" s="65" t="s">
        <v>158</v>
      </c>
      <c r="C44" s="77">
        <v>7.6950371510478712</v>
      </c>
      <c r="D44" s="77">
        <v>10.645443106523956</v>
      </c>
      <c r="E44" s="47" t="str">
        <f t="shared" si="1"/>
        <v>Below Average</v>
      </c>
      <c r="F44" s="47" t="str">
        <f t="shared" si="2"/>
        <v>Below Average</v>
      </c>
      <c r="G44" s="75" t="str" cm="1">
        <f t="array" ref="G44">_xlfn.IFS(AND(E44="Above Average",F44="Below Average"),"Q3",AND(E44="Above Average",F44="Above Average"),"Q2",AND(E44="Below Average",F44="Above Average"),"Q1",AND(E44="Below Average",F44="Below Average"),"Q4")</f>
        <v>Q4</v>
      </c>
      <c r="H44" s="90" cm="1">
        <f t="array" ref="H44">_xlfn.IFS(G44="Q1",1,G44="Q2",2,G44="Q3",3,G44="Q4",4)</f>
        <v>4</v>
      </c>
      <c r="J44" s="64" t="s">
        <v>157</v>
      </c>
      <c r="K44" s="52">
        <v>5.4796643300000003E-2</v>
      </c>
      <c r="L44" s="52">
        <v>0.170669454827377</v>
      </c>
      <c r="M44" s="47" t="str">
        <f t="shared" si="0"/>
        <v>Below Average</v>
      </c>
      <c r="N44" s="47" t="str">
        <f t="shared" si="3"/>
        <v>Below Average</v>
      </c>
      <c r="O44" s="75" t="str" cm="1">
        <f t="array" ref="O44">_xlfn.IFS(AND(M44="Above Average",N44="Below Average"),"Q3",AND(M44="Above Average",N44="Above Average"),"Q2",AND(M44="Below Average",N44="Above Average"),"Q1",AND(M44="Below Average",N44="Below Average"),"Q4")</f>
        <v>Q4</v>
      </c>
      <c r="P44" s="90" cm="1">
        <f t="array" ref="P44">_xlfn.IFS(O44="Q1",1,O44="Q2",2,O44="Q3",3,O44="Q4",4)</f>
        <v>4</v>
      </c>
      <c r="R44" t="s">
        <v>43</v>
      </c>
      <c r="S44" t="s">
        <v>182</v>
      </c>
      <c r="T44">
        <v>5.3817400899999999E-2</v>
      </c>
      <c r="U44">
        <v>0.25088889751308202</v>
      </c>
      <c r="AA44" s="64" t="s">
        <v>157</v>
      </c>
      <c r="AH44" s="64" t="s">
        <v>157</v>
      </c>
    </row>
    <row r="45" spans="1:34" x14ac:dyDescent="0.35">
      <c r="A45" s="64" t="s">
        <v>43</v>
      </c>
      <c r="B45" s="65" t="s">
        <v>182</v>
      </c>
      <c r="C45" s="77">
        <v>5.9036930685343147</v>
      </c>
      <c r="D45" s="77">
        <v>10.599369085173501</v>
      </c>
      <c r="E45" s="47" t="str">
        <f t="shared" si="1"/>
        <v>Below Average</v>
      </c>
      <c r="F45" s="47" t="str">
        <f t="shared" si="2"/>
        <v>Below Average</v>
      </c>
      <c r="G45" s="75" t="str" cm="1">
        <f t="array" ref="G45">_xlfn.IFS(AND(E45="Above Average",F45="Below Average"),"Q3",AND(E45="Above Average",F45="Above Average"),"Q2",AND(E45="Below Average",F45="Above Average"),"Q1",AND(E45="Below Average",F45="Below Average"),"Q4")</f>
        <v>Q4</v>
      </c>
      <c r="H45" s="90" cm="1">
        <f t="array" ref="H45">_xlfn.IFS(G45="Q1",1,G45="Q2",2,G45="Q3",3,G45="Q4",4)</f>
        <v>4</v>
      </c>
      <c r="J45" s="64" t="s">
        <v>43</v>
      </c>
      <c r="K45" s="52">
        <v>5.3817400899999999E-2</v>
      </c>
      <c r="L45" s="52">
        <v>0.25088889751308202</v>
      </c>
      <c r="M45" s="47" t="str">
        <f t="shared" si="0"/>
        <v>Below Average</v>
      </c>
      <c r="N45" s="47" t="str">
        <f t="shared" si="3"/>
        <v>Below Average</v>
      </c>
      <c r="O45" s="75" t="str" cm="1">
        <f t="array" ref="O45">_xlfn.IFS(AND(M45="Above Average",N45="Below Average"),"Q3",AND(M45="Above Average",N45="Above Average"),"Q2",AND(M45="Below Average",N45="Above Average"),"Q1",AND(M45="Below Average",N45="Below Average"),"Q4")</f>
        <v>Q4</v>
      </c>
      <c r="P45" s="90" cm="1">
        <f t="array" ref="P45">_xlfn.IFS(O45="Q1",1,O45="Q2",2,O45="Q3",3,O45="Q4",4)</f>
        <v>4</v>
      </c>
      <c r="R45" t="s">
        <v>44</v>
      </c>
      <c r="S45" t="s">
        <v>183</v>
      </c>
      <c r="T45">
        <v>3.1388299500000001E-2</v>
      </c>
      <c r="U45">
        <v>0.56299999999999994</v>
      </c>
      <c r="AA45" s="64" t="s">
        <v>43</v>
      </c>
      <c r="AH45" s="64" t="s">
        <v>43</v>
      </c>
    </row>
    <row r="46" spans="1:34" x14ac:dyDescent="0.35">
      <c r="A46" s="64" t="s">
        <v>44</v>
      </c>
      <c r="B46" s="65" t="s">
        <v>183</v>
      </c>
      <c r="C46" s="77">
        <v>24.594032165143432</v>
      </c>
      <c r="D46" s="77">
        <v>5.2036992954099146</v>
      </c>
      <c r="E46" s="47" t="str">
        <f t="shared" si="1"/>
        <v>Below Average</v>
      </c>
      <c r="F46" s="47" t="str">
        <f t="shared" si="2"/>
        <v>Below Average</v>
      </c>
      <c r="G46" s="75" t="str" cm="1">
        <f t="array" ref="G46">_xlfn.IFS(AND(E46="Above Average",F46="Below Average"),"Q3",AND(E46="Above Average",F46="Above Average"),"Q2",AND(E46="Below Average",F46="Above Average"),"Q1",AND(E46="Below Average",F46="Below Average"),"Q4")</f>
        <v>Q4</v>
      </c>
      <c r="H46" s="90" cm="1">
        <f t="array" ref="H46">_xlfn.IFS(G46="Q1",1,G46="Q2",2,G46="Q3",3,G46="Q4",4)</f>
        <v>4</v>
      </c>
      <c r="J46" s="64" t="s">
        <v>44</v>
      </c>
      <c r="K46" s="52">
        <v>3.1388299500000001E-2</v>
      </c>
      <c r="L46" s="52">
        <v>0.56299999999999994</v>
      </c>
      <c r="M46" s="47" t="str">
        <f t="shared" si="0"/>
        <v>Below Average</v>
      </c>
      <c r="N46" s="47" t="str">
        <f t="shared" si="3"/>
        <v>Above Average</v>
      </c>
      <c r="O46" s="75" t="str" cm="1">
        <f t="array" ref="O46">_xlfn.IFS(AND(M46="Above Average",N46="Below Average"),"Q3",AND(M46="Above Average",N46="Above Average"),"Q2",AND(M46="Below Average",N46="Above Average"),"Q1",AND(M46="Below Average",N46="Below Average"),"Q4")</f>
        <v>Q1</v>
      </c>
      <c r="P46" s="88" cm="1">
        <f t="array" ref="P46">_xlfn.IFS(O46="Q1",1,O46="Q2",2,O46="Q3",3,O46="Q4",4)</f>
        <v>1</v>
      </c>
      <c r="R46" t="s">
        <v>42</v>
      </c>
      <c r="S46" t="s">
        <v>184</v>
      </c>
      <c r="T46">
        <v>9.4023561499999991E-2</v>
      </c>
      <c r="U46">
        <v>0.56999999999999995</v>
      </c>
      <c r="AA46" s="64" t="s">
        <v>44</v>
      </c>
      <c r="AH46" s="64" t="s">
        <v>44</v>
      </c>
    </row>
    <row r="47" spans="1:34" x14ac:dyDescent="0.35">
      <c r="A47" s="64" t="s">
        <v>45</v>
      </c>
      <c r="B47" s="65" t="s">
        <v>185</v>
      </c>
      <c r="C47" s="77">
        <v>32.824990914279496</v>
      </c>
      <c r="D47" s="77">
        <v>10.51861504095309</v>
      </c>
      <c r="E47" s="47" t="str">
        <f t="shared" si="1"/>
        <v>Above Average</v>
      </c>
      <c r="F47" s="47" t="str">
        <f t="shared" si="2"/>
        <v>Below Average</v>
      </c>
      <c r="G47" s="75" t="str" cm="1">
        <f t="array" ref="G47">_xlfn.IFS(AND(E47="Above Average",F47="Below Average"),"Q3",AND(E47="Above Average",F47="Above Average"),"Q2",AND(E47="Below Average",F47="Above Average"),"Q1",AND(E47="Below Average",F47="Below Average"),"Q4")</f>
        <v>Q3</v>
      </c>
      <c r="H47" s="86" cm="1">
        <f t="array" ref="H47">_xlfn.IFS(G47="Q1",1,G47="Q2",2,G47="Q3",3,G47="Q4",4)</f>
        <v>3</v>
      </c>
      <c r="J47" s="64" t="s">
        <v>45</v>
      </c>
      <c r="K47" s="52">
        <v>7.1645693799999993E-2</v>
      </c>
      <c r="L47" s="52">
        <v>0.26773290915292702</v>
      </c>
      <c r="M47" s="47" t="str">
        <f t="shared" si="0"/>
        <v>Below Average</v>
      </c>
      <c r="N47" s="47" t="str">
        <f t="shared" si="3"/>
        <v>Below Average</v>
      </c>
      <c r="O47" s="75" t="str" cm="1">
        <f t="array" ref="O47">_xlfn.IFS(AND(M47="Above Average",N47="Below Average"),"Q3",AND(M47="Above Average",N47="Above Average"),"Q2",AND(M47="Below Average",N47="Above Average"),"Q1",AND(M47="Below Average",N47="Below Average"),"Q4")</f>
        <v>Q4</v>
      </c>
      <c r="P47" s="90" cm="1">
        <f t="array" ref="P47">_xlfn.IFS(O47="Q1",1,O47="Q2",2,O47="Q3",3,O47="Q4",4)</f>
        <v>4</v>
      </c>
      <c r="R47" t="s">
        <v>45</v>
      </c>
      <c r="S47" t="s">
        <v>185</v>
      </c>
      <c r="T47">
        <v>7.1645693799999993E-2</v>
      </c>
      <c r="U47">
        <v>0.26773290915292702</v>
      </c>
      <c r="AA47" s="64" t="s">
        <v>45</v>
      </c>
      <c r="AH47" s="64" t="s">
        <v>45</v>
      </c>
    </row>
    <row r="48" spans="1:34" ht="15" thickBot="1" x14ac:dyDescent="0.4">
      <c r="A48" s="66" t="s">
        <v>46</v>
      </c>
      <c r="B48" s="65" t="s">
        <v>186</v>
      </c>
      <c r="C48" s="77">
        <v>36.315960905902422</v>
      </c>
      <c r="D48" s="77">
        <v>36.387251549841309</v>
      </c>
      <c r="E48" s="47" t="str">
        <f t="shared" si="1"/>
        <v>Above Average</v>
      </c>
      <c r="F48" s="47" t="str">
        <f t="shared" si="2"/>
        <v>Above Average</v>
      </c>
      <c r="G48" s="75" t="str" cm="1">
        <f t="array" ref="G48">_xlfn.IFS(AND(E48="Above Average",F48="Below Average"),"Q3",AND(E48="Above Average",F48="Above Average"),"Q2",AND(E48="Below Average",F48="Above Average"),"Q1",AND(E48="Below Average",F48="Below Average"),"Q4")</f>
        <v>Q2</v>
      </c>
      <c r="H48" s="89" cm="1">
        <f t="array" ref="H48">_xlfn.IFS(G48="Q1",1,G48="Q2",2,G48="Q3",3,G48="Q4",4)</f>
        <v>2</v>
      </c>
      <c r="J48" s="66" t="s">
        <v>46</v>
      </c>
      <c r="K48" s="52">
        <v>5.1729364399999998E-2</v>
      </c>
      <c r="L48" s="52">
        <v>0.35</v>
      </c>
      <c r="M48" s="47" t="str">
        <f t="shared" si="0"/>
        <v>Below Average</v>
      </c>
      <c r="N48" s="47" t="str">
        <f t="shared" si="3"/>
        <v>Below Average</v>
      </c>
      <c r="O48" s="75" t="str" cm="1">
        <f t="array" ref="O48">_xlfn.IFS(AND(M48="Above Average",N48="Below Average"),"Q3",AND(M48="Above Average",N48="Above Average"),"Q2",AND(M48="Below Average",N48="Above Average"),"Q1",AND(M48="Below Average",N48="Below Average"),"Q4")</f>
        <v>Q4</v>
      </c>
      <c r="P48" s="90" cm="1">
        <f t="array" ref="P48">_xlfn.IFS(O48="Q1",1,O48="Q2",2,O48="Q3",3,O48="Q4",4)</f>
        <v>4</v>
      </c>
      <c r="R48" t="s">
        <v>46</v>
      </c>
      <c r="S48" t="s">
        <v>186</v>
      </c>
      <c r="T48">
        <v>5.1729364399999998E-2</v>
      </c>
      <c r="U48">
        <v>0.35</v>
      </c>
      <c r="AA48" s="66" t="s">
        <v>46</v>
      </c>
      <c r="AH48" s="66" t="s">
        <v>46</v>
      </c>
    </row>
    <row r="49" spans="1:34" ht="15" thickTop="1" x14ac:dyDescent="0.35">
      <c r="A49" s="76"/>
      <c r="B49" s="85" t="s">
        <v>103</v>
      </c>
      <c r="C49" s="77">
        <f>AVERAGE(C2:C48)</f>
        <v>24.652809013022068</v>
      </c>
      <c r="D49" s="77">
        <f>AVERAGE(D2:D48)</f>
        <v>22.857935830441416</v>
      </c>
      <c r="E49" s="77"/>
      <c r="F49" s="77"/>
      <c r="G49" s="78"/>
      <c r="J49" s="83" t="s">
        <v>103</v>
      </c>
      <c r="K49" s="82">
        <f>AVERAGE(K2:K48)</f>
        <v>7.287659531276594E-2</v>
      </c>
      <c r="L49" s="82">
        <f>AVERAGE(L2:L48)</f>
        <v>0.42362639990663953</v>
      </c>
      <c r="M49" s="77"/>
      <c r="N49" s="77"/>
      <c r="O49" s="78"/>
      <c r="S49" t="s">
        <v>103</v>
      </c>
      <c r="T49">
        <f>AVERAGE(T2:T48)</f>
        <v>7.287659531276594E-2</v>
      </c>
      <c r="U49">
        <v>0.42362639990663958</v>
      </c>
      <c r="AA49" s="76"/>
      <c r="AH49" s="76"/>
    </row>
    <row r="50" spans="1:34" x14ac:dyDescent="0.35">
      <c r="A50" s="79"/>
      <c r="B50" s="84" t="s">
        <v>190</v>
      </c>
      <c r="C50" s="77">
        <f>MIN(C2:C48)</f>
        <v>2.3259582036922208</v>
      </c>
      <c r="D50" s="77">
        <f>MIN(D2:D48)</f>
        <v>0.95412514516632685</v>
      </c>
      <c r="E50" s="77"/>
      <c r="F50" s="77"/>
      <c r="G50" s="78"/>
      <c r="J50" s="84" t="s">
        <v>190</v>
      </c>
      <c r="K50" s="81">
        <f>MIN(K2:K48)</f>
        <v>2.10620522E-2</v>
      </c>
      <c r="L50" s="81">
        <f>MIN(L2:L48)</f>
        <v>7.4999999999999997E-2</v>
      </c>
      <c r="M50" s="77"/>
      <c r="N50" s="77"/>
      <c r="O50" s="78"/>
      <c r="S50" t="s">
        <v>99</v>
      </c>
      <c r="T50">
        <v>6.8515443800000006E-2</v>
      </c>
      <c r="U50">
        <v>0.45</v>
      </c>
      <c r="AA50" s="79"/>
      <c r="AH50" s="79"/>
    </row>
    <row r="51" spans="1:34" x14ac:dyDescent="0.35">
      <c r="A51" s="80"/>
      <c r="B51" s="84" t="s">
        <v>191</v>
      </c>
      <c r="C51" s="77">
        <f>MAX(C2:C48)</f>
        <v>213.24893351885851</v>
      </c>
      <c r="D51" s="77">
        <f>MAX(D2:D48)</f>
        <v>107.24524316516025</v>
      </c>
      <c r="E51" s="77"/>
      <c r="F51" s="77"/>
      <c r="G51" s="78"/>
      <c r="J51" s="84" t="s">
        <v>191</v>
      </c>
      <c r="K51" s="81">
        <f>MAX(K2:K48)</f>
        <v>0.1528983974</v>
      </c>
      <c r="L51" s="81">
        <f>MAX(L2:L48)</f>
        <v>0.71079999999999999</v>
      </c>
      <c r="M51" s="77"/>
      <c r="N51" s="77"/>
      <c r="O51" s="78"/>
      <c r="AA51" s="80"/>
      <c r="AH51" s="80"/>
    </row>
    <row r="52" spans="1:34" x14ac:dyDescent="0.35">
      <c r="J52" s="83" t="s">
        <v>103</v>
      </c>
      <c r="K52">
        <v>7.287659531276594E-2</v>
      </c>
      <c r="L52">
        <v>0.42362639990663953</v>
      </c>
    </row>
    <row r="53" spans="1:34" x14ac:dyDescent="0.35">
      <c r="J53" s="84" t="s">
        <v>190</v>
      </c>
      <c r="K53">
        <v>2.10620522E-2</v>
      </c>
      <c r="L53">
        <v>7.4999999999999997E-2</v>
      </c>
    </row>
    <row r="54" spans="1:34" x14ac:dyDescent="0.35">
      <c r="J54" s="84" t="s">
        <v>191</v>
      </c>
      <c r="K54">
        <v>0.1528983974</v>
      </c>
      <c r="L54">
        <v>0.71079999999999999</v>
      </c>
    </row>
  </sheetData>
  <autoFilter ref="A1:H51" xr:uid="{BD313C7E-5C5C-4A03-A524-C087B17AC59E}"/>
  <sortState xmlns:xlrd2="http://schemas.microsoft.com/office/spreadsheetml/2017/richdata2" ref="A2:G48">
    <sortCondition ref="A2:A48"/>
  </sortState>
  <conditionalFormatting sqref="C2:C4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5E42-19D7-435A-BB5E-912A1539372A}">
  <dimension ref="A1:AP54"/>
  <sheetViews>
    <sheetView topLeftCell="AE1" workbookViewId="0">
      <selection activeCell="AK21" sqref="AK21"/>
    </sheetView>
  </sheetViews>
  <sheetFormatPr defaultRowHeight="14.5" x14ac:dyDescent="0.35"/>
  <cols>
    <col min="1" max="1" width="27.26953125" style="58" bestFit="1" customWidth="1"/>
    <col min="2" max="2" width="11" customWidth="1"/>
    <col min="3" max="3" width="24" style="50" customWidth="1"/>
    <col min="4" max="4" width="13.81640625" bestFit="1" customWidth="1"/>
    <col min="5" max="6" width="13.81640625" customWidth="1"/>
    <col min="7" max="7" width="23.81640625" style="16" customWidth="1"/>
    <col min="8" max="8" width="24" style="50" customWidth="1"/>
    <col min="9" max="9" width="3.36328125" style="50" customWidth="1"/>
    <col min="10" max="10" width="27.26953125" style="58" bestFit="1" customWidth="1"/>
    <col min="11" max="12" width="13.81640625" bestFit="1" customWidth="1"/>
    <col min="13" max="14" width="13.81640625" customWidth="1"/>
    <col min="15" max="15" width="23.81640625" style="16" customWidth="1"/>
    <col min="16" max="16" width="29" style="50" customWidth="1"/>
    <col min="17" max="17" width="3.36328125" style="50" customWidth="1"/>
    <col min="18" max="18" width="31.6328125" bestFit="1" customWidth="1"/>
    <col min="19" max="19" width="8.26953125" bestFit="1" customWidth="1"/>
    <col min="20" max="20" width="16.26953125" bestFit="1" customWidth="1"/>
    <col min="21" max="21" width="31.08984375" bestFit="1" customWidth="1"/>
    <col min="27" max="27" width="27.26953125" style="58" bestFit="1" customWidth="1"/>
    <col min="28" max="28" width="25.36328125" style="50" customWidth="1"/>
    <col min="29" max="29" width="29" style="50" customWidth="1"/>
    <col min="36" max="36" width="27.26953125" style="58" bestFit="1" customWidth="1"/>
    <col min="37" max="37" width="24" style="50" customWidth="1"/>
    <col min="38" max="38" width="13.81640625" bestFit="1" customWidth="1"/>
    <col min="39" max="39" width="24" style="50" customWidth="1"/>
    <col min="40" max="41" width="13.81640625" bestFit="1" customWidth="1"/>
    <col min="42" max="42" width="29" style="50" customWidth="1"/>
  </cols>
  <sheetData>
    <row r="1" spans="1:42" ht="73" thickTop="1" x14ac:dyDescent="0.35">
      <c r="A1" s="59" t="s">
        <v>0</v>
      </c>
      <c r="B1" s="60" t="s">
        <v>187</v>
      </c>
      <c r="C1" s="60" t="s">
        <v>196</v>
      </c>
      <c r="D1" s="60" t="s">
        <v>102</v>
      </c>
      <c r="E1" s="60" t="s">
        <v>201</v>
      </c>
      <c r="F1" s="60" t="s">
        <v>200</v>
      </c>
      <c r="G1" s="60" t="s">
        <v>204</v>
      </c>
      <c r="H1" s="60" t="s">
        <v>204</v>
      </c>
      <c r="J1" s="59" t="s">
        <v>0</v>
      </c>
      <c r="K1" s="60" t="s">
        <v>134</v>
      </c>
      <c r="L1" s="60" t="s">
        <v>135</v>
      </c>
      <c r="M1" s="60" t="s">
        <v>202</v>
      </c>
      <c r="N1" s="60" t="s">
        <v>203</v>
      </c>
      <c r="O1" s="60" t="s">
        <v>205</v>
      </c>
      <c r="P1" s="60" t="s">
        <v>205</v>
      </c>
      <c r="R1" s="71" t="s">
        <v>0</v>
      </c>
      <c r="S1" s="71"/>
      <c r="T1" s="71" t="s">
        <v>134</v>
      </c>
      <c r="U1" s="71" t="s">
        <v>135</v>
      </c>
      <c r="AA1" s="59" t="s">
        <v>0</v>
      </c>
      <c r="AB1" s="60" t="s">
        <v>204</v>
      </c>
      <c r="AC1" s="60" t="s">
        <v>205</v>
      </c>
      <c r="AJ1" s="59" t="s">
        <v>0</v>
      </c>
      <c r="AK1" s="60" t="s">
        <v>196</v>
      </c>
      <c r="AL1" s="60" t="s">
        <v>102</v>
      </c>
      <c r="AM1" s="60" t="s">
        <v>204</v>
      </c>
      <c r="AN1" s="60" t="s">
        <v>134</v>
      </c>
      <c r="AO1" s="60" t="s">
        <v>135</v>
      </c>
      <c r="AP1" s="60" t="s">
        <v>205</v>
      </c>
    </row>
    <row r="2" spans="1:42" x14ac:dyDescent="0.35">
      <c r="A2" s="64" t="s">
        <v>1</v>
      </c>
      <c r="B2" s="65" t="s">
        <v>136</v>
      </c>
      <c r="C2" s="77">
        <v>42.170245010241459</v>
      </c>
      <c r="D2" s="77">
        <v>22.857935830441416</v>
      </c>
      <c r="E2" s="47" t="str">
        <f>IF(C2&gt;$C$49,"Above Average","Below Average")</f>
        <v>Above Average</v>
      </c>
      <c r="F2" s="47" t="str">
        <f t="shared" ref="F2:F48" si="0">IF(D2&gt;$D$49,"Above Average","Below Average")</f>
        <v>Below Average</v>
      </c>
      <c r="G2" s="75" t="str" cm="1">
        <f t="array" ref="G2">_xlfn.IFS(AND(E2="Above Average",F2="Below Average"),"Q1",AND(E2="Above Average",F2="Above Average"),"Q2",AND(E2="Below Average",F2="Above Average"),"Q3",AND(E2="Below Average",F2="Below Average"),"Q4")</f>
        <v>Q1</v>
      </c>
      <c r="H2" s="50" cm="1">
        <f t="array" ref="H2">_xlfn.IFS(G2="Q1",1,G2="Q2",2,G2="Q3",3,G2="Q4",4)</f>
        <v>1</v>
      </c>
      <c r="J2" s="64" t="s">
        <v>1</v>
      </c>
      <c r="K2" s="52">
        <v>0.10730769159999999</v>
      </c>
      <c r="L2" s="52">
        <v>0.55000000000000004</v>
      </c>
      <c r="M2" s="47" t="str">
        <f t="shared" ref="M2:M48" si="1">IF(K2&gt;$K$49,"Above Average","Below Average")</f>
        <v>Above Average</v>
      </c>
      <c r="N2" s="47" t="str">
        <f>IF(L2&gt;$L$49,"Above Average","Below Average")</f>
        <v>Above Average</v>
      </c>
      <c r="O2" s="75" t="str" cm="1">
        <f t="array" ref="O2">_xlfn.IFS(AND(M2="Above Average",N2="Below Average"),"Q1",AND(M2="Above Average",N2="Above Average"),"Q2",AND(M2="Below Average",N2="Above Average"),"Q3",AND(M2="Below Average",N2="Below Average"),"Q4")</f>
        <v>Q2</v>
      </c>
      <c r="P2" s="50" cm="1">
        <f t="array" ref="P2">_xlfn.IFS(O2="Q1",1,O2="Q2",2,O2="Q3",3,O2="Q4",4)</f>
        <v>2</v>
      </c>
      <c r="R2" t="s">
        <v>1</v>
      </c>
      <c r="S2" t="s">
        <v>136</v>
      </c>
      <c r="T2">
        <v>0.10730769159999999</v>
      </c>
      <c r="U2">
        <v>0.55000000000000004</v>
      </c>
      <c r="AA2" s="64" t="s">
        <v>1</v>
      </c>
      <c r="AB2" s="50">
        <v>1</v>
      </c>
      <c r="AC2" s="50">
        <v>2</v>
      </c>
      <c r="AJ2" s="64" t="s">
        <v>1</v>
      </c>
      <c r="AK2" s="77">
        <v>42.170245010241459</v>
      </c>
      <c r="AL2" s="77">
        <v>22.857935830441416</v>
      </c>
      <c r="AM2" s="50">
        <v>1</v>
      </c>
      <c r="AN2" s="52">
        <v>0.10730769159999999</v>
      </c>
      <c r="AO2" s="52">
        <v>0.55000000000000004</v>
      </c>
      <c r="AP2" s="50">
        <v>2</v>
      </c>
    </row>
    <row r="3" spans="1:42" x14ac:dyDescent="0.35">
      <c r="A3" s="64" t="s">
        <v>2</v>
      </c>
      <c r="B3" s="65" t="s">
        <v>137</v>
      </c>
      <c r="C3" s="77">
        <v>21.19840588956373</v>
      </c>
      <c r="D3" s="77">
        <v>21.176735134619424</v>
      </c>
      <c r="E3" s="47" t="str">
        <f t="shared" ref="E3:E48" si="2">IF(C3&gt;$C$49,"Above Average","Below Average")</f>
        <v>Below Average</v>
      </c>
      <c r="F3" s="47" t="str">
        <f t="shared" si="0"/>
        <v>Below Average</v>
      </c>
      <c r="G3" s="75" t="str" cm="1">
        <f t="array" ref="G3">_xlfn.IFS(AND(E3="Above Average",F3="Below Average"),"Q1",AND(E3="Above Average",F3="Above Average"),"Q2",AND(E3="Below Average",F3="Above Average"),"Q3",AND(E3="Below Average",F3="Below Average"),"Q4")</f>
        <v>Q4</v>
      </c>
      <c r="H3" s="50" cm="1">
        <f t="array" ref="H3">_xlfn.IFS(G3="Q1",1,G3="Q2",2,G3="Q3",3,G3="Q4",4)</f>
        <v>4</v>
      </c>
      <c r="J3" s="64" t="s">
        <v>2</v>
      </c>
      <c r="K3" s="52">
        <v>5.3643193200000001E-2</v>
      </c>
      <c r="L3" s="52">
        <v>0.50045872095830901</v>
      </c>
      <c r="M3" s="47" t="str">
        <f t="shared" si="1"/>
        <v>Below Average</v>
      </c>
      <c r="N3" s="47" t="str">
        <f t="shared" ref="N3:N48" si="3">IF(L3&gt;$L$49,"Above Average","Below Average")</f>
        <v>Above Average</v>
      </c>
      <c r="O3" s="75" t="str" cm="1">
        <f t="array" ref="O3">_xlfn.IFS(AND(M3="Above Average",N3="Below Average"),"Q1",AND(M3="Above Average",N3="Above Average"),"Q2",AND(M3="Below Average",N3="Above Average"),"Q3",AND(M3="Below Average",N3="Below Average"),"Q4")</f>
        <v>Q3</v>
      </c>
      <c r="P3" s="50" cm="1">
        <f t="array" ref="P3">_xlfn.IFS(O3="Q1",1,O3="Q2",2,O3="Q3",3,O3="Q4",4)</f>
        <v>3</v>
      </c>
      <c r="R3" t="s">
        <v>2</v>
      </c>
      <c r="S3" t="s">
        <v>137</v>
      </c>
      <c r="T3">
        <v>5.3643193200000001E-2</v>
      </c>
      <c r="U3">
        <v>0.50045872095830901</v>
      </c>
      <c r="AA3" s="64" t="s">
        <v>2</v>
      </c>
      <c r="AB3" s="50">
        <v>4</v>
      </c>
      <c r="AC3" s="50">
        <v>3</v>
      </c>
      <c r="AJ3" s="64" t="s">
        <v>2</v>
      </c>
      <c r="AK3" s="77">
        <v>21.19840588956373</v>
      </c>
      <c r="AL3" s="77">
        <v>21.176735134619424</v>
      </c>
      <c r="AM3" s="50">
        <v>4</v>
      </c>
      <c r="AN3" s="52">
        <v>5.3643193200000001E-2</v>
      </c>
      <c r="AO3" s="52">
        <v>0.50045872095830901</v>
      </c>
      <c r="AP3" s="50">
        <v>3</v>
      </c>
    </row>
    <row r="4" spans="1:42" x14ac:dyDescent="0.35">
      <c r="A4" s="64" t="s">
        <v>3</v>
      </c>
      <c r="B4" s="65" t="s">
        <v>138</v>
      </c>
      <c r="C4" s="77">
        <v>7.905420140578082</v>
      </c>
      <c r="D4" s="77">
        <v>8.1976856316297013</v>
      </c>
      <c r="E4" s="47" t="str">
        <f t="shared" si="2"/>
        <v>Below Average</v>
      </c>
      <c r="F4" s="47" t="str">
        <f t="shared" si="0"/>
        <v>Below Average</v>
      </c>
      <c r="G4" s="75" t="str" cm="1">
        <f t="array" ref="G4">_xlfn.IFS(AND(E4="Above Average",F4="Below Average"),"Q1",AND(E4="Above Average",F4="Above Average"),"Q2",AND(E4="Below Average",F4="Above Average"),"Q3",AND(E4="Below Average",F4="Below Average"),"Q4")</f>
        <v>Q4</v>
      </c>
      <c r="H4" s="50" cm="1">
        <f t="array" ref="H4">_xlfn.IFS(G4="Q1",1,G4="Q2",2,G4="Q3",3,G4="Q4",4)</f>
        <v>4</v>
      </c>
      <c r="J4" s="64" t="s">
        <v>3</v>
      </c>
      <c r="K4" s="52">
        <v>4.5545940399999998E-2</v>
      </c>
      <c r="L4" s="52">
        <v>0.473026044369111</v>
      </c>
      <c r="M4" s="47" t="str">
        <f t="shared" si="1"/>
        <v>Below Average</v>
      </c>
      <c r="N4" s="47" t="str">
        <f t="shared" si="3"/>
        <v>Above Average</v>
      </c>
      <c r="O4" s="75" t="str" cm="1">
        <f t="array" ref="O4">_xlfn.IFS(AND(M4="Above Average",N4="Below Average"),"Q1",AND(M4="Above Average",N4="Above Average"),"Q2",AND(M4="Below Average",N4="Above Average"),"Q3",AND(M4="Below Average",N4="Below Average"),"Q4")</f>
        <v>Q3</v>
      </c>
      <c r="P4" s="50" cm="1">
        <f t="array" ref="P4">_xlfn.IFS(O4="Q1",1,O4="Q2",2,O4="Q3",3,O4="Q4",4)</f>
        <v>3</v>
      </c>
      <c r="R4" t="s">
        <v>3</v>
      </c>
      <c r="S4" t="s">
        <v>138</v>
      </c>
      <c r="T4">
        <v>4.5545940399999998E-2</v>
      </c>
      <c r="U4">
        <v>0.473026044369111</v>
      </c>
      <c r="AA4" s="64" t="s">
        <v>3</v>
      </c>
      <c r="AB4" s="50">
        <v>4</v>
      </c>
      <c r="AC4" s="50">
        <v>3</v>
      </c>
      <c r="AF4" s="50">
        <v>1</v>
      </c>
      <c r="AJ4" s="64" t="s">
        <v>3</v>
      </c>
      <c r="AK4" s="77">
        <v>7.905420140578082</v>
      </c>
      <c r="AL4" s="77">
        <v>8.1976856316297013</v>
      </c>
      <c r="AM4" s="50">
        <v>4</v>
      </c>
      <c r="AN4" s="52">
        <v>4.5545940399999998E-2</v>
      </c>
      <c r="AO4" s="52">
        <v>0.473026044369111</v>
      </c>
      <c r="AP4" s="50">
        <v>3</v>
      </c>
    </row>
    <row r="5" spans="1:42" x14ac:dyDescent="0.35">
      <c r="A5" s="64" t="s">
        <v>4</v>
      </c>
      <c r="B5" s="65" t="s">
        <v>139</v>
      </c>
      <c r="C5" s="77">
        <v>34.292718386067548</v>
      </c>
      <c r="D5" s="77">
        <v>16.399999999999999</v>
      </c>
      <c r="E5" s="47" t="str">
        <f t="shared" si="2"/>
        <v>Above Average</v>
      </c>
      <c r="F5" s="47" t="str">
        <f t="shared" si="0"/>
        <v>Below Average</v>
      </c>
      <c r="G5" s="75" t="str" cm="1">
        <f t="array" ref="G5">_xlfn.IFS(AND(E5="Above Average",F5="Below Average"),"Q1",AND(E5="Above Average",F5="Above Average"),"Q2",AND(E5="Below Average",F5="Above Average"),"Q3",AND(E5="Below Average",F5="Below Average"),"Q4")</f>
        <v>Q1</v>
      </c>
      <c r="H5" s="50" cm="1">
        <f t="array" ref="H5">_xlfn.IFS(G5="Q1",1,G5="Q2",2,G5="Q3",3,G5="Q4",4)</f>
        <v>1</v>
      </c>
      <c r="J5" s="64" t="s">
        <v>4</v>
      </c>
      <c r="K5" s="52">
        <v>0.12006065370000001</v>
      </c>
      <c r="L5" s="52">
        <v>0.52100000000000002</v>
      </c>
      <c r="M5" s="47" t="str">
        <f t="shared" si="1"/>
        <v>Above Average</v>
      </c>
      <c r="N5" s="47" t="str">
        <f t="shared" si="3"/>
        <v>Above Average</v>
      </c>
      <c r="O5" s="75" t="str" cm="1">
        <f t="array" ref="O5">_xlfn.IFS(AND(M5="Above Average",N5="Below Average"),"Q1",AND(M5="Above Average",N5="Above Average"),"Q2",AND(M5="Below Average",N5="Above Average"),"Q3",AND(M5="Below Average",N5="Below Average"),"Q4")</f>
        <v>Q2</v>
      </c>
      <c r="P5" s="50" cm="1">
        <f t="array" ref="P5">_xlfn.IFS(O5="Q1",1,O5="Q2",2,O5="Q3",3,O5="Q4",4)</f>
        <v>2</v>
      </c>
      <c r="R5" t="s">
        <v>4</v>
      </c>
      <c r="S5" t="s">
        <v>139</v>
      </c>
      <c r="T5">
        <v>0.12006065370000001</v>
      </c>
      <c r="U5">
        <v>0.52100000000000002</v>
      </c>
      <c r="AA5" s="64" t="s">
        <v>4</v>
      </c>
      <c r="AB5" s="50">
        <v>1</v>
      </c>
      <c r="AC5" s="50">
        <v>2</v>
      </c>
      <c r="AF5" s="50">
        <v>2</v>
      </c>
      <c r="AJ5" s="64" t="s">
        <v>4</v>
      </c>
      <c r="AK5" s="77">
        <v>34.292718386067548</v>
      </c>
      <c r="AL5" s="77">
        <v>16.399999999999999</v>
      </c>
      <c r="AM5" s="50">
        <v>1</v>
      </c>
      <c r="AN5" s="52">
        <v>0.12006065370000001</v>
      </c>
      <c r="AO5" s="52">
        <v>0.52100000000000002</v>
      </c>
      <c r="AP5" s="50">
        <v>2</v>
      </c>
    </row>
    <row r="6" spans="1:42" x14ac:dyDescent="0.35">
      <c r="A6" s="64" t="s">
        <v>5</v>
      </c>
      <c r="B6" s="65" t="s">
        <v>140</v>
      </c>
      <c r="C6" s="77">
        <v>11.721918929906732</v>
      </c>
      <c r="D6" s="77">
        <v>6.4928625093914354</v>
      </c>
      <c r="E6" s="47" t="str">
        <f t="shared" si="2"/>
        <v>Below Average</v>
      </c>
      <c r="F6" s="47" t="str">
        <f t="shared" si="0"/>
        <v>Below Average</v>
      </c>
      <c r="G6" s="75" t="str" cm="1">
        <f t="array" ref="G6">_xlfn.IFS(AND(E6="Above Average",F6="Below Average"),"Q1",AND(E6="Above Average",F6="Above Average"),"Q2",AND(E6="Below Average",F6="Above Average"),"Q3",AND(E6="Below Average",F6="Below Average"),"Q4")</f>
        <v>Q4</v>
      </c>
      <c r="H6" s="50" cm="1">
        <f t="array" ref="H6">_xlfn.IFS(G6="Q1",1,G6="Q2",2,G6="Q3",3,G6="Q4",4)</f>
        <v>4</v>
      </c>
      <c r="J6" s="64" t="s">
        <v>5</v>
      </c>
      <c r="K6" s="52">
        <v>0.11463944440000001</v>
      </c>
      <c r="L6" s="52">
        <v>0.32880543493854802</v>
      </c>
      <c r="M6" s="47" t="str">
        <f t="shared" si="1"/>
        <v>Above Average</v>
      </c>
      <c r="N6" s="47" t="str">
        <f t="shared" si="3"/>
        <v>Below Average</v>
      </c>
      <c r="O6" s="75" t="str" cm="1">
        <f t="array" ref="O6">_xlfn.IFS(AND(M6="Above Average",N6="Below Average"),"Q1",AND(M6="Above Average",N6="Above Average"),"Q2",AND(M6="Below Average",N6="Above Average"),"Q3",AND(M6="Below Average",N6="Below Average"),"Q4")</f>
        <v>Q1</v>
      </c>
      <c r="P6" s="50" cm="1">
        <f t="array" ref="P6">_xlfn.IFS(O6="Q1",1,O6="Q2",2,O6="Q3",3,O6="Q4",4)</f>
        <v>1</v>
      </c>
      <c r="R6" t="s">
        <v>5</v>
      </c>
      <c r="S6" t="s">
        <v>140</v>
      </c>
      <c r="T6">
        <v>0.11463944440000001</v>
      </c>
      <c r="U6">
        <v>0.32880543493854802</v>
      </c>
      <c r="AA6" s="64" t="s">
        <v>5</v>
      </c>
      <c r="AB6" s="50">
        <v>4</v>
      </c>
      <c r="AC6" s="50">
        <v>1</v>
      </c>
      <c r="AF6" s="50">
        <v>3</v>
      </c>
      <c r="AJ6" s="64" t="s">
        <v>5</v>
      </c>
      <c r="AK6" s="77">
        <v>11.721918929906732</v>
      </c>
      <c r="AL6" s="77">
        <v>6.4928625093914354</v>
      </c>
      <c r="AM6" s="50">
        <v>4</v>
      </c>
      <c r="AN6" s="52">
        <v>0.11463944440000001</v>
      </c>
      <c r="AO6" s="52">
        <v>0.32880543493854802</v>
      </c>
      <c r="AP6" s="50">
        <v>1</v>
      </c>
    </row>
    <row r="7" spans="1:42" x14ac:dyDescent="0.35">
      <c r="A7" s="64" t="s">
        <v>6</v>
      </c>
      <c r="B7" s="65" t="s">
        <v>141</v>
      </c>
      <c r="C7" s="77">
        <v>8.1970005510432156</v>
      </c>
      <c r="D7" s="77">
        <v>5.7962394193302087</v>
      </c>
      <c r="E7" s="47" t="str">
        <f t="shared" si="2"/>
        <v>Below Average</v>
      </c>
      <c r="F7" s="47" t="str">
        <f t="shared" si="0"/>
        <v>Below Average</v>
      </c>
      <c r="G7" s="75" t="str" cm="1">
        <f t="array" ref="G7">_xlfn.IFS(AND(E7="Above Average",F7="Below Average"),"Q1",AND(E7="Above Average",F7="Above Average"),"Q2",AND(E7="Below Average",F7="Above Average"),"Q3",AND(E7="Below Average",F7="Below Average"),"Q4")</f>
        <v>Q4</v>
      </c>
      <c r="H7" s="50" cm="1">
        <f t="array" ref="H7">_xlfn.IFS(G7="Q1",1,G7="Q2",2,G7="Q3",3,G7="Q4",4)</f>
        <v>4</v>
      </c>
      <c r="J7" s="64" t="s">
        <v>6</v>
      </c>
      <c r="K7" s="52">
        <v>8.3128080399999998E-2</v>
      </c>
      <c r="L7" s="52">
        <v>0.26769999999999999</v>
      </c>
      <c r="M7" s="47" t="str">
        <f t="shared" si="1"/>
        <v>Above Average</v>
      </c>
      <c r="N7" s="47" t="str">
        <f t="shared" si="3"/>
        <v>Below Average</v>
      </c>
      <c r="O7" s="75" t="str" cm="1">
        <f t="array" ref="O7">_xlfn.IFS(AND(M7="Above Average",N7="Below Average"),"Q1",AND(M7="Above Average",N7="Above Average"),"Q2",AND(M7="Below Average",N7="Above Average"),"Q3",AND(M7="Below Average",N7="Below Average"),"Q4")</f>
        <v>Q1</v>
      </c>
      <c r="P7" s="50" cm="1">
        <f t="array" ref="P7">_xlfn.IFS(O7="Q1",1,O7="Q2",2,O7="Q3",3,O7="Q4",4)</f>
        <v>1</v>
      </c>
      <c r="R7" t="s">
        <v>6</v>
      </c>
      <c r="S7" t="s">
        <v>141</v>
      </c>
      <c r="T7">
        <v>8.3128080399999998E-2</v>
      </c>
      <c r="U7">
        <v>0.26769999999999999</v>
      </c>
      <c r="AA7" s="64" t="s">
        <v>6</v>
      </c>
      <c r="AB7" s="50">
        <v>4</v>
      </c>
      <c r="AC7" s="50">
        <v>1</v>
      </c>
      <c r="AF7" s="50">
        <v>4</v>
      </c>
      <c r="AJ7" s="64" t="s">
        <v>6</v>
      </c>
      <c r="AK7" s="77">
        <v>8.1970005510432156</v>
      </c>
      <c r="AL7" s="77">
        <v>5.7962394193302087</v>
      </c>
      <c r="AM7" s="50">
        <v>4</v>
      </c>
      <c r="AN7" s="52">
        <v>8.3128080399999998E-2</v>
      </c>
      <c r="AO7" s="52">
        <v>0.26769999999999999</v>
      </c>
      <c r="AP7" s="50">
        <v>1</v>
      </c>
    </row>
    <row r="8" spans="1:42" x14ac:dyDescent="0.35">
      <c r="A8" s="64" t="s">
        <v>60</v>
      </c>
      <c r="B8" s="65" t="s">
        <v>142</v>
      </c>
      <c r="C8" s="77">
        <v>60.895271765381224</v>
      </c>
      <c r="D8" s="77">
        <v>22.857935830441416</v>
      </c>
      <c r="E8" s="47" t="str">
        <f t="shared" si="2"/>
        <v>Above Average</v>
      </c>
      <c r="F8" s="47" t="str">
        <f t="shared" si="0"/>
        <v>Below Average</v>
      </c>
      <c r="G8" s="75" t="str" cm="1">
        <f t="array" ref="G8">_xlfn.IFS(AND(E8="Above Average",F8="Below Average"),"Q1",AND(E8="Above Average",F8="Above Average"),"Q2",AND(E8="Below Average",F8="Above Average"),"Q3",AND(E8="Below Average",F8="Below Average"),"Q4")</f>
        <v>Q1</v>
      </c>
      <c r="H8" s="50" cm="1">
        <f t="array" ref="H8">_xlfn.IFS(G8="Q1",1,G8="Q2",2,G8="Q3",3,G8="Q4",4)</f>
        <v>1</v>
      </c>
      <c r="J8" s="64" t="s">
        <v>60</v>
      </c>
      <c r="K8" s="52">
        <v>0.10392424580000001</v>
      </c>
      <c r="L8" s="52">
        <v>0.32863412813189302</v>
      </c>
      <c r="M8" s="47" t="str">
        <f t="shared" si="1"/>
        <v>Above Average</v>
      </c>
      <c r="N8" s="47" t="str">
        <f t="shared" si="3"/>
        <v>Below Average</v>
      </c>
      <c r="O8" s="75" t="str" cm="1">
        <f t="array" ref="O8">_xlfn.IFS(AND(M8="Above Average",N8="Below Average"),"Q1",AND(M8="Above Average",N8="Above Average"),"Q2",AND(M8="Below Average",N8="Above Average"),"Q3",AND(M8="Below Average",N8="Below Average"),"Q4")</f>
        <v>Q1</v>
      </c>
      <c r="P8" s="50" cm="1">
        <f t="array" ref="P8">_xlfn.IFS(O8="Q1",1,O8="Q2",2,O8="Q3",3,O8="Q4",4)</f>
        <v>1</v>
      </c>
      <c r="R8" t="s">
        <v>60</v>
      </c>
      <c r="S8" t="s">
        <v>142</v>
      </c>
      <c r="T8">
        <v>0.10392424580000001</v>
      </c>
      <c r="U8">
        <v>0.32863412813189302</v>
      </c>
      <c r="AA8" s="64" t="s">
        <v>60</v>
      </c>
      <c r="AB8" s="50">
        <v>1</v>
      </c>
      <c r="AC8" s="50">
        <v>1</v>
      </c>
      <c r="AJ8" s="64" t="s">
        <v>60</v>
      </c>
      <c r="AK8" s="77">
        <v>60.895271765381224</v>
      </c>
      <c r="AL8" s="77">
        <v>22.857935830441416</v>
      </c>
      <c r="AM8" s="50">
        <v>1</v>
      </c>
      <c r="AN8" s="52">
        <v>0.10392424580000001</v>
      </c>
      <c r="AO8" s="52">
        <v>0.32863412813189302</v>
      </c>
      <c r="AP8" s="50">
        <v>1</v>
      </c>
    </row>
    <row r="9" spans="1:42" x14ac:dyDescent="0.35">
      <c r="A9" s="64" t="s">
        <v>7</v>
      </c>
      <c r="B9" s="65" t="s">
        <v>143</v>
      </c>
      <c r="C9" s="77">
        <v>7.8475241743670043</v>
      </c>
      <c r="D9" s="77">
        <v>5.8473988439306357</v>
      </c>
      <c r="E9" s="47" t="str">
        <f t="shared" si="2"/>
        <v>Below Average</v>
      </c>
      <c r="F9" s="47" t="str">
        <f t="shared" si="0"/>
        <v>Below Average</v>
      </c>
      <c r="G9" s="75" t="str" cm="1">
        <f t="array" ref="G9">_xlfn.IFS(AND(E9="Above Average",F9="Below Average"),"Q1",AND(E9="Above Average",F9="Above Average"),"Q2",AND(E9="Below Average",F9="Above Average"),"Q3",AND(E9="Below Average",F9="Below Average"),"Q4")</f>
        <v>Q4</v>
      </c>
      <c r="H9" s="50" cm="1">
        <f t="array" ref="H9">_xlfn.IFS(G9="Q1",1,G9="Q2",2,G9="Q3",3,G9="Q4",4)</f>
        <v>4</v>
      </c>
      <c r="J9" s="64" t="s">
        <v>7</v>
      </c>
      <c r="K9" s="52">
        <v>3.6992728700000005E-2</v>
      </c>
      <c r="L9" s="52">
        <v>0.60169835832363905</v>
      </c>
      <c r="M9" s="47" t="str">
        <f t="shared" si="1"/>
        <v>Below Average</v>
      </c>
      <c r="N9" s="47" t="str">
        <f t="shared" si="3"/>
        <v>Above Average</v>
      </c>
      <c r="O9" s="75" t="str" cm="1">
        <f t="array" ref="O9">_xlfn.IFS(AND(M9="Above Average",N9="Below Average"),"Q1",AND(M9="Above Average",N9="Above Average"),"Q2",AND(M9="Below Average",N9="Above Average"),"Q3",AND(M9="Below Average",N9="Below Average"),"Q4")</f>
        <v>Q3</v>
      </c>
      <c r="P9" s="50" cm="1">
        <f t="array" ref="P9">_xlfn.IFS(O9="Q1",1,O9="Q2",2,O9="Q3",3,O9="Q4",4)</f>
        <v>3</v>
      </c>
      <c r="R9" t="s">
        <v>7</v>
      </c>
      <c r="S9" t="s">
        <v>143</v>
      </c>
      <c r="T9">
        <v>3.6992728700000005E-2</v>
      </c>
      <c r="U9">
        <v>0.60169835832363905</v>
      </c>
      <c r="AA9" s="64" t="s">
        <v>7</v>
      </c>
      <c r="AB9" s="50">
        <v>4</v>
      </c>
      <c r="AC9" s="50">
        <v>3</v>
      </c>
      <c r="AJ9" s="64" t="s">
        <v>7</v>
      </c>
      <c r="AK9" s="77">
        <v>7.8475241743670043</v>
      </c>
      <c r="AL9" s="77">
        <v>5.8473988439306357</v>
      </c>
      <c r="AM9" s="50">
        <v>4</v>
      </c>
      <c r="AN9" s="52">
        <v>3.6992728700000005E-2</v>
      </c>
      <c r="AO9" s="52">
        <v>0.60169835832363905</v>
      </c>
      <c r="AP9" s="50">
        <v>3</v>
      </c>
    </row>
    <row r="10" spans="1:42" x14ac:dyDescent="0.35">
      <c r="A10" s="64" t="s">
        <v>8</v>
      </c>
      <c r="B10" s="65" t="s">
        <v>144</v>
      </c>
      <c r="C10" s="77">
        <v>2.3872297370504008</v>
      </c>
      <c r="D10" s="77">
        <v>44.159429280397021</v>
      </c>
      <c r="E10" s="47" t="str">
        <f t="shared" si="2"/>
        <v>Below Average</v>
      </c>
      <c r="F10" s="47" t="str">
        <f t="shared" si="0"/>
        <v>Above Average</v>
      </c>
      <c r="G10" s="75" t="str" cm="1">
        <f t="array" ref="G10">_xlfn.IFS(AND(E10="Above Average",F10="Below Average"),"Q1",AND(E10="Above Average",F10="Above Average"),"Q2",AND(E10="Below Average",F10="Above Average"),"Q3",AND(E10="Below Average",F10="Below Average"),"Q4")</f>
        <v>Q3</v>
      </c>
      <c r="H10" s="50" cm="1">
        <f t="array" ref="H10">_xlfn.IFS(G10="Q1",1,G10="Q2",2,G10="Q3",3,G10="Q4",4)</f>
        <v>3</v>
      </c>
      <c r="J10" s="64" t="s">
        <v>8</v>
      </c>
      <c r="K10" s="52">
        <v>4.8423175799999996E-2</v>
      </c>
      <c r="L10" s="52">
        <v>0.60169835832363905</v>
      </c>
      <c r="M10" s="47" t="str">
        <f t="shared" si="1"/>
        <v>Below Average</v>
      </c>
      <c r="N10" s="47" t="str">
        <f t="shared" si="3"/>
        <v>Above Average</v>
      </c>
      <c r="O10" s="75" t="str" cm="1">
        <f t="array" ref="O10">_xlfn.IFS(AND(M10="Above Average",N10="Below Average"),"Q1",AND(M10="Above Average",N10="Above Average"),"Q2",AND(M10="Below Average",N10="Above Average"),"Q3",AND(M10="Below Average",N10="Below Average"),"Q4")</f>
        <v>Q3</v>
      </c>
      <c r="P10" s="50" cm="1">
        <f t="array" ref="P10">_xlfn.IFS(O10="Q1",1,O10="Q2",2,O10="Q3",3,O10="Q4",4)</f>
        <v>3</v>
      </c>
      <c r="R10" t="s">
        <v>8</v>
      </c>
      <c r="S10" t="s">
        <v>144</v>
      </c>
      <c r="T10">
        <v>4.8423175799999996E-2</v>
      </c>
      <c r="U10">
        <v>0.60169835832363905</v>
      </c>
      <c r="AA10" s="64" t="s">
        <v>8</v>
      </c>
      <c r="AB10" s="50">
        <v>3</v>
      </c>
      <c r="AC10" s="50">
        <v>3</v>
      </c>
      <c r="AJ10" s="64" t="s">
        <v>8</v>
      </c>
      <c r="AK10" s="77">
        <v>2.3872297370504008</v>
      </c>
      <c r="AL10" s="77">
        <v>44.159429280397021</v>
      </c>
      <c r="AM10" s="50">
        <v>3</v>
      </c>
      <c r="AN10" s="52">
        <v>4.8423175799999996E-2</v>
      </c>
      <c r="AO10" s="52">
        <v>0.60169835832363905</v>
      </c>
      <c r="AP10" s="50">
        <v>3</v>
      </c>
    </row>
    <row r="11" spans="1:42" x14ac:dyDescent="0.35">
      <c r="A11" s="64" t="s">
        <v>9</v>
      </c>
      <c r="B11" s="65" t="s">
        <v>145</v>
      </c>
      <c r="C11" s="77">
        <v>3.2716188953202665</v>
      </c>
      <c r="D11" s="77">
        <v>1.5058928414930488</v>
      </c>
      <c r="E11" s="47" t="str">
        <f t="shared" si="2"/>
        <v>Below Average</v>
      </c>
      <c r="F11" s="47" t="str">
        <f t="shared" si="0"/>
        <v>Below Average</v>
      </c>
      <c r="G11" s="75" t="str" cm="1">
        <f t="array" ref="G11">_xlfn.IFS(AND(E11="Above Average",F11="Below Average"),"Q1",AND(E11="Above Average",F11="Above Average"),"Q2",AND(E11="Below Average",F11="Above Average"),"Q3",AND(E11="Below Average",F11="Below Average"),"Q4")</f>
        <v>Q4</v>
      </c>
      <c r="H11" s="50" cm="1">
        <f t="array" ref="H11">_xlfn.IFS(G11="Q1",1,G11="Q2",2,G11="Q3",3,G11="Q4",4)</f>
        <v>4</v>
      </c>
      <c r="J11" s="64" t="s">
        <v>9</v>
      </c>
      <c r="K11" s="52">
        <v>4.8723001500000002E-2</v>
      </c>
      <c r="L11" s="52">
        <v>0.35310312003413502</v>
      </c>
      <c r="M11" s="47" t="str">
        <f t="shared" si="1"/>
        <v>Below Average</v>
      </c>
      <c r="N11" s="47" t="str">
        <f t="shared" si="3"/>
        <v>Below Average</v>
      </c>
      <c r="O11" s="75" t="str" cm="1">
        <f t="array" ref="O11">_xlfn.IFS(AND(M11="Above Average",N11="Below Average"),"Q1",AND(M11="Above Average",N11="Above Average"),"Q2",AND(M11="Below Average",N11="Above Average"),"Q3",AND(M11="Below Average",N11="Below Average"),"Q4")</f>
        <v>Q4</v>
      </c>
      <c r="P11" s="50" cm="1">
        <f t="array" ref="P11">_xlfn.IFS(O11="Q1",1,O11="Q2",2,O11="Q3",3,O11="Q4",4)</f>
        <v>4</v>
      </c>
      <c r="R11" t="s">
        <v>9</v>
      </c>
      <c r="S11" t="s">
        <v>145</v>
      </c>
      <c r="T11">
        <v>4.8723001500000002E-2</v>
      </c>
      <c r="U11">
        <v>0.35310312003413502</v>
      </c>
      <c r="AA11" s="64" t="s">
        <v>9</v>
      </c>
      <c r="AB11" s="50">
        <v>4</v>
      </c>
      <c r="AC11" s="50">
        <v>4</v>
      </c>
      <c r="AJ11" s="64" t="s">
        <v>9</v>
      </c>
      <c r="AK11" s="77">
        <v>3.2716188953202665</v>
      </c>
      <c r="AL11" s="77">
        <v>1.5058928414930488</v>
      </c>
      <c r="AM11" s="50">
        <v>4</v>
      </c>
      <c r="AN11" s="52">
        <v>4.8723001500000002E-2</v>
      </c>
      <c r="AO11" s="52">
        <v>0.35310312003413502</v>
      </c>
      <c r="AP11" s="50">
        <v>4</v>
      </c>
    </row>
    <row r="12" spans="1:42" x14ac:dyDescent="0.35">
      <c r="A12" s="64" t="s">
        <v>10</v>
      </c>
      <c r="B12" s="65" t="s">
        <v>146</v>
      </c>
      <c r="C12" s="77">
        <v>20.614550700647715</v>
      </c>
      <c r="D12" s="77">
        <v>28.47427435177109</v>
      </c>
      <c r="E12" s="47" t="str">
        <f t="shared" si="2"/>
        <v>Below Average</v>
      </c>
      <c r="F12" s="47" t="str">
        <f t="shared" si="0"/>
        <v>Above Average</v>
      </c>
      <c r="G12" s="75" t="str" cm="1">
        <f t="array" ref="G12">_xlfn.IFS(AND(E12="Above Average",F12="Below Average"),"Q1",AND(E12="Above Average",F12="Above Average"),"Q2",AND(E12="Below Average",F12="Above Average"),"Q3",AND(E12="Below Average",F12="Below Average"),"Q4")</f>
        <v>Q3</v>
      </c>
      <c r="H12" s="50" cm="1">
        <f t="array" ref="H12">_xlfn.IFS(G12="Q1",1,G12="Q2",2,G12="Q3",3,G12="Q4",4)</f>
        <v>3</v>
      </c>
      <c r="J12" s="64" t="s">
        <v>10</v>
      </c>
      <c r="K12" s="52">
        <v>4.1246685999999998E-2</v>
      </c>
      <c r="L12" s="52">
        <v>0.65</v>
      </c>
      <c r="M12" s="47" t="str">
        <f t="shared" si="1"/>
        <v>Below Average</v>
      </c>
      <c r="N12" s="47" t="str">
        <f t="shared" si="3"/>
        <v>Above Average</v>
      </c>
      <c r="O12" s="75" t="str" cm="1">
        <f t="array" ref="O12">_xlfn.IFS(AND(M12="Above Average",N12="Below Average"),"Q1",AND(M12="Above Average",N12="Above Average"),"Q2",AND(M12="Below Average",N12="Above Average"),"Q3",AND(M12="Below Average",N12="Below Average"),"Q4")</f>
        <v>Q3</v>
      </c>
      <c r="P12" s="50" cm="1">
        <f t="array" ref="P12">_xlfn.IFS(O12="Q1",1,O12="Q2",2,O12="Q3",3,O12="Q4",4)</f>
        <v>3</v>
      </c>
      <c r="R12" t="s">
        <v>10</v>
      </c>
      <c r="S12" t="s">
        <v>146</v>
      </c>
      <c r="T12">
        <v>4.1246685999999998E-2</v>
      </c>
      <c r="U12">
        <v>0.65</v>
      </c>
      <c r="AA12" s="64" t="s">
        <v>10</v>
      </c>
      <c r="AB12" s="50">
        <v>3</v>
      </c>
      <c r="AC12" s="50">
        <v>3</v>
      </c>
      <c r="AJ12" s="64" t="s">
        <v>10</v>
      </c>
      <c r="AK12" s="77">
        <v>20.614550700647715</v>
      </c>
      <c r="AL12" s="77">
        <v>28.47427435177109</v>
      </c>
      <c r="AM12" s="50">
        <v>3</v>
      </c>
      <c r="AN12" s="52">
        <v>4.1246685999999998E-2</v>
      </c>
      <c r="AO12" s="52">
        <v>0.65</v>
      </c>
      <c r="AP12" s="50">
        <v>3</v>
      </c>
    </row>
    <row r="13" spans="1:42" x14ac:dyDescent="0.35">
      <c r="A13" s="64" t="s">
        <v>149</v>
      </c>
      <c r="B13" s="65" t="s">
        <v>150</v>
      </c>
      <c r="C13" s="77">
        <v>11.710635712808925</v>
      </c>
      <c r="D13" s="77">
        <v>20.263906002583152</v>
      </c>
      <c r="E13" s="47" t="str">
        <f t="shared" si="2"/>
        <v>Below Average</v>
      </c>
      <c r="F13" s="47" t="str">
        <f t="shared" si="0"/>
        <v>Below Average</v>
      </c>
      <c r="G13" s="75" t="str" cm="1">
        <f t="array" ref="G13">_xlfn.IFS(AND(E13="Above Average",F13="Below Average"),"Q1",AND(E13="Above Average",F13="Above Average"),"Q2",AND(E13="Below Average",F13="Above Average"),"Q3",AND(E13="Below Average",F13="Below Average"),"Q4")</f>
        <v>Q4</v>
      </c>
      <c r="H13" s="50" cm="1">
        <f t="array" ref="H13">_xlfn.IFS(G13="Q1",1,G13="Q2",2,G13="Q3",3,G13="Q4",4)</f>
        <v>4</v>
      </c>
      <c r="J13" s="64" t="s">
        <v>149</v>
      </c>
      <c r="K13" s="52">
        <v>6.6596483200000001E-2</v>
      </c>
      <c r="L13" s="52">
        <v>0.373</v>
      </c>
      <c r="M13" s="47" t="str">
        <f t="shared" si="1"/>
        <v>Below Average</v>
      </c>
      <c r="N13" s="47" t="str">
        <f t="shared" si="3"/>
        <v>Below Average</v>
      </c>
      <c r="O13" s="75" t="str" cm="1">
        <f t="array" ref="O13">_xlfn.IFS(AND(M13="Above Average",N13="Below Average"),"Q1",AND(M13="Above Average",N13="Above Average"),"Q2",AND(M13="Below Average",N13="Above Average"),"Q3",AND(M13="Below Average",N13="Below Average"),"Q4")</f>
        <v>Q4</v>
      </c>
      <c r="P13" s="50" cm="1">
        <f t="array" ref="P13">_xlfn.IFS(O13="Q1",1,O13="Q2",2,O13="Q3",3,O13="Q4",4)</f>
        <v>4</v>
      </c>
      <c r="R13" t="s">
        <v>147</v>
      </c>
      <c r="S13" t="s">
        <v>148</v>
      </c>
      <c r="T13">
        <v>8.2168407400000004E-2</v>
      </c>
      <c r="U13">
        <v>0.43066371754243699</v>
      </c>
      <c r="AA13" s="64" t="s">
        <v>149</v>
      </c>
      <c r="AB13" s="50">
        <v>4</v>
      </c>
      <c r="AC13" s="50">
        <v>4</v>
      </c>
      <c r="AJ13" s="64" t="s">
        <v>149</v>
      </c>
      <c r="AK13" s="77">
        <v>11.710635712808925</v>
      </c>
      <c r="AL13" s="77">
        <v>20.263906002583152</v>
      </c>
      <c r="AM13" s="50">
        <v>4</v>
      </c>
      <c r="AN13" s="52">
        <v>6.6596483200000001E-2</v>
      </c>
      <c r="AO13" s="52">
        <v>0.373</v>
      </c>
      <c r="AP13" s="50">
        <v>4</v>
      </c>
    </row>
    <row r="14" spans="1:42" ht="29" x14ac:dyDescent="0.35">
      <c r="A14" s="64" t="s">
        <v>82</v>
      </c>
      <c r="B14" s="65" t="s">
        <v>151</v>
      </c>
      <c r="C14" s="77">
        <v>14.104125276326323</v>
      </c>
      <c r="D14" s="77">
        <v>4.5412705268813731</v>
      </c>
      <c r="E14" s="47" t="str">
        <f t="shared" si="2"/>
        <v>Below Average</v>
      </c>
      <c r="F14" s="47" t="str">
        <f t="shared" si="0"/>
        <v>Below Average</v>
      </c>
      <c r="G14" s="75" t="str" cm="1">
        <f t="array" ref="G14">_xlfn.IFS(AND(E14="Above Average",F14="Below Average"),"Q1",AND(E14="Above Average",F14="Above Average"),"Q2",AND(E14="Below Average",F14="Above Average"),"Q3",AND(E14="Below Average",F14="Below Average"),"Q4")</f>
        <v>Q4</v>
      </c>
      <c r="H14" s="50" cm="1">
        <f t="array" ref="H14">_xlfn.IFS(G14="Q1",1,G14="Q2",2,G14="Q3",3,G14="Q4",4)</f>
        <v>4</v>
      </c>
      <c r="J14" s="64" t="s">
        <v>82</v>
      </c>
      <c r="K14" s="52">
        <v>6.2699966400000001E-2</v>
      </c>
      <c r="L14" s="52">
        <v>0.473026044369111</v>
      </c>
      <c r="M14" s="47" t="str">
        <f t="shared" si="1"/>
        <v>Below Average</v>
      </c>
      <c r="N14" s="47" t="str">
        <f t="shared" si="3"/>
        <v>Above Average</v>
      </c>
      <c r="O14" s="75" t="str" cm="1">
        <f t="array" ref="O14">_xlfn.IFS(AND(M14="Above Average",N14="Below Average"),"Q1",AND(M14="Above Average",N14="Above Average"),"Q2",AND(M14="Below Average",N14="Above Average"),"Q3",AND(M14="Below Average",N14="Below Average"),"Q4")</f>
        <v>Q3</v>
      </c>
      <c r="P14" s="50" cm="1">
        <f t="array" ref="P14">_xlfn.IFS(O14="Q1",1,O14="Q2",2,O14="Q3",3,O14="Q4",4)</f>
        <v>3</v>
      </c>
      <c r="R14" t="s">
        <v>149</v>
      </c>
      <c r="S14" t="s">
        <v>150</v>
      </c>
      <c r="T14">
        <v>6.6596483200000001E-2</v>
      </c>
      <c r="U14">
        <v>0.373</v>
      </c>
      <c r="AA14" s="64" t="s">
        <v>82</v>
      </c>
      <c r="AB14" s="50">
        <v>4</v>
      </c>
      <c r="AC14" s="50">
        <v>3</v>
      </c>
      <c r="AJ14" s="64" t="s">
        <v>82</v>
      </c>
      <c r="AK14" s="77">
        <v>14.104125276326323</v>
      </c>
      <c r="AL14" s="77">
        <v>4.5412705268813731</v>
      </c>
      <c r="AM14" s="50">
        <v>4</v>
      </c>
      <c r="AN14" s="52">
        <v>6.2699966400000001E-2</v>
      </c>
      <c r="AO14" s="52">
        <v>0.473026044369111</v>
      </c>
      <c r="AP14" s="50">
        <v>3</v>
      </c>
    </row>
    <row r="15" spans="1:42" x14ac:dyDescent="0.35">
      <c r="A15" s="64" t="s">
        <v>14</v>
      </c>
      <c r="B15" s="65" t="s">
        <v>152</v>
      </c>
      <c r="C15" s="77">
        <v>10.007213798082931</v>
      </c>
      <c r="D15" s="77">
        <v>0.95412514516632685</v>
      </c>
      <c r="E15" s="47" t="str">
        <f t="shared" si="2"/>
        <v>Below Average</v>
      </c>
      <c r="F15" s="47" t="str">
        <f t="shared" si="0"/>
        <v>Below Average</v>
      </c>
      <c r="G15" s="75" t="str" cm="1">
        <f t="array" ref="G15">_xlfn.IFS(AND(E15="Above Average",F15="Below Average"),"Q1",AND(E15="Above Average",F15="Above Average"),"Q2",AND(E15="Below Average",F15="Above Average"),"Q3",AND(E15="Below Average",F15="Below Average"),"Q4")</f>
        <v>Q4</v>
      </c>
      <c r="H15" s="50" cm="1">
        <f t="array" ref="H15">_xlfn.IFS(G15="Q1",1,G15="Q2",2,G15="Q3",3,G15="Q4",4)</f>
        <v>4</v>
      </c>
      <c r="J15" s="64" t="s">
        <v>14</v>
      </c>
      <c r="K15" s="52">
        <v>5.2922940299999999E-2</v>
      </c>
      <c r="L15" s="52">
        <v>0.473026044369111</v>
      </c>
      <c r="M15" s="47" t="str">
        <f t="shared" si="1"/>
        <v>Below Average</v>
      </c>
      <c r="N15" s="47" t="str">
        <f t="shared" si="3"/>
        <v>Above Average</v>
      </c>
      <c r="O15" s="75" t="str" cm="1">
        <f t="array" ref="O15">_xlfn.IFS(AND(M15="Above Average",N15="Below Average"),"Q1",AND(M15="Above Average",N15="Above Average"),"Q2",AND(M15="Below Average",N15="Above Average"),"Q3",AND(M15="Below Average",N15="Below Average"),"Q4")</f>
        <v>Q3</v>
      </c>
      <c r="P15" s="50" cm="1">
        <f t="array" ref="P15">_xlfn.IFS(O15="Q1",1,O15="Q2",2,O15="Q3",3,O15="Q4",4)</f>
        <v>3</v>
      </c>
      <c r="R15" t="s">
        <v>82</v>
      </c>
      <c r="S15" t="s">
        <v>151</v>
      </c>
      <c r="T15">
        <v>6.2699966400000001E-2</v>
      </c>
      <c r="U15">
        <v>0.473026044369111</v>
      </c>
      <c r="AA15" s="64" t="s">
        <v>14</v>
      </c>
      <c r="AB15" s="50">
        <v>4</v>
      </c>
      <c r="AC15" s="50">
        <v>3</v>
      </c>
      <c r="AJ15" s="64" t="s">
        <v>14</v>
      </c>
      <c r="AK15" s="77">
        <v>10.007213798082931</v>
      </c>
      <c r="AL15" s="77">
        <v>0.95412514516632685</v>
      </c>
      <c r="AM15" s="50">
        <v>4</v>
      </c>
      <c r="AN15" s="52">
        <v>5.2922940299999999E-2</v>
      </c>
      <c r="AO15" s="52">
        <v>0.473026044369111</v>
      </c>
      <c r="AP15" s="50">
        <v>3</v>
      </c>
    </row>
    <row r="16" spans="1:42" x14ac:dyDescent="0.35">
      <c r="A16" s="64" t="s">
        <v>15</v>
      </c>
      <c r="B16" s="65" t="s">
        <v>153</v>
      </c>
      <c r="C16" s="77">
        <v>14.584070867806926</v>
      </c>
      <c r="D16" s="77">
        <v>13.264544118808269</v>
      </c>
      <c r="E16" s="47" t="str">
        <f t="shared" si="2"/>
        <v>Below Average</v>
      </c>
      <c r="F16" s="47" t="str">
        <f t="shared" si="0"/>
        <v>Below Average</v>
      </c>
      <c r="G16" s="75" t="str" cm="1">
        <f t="array" ref="G16">_xlfn.IFS(AND(E16="Above Average",F16="Below Average"),"Q1",AND(E16="Above Average",F16="Above Average"),"Q2",AND(E16="Below Average",F16="Above Average"),"Q3",AND(E16="Below Average",F16="Below Average"),"Q4")</f>
        <v>Q4</v>
      </c>
      <c r="H16" s="50" cm="1">
        <f t="array" ref="H16">_xlfn.IFS(G16="Q1",1,G16="Q2",2,G16="Q3",3,G16="Q4",4)</f>
        <v>4</v>
      </c>
      <c r="J16" s="64" t="s">
        <v>15</v>
      </c>
      <c r="K16" s="52">
        <v>2.3541069000000001E-2</v>
      </c>
      <c r="L16" s="52">
        <v>0.67300000000000004</v>
      </c>
      <c r="M16" s="47" t="str">
        <f t="shared" si="1"/>
        <v>Below Average</v>
      </c>
      <c r="N16" s="47" t="str">
        <f t="shared" si="3"/>
        <v>Above Average</v>
      </c>
      <c r="O16" s="75" t="str" cm="1">
        <f t="array" ref="O16">_xlfn.IFS(AND(M16="Above Average",N16="Below Average"),"Q1",AND(M16="Above Average",N16="Above Average"),"Q2",AND(M16="Below Average",N16="Above Average"),"Q3",AND(M16="Below Average",N16="Below Average"),"Q4")</f>
        <v>Q3</v>
      </c>
      <c r="P16" s="50" cm="1">
        <f t="array" ref="P16">_xlfn.IFS(O16="Q1",1,O16="Q2",2,O16="Q3",3,O16="Q4",4)</f>
        <v>3</v>
      </c>
      <c r="R16" t="s">
        <v>14</v>
      </c>
      <c r="S16" t="s">
        <v>152</v>
      </c>
      <c r="T16">
        <v>5.2922940299999999E-2</v>
      </c>
      <c r="U16">
        <v>0.473026044369111</v>
      </c>
      <c r="AA16" s="64" t="s">
        <v>15</v>
      </c>
      <c r="AB16" s="50">
        <v>4</v>
      </c>
      <c r="AC16" s="50">
        <v>3</v>
      </c>
      <c r="AJ16" s="64" t="s">
        <v>15</v>
      </c>
      <c r="AK16" s="77">
        <v>14.584070867806926</v>
      </c>
      <c r="AL16" s="77">
        <v>13.264544118808269</v>
      </c>
      <c r="AM16" s="50">
        <v>4</v>
      </c>
      <c r="AN16" s="52">
        <v>2.3541069000000001E-2</v>
      </c>
      <c r="AO16" s="52">
        <v>0.67300000000000004</v>
      </c>
      <c r="AP16" s="50">
        <v>3</v>
      </c>
    </row>
    <row r="17" spans="1:42" x14ac:dyDescent="0.35">
      <c r="A17" s="64" t="s">
        <v>16</v>
      </c>
      <c r="B17" s="65" t="s">
        <v>154</v>
      </c>
      <c r="C17" s="77">
        <v>49.456152913797929</v>
      </c>
      <c r="D17" s="77">
        <v>37.056249999999999</v>
      </c>
      <c r="E17" s="47" t="str">
        <f t="shared" si="2"/>
        <v>Above Average</v>
      </c>
      <c r="F17" s="47" t="str">
        <f t="shared" si="0"/>
        <v>Above Average</v>
      </c>
      <c r="G17" s="75" t="str" cm="1">
        <f t="array" ref="G17">_xlfn.IFS(AND(E17="Above Average",F17="Below Average"),"Q1",AND(E17="Above Average",F17="Above Average"),"Q2",AND(E17="Below Average",F17="Above Average"),"Q3",AND(E17="Below Average",F17="Below Average"),"Q4")</f>
        <v>Q2</v>
      </c>
      <c r="H17" s="50" cm="1">
        <f t="array" ref="H17">_xlfn.IFS(G17="Q1",1,G17="Q2",2,G17="Q3",3,G17="Q4",4)</f>
        <v>2</v>
      </c>
      <c r="J17" s="64" t="s">
        <v>16</v>
      </c>
      <c r="K17" s="52">
        <v>9.9682931900000007E-2</v>
      </c>
      <c r="L17" s="52">
        <v>0.3</v>
      </c>
      <c r="M17" s="47" t="str">
        <f t="shared" si="1"/>
        <v>Above Average</v>
      </c>
      <c r="N17" s="47" t="str">
        <f t="shared" si="3"/>
        <v>Below Average</v>
      </c>
      <c r="O17" s="75" t="str" cm="1">
        <f t="array" ref="O17">_xlfn.IFS(AND(M17="Above Average",N17="Below Average"),"Q1",AND(M17="Above Average",N17="Above Average"),"Q2",AND(M17="Below Average",N17="Above Average"),"Q3",AND(M17="Below Average",N17="Below Average"),"Q4")</f>
        <v>Q1</v>
      </c>
      <c r="P17" s="50" cm="1">
        <f t="array" ref="P17">_xlfn.IFS(O17="Q1",1,O17="Q2",2,O17="Q3",3,O17="Q4",4)</f>
        <v>1</v>
      </c>
      <c r="R17" t="s">
        <v>15</v>
      </c>
      <c r="S17" t="s">
        <v>153</v>
      </c>
      <c r="T17">
        <v>2.3541069000000001E-2</v>
      </c>
      <c r="U17">
        <v>0.67300000000000004</v>
      </c>
      <c r="AA17" s="64" t="s">
        <v>16</v>
      </c>
      <c r="AB17" s="50">
        <v>2</v>
      </c>
      <c r="AC17" s="50">
        <v>1</v>
      </c>
      <c r="AJ17" s="64" t="s">
        <v>16</v>
      </c>
      <c r="AK17" s="77">
        <v>49.456152913797929</v>
      </c>
      <c r="AL17" s="77">
        <v>37.056249999999999</v>
      </c>
      <c r="AM17" s="50">
        <v>2</v>
      </c>
      <c r="AN17" s="52">
        <v>9.9682931900000007E-2</v>
      </c>
      <c r="AO17" s="52">
        <v>0.3</v>
      </c>
      <c r="AP17" s="50">
        <v>1</v>
      </c>
    </row>
    <row r="18" spans="1:42" x14ac:dyDescent="0.35">
      <c r="A18" s="64" t="s">
        <v>17</v>
      </c>
      <c r="B18" s="65" t="s">
        <v>155</v>
      </c>
      <c r="C18" s="77">
        <v>15.362628950222767</v>
      </c>
      <c r="D18" s="77">
        <v>16.468657033574161</v>
      </c>
      <c r="E18" s="47" t="str">
        <f t="shared" si="2"/>
        <v>Below Average</v>
      </c>
      <c r="F18" s="47" t="str">
        <f t="shared" si="0"/>
        <v>Below Average</v>
      </c>
      <c r="G18" s="75" t="str" cm="1">
        <f t="array" ref="G18">_xlfn.IFS(AND(E18="Above Average",F18="Below Average"),"Q1",AND(E18="Above Average",F18="Above Average"),"Q2",AND(E18="Below Average",F18="Above Average"),"Q3",AND(E18="Below Average",F18="Below Average"),"Q4")</f>
        <v>Q4</v>
      </c>
      <c r="H18" s="50" cm="1">
        <f t="array" ref="H18">_xlfn.IFS(G18="Q1",1,G18="Q2",2,G18="Q3",3,G18="Q4",4)</f>
        <v>4</v>
      </c>
      <c r="J18" s="64" t="s">
        <v>17</v>
      </c>
      <c r="K18" s="52">
        <v>6.79223251E-2</v>
      </c>
      <c r="L18" s="52">
        <v>0.18662367321998</v>
      </c>
      <c r="M18" s="47" t="str">
        <f t="shared" si="1"/>
        <v>Below Average</v>
      </c>
      <c r="N18" s="47" t="str">
        <f t="shared" si="3"/>
        <v>Below Average</v>
      </c>
      <c r="O18" s="75" t="str" cm="1">
        <f t="array" ref="O18">_xlfn.IFS(AND(M18="Above Average",N18="Below Average"),"Q1",AND(M18="Above Average",N18="Above Average"),"Q2",AND(M18="Below Average",N18="Above Average"),"Q3",AND(M18="Below Average",N18="Below Average"),"Q4")</f>
        <v>Q4</v>
      </c>
      <c r="P18" s="50" cm="1">
        <f t="array" ref="P18">_xlfn.IFS(O18="Q1",1,O18="Q2",2,O18="Q3",3,O18="Q4",4)</f>
        <v>4</v>
      </c>
      <c r="R18" t="s">
        <v>16</v>
      </c>
      <c r="S18" t="s">
        <v>154</v>
      </c>
      <c r="T18">
        <v>9.9682931900000007E-2</v>
      </c>
      <c r="U18">
        <v>0.3</v>
      </c>
      <c r="AA18" s="64" t="s">
        <v>17</v>
      </c>
      <c r="AB18" s="50">
        <v>4</v>
      </c>
      <c r="AC18" s="50">
        <v>4</v>
      </c>
      <c r="AJ18" s="64" t="s">
        <v>17</v>
      </c>
      <c r="AK18" s="77">
        <v>15.362628950222767</v>
      </c>
      <c r="AL18" s="77">
        <v>16.468657033574161</v>
      </c>
      <c r="AM18" s="50">
        <v>4</v>
      </c>
      <c r="AN18" s="52">
        <v>6.79223251E-2</v>
      </c>
      <c r="AO18" s="52">
        <v>0.18662367321998</v>
      </c>
      <c r="AP18" s="50">
        <v>4</v>
      </c>
    </row>
    <row r="19" spans="1:42" x14ac:dyDescent="0.35">
      <c r="A19" s="64" t="s">
        <v>18</v>
      </c>
      <c r="B19" s="65" t="s">
        <v>156</v>
      </c>
      <c r="C19" s="77">
        <v>29.037302117617038</v>
      </c>
      <c r="D19" s="77">
        <v>42.673685800866124</v>
      </c>
      <c r="E19" s="47" t="str">
        <f t="shared" si="2"/>
        <v>Above Average</v>
      </c>
      <c r="F19" s="47" t="str">
        <f t="shared" si="0"/>
        <v>Above Average</v>
      </c>
      <c r="G19" s="75" t="str" cm="1">
        <f t="array" ref="G19">_xlfn.IFS(AND(E19="Above Average",F19="Below Average"),"Q1",AND(E19="Above Average",F19="Above Average"),"Q2",AND(E19="Below Average",F19="Above Average"),"Q3",AND(E19="Below Average",F19="Below Average"),"Q4")</f>
        <v>Q2</v>
      </c>
      <c r="H19" s="50" cm="1">
        <f t="array" ref="H19">_xlfn.IFS(G19="Q1",1,G19="Q2",2,G19="Q3",3,G19="Q4",4)</f>
        <v>2</v>
      </c>
      <c r="J19" s="64" t="s">
        <v>18</v>
      </c>
      <c r="K19" s="52">
        <v>9.5915584600000006E-2</v>
      </c>
      <c r="L19" s="52">
        <v>0.487577741763977</v>
      </c>
      <c r="M19" s="47" t="str">
        <f t="shared" si="1"/>
        <v>Above Average</v>
      </c>
      <c r="N19" s="47" t="str">
        <f t="shared" si="3"/>
        <v>Above Average</v>
      </c>
      <c r="O19" s="75" t="str" cm="1">
        <f t="array" ref="O19">_xlfn.IFS(AND(M19="Above Average",N19="Below Average"),"Q1",AND(M19="Above Average",N19="Above Average"),"Q2",AND(M19="Below Average",N19="Above Average"),"Q3",AND(M19="Below Average",N19="Below Average"),"Q4")</f>
        <v>Q2</v>
      </c>
      <c r="P19" s="50" cm="1">
        <f t="array" ref="P19">_xlfn.IFS(O19="Q1",1,O19="Q2",2,O19="Q3",3,O19="Q4",4)</f>
        <v>2</v>
      </c>
      <c r="R19" t="s">
        <v>17</v>
      </c>
      <c r="S19" t="s">
        <v>155</v>
      </c>
      <c r="T19">
        <v>6.79223251E-2</v>
      </c>
      <c r="U19">
        <v>0.18662367321998</v>
      </c>
      <c r="AA19" s="64" t="s">
        <v>18</v>
      </c>
      <c r="AB19" s="50">
        <v>2</v>
      </c>
      <c r="AC19" s="50">
        <v>2</v>
      </c>
      <c r="AJ19" s="64" t="s">
        <v>18</v>
      </c>
      <c r="AK19" s="77">
        <v>29.037302117617038</v>
      </c>
      <c r="AL19" s="77">
        <v>42.673685800866124</v>
      </c>
      <c r="AM19" s="50">
        <v>2</v>
      </c>
      <c r="AN19" s="52">
        <v>9.5915584600000006E-2</v>
      </c>
      <c r="AO19" s="52">
        <v>0.487577741763977</v>
      </c>
      <c r="AP19" s="50">
        <v>2</v>
      </c>
    </row>
    <row r="20" spans="1:42" x14ac:dyDescent="0.35">
      <c r="A20" s="64" t="s">
        <v>20</v>
      </c>
      <c r="B20" s="65" t="s">
        <v>159</v>
      </c>
      <c r="C20" s="77">
        <v>45.6484849222892</v>
      </c>
      <c r="D20" s="77">
        <v>5.6456748687645337</v>
      </c>
      <c r="E20" s="47" t="str">
        <f t="shared" si="2"/>
        <v>Above Average</v>
      </c>
      <c r="F20" s="47" t="str">
        <f t="shared" si="0"/>
        <v>Below Average</v>
      </c>
      <c r="G20" s="75" t="str" cm="1">
        <f t="array" ref="G20">_xlfn.IFS(AND(E20="Above Average",F20="Below Average"),"Q1",AND(E20="Above Average",F20="Above Average"),"Q2",AND(E20="Below Average",F20="Above Average"),"Q3",AND(E20="Below Average",F20="Below Average"),"Q4")</f>
        <v>Q1</v>
      </c>
      <c r="H20" s="50" cm="1">
        <f t="array" ref="H20">_xlfn.IFS(G20="Q1",1,G20="Q2",2,G20="Q3",3,G20="Q4",4)</f>
        <v>1</v>
      </c>
      <c r="J20" s="64" t="s">
        <v>20</v>
      </c>
      <c r="K20" s="52">
        <v>6.8515443800000006E-2</v>
      </c>
      <c r="L20" s="52">
        <v>0.57699999999999996</v>
      </c>
      <c r="M20" s="47" t="str">
        <f t="shared" si="1"/>
        <v>Below Average</v>
      </c>
      <c r="N20" s="47" t="str">
        <f t="shared" si="3"/>
        <v>Above Average</v>
      </c>
      <c r="O20" s="75" t="str" cm="1">
        <f t="array" ref="O20">_xlfn.IFS(AND(M20="Above Average",N20="Below Average"),"Q1",AND(M20="Above Average",N20="Above Average"),"Q2",AND(M20="Below Average",N20="Above Average"),"Q3",AND(M20="Below Average",N20="Below Average"),"Q4")</f>
        <v>Q3</v>
      </c>
      <c r="P20" s="50" cm="1">
        <f t="array" ref="P20">_xlfn.IFS(O20="Q1",1,O20="Q2",2,O20="Q3",3,O20="Q4",4)</f>
        <v>3</v>
      </c>
      <c r="R20" t="s">
        <v>18</v>
      </c>
      <c r="S20" t="s">
        <v>156</v>
      </c>
      <c r="T20">
        <v>9.5915584600000006E-2</v>
      </c>
      <c r="U20">
        <v>0.487577741763977</v>
      </c>
      <c r="AA20" s="64" t="s">
        <v>20</v>
      </c>
      <c r="AB20" s="50">
        <v>1</v>
      </c>
      <c r="AC20" s="50">
        <v>3</v>
      </c>
      <c r="AJ20" s="64" t="s">
        <v>20</v>
      </c>
      <c r="AK20" s="77">
        <v>45.6484849222892</v>
      </c>
      <c r="AL20" s="77">
        <v>5.6456748687645337</v>
      </c>
      <c r="AM20" s="50">
        <v>1</v>
      </c>
      <c r="AN20" s="52">
        <v>6.8515443800000006E-2</v>
      </c>
      <c r="AO20" s="52">
        <v>0.57699999999999996</v>
      </c>
      <c r="AP20" s="50">
        <v>3</v>
      </c>
    </row>
    <row r="21" spans="1:42" x14ac:dyDescent="0.35">
      <c r="A21" s="64" t="s">
        <v>21</v>
      </c>
      <c r="B21" s="65" t="s">
        <v>160</v>
      </c>
      <c r="C21" s="77">
        <v>4.5119996321234597</v>
      </c>
      <c r="D21" s="77">
        <v>3.096666017972511</v>
      </c>
      <c r="E21" s="47" t="str">
        <f t="shared" si="2"/>
        <v>Below Average</v>
      </c>
      <c r="F21" s="47" t="str">
        <f t="shared" si="0"/>
        <v>Below Average</v>
      </c>
      <c r="G21" s="75" t="str" cm="1">
        <f t="array" ref="G21">_xlfn.IFS(AND(E21="Above Average",F21="Below Average"),"Q1",AND(E21="Above Average",F21="Above Average"),"Q2",AND(E21="Below Average",F21="Above Average"),"Q3",AND(E21="Below Average",F21="Below Average"),"Q4")</f>
        <v>Q4</v>
      </c>
      <c r="H21" s="50" cm="1">
        <f t="array" ref="H21">_xlfn.IFS(G21="Q1",1,G21="Q2",2,G21="Q3",3,G21="Q4",4)</f>
        <v>4</v>
      </c>
      <c r="J21" s="64" t="s">
        <v>21</v>
      </c>
      <c r="K21" s="52">
        <v>6.1485252399999996E-2</v>
      </c>
      <c r="L21" s="52">
        <v>0.391998679499238</v>
      </c>
      <c r="M21" s="47" t="str">
        <f t="shared" si="1"/>
        <v>Below Average</v>
      </c>
      <c r="N21" s="47" t="str">
        <f t="shared" si="3"/>
        <v>Below Average</v>
      </c>
      <c r="O21" s="75" t="str" cm="1">
        <f t="array" ref="O21">_xlfn.IFS(AND(M21="Above Average",N21="Below Average"),"Q1",AND(M21="Above Average",N21="Above Average"),"Q2",AND(M21="Below Average",N21="Above Average"),"Q3",AND(M21="Below Average",N21="Below Average"),"Q4")</f>
        <v>Q4</v>
      </c>
      <c r="P21" s="50" cm="1">
        <f t="array" ref="P21">_xlfn.IFS(O21="Q1",1,O21="Q2",2,O21="Q3",3,O21="Q4",4)</f>
        <v>4</v>
      </c>
      <c r="R21" t="s">
        <v>157</v>
      </c>
      <c r="S21" t="s">
        <v>158</v>
      </c>
      <c r="T21">
        <v>5.4796643300000003E-2</v>
      </c>
      <c r="U21">
        <v>0.170669454827377</v>
      </c>
      <c r="AA21" s="64" t="s">
        <v>21</v>
      </c>
      <c r="AB21" s="50">
        <v>4</v>
      </c>
      <c r="AC21" s="50">
        <v>4</v>
      </c>
      <c r="AJ21" s="64" t="s">
        <v>21</v>
      </c>
      <c r="AK21" s="77">
        <v>4.5119996321234597</v>
      </c>
      <c r="AL21" s="77">
        <v>3.096666017972511</v>
      </c>
      <c r="AM21" s="50">
        <v>4</v>
      </c>
      <c r="AN21" s="52">
        <v>6.1485252399999996E-2</v>
      </c>
      <c r="AO21" s="52">
        <v>0.391998679499238</v>
      </c>
      <c r="AP21" s="50">
        <v>4</v>
      </c>
    </row>
    <row r="22" spans="1:42" x14ac:dyDescent="0.35">
      <c r="A22" s="64" t="s">
        <v>22</v>
      </c>
      <c r="B22" s="65" t="s">
        <v>161</v>
      </c>
      <c r="C22" s="77">
        <v>12.380872332200333</v>
      </c>
      <c r="D22" s="77">
        <v>22.857935830441416</v>
      </c>
      <c r="E22" s="47" t="str">
        <f t="shared" si="2"/>
        <v>Below Average</v>
      </c>
      <c r="F22" s="47" t="str">
        <f t="shared" si="0"/>
        <v>Below Average</v>
      </c>
      <c r="G22" s="75" t="str" cm="1">
        <f t="array" ref="G22">_xlfn.IFS(AND(E22="Above Average",F22="Below Average"),"Q1",AND(E22="Above Average",F22="Above Average"),"Q2",AND(E22="Below Average",F22="Above Average"),"Q3",AND(E22="Below Average",F22="Below Average"),"Q4")</f>
        <v>Q4</v>
      </c>
      <c r="H22" s="50" cm="1">
        <f t="array" ref="H22">_xlfn.IFS(G22="Q1",1,G22="Q2",2,G22="Q3",3,G22="Q4",4)</f>
        <v>4</v>
      </c>
      <c r="J22" s="64" t="s">
        <v>22</v>
      </c>
      <c r="K22" s="52">
        <v>2.7522828600000004E-2</v>
      </c>
      <c r="L22" s="52">
        <v>0.473026044369111</v>
      </c>
      <c r="M22" s="47" t="str">
        <f t="shared" si="1"/>
        <v>Below Average</v>
      </c>
      <c r="N22" s="47" t="str">
        <f t="shared" si="3"/>
        <v>Above Average</v>
      </c>
      <c r="O22" s="75" t="str" cm="1">
        <f t="array" ref="O22">_xlfn.IFS(AND(M22="Above Average",N22="Below Average"),"Q1",AND(M22="Above Average",N22="Above Average"),"Q2",AND(M22="Below Average",N22="Above Average"),"Q3",AND(M22="Below Average",N22="Below Average"),"Q4")</f>
        <v>Q3</v>
      </c>
      <c r="P22" s="50" cm="1">
        <f t="array" ref="P22">_xlfn.IFS(O22="Q1",1,O22="Q2",2,O22="Q3",3,O22="Q4",4)</f>
        <v>3</v>
      </c>
      <c r="R22" t="s">
        <v>20</v>
      </c>
      <c r="S22" t="s">
        <v>159</v>
      </c>
      <c r="T22">
        <v>6.8515443800000006E-2</v>
      </c>
      <c r="U22">
        <v>0.57699999999999996</v>
      </c>
      <c r="AA22" s="64" t="s">
        <v>22</v>
      </c>
      <c r="AB22" s="50">
        <v>4</v>
      </c>
      <c r="AC22" s="50">
        <v>3</v>
      </c>
      <c r="AJ22" s="64" t="s">
        <v>22</v>
      </c>
      <c r="AK22" s="77">
        <v>12.380872332200333</v>
      </c>
      <c r="AL22" s="77">
        <v>22.857935830441416</v>
      </c>
      <c r="AM22" s="50">
        <v>4</v>
      </c>
      <c r="AN22" s="52">
        <v>2.7522828600000004E-2</v>
      </c>
      <c r="AO22" s="52">
        <v>0.473026044369111</v>
      </c>
      <c r="AP22" s="50">
        <v>3</v>
      </c>
    </row>
    <row r="23" spans="1:42" x14ac:dyDescent="0.35">
      <c r="A23" s="64" t="s">
        <v>23</v>
      </c>
      <c r="B23" s="65" t="s">
        <v>162</v>
      </c>
      <c r="C23" s="77">
        <v>22.689931885967603</v>
      </c>
      <c r="D23" s="77">
        <v>75.215601965601962</v>
      </c>
      <c r="E23" s="47" t="str">
        <f t="shared" si="2"/>
        <v>Below Average</v>
      </c>
      <c r="F23" s="47" t="str">
        <f t="shared" si="0"/>
        <v>Above Average</v>
      </c>
      <c r="G23" s="75" t="str" cm="1">
        <f t="array" ref="G23">_xlfn.IFS(AND(E23="Above Average",F23="Below Average"),"Q1",AND(E23="Above Average",F23="Above Average"),"Q2",AND(E23="Below Average",F23="Above Average"),"Q3",AND(E23="Below Average",F23="Below Average"),"Q4")</f>
        <v>Q3</v>
      </c>
      <c r="H23" s="50" cm="1">
        <f t="array" ref="H23">_xlfn.IFS(G23="Q1",1,G23="Q2",2,G23="Q3",3,G23="Q4",4)</f>
        <v>3</v>
      </c>
      <c r="J23" s="64" t="s">
        <v>23</v>
      </c>
      <c r="K23" s="52">
        <v>8.2324161500000007E-2</v>
      </c>
      <c r="L23" s="52">
        <v>0.437</v>
      </c>
      <c r="M23" s="47" t="str">
        <f t="shared" si="1"/>
        <v>Above Average</v>
      </c>
      <c r="N23" s="47" t="str">
        <f t="shared" si="3"/>
        <v>Above Average</v>
      </c>
      <c r="O23" s="75" t="str" cm="1">
        <f t="array" ref="O23">_xlfn.IFS(AND(M23="Above Average",N23="Below Average"),"Q1",AND(M23="Above Average",N23="Above Average"),"Q2",AND(M23="Below Average",N23="Above Average"),"Q3",AND(M23="Below Average",N23="Below Average"),"Q4")</f>
        <v>Q2</v>
      </c>
      <c r="P23" s="50" cm="1">
        <f t="array" ref="P23">_xlfn.IFS(O23="Q1",1,O23="Q2",2,O23="Q3",3,O23="Q4",4)</f>
        <v>2</v>
      </c>
      <c r="R23" t="s">
        <v>21</v>
      </c>
      <c r="S23" t="s">
        <v>160</v>
      </c>
      <c r="T23">
        <v>6.1485252399999996E-2</v>
      </c>
      <c r="U23">
        <v>0.391998679499238</v>
      </c>
      <c r="AA23" s="64" t="s">
        <v>23</v>
      </c>
      <c r="AB23" s="50">
        <v>3</v>
      </c>
      <c r="AC23" s="50">
        <v>2</v>
      </c>
      <c r="AJ23" s="64" t="s">
        <v>23</v>
      </c>
      <c r="AK23" s="77">
        <v>22.689931885967603</v>
      </c>
      <c r="AL23" s="77">
        <v>75.215601965601962</v>
      </c>
      <c r="AM23" s="50">
        <v>3</v>
      </c>
      <c r="AN23" s="52">
        <v>8.2324161500000007E-2</v>
      </c>
      <c r="AO23" s="52">
        <v>0.437</v>
      </c>
      <c r="AP23" s="50">
        <v>2</v>
      </c>
    </row>
    <row r="24" spans="1:42" x14ac:dyDescent="0.35">
      <c r="A24" s="64" t="s">
        <v>24</v>
      </c>
      <c r="B24" s="65" t="s">
        <v>163</v>
      </c>
      <c r="C24" s="77">
        <v>19.737356151637165</v>
      </c>
      <c r="D24" s="77">
        <v>4.6148174783924176</v>
      </c>
      <c r="E24" s="47" t="str">
        <f t="shared" si="2"/>
        <v>Below Average</v>
      </c>
      <c r="F24" s="47" t="str">
        <f t="shared" si="0"/>
        <v>Below Average</v>
      </c>
      <c r="G24" s="75" t="str" cm="1">
        <f t="array" ref="G24">_xlfn.IFS(AND(E24="Above Average",F24="Below Average"),"Q1",AND(E24="Above Average",F24="Above Average"),"Q2",AND(E24="Below Average",F24="Above Average"),"Q3",AND(E24="Below Average",F24="Below Average"),"Q4")</f>
        <v>Q4</v>
      </c>
      <c r="H24" s="50" cm="1">
        <f t="array" ref="H24">_xlfn.IFS(G24="Q1",1,G24="Q2",2,G24="Q3",3,G24="Q4",4)</f>
        <v>4</v>
      </c>
      <c r="J24" s="64" t="s">
        <v>24</v>
      </c>
      <c r="K24" s="52">
        <v>0.1107517719</v>
      </c>
      <c r="L24" s="52">
        <v>0.2407</v>
      </c>
      <c r="M24" s="47" t="str">
        <f t="shared" si="1"/>
        <v>Above Average</v>
      </c>
      <c r="N24" s="47" t="str">
        <f t="shared" si="3"/>
        <v>Below Average</v>
      </c>
      <c r="O24" s="75" t="str" cm="1">
        <f t="array" ref="O24">_xlfn.IFS(AND(M24="Above Average",N24="Below Average"),"Q1",AND(M24="Above Average",N24="Above Average"),"Q2",AND(M24="Below Average",N24="Above Average"),"Q3",AND(M24="Below Average",N24="Below Average"),"Q4")</f>
        <v>Q1</v>
      </c>
      <c r="P24" s="50" cm="1">
        <f t="array" ref="P24">_xlfn.IFS(O24="Q1",1,O24="Q2",2,O24="Q3",3,O24="Q4",4)</f>
        <v>1</v>
      </c>
      <c r="R24" t="s">
        <v>22</v>
      </c>
      <c r="S24" t="s">
        <v>161</v>
      </c>
      <c r="T24">
        <v>2.7522828600000004E-2</v>
      </c>
      <c r="U24">
        <v>0.473026044369111</v>
      </c>
      <c r="AA24" s="64" t="s">
        <v>24</v>
      </c>
      <c r="AB24" s="50">
        <v>4</v>
      </c>
      <c r="AC24" s="50">
        <v>1</v>
      </c>
      <c r="AJ24" s="64" t="s">
        <v>24</v>
      </c>
      <c r="AK24" s="77">
        <v>19.737356151637165</v>
      </c>
      <c r="AL24" s="77">
        <v>4.6148174783924176</v>
      </c>
      <c r="AM24" s="50">
        <v>4</v>
      </c>
      <c r="AN24" s="52">
        <v>0.1107517719</v>
      </c>
      <c r="AO24" s="52">
        <v>0.2407</v>
      </c>
      <c r="AP24" s="50">
        <v>1</v>
      </c>
    </row>
    <row r="25" spans="1:42" x14ac:dyDescent="0.35">
      <c r="A25" s="64" t="s">
        <v>25</v>
      </c>
      <c r="B25" s="65" t="s">
        <v>164</v>
      </c>
      <c r="C25" s="77">
        <v>12.006604382306818</v>
      </c>
      <c r="D25" s="77">
        <v>58.454296612863345</v>
      </c>
      <c r="E25" s="47" t="str">
        <f t="shared" si="2"/>
        <v>Below Average</v>
      </c>
      <c r="F25" s="47" t="str">
        <f t="shared" si="0"/>
        <v>Above Average</v>
      </c>
      <c r="G25" s="75" t="str" cm="1">
        <f t="array" ref="G25">_xlfn.IFS(AND(E25="Above Average",F25="Below Average"),"Q1",AND(E25="Above Average",F25="Above Average"),"Q2",AND(E25="Below Average",F25="Above Average"),"Q3",AND(E25="Below Average",F25="Below Average"),"Q4")</f>
        <v>Q3</v>
      </c>
      <c r="H25" s="50" cm="1">
        <f t="array" ref="H25">_xlfn.IFS(G25="Q1",1,G25="Q2",2,G25="Q3",3,G25="Q4",4)</f>
        <v>3</v>
      </c>
      <c r="J25" s="64" t="s">
        <v>25</v>
      </c>
      <c r="K25" s="52">
        <v>4.5191278500000001E-2</v>
      </c>
      <c r="L25" s="52">
        <v>0.71079999999999999</v>
      </c>
      <c r="M25" s="47" t="str">
        <f t="shared" si="1"/>
        <v>Below Average</v>
      </c>
      <c r="N25" s="47" t="str">
        <f t="shared" si="3"/>
        <v>Above Average</v>
      </c>
      <c r="O25" s="75" t="str" cm="1">
        <f t="array" ref="O25">_xlfn.IFS(AND(M25="Above Average",N25="Below Average"),"Q1",AND(M25="Above Average",N25="Above Average"),"Q2",AND(M25="Below Average",N25="Above Average"),"Q3",AND(M25="Below Average",N25="Below Average"),"Q4")</f>
        <v>Q3</v>
      </c>
      <c r="P25" s="50" cm="1">
        <f t="array" ref="P25">_xlfn.IFS(O25="Q1",1,O25="Q2",2,O25="Q3",3,O25="Q4",4)</f>
        <v>3</v>
      </c>
      <c r="R25" t="s">
        <v>23</v>
      </c>
      <c r="S25" t="s">
        <v>162</v>
      </c>
      <c r="T25">
        <v>8.2324161500000007E-2</v>
      </c>
      <c r="U25">
        <v>0.437</v>
      </c>
      <c r="AA25" s="64" t="s">
        <v>25</v>
      </c>
      <c r="AB25" s="50">
        <v>3</v>
      </c>
      <c r="AC25" s="50">
        <v>3</v>
      </c>
      <c r="AJ25" s="64" t="s">
        <v>25</v>
      </c>
      <c r="AK25" s="77">
        <v>12.006604382306818</v>
      </c>
      <c r="AL25" s="77">
        <v>58.454296612863345</v>
      </c>
      <c r="AM25" s="50">
        <v>3</v>
      </c>
      <c r="AN25" s="52">
        <v>4.5191278500000001E-2</v>
      </c>
      <c r="AO25" s="52">
        <v>0.71079999999999999</v>
      </c>
      <c r="AP25" s="50">
        <v>3</v>
      </c>
    </row>
    <row r="26" spans="1:42" x14ac:dyDescent="0.35">
      <c r="A26" s="64" t="s">
        <v>26</v>
      </c>
      <c r="B26" s="65" t="s">
        <v>165</v>
      </c>
      <c r="C26" s="77">
        <v>4.654914605753655</v>
      </c>
      <c r="D26" s="77">
        <v>3.4278711484593836</v>
      </c>
      <c r="E26" s="47" t="str">
        <f t="shared" si="2"/>
        <v>Below Average</v>
      </c>
      <c r="F26" s="47" t="str">
        <f t="shared" si="0"/>
        <v>Below Average</v>
      </c>
      <c r="G26" s="75" t="str" cm="1">
        <f t="array" ref="G26">_xlfn.IFS(AND(E26="Above Average",F26="Below Average"),"Q1",AND(E26="Above Average",F26="Above Average"),"Q2",AND(E26="Below Average",F26="Above Average"),"Q3",AND(E26="Below Average",F26="Below Average"),"Q4")</f>
        <v>Q4</v>
      </c>
      <c r="H26" s="50" cm="1">
        <f t="array" ref="H26">_xlfn.IFS(G26="Q1",1,G26="Q2",2,G26="Q3",3,G26="Q4",4)</f>
        <v>4</v>
      </c>
      <c r="J26" s="64" t="s">
        <v>26</v>
      </c>
      <c r="K26" s="52">
        <v>8.78966999E-2</v>
      </c>
      <c r="L26" s="52">
        <v>0.45</v>
      </c>
      <c r="M26" s="47" t="str">
        <f t="shared" si="1"/>
        <v>Above Average</v>
      </c>
      <c r="N26" s="47" t="str">
        <f t="shared" si="3"/>
        <v>Above Average</v>
      </c>
      <c r="O26" s="75" t="str" cm="1">
        <f t="array" ref="O26">_xlfn.IFS(AND(M26="Above Average",N26="Below Average"),"Q1",AND(M26="Above Average",N26="Above Average"),"Q2",AND(M26="Below Average",N26="Above Average"),"Q3",AND(M26="Below Average",N26="Below Average"),"Q4")</f>
        <v>Q2</v>
      </c>
      <c r="P26" s="50" cm="1">
        <f t="array" ref="P26">_xlfn.IFS(O26="Q1",1,O26="Q2",2,O26="Q3",3,O26="Q4",4)</f>
        <v>2</v>
      </c>
      <c r="R26" t="s">
        <v>24</v>
      </c>
      <c r="S26" t="s">
        <v>163</v>
      </c>
      <c r="T26">
        <v>0.1107517719</v>
      </c>
      <c r="U26">
        <v>0.2407</v>
      </c>
      <c r="AA26" s="64" t="s">
        <v>26</v>
      </c>
      <c r="AB26" s="50">
        <v>4</v>
      </c>
      <c r="AC26" s="50">
        <v>2</v>
      </c>
      <c r="AJ26" s="64" t="s">
        <v>26</v>
      </c>
      <c r="AK26" s="77">
        <v>4.654914605753655</v>
      </c>
      <c r="AL26" s="77">
        <v>3.4278711484593836</v>
      </c>
      <c r="AM26" s="50">
        <v>4</v>
      </c>
      <c r="AN26" s="52">
        <v>8.78966999E-2</v>
      </c>
      <c r="AO26" s="52">
        <v>0.45</v>
      </c>
      <c r="AP26" s="50">
        <v>2</v>
      </c>
    </row>
    <row r="27" spans="1:42" x14ac:dyDescent="0.35">
      <c r="A27" s="64" t="s">
        <v>27</v>
      </c>
      <c r="B27" s="65" t="s">
        <v>166</v>
      </c>
      <c r="C27" s="77">
        <v>5.5434395125336913</v>
      </c>
      <c r="D27" s="77">
        <v>21.348430688993169</v>
      </c>
      <c r="E27" s="47" t="str">
        <f t="shared" si="2"/>
        <v>Below Average</v>
      </c>
      <c r="F27" s="47" t="str">
        <f t="shared" si="0"/>
        <v>Below Average</v>
      </c>
      <c r="G27" s="75" t="str" cm="1">
        <f t="array" ref="G27">_xlfn.IFS(AND(E27="Above Average",F27="Below Average"),"Q1",AND(E27="Above Average",F27="Above Average"),"Q2",AND(E27="Below Average",F27="Above Average"),"Q3",AND(E27="Below Average",F27="Below Average"),"Q4")</f>
        <v>Q4</v>
      </c>
      <c r="H27" s="50" cm="1">
        <f t="array" ref="H27">_xlfn.IFS(G27="Q1",1,G27="Q2",2,G27="Q3",3,G27="Q4",4)</f>
        <v>4</v>
      </c>
      <c r="J27" s="64" t="s">
        <v>27</v>
      </c>
      <c r="K27" s="52">
        <v>8.6677389100000002E-2</v>
      </c>
      <c r="L27" s="52">
        <v>0.116668416553577</v>
      </c>
      <c r="M27" s="47" t="str">
        <f t="shared" si="1"/>
        <v>Above Average</v>
      </c>
      <c r="N27" s="47" t="str">
        <f t="shared" si="3"/>
        <v>Below Average</v>
      </c>
      <c r="O27" s="75" t="str" cm="1">
        <f t="array" ref="O27">_xlfn.IFS(AND(M27="Above Average",N27="Below Average"),"Q1",AND(M27="Above Average",N27="Above Average"),"Q2",AND(M27="Below Average",N27="Above Average"),"Q3",AND(M27="Below Average",N27="Below Average"),"Q4")</f>
        <v>Q1</v>
      </c>
      <c r="P27" s="50" cm="1">
        <f t="array" ref="P27">_xlfn.IFS(O27="Q1",1,O27="Q2",2,O27="Q3",3,O27="Q4",4)</f>
        <v>1</v>
      </c>
      <c r="R27" t="s">
        <v>25</v>
      </c>
      <c r="S27" t="s">
        <v>164</v>
      </c>
      <c r="T27">
        <v>4.5191278500000001E-2</v>
      </c>
      <c r="U27">
        <v>0.71079999999999999</v>
      </c>
      <c r="AA27" s="64" t="s">
        <v>27</v>
      </c>
      <c r="AB27" s="50">
        <v>4</v>
      </c>
      <c r="AC27" s="50">
        <v>1</v>
      </c>
      <c r="AJ27" s="64" t="s">
        <v>27</v>
      </c>
      <c r="AK27" s="77">
        <v>5.5434395125336913</v>
      </c>
      <c r="AL27" s="77">
        <v>21.348430688993169</v>
      </c>
      <c r="AM27" s="50">
        <v>4</v>
      </c>
      <c r="AN27" s="52">
        <v>8.6677389100000002E-2</v>
      </c>
      <c r="AO27" s="52">
        <v>0.116668416553577</v>
      </c>
      <c r="AP27" s="50">
        <v>1</v>
      </c>
    </row>
    <row r="28" spans="1:42" x14ac:dyDescent="0.35">
      <c r="A28" s="64" t="s">
        <v>28</v>
      </c>
      <c r="B28" s="65" t="s">
        <v>167</v>
      </c>
      <c r="C28" s="77">
        <v>5.5984926364175651</v>
      </c>
      <c r="D28" s="77">
        <v>22.857935830441416</v>
      </c>
      <c r="E28" s="47" t="str">
        <f t="shared" si="2"/>
        <v>Below Average</v>
      </c>
      <c r="F28" s="47" t="str">
        <f t="shared" si="0"/>
        <v>Below Average</v>
      </c>
      <c r="G28" s="75" t="str" cm="1">
        <f t="array" ref="G28">_xlfn.IFS(AND(E28="Above Average",F28="Below Average"),"Q1",AND(E28="Above Average",F28="Above Average"),"Q2",AND(E28="Below Average",F28="Above Average"),"Q3",AND(E28="Below Average",F28="Below Average"),"Q4")</f>
        <v>Q4</v>
      </c>
      <c r="H28" s="50" cm="1">
        <f t="array" ref="H28">_xlfn.IFS(G28="Q1",1,G28="Q2",2,G28="Q3",3,G28="Q4",4)</f>
        <v>4</v>
      </c>
      <c r="J28" s="64" t="s">
        <v>28</v>
      </c>
      <c r="K28" s="52">
        <v>5.6687855699999998E-2</v>
      </c>
      <c r="L28" s="52">
        <v>0.38900000000000001</v>
      </c>
      <c r="M28" s="47" t="str">
        <f t="shared" si="1"/>
        <v>Below Average</v>
      </c>
      <c r="N28" s="47" t="str">
        <f t="shared" si="3"/>
        <v>Below Average</v>
      </c>
      <c r="O28" s="75" t="str" cm="1">
        <f t="array" ref="O28">_xlfn.IFS(AND(M28="Above Average",N28="Below Average"),"Q1",AND(M28="Above Average",N28="Above Average"),"Q2",AND(M28="Below Average",N28="Above Average"),"Q3",AND(M28="Below Average",N28="Below Average"),"Q4")</f>
        <v>Q4</v>
      </c>
      <c r="P28" s="50" cm="1">
        <f t="array" ref="P28">_xlfn.IFS(O28="Q1",1,O28="Q2",2,O28="Q3",3,O28="Q4",4)</f>
        <v>4</v>
      </c>
      <c r="R28" t="s">
        <v>26</v>
      </c>
      <c r="S28" t="s">
        <v>165</v>
      </c>
      <c r="T28">
        <v>8.78966999E-2</v>
      </c>
      <c r="U28">
        <v>0.45</v>
      </c>
      <c r="AA28" s="64" t="s">
        <v>28</v>
      </c>
      <c r="AB28" s="50">
        <v>4</v>
      </c>
      <c r="AC28" s="50">
        <v>4</v>
      </c>
      <c r="AJ28" s="64" t="s">
        <v>28</v>
      </c>
      <c r="AK28" s="77">
        <v>5.5984926364175651</v>
      </c>
      <c r="AL28" s="77">
        <v>22.857935830441416</v>
      </c>
      <c r="AM28" s="50">
        <v>4</v>
      </c>
      <c r="AN28" s="52">
        <v>5.6687855699999998E-2</v>
      </c>
      <c r="AO28" s="52">
        <v>0.38900000000000001</v>
      </c>
      <c r="AP28" s="50">
        <v>4</v>
      </c>
    </row>
    <row r="29" spans="1:42" x14ac:dyDescent="0.35">
      <c r="A29" s="64" t="s">
        <v>29</v>
      </c>
      <c r="B29" s="65" t="s">
        <v>168</v>
      </c>
      <c r="C29" s="77">
        <v>19.247819150386611</v>
      </c>
      <c r="D29" s="77">
        <v>68.81446632132112</v>
      </c>
      <c r="E29" s="47" t="str">
        <f t="shared" si="2"/>
        <v>Below Average</v>
      </c>
      <c r="F29" s="47" t="str">
        <f t="shared" si="0"/>
        <v>Above Average</v>
      </c>
      <c r="G29" s="75" t="str" cm="1">
        <f t="array" ref="G29">_xlfn.IFS(AND(E29="Above Average",F29="Below Average"),"Q1",AND(E29="Above Average",F29="Above Average"),"Q2",AND(E29="Below Average",F29="Above Average"),"Q3",AND(E29="Below Average",F29="Below Average"),"Q4")</f>
        <v>Q3</v>
      </c>
      <c r="H29" s="50" cm="1">
        <f t="array" ref="H29">_xlfn.IFS(G29="Q1",1,G29="Q2",2,G29="Q3",3,G29="Q4",4)</f>
        <v>3</v>
      </c>
      <c r="J29" s="64" t="s">
        <v>29</v>
      </c>
      <c r="K29" s="52">
        <v>6.9763922699999995E-2</v>
      </c>
      <c r="L29" s="52">
        <v>0.35207721704356598</v>
      </c>
      <c r="M29" s="47" t="str">
        <f t="shared" si="1"/>
        <v>Below Average</v>
      </c>
      <c r="N29" s="47" t="str">
        <f t="shared" si="3"/>
        <v>Below Average</v>
      </c>
      <c r="O29" s="75" t="str" cm="1">
        <f t="array" ref="O29">_xlfn.IFS(AND(M29="Above Average",N29="Below Average"),"Q1",AND(M29="Above Average",N29="Above Average"),"Q2",AND(M29="Below Average",N29="Above Average"),"Q3",AND(M29="Below Average",N29="Below Average"),"Q4")</f>
        <v>Q4</v>
      </c>
      <c r="P29" s="50" cm="1">
        <f t="array" ref="P29">_xlfn.IFS(O29="Q1",1,O29="Q2",2,O29="Q3",3,O29="Q4",4)</f>
        <v>4</v>
      </c>
      <c r="R29" t="s">
        <v>27</v>
      </c>
      <c r="S29" t="s">
        <v>166</v>
      </c>
      <c r="T29">
        <v>8.6677389100000002E-2</v>
      </c>
      <c r="U29">
        <v>0.116668416553577</v>
      </c>
      <c r="AA29" s="64" t="s">
        <v>29</v>
      </c>
      <c r="AB29" s="50">
        <v>3</v>
      </c>
      <c r="AC29" s="50">
        <v>4</v>
      </c>
      <c r="AJ29" s="64" t="s">
        <v>29</v>
      </c>
      <c r="AK29" s="77">
        <v>19.247819150386611</v>
      </c>
      <c r="AL29" s="77">
        <v>68.81446632132112</v>
      </c>
      <c r="AM29" s="50">
        <v>3</v>
      </c>
      <c r="AN29" s="52">
        <v>6.9763922699999995E-2</v>
      </c>
      <c r="AO29" s="52">
        <v>0.35207721704356598</v>
      </c>
      <c r="AP29" s="50">
        <v>4</v>
      </c>
    </row>
    <row r="30" spans="1:42" x14ac:dyDescent="0.35">
      <c r="A30" s="64" t="s">
        <v>30</v>
      </c>
      <c r="B30" s="65" t="s">
        <v>169</v>
      </c>
      <c r="C30" s="77">
        <v>53.864572698360966</v>
      </c>
      <c r="D30" s="77">
        <v>10.597255752844539</v>
      </c>
      <c r="E30" s="47" t="str">
        <f t="shared" si="2"/>
        <v>Above Average</v>
      </c>
      <c r="F30" s="47" t="str">
        <f t="shared" si="0"/>
        <v>Below Average</v>
      </c>
      <c r="G30" s="75" t="str" cm="1">
        <f t="array" ref="G30">_xlfn.IFS(AND(E30="Above Average",F30="Below Average"),"Q1",AND(E30="Above Average",F30="Above Average"),"Q2",AND(E30="Below Average",F30="Above Average"),"Q3",AND(E30="Below Average",F30="Below Average"),"Q4")</f>
        <v>Q1</v>
      </c>
      <c r="H30" s="50" cm="1">
        <f t="array" ref="H30">_xlfn.IFS(G30="Q1",1,G30="Q2",2,G30="Q3",3,G30="Q4",4)</f>
        <v>1</v>
      </c>
      <c r="J30" s="64" t="s">
        <v>30</v>
      </c>
      <c r="K30" s="52">
        <v>0.102022686</v>
      </c>
      <c r="L30" s="52">
        <v>0.55969999999999998</v>
      </c>
      <c r="M30" s="47" t="str">
        <f t="shared" si="1"/>
        <v>Above Average</v>
      </c>
      <c r="N30" s="47" t="str">
        <f t="shared" si="3"/>
        <v>Above Average</v>
      </c>
      <c r="O30" s="75" t="str" cm="1">
        <f t="array" ref="O30">_xlfn.IFS(AND(M30="Above Average",N30="Below Average"),"Q1",AND(M30="Above Average",N30="Above Average"),"Q2",AND(M30="Below Average",N30="Above Average"),"Q3",AND(M30="Below Average",N30="Below Average"),"Q4")</f>
        <v>Q2</v>
      </c>
      <c r="P30" s="50" cm="1">
        <f t="array" ref="P30">_xlfn.IFS(O30="Q1",1,O30="Q2",2,O30="Q3",3,O30="Q4",4)</f>
        <v>2</v>
      </c>
      <c r="R30" t="s">
        <v>28</v>
      </c>
      <c r="S30" t="s">
        <v>167</v>
      </c>
      <c r="T30">
        <v>5.6687855699999998E-2</v>
      </c>
      <c r="U30">
        <v>0.38900000000000001</v>
      </c>
      <c r="AA30" s="64" t="s">
        <v>30</v>
      </c>
      <c r="AB30" s="50">
        <v>1</v>
      </c>
      <c r="AC30" s="50">
        <v>2</v>
      </c>
      <c r="AJ30" s="64" t="s">
        <v>30</v>
      </c>
      <c r="AK30" s="77">
        <v>53.864572698360966</v>
      </c>
      <c r="AL30" s="77">
        <v>10.597255752844539</v>
      </c>
      <c r="AM30" s="50">
        <v>1</v>
      </c>
      <c r="AN30" s="52">
        <v>0.102022686</v>
      </c>
      <c r="AO30" s="52">
        <v>0.55969999999999998</v>
      </c>
      <c r="AP30" s="50">
        <v>2</v>
      </c>
    </row>
    <row r="31" spans="1:42" x14ac:dyDescent="0.35">
      <c r="A31" s="64" t="s">
        <v>31</v>
      </c>
      <c r="B31" s="65" t="s">
        <v>170</v>
      </c>
      <c r="C31" s="77">
        <v>11.001373890249562</v>
      </c>
      <c r="D31" s="77">
        <v>16.359542530378842</v>
      </c>
      <c r="E31" s="47" t="str">
        <f t="shared" si="2"/>
        <v>Below Average</v>
      </c>
      <c r="F31" s="47" t="str">
        <f t="shared" si="0"/>
        <v>Below Average</v>
      </c>
      <c r="G31" s="75" t="str" cm="1">
        <f t="array" ref="G31">_xlfn.IFS(AND(E31="Above Average",F31="Below Average"),"Q1",AND(E31="Above Average",F31="Above Average"),"Q2",AND(E31="Below Average",F31="Above Average"),"Q3",AND(E31="Below Average",F31="Below Average"),"Q4")</f>
        <v>Q4</v>
      </c>
      <c r="H31" s="50" cm="1">
        <f t="array" ref="H31">_xlfn.IFS(G31="Q1",1,G31="Q2",2,G31="Q3",3,G31="Q4",4)</f>
        <v>4</v>
      </c>
      <c r="J31" s="64" t="s">
        <v>31</v>
      </c>
      <c r="K31" s="52">
        <v>7.2900424000000005E-2</v>
      </c>
      <c r="L31" s="52">
        <v>0.61</v>
      </c>
      <c r="M31" s="47" t="str">
        <f t="shared" si="1"/>
        <v>Above Average</v>
      </c>
      <c r="N31" s="47" t="str">
        <f t="shared" si="3"/>
        <v>Above Average</v>
      </c>
      <c r="O31" s="75" t="str" cm="1">
        <f t="array" ref="O31">_xlfn.IFS(AND(M31="Above Average",N31="Below Average"),"Q1",AND(M31="Above Average",N31="Above Average"),"Q2",AND(M31="Below Average",N31="Above Average"),"Q3",AND(M31="Below Average",N31="Below Average"),"Q4")</f>
        <v>Q2</v>
      </c>
      <c r="P31" s="50" cm="1">
        <f t="array" ref="P31">_xlfn.IFS(O31="Q1",1,O31="Q2",2,O31="Q3",3,O31="Q4",4)</f>
        <v>2</v>
      </c>
      <c r="R31" t="s">
        <v>29</v>
      </c>
      <c r="S31" t="s">
        <v>168</v>
      </c>
      <c r="T31">
        <v>6.9763922699999995E-2</v>
      </c>
      <c r="U31">
        <v>0.35207721704356598</v>
      </c>
      <c r="AA31" s="64" t="s">
        <v>31</v>
      </c>
      <c r="AB31" s="50">
        <v>4</v>
      </c>
      <c r="AC31" s="50">
        <v>2</v>
      </c>
      <c r="AJ31" s="64" t="s">
        <v>31</v>
      </c>
      <c r="AK31" s="77">
        <v>11.001373890249562</v>
      </c>
      <c r="AL31" s="77">
        <v>16.359542530378842</v>
      </c>
      <c r="AM31" s="50">
        <v>4</v>
      </c>
      <c r="AN31" s="52">
        <v>7.2900424000000005E-2</v>
      </c>
      <c r="AO31" s="52">
        <v>0.61</v>
      </c>
      <c r="AP31" s="50">
        <v>2</v>
      </c>
    </row>
    <row r="32" spans="1:42" x14ac:dyDescent="0.35">
      <c r="A32" s="64" t="s">
        <v>32</v>
      </c>
      <c r="B32" s="65" t="s">
        <v>171</v>
      </c>
      <c r="C32" s="77">
        <v>66.896135970779099</v>
      </c>
      <c r="D32" s="77">
        <v>25.415291442768822</v>
      </c>
      <c r="E32" s="47" t="str">
        <f t="shared" si="2"/>
        <v>Above Average</v>
      </c>
      <c r="F32" s="47" t="str">
        <f t="shared" si="0"/>
        <v>Above Average</v>
      </c>
      <c r="G32" s="75" t="str" cm="1">
        <f t="array" ref="G32">_xlfn.IFS(AND(E32="Above Average",F32="Below Average"),"Q1",AND(E32="Above Average",F32="Above Average"),"Q2",AND(E32="Below Average",F32="Above Average"),"Q3",AND(E32="Below Average",F32="Below Average"),"Q4")</f>
        <v>Q2</v>
      </c>
      <c r="H32" s="50" cm="1">
        <f t="array" ref="H32">_xlfn.IFS(G32="Q1",1,G32="Q2",2,G32="Q3",3,G32="Q4",4)</f>
        <v>2</v>
      </c>
      <c r="J32" s="64" t="s">
        <v>32</v>
      </c>
      <c r="K32" s="52">
        <v>0.10652340890000001</v>
      </c>
      <c r="L32" s="52">
        <v>0.4869</v>
      </c>
      <c r="M32" s="47" t="str">
        <f t="shared" si="1"/>
        <v>Above Average</v>
      </c>
      <c r="N32" s="47" t="str">
        <f t="shared" si="3"/>
        <v>Above Average</v>
      </c>
      <c r="O32" s="75" t="str" cm="1">
        <f t="array" ref="O32">_xlfn.IFS(AND(M32="Above Average",N32="Below Average"),"Q1",AND(M32="Above Average",N32="Above Average"),"Q2",AND(M32="Below Average",N32="Above Average"),"Q3",AND(M32="Below Average",N32="Below Average"),"Q4")</f>
        <v>Q2</v>
      </c>
      <c r="P32" s="50" cm="1">
        <f t="array" ref="P32">_xlfn.IFS(O32="Q1",1,O32="Q2",2,O32="Q3",3,O32="Q4",4)</f>
        <v>2</v>
      </c>
      <c r="R32" t="s">
        <v>30</v>
      </c>
      <c r="S32" t="s">
        <v>169</v>
      </c>
      <c r="T32">
        <v>0.102022686</v>
      </c>
      <c r="U32">
        <v>0.55969999999999998</v>
      </c>
      <c r="AA32" s="64" t="s">
        <v>32</v>
      </c>
      <c r="AB32" s="50">
        <v>2</v>
      </c>
      <c r="AC32" s="50">
        <v>2</v>
      </c>
      <c r="AJ32" s="64" t="s">
        <v>32</v>
      </c>
      <c r="AK32" s="77">
        <v>66.896135970779099</v>
      </c>
      <c r="AL32" s="77">
        <v>25.415291442768822</v>
      </c>
      <c r="AM32" s="50">
        <v>2</v>
      </c>
      <c r="AN32" s="52">
        <v>0.10652340890000001</v>
      </c>
      <c r="AO32" s="52">
        <v>0.4869</v>
      </c>
      <c r="AP32" s="50">
        <v>2</v>
      </c>
    </row>
    <row r="33" spans="1:42" x14ac:dyDescent="0.35">
      <c r="A33" s="64" t="s">
        <v>33</v>
      </c>
      <c r="B33" s="65" t="s">
        <v>172</v>
      </c>
      <c r="C33" s="77">
        <v>2.3259582036922208</v>
      </c>
      <c r="D33" s="77">
        <v>7.8083990631299782</v>
      </c>
      <c r="E33" s="47" t="str">
        <f t="shared" si="2"/>
        <v>Below Average</v>
      </c>
      <c r="F33" s="47" t="str">
        <f t="shared" si="0"/>
        <v>Below Average</v>
      </c>
      <c r="G33" s="75" t="str" cm="1">
        <f t="array" ref="G33">_xlfn.IFS(AND(E33="Above Average",F33="Below Average"),"Q1",AND(E33="Above Average",F33="Above Average"),"Q2",AND(E33="Below Average",F33="Above Average"),"Q3",AND(E33="Below Average",F33="Below Average"),"Q4")</f>
        <v>Q4</v>
      </c>
      <c r="H33" s="50" cm="1">
        <f t="array" ref="H33">_xlfn.IFS(G33="Q1",1,G33="Q2",2,G33="Q3",3,G33="Q4",4)</f>
        <v>4</v>
      </c>
      <c r="J33" s="64" t="s">
        <v>33</v>
      </c>
      <c r="K33" s="52">
        <v>0.1023069668</v>
      </c>
      <c r="L33" s="52">
        <v>0.17051779817360399</v>
      </c>
      <c r="M33" s="47" t="str">
        <f t="shared" si="1"/>
        <v>Above Average</v>
      </c>
      <c r="N33" s="47" t="str">
        <f t="shared" si="3"/>
        <v>Below Average</v>
      </c>
      <c r="O33" s="75" t="str" cm="1">
        <f t="array" ref="O33">_xlfn.IFS(AND(M33="Above Average",N33="Below Average"),"Q1",AND(M33="Above Average",N33="Above Average"),"Q2",AND(M33="Below Average",N33="Above Average"),"Q3",AND(M33="Below Average",N33="Below Average"),"Q4")</f>
        <v>Q1</v>
      </c>
      <c r="P33" s="50" cm="1">
        <f t="array" ref="P33">_xlfn.IFS(O33="Q1",1,O33="Q2",2,O33="Q3",3,O33="Q4",4)</f>
        <v>1</v>
      </c>
      <c r="R33" t="s">
        <v>31</v>
      </c>
      <c r="S33" t="s">
        <v>170</v>
      </c>
      <c r="T33">
        <v>7.2900424000000005E-2</v>
      </c>
      <c r="U33">
        <v>0.61</v>
      </c>
      <c r="AA33" s="64" t="s">
        <v>33</v>
      </c>
      <c r="AB33" s="50">
        <v>4</v>
      </c>
      <c r="AC33" s="50">
        <v>1</v>
      </c>
      <c r="AJ33" s="64" t="s">
        <v>33</v>
      </c>
      <c r="AK33" s="77">
        <v>2.3259582036922208</v>
      </c>
      <c r="AL33" s="77">
        <v>7.8083990631299782</v>
      </c>
      <c r="AM33" s="50">
        <v>4</v>
      </c>
      <c r="AN33" s="52">
        <v>0.1023069668</v>
      </c>
      <c r="AO33" s="52">
        <v>0.17051779817360399</v>
      </c>
      <c r="AP33" s="50">
        <v>1</v>
      </c>
    </row>
    <row r="34" spans="1:42" x14ac:dyDescent="0.35">
      <c r="A34" s="64" t="s">
        <v>34</v>
      </c>
      <c r="B34" s="65" t="s">
        <v>173</v>
      </c>
      <c r="C34" s="77">
        <v>20.758052766628868</v>
      </c>
      <c r="D34" s="77">
        <v>17.866783114992721</v>
      </c>
      <c r="E34" s="47" t="str">
        <f t="shared" si="2"/>
        <v>Below Average</v>
      </c>
      <c r="F34" s="47" t="str">
        <f t="shared" si="0"/>
        <v>Below Average</v>
      </c>
      <c r="G34" s="75" t="str" cm="1">
        <f t="array" ref="G34">_xlfn.IFS(AND(E34="Above Average",F34="Below Average"),"Q1",AND(E34="Above Average",F34="Above Average"),"Q2",AND(E34="Below Average",F34="Above Average"),"Q3",AND(E34="Below Average",F34="Below Average"),"Q4")</f>
        <v>Q4</v>
      </c>
      <c r="H34" s="50" cm="1">
        <f t="array" ref="H34">_xlfn.IFS(G34="Q1",1,G34="Q2",2,G34="Q3",3,G34="Q4",4)</f>
        <v>4</v>
      </c>
      <c r="J34" s="64" t="s">
        <v>34</v>
      </c>
      <c r="K34" s="52">
        <v>4.2245168700000002E-2</v>
      </c>
      <c r="L34" s="52">
        <v>0.66749999999999998</v>
      </c>
      <c r="M34" s="47" t="str">
        <f t="shared" si="1"/>
        <v>Below Average</v>
      </c>
      <c r="N34" s="47" t="str">
        <f t="shared" si="3"/>
        <v>Above Average</v>
      </c>
      <c r="O34" s="75" t="str" cm="1">
        <f t="array" ref="O34">_xlfn.IFS(AND(M34="Above Average",N34="Below Average"),"Q1",AND(M34="Above Average",N34="Above Average"),"Q2",AND(M34="Below Average",N34="Above Average"),"Q3",AND(M34="Below Average",N34="Below Average"),"Q4")</f>
        <v>Q3</v>
      </c>
      <c r="P34" s="50" cm="1">
        <f t="array" ref="P34">_xlfn.IFS(O34="Q1",1,O34="Q2",2,O34="Q3",3,O34="Q4",4)</f>
        <v>3</v>
      </c>
      <c r="R34" t="s">
        <v>32</v>
      </c>
      <c r="S34" t="s">
        <v>171</v>
      </c>
      <c r="T34">
        <v>0.10652340890000001</v>
      </c>
      <c r="U34">
        <v>0.4869</v>
      </c>
      <c r="AA34" s="64" t="s">
        <v>34</v>
      </c>
      <c r="AB34" s="50">
        <v>4</v>
      </c>
      <c r="AC34" s="50">
        <v>3</v>
      </c>
      <c r="AJ34" s="64" t="s">
        <v>34</v>
      </c>
      <c r="AK34" s="77">
        <v>20.758052766628868</v>
      </c>
      <c r="AL34" s="77">
        <v>17.866783114992721</v>
      </c>
      <c r="AM34" s="50">
        <v>4</v>
      </c>
      <c r="AN34" s="52">
        <v>4.2245168700000002E-2</v>
      </c>
      <c r="AO34" s="52">
        <v>0.66749999999999998</v>
      </c>
      <c r="AP34" s="50">
        <v>3</v>
      </c>
    </row>
    <row r="35" spans="1:42" x14ac:dyDescent="0.35">
      <c r="A35" s="64" t="s">
        <v>147</v>
      </c>
      <c r="B35" s="65" t="s">
        <v>148</v>
      </c>
      <c r="C35" s="77">
        <v>12.82557799981813</v>
      </c>
      <c r="D35" s="77">
        <v>55.125</v>
      </c>
      <c r="E35" s="47" t="str">
        <f t="shared" si="2"/>
        <v>Below Average</v>
      </c>
      <c r="F35" s="47" t="str">
        <f t="shared" si="0"/>
        <v>Above Average</v>
      </c>
      <c r="G35" s="75" t="str" cm="1">
        <f t="array" ref="G35">_xlfn.IFS(AND(E35="Above Average",F35="Below Average"),"Q1",AND(E35="Above Average",F35="Above Average"),"Q2",AND(E35="Below Average",F35="Above Average"),"Q3",AND(E35="Below Average",F35="Below Average"),"Q4")</f>
        <v>Q3</v>
      </c>
      <c r="H35" s="50" cm="1">
        <f t="array" ref="H35">_xlfn.IFS(G35="Q1",1,G35="Q2",2,G35="Q3",3,G35="Q4",4)</f>
        <v>3</v>
      </c>
      <c r="J35" s="64" t="s">
        <v>147</v>
      </c>
      <c r="K35" s="52">
        <v>8.2168407400000004E-2</v>
      </c>
      <c r="L35" s="52">
        <v>0.43066371754243699</v>
      </c>
      <c r="M35" s="47" t="str">
        <f t="shared" si="1"/>
        <v>Above Average</v>
      </c>
      <c r="N35" s="47" t="str">
        <f t="shared" si="3"/>
        <v>Above Average</v>
      </c>
      <c r="O35" s="75" t="str" cm="1">
        <f t="array" ref="O35">_xlfn.IFS(AND(M35="Above Average",N35="Below Average"),"Q1",AND(M35="Above Average",N35="Above Average"),"Q2",AND(M35="Below Average",N35="Above Average"),"Q3",AND(M35="Below Average",N35="Below Average"),"Q4")</f>
        <v>Q2</v>
      </c>
      <c r="P35" s="50" cm="1">
        <f t="array" ref="P35">_xlfn.IFS(O35="Q1",1,O35="Q2",2,O35="Q3",3,O35="Q4",4)</f>
        <v>2</v>
      </c>
      <c r="R35" t="s">
        <v>33</v>
      </c>
      <c r="S35" t="s">
        <v>172</v>
      </c>
      <c r="T35">
        <v>0.1023069668</v>
      </c>
      <c r="U35">
        <v>0.17051779817360399</v>
      </c>
      <c r="AA35" s="64" t="s">
        <v>147</v>
      </c>
      <c r="AB35" s="50">
        <v>3</v>
      </c>
      <c r="AC35" s="50">
        <v>2</v>
      </c>
      <c r="AJ35" s="64" t="s">
        <v>147</v>
      </c>
      <c r="AK35" s="77">
        <v>12.82557799981813</v>
      </c>
      <c r="AL35" s="77">
        <v>55.125</v>
      </c>
      <c r="AM35" s="50">
        <v>3</v>
      </c>
      <c r="AN35" s="52">
        <v>8.2168407400000004E-2</v>
      </c>
      <c r="AO35" s="52">
        <v>0.43066371754243699</v>
      </c>
      <c r="AP35" s="50">
        <v>2</v>
      </c>
    </row>
    <row r="36" spans="1:42" x14ac:dyDescent="0.35">
      <c r="A36" s="64" t="s">
        <v>35</v>
      </c>
      <c r="B36" s="65" t="s">
        <v>174</v>
      </c>
      <c r="C36" s="77">
        <v>12.440746230594545</v>
      </c>
      <c r="D36" s="77">
        <v>41.391365435291313</v>
      </c>
      <c r="E36" s="47" t="str">
        <f t="shared" si="2"/>
        <v>Below Average</v>
      </c>
      <c r="F36" s="47" t="str">
        <f t="shared" si="0"/>
        <v>Above Average</v>
      </c>
      <c r="G36" s="75" t="str" cm="1">
        <f t="array" ref="G36">_xlfn.IFS(AND(E36="Above Average",F36="Below Average"),"Q1",AND(E36="Above Average",F36="Above Average"),"Q2",AND(E36="Below Average",F36="Above Average"),"Q3",AND(E36="Below Average",F36="Below Average"),"Q4")</f>
        <v>Q3</v>
      </c>
      <c r="H36" s="50" cm="1">
        <f t="array" ref="H36">_xlfn.IFS(G36="Q1",1,G36="Q2",2,G36="Q3",3,G36="Q4",4)</f>
        <v>3</v>
      </c>
      <c r="J36" s="64" t="s">
        <v>35</v>
      </c>
      <c r="K36" s="52">
        <v>8.8827714899999993E-2</v>
      </c>
      <c r="L36" s="52">
        <v>7.4999999999999997E-2</v>
      </c>
      <c r="M36" s="47" t="str">
        <f t="shared" si="1"/>
        <v>Above Average</v>
      </c>
      <c r="N36" s="47" t="str">
        <f t="shared" si="3"/>
        <v>Below Average</v>
      </c>
      <c r="O36" s="75" t="str" cm="1">
        <f t="array" ref="O36">_xlfn.IFS(AND(M36="Above Average",N36="Below Average"),"Q1",AND(M36="Above Average",N36="Above Average"),"Q2",AND(M36="Below Average",N36="Above Average"),"Q3",AND(M36="Below Average",N36="Below Average"),"Q4")</f>
        <v>Q1</v>
      </c>
      <c r="P36" s="50" cm="1">
        <f t="array" ref="P36">_xlfn.IFS(O36="Q1",1,O36="Q2",2,O36="Q3",3,O36="Q4",4)</f>
        <v>1</v>
      </c>
      <c r="R36" t="s">
        <v>34</v>
      </c>
      <c r="S36" t="s">
        <v>173</v>
      </c>
      <c r="T36">
        <v>4.2245168700000002E-2</v>
      </c>
      <c r="U36">
        <v>0.66749999999999998</v>
      </c>
      <c r="AA36" s="64" t="s">
        <v>35</v>
      </c>
      <c r="AB36" s="50">
        <v>3</v>
      </c>
      <c r="AC36" s="50">
        <v>1</v>
      </c>
      <c r="AJ36" s="64" t="s">
        <v>35</v>
      </c>
      <c r="AK36" s="77">
        <v>12.440746230594545</v>
      </c>
      <c r="AL36" s="77">
        <v>41.391365435291313</v>
      </c>
      <c r="AM36" s="50">
        <v>3</v>
      </c>
      <c r="AN36" s="52">
        <v>8.8827714899999993E-2</v>
      </c>
      <c r="AO36" s="52">
        <v>7.4999999999999997E-2</v>
      </c>
      <c r="AP36" s="50">
        <v>1</v>
      </c>
    </row>
    <row r="37" spans="1:42" x14ac:dyDescent="0.35">
      <c r="A37" s="64" t="s">
        <v>175</v>
      </c>
      <c r="B37" s="65" t="s">
        <v>176</v>
      </c>
      <c r="C37" s="77">
        <v>25.080738156916041</v>
      </c>
      <c r="D37" s="77">
        <v>22.857935830441416</v>
      </c>
      <c r="E37" s="47" t="str">
        <f t="shared" si="2"/>
        <v>Above Average</v>
      </c>
      <c r="F37" s="47" t="str">
        <f t="shared" si="0"/>
        <v>Below Average</v>
      </c>
      <c r="G37" s="75" t="str" cm="1">
        <f t="array" ref="G37">_xlfn.IFS(AND(E37="Above Average",F37="Below Average"),"Q1",AND(E37="Above Average",F37="Above Average"),"Q2",AND(E37="Below Average",F37="Above Average"),"Q3",AND(E37="Below Average",F37="Below Average"),"Q4")</f>
        <v>Q1</v>
      </c>
      <c r="H37" s="50" cm="1">
        <f t="array" ref="H37">_xlfn.IFS(G37="Q1",1,G37="Q2",2,G37="Q3",3,G37="Q4",4)</f>
        <v>1</v>
      </c>
      <c r="J37" s="64" t="s">
        <v>175</v>
      </c>
      <c r="K37" s="52">
        <v>0.10762632370000001</v>
      </c>
      <c r="L37" s="52">
        <v>0.477408095311257</v>
      </c>
      <c r="M37" s="47" t="str">
        <f t="shared" si="1"/>
        <v>Above Average</v>
      </c>
      <c r="N37" s="47" t="str">
        <f t="shared" si="3"/>
        <v>Above Average</v>
      </c>
      <c r="O37" s="75" t="str" cm="1">
        <f t="array" ref="O37">_xlfn.IFS(AND(M37="Above Average",N37="Below Average"),"Q1",AND(M37="Above Average",N37="Above Average"),"Q2",AND(M37="Below Average",N37="Above Average"),"Q3",AND(M37="Below Average",N37="Below Average"),"Q4")</f>
        <v>Q2</v>
      </c>
      <c r="P37" s="50" cm="1">
        <f t="array" ref="P37">_xlfn.IFS(O37="Q1",1,O37="Q2",2,O37="Q3",3,O37="Q4",4)</f>
        <v>2</v>
      </c>
      <c r="R37" t="s">
        <v>35</v>
      </c>
      <c r="S37" t="s">
        <v>174</v>
      </c>
      <c r="T37">
        <v>8.8827714899999993E-2</v>
      </c>
      <c r="U37">
        <v>7.4999999999999997E-2</v>
      </c>
      <c r="AA37" s="64" t="s">
        <v>175</v>
      </c>
      <c r="AB37" s="50">
        <v>1</v>
      </c>
      <c r="AC37" s="50">
        <v>2</v>
      </c>
      <c r="AJ37" s="64" t="s">
        <v>175</v>
      </c>
      <c r="AK37" s="77">
        <v>25.080738156916041</v>
      </c>
      <c r="AL37" s="77">
        <v>22.857935830441416</v>
      </c>
      <c r="AM37" s="50">
        <v>1</v>
      </c>
      <c r="AN37" s="52">
        <v>0.10762632370000001</v>
      </c>
      <c r="AO37" s="52">
        <v>0.477408095311257</v>
      </c>
      <c r="AP37" s="50">
        <v>2</v>
      </c>
    </row>
    <row r="38" spans="1:42" x14ac:dyDescent="0.35">
      <c r="A38" s="64" t="s">
        <v>37</v>
      </c>
      <c r="B38" s="65" t="s">
        <v>177</v>
      </c>
      <c r="C38" s="77">
        <v>6.108947758593815</v>
      </c>
      <c r="D38" s="77">
        <v>7.1829353403866092</v>
      </c>
      <c r="E38" s="47" t="str">
        <f t="shared" si="2"/>
        <v>Below Average</v>
      </c>
      <c r="F38" s="47" t="str">
        <f t="shared" si="0"/>
        <v>Below Average</v>
      </c>
      <c r="G38" s="75" t="str" cm="1">
        <f t="array" ref="G38">_xlfn.IFS(AND(E38="Above Average",F38="Below Average"),"Q1",AND(E38="Above Average",F38="Above Average"),"Q2",AND(E38="Below Average",F38="Above Average"),"Q3",AND(E38="Below Average",F38="Below Average"),"Q4")</f>
        <v>Q4</v>
      </c>
      <c r="H38" s="50" cm="1">
        <f t="array" ref="H38">_xlfn.IFS(G38="Q1",1,G38="Q2",2,G38="Q3",3,G38="Q4",4)</f>
        <v>4</v>
      </c>
      <c r="J38" s="64" t="s">
        <v>37</v>
      </c>
      <c r="K38" s="52">
        <v>6.4810943600000004E-2</v>
      </c>
      <c r="L38" s="52">
        <v>0.473026044369111</v>
      </c>
      <c r="M38" s="47" t="str">
        <f t="shared" si="1"/>
        <v>Below Average</v>
      </c>
      <c r="N38" s="47" t="str">
        <f t="shared" si="3"/>
        <v>Above Average</v>
      </c>
      <c r="O38" s="75" t="str" cm="1">
        <f t="array" ref="O38">_xlfn.IFS(AND(M38="Above Average",N38="Below Average"),"Q1",AND(M38="Above Average",N38="Above Average"),"Q2",AND(M38="Below Average",N38="Above Average"),"Q3",AND(M38="Below Average",N38="Below Average"),"Q4")</f>
        <v>Q3</v>
      </c>
      <c r="P38" s="50" cm="1">
        <f t="array" ref="P38">_xlfn.IFS(O38="Q1",1,O38="Q2",2,O38="Q3",3,O38="Q4",4)</f>
        <v>3</v>
      </c>
      <c r="R38" t="s">
        <v>175</v>
      </c>
      <c r="S38" t="s">
        <v>176</v>
      </c>
      <c r="T38">
        <v>0.10762632370000001</v>
      </c>
      <c r="U38">
        <v>0.477408095311257</v>
      </c>
      <c r="AA38" s="64" t="s">
        <v>37</v>
      </c>
      <c r="AB38" s="50">
        <v>4</v>
      </c>
      <c r="AC38" s="50">
        <v>3</v>
      </c>
      <c r="AJ38" s="64" t="s">
        <v>37</v>
      </c>
      <c r="AK38" s="77">
        <v>6.108947758593815</v>
      </c>
      <c r="AL38" s="77">
        <v>7.1829353403866092</v>
      </c>
      <c r="AM38" s="50">
        <v>4</v>
      </c>
      <c r="AN38" s="52">
        <v>6.4810943600000004E-2</v>
      </c>
      <c r="AO38" s="52">
        <v>0.473026044369111</v>
      </c>
      <c r="AP38" s="50">
        <v>3</v>
      </c>
    </row>
    <row r="39" spans="1:42" x14ac:dyDescent="0.35">
      <c r="A39" s="64" t="s">
        <v>38</v>
      </c>
      <c r="B39" s="65" t="s">
        <v>178</v>
      </c>
      <c r="C39" s="77">
        <v>213.24893351885851</v>
      </c>
      <c r="D39" s="77">
        <v>42.1</v>
      </c>
      <c r="E39" s="47" t="str">
        <f t="shared" si="2"/>
        <v>Above Average</v>
      </c>
      <c r="F39" s="47" t="str">
        <f t="shared" si="0"/>
        <v>Above Average</v>
      </c>
      <c r="G39" s="75" t="str" cm="1">
        <f t="array" ref="G39">_xlfn.IFS(AND(E39="Above Average",F39="Below Average"),"Q1",AND(E39="Above Average",F39="Above Average"),"Q2",AND(E39="Below Average",F39="Above Average"),"Q3",AND(E39="Below Average",F39="Below Average"),"Q4")</f>
        <v>Q2</v>
      </c>
      <c r="H39" s="50" cm="1">
        <f t="array" ref="H39">_xlfn.IFS(G39="Q1",1,G39="Q2",2,G39="Q3",3,G39="Q4",4)</f>
        <v>2</v>
      </c>
      <c r="J39" s="64" t="s">
        <v>38</v>
      </c>
      <c r="K39" s="52">
        <v>0.10179439540000002</v>
      </c>
      <c r="L39" s="52">
        <v>0.377</v>
      </c>
      <c r="M39" s="47" t="str">
        <f t="shared" si="1"/>
        <v>Above Average</v>
      </c>
      <c r="N39" s="47" t="str">
        <f t="shared" si="3"/>
        <v>Below Average</v>
      </c>
      <c r="O39" s="75" t="str" cm="1">
        <f t="array" ref="O39">_xlfn.IFS(AND(M39="Above Average",N39="Below Average"),"Q1",AND(M39="Above Average",N39="Above Average"),"Q2",AND(M39="Below Average",N39="Above Average"),"Q3",AND(M39="Below Average",N39="Below Average"),"Q4")</f>
        <v>Q1</v>
      </c>
      <c r="P39" s="50" cm="1">
        <f t="array" ref="P39">_xlfn.IFS(O39="Q1",1,O39="Q2",2,O39="Q3",3,O39="Q4",4)</f>
        <v>1</v>
      </c>
      <c r="R39" t="s">
        <v>37</v>
      </c>
      <c r="S39" t="s">
        <v>177</v>
      </c>
      <c r="T39">
        <v>6.4810943600000004E-2</v>
      </c>
      <c r="U39">
        <v>0.473026044369111</v>
      </c>
      <c r="AA39" s="64" t="s">
        <v>38</v>
      </c>
      <c r="AB39" s="50">
        <v>2</v>
      </c>
      <c r="AC39" s="50">
        <v>1</v>
      </c>
      <c r="AJ39" s="64" t="s">
        <v>38</v>
      </c>
      <c r="AK39" s="77">
        <v>213.24893351885851</v>
      </c>
      <c r="AL39" s="77">
        <v>42.1</v>
      </c>
      <c r="AM39" s="50">
        <v>2</v>
      </c>
      <c r="AN39" s="52">
        <v>0.10179439540000002</v>
      </c>
      <c r="AO39" s="52">
        <v>0.377</v>
      </c>
      <c r="AP39" s="50">
        <v>1</v>
      </c>
    </row>
    <row r="40" spans="1:42" x14ac:dyDescent="0.35">
      <c r="A40" s="64" t="s">
        <v>39</v>
      </c>
      <c r="B40" s="65" t="s">
        <v>179</v>
      </c>
      <c r="C40" s="77">
        <v>22.128310502389212</v>
      </c>
      <c r="D40" s="77">
        <v>8.5050709939148081</v>
      </c>
      <c r="E40" s="47" t="str">
        <f t="shared" si="2"/>
        <v>Below Average</v>
      </c>
      <c r="F40" s="47" t="str">
        <f t="shared" si="0"/>
        <v>Below Average</v>
      </c>
      <c r="G40" s="75" t="str" cm="1">
        <f t="array" ref="G40">_xlfn.IFS(AND(E40="Above Average",F40="Below Average"),"Q1",AND(E40="Above Average",F40="Above Average"),"Q2",AND(E40="Below Average",F40="Above Average"),"Q3",AND(E40="Below Average",F40="Below Average"),"Q4")</f>
        <v>Q4</v>
      </c>
      <c r="H40" s="50" cm="1">
        <f t="array" ref="H40">_xlfn.IFS(G40="Q1",1,G40="Q2",2,G40="Q3",3,G40="Q4",4)</f>
        <v>4</v>
      </c>
      <c r="J40" s="64" t="s">
        <v>39</v>
      </c>
      <c r="K40" s="52">
        <v>5.2879381199999999E-2</v>
      </c>
      <c r="L40" s="52">
        <v>0.33232562471434801</v>
      </c>
      <c r="M40" s="47" t="str">
        <f t="shared" si="1"/>
        <v>Below Average</v>
      </c>
      <c r="N40" s="47" t="str">
        <f t="shared" si="3"/>
        <v>Below Average</v>
      </c>
      <c r="O40" s="75" t="str" cm="1">
        <f t="array" ref="O40">_xlfn.IFS(AND(M40="Above Average",N40="Below Average"),"Q1",AND(M40="Above Average",N40="Above Average"),"Q2",AND(M40="Below Average",N40="Above Average"),"Q3",AND(M40="Below Average",N40="Below Average"),"Q4")</f>
        <v>Q4</v>
      </c>
      <c r="P40" s="50" cm="1">
        <f t="array" ref="P40">_xlfn.IFS(O40="Q1",1,O40="Q2",2,O40="Q3",3,O40="Q4",4)</f>
        <v>4</v>
      </c>
      <c r="R40" t="s">
        <v>38</v>
      </c>
      <c r="S40" t="s">
        <v>178</v>
      </c>
      <c r="T40">
        <v>0.10179439540000002</v>
      </c>
      <c r="U40">
        <v>0.377</v>
      </c>
      <c r="AA40" s="64" t="s">
        <v>39</v>
      </c>
      <c r="AB40" s="50">
        <v>4</v>
      </c>
      <c r="AC40" s="50">
        <v>4</v>
      </c>
      <c r="AJ40" s="64" t="s">
        <v>39</v>
      </c>
      <c r="AK40" s="77">
        <v>22.128310502389212</v>
      </c>
      <c r="AL40" s="77">
        <v>8.5050709939148081</v>
      </c>
      <c r="AM40" s="50">
        <v>4</v>
      </c>
      <c r="AN40" s="52">
        <v>5.2879381199999999E-2</v>
      </c>
      <c r="AO40" s="52">
        <v>0.33232562471434801</v>
      </c>
      <c r="AP40" s="50">
        <v>4</v>
      </c>
    </row>
    <row r="41" spans="1:42" x14ac:dyDescent="0.35">
      <c r="A41" s="64" t="s">
        <v>40</v>
      </c>
      <c r="B41" s="65" t="s">
        <v>180</v>
      </c>
      <c r="C41" s="77">
        <v>74.345193320567816</v>
      </c>
      <c r="D41" s="77">
        <v>107.24524316516025</v>
      </c>
      <c r="E41" s="47" t="str">
        <f t="shared" si="2"/>
        <v>Above Average</v>
      </c>
      <c r="F41" s="47" t="str">
        <f t="shared" si="0"/>
        <v>Above Average</v>
      </c>
      <c r="G41" s="75" t="str" cm="1">
        <f t="array" ref="G41">_xlfn.IFS(AND(E41="Above Average",F41="Below Average"),"Q1",AND(E41="Above Average",F41="Above Average"),"Q2",AND(E41="Below Average",F41="Above Average"),"Q3",AND(E41="Below Average",F41="Below Average"),"Q4")</f>
        <v>Q2</v>
      </c>
      <c r="H41" s="50" cm="1">
        <f t="array" ref="H41">_xlfn.IFS(G41="Q1",1,G41="Q2",2,G41="Q3",3,G41="Q4",4)</f>
        <v>2</v>
      </c>
      <c r="J41" s="64" t="s">
        <v>40</v>
      </c>
      <c r="K41" s="52">
        <v>0.1528983974</v>
      </c>
      <c r="L41" s="52">
        <v>0.54793438602622901</v>
      </c>
      <c r="M41" s="47" t="str">
        <f t="shared" si="1"/>
        <v>Above Average</v>
      </c>
      <c r="N41" s="47" t="str">
        <f t="shared" si="3"/>
        <v>Above Average</v>
      </c>
      <c r="O41" s="75" t="str" cm="1">
        <f t="array" ref="O41">_xlfn.IFS(AND(M41="Above Average",N41="Below Average"),"Q1",AND(M41="Above Average",N41="Above Average"),"Q2",AND(M41="Below Average",N41="Above Average"),"Q3",AND(M41="Below Average",N41="Below Average"),"Q4")</f>
        <v>Q2</v>
      </c>
      <c r="P41" s="50" cm="1">
        <f t="array" ref="P41">_xlfn.IFS(O41="Q1",1,O41="Q2",2,O41="Q3",3,O41="Q4",4)</f>
        <v>2</v>
      </c>
      <c r="R41" t="s">
        <v>39</v>
      </c>
      <c r="S41" t="s">
        <v>179</v>
      </c>
      <c r="T41">
        <v>5.2879381199999999E-2</v>
      </c>
      <c r="U41">
        <v>0.33232562471434801</v>
      </c>
      <c r="AA41" s="64" t="s">
        <v>40</v>
      </c>
      <c r="AB41" s="50">
        <v>2</v>
      </c>
      <c r="AC41" s="50">
        <v>2</v>
      </c>
      <c r="AJ41" s="64" t="s">
        <v>40</v>
      </c>
      <c r="AK41" s="77">
        <v>74.345193320567816</v>
      </c>
      <c r="AL41" s="77">
        <v>107.24524316516025</v>
      </c>
      <c r="AM41" s="50">
        <v>2</v>
      </c>
      <c r="AN41" s="52">
        <v>0.1528983974</v>
      </c>
      <c r="AO41" s="52">
        <v>0.54793438602622901</v>
      </c>
      <c r="AP41" s="50">
        <v>2</v>
      </c>
    </row>
    <row r="42" spans="1:42" x14ac:dyDescent="0.35">
      <c r="A42" s="64" t="s">
        <v>41</v>
      </c>
      <c r="B42" s="65" t="s">
        <v>181</v>
      </c>
      <c r="C42" s="77">
        <v>7.3360946163777347</v>
      </c>
      <c r="D42" s="77">
        <v>20.688796680497926</v>
      </c>
      <c r="E42" s="47" t="str">
        <f t="shared" si="2"/>
        <v>Below Average</v>
      </c>
      <c r="F42" s="47" t="str">
        <f t="shared" si="0"/>
        <v>Below Average</v>
      </c>
      <c r="G42" s="75" t="str" cm="1">
        <f t="array" ref="G42">_xlfn.IFS(AND(E42="Above Average",F42="Below Average"),"Q1",AND(E42="Above Average",F42="Above Average"),"Q2",AND(E42="Below Average",F42="Above Average"),"Q3",AND(E42="Below Average",F42="Below Average"),"Q4")</f>
        <v>Q4</v>
      </c>
      <c r="H42" s="50" cm="1">
        <f t="array" ref="H42">_xlfn.IFS(G42="Q1",1,G42="Q2",2,G42="Q3",3,G42="Q4",4)</f>
        <v>4</v>
      </c>
      <c r="J42" s="64" t="s">
        <v>41</v>
      </c>
      <c r="K42" s="52">
        <v>2.10620522E-2</v>
      </c>
      <c r="L42" s="52">
        <v>0.24952584171475101</v>
      </c>
      <c r="M42" s="47" t="str">
        <f t="shared" si="1"/>
        <v>Below Average</v>
      </c>
      <c r="N42" s="47" t="str">
        <f t="shared" si="3"/>
        <v>Below Average</v>
      </c>
      <c r="O42" s="75" t="str" cm="1">
        <f t="array" ref="O42">_xlfn.IFS(AND(M42="Above Average",N42="Below Average"),"Q1",AND(M42="Above Average",N42="Above Average"),"Q2",AND(M42="Below Average",N42="Above Average"),"Q3",AND(M42="Below Average",N42="Below Average"),"Q4")</f>
        <v>Q4</v>
      </c>
      <c r="P42" s="50" cm="1">
        <f t="array" ref="P42">_xlfn.IFS(O42="Q1",1,O42="Q2",2,O42="Q3",3,O42="Q4",4)</f>
        <v>4</v>
      </c>
      <c r="R42" t="s">
        <v>40</v>
      </c>
      <c r="S42" t="s">
        <v>180</v>
      </c>
      <c r="T42">
        <v>0.1528983974</v>
      </c>
      <c r="U42">
        <v>0.54793438602622901</v>
      </c>
      <c r="AA42" s="64" t="s">
        <v>41</v>
      </c>
      <c r="AB42" s="50">
        <v>4</v>
      </c>
      <c r="AC42" s="50">
        <v>4</v>
      </c>
      <c r="AJ42" s="64" t="s">
        <v>41</v>
      </c>
      <c r="AK42" s="77">
        <v>7.3360946163777347</v>
      </c>
      <c r="AL42" s="77">
        <v>20.688796680497926</v>
      </c>
      <c r="AM42" s="50">
        <v>4</v>
      </c>
      <c r="AN42" s="52">
        <v>2.10620522E-2</v>
      </c>
      <c r="AO42" s="52">
        <v>0.24952584171475101</v>
      </c>
      <c r="AP42" s="50">
        <v>4</v>
      </c>
    </row>
    <row r="43" spans="1:42" x14ac:dyDescent="0.35">
      <c r="A43" s="64" t="s">
        <v>42</v>
      </c>
      <c r="B43" s="65" t="s">
        <v>184</v>
      </c>
      <c r="C43" s="77">
        <v>6.2037247448568724</v>
      </c>
      <c r="D43" s="77">
        <v>12.502461538461539</v>
      </c>
      <c r="E43" s="47" t="str">
        <f t="shared" si="2"/>
        <v>Below Average</v>
      </c>
      <c r="F43" s="47" t="str">
        <f t="shared" si="0"/>
        <v>Below Average</v>
      </c>
      <c r="G43" s="75" t="str" cm="1">
        <f t="array" ref="G43">_xlfn.IFS(AND(E43="Above Average",F43="Below Average"),"Q1",AND(E43="Above Average",F43="Above Average"),"Q2",AND(E43="Below Average",F43="Above Average"),"Q3",AND(E43="Below Average",F43="Below Average"),"Q4")</f>
        <v>Q4</v>
      </c>
      <c r="H43" s="50" cm="1">
        <f t="array" ref="H43">_xlfn.IFS(G43="Q1",1,G43="Q2",2,G43="Q3",3,G43="Q4",4)</f>
        <v>4</v>
      </c>
      <c r="J43" s="64" t="s">
        <v>42</v>
      </c>
      <c r="K43" s="52">
        <v>9.4023561499999991E-2</v>
      </c>
      <c r="L43" s="52">
        <v>0.56999999999999995</v>
      </c>
      <c r="M43" s="47" t="str">
        <f t="shared" si="1"/>
        <v>Above Average</v>
      </c>
      <c r="N43" s="47" t="str">
        <f t="shared" si="3"/>
        <v>Above Average</v>
      </c>
      <c r="O43" s="75" t="str" cm="1">
        <f t="array" ref="O43">_xlfn.IFS(AND(M43="Above Average",N43="Below Average"),"Q1",AND(M43="Above Average",N43="Above Average"),"Q2",AND(M43="Below Average",N43="Above Average"),"Q3",AND(M43="Below Average",N43="Below Average"),"Q4")</f>
        <v>Q2</v>
      </c>
      <c r="P43" s="50" cm="1">
        <f t="array" ref="P43">_xlfn.IFS(O43="Q1",1,O43="Q2",2,O43="Q3",3,O43="Q4",4)</f>
        <v>2</v>
      </c>
      <c r="R43" t="s">
        <v>41</v>
      </c>
      <c r="S43" t="s">
        <v>181</v>
      </c>
      <c r="T43">
        <v>2.10620522E-2</v>
      </c>
      <c r="U43">
        <v>0.24952584171475101</v>
      </c>
      <c r="AA43" s="64" t="s">
        <v>42</v>
      </c>
      <c r="AB43" s="50">
        <v>4</v>
      </c>
      <c r="AC43" s="50">
        <v>2</v>
      </c>
      <c r="AJ43" s="64" t="s">
        <v>42</v>
      </c>
      <c r="AK43" s="77">
        <v>6.2037247448568724</v>
      </c>
      <c r="AL43" s="77">
        <v>12.502461538461539</v>
      </c>
      <c r="AM43" s="50">
        <v>4</v>
      </c>
      <c r="AN43" s="52">
        <v>9.4023561499999991E-2</v>
      </c>
      <c r="AO43" s="52">
        <v>0.56999999999999995</v>
      </c>
      <c r="AP43" s="50">
        <v>2</v>
      </c>
    </row>
    <row r="44" spans="1:42" x14ac:dyDescent="0.35">
      <c r="A44" s="64" t="s">
        <v>157</v>
      </c>
      <c r="B44" s="65" t="s">
        <v>158</v>
      </c>
      <c r="C44" s="77">
        <v>7.6950371510478712</v>
      </c>
      <c r="D44" s="77">
        <v>10.645443106523956</v>
      </c>
      <c r="E44" s="47" t="str">
        <f t="shared" si="2"/>
        <v>Below Average</v>
      </c>
      <c r="F44" s="47" t="str">
        <f t="shared" si="0"/>
        <v>Below Average</v>
      </c>
      <c r="G44" s="75" t="str" cm="1">
        <f t="array" ref="G44">_xlfn.IFS(AND(E44="Above Average",F44="Below Average"),"Q1",AND(E44="Above Average",F44="Above Average"),"Q2",AND(E44="Below Average",F44="Above Average"),"Q3",AND(E44="Below Average",F44="Below Average"),"Q4")</f>
        <v>Q4</v>
      </c>
      <c r="H44" s="50" cm="1">
        <f t="array" ref="H44">_xlfn.IFS(G44="Q1",1,G44="Q2",2,G44="Q3",3,G44="Q4",4)</f>
        <v>4</v>
      </c>
      <c r="J44" s="64" t="s">
        <v>157</v>
      </c>
      <c r="K44" s="52">
        <v>5.4796643300000003E-2</v>
      </c>
      <c r="L44" s="52">
        <v>0.170669454827377</v>
      </c>
      <c r="M44" s="47" t="str">
        <f t="shared" si="1"/>
        <v>Below Average</v>
      </c>
      <c r="N44" s="47" t="str">
        <f t="shared" si="3"/>
        <v>Below Average</v>
      </c>
      <c r="O44" s="75" t="str" cm="1">
        <f t="array" ref="O44">_xlfn.IFS(AND(M44="Above Average",N44="Below Average"),"Q1",AND(M44="Above Average",N44="Above Average"),"Q2",AND(M44="Below Average",N44="Above Average"),"Q3",AND(M44="Below Average",N44="Below Average"),"Q4")</f>
        <v>Q4</v>
      </c>
      <c r="P44" s="50" cm="1">
        <f t="array" ref="P44">_xlfn.IFS(O44="Q1",1,O44="Q2",2,O44="Q3",3,O44="Q4",4)</f>
        <v>4</v>
      </c>
      <c r="R44" t="s">
        <v>43</v>
      </c>
      <c r="S44" t="s">
        <v>182</v>
      </c>
      <c r="T44">
        <v>5.3817400899999999E-2</v>
      </c>
      <c r="U44">
        <v>0.25088889751308202</v>
      </c>
      <c r="AA44" s="64" t="s">
        <v>157</v>
      </c>
      <c r="AB44" s="50">
        <v>4</v>
      </c>
      <c r="AC44" s="50">
        <v>4</v>
      </c>
      <c r="AJ44" s="64" t="s">
        <v>157</v>
      </c>
      <c r="AK44" s="77">
        <v>7.6950371510478712</v>
      </c>
      <c r="AL44" s="77">
        <v>10.645443106523956</v>
      </c>
      <c r="AM44" s="50">
        <v>4</v>
      </c>
      <c r="AN44" s="52">
        <v>5.4796643300000003E-2</v>
      </c>
      <c r="AO44" s="52">
        <v>0.170669454827377</v>
      </c>
      <c r="AP44" s="50">
        <v>4</v>
      </c>
    </row>
    <row r="45" spans="1:42" x14ac:dyDescent="0.35">
      <c r="A45" s="64" t="s">
        <v>43</v>
      </c>
      <c r="B45" s="65" t="s">
        <v>182</v>
      </c>
      <c r="C45" s="77">
        <v>5.9036930685343147</v>
      </c>
      <c r="D45" s="77">
        <v>10.599369085173501</v>
      </c>
      <c r="E45" s="47" t="str">
        <f t="shared" si="2"/>
        <v>Below Average</v>
      </c>
      <c r="F45" s="47" t="str">
        <f t="shared" si="0"/>
        <v>Below Average</v>
      </c>
      <c r="G45" s="75" t="str" cm="1">
        <f t="array" ref="G45">_xlfn.IFS(AND(E45="Above Average",F45="Below Average"),"Q1",AND(E45="Above Average",F45="Above Average"),"Q2",AND(E45="Below Average",F45="Above Average"),"Q3",AND(E45="Below Average",F45="Below Average"),"Q4")</f>
        <v>Q4</v>
      </c>
      <c r="H45" s="50" cm="1">
        <f t="array" ref="H45">_xlfn.IFS(G45="Q1",1,G45="Q2",2,G45="Q3",3,G45="Q4",4)</f>
        <v>4</v>
      </c>
      <c r="J45" s="64" t="s">
        <v>43</v>
      </c>
      <c r="K45" s="52">
        <v>5.3817400899999999E-2</v>
      </c>
      <c r="L45" s="52">
        <v>0.25088889751308202</v>
      </c>
      <c r="M45" s="47" t="str">
        <f t="shared" si="1"/>
        <v>Below Average</v>
      </c>
      <c r="N45" s="47" t="str">
        <f t="shared" si="3"/>
        <v>Below Average</v>
      </c>
      <c r="O45" s="75" t="str" cm="1">
        <f t="array" ref="O45">_xlfn.IFS(AND(M45="Above Average",N45="Below Average"),"Q1",AND(M45="Above Average",N45="Above Average"),"Q2",AND(M45="Below Average",N45="Above Average"),"Q3",AND(M45="Below Average",N45="Below Average"),"Q4")</f>
        <v>Q4</v>
      </c>
      <c r="P45" s="50" cm="1">
        <f t="array" ref="P45">_xlfn.IFS(O45="Q1",1,O45="Q2",2,O45="Q3",3,O45="Q4",4)</f>
        <v>4</v>
      </c>
      <c r="R45" t="s">
        <v>44</v>
      </c>
      <c r="S45" t="s">
        <v>183</v>
      </c>
      <c r="T45">
        <v>3.1388299500000001E-2</v>
      </c>
      <c r="U45">
        <v>0.56299999999999994</v>
      </c>
      <c r="AA45" s="64" t="s">
        <v>43</v>
      </c>
      <c r="AB45" s="50">
        <v>4</v>
      </c>
      <c r="AC45" s="50">
        <v>4</v>
      </c>
      <c r="AJ45" s="64" t="s">
        <v>43</v>
      </c>
      <c r="AK45" s="77">
        <v>5.9036930685343147</v>
      </c>
      <c r="AL45" s="77">
        <v>10.599369085173501</v>
      </c>
      <c r="AM45" s="50">
        <v>4</v>
      </c>
      <c r="AN45" s="52">
        <v>5.3817400899999999E-2</v>
      </c>
      <c r="AO45" s="52">
        <v>0.25088889751308202</v>
      </c>
      <c r="AP45" s="50">
        <v>4</v>
      </c>
    </row>
    <row r="46" spans="1:42" x14ac:dyDescent="0.35">
      <c r="A46" s="64" t="s">
        <v>44</v>
      </c>
      <c r="B46" s="65" t="s">
        <v>183</v>
      </c>
      <c r="C46" s="77">
        <v>24.594032165143432</v>
      </c>
      <c r="D46" s="77">
        <v>5.2036992954099146</v>
      </c>
      <c r="E46" s="47" t="str">
        <f t="shared" si="2"/>
        <v>Below Average</v>
      </c>
      <c r="F46" s="47" t="str">
        <f t="shared" si="0"/>
        <v>Below Average</v>
      </c>
      <c r="G46" s="75" t="str" cm="1">
        <f t="array" ref="G46">_xlfn.IFS(AND(E46="Above Average",F46="Below Average"),"Q1",AND(E46="Above Average",F46="Above Average"),"Q2",AND(E46="Below Average",F46="Above Average"),"Q3",AND(E46="Below Average",F46="Below Average"),"Q4")</f>
        <v>Q4</v>
      </c>
      <c r="H46" s="50" cm="1">
        <f t="array" ref="H46">_xlfn.IFS(G46="Q1",1,G46="Q2",2,G46="Q3",3,G46="Q4",4)</f>
        <v>4</v>
      </c>
      <c r="J46" s="64" t="s">
        <v>44</v>
      </c>
      <c r="K46" s="52">
        <v>3.1388299500000001E-2</v>
      </c>
      <c r="L46" s="52">
        <v>0.56299999999999994</v>
      </c>
      <c r="M46" s="47" t="str">
        <f t="shared" si="1"/>
        <v>Below Average</v>
      </c>
      <c r="N46" s="47" t="str">
        <f t="shared" si="3"/>
        <v>Above Average</v>
      </c>
      <c r="O46" s="75" t="str" cm="1">
        <f t="array" ref="O46">_xlfn.IFS(AND(M46="Above Average",N46="Below Average"),"Q1",AND(M46="Above Average",N46="Above Average"),"Q2",AND(M46="Below Average",N46="Above Average"),"Q3",AND(M46="Below Average",N46="Below Average"),"Q4")</f>
        <v>Q3</v>
      </c>
      <c r="P46" s="50" cm="1">
        <f t="array" ref="P46">_xlfn.IFS(O46="Q1",1,O46="Q2",2,O46="Q3",3,O46="Q4",4)</f>
        <v>3</v>
      </c>
      <c r="R46" t="s">
        <v>42</v>
      </c>
      <c r="S46" t="s">
        <v>184</v>
      </c>
      <c r="T46">
        <v>9.4023561499999991E-2</v>
      </c>
      <c r="U46">
        <v>0.56999999999999995</v>
      </c>
      <c r="AA46" s="64" t="s">
        <v>44</v>
      </c>
      <c r="AB46" s="50">
        <v>4</v>
      </c>
      <c r="AC46" s="50">
        <v>3</v>
      </c>
      <c r="AJ46" s="64" t="s">
        <v>44</v>
      </c>
      <c r="AK46" s="77">
        <v>24.594032165143432</v>
      </c>
      <c r="AL46" s="77">
        <v>5.2036992954099146</v>
      </c>
      <c r="AM46" s="50">
        <v>4</v>
      </c>
      <c r="AN46" s="52">
        <v>3.1388299500000001E-2</v>
      </c>
      <c r="AO46" s="52">
        <v>0.56299999999999994</v>
      </c>
      <c r="AP46" s="50">
        <v>3</v>
      </c>
    </row>
    <row r="47" spans="1:42" x14ac:dyDescent="0.35">
      <c r="A47" s="64" t="s">
        <v>45</v>
      </c>
      <c r="B47" s="65" t="s">
        <v>185</v>
      </c>
      <c r="C47" s="77">
        <v>32.824990914279496</v>
      </c>
      <c r="D47" s="77">
        <v>10.51861504095309</v>
      </c>
      <c r="E47" s="47" t="str">
        <f t="shared" si="2"/>
        <v>Above Average</v>
      </c>
      <c r="F47" s="47" t="str">
        <f t="shared" si="0"/>
        <v>Below Average</v>
      </c>
      <c r="G47" s="75" t="str" cm="1">
        <f t="array" ref="G47">_xlfn.IFS(AND(E47="Above Average",F47="Below Average"),"Q1",AND(E47="Above Average",F47="Above Average"),"Q2",AND(E47="Below Average",F47="Above Average"),"Q3",AND(E47="Below Average",F47="Below Average"),"Q4")</f>
        <v>Q1</v>
      </c>
      <c r="H47" s="50" cm="1">
        <f t="array" ref="H47">_xlfn.IFS(G47="Q1",1,G47="Q2",2,G47="Q3",3,G47="Q4",4)</f>
        <v>1</v>
      </c>
      <c r="J47" s="64" t="s">
        <v>45</v>
      </c>
      <c r="K47" s="52">
        <v>7.1645693799999993E-2</v>
      </c>
      <c r="L47" s="52">
        <v>0.26773290915292702</v>
      </c>
      <c r="M47" s="47" t="str">
        <f t="shared" si="1"/>
        <v>Below Average</v>
      </c>
      <c r="N47" s="47" t="str">
        <f t="shared" si="3"/>
        <v>Below Average</v>
      </c>
      <c r="O47" s="75" t="str" cm="1">
        <f t="array" ref="O47">_xlfn.IFS(AND(M47="Above Average",N47="Below Average"),"Q1",AND(M47="Above Average",N47="Above Average"),"Q2",AND(M47="Below Average",N47="Above Average"),"Q3",AND(M47="Below Average",N47="Below Average"),"Q4")</f>
        <v>Q4</v>
      </c>
      <c r="P47" s="50" cm="1">
        <f t="array" ref="P47">_xlfn.IFS(O47="Q1",1,O47="Q2",2,O47="Q3",3,O47="Q4",4)</f>
        <v>4</v>
      </c>
      <c r="R47" t="s">
        <v>45</v>
      </c>
      <c r="S47" t="s">
        <v>185</v>
      </c>
      <c r="T47">
        <v>7.1645693799999993E-2</v>
      </c>
      <c r="U47">
        <v>0.26773290915292702</v>
      </c>
      <c r="AA47" s="64" t="s">
        <v>45</v>
      </c>
      <c r="AB47" s="50">
        <v>1</v>
      </c>
      <c r="AC47" s="50">
        <v>4</v>
      </c>
      <c r="AJ47" s="64" t="s">
        <v>45</v>
      </c>
      <c r="AK47" s="77">
        <v>32.824990914279496</v>
      </c>
      <c r="AL47" s="77">
        <v>10.51861504095309</v>
      </c>
      <c r="AM47" s="50">
        <v>1</v>
      </c>
      <c r="AN47" s="52">
        <v>7.1645693799999993E-2</v>
      </c>
      <c r="AO47" s="52">
        <v>0.26773290915292702</v>
      </c>
      <c r="AP47" s="50">
        <v>4</v>
      </c>
    </row>
    <row r="48" spans="1:42" ht="15" thickBot="1" x14ac:dyDescent="0.4">
      <c r="A48" s="66" t="s">
        <v>46</v>
      </c>
      <c r="B48" s="65" t="s">
        <v>186</v>
      </c>
      <c r="C48" s="77">
        <v>36.315960905902422</v>
      </c>
      <c r="D48" s="77">
        <v>36.387251549841309</v>
      </c>
      <c r="E48" s="47" t="str">
        <f t="shared" si="2"/>
        <v>Above Average</v>
      </c>
      <c r="F48" s="47" t="str">
        <f t="shared" si="0"/>
        <v>Above Average</v>
      </c>
      <c r="G48" s="75" t="str" cm="1">
        <f t="array" ref="G48">_xlfn.IFS(AND(E48="Above Average",F48="Below Average"),"Q1",AND(E48="Above Average",F48="Above Average"),"Q2",AND(E48="Below Average",F48="Above Average"),"Q3",AND(E48="Below Average",F48="Below Average"),"Q4")</f>
        <v>Q2</v>
      </c>
      <c r="H48" s="50" cm="1">
        <f t="array" ref="H48">_xlfn.IFS(G48="Q1",1,G48="Q2",2,G48="Q3",3,G48="Q4",4)</f>
        <v>2</v>
      </c>
      <c r="J48" s="66" t="s">
        <v>46</v>
      </c>
      <c r="K48" s="52">
        <v>5.1729364399999998E-2</v>
      </c>
      <c r="L48" s="52">
        <v>0.35</v>
      </c>
      <c r="M48" s="47" t="str">
        <f t="shared" si="1"/>
        <v>Below Average</v>
      </c>
      <c r="N48" s="47" t="str">
        <f t="shared" si="3"/>
        <v>Below Average</v>
      </c>
      <c r="O48" s="75" t="str" cm="1">
        <f t="array" ref="O48">_xlfn.IFS(AND(M48="Above Average",N48="Below Average"),"Q1",AND(M48="Above Average",N48="Above Average"),"Q2",AND(M48="Below Average",N48="Above Average"),"Q3",AND(M48="Below Average",N48="Below Average"),"Q4")</f>
        <v>Q4</v>
      </c>
      <c r="P48" s="50" cm="1">
        <f t="array" ref="P48">_xlfn.IFS(O48="Q1",1,O48="Q2",2,O48="Q3",3,O48="Q4",4)</f>
        <v>4</v>
      </c>
      <c r="R48" t="s">
        <v>46</v>
      </c>
      <c r="S48" t="s">
        <v>186</v>
      </c>
      <c r="T48">
        <v>5.1729364399999998E-2</v>
      </c>
      <c r="U48">
        <v>0.35</v>
      </c>
      <c r="AA48" s="66" t="s">
        <v>46</v>
      </c>
      <c r="AB48" s="50">
        <v>2</v>
      </c>
      <c r="AC48" s="50">
        <v>4</v>
      </c>
      <c r="AJ48" s="66" t="s">
        <v>46</v>
      </c>
      <c r="AK48" s="77">
        <v>36.315960905902422</v>
      </c>
      <c r="AL48" s="77">
        <v>36.387251549841309</v>
      </c>
      <c r="AM48" s="50">
        <v>2</v>
      </c>
      <c r="AN48" s="52">
        <v>5.1729364399999998E-2</v>
      </c>
      <c r="AO48" s="52">
        <v>0.35</v>
      </c>
      <c r="AP48" s="50">
        <v>4</v>
      </c>
    </row>
    <row r="49" spans="1:41" ht="15" thickTop="1" x14ac:dyDescent="0.35">
      <c r="A49" s="76"/>
      <c r="B49" s="85" t="s">
        <v>103</v>
      </c>
      <c r="C49" s="77">
        <f>AVERAGE(C2:C48)</f>
        <v>24.652809013022068</v>
      </c>
      <c r="D49" s="77">
        <f>AVERAGE(D2:D48)</f>
        <v>22.857935830441416</v>
      </c>
      <c r="E49" s="77"/>
      <c r="F49" s="77"/>
      <c r="G49" s="78"/>
      <c r="J49" s="83" t="s">
        <v>103</v>
      </c>
      <c r="K49" s="82">
        <f>AVERAGE(K2:K48)</f>
        <v>7.287659531276594E-2</v>
      </c>
      <c r="L49" s="82">
        <f>AVERAGE(L2:L48)</f>
        <v>0.42362639990663953</v>
      </c>
      <c r="M49" s="77"/>
      <c r="N49" s="77"/>
      <c r="O49" s="78"/>
      <c r="S49" t="s">
        <v>103</v>
      </c>
      <c r="T49">
        <f>AVERAGE(T2:T48)</f>
        <v>7.287659531276594E-2</v>
      </c>
      <c r="U49">
        <v>0.42362639990663958</v>
      </c>
      <c r="AA49" s="76"/>
      <c r="AJ49" s="76"/>
      <c r="AK49" s="77">
        <v>24.652809013022068</v>
      </c>
      <c r="AL49" s="77">
        <v>22.857935830441416</v>
      </c>
      <c r="AN49" s="82">
        <v>7.287659531276594E-2</v>
      </c>
      <c r="AO49" s="82">
        <v>0.42362639990663953</v>
      </c>
    </row>
    <row r="50" spans="1:41" x14ac:dyDescent="0.35">
      <c r="A50" s="79"/>
      <c r="B50" s="84" t="s">
        <v>190</v>
      </c>
      <c r="C50" s="77">
        <f>MIN(C2:C48)</f>
        <v>2.3259582036922208</v>
      </c>
      <c r="D50" s="77">
        <f>MIN(D2:D48)</f>
        <v>0.95412514516632685</v>
      </c>
      <c r="E50" s="77"/>
      <c r="F50" s="77"/>
      <c r="G50" s="78"/>
      <c r="J50" s="84" t="s">
        <v>190</v>
      </c>
      <c r="K50" s="81">
        <f>MIN(K2:K48)</f>
        <v>2.10620522E-2</v>
      </c>
      <c r="L50" s="81">
        <f>MIN(L2:L48)</f>
        <v>7.4999999999999997E-2</v>
      </c>
      <c r="M50" s="77"/>
      <c r="N50" s="77"/>
      <c r="O50" s="78"/>
      <c r="S50" t="s">
        <v>99</v>
      </c>
      <c r="T50">
        <v>6.8515443800000006E-2</v>
      </c>
      <c r="U50">
        <v>0.45</v>
      </c>
      <c r="AA50" s="79"/>
      <c r="AJ50" s="79"/>
      <c r="AK50" s="77">
        <v>2.3259582036922208</v>
      </c>
      <c r="AL50" s="77">
        <v>0.95412514516632685</v>
      </c>
      <c r="AN50" s="81">
        <v>2.10620522E-2</v>
      </c>
      <c r="AO50" s="81">
        <v>7.4999999999999997E-2</v>
      </c>
    </row>
    <row r="51" spans="1:41" x14ac:dyDescent="0.35">
      <c r="A51" s="80"/>
      <c r="B51" s="84" t="s">
        <v>191</v>
      </c>
      <c r="C51" s="77">
        <f>MAX(C2:C48)</f>
        <v>213.24893351885851</v>
      </c>
      <c r="D51" s="77">
        <f>MAX(D2:D48)</f>
        <v>107.24524316516025</v>
      </c>
      <c r="E51" s="77"/>
      <c r="F51" s="77"/>
      <c r="G51" s="78"/>
      <c r="J51" s="84" t="s">
        <v>191</v>
      </c>
      <c r="K51" s="81">
        <f>MAX(K2:K48)</f>
        <v>0.1528983974</v>
      </c>
      <c r="L51" s="81">
        <f>MAX(L2:L48)</f>
        <v>0.71079999999999999</v>
      </c>
      <c r="M51" s="77"/>
      <c r="N51" s="77"/>
      <c r="O51" s="78"/>
      <c r="AA51" s="80"/>
      <c r="AJ51" s="80"/>
      <c r="AK51" s="77">
        <v>213.24893351885851</v>
      </c>
      <c r="AL51" s="77">
        <v>107.24524316516025</v>
      </c>
      <c r="AN51" s="81">
        <v>0.1528983974</v>
      </c>
      <c r="AO51" s="81">
        <v>0.71079999999999999</v>
      </c>
    </row>
    <row r="52" spans="1:41" x14ac:dyDescent="0.35">
      <c r="J52" s="83" t="s">
        <v>103</v>
      </c>
      <c r="K52">
        <v>7.287659531276594E-2</v>
      </c>
      <c r="L52">
        <v>0.42362639990663953</v>
      </c>
      <c r="AN52">
        <v>7.287659531276594E-2</v>
      </c>
      <c r="AO52">
        <v>0.42362639990663953</v>
      </c>
    </row>
    <row r="53" spans="1:41" x14ac:dyDescent="0.35">
      <c r="J53" s="84" t="s">
        <v>190</v>
      </c>
      <c r="K53">
        <v>2.10620522E-2</v>
      </c>
      <c r="L53">
        <v>7.4999999999999997E-2</v>
      </c>
      <c r="AN53">
        <v>2.10620522E-2</v>
      </c>
      <c r="AO53">
        <v>7.4999999999999997E-2</v>
      </c>
    </row>
    <row r="54" spans="1:41" x14ac:dyDescent="0.35">
      <c r="J54" s="84" t="s">
        <v>191</v>
      </c>
      <c r="K54">
        <v>0.1528983974</v>
      </c>
      <c r="L54">
        <v>0.71079999999999999</v>
      </c>
      <c r="AN54">
        <v>0.1528983974</v>
      </c>
      <c r="AO54">
        <v>0.71079999999999999</v>
      </c>
    </row>
  </sheetData>
  <conditionalFormatting sqref="C2:C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4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4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4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4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:AF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0A85-3F6E-4812-B18D-736813BB2551}">
  <dimension ref="A1"/>
  <sheetViews>
    <sheetView workbookViewId="0">
      <selection activeCell="B1" sqref="B1:B1048576"/>
    </sheetView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A157-66EE-4B0F-AAA8-D76132177D7F}">
  <dimension ref="A1:P54"/>
  <sheetViews>
    <sheetView workbookViewId="0">
      <selection activeCell="J2" sqref="J2"/>
    </sheetView>
  </sheetViews>
  <sheetFormatPr defaultRowHeight="14.5" x14ac:dyDescent="0.35"/>
  <cols>
    <col min="1" max="1" width="27.26953125" style="58" bestFit="1" customWidth="1"/>
    <col min="2" max="2" width="11" customWidth="1"/>
    <col min="3" max="3" width="24" style="50" hidden="1" customWidth="1"/>
    <col min="4" max="4" width="13.81640625" hidden="1" customWidth="1"/>
    <col min="5" max="5" width="23.81640625" style="16" hidden="1" customWidth="1"/>
    <col min="6" max="6" width="24" style="50" customWidth="1"/>
    <col min="7" max="8" width="13.81640625" hidden="1" customWidth="1"/>
    <col min="9" max="9" width="23.81640625" style="16" hidden="1" customWidth="1"/>
    <col min="10" max="10" width="29" style="50" customWidth="1"/>
    <col min="13" max="13" width="27.26953125" style="58" bestFit="1" customWidth="1"/>
    <col min="14" max="14" width="11" customWidth="1"/>
    <col min="15" max="15" width="24" style="50" customWidth="1"/>
    <col min="16" max="16" width="29" style="50" customWidth="1"/>
  </cols>
  <sheetData>
    <row r="1" spans="1:16" ht="58.5" thickTop="1" x14ac:dyDescent="0.35">
      <c r="A1" s="59" t="s">
        <v>0</v>
      </c>
      <c r="B1" s="60" t="s">
        <v>187</v>
      </c>
      <c r="C1" s="60" t="s">
        <v>196</v>
      </c>
      <c r="D1" s="60" t="s">
        <v>102</v>
      </c>
      <c r="E1" s="60" t="s">
        <v>204</v>
      </c>
      <c r="F1" s="60" t="s">
        <v>204</v>
      </c>
      <c r="G1" s="60" t="s">
        <v>134</v>
      </c>
      <c r="H1" s="60" t="s">
        <v>135</v>
      </c>
      <c r="I1" s="60" t="s">
        <v>205</v>
      </c>
      <c r="J1" s="60" t="s">
        <v>205</v>
      </c>
      <c r="M1" s="59" t="s">
        <v>0</v>
      </c>
      <c r="N1" s="60" t="s">
        <v>187</v>
      </c>
      <c r="O1" s="60" t="s">
        <v>204</v>
      </c>
      <c r="P1" s="60" t="s">
        <v>205</v>
      </c>
    </row>
    <row r="2" spans="1:16" x14ac:dyDescent="0.35">
      <c r="A2" s="64" t="s">
        <v>1</v>
      </c>
      <c r="B2" s="65" t="s">
        <v>136</v>
      </c>
      <c r="C2" s="77">
        <v>42.170245010241459</v>
      </c>
      <c r="D2" s="77">
        <v>22.857935830441416</v>
      </c>
      <c r="E2" s="75" t="s">
        <v>101</v>
      </c>
      <c r="F2" s="86">
        <v>3</v>
      </c>
      <c r="G2" s="52">
        <v>0.10730769159999999</v>
      </c>
      <c r="H2" s="52">
        <v>0.55000000000000004</v>
      </c>
      <c r="I2" s="75" t="s">
        <v>207</v>
      </c>
      <c r="J2" s="89">
        <v>2</v>
      </c>
      <c r="M2" s="64" t="s">
        <v>1</v>
      </c>
      <c r="N2" s="65" t="s">
        <v>136</v>
      </c>
      <c r="O2" s="91" t="s">
        <v>101</v>
      </c>
      <c r="P2" s="92" t="s">
        <v>207</v>
      </c>
    </row>
    <row r="3" spans="1:16" x14ac:dyDescent="0.35">
      <c r="A3" s="64" t="s">
        <v>2</v>
      </c>
      <c r="B3" s="65" t="s">
        <v>137</v>
      </c>
      <c r="C3" s="77">
        <v>21.19840588956373</v>
      </c>
      <c r="D3" s="77">
        <v>21.176735134619424</v>
      </c>
      <c r="E3" s="75" t="s">
        <v>206</v>
      </c>
      <c r="F3" s="87">
        <v>4</v>
      </c>
      <c r="G3" s="52">
        <v>5.3643193200000001E-2</v>
      </c>
      <c r="H3" s="52">
        <v>0.50045872095830901</v>
      </c>
      <c r="I3" s="75" t="s">
        <v>100</v>
      </c>
      <c r="J3" s="88">
        <v>1</v>
      </c>
      <c r="M3" s="64" t="s">
        <v>2</v>
      </c>
      <c r="N3" s="65" t="s">
        <v>137</v>
      </c>
      <c r="O3" s="93" t="s">
        <v>206</v>
      </c>
      <c r="P3" s="94" t="s">
        <v>100</v>
      </c>
    </row>
    <row r="4" spans="1:16" x14ac:dyDescent="0.35">
      <c r="A4" s="64" t="s">
        <v>3</v>
      </c>
      <c r="B4" s="65" t="s">
        <v>138</v>
      </c>
      <c r="C4" s="77">
        <v>7.905420140578082</v>
      </c>
      <c r="D4" s="77">
        <v>8.1976856316297013</v>
      </c>
      <c r="E4" s="75" t="s">
        <v>206</v>
      </c>
      <c r="F4" s="87">
        <v>4</v>
      </c>
      <c r="G4" s="52">
        <v>4.5545940399999998E-2</v>
      </c>
      <c r="H4" s="52">
        <v>0.473026044369111</v>
      </c>
      <c r="I4" s="75" t="s">
        <v>100</v>
      </c>
      <c r="J4" s="88">
        <v>1</v>
      </c>
      <c r="M4" s="64" t="s">
        <v>3</v>
      </c>
      <c r="N4" s="65" t="s">
        <v>138</v>
      </c>
      <c r="O4" s="93" t="s">
        <v>206</v>
      </c>
      <c r="P4" s="94" t="s">
        <v>100</v>
      </c>
    </row>
    <row r="5" spans="1:16" x14ac:dyDescent="0.35">
      <c r="A5" s="64" t="s">
        <v>4</v>
      </c>
      <c r="B5" s="65" t="s">
        <v>139</v>
      </c>
      <c r="C5" s="77">
        <v>34.292718386067548</v>
      </c>
      <c r="D5" s="77">
        <v>16.399999999999999</v>
      </c>
      <c r="E5" s="75" t="s">
        <v>101</v>
      </c>
      <c r="F5" s="86">
        <v>3</v>
      </c>
      <c r="G5" s="52">
        <v>0.12006065370000001</v>
      </c>
      <c r="H5" s="52">
        <v>0.52100000000000002</v>
      </c>
      <c r="I5" s="75" t="s">
        <v>207</v>
      </c>
      <c r="J5" s="89">
        <v>2</v>
      </c>
      <c r="M5" s="64" t="s">
        <v>4</v>
      </c>
      <c r="N5" s="65" t="s">
        <v>139</v>
      </c>
      <c r="O5" s="91" t="s">
        <v>101</v>
      </c>
      <c r="P5" s="92" t="s">
        <v>207</v>
      </c>
    </row>
    <row r="6" spans="1:16" x14ac:dyDescent="0.35">
      <c r="A6" s="64" t="s">
        <v>5</v>
      </c>
      <c r="B6" s="65" t="s">
        <v>140</v>
      </c>
      <c r="C6" s="77">
        <v>11.721918929906732</v>
      </c>
      <c r="D6" s="77">
        <v>6.4928625093914354</v>
      </c>
      <c r="E6" s="75" t="s">
        <v>206</v>
      </c>
      <c r="F6" s="87">
        <v>4</v>
      </c>
      <c r="G6" s="52">
        <v>0.11463944440000001</v>
      </c>
      <c r="H6" s="52">
        <v>0.32880543493854802</v>
      </c>
      <c r="I6" s="75" t="s">
        <v>101</v>
      </c>
      <c r="J6" s="86">
        <v>3</v>
      </c>
      <c r="M6" s="64" t="s">
        <v>5</v>
      </c>
      <c r="N6" s="65" t="s">
        <v>140</v>
      </c>
      <c r="O6" s="93" t="s">
        <v>206</v>
      </c>
      <c r="P6" s="91" t="s">
        <v>101</v>
      </c>
    </row>
    <row r="7" spans="1:16" x14ac:dyDescent="0.35">
      <c r="A7" s="64" t="s">
        <v>6</v>
      </c>
      <c r="B7" s="65" t="s">
        <v>141</v>
      </c>
      <c r="C7" s="77">
        <v>8.1970005510432156</v>
      </c>
      <c r="D7" s="77">
        <v>5.7962394193302087</v>
      </c>
      <c r="E7" s="75" t="s">
        <v>206</v>
      </c>
      <c r="F7" s="87">
        <v>4</v>
      </c>
      <c r="G7" s="52">
        <v>8.3128080399999998E-2</v>
      </c>
      <c r="H7" s="52">
        <v>0.26769999999999999</v>
      </c>
      <c r="I7" s="75" t="s">
        <v>101</v>
      </c>
      <c r="J7" s="86">
        <v>3</v>
      </c>
      <c r="M7" s="64" t="s">
        <v>6</v>
      </c>
      <c r="N7" s="65" t="s">
        <v>141</v>
      </c>
      <c r="O7" s="93" t="s">
        <v>206</v>
      </c>
      <c r="P7" s="91" t="s">
        <v>101</v>
      </c>
    </row>
    <row r="8" spans="1:16" x14ac:dyDescent="0.35">
      <c r="A8" s="64" t="s">
        <v>60</v>
      </c>
      <c r="B8" s="65" t="s">
        <v>142</v>
      </c>
      <c r="C8" s="77">
        <v>60.895271765381224</v>
      </c>
      <c r="D8" s="77">
        <v>22.857935830441416</v>
      </c>
      <c r="E8" s="75" t="s">
        <v>101</v>
      </c>
      <c r="F8" s="86">
        <v>3</v>
      </c>
      <c r="G8" s="52">
        <v>0.10392424580000001</v>
      </c>
      <c r="H8" s="52">
        <v>0.32863412813189302</v>
      </c>
      <c r="I8" s="75" t="s">
        <v>101</v>
      </c>
      <c r="J8" s="86">
        <v>3</v>
      </c>
      <c r="M8" s="64" t="s">
        <v>60</v>
      </c>
      <c r="N8" s="65" t="s">
        <v>142</v>
      </c>
      <c r="O8" s="91" t="s">
        <v>101</v>
      </c>
      <c r="P8" s="91" t="s">
        <v>101</v>
      </c>
    </row>
    <row r="9" spans="1:16" x14ac:dyDescent="0.35">
      <c r="A9" s="64" t="s">
        <v>7</v>
      </c>
      <c r="B9" s="65" t="s">
        <v>143</v>
      </c>
      <c r="C9" s="77">
        <v>7.8475241743670043</v>
      </c>
      <c r="D9" s="77">
        <v>5.8473988439306357</v>
      </c>
      <c r="E9" s="75" t="s">
        <v>206</v>
      </c>
      <c r="F9" s="87">
        <v>4</v>
      </c>
      <c r="G9" s="52">
        <v>3.6992728700000005E-2</v>
      </c>
      <c r="H9" s="52">
        <v>0.60169835832363905</v>
      </c>
      <c r="I9" s="75" t="s">
        <v>100</v>
      </c>
      <c r="J9" s="88">
        <v>1</v>
      </c>
      <c r="M9" s="64" t="s">
        <v>7</v>
      </c>
      <c r="N9" s="65" t="s">
        <v>143</v>
      </c>
      <c r="O9" s="93" t="s">
        <v>206</v>
      </c>
      <c r="P9" s="94" t="s">
        <v>100</v>
      </c>
    </row>
    <row r="10" spans="1:16" x14ac:dyDescent="0.35">
      <c r="A10" s="64" t="s">
        <v>8</v>
      </c>
      <c r="B10" s="65" t="s">
        <v>144</v>
      </c>
      <c r="C10" s="77">
        <v>2.3872297370504008</v>
      </c>
      <c r="D10" s="77">
        <v>44.159429280397021</v>
      </c>
      <c r="E10" s="75" t="s">
        <v>100</v>
      </c>
      <c r="F10" s="88">
        <v>1</v>
      </c>
      <c r="G10" s="52">
        <v>4.8423175799999996E-2</v>
      </c>
      <c r="H10" s="52">
        <v>0.60169835832363905</v>
      </c>
      <c r="I10" s="75" t="s">
        <v>100</v>
      </c>
      <c r="J10" s="88">
        <v>1</v>
      </c>
      <c r="M10" s="64" t="s">
        <v>8</v>
      </c>
      <c r="N10" s="65" t="s">
        <v>144</v>
      </c>
      <c r="O10" s="94" t="s">
        <v>100</v>
      </c>
      <c r="P10" s="94" t="s">
        <v>100</v>
      </c>
    </row>
    <row r="11" spans="1:16" x14ac:dyDescent="0.35">
      <c r="A11" s="64" t="s">
        <v>9</v>
      </c>
      <c r="B11" s="65" t="s">
        <v>145</v>
      </c>
      <c r="C11" s="77">
        <v>3.2716188953202665</v>
      </c>
      <c r="D11" s="77">
        <v>1.5058928414930488</v>
      </c>
      <c r="E11" s="75" t="s">
        <v>206</v>
      </c>
      <c r="F11" s="87">
        <v>4</v>
      </c>
      <c r="G11" s="52">
        <v>4.8723001500000002E-2</v>
      </c>
      <c r="H11" s="52">
        <v>0.35310312003413502</v>
      </c>
      <c r="I11" s="75" t="s">
        <v>206</v>
      </c>
      <c r="J11" s="90">
        <v>4</v>
      </c>
      <c r="M11" s="64" t="s">
        <v>9</v>
      </c>
      <c r="N11" s="65" t="s">
        <v>145</v>
      </c>
      <c r="O11" s="93" t="s">
        <v>206</v>
      </c>
      <c r="P11" s="93" t="s">
        <v>206</v>
      </c>
    </row>
    <row r="12" spans="1:16" x14ac:dyDescent="0.35">
      <c r="A12" s="64" t="s">
        <v>10</v>
      </c>
      <c r="B12" s="65" t="s">
        <v>146</v>
      </c>
      <c r="C12" s="77">
        <v>20.614550700647715</v>
      </c>
      <c r="D12" s="77">
        <v>28.47427435177109</v>
      </c>
      <c r="E12" s="75" t="s">
        <v>100</v>
      </c>
      <c r="F12" s="88">
        <v>1</v>
      </c>
      <c r="G12" s="52">
        <v>4.1246685999999998E-2</v>
      </c>
      <c r="H12" s="52">
        <v>0.65</v>
      </c>
      <c r="I12" s="75" t="s">
        <v>100</v>
      </c>
      <c r="J12" s="88">
        <v>1</v>
      </c>
      <c r="M12" s="64" t="s">
        <v>10</v>
      </c>
      <c r="N12" s="65" t="s">
        <v>146</v>
      </c>
      <c r="O12" s="94" t="s">
        <v>100</v>
      </c>
      <c r="P12" s="94" t="s">
        <v>100</v>
      </c>
    </row>
    <row r="13" spans="1:16" x14ac:dyDescent="0.35">
      <c r="A13" s="64" t="s">
        <v>149</v>
      </c>
      <c r="B13" s="65" t="s">
        <v>150</v>
      </c>
      <c r="C13" s="77">
        <v>11.710635712808925</v>
      </c>
      <c r="D13" s="77">
        <v>20.263906002583152</v>
      </c>
      <c r="E13" s="75" t="s">
        <v>206</v>
      </c>
      <c r="F13" s="87">
        <v>4</v>
      </c>
      <c r="G13" s="52">
        <v>6.6596483200000001E-2</v>
      </c>
      <c r="H13" s="52">
        <v>0.373</v>
      </c>
      <c r="I13" s="75" t="s">
        <v>206</v>
      </c>
      <c r="J13" s="90">
        <v>4</v>
      </c>
      <c r="M13" s="64" t="s">
        <v>149</v>
      </c>
      <c r="N13" s="65" t="s">
        <v>150</v>
      </c>
      <c r="O13" s="93" t="s">
        <v>206</v>
      </c>
      <c r="P13" s="93" t="s">
        <v>206</v>
      </c>
    </row>
    <row r="14" spans="1:16" ht="29" x14ac:dyDescent="0.35">
      <c r="A14" s="64" t="s">
        <v>82</v>
      </c>
      <c r="B14" s="65" t="s">
        <v>151</v>
      </c>
      <c r="C14" s="77">
        <v>14.104125276326323</v>
      </c>
      <c r="D14" s="77">
        <v>4.5412705268813731</v>
      </c>
      <c r="E14" s="75" t="s">
        <v>206</v>
      </c>
      <c r="F14" s="87">
        <v>4</v>
      </c>
      <c r="G14" s="52">
        <v>6.2699966400000001E-2</v>
      </c>
      <c r="H14" s="52">
        <v>0.473026044369111</v>
      </c>
      <c r="I14" s="75" t="s">
        <v>100</v>
      </c>
      <c r="J14" s="88">
        <v>1</v>
      </c>
      <c r="M14" s="64" t="s">
        <v>82</v>
      </c>
      <c r="N14" s="65" t="s">
        <v>151</v>
      </c>
      <c r="O14" s="93" t="s">
        <v>206</v>
      </c>
      <c r="P14" s="94" t="s">
        <v>100</v>
      </c>
    </row>
    <row r="15" spans="1:16" x14ac:dyDescent="0.35">
      <c r="A15" s="64" t="s">
        <v>14</v>
      </c>
      <c r="B15" s="65" t="s">
        <v>152</v>
      </c>
      <c r="C15" s="77">
        <v>10.007213798082931</v>
      </c>
      <c r="D15" s="77">
        <v>0.95412514516632685</v>
      </c>
      <c r="E15" s="75" t="s">
        <v>206</v>
      </c>
      <c r="F15" s="87">
        <v>4</v>
      </c>
      <c r="G15" s="52">
        <v>5.2922940299999999E-2</v>
      </c>
      <c r="H15" s="52">
        <v>0.473026044369111</v>
      </c>
      <c r="I15" s="75" t="s">
        <v>100</v>
      </c>
      <c r="J15" s="88">
        <v>1</v>
      </c>
      <c r="M15" s="64" t="s">
        <v>14</v>
      </c>
      <c r="N15" s="65" t="s">
        <v>152</v>
      </c>
      <c r="O15" s="93" t="s">
        <v>206</v>
      </c>
      <c r="P15" s="94" t="s">
        <v>100</v>
      </c>
    </row>
    <row r="16" spans="1:16" x14ac:dyDescent="0.35">
      <c r="A16" s="64" t="s">
        <v>15</v>
      </c>
      <c r="B16" s="65" t="s">
        <v>153</v>
      </c>
      <c r="C16" s="77">
        <v>14.584070867806926</v>
      </c>
      <c r="D16" s="77">
        <v>13.264544118808269</v>
      </c>
      <c r="E16" s="75" t="s">
        <v>206</v>
      </c>
      <c r="F16" s="87">
        <v>4</v>
      </c>
      <c r="G16" s="52">
        <v>2.3541069000000001E-2</v>
      </c>
      <c r="H16" s="52">
        <v>0.67300000000000004</v>
      </c>
      <c r="I16" s="75" t="s">
        <v>100</v>
      </c>
      <c r="J16" s="88">
        <v>1</v>
      </c>
      <c r="M16" s="64" t="s">
        <v>15</v>
      </c>
      <c r="N16" s="65" t="s">
        <v>153</v>
      </c>
      <c r="O16" s="93" t="s">
        <v>206</v>
      </c>
      <c r="P16" s="94" t="s">
        <v>100</v>
      </c>
    </row>
    <row r="17" spans="1:16" x14ac:dyDescent="0.35">
      <c r="A17" s="64" t="s">
        <v>16</v>
      </c>
      <c r="B17" s="65" t="s">
        <v>154</v>
      </c>
      <c r="C17" s="77">
        <v>49.456152913797929</v>
      </c>
      <c r="D17" s="77">
        <v>37.056249999999999</v>
      </c>
      <c r="E17" s="75" t="s">
        <v>207</v>
      </c>
      <c r="F17" s="89">
        <v>2</v>
      </c>
      <c r="G17" s="52">
        <v>9.9682931900000007E-2</v>
      </c>
      <c r="H17" s="52">
        <v>0.3</v>
      </c>
      <c r="I17" s="75" t="s">
        <v>101</v>
      </c>
      <c r="J17" s="86">
        <v>3</v>
      </c>
      <c r="M17" s="64" t="s">
        <v>16</v>
      </c>
      <c r="N17" s="65" t="s">
        <v>154</v>
      </c>
      <c r="O17" s="92" t="s">
        <v>207</v>
      </c>
      <c r="P17" s="91" t="s">
        <v>101</v>
      </c>
    </row>
    <row r="18" spans="1:16" x14ac:dyDescent="0.35">
      <c r="A18" s="64" t="s">
        <v>17</v>
      </c>
      <c r="B18" s="65" t="s">
        <v>155</v>
      </c>
      <c r="C18" s="77">
        <v>15.362628950222767</v>
      </c>
      <c r="D18" s="77">
        <v>16.468657033574161</v>
      </c>
      <c r="E18" s="75" t="s">
        <v>206</v>
      </c>
      <c r="F18" s="87">
        <v>4</v>
      </c>
      <c r="G18" s="52">
        <v>6.79223251E-2</v>
      </c>
      <c r="H18" s="52">
        <v>0.18662367321998</v>
      </c>
      <c r="I18" s="75" t="s">
        <v>206</v>
      </c>
      <c r="J18" s="90">
        <v>4</v>
      </c>
      <c r="M18" s="64" t="s">
        <v>17</v>
      </c>
      <c r="N18" s="65" t="s">
        <v>155</v>
      </c>
      <c r="O18" s="93" t="s">
        <v>206</v>
      </c>
      <c r="P18" s="93" t="s">
        <v>206</v>
      </c>
    </row>
    <row r="19" spans="1:16" x14ac:dyDescent="0.35">
      <c r="A19" s="64" t="s">
        <v>18</v>
      </c>
      <c r="B19" s="65" t="s">
        <v>156</v>
      </c>
      <c r="C19" s="77">
        <v>29.037302117617038</v>
      </c>
      <c r="D19" s="77">
        <v>42.673685800866124</v>
      </c>
      <c r="E19" s="75" t="s">
        <v>207</v>
      </c>
      <c r="F19" s="89">
        <v>2</v>
      </c>
      <c r="G19" s="52">
        <v>9.5915584600000006E-2</v>
      </c>
      <c r="H19" s="52">
        <v>0.487577741763977</v>
      </c>
      <c r="I19" s="75" t="s">
        <v>207</v>
      </c>
      <c r="J19" s="89">
        <v>2</v>
      </c>
      <c r="M19" s="64" t="s">
        <v>18</v>
      </c>
      <c r="N19" s="65" t="s">
        <v>156</v>
      </c>
      <c r="O19" s="92" t="s">
        <v>207</v>
      </c>
      <c r="P19" s="92" t="s">
        <v>207</v>
      </c>
    </row>
    <row r="20" spans="1:16" x14ac:dyDescent="0.35">
      <c r="A20" s="64" t="s">
        <v>20</v>
      </c>
      <c r="B20" s="65" t="s">
        <v>159</v>
      </c>
      <c r="C20" s="77">
        <v>45.6484849222892</v>
      </c>
      <c r="D20" s="77">
        <v>5.6456748687645337</v>
      </c>
      <c r="E20" s="75" t="s">
        <v>101</v>
      </c>
      <c r="F20" s="86">
        <v>3</v>
      </c>
      <c r="G20" s="52">
        <v>6.8515443800000006E-2</v>
      </c>
      <c r="H20" s="52">
        <v>0.57699999999999996</v>
      </c>
      <c r="I20" s="75" t="s">
        <v>100</v>
      </c>
      <c r="J20" s="88">
        <v>1</v>
      </c>
      <c r="M20" s="64" t="s">
        <v>20</v>
      </c>
      <c r="N20" s="65" t="s">
        <v>159</v>
      </c>
      <c r="O20" s="91" t="s">
        <v>101</v>
      </c>
      <c r="P20" s="94" t="s">
        <v>100</v>
      </c>
    </row>
    <row r="21" spans="1:16" x14ac:dyDescent="0.35">
      <c r="A21" s="64" t="s">
        <v>21</v>
      </c>
      <c r="B21" s="65" t="s">
        <v>160</v>
      </c>
      <c r="C21" s="77">
        <v>4.5119996321234597</v>
      </c>
      <c r="D21" s="77">
        <v>3.096666017972511</v>
      </c>
      <c r="E21" s="75" t="s">
        <v>206</v>
      </c>
      <c r="F21" s="87">
        <v>4</v>
      </c>
      <c r="G21" s="52">
        <v>6.1485252399999996E-2</v>
      </c>
      <c r="H21" s="52">
        <v>0.391998679499238</v>
      </c>
      <c r="I21" s="75" t="s">
        <v>206</v>
      </c>
      <c r="J21" s="90">
        <v>4</v>
      </c>
      <c r="M21" s="64" t="s">
        <v>21</v>
      </c>
      <c r="N21" s="65" t="s">
        <v>160</v>
      </c>
      <c r="O21" s="93" t="s">
        <v>206</v>
      </c>
      <c r="P21" s="93" t="s">
        <v>206</v>
      </c>
    </row>
    <row r="22" spans="1:16" x14ac:dyDescent="0.35">
      <c r="A22" s="64" t="s">
        <v>22</v>
      </c>
      <c r="B22" s="65" t="s">
        <v>161</v>
      </c>
      <c r="C22" s="77">
        <v>12.380872332200333</v>
      </c>
      <c r="D22" s="77">
        <v>22.857935830441416</v>
      </c>
      <c r="E22" s="75" t="s">
        <v>206</v>
      </c>
      <c r="F22" s="87">
        <v>4</v>
      </c>
      <c r="G22" s="52">
        <v>2.7522828600000004E-2</v>
      </c>
      <c r="H22" s="52">
        <v>0.473026044369111</v>
      </c>
      <c r="I22" s="75" t="s">
        <v>100</v>
      </c>
      <c r="J22" s="88">
        <v>1</v>
      </c>
      <c r="M22" s="64" t="s">
        <v>22</v>
      </c>
      <c r="N22" s="65" t="s">
        <v>161</v>
      </c>
      <c r="O22" s="93" t="s">
        <v>206</v>
      </c>
      <c r="P22" s="94" t="s">
        <v>100</v>
      </c>
    </row>
    <row r="23" spans="1:16" x14ac:dyDescent="0.35">
      <c r="A23" s="64" t="s">
        <v>23</v>
      </c>
      <c r="B23" s="65" t="s">
        <v>162</v>
      </c>
      <c r="C23" s="77">
        <v>22.689931885967603</v>
      </c>
      <c r="D23" s="77">
        <v>75.215601965601962</v>
      </c>
      <c r="E23" s="75" t="s">
        <v>100</v>
      </c>
      <c r="F23" s="88">
        <v>1</v>
      </c>
      <c r="G23" s="52">
        <v>8.2324161500000007E-2</v>
      </c>
      <c r="H23" s="52">
        <v>0.437</v>
      </c>
      <c r="I23" s="75" t="s">
        <v>207</v>
      </c>
      <c r="J23" s="89">
        <v>2</v>
      </c>
      <c r="M23" s="64" t="s">
        <v>23</v>
      </c>
      <c r="N23" s="65" t="s">
        <v>162</v>
      </c>
      <c r="O23" s="94" t="s">
        <v>100</v>
      </c>
      <c r="P23" s="92" t="s">
        <v>207</v>
      </c>
    </row>
    <row r="24" spans="1:16" x14ac:dyDescent="0.35">
      <c r="A24" s="64" t="s">
        <v>24</v>
      </c>
      <c r="B24" s="65" t="s">
        <v>163</v>
      </c>
      <c r="C24" s="77">
        <v>19.737356151637165</v>
      </c>
      <c r="D24" s="77">
        <v>4.6148174783924176</v>
      </c>
      <c r="E24" s="75" t="s">
        <v>206</v>
      </c>
      <c r="F24" s="87">
        <v>4</v>
      </c>
      <c r="G24" s="52">
        <v>0.1107517719</v>
      </c>
      <c r="H24" s="52">
        <v>0.2407</v>
      </c>
      <c r="I24" s="75" t="s">
        <v>101</v>
      </c>
      <c r="J24" s="86">
        <v>3</v>
      </c>
      <c r="M24" s="64" t="s">
        <v>24</v>
      </c>
      <c r="N24" s="65" t="s">
        <v>163</v>
      </c>
      <c r="O24" s="93" t="s">
        <v>206</v>
      </c>
      <c r="P24" s="91" t="s">
        <v>101</v>
      </c>
    </row>
    <row r="25" spans="1:16" x14ac:dyDescent="0.35">
      <c r="A25" s="64" t="s">
        <v>25</v>
      </c>
      <c r="B25" s="65" t="s">
        <v>164</v>
      </c>
      <c r="C25" s="77">
        <v>12.006604382306818</v>
      </c>
      <c r="D25" s="77">
        <v>58.454296612863345</v>
      </c>
      <c r="E25" s="75" t="s">
        <v>100</v>
      </c>
      <c r="F25" s="88">
        <v>1</v>
      </c>
      <c r="G25" s="52">
        <v>4.5191278500000001E-2</v>
      </c>
      <c r="H25" s="52">
        <v>0.71079999999999999</v>
      </c>
      <c r="I25" s="75" t="s">
        <v>100</v>
      </c>
      <c r="J25" s="88">
        <v>1</v>
      </c>
      <c r="M25" s="64" t="s">
        <v>25</v>
      </c>
      <c r="N25" s="65" t="s">
        <v>164</v>
      </c>
      <c r="O25" s="94" t="s">
        <v>100</v>
      </c>
      <c r="P25" s="94" t="s">
        <v>100</v>
      </c>
    </row>
    <row r="26" spans="1:16" x14ac:dyDescent="0.35">
      <c r="A26" s="64" t="s">
        <v>26</v>
      </c>
      <c r="B26" s="65" t="s">
        <v>165</v>
      </c>
      <c r="C26" s="77">
        <v>4.654914605753655</v>
      </c>
      <c r="D26" s="77">
        <v>3.4278711484593836</v>
      </c>
      <c r="E26" s="75" t="s">
        <v>206</v>
      </c>
      <c r="F26" s="87">
        <v>4</v>
      </c>
      <c r="G26" s="52">
        <v>8.78966999E-2</v>
      </c>
      <c r="H26" s="52">
        <v>0.45</v>
      </c>
      <c r="I26" s="75" t="s">
        <v>207</v>
      </c>
      <c r="J26" s="89">
        <v>2</v>
      </c>
      <c r="M26" s="64" t="s">
        <v>26</v>
      </c>
      <c r="N26" s="65" t="s">
        <v>165</v>
      </c>
      <c r="O26" s="93" t="s">
        <v>206</v>
      </c>
      <c r="P26" s="92" t="s">
        <v>207</v>
      </c>
    </row>
    <row r="27" spans="1:16" x14ac:dyDescent="0.35">
      <c r="A27" s="64" t="s">
        <v>27</v>
      </c>
      <c r="B27" s="65" t="s">
        <v>166</v>
      </c>
      <c r="C27" s="77">
        <v>5.5434395125336913</v>
      </c>
      <c r="D27" s="77">
        <v>21.348430688993169</v>
      </c>
      <c r="E27" s="75" t="s">
        <v>206</v>
      </c>
      <c r="F27" s="87">
        <v>4</v>
      </c>
      <c r="G27" s="52">
        <v>8.6677389100000002E-2</v>
      </c>
      <c r="H27" s="52">
        <v>0.116668416553577</v>
      </c>
      <c r="I27" s="75" t="s">
        <v>101</v>
      </c>
      <c r="J27" s="86">
        <v>3</v>
      </c>
      <c r="M27" s="64" t="s">
        <v>27</v>
      </c>
      <c r="N27" s="65" t="s">
        <v>166</v>
      </c>
      <c r="O27" s="93" t="s">
        <v>206</v>
      </c>
      <c r="P27" s="91" t="s">
        <v>101</v>
      </c>
    </row>
    <row r="28" spans="1:16" x14ac:dyDescent="0.35">
      <c r="A28" s="64" t="s">
        <v>28</v>
      </c>
      <c r="B28" s="65" t="s">
        <v>167</v>
      </c>
      <c r="C28" s="77">
        <v>5.5984926364175651</v>
      </c>
      <c r="D28" s="77">
        <v>22.857935830441416</v>
      </c>
      <c r="E28" s="75" t="s">
        <v>206</v>
      </c>
      <c r="F28" s="87">
        <v>4</v>
      </c>
      <c r="G28" s="52">
        <v>5.6687855699999998E-2</v>
      </c>
      <c r="H28" s="52">
        <v>0.38900000000000001</v>
      </c>
      <c r="I28" s="75" t="s">
        <v>206</v>
      </c>
      <c r="J28" s="90">
        <v>4</v>
      </c>
      <c r="M28" s="64" t="s">
        <v>28</v>
      </c>
      <c r="N28" s="65" t="s">
        <v>167</v>
      </c>
      <c r="O28" s="93" t="s">
        <v>206</v>
      </c>
      <c r="P28" s="93" t="s">
        <v>206</v>
      </c>
    </row>
    <row r="29" spans="1:16" x14ac:dyDescent="0.35">
      <c r="A29" s="64" t="s">
        <v>29</v>
      </c>
      <c r="B29" s="65" t="s">
        <v>168</v>
      </c>
      <c r="C29" s="77">
        <v>19.247819150386611</v>
      </c>
      <c r="D29" s="77">
        <v>68.81446632132112</v>
      </c>
      <c r="E29" s="75" t="s">
        <v>100</v>
      </c>
      <c r="F29" s="88">
        <v>1</v>
      </c>
      <c r="G29" s="52">
        <v>6.9763922699999995E-2</v>
      </c>
      <c r="H29" s="52">
        <v>0.35207721704356598</v>
      </c>
      <c r="I29" s="75" t="s">
        <v>206</v>
      </c>
      <c r="J29" s="90">
        <v>4</v>
      </c>
      <c r="M29" s="64" t="s">
        <v>29</v>
      </c>
      <c r="N29" s="65" t="s">
        <v>168</v>
      </c>
      <c r="O29" s="94" t="s">
        <v>100</v>
      </c>
      <c r="P29" s="93" t="s">
        <v>206</v>
      </c>
    </row>
    <row r="30" spans="1:16" x14ac:dyDescent="0.35">
      <c r="A30" s="64" t="s">
        <v>30</v>
      </c>
      <c r="B30" s="65" t="s">
        <v>169</v>
      </c>
      <c r="C30" s="77">
        <v>53.864572698360966</v>
      </c>
      <c r="D30" s="77">
        <v>10.597255752844539</v>
      </c>
      <c r="E30" s="75" t="s">
        <v>101</v>
      </c>
      <c r="F30" s="86">
        <v>3</v>
      </c>
      <c r="G30" s="52">
        <v>0.102022686</v>
      </c>
      <c r="H30" s="52">
        <v>0.55969999999999998</v>
      </c>
      <c r="I30" s="75" t="s">
        <v>207</v>
      </c>
      <c r="J30" s="89">
        <v>2</v>
      </c>
      <c r="M30" s="64" t="s">
        <v>30</v>
      </c>
      <c r="N30" s="65" t="s">
        <v>169</v>
      </c>
      <c r="O30" s="91" t="s">
        <v>101</v>
      </c>
      <c r="P30" s="92" t="s">
        <v>207</v>
      </c>
    </row>
    <row r="31" spans="1:16" x14ac:dyDescent="0.35">
      <c r="A31" s="64" t="s">
        <v>31</v>
      </c>
      <c r="B31" s="65" t="s">
        <v>170</v>
      </c>
      <c r="C31" s="77">
        <v>11.001373890249562</v>
      </c>
      <c r="D31" s="77">
        <v>16.359542530378842</v>
      </c>
      <c r="E31" s="75" t="s">
        <v>206</v>
      </c>
      <c r="F31" s="87">
        <v>4</v>
      </c>
      <c r="G31" s="52">
        <v>7.2900424000000005E-2</v>
      </c>
      <c r="H31" s="52">
        <v>0.61</v>
      </c>
      <c r="I31" s="75" t="s">
        <v>207</v>
      </c>
      <c r="J31" s="89">
        <v>2</v>
      </c>
      <c r="M31" s="64" t="s">
        <v>31</v>
      </c>
      <c r="N31" s="65" t="s">
        <v>170</v>
      </c>
      <c r="O31" s="93" t="s">
        <v>206</v>
      </c>
      <c r="P31" s="92" t="s">
        <v>207</v>
      </c>
    </row>
    <row r="32" spans="1:16" x14ac:dyDescent="0.35">
      <c r="A32" s="64" t="s">
        <v>32</v>
      </c>
      <c r="B32" s="65" t="s">
        <v>171</v>
      </c>
      <c r="C32" s="77">
        <v>66.896135970779099</v>
      </c>
      <c r="D32" s="77">
        <v>25.415291442768822</v>
      </c>
      <c r="E32" s="75" t="s">
        <v>207</v>
      </c>
      <c r="F32" s="89">
        <v>2</v>
      </c>
      <c r="G32" s="52">
        <v>0.10652340890000001</v>
      </c>
      <c r="H32" s="52">
        <v>0.4869</v>
      </c>
      <c r="I32" s="75" t="s">
        <v>207</v>
      </c>
      <c r="J32" s="89">
        <v>2</v>
      </c>
      <c r="M32" s="64" t="s">
        <v>32</v>
      </c>
      <c r="N32" s="65" t="s">
        <v>171</v>
      </c>
      <c r="O32" s="92" t="s">
        <v>207</v>
      </c>
      <c r="P32" s="92" t="s">
        <v>207</v>
      </c>
    </row>
    <row r="33" spans="1:16" x14ac:dyDescent="0.35">
      <c r="A33" s="64" t="s">
        <v>33</v>
      </c>
      <c r="B33" s="65" t="s">
        <v>172</v>
      </c>
      <c r="C33" s="77">
        <v>2.3259582036922208</v>
      </c>
      <c r="D33" s="77">
        <v>7.8083990631299782</v>
      </c>
      <c r="E33" s="75" t="s">
        <v>206</v>
      </c>
      <c r="F33" s="87">
        <v>4</v>
      </c>
      <c r="G33" s="52">
        <v>0.1023069668</v>
      </c>
      <c r="H33" s="52">
        <v>0.17051779817360399</v>
      </c>
      <c r="I33" s="75" t="s">
        <v>101</v>
      </c>
      <c r="J33" s="86">
        <v>3</v>
      </c>
      <c r="M33" s="64" t="s">
        <v>33</v>
      </c>
      <c r="N33" s="65" t="s">
        <v>172</v>
      </c>
      <c r="O33" s="93" t="s">
        <v>206</v>
      </c>
      <c r="P33" s="91" t="s">
        <v>101</v>
      </c>
    </row>
    <row r="34" spans="1:16" x14ac:dyDescent="0.35">
      <c r="A34" s="64" t="s">
        <v>34</v>
      </c>
      <c r="B34" s="65" t="s">
        <v>173</v>
      </c>
      <c r="C34" s="77">
        <v>20.758052766628868</v>
      </c>
      <c r="D34" s="77">
        <v>17.866783114992721</v>
      </c>
      <c r="E34" s="75" t="s">
        <v>206</v>
      </c>
      <c r="F34" s="87">
        <v>4</v>
      </c>
      <c r="G34" s="52">
        <v>4.2245168700000002E-2</v>
      </c>
      <c r="H34" s="52">
        <v>0.66749999999999998</v>
      </c>
      <c r="I34" s="75" t="s">
        <v>100</v>
      </c>
      <c r="J34" s="88">
        <v>1</v>
      </c>
      <c r="M34" s="64" t="s">
        <v>34</v>
      </c>
      <c r="N34" s="65" t="s">
        <v>173</v>
      </c>
      <c r="O34" s="93" t="s">
        <v>206</v>
      </c>
      <c r="P34" s="94" t="s">
        <v>100</v>
      </c>
    </row>
    <row r="35" spans="1:16" x14ac:dyDescent="0.35">
      <c r="A35" s="64" t="s">
        <v>147</v>
      </c>
      <c r="B35" s="65" t="s">
        <v>148</v>
      </c>
      <c r="C35" s="77">
        <v>12.82557799981813</v>
      </c>
      <c r="D35" s="77">
        <v>55.125</v>
      </c>
      <c r="E35" s="75" t="s">
        <v>100</v>
      </c>
      <c r="F35" s="88">
        <v>1</v>
      </c>
      <c r="G35" s="52">
        <v>8.2168407400000004E-2</v>
      </c>
      <c r="H35" s="52">
        <v>0.43066371754243699</v>
      </c>
      <c r="I35" s="75" t="s">
        <v>207</v>
      </c>
      <c r="J35" s="89">
        <v>2</v>
      </c>
      <c r="M35" s="64" t="s">
        <v>147</v>
      </c>
      <c r="N35" s="65" t="s">
        <v>148</v>
      </c>
      <c r="O35" s="94" t="s">
        <v>100</v>
      </c>
      <c r="P35" s="92" t="s">
        <v>207</v>
      </c>
    </row>
    <row r="36" spans="1:16" x14ac:dyDescent="0.35">
      <c r="A36" s="64" t="s">
        <v>35</v>
      </c>
      <c r="B36" s="65" t="s">
        <v>174</v>
      </c>
      <c r="C36" s="77">
        <v>12.440746230594545</v>
      </c>
      <c r="D36" s="77">
        <v>41.391365435291313</v>
      </c>
      <c r="E36" s="75" t="s">
        <v>100</v>
      </c>
      <c r="F36" s="88">
        <v>1</v>
      </c>
      <c r="G36" s="52">
        <v>8.8827714899999993E-2</v>
      </c>
      <c r="H36" s="52">
        <v>7.4999999999999997E-2</v>
      </c>
      <c r="I36" s="75" t="s">
        <v>101</v>
      </c>
      <c r="J36" s="86">
        <v>3</v>
      </c>
      <c r="M36" s="64" t="s">
        <v>35</v>
      </c>
      <c r="N36" s="65" t="s">
        <v>174</v>
      </c>
      <c r="O36" s="94" t="s">
        <v>100</v>
      </c>
      <c r="P36" s="91" t="s">
        <v>101</v>
      </c>
    </row>
    <row r="37" spans="1:16" x14ac:dyDescent="0.35">
      <c r="A37" s="64" t="s">
        <v>175</v>
      </c>
      <c r="B37" s="65" t="s">
        <v>176</v>
      </c>
      <c r="C37" s="77">
        <v>25.080738156916041</v>
      </c>
      <c r="D37" s="77">
        <v>22.857935830441416</v>
      </c>
      <c r="E37" s="75" t="s">
        <v>101</v>
      </c>
      <c r="F37" s="86">
        <v>3</v>
      </c>
      <c r="G37" s="52">
        <v>0.10762632370000001</v>
      </c>
      <c r="H37" s="52">
        <v>0.477408095311257</v>
      </c>
      <c r="I37" s="75" t="s">
        <v>207</v>
      </c>
      <c r="J37" s="89">
        <v>2</v>
      </c>
      <c r="M37" s="64" t="s">
        <v>175</v>
      </c>
      <c r="N37" s="65" t="s">
        <v>176</v>
      </c>
      <c r="O37" s="91" t="s">
        <v>101</v>
      </c>
      <c r="P37" s="92" t="s">
        <v>207</v>
      </c>
    </row>
    <row r="38" spans="1:16" x14ac:dyDescent="0.35">
      <c r="A38" s="64" t="s">
        <v>37</v>
      </c>
      <c r="B38" s="65" t="s">
        <v>177</v>
      </c>
      <c r="C38" s="77">
        <v>6.108947758593815</v>
      </c>
      <c r="D38" s="77">
        <v>7.1829353403866092</v>
      </c>
      <c r="E38" s="75" t="s">
        <v>206</v>
      </c>
      <c r="F38" s="87">
        <v>4</v>
      </c>
      <c r="G38" s="52">
        <v>6.4810943600000004E-2</v>
      </c>
      <c r="H38" s="52">
        <v>0.473026044369111</v>
      </c>
      <c r="I38" s="75" t="s">
        <v>100</v>
      </c>
      <c r="J38" s="88">
        <v>1</v>
      </c>
      <c r="M38" s="64" t="s">
        <v>37</v>
      </c>
      <c r="N38" s="65" t="s">
        <v>177</v>
      </c>
      <c r="O38" s="93" t="s">
        <v>206</v>
      </c>
      <c r="P38" s="94" t="s">
        <v>100</v>
      </c>
    </row>
    <row r="39" spans="1:16" x14ac:dyDescent="0.35">
      <c r="A39" s="64" t="s">
        <v>38</v>
      </c>
      <c r="B39" s="65" t="s">
        <v>178</v>
      </c>
      <c r="C39" s="77">
        <v>213.24893351885851</v>
      </c>
      <c r="D39" s="77">
        <v>42.1</v>
      </c>
      <c r="E39" s="75" t="s">
        <v>207</v>
      </c>
      <c r="F39" s="89">
        <v>2</v>
      </c>
      <c r="G39" s="52">
        <v>0.10179439540000002</v>
      </c>
      <c r="H39" s="52">
        <v>0.377</v>
      </c>
      <c r="I39" s="75" t="s">
        <v>101</v>
      </c>
      <c r="J39" s="86">
        <v>3</v>
      </c>
      <c r="M39" s="64" t="s">
        <v>38</v>
      </c>
      <c r="N39" s="65" t="s">
        <v>178</v>
      </c>
      <c r="O39" s="92" t="s">
        <v>207</v>
      </c>
      <c r="P39" s="91" t="s">
        <v>101</v>
      </c>
    </row>
    <row r="40" spans="1:16" x14ac:dyDescent="0.35">
      <c r="A40" s="64" t="s">
        <v>39</v>
      </c>
      <c r="B40" s="65" t="s">
        <v>179</v>
      </c>
      <c r="C40" s="77">
        <v>22.128310502389212</v>
      </c>
      <c r="D40" s="77">
        <v>8.5050709939148081</v>
      </c>
      <c r="E40" s="75" t="s">
        <v>206</v>
      </c>
      <c r="F40" s="87">
        <v>4</v>
      </c>
      <c r="G40" s="52">
        <v>5.2879381199999999E-2</v>
      </c>
      <c r="H40" s="52">
        <v>0.33232562471434801</v>
      </c>
      <c r="I40" s="75" t="s">
        <v>206</v>
      </c>
      <c r="J40" s="90">
        <v>4</v>
      </c>
      <c r="M40" s="64" t="s">
        <v>39</v>
      </c>
      <c r="N40" s="65" t="s">
        <v>179</v>
      </c>
      <c r="O40" s="93" t="s">
        <v>206</v>
      </c>
      <c r="P40" s="93" t="s">
        <v>206</v>
      </c>
    </row>
    <row r="41" spans="1:16" x14ac:dyDescent="0.35">
      <c r="A41" s="64" t="s">
        <v>40</v>
      </c>
      <c r="B41" s="65" t="s">
        <v>180</v>
      </c>
      <c r="C41" s="77">
        <v>74.345193320567816</v>
      </c>
      <c r="D41" s="77">
        <v>107.24524316516025</v>
      </c>
      <c r="E41" s="75" t="s">
        <v>207</v>
      </c>
      <c r="F41" s="89">
        <v>2</v>
      </c>
      <c r="G41" s="52">
        <v>0.1528983974</v>
      </c>
      <c r="H41" s="52">
        <v>0.54793438602622901</v>
      </c>
      <c r="I41" s="75" t="s">
        <v>207</v>
      </c>
      <c r="J41" s="89">
        <v>2</v>
      </c>
      <c r="M41" s="64" t="s">
        <v>40</v>
      </c>
      <c r="N41" s="65" t="s">
        <v>180</v>
      </c>
      <c r="O41" s="92" t="s">
        <v>207</v>
      </c>
      <c r="P41" s="92" t="s">
        <v>207</v>
      </c>
    </row>
    <row r="42" spans="1:16" x14ac:dyDescent="0.35">
      <c r="A42" s="64" t="s">
        <v>41</v>
      </c>
      <c r="B42" s="65" t="s">
        <v>181</v>
      </c>
      <c r="C42" s="77">
        <v>7.3360946163777347</v>
      </c>
      <c r="D42" s="77">
        <v>20.688796680497926</v>
      </c>
      <c r="E42" s="75" t="s">
        <v>206</v>
      </c>
      <c r="F42" s="87">
        <v>4</v>
      </c>
      <c r="G42" s="52">
        <v>2.10620522E-2</v>
      </c>
      <c r="H42" s="52">
        <v>0.24952584171475101</v>
      </c>
      <c r="I42" s="75" t="s">
        <v>206</v>
      </c>
      <c r="J42" s="90">
        <v>4</v>
      </c>
      <c r="M42" s="64" t="s">
        <v>41</v>
      </c>
      <c r="N42" s="65" t="s">
        <v>181</v>
      </c>
      <c r="O42" s="93" t="s">
        <v>206</v>
      </c>
      <c r="P42" s="93" t="s">
        <v>206</v>
      </c>
    </row>
    <row r="43" spans="1:16" x14ac:dyDescent="0.35">
      <c r="A43" s="64" t="s">
        <v>42</v>
      </c>
      <c r="B43" s="65" t="s">
        <v>184</v>
      </c>
      <c r="C43" s="77">
        <v>6.2037247448568724</v>
      </c>
      <c r="D43" s="77">
        <v>12.502461538461539</v>
      </c>
      <c r="E43" s="75" t="s">
        <v>206</v>
      </c>
      <c r="F43" s="87">
        <v>4</v>
      </c>
      <c r="G43" s="52">
        <v>9.4023561499999991E-2</v>
      </c>
      <c r="H43" s="52">
        <v>0.56999999999999995</v>
      </c>
      <c r="I43" s="75" t="s">
        <v>207</v>
      </c>
      <c r="J43" s="89">
        <v>2</v>
      </c>
      <c r="M43" s="64" t="s">
        <v>42</v>
      </c>
      <c r="N43" s="65" t="s">
        <v>184</v>
      </c>
      <c r="O43" s="93" t="s">
        <v>206</v>
      </c>
      <c r="P43" s="92" t="s">
        <v>207</v>
      </c>
    </row>
    <row r="44" spans="1:16" x14ac:dyDescent="0.35">
      <c r="A44" s="64" t="s">
        <v>157</v>
      </c>
      <c r="B44" s="65" t="s">
        <v>158</v>
      </c>
      <c r="C44" s="77">
        <v>7.6950371510478712</v>
      </c>
      <c r="D44" s="77">
        <v>10.645443106523956</v>
      </c>
      <c r="E44" s="75" t="s">
        <v>206</v>
      </c>
      <c r="F44" s="87">
        <v>4</v>
      </c>
      <c r="G44" s="52">
        <v>5.4796643300000003E-2</v>
      </c>
      <c r="H44" s="52">
        <v>0.170669454827377</v>
      </c>
      <c r="I44" s="75" t="s">
        <v>206</v>
      </c>
      <c r="J44" s="90">
        <v>4</v>
      </c>
      <c r="M44" s="64" t="s">
        <v>157</v>
      </c>
      <c r="N44" s="65" t="s">
        <v>158</v>
      </c>
      <c r="O44" s="93" t="s">
        <v>206</v>
      </c>
      <c r="P44" s="93" t="s">
        <v>206</v>
      </c>
    </row>
    <row r="45" spans="1:16" x14ac:dyDescent="0.35">
      <c r="A45" s="64" t="s">
        <v>43</v>
      </c>
      <c r="B45" s="65" t="s">
        <v>182</v>
      </c>
      <c r="C45" s="77">
        <v>5.9036930685343147</v>
      </c>
      <c r="D45" s="77">
        <v>10.599369085173501</v>
      </c>
      <c r="E45" s="75" t="s">
        <v>206</v>
      </c>
      <c r="F45" s="87">
        <v>4</v>
      </c>
      <c r="G45" s="52">
        <v>5.3817400899999999E-2</v>
      </c>
      <c r="H45" s="52">
        <v>0.25088889751308202</v>
      </c>
      <c r="I45" s="75" t="s">
        <v>206</v>
      </c>
      <c r="J45" s="90">
        <v>4</v>
      </c>
      <c r="M45" s="64" t="s">
        <v>43</v>
      </c>
      <c r="N45" s="65" t="s">
        <v>182</v>
      </c>
      <c r="O45" s="93" t="s">
        <v>206</v>
      </c>
      <c r="P45" s="93" t="s">
        <v>206</v>
      </c>
    </row>
    <row r="46" spans="1:16" x14ac:dyDescent="0.35">
      <c r="A46" s="64" t="s">
        <v>44</v>
      </c>
      <c r="B46" s="65" t="s">
        <v>183</v>
      </c>
      <c r="C46" s="77">
        <v>24.594032165143432</v>
      </c>
      <c r="D46" s="77">
        <v>5.2036992954099146</v>
      </c>
      <c r="E46" s="75" t="s">
        <v>206</v>
      </c>
      <c r="F46" s="87">
        <v>4</v>
      </c>
      <c r="G46" s="52">
        <v>3.1388299500000001E-2</v>
      </c>
      <c r="H46" s="52">
        <v>0.56299999999999994</v>
      </c>
      <c r="I46" s="75" t="s">
        <v>100</v>
      </c>
      <c r="J46" s="88">
        <v>1</v>
      </c>
      <c r="M46" s="64" t="s">
        <v>44</v>
      </c>
      <c r="N46" s="65" t="s">
        <v>183</v>
      </c>
      <c r="O46" s="93" t="s">
        <v>206</v>
      </c>
      <c r="P46" s="94" t="s">
        <v>100</v>
      </c>
    </row>
    <row r="47" spans="1:16" x14ac:dyDescent="0.35">
      <c r="A47" s="64" t="s">
        <v>45</v>
      </c>
      <c r="B47" s="65" t="s">
        <v>185</v>
      </c>
      <c r="C47" s="77">
        <v>32.824990914279496</v>
      </c>
      <c r="D47" s="77">
        <v>10.51861504095309</v>
      </c>
      <c r="E47" s="75" t="s">
        <v>101</v>
      </c>
      <c r="F47" s="86">
        <v>3</v>
      </c>
      <c r="G47" s="52">
        <v>7.1645693799999993E-2</v>
      </c>
      <c r="H47" s="52">
        <v>0.26773290915292702</v>
      </c>
      <c r="I47" s="75" t="s">
        <v>206</v>
      </c>
      <c r="J47" s="90">
        <v>4</v>
      </c>
      <c r="M47" s="64" t="s">
        <v>45</v>
      </c>
      <c r="N47" s="65" t="s">
        <v>185</v>
      </c>
      <c r="O47" s="91" t="s">
        <v>101</v>
      </c>
      <c r="P47" s="93" t="s">
        <v>206</v>
      </c>
    </row>
    <row r="48" spans="1:16" ht="15" thickBot="1" x14ac:dyDescent="0.4">
      <c r="A48" s="66" t="s">
        <v>46</v>
      </c>
      <c r="B48" s="65" t="s">
        <v>186</v>
      </c>
      <c r="C48" s="77">
        <v>36.315960905902422</v>
      </c>
      <c r="D48" s="77">
        <v>36.387251549841309</v>
      </c>
      <c r="E48" s="75" t="s">
        <v>207</v>
      </c>
      <c r="F48" s="89">
        <v>2</v>
      </c>
      <c r="G48" s="52">
        <v>5.1729364399999998E-2</v>
      </c>
      <c r="H48" s="52">
        <v>0.35</v>
      </c>
      <c r="I48" s="75" t="s">
        <v>206</v>
      </c>
      <c r="J48" s="90">
        <v>4</v>
      </c>
      <c r="M48" s="66" t="s">
        <v>46</v>
      </c>
      <c r="N48" s="65" t="s">
        <v>186</v>
      </c>
      <c r="O48" s="92" t="s">
        <v>207</v>
      </c>
      <c r="P48" s="93" t="s">
        <v>206</v>
      </c>
    </row>
    <row r="49" spans="1:14" ht="15" thickTop="1" x14ac:dyDescent="0.35">
      <c r="A49" s="76"/>
      <c r="B49" s="85" t="s">
        <v>103</v>
      </c>
      <c r="C49" s="77">
        <v>24.652809013022068</v>
      </c>
      <c r="D49" s="77">
        <v>22.857935830441416</v>
      </c>
      <c r="E49" s="78"/>
      <c r="G49" s="82">
        <v>7.287659531276594E-2</v>
      </c>
      <c r="H49" s="82">
        <v>0.42362639990663953</v>
      </c>
      <c r="I49" s="78"/>
      <c r="M49" s="76"/>
      <c r="N49" s="85" t="s">
        <v>103</v>
      </c>
    </row>
    <row r="50" spans="1:14" x14ac:dyDescent="0.35">
      <c r="A50" s="79"/>
      <c r="B50" s="84" t="s">
        <v>190</v>
      </c>
      <c r="C50" s="77">
        <v>2.3259582036922208</v>
      </c>
      <c r="D50" s="77">
        <v>0.95412514516632685</v>
      </c>
      <c r="E50" s="78"/>
      <c r="G50" s="81">
        <v>2.10620522E-2</v>
      </c>
      <c r="H50" s="81">
        <v>7.4999999999999997E-2</v>
      </c>
      <c r="I50" s="78"/>
      <c r="M50" s="79"/>
      <c r="N50" s="84" t="s">
        <v>190</v>
      </c>
    </row>
    <row r="51" spans="1:14" x14ac:dyDescent="0.35">
      <c r="A51" s="80"/>
      <c r="B51" s="84" t="s">
        <v>191</v>
      </c>
      <c r="C51" s="77">
        <v>213.24893351885851</v>
      </c>
      <c r="D51" s="77">
        <v>107.24524316516025</v>
      </c>
      <c r="E51" s="78"/>
      <c r="G51" s="81">
        <v>0.1528983974</v>
      </c>
      <c r="H51" s="81">
        <v>0.71079999999999999</v>
      </c>
      <c r="I51" s="78"/>
      <c r="M51" s="80"/>
      <c r="N51" s="84" t="s">
        <v>191</v>
      </c>
    </row>
    <row r="52" spans="1:14" x14ac:dyDescent="0.35">
      <c r="G52">
        <v>7.287659531276594E-2</v>
      </c>
      <c r="H52">
        <v>0.42362639990663953</v>
      </c>
    </row>
    <row r="53" spans="1:14" x14ac:dyDescent="0.35">
      <c r="G53">
        <v>2.10620522E-2</v>
      </c>
      <c r="H53">
        <v>7.4999999999999997E-2</v>
      </c>
    </row>
    <row r="54" spans="1:14" x14ac:dyDescent="0.35">
      <c r="G54">
        <v>0.1528983974</v>
      </c>
      <c r="H54">
        <v>0.71079999999999999</v>
      </c>
    </row>
  </sheetData>
  <conditionalFormatting sqref="C2:C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B83B-5F03-4B6D-91FD-729768C7B50C}">
  <dimension ref="A1:AH54"/>
  <sheetViews>
    <sheetView workbookViewId="0">
      <selection activeCell="G2" sqref="G2"/>
    </sheetView>
  </sheetViews>
  <sheetFormatPr defaultRowHeight="14.5" x14ac:dyDescent="0.35"/>
  <cols>
    <col min="1" max="1" width="27.26953125" style="58" bestFit="1" customWidth="1"/>
    <col min="2" max="2" width="11" customWidth="1"/>
    <col min="3" max="3" width="24" style="50" customWidth="1"/>
    <col min="4" max="4" width="13.81640625" bestFit="1" customWidth="1"/>
    <col min="5" max="6" width="13.81640625" customWidth="1"/>
    <col min="7" max="7" width="23.81640625" style="16" customWidth="1"/>
    <col min="8" max="8" width="24" style="50" customWidth="1"/>
    <col min="9" max="9" width="3.36328125" style="50" customWidth="1"/>
    <col min="10" max="10" width="27.26953125" style="58" bestFit="1" customWidth="1"/>
    <col min="11" max="12" width="13.81640625" bestFit="1" customWidth="1"/>
    <col min="13" max="14" width="13.81640625" customWidth="1"/>
    <col min="15" max="15" width="23.81640625" style="16" customWidth="1"/>
    <col min="16" max="16" width="29" style="50" customWidth="1"/>
    <col min="17" max="17" width="3.36328125" style="50" customWidth="1"/>
    <col min="18" max="18" width="31.6328125" bestFit="1" customWidth="1"/>
    <col min="19" max="19" width="8.26953125" bestFit="1" customWidth="1"/>
    <col min="20" max="20" width="16.26953125" bestFit="1" customWidth="1"/>
    <col min="21" max="21" width="31.08984375" bestFit="1" customWidth="1"/>
    <col min="27" max="27" width="27.26953125" style="58" bestFit="1" customWidth="1"/>
    <col min="34" max="34" width="27.26953125" style="58" bestFit="1" customWidth="1"/>
  </cols>
  <sheetData>
    <row r="1" spans="1:34" ht="73" thickTop="1" x14ac:dyDescent="0.35">
      <c r="A1" s="59" t="s">
        <v>0</v>
      </c>
      <c r="B1" s="60" t="s">
        <v>187</v>
      </c>
      <c r="C1" s="60" t="s">
        <v>196</v>
      </c>
      <c r="D1" s="60" t="s">
        <v>102</v>
      </c>
      <c r="E1" s="60" t="s">
        <v>201</v>
      </c>
      <c r="F1" s="60" t="s">
        <v>200</v>
      </c>
      <c r="G1" s="60" t="s">
        <v>204</v>
      </c>
      <c r="H1" s="60" t="s">
        <v>204</v>
      </c>
      <c r="J1" s="59" t="s">
        <v>0</v>
      </c>
      <c r="K1" s="60" t="s">
        <v>134</v>
      </c>
      <c r="L1" s="60" t="s">
        <v>135</v>
      </c>
      <c r="M1" s="60" t="s">
        <v>202</v>
      </c>
      <c r="N1" s="60" t="s">
        <v>203</v>
      </c>
      <c r="O1" s="60" t="s">
        <v>205</v>
      </c>
      <c r="P1" s="60" t="s">
        <v>205</v>
      </c>
      <c r="R1" s="71" t="s">
        <v>0</v>
      </c>
      <c r="S1" s="71"/>
      <c r="T1" s="71" t="s">
        <v>134</v>
      </c>
      <c r="U1" s="71" t="s">
        <v>135</v>
      </c>
      <c r="AA1" s="59" t="s">
        <v>0</v>
      </c>
      <c r="AH1" s="59" t="s">
        <v>0</v>
      </c>
    </row>
    <row r="2" spans="1:34" x14ac:dyDescent="0.35">
      <c r="A2" s="64" t="s">
        <v>1</v>
      </c>
      <c r="B2" s="65" t="s">
        <v>136</v>
      </c>
      <c r="C2" s="77">
        <v>42.170245010241459</v>
      </c>
      <c r="D2" s="77">
        <v>22.857935830441416</v>
      </c>
      <c r="E2" s="47" t="str">
        <f>IF(C2&gt;$C$49,"Above Average","Below Average")</f>
        <v>Above Average</v>
      </c>
      <c r="F2" s="47" t="str">
        <f>IF(D2&gt;$D$49,"Above Average","Below Average")</f>
        <v>Below Average</v>
      </c>
      <c r="G2" s="75" t="str" cm="1">
        <f t="array" ref="G2">_xlfn.IFS(AND(E2="Above Average",F2="Below Average"),"Q3",AND(E2="Above Average",F2="Above Average"),"Q2",AND(E2="Below Average",F2="Above Average"),"Q1",AND(E2="Below Average",F2="Below Average"),"Q4")</f>
        <v>Q3</v>
      </c>
      <c r="H2" s="86" cm="1">
        <f t="array" ref="H2">_xlfn.IFS(G2="Q1",1,G2="Q2",2,G2="Q3",3,G2="Q4",4)</f>
        <v>3</v>
      </c>
      <c r="J2" s="64" t="s">
        <v>1</v>
      </c>
      <c r="K2" s="52">
        <v>0.10730769159999999</v>
      </c>
      <c r="L2" s="52">
        <v>0.55000000000000004</v>
      </c>
      <c r="M2" s="47" t="str">
        <f t="shared" ref="M2:M48" si="0">IF(K2&gt;$K$49,"Above Average","Below Average")</f>
        <v>Above Average</v>
      </c>
      <c r="N2" s="47" t="str">
        <f>IF(L2&gt;$L$49,"Above Average","Below Average")</f>
        <v>Above Average</v>
      </c>
      <c r="O2" s="75" t="str" cm="1">
        <f t="array" ref="O2">_xlfn.IFS(AND(M2="Above Average",N2="Below Average"),"Q3",AND(M2="Above Average",N2="Above Average"),"Q2",AND(M2="Below Average",N2="Above Average"),"Q1",AND(M2="Below Average",N2="Below Average"),"Q4")</f>
        <v>Q2</v>
      </c>
      <c r="P2" s="89" cm="1">
        <f t="array" ref="P2">_xlfn.IFS(O2="Q1",1,O2="Q2",2,O2="Q3",3,O2="Q4",4)</f>
        <v>2</v>
      </c>
      <c r="R2" t="s">
        <v>1</v>
      </c>
      <c r="S2" t="s">
        <v>136</v>
      </c>
      <c r="T2">
        <v>0.10730769159999999</v>
      </c>
      <c r="U2">
        <v>0.55000000000000004</v>
      </c>
      <c r="AA2" s="64" t="s">
        <v>1</v>
      </c>
      <c r="AH2" s="64" t="s">
        <v>1</v>
      </c>
    </row>
    <row r="3" spans="1:34" x14ac:dyDescent="0.35">
      <c r="A3" s="64" t="s">
        <v>2</v>
      </c>
      <c r="B3" s="65" t="s">
        <v>137</v>
      </c>
      <c r="C3" s="77">
        <v>21.19840588956373</v>
      </c>
      <c r="D3" s="77">
        <v>21.176735134619424</v>
      </c>
      <c r="E3" s="47" t="str">
        <f t="shared" ref="E3:E48" si="1">IF(C3&gt;$C$49,"Above Average","Below Average")</f>
        <v>Below Average</v>
      </c>
      <c r="F3" s="47" t="str">
        <f t="shared" ref="F3:F48" si="2">IF(D3&gt;$D$49,"Above Average","Below Average")</f>
        <v>Below Average</v>
      </c>
      <c r="G3" s="75" t="str" cm="1">
        <f t="array" ref="G3">_xlfn.IFS(AND(E3="Above Average",F3="Below Average"),"Q3",AND(E3="Above Average",F3="Above Average"),"Q2",AND(E3="Below Average",F3="Above Average"),"Q1",AND(E3="Below Average",F3="Below Average"),"Q4")</f>
        <v>Q4</v>
      </c>
      <c r="H3" s="90" cm="1">
        <f t="array" ref="H3">_xlfn.IFS(G3="Q1",1,G3="Q2",2,G3="Q3",3,G3="Q4",4)</f>
        <v>4</v>
      </c>
      <c r="J3" s="64" t="s">
        <v>2</v>
      </c>
      <c r="K3" s="52">
        <v>5.3643193200000001E-2</v>
      </c>
      <c r="L3" s="52">
        <v>0.50045872095830901</v>
      </c>
      <c r="M3" s="47" t="str">
        <f t="shared" si="0"/>
        <v>Below Average</v>
      </c>
      <c r="N3" s="47" t="str">
        <f t="shared" ref="N3:N48" si="3">IF(L3&gt;$L$49,"Above Average","Below Average")</f>
        <v>Above Average</v>
      </c>
      <c r="O3" s="75" t="str" cm="1">
        <f t="array" ref="O3">_xlfn.IFS(AND(M3="Above Average",N3="Below Average"),"Q3",AND(M3="Above Average",N3="Above Average"),"Q2",AND(M3="Below Average",N3="Above Average"),"Q1",AND(M3="Below Average",N3="Below Average"),"Q4")</f>
        <v>Q1</v>
      </c>
      <c r="P3" s="88" cm="1">
        <f t="array" ref="P3">_xlfn.IFS(O3="Q1",1,O3="Q2",2,O3="Q3",3,O3="Q4",4)</f>
        <v>1</v>
      </c>
      <c r="R3" t="s">
        <v>2</v>
      </c>
      <c r="S3" t="s">
        <v>137</v>
      </c>
      <c r="T3">
        <v>5.3643193200000001E-2</v>
      </c>
      <c r="U3">
        <v>0.50045872095830901</v>
      </c>
      <c r="AA3" s="64" t="s">
        <v>2</v>
      </c>
      <c r="AH3" s="64" t="s">
        <v>2</v>
      </c>
    </row>
    <row r="4" spans="1:34" x14ac:dyDescent="0.35">
      <c r="A4" s="64" t="s">
        <v>3</v>
      </c>
      <c r="B4" s="65" t="s">
        <v>138</v>
      </c>
      <c r="C4" s="77">
        <v>7.905420140578082</v>
      </c>
      <c r="D4" s="77">
        <v>8.1976856316297013</v>
      </c>
      <c r="E4" s="47" t="str">
        <f t="shared" si="1"/>
        <v>Below Average</v>
      </c>
      <c r="F4" s="47" t="str">
        <f t="shared" si="2"/>
        <v>Below Average</v>
      </c>
      <c r="G4" s="75" t="str" cm="1">
        <f t="array" ref="G4">_xlfn.IFS(AND(E4="Above Average",F4="Below Average"),"Q3",AND(E4="Above Average",F4="Above Average"),"Q2",AND(E4="Below Average",F4="Above Average"),"Q1",AND(E4="Below Average",F4="Below Average"),"Q4")</f>
        <v>Q4</v>
      </c>
      <c r="H4" s="90" cm="1">
        <f t="array" ref="H4">_xlfn.IFS(G4="Q1",1,G4="Q2",2,G4="Q3",3,G4="Q4",4)</f>
        <v>4</v>
      </c>
      <c r="J4" s="64" t="s">
        <v>3</v>
      </c>
      <c r="K4" s="52">
        <v>4.5545940399999998E-2</v>
      </c>
      <c r="L4" s="52">
        <v>0.473026044369111</v>
      </c>
      <c r="M4" s="47" t="str">
        <f t="shared" si="0"/>
        <v>Below Average</v>
      </c>
      <c r="N4" s="47" t="str">
        <f t="shared" si="3"/>
        <v>Above Average</v>
      </c>
      <c r="O4" s="75" t="str" cm="1">
        <f t="array" ref="O4">_xlfn.IFS(AND(M4="Above Average",N4="Below Average"),"Q3",AND(M4="Above Average",N4="Above Average"),"Q2",AND(M4="Below Average",N4="Above Average"),"Q1",AND(M4="Below Average",N4="Below Average"),"Q4")</f>
        <v>Q1</v>
      </c>
      <c r="P4" s="88" cm="1">
        <f t="array" ref="P4">_xlfn.IFS(O4="Q1",1,O4="Q2",2,O4="Q3",3,O4="Q4",4)</f>
        <v>1</v>
      </c>
      <c r="R4" t="s">
        <v>3</v>
      </c>
      <c r="S4" t="s">
        <v>138</v>
      </c>
      <c r="T4">
        <v>4.5545940399999998E-2</v>
      </c>
      <c r="U4">
        <v>0.473026044369111</v>
      </c>
      <c r="AA4" s="64" t="s">
        <v>3</v>
      </c>
      <c r="AD4" s="50">
        <v>1</v>
      </c>
      <c r="AH4" s="64" t="s">
        <v>3</v>
      </c>
    </row>
    <row r="5" spans="1:34" x14ac:dyDescent="0.35">
      <c r="A5" s="64" t="s">
        <v>4</v>
      </c>
      <c r="B5" s="65" t="s">
        <v>139</v>
      </c>
      <c r="C5" s="77">
        <v>34.292718386067548</v>
      </c>
      <c r="D5" s="77">
        <v>16.399999999999999</v>
      </c>
      <c r="E5" s="47" t="str">
        <f t="shared" si="1"/>
        <v>Above Average</v>
      </c>
      <c r="F5" s="47" t="str">
        <f t="shared" si="2"/>
        <v>Below Average</v>
      </c>
      <c r="G5" s="75" t="str" cm="1">
        <f t="array" ref="G5">_xlfn.IFS(AND(E5="Above Average",F5="Below Average"),"Q3",AND(E5="Above Average",F5="Above Average"),"Q2",AND(E5="Below Average",F5="Above Average"),"Q1",AND(E5="Below Average",F5="Below Average"),"Q4")</f>
        <v>Q3</v>
      </c>
      <c r="H5" s="86" cm="1">
        <f t="array" ref="H5">_xlfn.IFS(G5="Q1",1,G5="Q2",2,G5="Q3",3,G5="Q4",4)</f>
        <v>3</v>
      </c>
      <c r="J5" s="64" t="s">
        <v>4</v>
      </c>
      <c r="K5" s="52">
        <v>0.12006065370000001</v>
      </c>
      <c r="L5" s="52">
        <v>0.52100000000000002</v>
      </c>
      <c r="M5" s="47" t="str">
        <f t="shared" si="0"/>
        <v>Above Average</v>
      </c>
      <c r="N5" s="47" t="str">
        <f t="shared" si="3"/>
        <v>Above Average</v>
      </c>
      <c r="O5" s="75" t="str" cm="1">
        <f t="array" ref="O5">_xlfn.IFS(AND(M5="Above Average",N5="Below Average"),"Q3",AND(M5="Above Average",N5="Above Average"),"Q2",AND(M5="Below Average",N5="Above Average"),"Q1",AND(M5="Below Average",N5="Below Average"),"Q4")</f>
        <v>Q2</v>
      </c>
      <c r="P5" s="89" cm="1">
        <f t="array" ref="P5">_xlfn.IFS(O5="Q1",1,O5="Q2",2,O5="Q3",3,O5="Q4",4)</f>
        <v>2</v>
      </c>
      <c r="R5" t="s">
        <v>4</v>
      </c>
      <c r="S5" t="s">
        <v>139</v>
      </c>
      <c r="T5">
        <v>0.12006065370000001</v>
      </c>
      <c r="U5">
        <v>0.52100000000000002</v>
      </c>
      <c r="AA5" s="64" t="s">
        <v>4</v>
      </c>
      <c r="AD5" s="50">
        <v>2</v>
      </c>
      <c r="AH5" s="64" t="s">
        <v>4</v>
      </c>
    </row>
    <row r="6" spans="1:34" x14ac:dyDescent="0.35">
      <c r="A6" s="64" t="s">
        <v>5</v>
      </c>
      <c r="B6" s="65" t="s">
        <v>140</v>
      </c>
      <c r="C6" s="77">
        <v>11.721918929906732</v>
      </c>
      <c r="D6" s="77">
        <v>6.4928625093914354</v>
      </c>
      <c r="E6" s="47" t="str">
        <f t="shared" si="1"/>
        <v>Below Average</v>
      </c>
      <c r="F6" s="47" t="str">
        <f t="shared" si="2"/>
        <v>Below Average</v>
      </c>
      <c r="G6" s="75" t="str" cm="1">
        <f t="array" ref="G6">_xlfn.IFS(AND(E6="Above Average",F6="Below Average"),"Q3",AND(E6="Above Average",F6="Above Average"),"Q2",AND(E6="Below Average",F6="Above Average"),"Q1",AND(E6="Below Average",F6="Below Average"),"Q4")</f>
        <v>Q4</v>
      </c>
      <c r="H6" s="90" cm="1">
        <f t="array" ref="H6">_xlfn.IFS(G6="Q1",1,G6="Q2",2,G6="Q3",3,G6="Q4",4)</f>
        <v>4</v>
      </c>
      <c r="J6" s="64" t="s">
        <v>5</v>
      </c>
      <c r="K6" s="52">
        <v>0.11463944440000001</v>
      </c>
      <c r="L6" s="52">
        <v>0.32880543493854802</v>
      </c>
      <c r="M6" s="47" t="str">
        <f t="shared" si="0"/>
        <v>Above Average</v>
      </c>
      <c r="N6" s="47" t="str">
        <f t="shared" si="3"/>
        <v>Below Average</v>
      </c>
      <c r="O6" s="75" t="str" cm="1">
        <f t="array" ref="O6">_xlfn.IFS(AND(M6="Above Average",N6="Below Average"),"Q3",AND(M6="Above Average",N6="Above Average"),"Q2",AND(M6="Below Average",N6="Above Average"),"Q1",AND(M6="Below Average",N6="Below Average"),"Q4")</f>
        <v>Q3</v>
      </c>
      <c r="P6" s="86" cm="1">
        <f t="array" ref="P6">_xlfn.IFS(O6="Q1",1,O6="Q2",2,O6="Q3",3,O6="Q4",4)</f>
        <v>3</v>
      </c>
      <c r="R6" t="s">
        <v>5</v>
      </c>
      <c r="S6" t="s">
        <v>140</v>
      </c>
      <c r="T6">
        <v>0.11463944440000001</v>
      </c>
      <c r="U6">
        <v>0.32880543493854802</v>
      </c>
      <c r="AA6" s="64" t="s">
        <v>5</v>
      </c>
      <c r="AD6" s="50">
        <v>3</v>
      </c>
      <c r="AH6" s="64" t="s">
        <v>5</v>
      </c>
    </row>
    <row r="7" spans="1:34" x14ac:dyDescent="0.35">
      <c r="A7" s="64" t="s">
        <v>6</v>
      </c>
      <c r="B7" s="65" t="s">
        <v>141</v>
      </c>
      <c r="C7" s="77">
        <v>8.1970005510432156</v>
      </c>
      <c r="D7" s="77">
        <v>5.7962394193302087</v>
      </c>
      <c r="E7" s="47" t="str">
        <f t="shared" si="1"/>
        <v>Below Average</v>
      </c>
      <c r="F7" s="47" t="str">
        <f t="shared" si="2"/>
        <v>Below Average</v>
      </c>
      <c r="G7" s="75" t="str" cm="1">
        <f t="array" ref="G7">_xlfn.IFS(AND(E7="Above Average",F7="Below Average"),"Q3",AND(E7="Above Average",F7="Above Average"),"Q2",AND(E7="Below Average",F7="Above Average"),"Q1",AND(E7="Below Average",F7="Below Average"),"Q4")</f>
        <v>Q4</v>
      </c>
      <c r="H7" s="90" cm="1">
        <f t="array" ref="H7">_xlfn.IFS(G7="Q1",1,G7="Q2",2,G7="Q3",3,G7="Q4",4)</f>
        <v>4</v>
      </c>
      <c r="J7" s="64" t="s">
        <v>6</v>
      </c>
      <c r="K7" s="52">
        <v>8.3128080399999998E-2</v>
      </c>
      <c r="L7" s="52">
        <v>0.26769999999999999</v>
      </c>
      <c r="M7" s="47" t="str">
        <f t="shared" si="0"/>
        <v>Above Average</v>
      </c>
      <c r="N7" s="47" t="str">
        <f t="shared" si="3"/>
        <v>Below Average</v>
      </c>
      <c r="O7" s="75" t="str" cm="1">
        <f t="array" ref="O7">_xlfn.IFS(AND(M7="Above Average",N7="Below Average"),"Q3",AND(M7="Above Average",N7="Above Average"),"Q2",AND(M7="Below Average",N7="Above Average"),"Q1",AND(M7="Below Average",N7="Below Average"),"Q4")</f>
        <v>Q3</v>
      </c>
      <c r="P7" s="86" cm="1">
        <f t="array" ref="P7">_xlfn.IFS(O7="Q1",1,O7="Q2",2,O7="Q3",3,O7="Q4",4)</f>
        <v>3</v>
      </c>
      <c r="R7" t="s">
        <v>6</v>
      </c>
      <c r="S7" t="s">
        <v>141</v>
      </c>
      <c r="T7">
        <v>8.3128080399999998E-2</v>
      </c>
      <c r="U7">
        <v>0.26769999999999999</v>
      </c>
      <c r="AA7" s="64" t="s">
        <v>6</v>
      </c>
      <c r="AD7" s="50">
        <v>4</v>
      </c>
      <c r="AH7" s="64" t="s">
        <v>6</v>
      </c>
    </row>
    <row r="8" spans="1:34" x14ac:dyDescent="0.35">
      <c r="A8" s="64" t="s">
        <v>60</v>
      </c>
      <c r="B8" s="65" t="s">
        <v>142</v>
      </c>
      <c r="C8" s="77">
        <v>60.895271765381224</v>
      </c>
      <c r="D8" s="77">
        <v>22.857935830441416</v>
      </c>
      <c r="E8" s="47" t="str">
        <f t="shared" si="1"/>
        <v>Above Average</v>
      </c>
      <c r="F8" s="47" t="str">
        <f t="shared" si="2"/>
        <v>Below Average</v>
      </c>
      <c r="G8" s="75" t="str" cm="1">
        <f t="array" ref="G8">_xlfn.IFS(AND(E8="Above Average",F8="Below Average"),"Q3",AND(E8="Above Average",F8="Above Average"),"Q2",AND(E8="Below Average",F8="Above Average"),"Q1",AND(E8="Below Average",F8="Below Average"),"Q4")</f>
        <v>Q3</v>
      </c>
      <c r="H8" s="86" cm="1">
        <f t="array" ref="H8">_xlfn.IFS(G8="Q1",1,G8="Q2",2,G8="Q3",3,G8="Q4",4)</f>
        <v>3</v>
      </c>
      <c r="J8" s="64" t="s">
        <v>60</v>
      </c>
      <c r="K8" s="52">
        <v>0.10392424580000001</v>
      </c>
      <c r="L8" s="52">
        <v>0.32863412813189302</v>
      </c>
      <c r="M8" s="47" t="str">
        <f t="shared" si="0"/>
        <v>Above Average</v>
      </c>
      <c r="N8" s="47" t="str">
        <f t="shared" si="3"/>
        <v>Below Average</v>
      </c>
      <c r="O8" s="75" t="str" cm="1">
        <f t="array" ref="O8">_xlfn.IFS(AND(M8="Above Average",N8="Below Average"),"Q3",AND(M8="Above Average",N8="Above Average"),"Q2",AND(M8="Below Average",N8="Above Average"),"Q1",AND(M8="Below Average",N8="Below Average"),"Q4")</f>
        <v>Q3</v>
      </c>
      <c r="P8" s="86" cm="1">
        <f t="array" ref="P8">_xlfn.IFS(O8="Q1",1,O8="Q2",2,O8="Q3",3,O8="Q4",4)</f>
        <v>3</v>
      </c>
      <c r="R8" t="s">
        <v>60</v>
      </c>
      <c r="S8" t="s">
        <v>142</v>
      </c>
      <c r="T8">
        <v>0.10392424580000001</v>
      </c>
      <c r="U8">
        <v>0.32863412813189302</v>
      </c>
      <c r="AA8" s="64" t="s">
        <v>60</v>
      </c>
      <c r="AH8" s="64" t="s">
        <v>60</v>
      </c>
    </row>
    <row r="9" spans="1:34" x14ac:dyDescent="0.35">
      <c r="A9" s="64" t="s">
        <v>7</v>
      </c>
      <c r="B9" s="65" t="s">
        <v>143</v>
      </c>
      <c r="C9" s="77">
        <v>7.8475241743670043</v>
      </c>
      <c r="D9" s="77">
        <v>5.8473988439306357</v>
      </c>
      <c r="E9" s="47" t="str">
        <f t="shared" si="1"/>
        <v>Below Average</v>
      </c>
      <c r="F9" s="47" t="str">
        <f t="shared" si="2"/>
        <v>Below Average</v>
      </c>
      <c r="G9" s="75" t="str" cm="1">
        <f t="array" ref="G9">_xlfn.IFS(AND(E9="Above Average",F9="Below Average"),"Q3",AND(E9="Above Average",F9="Above Average"),"Q2",AND(E9="Below Average",F9="Above Average"),"Q1",AND(E9="Below Average",F9="Below Average"),"Q4")</f>
        <v>Q4</v>
      </c>
      <c r="H9" s="90" cm="1">
        <f t="array" ref="H9">_xlfn.IFS(G9="Q1",1,G9="Q2",2,G9="Q3",3,G9="Q4",4)</f>
        <v>4</v>
      </c>
      <c r="J9" s="64" t="s">
        <v>7</v>
      </c>
      <c r="K9" s="52">
        <v>3.6992728700000005E-2</v>
      </c>
      <c r="L9" s="52">
        <v>0.60169835832363905</v>
      </c>
      <c r="M9" s="47" t="str">
        <f t="shared" si="0"/>
        <v>Below Average</v>
      </c>
      <c r="N9" s="47" t="str">
        <f t="shared" si="3"/>
        <v>Above Average</v>
      </c>
      <c r="O9" s="75" t="str" cm="1">
        <f t="array" ref="O9">_xlfn.IFS(AND(M9="Above Average",N9="Below Average"),"Q3",AND(M9="Above Average",N9="Above Average"),"Q2",AND(M9="Below Average",N9="Above Average"),"Q1",AND(M9="Below Average",N9="Below Average"),"Q4")</f>
        <v>Q1</v>
      </c>
      <c r="P9" s="88" cm="1">
        <f t="array" ref="P9">_xlfn.IFS(O9="Q1",1,O9="Q2",2,O9="Q3",3,O9="Q4",4)</f>
        <v>1</v>
      </c>
      <c r="R9" t="s">
        <v>7</v>
      </c>
      <c r="S9" t="s">
        <v>143</v>
      </c>
      <c r="T9">
        <v>3.6992728700000005E-2</v>
      </c>
      <c r="U9">
        <v>0.60169835832363905</v>
      </c>
      <c r="AA9" s="64" t="s">
        <v>7</v>
      </c>
      <c r="AH9" s="64" t="s">
        <v>7</v>
      </c>
    </row>
    <row r="10" spans="1:34" x14ac:dyDescent="0.35">
      <c r="A10" s="64" t="s">
        <v>8</v>
      </c>
      <c r="B10" s="65" t="s">
        <v>144</v>
      </c>
      <c r="C10" s="77">
        <v>2.3872297370504008</v>
      </c>
      <c r="D10" s="77">
        <v>44.159429280397021</v>
      </c>
      <c r="E10" s="47" t="str">
        <f t="shared" si="1"/>
        <v>Below Average</v>
      </c>
      <c r="F10" s="47" t="str">
        <f t="shared" si="2"/>
        <v>Above Average</v>
      </c>
      <c r="G10" s="75" t="str" cm="1">
        <f t="array" ref="G10">_xlfn.IFS(AND(E10="Above Average",F10="Below Average"),"Q3",AND(E10="Above Average",F10="Above Average"),"Q2",AND(E10="Below Average",F10="Above Average"),"Q1",AND(E10="Below Average",F10="Below Average"),"Q4")</f>
        <v>Q1</v>
      </c>
      <c r="H10" s="88" cm="1">
        <f t="array" ref="H10">_xlfn.IFS(G10="Q1",1,G10="Q2",2,G10="Q3",3,G10="Q4",4)</f>
        <v>1</v>
      </c>
      <c r="J10" s="64" t="s">
        <v>8</v>
      </c>
      <c r="K10" s="52">
        <v>4.8423175799999996E-2</v>
      </c>
      <c r="L10" s="52">
        <v>0.60169835832363905</v>
      </c>
      <c r="M10" s="47" t="str">
        <f t="shared" si="0"/>
        <v>Below Average</v>
      </c>
      <c r="N10" s="47" t="str">
        <f t="shared" si="3"/>
        <v>Above Average</v>
      </c>
      <c r="O10" s="75" t="str" cm="1">
        <f t="array" ref="O10">_xlfn.IFS(AND(M10="Above Average",N10="Below Average"),"Q3",AND(M10="Above Average",N10="Above Average"),"Q2",AND(M10="Below Average",N10="Above Average"),"Q1",AND(M10="Below Average",N10="Below Average"),"Q4")</f>
        <v>Q1</v>
      </c>
      <c r="P10" s="88" cm="1">
        <f t="array" ref="P10">_xlfn.IFS(O10="Q1",1,O10="Q2",2,O10="Q3",3,O10="Q4",4)</f>
        <v>1</v>
      </c>
      <c r="R10" t="s">
        <v>8</v>
      </c>
      <c r="S10" t="s">
        <v>144</v>
      </c>
      <c r="T10">
        <v>4.8423175799999996E-2</v>
      </c>
      <c r="U10">
        <v>0.60169835832363905</v>
      </c>
      <c r="AA10" s="64" t="s">
        <v>8</v>
      </c>
      <c r="AH10" s="64" t="s">
        <v>8</v>
      </c>
    </row>
    <row r="11" spans="1:34" x14ac:dyDescent="0.35">
      <c r="A11" s="64" t="s">
        <v>9</v>
      </c>
      <c r="B11" s="65" t="s">
        <v>145</v>
      </c>
      <c r="C11" s="77">
        <v>3.2716188953202665</v>
      </c>
      <c r="D11" s="77">
        <v>1.5058928414930488</v>
      </c>
      <c r="E11" s="47" t="str">
        <f t="shared" si="1"/>
        <v>Below Average</v>
      </c>
      <c r="F11" s="47" t="str">
        <f t="shared" si="2"/>
        <v>Below Average</v>
      </c>
      <c r="G11" s="75" t="str" cm="1">
        <f t="array" ref="G11">_xlfn.IFS(AND(E11="Above Average",F11="Below Average"),"Q3",AND(E11="Above Average",F11="Above Average"),"Q2",AND(E11="Below Average",F11="Above Average"),"Q1",AND(E11="Below Average",F11="Below Average"),"Q4")</f>
        <v>Q4</v>
      </c>
      <c r="H11" s="90" cm="1">
        <f t="array" ref="H11">_xlfn.IFS(G11="Q1",1,G11="Q2",2,G11="Q3",3,G11="Q4",4)</f>
        <v>4</v>
      </c>
      <c r="J11" s="64" t="s">
        <v>9</v>
      </c>
      <c r="K11" s="52">
        <v>4.8723001500000002E-2</v>
      </c>
      <c r="L11" s="52">
        <v>0.35310312003413502</v>
      </c>
      <c r="M11" s="47" t="str">
        <f t="shared" si="0"/>
        <v>Below Average</v>
      </c>
      <c r="N11" s="47" t="str">
        <f t="shared" si="3"/>
        <v>Below Average</v>
      </c>
      <c r="O11" s="75" t="str" cm="1">
        <f t="array" ref="O11">_xlfn.IFS(AND(M11="Above Average",N11="Below Average"),"Q3",AND(M11="Above Average",N11="Above Average"),"Q2",AND(M11="Below Average",N11="Above Average"),"Q1",AND(M11="Below Average",N11="Below Average"),"Q4")</f>
        <v>Q4</v>
      </c>
      <c r="P11" s="90" cm="1">
        <f t="array" ref="P11">_xlfn.IFS(O11="Q1",1,O11="Q2",2,O11="Q3",3,O11="Q4",4)</f>
        <v>4</v>
      </c>
      <c r="R11" t="s">
        <v>9</v>
      </c>
      <c r="S11" t="s">
        <v>145</v>
      </c>
      <c r="T11">
        <v>4.8723001500000002E-2</v>
      </c>
      <c r="U11">
        <v>0.35310312003413502</v>
      </c>
      <c r="AA11" s="64" t="s">
        <v>9</v>
      </c>
      <c r="AH11" s="64" t="s">
        <v>9</v>
      </c>
    </row>
    <row r="12" spans="1:34" x14ac:dyDescent="0.35">
      <c r="A12" s="64" t="s">
        <v>10</v>
      </c>
      <c r="B12" s="65" t="s">
        <v>146</v>
      </c>
      <c r="C12" s="77">
        <v>20.614550700647715</v>
      </c>
      <c r="D12" s="77">
        <v>28.47427435177109</v>
      </c>
      <c r="E12" s="47" t="str">
        <f t="shared" si="1"/>
        <v>Below Average</v>
      </c>
      <c r="F12" s="47" t="str">
        <f t="shared" si="2"/>
        <v>Above Average</v>
      </c>
      <c r="G12" s="75" t="str" cm="1">
        <f t="array" ref="G12">_xlfn.IFS(AND(E12="Above Average",F12="Below Average"),"Q3",AND(E12="Above Average",F12="Above Average"),"Q2",AND(E12="Below Average",F12="Above Average"),"Q1",AND(E12="Below Average",F12="Below Average"),"Q4")</f>
        <v>Q1</v>
      </c>
      <c r="H12" s="88" cm="1">
        <f t="array" ref="H12">_xlfn.IFS(G12="Q1",1,G12="Q2",2,G12="Q3",3,G12="Q4",4)</f>
        <v>1</v>
      </c>
      <c r="J12" s="64" t="s">
        <v>10</v>
      </c>
      <c r="K12" s="52">
        <v>4.1246685999999998E-2</v>
      </c>
      <c r="L12" s="52">
        <v>0.65</v>
      </c>
      <c r="M12" s="47" t="str">
        <f t="shared" si="0"/>
        <v>Below Average</v>
      </c>
      <c r="N12" s="47" t="str">
        <f t="shared" si="3"/>
        <v>Above Average</v>
      </c>
      <c r="O12" s="75" t="str" cm="1">
        <f t="array" ref="O12">_xlfn.IFS(AND(M12="Above Average",N12="Below Average"),"Q3",AND(M12="Above Average",N12="Above Average"),"Q2",AND(M12="Below Average",N12="Above Average"),"Q1",AND(M12="Below Average",N12="Below Average"),"Q4")</f>
        <v>Q1</v>
      </c>
      <c r="P12" s="88" cm="1">
        <f t="array" ref="P12">_xlfn.IFS(O12="Q1",1,O12="Q2",2,O12="Q3",3,O12="Q4",4)</f>
        <v>1</v>
      </c>
      <c r="R12" t="s">
        <v>10</v>
      </c>
      <c r="S12" t="s">
        <v>146</v>
      </c>
      <c r="T12">
        <v>4.1246685999999998E-2</v>
      </c>
      <c r="U12">
        <v>0.65</v>
      </c>
      <c r="AA12" s="64" t="s">
        <v>10</v>
      </c>
      <c r="AH12" s="64" t="s">
        <v>10</v>
      </c>
    </row>
    <row r="13" spans="1:34" x14ac:dyDescent="0.35">
      <c r="A13" s="64" t="s">
        <v>149</v>
      </c>
      <c r="B13" s="65" t="s">
        <v>150</v>
      </c>
      <c r="C13" s="77">
        <v>11.710635712808925</v>
      </c>
      <c r="D13" s="77">
        <v>20.263906002583152</v>
      </c>
      <c r="E13" s="47" t="str">
        <f t="shared" si="1"/>
        <v>Below Average</v>
      </c>
      <c r="F13" s="47" t="str">
        <f t="shared" si="2"/>
        <v>Below Average</v>
      </c>
      <c r="G13" s="75" t="str" cm="1">
        <f t="array" ref="G13">_xlfn.IFS(AND(E13="Above Average",F13="Below Average"),"Q3",AND(E13="Above Average",F13="Above Average"),"Q2",AND(E13="Below Average",F13="Above Average"),"Q1",AND(E13="Below Average",F13="Below Average"),"Q4")</f>
        <v>Q4</v>
      </c>
      <c r="H13" s="90" cm="1">
        <f t="array" ref="H13">_xlfn.IFS(G13="Q1",1,G13="Q2",2,G13="Q3",3,G13="Q4",4)</f>
        <v>4</v>
      </c>
      <c r="J13" s="64" t="s">
        <v>149</v>
      </c>
      <c r="K13" s="52">
        <v>6.6596483200000001E-2</v>
      </c>
      <c r="L13" s="52">
        <v>0.373</v>
      </c>
      <c r="M13" s="47" t="str">
        <f t="shared" si="0"/>
        <v>Below Average</v>
      </c>
      <c r="N13" s="47" t="str">
        <f t="shared" si="3"/>
        <v>Below Average</v>
      </c>
      <c r="O13" s="75" t="str" cm="1">
        <f t="array" ref="O13">_xlfn.IFS(AND(M13="Above Average",N13="Below Average"),"Q3",AND(M13="Above Average",N13="Above Average"),"Q2",AND(M13="Below Average",N13="Above Average"),"Q1",AND(M13="Below Average",N13="Below Average"),"Q4")</f>
        <v>Q4</v>
      </c>
      <c r="P13" s="90" cm="1">
        <f t="array" ref="P13">_xlfn.IFS(O13="Q1",1,O13="Q2",2,O13="Q3",3,O13="Q4",4)</f>
        <v>4</v>
      </c>
      <c r="R13" t="s">
        <v>147</v>
      </c>
      <c r="S13" t="s">
        <v>148</v>
      </c>
      <c r="T13">
        <v>8.2168407400000004E-2</v>
      </c>
      <c r="U13">
        <v>0.43066371754243699</v>
      </c>
      <c r="AA13" s="64" t="s">
        <v>149</v>
      </c>
      <c r="AH13" s="64" t="s">
        <v>149</v>
      </c>
    </row>
    <row r="14" spans="1:34" ht="29" x14ac:dyDescent="0.35">
      <c r="A14" s="64" t="s">
        <v>82</v>
      </c>
      <c r="B14" s="65" t="s">
        <v>151</v>
      </c>
      <c r="C14" s="77">
        <v>14.104125276326323</v>
      </c>
      <c r="D14" s="77">
        <v>4.5412705268813731</v>
      </c>
      <c r="E14" s="47" t="str">
        <f t="shared" si="1"/>
        <v>Below Average</v>
      </c>
      <c r="F14" s="47" t="str">
        <f t="shared" si="2"/>
        <v>Below Average</v>
      </c>
      <c r="G14" s="75" t="str" cm="1">
        <f t="array" ref="G14">_xlfn.IFS(AND(E14="Above Average",F14="Below Average"),"Q3",AND(E14="Above Average",F14="Above Average"),"Q2",AND(E14="Below Average",F14="Above Average"),"Q1",AND(E14="Below Average",F14="Below Average"),"Q4")</f>
        <v>Q4</v>
      </c>
      <c r="H14" s="90" cm="1">
        <f t="array" ref="H14">_xlfn.IFS(G14="Q1",1,G14="Q2",2,G14="Q3",3,G14="Q4",4)</f>
        <v>4</v>
      </c>
      <c r="J14" s="64" t="s">
        <v>82</v>
      </c>
      <c r="K14" s="52">
        <v>6.2699966400000001E-2</v>
      </c>
      <c r="L14" s="52">
        <v>0.473026044369111</v>
      </c>
      <c r="M14" s="47" t="str">
        <f t="shared" si="0"/>
        <v>Below Average</v>
      </c>
      <c r="N14" s="47" t="str">
        <f t="shared" si="3"/>
        <v>Above Average</v>
      </c>
      <c r="O14" s="75" t="str" cm="1">
        <f t="array" ref="O14">_xlfn.IFS(AND(M14="Above Average",N14="Below Average"),"Q3",AND(M14="Above Average",N14="Above Average"),"Q2",AND(M14="Below Average",N14="Above Average"),"Q1",AND(M14="Below Average",N14="Below Average"),"Q4")</f>
        <v>Q1</v>
      </c>
      <c r="P14" s="88" cm="1">
        <f t="array" ref="P14">_xlfn.IFS(O14="Q1",1,O14="Q2",2,O14="Q3",3,O14="Q4",4)</f>
        <v>1</v>
      </c>
      <c r="R14" t="s">
        <v>149</v>
      </c>
      <c r="S14" t="s">
        <v>150</v>
      </c>
      <c r="T14">
        <v>6.6596483200000001E-2</v>
      </c>
      <c r="U14">
        <v>0.373</v>
      </c>
      <c r="AA14" s="64" t="s">
        <v>82</v>
      </c>
      <c r="AH14" s="64" t="s">
        <v>82</v>
      </c>
    </row>
    <row r="15" spans="1:34" x14ac:dyDescent="0.35">
      <c r="A15" s="64" t="s">
        <v>14</v>
      </c>
      <c r="B15" s="65" t="s">
        <v>152</v>
      </c>
      <c r="C15" s="77">
        <v>10.007213798082931</v>
      </c>
      <c r="D15" s="77">
        <v>0.95412514516632685</v>
      </c>
      <c r="E15" s="47" t="str">
        <f t="shared" si="1"/>
        <v>Below Average</v>
      </c>
      <c r="F15" s="47" t="str">
        <f t="shared" si="2"/>
        <v>Below Average</v>
      </c>
      <c r="G15" s="75" t="str" cm="1">
        <f t="array" ref="G15">_xlfn.IFS(AND(E15="Above Average",F15="Below Average"),"Q3",AND(E15="Above Average",F15="Above Average"),"Q2",AND(E15="Below Average",F15="Above Average"),"Q1",AND(E15="Below Average",F15="Below Average"),"Q4")</f>
        <v>Q4</v>
      </c>
      <c r="H15" s="90" cm="1">
        <f t="array" ref="H15">_xlfn.IFS(G15="Q1",1,G15="Q2",2,G15="Q3",3,G15="Q4",4)</f>
        <v>4</v>
      </c>
      <c r="J15" s="64" t="s">
        <v>14</v>
      </c>
      <c r="K15" s="52">
        <v>5.2922940299999999E-2</v>
      </c>
      <c r="L15" s="52">
        <v>0.473026044369111</v>
      </c>
      <c r="M15" s="47" t="str">
        <f t="shared" si="0"/>
        <v>Below Average</v>
      </c>
      <c r="N15" s="47" t="str">
        <f t="shared" si="3"/>
        <v>Above Average</v>
      </c>
      <c r="O15" s="75" t="str" cm="1">
        <f t="array" ref="O15">_xlfn.IFS(AND(M15="Above Average",N15="Below Average"),"Q3",AND(M15="Above Average",N15="Above Average"),"Q2",AND(M15="Below Average",N15="Above Average"),"Q1",AND(M15="Below Average",N15="Below Average"),"Q4")</f>
        <v>Q1</v>
      </c>
      <c r="P15" s="88" cm="1">
        <f t="array" ref="P15">_xlfn.IFS(O15="Q1",1,O15="Q2",2,O15="Q3",3,O15="Q4",4)</f>
        <v>1</v>
      </c>
      <c r="R15" t="s">
        <v>82</v>
      </c>
      <c r="S15" t="s">
        <v>151</v>
      </c>
      <c r="T15">
        <v>6.2699966400000001E-2</v>
      </c>
      <c r="U15">
        <v>0.473026044369111</v>
      </c>
      <c r="AA15" s="64" t="s">
        <v>14</v>
      </c>
      <c r="AH15" s="64" t="s">
        <v>14</v>
      </c>
    </row>
    <row r="16" spans="1:34" x14ac:dyDescent="0.35">
      <c r="A16" s="64" t="s">
        <v>15</v>
      </c>
      <c r="B16" s="65" t="s">
        <v>153</v>
      </c>
      <c r="C16" s="77">
        <v>14.584070867806926</v>
      </c>
      <c r="D16" s="77">
        <v>13.264544118808269</v>
      </c>
      <c r="E16" s="47" t="str">
        <f t="shared" si="1"/>
        <v>Below Average</v>
      </c>
      <c r="F16" s="47" t="str">
        <f t="shared" si="2"/>
        <v>Below Average</v>
      </c>
      <c r="G16" s="75" t="str" cm="1">
        <f t="array" ref="G16">_xlfn.IFS(AND(E16="Above Average",F16="Below Average"),"Q3",AND(E16="Above Average",F16="Above Average"),"Q2",AND(E16="Below Average",F16="Above Average"),"Q1",AND(E16="Below Average",F16="Below Average"),"Q4")</f>
        <v>Q4</v>
      </c>
      <c r="H16" s="90" cm="1">
        <f t="array" ref="H16">_xlfn.IFS(G16="Q1",1,G16="Q2",2,G16="Q3",3,G16="Q4",4)</f>
        <v>4</v>
      </c>
      <c r="J16" s="64" t="s">
        <v>15</v>
      </c>
      <c r="K16" s="52">
        <v>2.3541069000000001E-2</v>
      </c>
      <c r="L16" s="52">
        <v>0.67300000000000004</v>
      </c>
      <c r="M16" s="47" t="str">
        <f t="shared" si="0"/>
        <v>Below Average</v>
      </c>
      <c r="N16" s="47" t="str">
        <f t="shared" si="3"/>
        <v>Above Average</v>
      </c>
      <c r="O16" s="75" t="str" cm="1">
        <f t="array" ref="O16">_xlfn.IFS(AND(M16="Above Average",N16="Below Average"),"Q3",AND(M16="Above Average",N16="Above Average"),"Q2",AND(M16="Below Average",N16="Above Average"),"Q1",AND(M16="Below Average",N16="Below Average"),"Q4")</f>
        <v>Q1</v>
      </c>
      <c r="P16" s="88" cm="1">
        <f t="array" ref="P16">_xlfn.IFS(O16="Q1",1,O16="Q2",2,O16="Q3",3,O16="Q4",4)</f>
        <v>1</v>
      </c>
      <c r="R16" t="s">
        <v>14</v>
      </c>
      <c r="S16" t="s">
        <v>152</v>
      </c>
      <c r="T16">
        <v>5.2922940299999999E-2</v>
      </c>
      <c r="U16">
        <v>0.473026044369111</v>
      </c>
      <c r="AA16" s="64" t="s">
        <v>15</v>
      </c>
      <c r="AH16" s="64" t="s">
        <v>15</v>
      </c>
    </row>
    <row r="17" spans="1:34" x14ac:dyDescent="0.35">
      <c r="A17" s="64" t="s">
        <v>16</v>
      </c>
      <c r="B17" s="65" t="s">
        <v>154</v>
      </c>
      <c r="C17" s="77">
        <v>49.456152913797929</v>
      </c>
      <c r="D17" s="77">
        <v>37.056249999999999</v>
      </c>
      <c r="E17" s="47" t="str">
        <f t="shared" si="1"/>
        <v>Above Average</v>
      </c>
      <c r="F17" s="47" t="str">
        <f t="shared" si="2"/>
        <v>Above Average</v>
      </c>
      <c r="G17" s="75" t="str" cm="1">
        <f t="array" ref="G17">_xlfn.IFS(AND(E17="Above Average",F17="Below Average"),"Q3",AND(E17="Above Average",F17="Above Average"),"Q2",AND(E17="Below Average",F17="Above Average"),"Q1",AND(E17="Below Average",F17="Below Average"),"Q4")</f>
        <v>Q2</v>
      </c>
      <c r="H17" s="89" cm="1">
        <f t="array" ref="H17">_xlfn.IFS(G17="Q1",1,G17="Q2",2,G17="Q3",3,G17="Q4",4)</f>
        <v>2</v>
      </c>
      <c r="J17" s="64" t="s">
        <v>16</v>
      </c>
      <c r="K17" s="52">
        <v>9.9682931900000007E-2</v>
      </c>
      <c r="L17" s="52">
        <v>0.3</v>
      </c>
      <c r="M17" s="47" t="str">
        <f t="shared" si="0"/>
        <v>Above Average</v>
      </c>
      <c r="N17" s="47" t="str">
        <f t="shared" si="3"/>
        <v>Below Average</v>
      </c>
      <c r="O17" s="75" t="str" cm="1">
        <f t="array" ref="O17">_xlfn.IFS(AND(M17="Above Average",N17="Below Average"),"Q3",AND(M17="Above Average",N17="Above Average"),"Q2",AND(M17="Below Average",N17="Above Average"),"Q1",AND(M17="Below Average",N17="Below Average"),"Q4")</f>
        <v>Q3</v>
      </c>
      <c r="P17" s="86" cm="1">
        <f t="array" ref="P17">_xlfn.IFS(O17="Q1",1,O17="Q2",2,O17="Q3",3,O17="Q4",4)</f>
        <v>3</v>
      </c>
      <c r="R17" t="s">
        <v>15</v>
      </c>
      <c r="S17" t="s">
        <v>153</v>
      </c>
      <c r="T17">
        <v>2.3541069000000001E-2</v>
      </c>
      <c r="U17">
        <v>0.67300000000000004</v>
      </c>
      <c r="AA17" s="64" t="s">
        <v>16</v>
      </c>
      <c r="AH17" s="64" t="s">
        <v>16</v>
      </c>
    </row>
    <row r="18" spans="1:34" x14ac:dyDescent="0.35">
      <c r="A18" s="64" t="s">
        <v>17</v>
      </c>
      <c r="B18" s="65" t="s">
        <v>155</v>
      </c>
      <c r="C18" s="77">
        <v>15.362628950222767</v>
      </c>
      <c r="D18" s="77">
        <v>16.468657033574161</v>
      </c>
      <c r="E18" s="47" t="str">
        <f t="shared" si="1"/>
        <v>Below Average</v>
      </c>
      <c r="F18" s="47" t="str">
        <f t="shared" si="2"/>
        <v>Below Average</v>
      </c>
      <c r="G18" s="75" t="str" cm="1">
        <f t="array" ref="G18">_xlfn.IFS(AND(E18="Above Average",F18="Below Average"),"Q3",AND(E18="Above Average",F18="Above Average"),"Q2",AND(E18="Below Average",F18="Above Average"),"Q1",AND(E18="Below Average",F18="Below Average"),"Q4")</f>
        <v>Q4</v>
      </c>
      <c r="H18" s="90" cm="1">
        <f t="array" ref="H18">_xlfn.IFS(G18="Q1",1,G18="Q2",2,G18="Q3",3,G18="Q4",4)</f>
        <v>4</v>
      </c>
      <c r="J18" s="64" t="s">
        <v>17</v>
      </c>
      <c r="K18" s="52">
        <v>6.79223251E-2</v>
      </c>
      <c r="L18" s="52">
        <v>0.18662367321998</v>
      </c>
      <c r="M18" s="47" t="str">
        <f t="shared" si="0"/>
        <v>Below Average</v>
      </c>
      <c r="N18" s="47" t="str">
        <f t="shared" si="3"/>
        <v>Below Average</v>
      </c>
      <c r="O18" s="75" t="str" cm="1">
        <f t="array" ref="O18">_xlfn.IFS(AND(M18="Above Average",N18="Below Average"),"Q3",AND(M18="Above Average",N18="Above Average"),"Q2",AND(M18="Below Average",N18="Above Average"),"Q1",AND(M18="Below Average",N18="Below Average"),"Q4")</f>
        <v>Q4</v>
      </c>
      <c r="P18" s="90" cm="1">
        <f t="array" ref="P18">_xlfn.IFS(O18="Q1",1,O18="Q2",2,O18="Q3",3,O18="Q4",4)</f>
        <v>4</v>
      </c>
      <c r="R18" t="s">
        <v>16</v>
      </c>
      <c r="S18" t="s">
        <v>154</v>
      </c>
      <c r="T18">
        <v>9.9682931900000007E-2</v>
      </c>
      <c r="U18">
        <v>0.3</v>
      </c>
      <c r="AA18" s="64" t="s">
        <v>17</v>
      </c>
      <c r="AH18" s="64" t="s">
        <v>17</v>
      </c>
    </row>
    <row r="19" spans="1:34" x14ac:dyDescent="0.35">
      <c r="A19" s="64" t="s">
        <v>18</v>
      </c>
      <c r="B19" s="65" t="s">
        <v>156</v>
      </c>
      <c r="C19" s="77">
        <v>29.037302117617038</v>
      </c>
      <c r="D19" s="77">
        <v>42.673685800866124</v>
      </c>
      <c r="E19" s="47" t="str">
        <f t="shared" si="1"/>
        <v>Above Average</v>
      </c>
      <c r="F19" s="47" t="str">
        <f t="shared" si="2"/>
        <v>Above Average</v>
      </c>
      <c r="G19" s="75" t="str" cm="1">
        <f t="array" ref="G19">_xlfn.IFS(AND(E19="Above Average",F19="Below Average"),"Q3",AND(E19="Above Average",F19="Above Average"),"Q2",AND(E19="Below Average",F19="Above Average"),"Q1",AND(E19="Below Average",F19="Below Average"),"Q4")</f>
        <v>Q2</v>
      </c>
      <c r="H19" s="89" cm="1">
        <f t="array" ref="H19">_xlfn.IFS(G19="Q1",1,G19="Q2",2,G19="Q3",3,G19="Q4",4)</f>
        <v>2</v>
      </c>
      <c r="J19" s="64" t="s">
        <v>18</v>
      </c>
      <c r="K19" s="52">
        <v>9.5915584600000006E-2</v>
      </c>
      <c r="L19" s="52">
        <v>0.487577741763977</v>
      </c>
      <c r="M19" s="47" t="str">
        <f t="shared" si="0"/>
        <v>Above Average</v>
      </c>
      <c r="N19" s="47" t="str">
        <f t="shared" si="3"/>
        <v>Above Average</v>
      </c>
      <c r="O19" s="75" t="str" cm="1">
        <f t="array" ref="O19">_xlfn.IFS(AND(M19="Above Average",N19="Below Average"),"Q3",AND(M19="Above Average",N19="Above Average"),"Q2",AND(M19="Below Average",N19="Above Average"),"Q1",AND(M19="Below Average",N19="Below Average"),"Q4")</f>
        <v>Q2</v>
      </c>
      <c r="P19" s="89" cm="1">
        <f t="array" ref="P19">_xlfn.IFS(O19="Q1",1,O19="Q2",2,O19="Q3",3,O19="Q4",4)</f>
        <v>2</v>
      </c>
      <c r="R19" t="s">
        <v>17</v>
      </c>
      <c r="S19" t="s">
        <v>155</v>
      </c>
      <c r="T19">
        <v>6.79223251E-2</v>
      </c>
      <c r="U19">
        <v>0.18662367321998</v>
      </c>
      <c r="AA19" s="64" t="s">
        <v>18</v>
      </c>
      <c r="AH19" s="64" t="s">
        <v>18</v>
      </c>
    </row>
    <row r="20" spans="1:34" x14ac:dyDescent="0.35">
      <c r="A20" s="64" t="s">
        <v>20</v>
      </c>
      <c r="B20" s="65" t="s">
        <v>159</v>
      </c>
      <c r="C20" s="77">
        <v>45.6484849222892</v>
      </c>
      <c r="D20" s="77">
        <v>5.6456748687645337</v>
      </c>
      <c r="E20" s="47" t="str">
        <f t="shared" si="1"/>
        <v>Above Average</v>
      </c>
      <c r="F20" s="47" t="str">
        <f t="shared" si="2"/>
        <v>Below Average</v>
      </c>
      <c r="G20" s="75" t="str" cm="1">
        <f t="array" ref="G20">_xlfn.IFS(AND(E20="Above Average",F20="Below Average"),"Q3",AND(E20="Above Average",F20="Above Average"),"Q2",AND(E20="Below Average",F20="Above Average"),"Q1",AND(E20="Below Average",F20="Below Average"),"Q4")</f>
        <v>Q3</v>
      </c>
      <c r="H20" s="86" cm="1">
        <f t="array" ref="H20">_xlfn.IFS(G20="Q1",1,G20="Q2",2,G20="Q3",3,G20="Q4",4)</f>
        <v>3</v>
      </c>
      <c r="J20" s="64" t="s">
        <v>20</v>
      </c>
      <c r="K20" s="52">
        <v>6.8515443800000006E-2</v>
      </c>
      <c r="L20" s="52">
        <v>0.57699999999999996</v>
      </c>
      <c r="M20" s="47" t="str">
        <f t="shared" si="0"/>
        <v>Below Average</v>
      </c>
      <c r="N20" s="47" t="str">
        <f t="shared" si="3"/>
        <v>Above Average</v>
      </c>
      <c r="O20" s="75" t="str" cm="1">
        <f t="array" ref="O20">_xlfn.IFS(AND(M20="Above Average",N20="Below Average"),"Q3",AND(M20="Above Average",N20="Above Average"),"Q2",AND(M20="Below Average",N20="Above Average"),"Q1",AND(M20="Below Average",N20="Below Average"),"Q4")</f>
        <v>Q1</v>
      </c>
      <c r="P20" s="88" cm="1">
        <f t="array" ref="P20">_xlfn.IFS(O20="Q1",1,O20="Q2",2,O20="Q3",3,O20="Q4",4)</f>
        <v>1</v>
      </c>
      <c r="R20" t="s">
        <v>18</v>
      </c>
      <c r="S20" t="s">
        <v>156</v>
      </c>
      <c r="T20">
        <v>9.5915584600000006E-2</v>
      </c>
      <c r="U20">
        <v>0.487577741763977</v>
      </c>
      <c r="AA20" s="64" t="s">
        <v>20</v>
      </c>
      <c r="AH20" s="64" t="s">
        <v>20</v>
      </c>
    </row>
    <row r="21" spans="1:34" x14ac:dyDescent="0.35">
      <c r="A21" s="64" t="s">
        <v>21</v>
      </c>
      <c r="B21" s="65" t="s">
        <v>160</v>
      </c>
      <c r="C21" s="77">
        <v>4.5119996321234597</v>
      </c>
      <c r="D21" s="77">
        <v>3.096666017972511</v>
      </c>
      <c r="E21" s="47" t="str">
        <f t="shared" si="1"/>
        <v>Below Average</v>
      </c>
      <c r="F21" s="47" t="str">
        <f t="shared" si="2"/>
        <v>Below Average</v>
      </c>
      <c r="G21" s="75" t="str" cm="1">
        <f t="array" ref="G21">_xlfn.IFS(AND(E21="Above Average",F21="Below Average"),"Q3",AND(E21="Above Average",F21="Above Average"),"Q2",AND(E21="Below Average",F21="Above Average"),"Q1",AND(E21="Below Average",F21="Below Average"),"Q4")</f>
        <v>Q4</v>
      </c>
      <c r="H21" s="90" cm="1">
        <f t="array" ref="H21">_xlfn.IFS(G21="Q1",1,G21="Q2",2,G21="Q3",3,G21="Q4",4)</f>
        <v>4</v>
      </c>
      <c r="J21" s="64" t="s">
        <v>21</v>
      </c>
      <c r="K21" s="52">
        <v>6.1485252399999996E-2</v>
      </c>
      <c r="L21" s="52">
        <v>0.391998679499238</v>
      </c>
      <c r="M21" s="47" t="str">
        <f t="shared" si="0"/>
        <v>Below Average</v>
      </c>
      <c r="N21" s="47" t="str">
        <f t="shared" si="3"/>
        <v>Below Average</v>
      </c>
      <c r="O21" s="75" t="str" cm="1">
        <f t="array" ref="O21">_xlfn.IFS(AND(M21="Above Average",N21="Below Average"),"Q3",AND(M21="Above Average",N21="Above Average"),"Q2",AND(M21="Below Average",N21="Above Average"),"Q1",AND(M21="Below Average",N21="Below Average"),"Q4")</f>
        <v>Q4</v>
      </c>
      <c r="P21" s="90" cm="1">
        <f t="array" ref="P21">_xlfn.IFS(O21="Q1",1,O21="Q2",2,O21="Q3",3,O21="Q4",4)</f>
        <v>4</v>
      </c>
      <c r="R21" t="s">
        <v>157</v>
      </c>
      <c r="S21" t="s">
        <v>158</v>
      </c>
      <c r="T21">
        <v>5.4796643300000003E-2</v>
      </c>
      <c r="U21">
        <v>0.170669454827377</v>
      </c>
      <c r="AA21" s="64" t="s">
        <v>21</v>
      </c>
      <c r="AH21" s="64" t="s">
        <v>21</v>
      </c>
    </row>
    <row r="22" spans="1:34" x14ac:dyDescent="0.35">
      <c r="A22" s="64" t="s">
        <v>22</v>
      </c>
      <c r="B22" s="65" t="s">
        <v>161</v>
      </c>
      <c r="C22" s="77">
        <v>12.380872332200333</v>
      </c>
      <c r="D22" s="77">
        <v>22.857935830441416</v>
      </c>
      <c r="E22" s="47" t="str">
        <f t="shared" si="1"/>
        <v>Below Average</v>
      </c>
      <c r="F22" s="47" t="str">
        <f t="shared" si="2"/>
        <v>Below Average</v>
      </c>
      <c r="G22" s="75" t="str" cm="1">
        <f t="array" ref="G22">_xlfn.IFS(AND(E22="Above Average",F22="Below Average"),"Q3",AND(E22="Above Average",F22="Above Average"),"Q2",AND(E22="Below Average",F22="Above Average"),"Q1",AND(E22="Below Average",F22="Below Average"),"Q4")</f>
        <v>Q4</v>
      </c>
      <c r="H22" s="90" cm="1">
        <f t="array" ref="H22">_xlfn.IFS(G22="Q1",1,G22="Q2",2,G22="Q3",3,G22="Q4",4)</f>
        <v>4</v>
      </c>
      <c r="J22" s="64" t="s">
        <v>22</v>
      </c>
      <c r="K22" s="52">
        <v>2.7522828600000004E-2</v>
      </c>
      <c r="L22" s="52">
        <v>0.473026044369111</v>
      </c>
      <c r="M22" s="47" t="str">
        <f t="shared" si="0"/>
        <v>Below Average</v>
      </c>
      <c r="N22" s="47" t="str">
        <f t="shared" si="3"/>
        <v>Above Average</v>
      </c>
      <c r="O22" s="75" t="str" cm="1">
        <f t="array" ref="O22">_xlfn.IFS(AND(M22="Above Average",N22="Below Average"),"Q3",AND(M22="Above Average",N22="Above Average"),"Q2",AND(M22="Below Average",N22="Above Average"),"Q1",AND(M22="Below Average",N22="Below Average"),"Q4")</f>
        <v>Q1</v>
      </c>
      <c r="P22" s="88" cm="1">
        <f t="array" ref="P22">_xlfn.IFS(O22="Q1",1,O22="Q2",2,O22="Q3",3,O22="Q4",4)</f>
        <v>1</v>
      </c>
      <c r="R22" t="s">
        <v>20</v>
      </c>
      <c r="S22" t="s">
        <v>159</v>
      </c>
      <c r="T22">
        <v>6.8515443800000006E-2</v>
      </c>
      <c r="U22">
        <v>0.57699999999999996</v>
      </c>
      <c r="AA22" s="64" t="s">
        <v>22</v>
      </c>
      <c r="AH22" s="64" t="s">
        <v>22</v>
      </c>
    </row>
    <row r="23" spans="1:34" x14ac:dyDescent="0.35">
      <c r="A23" s="64" t="s">
        <v>23</v>
      </c>
      <c r="B23" s="65" t="s">
        <v>162</v>
      </c>
      <c r="C23" s="77">
        <v>22.689931885967603</v>
      </c>
      <c r="D23" s="77">
        <v>75.215601965601962</v>
      </c>
      <c r="E23" s="47" t="str">
        <f t="shared" si="1"/>
        <v>Below Average</v>
      </c>
      <c r="F23" s="47" t="str">
        <f t="shared" si="2"/>
        <v>Above Average</v>
      </c>
      <c r="G23" s="75" t="str" cm="1">
        <f t="array" ref="G23">_xlfn.IFS(AND(E23="Above Average",F23="Below Average"),"Q3",AND(E23="Above Average",F23="Above Average"),"Q2",AND(E23="Below Average",F23="Above Average"),"Q1",AND(E23="Below Average",F23="Below Average"),"Q4")</f>
        <v>Q1</v>
      </c>
      <c r="H23" s="88" cm="1">
        <f t="array" ref="H23">_xlfn.IFS(G23="Q1",1,G23="Q2",2,G23="Q3",3,G23="Q4",4)</f>
        <v>1</v>
      </c>
      <c r="J23" s="64" t="s">
        <v>23</v>
      </c>
      <c r="K23" s="52">
        <v>8.2324161500000007E-2</v>
      </c>
      <c r="L23" s="52">
        <v>0.437</v>
      </c>
      <c r="M23" s="47" t="str">
        <f t="shared" si="0"/>
        <v>Above Average</v>
      </c>
      <c r="N23" s="47" t="str">
        <f t="shared" si="3"/>
        <v>Above Average</v>
      </c>
      <c r="O23" s="75" t="str" cm="1">
        <f t="array" ref="O23">_xlfn.IFS(AND(M23="Above Average",N23="Below Average"),"Q3",AND(M23="Above Average",N23="Above Average"),"Q2",AND(M23="Below Average",N23="Above Average"),"Q1",AND(M23="Below Average",N23="Below Average"),"Q4")</f>
        <v>Q2</v>
      </c>
      <c r="P23" s="89" cm="1">
        <f t="array" ref="P23">_xlfn.IFS(O23="Q1",1,O23="Q2",2,O23="Q3",3,O23="Q4",4)</f>
        <v>2</v>
      </c>
      <c r="R23" t="s">
        <v>21</v>
      </c>
      <c r="S23" t="s">
        <v>160</v>
      </c>
      <c r="T23">
        <v>6.1485252399999996E-2</v>
      </c>
      <c r="U23">
        <v>0.391998679499238</v>
      </c>
      <c r="AA23" s="64" t="s">
        <v>23</v>
      </c>
      <c r="AH23" s="64" t="s">
        <v>23</v>
      </c>
    </row>
    <row r="24" spans="1:34" x14ac:dyDescent="0.35">
      <c r="A24" s="64" t="s">
        <v>24</v>
      </c>
      <c r="B24" s="65" t="s">
        <v>163</v>
      </c>
      <c r="C24" s="77">
        <v>19.737356151637165</v>
      </c>
      <c r="D24" s="77">
        <v>4.6148174783924176</v>
      </c>
      <c r="E24" s="47" t="str">
        <f t="shared" si="1"/>
        <v>Below Average</v>
      </c>
      <c r="F24" s="47" t="str">
        <f t="shared" si="2"/>
        <v>Below Average</v>
      </c>
      <c r="G24" s="75" t="str" cm="1">
        <f t="array" ref="G24">_xlfn.IFS(AND(E24="Above Average",F24="Below Average"),"Q3",AND(E24="Above Average",F24="Above Average"),"Q2",AND(E24="Below Average",F24="Above Average"),"Q1",AND(E24="Below Average",F24="Below Average"),"Q4")</f>
        <v>Q4</v>
      </c>
      <c r="H24" s="90" cm="1">
        <f t="array" ref="H24">_xlfn.IFS(G24="Q1",1,G24="Q2",2,G24="Q3",3,G24="Q4",4)</f>
        <v>4</v>
      </c>
      <c r="J24" s="64" t="s">
        <v>24</v>
      </c>
      <c r="K24" s="52">
        <v>0.1107517719</v>
      </c>
      <c r="L24" s="52">
        <v>0.2407</v>
      </c>
      <c r="M24" s="47" t="str">
        <f t="shared" si="0"/>
        <v>Above Average</v>
      </c>
      <c r="N24" s="47" t="str">
        <f t="shared" si="3"/>
        <v>Below Average</v>
      </c>
      <c r="O24" s="75" t="str" cm="1">
        <f t="array" ref="O24">_xlfn.IFS(AND(M24="Above Average",N24="Below Average"),"Q3",AND(M24="Above Average",N24="Above Average"),"Q2",AND(M24="Below Average",N24="Above Average"),"Q1",AND(M24="Below Average",N24="Below Average"),"Q4")</f>
        <v>Q3</v>
      </c>
      <c r="P24" s="86" cm="1">
        <f t="array" ref="P24">_xlfn.IFS(O24="Q1",1,O24="Q2",2,O24="Q3",3,O24="Q4",4)</f>
        <v>3</v>
      </c>
      <c r="R24" t="s">
        <v>22</v>
      </c>
      <c r="S24" t="s">
        <v>161</v>
      </c>
      <c r="T24">
        <v>2.7522828600000004E-2</v>
      </c>
      <c r="U24">
        <v>0.473026044369111</v>
      </c>
      <c r="AA24" s="64" t="s">
        <v>24</v>
      </c>
      <c r="AH24" s="64" t="s">
        <v>24</v>
      </c>
    </row>
    <row r="25" spans="1:34" x14ac:dyDescent="0.35">
      <c r="A25" s="64" t="s">
        <v>25</v>
      </c>
      <c r="B25" s="65" t="s">
        <v>164</v>
      </c>
      <c r="C25" s="77">
        <v>12.006604382306818</v>
      </c>
      <c r="D25" s="77">
        <v>58.454296612863345</v>
      </c>
      <c r="E25" s="47" t="str">
        <f t="shared" si="1"/>
        <v>Below Average</v>
      </c>
      <c r="F25" s="47" t="str">
        <f t="shared" si="2"/>
        <v>Above Average</v>
      </c>
      <c r="G25" s="75" t="str" cm="1">
        <f t="array" ref="G25">_xlfn.IFS(AND(E25="Above Average",F25="Below Average"),"Q3",AND(E25="Above Average",F25="Above Average"),"Q2",AND(E25="Below Average",F25="Above Average"),"Q1",AND(E25="Below Average",F25="Below Average"),"Q4")</f>
        <v>Q1</v>
      </c>
      <c r="H25" s="88" cm="1">
        <f t="array" ref="H25">_xlfn.IFS(G25="Q1",1,G25="Q2",2,G25="Q3",3,G25="Q4",4)</f>
        <v>1</v>
      </c>
      <c r="J25" s="64" t="s">
        <v>25</v>
      </c>
      <c r="K25" s="52">
        <v>4.5191278500000001E-2</v>
      </c>
      <c r="L25" s="52">
        <v>0.71079999999999999</v>
      </c>
      <c r="M25" s="47" t="str">
        <f t="shared" si="0"/>
        <v>Below Average</v>
      </c>
      <c r="N25" s="47" t="str">
        <f t="shared" si="3"/>
        <v>Above Average</v>
      </c>
      <c r="O25" s="75" t="str" cm="1">
        <f t="array" ref="O25">_xlfn.IFS(AND(M25="Above Average",N25="Below Average"),"Q3",AND(M25="Above Average",N25="Above Average"),"Q2",AND(M25="Below Average",N25="Above Average"),"Q1",AND(M25="Below Average",N25="Below Average"),"Q4")</f>
        <v>Q1</v>
      </c>
      <c r="P25" s="88" cm="1">
        <f t="array" ref="P25">_xlfn.IFS(O25="Q1",1,O25="Q2",2,O25="Q3",3,O25="Q4",4)</f>
        <v>1</v>
      </c>
      <c r="R25" t="s">
        <v>23</v>
      </c>
      <c r="S25" t="s">
        <v>162</v>
      </c>
      <c r="T25">
        <v>8.2324161500000007E-2</v>
      </c>
      <c r="U25">
        <v>0.437</v>
      </c>
      <c r="AA25" s="64" t="s">
        <v>25</v>
      </c>
      <c r="AH25" s="64" t="s">
        <v>25</v>
      </c>
    </row>
    <row r="26" spans="1:34" x14ac:dyDescent="0.35">
      <c r="A26" s="64" t="s">
        <v>26</v>
      </c>
      <c r="B26" s="65" t="s">
        <v>165</v>
      </c>
      <c r="C26" s="77">
        <v>4.654914605753655</v>
      </c>
      <c r="D26" s="77">
        <v>3.4278711484593836</v>
      </c>
      <c r="E26" s="47" t="str">
        <f t="shared" si="1"/>
        <v>Below Average</v>
      </c>
      <c r="F26" s="47" t="str">
        <f t="shared" si="2"/>
        <v>Below Average</v>
      </c>
      <c r="G26" s="75" t="str" cm="1">
        <f t="array" ref="G26">_xlfn.IFS(AND(E26="Above Average",F26="Below Average"),"Q3",AND(E26="Above Average",F26="Above Average"),"Q2",AND(E26="Below Average",F26="Above Average"),"Q1",AND(E26="Below Average",F26="Below Average"),"Q4")</f>
        <v>Q4</v>
      </c>
      <c r="H26" s="90" cm="1">
        <f t="array" ref="H26">_xlfn.IFS(G26="Q1",1,G26="Q2",2,G26="Q3",3,G26="Q4",4)</f>
        <v>4</v>
      </c>
      <c r="J26" s="64" t="s">
        <v>26</v>
      </c>
      <c r="K26" s="52">
        <v>8.78966999E-2</v>
      </c>
      <c r="L26" s="52">
        <v>0.45</v>
      </c>
      <c r="M26" s="47" t="str">
        <f t="shared" si="0"/>
        <v>Above Average</v>
      </c>
      <c r="N26" s="47" t="str">
        <f t="shared" si="3"/>
        <v>Above Average</v>
      </c>
      <c r="O26" s="75" t="str" cm="1">
        <f t="array" ref="O26">_xlfn.IFS(AND(M26="Above Average",N26="Below Average"),"Q3",AND(M26="Above Average",N26="Above Average"),"Q2",AND(M26="Below Average",N26="Above Average"),"Q1",AND(M26="Below Average",N26="Below Average"),"Q4")</f>
        <v>Q2</v>
      </c>
      <c r="P26" s="89" cm="1">
        <f t="array" ref="P26">_xlfn.IFS(O26="Q1",1,O26="Q2",2,O26="Q3",3,O26="Q4",4)</f>
        <v>2</v>
      </c>
      <c r="R26" t="s">
        <v>24</v>
      </c>
      <c r="S26" t="s">
        <v>163</v>
      </c>
      <c r="T26">
        <v>0.1107517719</v>
      </c>
      <c r="U26">
        <v>0.2407</v>
      </c>
      <c r="AA26" s="64" t="s">
        <v>26</v>
      </c>
      <c r="AH26" s="64" t="s">
        <v>26</v>
      </c>
    </row>
    <row r="27" spans="1:34" x14ac:dyDescent="0.35">
      <c r="A27" s="64" t="s">
        <v>27</v>
      </c>
      <c r="B27" s="65" t="s">
        <v>166</v>
      </c>
      <c r="C27" s="77">
        <v>5.5434395125336913</v>
      </c>
      <c r="D27" s="77">
        <v>21.348430688993169</v>
      </c>
      <c r="E27" s="47" t="str">
        <f t="shared" si="1"/>
        <v>Below Average</v>
      </c>
      <c r="F27" s="47" t="str">
        <f t="shared" si="2"/>
        <v>Below Average</v>
      </c>
      <c r="G27" s="75" t="str" cm="1">
        <f t="array" ref="G27">_xlfn.IFS(AND(E27="Above Average",F27="Below Average"),"Q3",AND(E27="Above Average",F27="Above Average"),"Q2",AND(E27="Below Average",F27="Above Average"),"Q1",AND(E27="Below Average",F27="Below Average"),"Q4")</f>
        <v>Q4</v>
      </c>
      <c r="H27" s="90" cm="1">
        <f t="array" ref="H27">_xlfn.IFS(G27="Q1",1,G27="Q2",2,G27="Q3",3,G27="Q4",4)</f>
        <v>4</v>
      </c>
      <c r="J27" s="64" t="s">
        <v>27</v>
      </c>
      <c r="K27" s="52">
        <v>8.6677389100000002E-2</v>
      </c>
      <c r="L27" s="52">
        <v>0.116668416553577</v>
      </c>
      <c r="M27" s="47" t="str">
        <f t="shared" si="0"/>
        <v>Above Average</v>
      </c>
      <c r="N27" s="47" t="str">
        <f t="shared" si="3"/>
        <v>Below Average</v>
      </c>
      <c r="O27" s="75" t="str" cm="1">
        <f t="array" ref="O27">_xlfn.IFS(AND(M27="Above Average",N27="Below Average"),"Q3",AND(M27="Above Average",N27="Above Average"),"Q2",AND(M27="Below Average",N27="Above Average"),"Q1",AND(M27="Below Average",N27="Below Average"),"Q4")</f>
        <v>Q3</v>
      </c>
      <c r="P27" s="86" cm="1">
        <f t="array" ref="P27">_xlfn.IFS(O27="Q1",1,O27="Q2",2,O27="Q3",3,O27="Q4",4)</f>
        <v>3</v>
      </c>
      <c r="R27" t="s">
        <v>25</v>
      </c>
      <c r="S27" t="s">
        <v>164</v>
      </c>
      <c r="T27">
        <v>4.5191278500000001E-2</v>
      </c>
      <c r="U27">
        <v>0.71079999999999999</v>
      </c>
      <c r="AA27" s="64" t="s">
        <v>27</v>
      </c>
      <c r="AH27" s="64" t="s">
        <v>27</v>
      </c>
    </row>
    <row r="28" spans="1:34" x14ac:dyDescent="0.35">
      <c r="A28" s="64" t="s">
        <v>28</v>
      </c>
      <c r="B28" s="65" t="s">
        <v>167</v>
      </c>
      <c r="C28" s="77">
        <v>5.5984926364175651</v>
      </c>
      <c r="D28" s="77">
        <v>22.857935830441416</v>
      </c>
      <c r="E28" s="47" t="str">
        <f t="shared" si="1"/>
        <v>Below Average</v>
      </c>
      <c r="F28" s="47" t="str">
        <f t="shared" si="2"/>
        <v>Below Average</v>
      </c>
      <c r="G28" s="75" t="str" cm="1">
        <f t="array" ref="G28">_xlfn.IFS(AND(E28="Above Average",F28="Below Average"),"Q3",AND(E28="Above Average",F28="Above Average"),"Q2",AND(E28="Below Average",F28="Above Average"),"Q1",AND(E28="Below Average",F28="Below Average"),"Q4")</f>
        <v>Q4</v>
      </c>
      <c r="H28" s="90" cm="1">
        <f t="array" ref="H28">_xlfn.IFS(G28="Q1",1,G28="Q2",2,G28="Q3",3,G28="Q4",4)</f>
        <v>4</v>
      </c>
      <c r="J28" s="64" t="s">
        <v>28</v>
      </c>
      <c r="K28" s="52">
        <v>5.6687855699999998E-2</v>
      </c>
      <c r="L28" s="52">
        <v>0.38900000000000001</v>
      </c>
      <c r="M28" s="47" t="str">
        <f t="shared" si="0"/>
        <v>Below Average</v>
      </c>
      <c r="N28" s="47" t="str">
        <f t="shared" si="3"/>
        <v>Below Average</v>
      </c>
      <c r="O28" s="75" t="str" cm="1">
        <f t="array" ref="O28">_xlfn.IFS(AND(M28="Above Average",N28="Below Average"),"Q3",AND(M28="Above Average",N28="Above Average"),"Q2",AND(M28="Below Average",N28="Above Average"),"Q1",AND(M28="Below Average",N28="Below Average"),"Q4")</f>
        <v>Q4</v>
      </c>
      <c r="P28" s="90" cm="1">
        <f t="array" ref="P28">_xlfn.IFS(O28="Q1",1,O28="Q2",2,O28="Q3",3,O28="Q4",4)</f>
        <v>4</v>
      </c>
      <c r="R28" t="s">
        <v>26</v>
      </c>
      <c r="S28" t="s">
        <v>165</v>
      </c>
      <c r="T28">
        <v>8.78966999E-2</v>
      </c>
      <c r="U28">
        <v>0.45</v>
      </c>
      <c r="AA28" s="64" t="s">
        <v>28</v>
      </c>
      <c r="AH28" s="64" t="s">
        <v>28</v>
      </c>
    </row>
    <row r="29" spans="1:34" x14ac:dyDescent="0.35">
      <c r="A29" s="64" t="s">
        <v>29</v>
      </c>
      <c r="B29" s="65" t="s">
        <v>168</v>
      </c>
      <c r="C29" s="77">
        <v>19.247819150386611</v>
      </c>
      <c r="D29" s="77">
        <v>68.81446632132112</v>
      </c>
      <c r="E29" s="47" t="str">
        <f t="shared" si="1"/>
        <v>Below Average</v>
      </c>
      <c r="F29" s="47" t="str">
        <f t="shared" si="2"/>
        <v>Above Average</v>
      </c>
      <c r="G29" s="75" t="str" cm="1">
        <f t="array" ref="G29">_xlfn.IFS(AND(E29="Above Average",F29="Below Average"),"Q3",AND(E29="Above Average",F29="Above Average"),"Q2",AND(E29="Below Average",F29="Above Average"),"Q1",AND(E29="Below Average",F29="Below Average"),"Q4")</f>
        <v>Q1</v>
      </c>
      <c r="H29" s="88" cm="1">
        <f t="array" ref="H29">_xlfn.IFS(G29="Q1",1,G29="Q2",2,G29="Q3",3,G29="Q4",4)</f>
        <v>1</v>
      </c>
      <c r="J29" s="64" t="s">
        <v>29</v>
      </c>
      <c r="K29" s="52">
        <v>6.9763922699999995E-2</v>
      </c>
      <c r="L29" s="52">
        <v>0.35207721704356598</v>
      </c>
      <c r="M29" s="47" t="str">
        <f t="shared" si="0"/>
        <v>Below Average</v>
      </c>
      <c r="N29" s="47" t="str">
        <f t="shared" si="3"/>
        <v>Below Average</v>
      </c>
      <c r="O29" s="75" t="str" cm="1">
        <f t="array" ref="O29">_xlfn.IFS(AND(M29="Above Average",N29="Below Average"),"Q3",AND(M29="Above Average",N29="Above Average"),"Q2",AND(M29="Below Average",N29="Above Average"),"Q1",AND(M29="Below Average",N29="Below Average"),"Q4")</f>
        <v>Q4</v>
      </c>
      <c r="P29" s="90" cm="1">
        <f t="array" ref="P29">_xlfn.IFS(O29="Q1",1,O29="Q2",2,O29="Q3",3,O29="Q4",4)</f>
        <v>4</v>
      </c>
      <c r="R29" t="s">
        <v>27</v>
      </c>
      <c r="S29" t="s">
        <v>166</v>
      </c>
      <c r="T29">
        <v>8.6677389100000002E-2</v>
      </c>
      <c r="U29">
        <v>0.116668416553577</v>
      </c>
      <c r="AA29" s="64" t="s">
        <v>29</v>
      </c>
      <c r="AH29" s="64" t="s">
        <v>29</v>
      </c>
    </row>
    <row r="30" spans="1:34" x14ac:dyDescent="0.35">
      <c r="A30" s="64" t="s">
        <v>30</v>
      </c>
      <c r="B30" s="65" t="s">
        <v>169</v>
      </c>
      <c r="C30" s="77">
        <v>53.864572698360966</v>
      </c>
      <c r="D30" s="77">
        <v>10.597255752844539</v>
      </c>
      <c r="E30" s="47" t="str">
        <f t="shared" si="1"/>
        <v>Above Average</v>
      </c>
      <c r="F30" s="47" t="str">
        <f t="shared" si="2"/>
        <v>Below Average</v>
      </c>
      <c r="G30" s="75" t="str" cm="1">
        <f t="array" ref="G30">_xlfn.IFS(AND(E30="Above Average",F30="Below Average"),"Q3",AND(E30="Above Average",F30="Above Average"),"Q2",AND(E30="Below Average",F30="Above Average"),"Q1",AND(E30="Below Average",F30="Below Average"),"Q4")</f>
        <v>Q3</v>
      </c>
      <c r="H30" s="86" cm="1">
        <f t="array" ref="H30">_xlfn.IFS(G30="Q1",1,G30="Q2",2,G30="Q3",3,G30="Q4",4)</f>
        <v>3</v>
      </c>
      <c r="J30" s="64" t="s">
        <v>30</v>
      </c>
      <c r="K30" s="52">
        <v>0.102022686</v>
      </c>
      <c r="L30" s="52">
        <v>0.55969999999999998</v>
      </c>
      <c r="M30" s="47" t="str">
        <f t="shared" si="0"/>
        <v>Above Average</v>
      </c>
      <c r="N30" s="47" t="str">
        <f t="shared" si="3"/>
        <v>Above Average</v>
      </c>
      <c r="O30" s="75" t="str" cm="1">
        <f t="array" ref="O30">_xlfn.IFS(AND(M30="Above Average",N30="Below Average"),"Q3",AND(M30="Above Average",N30="Above Average"),"Q2",AND(M30="Below Average",N30="Above Average"),"Q1",AND(M30="Below Average",N30="Below Average"),"Q4")</f>
        <v>Q2</v>
      </c>
      <c r="P30" s="89" cm="1">
        <f t="array" ref="P30">_xlfn.IFS(O30="Q1",1,O30="Q2",2,O30="Q3",3,O30="Q4",4)</f>
        <v>2</v>
      </c>
      <c r="R30" t="s">
        <v>28</v>
      </c>
      <c r="S30" t="s">
        <v>167</v>
      </c>
      <c r="T30">
        <v>5.6687855699999998E-2</v>
      </c>
      <c r="U30">
        <v>0.38900000000000001</v>
      </c>
      <c r="AA30" s="64" t="s">
        <v>30</v>
      </c>
      <c r="AH30" s="64" t="s">
        <v>30</v>
      </c>
    </row>
    <row r="31" spans="1:34" x14ac:dyDescent="0.35">
      <c r="A31" s="64" t="s">
        <v>31</v>
      </c>
      <c r="B31" s="65" t="s">
        <v>170</v>
      </c>
      <c r="C31" s="77">
        <v>11.001373890249562</v>
      </c>
      <c r="D31" s="77">
        <v>16.359542530378842</v>
      </c>
      <c r="E31" s="47" t="str">
        <f t="shared" si="1"/>
        <v>Below Average</v>
      </c>
      <c r="F31" s="47" t="str">
        <f t="shared" si="2"/>
        <v>Below Average</v>
      </c>
      <c r="G31" s="75" t="str" cm="1">
        <f t="array" ref="G31">_xlfn.IFS(AND(E31="Above Average",F31="Below Average"),"Q3",AND(E31="Above Average",F31="Above Average"),"Q2",AND(E31="Below Average",F31="Above Average"),"Q1",AND(E31="Below Average",F31="Below Average"),"Q4")</f>
        <v>Q4</v>
      </c>
      <c r="H31" s="90" cm="1">
        <f t="array" ref="H31">_xlfn.IFS(G31="Q1",1,G31="Q2",2,G31="Q3",3,G31="Q4",4)</f>
        <v>4</v>
      </c>
      <c r="J31" s="64" t="s">
        <v>31</v>
      </c>
      <c r="K31" s="52">
        <v>7.2900424000000005E-2</v>
      </c>
      <c r="L31" s="52">
        <v>0.61</v>
      </c>
      <c r="M31" s="47" t="str">
        <f t="shared" si="0"/>
        <v>Above Average</v>
      </c>
      <c r="N31" s="47" t="str">
        <f t="shared" si="3"/>
        <v>Above Average</v>
      </c>
      <c r="O31" s="75" t="str" cm="1">
        <f t="array" ref="O31">_xlfn.IFS(AND(M31="Above Average",N31="Below Average"),"Q3",AND(M31="Above Average",N31="Above Average"),"Q2",AND(M31="Below Average",N31="Above Average"),"Q1",AND(M31="Below Average",N31="Below Average"),"Q4")</f>
        <v>Q2</v>
      </c>
      <c r="P31" s="89" cm="1">
        <f t="array" ref="P31">_xlfn.IFS(O31="Q1",1,O31="Q2",2,O31="Q3",3,O31="Q4",4)</f>
        <v>2</v>
      </c>
      <c r="R31" t="s">
        <v>29</v>
      </c>
      <c r="S31" t="s">
        <v>168</v>
      </c>
      <c r="T31">
        <v>6.9763922699999995E-2</v>
      </c>
      <c r="U31">
        <v>0.35207721704356598</v>
      </c>
      <c r="AA31" s="64" t="s">
        <v>31</v>
      </c>
      <c r="AH31" s="64" t="s">
        <v>31</v>
      </c>
    </row>
    <row r="32" spans="1:34" x14ac:dyDescent="0.35">
      <c r="A32" s="64" t="s">
        <v>32</v>
      </c>
      <c r="B32" s="65" t="s">
        <v>171</v>
      </c>
      <c r="C32" s="77">
        <v>66.896135970779099</v>
      </c>
      <c r="D32" s="77">
        <v>25.415291442768822</v>
      </c>
      <c r="E32" s="47" t="str">
        <f t="shared" si="1"/>
        <v>Above Average</v>
      </c>
      <c r="F32" s="47" t="str">
        <f t="shared" si="2"/>
        <v>Above Average</v>
      </c>
      <c r="G32" s="75" t="str" cm="1">
        <f t="array" ref="G32">_xlfn.IFS(AND(E32="Above Average",F32="Below Average"),"Q3",AND(E32="Above Average",F32="Above Average"),"Q2",AND(E32="Below Average",F32="Above Average"),"Q1",AND(E32="Below Average",F32="Below Average"),"Q4")</f>
        <v>Q2</v>
      </c>
      <c r="H32" s="89" cm="1">
        <f t="array" ref="H32">_xlfn.IFS(G32="Q1",1,G32="Q2",2,G32="Q3",3,G32="Q4",4)</f>
        <v>2</v>
      </c>
      <c r="J32" s="64" t="s">
        <v>32</v>
      </c>
      <c r="K32" s="52">
        <v>0.10652340890000001</v>
      </c>
      <c r="L32" s="52">
        <v>0.4869</v>
      </c>
      <c r="M32" s="47" t="str">
        <f t="shared" si="0"/>
        <v>Above Average</v>
      </c>
      <c r="N32" s="47" t="str">
        <f t="shared" si="3"/>
        <v>Above Average</v>
      </c>
      <c r="O32" s="75" t="str" cm="1">
        <f t="array" ref="O32">_xlfn.IFS(AND(M32="Above Average",N32="Below Average"),"Q3",AND(M32="Above Average",N32="Above Average"),"Q2",AND(M32="Below Average",N32="Above Average"),"Q1",AND(M32="Below Average",N32="Below Average"),"Q4")</f>
        <v>Q2</v>
      </c>
      <c r="P32" s="89" cm="1">
        <f t="array" ref="P32">_xlfn.IFS(O32="Q1",1,O32="Q2",2,O32="Q3",3,O32="Q4",4)</f>
        <v>2</v>
      </c>
      <c r="R32" t="s">
        <v>30</v>
      </c>
      <c r="S32" t="s">
        <v>169</v>
      </c>
      <c r="T32">
        <v>0.102022686</v>
      </c>
      <c r="U32">
        <v>0.55969999999999998</v>
      </c>
      <c r="AA32" s="64" t="s">
        <v>32</v>
      </c>
      <c r="AH32" s="64" t="s">
        <v>32</v>
      </c>
    </row>
    <row r="33" spans="1:34" x14ac:dyDescent="0.35">
      <c r="A33" s="64" t="s">
        <v>33</v>
      </c>
      <c r="B33" s="65" t="s">
        <v>172</v>
      </c>
      <c r="C33" s="77">
        <v>2.3259582036922208</v>
      </c>
      <c r="D33" s="77">
        <v>7.8083990631299782</v>
      </c>
      <c r="E33" s="47" t="str">
        <f t="shared" si="1"/>
        <v>Below Average</v>
      </c>
      <c r="F33" s="47" t="str">
        <f t="shared" si="2"/>
        <v>Below Average</v>
      </c>
      <c r="G33" s="75" t="str" cm="1">
        <f t="array" ref="G33">_xlfn.IFS(AND(E33="Above Average",F33="Below Average"),"Q3",AND(E33="Above Average",F33="Above Average"),"Q2",AND(E33="Below Average",F33="Above Average"),"Q1",AND(E33="Below Average",F33="Below Average"),"Q4")</f>
        <v>Q4</v>
      </c>
      <c r="H33" s="90" cm="1">
        <f t="array" ref="H33">_xlfn.IFS(G33="Q1",1,G33="Q2",2,G33="Q3",3,G33="Q4",4)</f>
        <v>4</v>
      </c>
      <c r="J33" s="64" t="s">
        <v>33</v>
      </c>
      <c r="K33" s="52">
        <v>0.1023069668</v>
      </c>
      <c r="L33" s="52">
        <v>0.17051779817360399</v>
      </c>
      <c r="M33" s="47" t="str">
        <f t="shared" si="0"/>
        <v>Above Average</v>
      </c>
      <c r="N33" s="47" t="str">
        <f t="shared" si="3"/>
        <v>Below Average</v>
      </c>
      <c r="O33" s="75" t="str" cm="1">
        <f t="array" ref="O33">_xlfn.IFS(AND(M33="Above Average",N33="Below Average"),"Q3",AND(M33="Above Average",N33="Above Average"),"Q2",AND(M33="Below Average",N33="Above Average"),"Q1",AND(M33="Below Average",N33="Below Average"),"Q4")</f>
        <v>Q3</v>
      </c>
      <c r="P33" s="86" cm="1">
        <f t="array" ref="P33">_xlfn.IFS(O33="Q1",1,O33="Q2",2,O33="Q3",3,O33="Q4",4)</f>
        <v>3</v>
      </c>
      <c r="R33" t="s">
        <v>31</v>
      </c>
      <c r="S33" t="s">
        <v>170</v>
      </c>
      <c r="T33">
        <v>7.2900424000000005E-2</v>
      </c>
      <c r="U33">
        <v>0.61</v>
      </c>
      <c r="AA33" s="64" t="s">
        <v>33</v>
      </c>
      <c r="AH33" s="64" t="s">
        <v>33</v>
      </c>
    </row>
    <row r="34" spans="1:34" x14ac:dyDescent="0.35">
      <c r="A34" s="64" t="s">
        <v>34</v>
      </c>
      <c r="B34" s="65" t="s">
        <v>173</v>
      </c>
      <c r="C34" s="77">
        <v>20.758052766628868</v>
      </c>
      <c r="D34" s="77">
        <v>17.866783114992721</v>
      </c>
      <c r="E34" s="47" t="str">
        <f t="shared" si="1"/>
        <v>Below Average</v>
      </c>
      <c r="F34" s="47" t="str">
        <f t="shared" si="2"/>
        <v>Below Average</v>
      </c>
      <c r="G34" s="75" t="str" cm="1">
        <f t="array" ref="G34">_xlfn.IFS(AND(E34="Above Average",F34="Below Average"),"Q3",AND(E34="Above Average",F34="Above Average"),"Q2",AND(E34="Below Average",F34="Above Average"),"Q1",AND(E34="Below Average",F34="Below Average"),"Q4")</f>
        <v>Q4</v>
      </c>
      <c r="H34" s="90" cm="1">
        <f t="array" ref="H34">_xlfn.IFS(G34="Q1",1,G34="Q2",2,G34="Q3",3,G34="Q4",4)</f>
        <v>4</v>
      </c>
      <c r="J34" s="64" t="s">
        <v>34</v>
      </c>
      <c r="K34" s="52">
        <v>4.2245168700000002E-2</v>
      </c>
      <c r="L34" s="52">
        <v>0.66749999999999998</v>
      </c>
      <c r="M34" s="47" t="str">
        <f t="shared" si="0"/>
        <v>Below Average</v>
      </c>
      <c r="N34" s="47" t="str">
        <f t="shared" si="3"/>
        <v>Above Average</v>
      </c>
      <c r="O34" s="75" t="str" cm="1">
        <f t="array" ref="O34">_xlfn.IFS(AND(M34="Above Average",N34="Below Average"),"Q3",AND(M34="Above Average",N34="Above Average"),"Q2",AND(M34="Below Average",N34="Above Average"),"Q1",AND(M34="Below Average",N34="Below Average"),"Q4")</f>
        <v>Q1</v>
      </c>
      <c r="P34" s="88" cm="1">
        <f t="array" ref="P34">_xlfn.IFS(O34="Q1",1,O34="Q2",2,O34="Q3",3,O34="Q4",4)</f>
        <v>1</v>
      </c>
      <c r="R34" t="s">
        <v>32</v>
      </c>
      <c r="S34" t="s">
        <v>171</v>
      </c>
      <c r="T34">
        <v>0.10652340890000001</v>
      </c>
      <c r="U34">
        <v>0.4869</v>
      </c>
      <c r="AA34" s="64" t="s">
        <v>34</v>
      </c>
      <c r="AH34" s="64" t="s">
        <v>34</v>
      </c>
    </row>
    <row r="35" spans="1:34" x14ac:dyDescent="0.35">
      <c r="A35" s="64" t="s">
        <v>147</v>
      </c>
      <c r="B35" s="65" t="s">
        <v>148</v>
      </c>
      <c r="C35" s="77">
        <v>12.82557799981813</v>
      </c>
      <c r="D35" s="77">
        <v>55.125</v>
      </c>
      <c r="E35" s="47" t="str">
        <f t="shared" si="1"/>
        <v>Below Average</v>
      </c>
      <c r="F35" s="47" t="str">
        <f t="shared" si="2"/>
        <v>Above Average</v>
      </c>
      <c r="G35" s="75" t="str" cm="1">
        <f t="array" ref="G35">_xlfn.IFS(AND(E35="Above Average",F35="Below Average"),"Q3",AND(E35="Above Average",F35="Above Average"),"Q2",AND(E35="Below Average",F35="Above Average"),"Q1",AND(E35="Below Average",F35="Below Average"),"Q4")</f>
        <v>Q1</v>
      </c>
      <c r="H35" s="88" cm="1">
        <f t="array" ref="H35">_xlfn.IFS(G35="Q1",1,G35="Q2",2,G35="Q3",3,G35="Q4",4)</f>
        <v>1</v>
      </c>
      <c r="J35" s="64" t="s">
        <v>147</v>
      </c>
      <c r="K35" s="52">
        <v>8.2168407400000004E-2</v>
      </c>
      <c r="L35" s="52">
        <v>0.43066371754243699</v>
      </c>
      <c r="M35" s="47" t="str">
        <f t="shared" si="0"/>
        <v>Above Average</v>
      </c>
      <c r="N35" s="47" t="str">
        <f t="shared" si="3"/>
        <v>Above Average</v>
      </c>
      <c r="O35" s="75" t="str" cm="1">
        <f t="array" ref="O35">_xlfn.IFS(AND(M35="Above Average",N35="Below Average"),"Q3",AND(M35="Above Average",N35="Above Average"),"Q2",AND(M35="Below Average",N35="Above Average"),"Q1",AND(M35="Below Average",N35="Below Average"),"Q4")</f>
        <v>Q2</v>
      </c>
      <c r="P35" s="89" cm="1">
        <f t="array" ref="P35">_xlfn.IFS(O35="Q1",1,O35="Q2",2,O35="Q3",3,O35="Q4",4)</f>
        <v>2</v>
      </c>
      <c r="R35" t="s">
        <v>33</v>
      </c>
      <c r="S35" t="s">
        <v>172</v>
      </c>
      <c r="T35">
        <v>0.1023069668</v>
      </c>
      <c r="U35">
        <v>0.17051779817360399</v>
      </c>
      <c r="AA35" s="64" t="s">
        <v>147</v>
      </c>
      <c r="AH35" s="64" t="s">
        <v>147</v>
      </c>
    </row>
    <row r="36" spans="1:34" x14ac:dyDescent="0.35">
      <c r="A36" s="64" t="s">
        <v>35</v>
      </c>
      <c r="B36" s="65" t="s">
        <v>174</v>
      </c>
      <c r="C36" s="77">
        <v>12.440746230594545</v>
      </c>
      <c r="D36" s="77">
        <v>41.391365435291313</v>
      </c>
      <c r="E36" s="47" t="str">
        <f t="shared" si="1"/>
        <v>Below Average</v>
      </c>
      <c r="F36" s="47" t="str">
        <f t="shared" si="2"/>
        <v>Above Average</v>
      </c>
      <c r="G36" s="75" t="str" cm="1">
        <f t="array" ref="G36">_xlfn.IFS(AND(E36="Above Average",F36="Below Average"),"Q3",AND(E36="Above Average",F36="Above Average"),"Q2",AND(E36="Below Average",F36="Above Average"),"Q1",AND(E36="Below Average",F36="Below Average"),"Q4")</f>
        <v>Q1</v>
      </c>
      <c r="H36" s="88" cm="1">
        <f t="array" ref="H36">_xlfn.IFS(G36="Q1",1,G36="Q2",2,G36="Q3",3,G36="Q4",4)</f>
        <v>1</v>
      </c>
      <c r="J36" s="64" t="s">
        <v>35</v>
      </c>
      <c r="K36" s="52">
        <v>8.8827714899999993E-2</v>
      </c>
      <c r="L36" s="52">
        <v>7.4999999999999997E-2</v>
      </c>
      <c r="M36" s="47" t="str">
        <f t="shared" si="0"/>
        <v>Above Average</v>
      </c>
      <c r="N36" s="47" t="str">
        <f t="shared" si="3"/>
        <v>Below Average</v>
      </c>
      <c r="O36" s="75" t="str" cm="1">
        <f t="array" ref="O36">_xlfn.IFS(AND(M36="Above Average",N36="Below Average"),"Q3",AND(M36="Above Average",N36="Above Average"),"Q2",AND(M36="Below Average",N36="Above Average"),"Q1",AND(M36="Below Average",N36="Below Average"),"Q4")</f>
        <v>Q3</v>
      </c>
      <c r="P36" s="86" cm="1">
        <f t="array" ref="P36">_xlfn.IFS(O36="Q1",1,O36="Q2",2,O36="Q3",3,O36="Q4",4)</f>
        <v>3</v>
      </c>
      <c r="R36" t="s">
        <v>34</v>
      </c>
      <c r="S36" t="s">
        <v>173</v>
      </c>
      <c r="T36">
        <v>4.2245168700000002E-2</v>
      </c>
      <c r="U36">
        <v>0.66749999999999998</v>
      </c>
      <c r="AA36" s="64" t="s">
        <v>35</v>
      </c>
      <c r="AH36" s="64" t="s">
        <v>35</v>
      </c>
    </row>
    <row r="37" spans="1:34" x14ac:dyDescent="0.35">
      <c r="A37" s="64" t="s">
        <v>175</v>
      </c>
      <c r="B37" s="65" t="s">
        <v>176</v>
      </c>
      <c r="C37" s="77">
        <v>25.080738156916041</v>
      </c>
      <c r="D37" s="77">
        <v>22.857935830441416</v>
      </c>
      <c r="E37" s="47" t="str">
        <f t="shared" si="1"/>
        <v>Above Average</v>
      </c>
      <c r="F37" s="47" t="str">
        <f t="shared" si="2"/>
        <v>Below Average</v>
      </c>
      <c r="G37" s="75" t="str" cm="1">
        <f t="array" ref="G37">_xlfn.IFS(AND(E37="Above Average",F37="Below Average"),"Q3",AND(E37="Above Average",F37="Above Average"),"Q2",AND(E37="Below Average",F37="Above Average"),"Q1",AND(E37="Below Average",F37="Below Average"),"Q4")</f>
        <v>Q3</v>
      </c>
      <c r="H37" s="86" cm="1">
        <f t="array" ref="H37">_xlfn.IFS(G37="Q1",1,G37="Q2",2,G37="Q3",3,G37="Q4",4)</f>
        <v>3</v>
      </c>
      <c r="J37" s="64" t="s">
        <v>175</v>
      </c>
      <c r="K37" s="52">
        <v>0.10762632370000001</v>
      </c>
      <c r="L37" s="52">
        <v>0.477408095311257</v>
      </c>
      <c r="M37" s="47" t="str">
        <f t="shared" si="0"/>
        <v>Above Average</v>
      </c>
      <c r="N37" s="47" t="str">
        <f t="shared" si="3"/>
        <v>Above Average</v>
      </c>
      <c r="O37" s="75" t="str" cm="1">
        <f t="array" ref="O37">_xlfn.IFS(AND(M37="Above Average",N37="Below Average"),"Q3",AND(M37="Above Average",N37="Above Average"),"Q2",AND(M37="Below Average",N37="Above Average"),"Q1",AND(M37="Below Average",N37="Below Average"),"Q4")</f>
        <v>Q2</v>
      </c>
      <c r="P37" s="89" cm="1">
        <f t="array" ref="P37">_xlfn.IFS(O37="Q1",1,O37="Q2",2,O37="Q3",3,O37="Q4",4)</f>
        <v>2</v>
      </c>
      <c r="R37" t="s">
        <v>35</v>
      </c>
      <c r="S37" t="s">
        <v>174</v>
      </c>
      <c r="T37">
        <v>8.8827714899999993E-2</v>
      </c>
      <c r="U37">
        <v>7.4999999999999997E-2</v>
      </c>
      <c r="AA37" s="64" t="s">
        <v>175</v>
      </c>
      <c r="AH37" s="64" t="s">
        <v>175</v>
      </c>
    </row>
    <row r="38" spans="1:34" x14ac:dyDescent="0.35">
      <c r="A38" s="64" t="s">
        <v>37</v>
      </c>
      <c r="B38" s="65" t="s">
        <v>177</v>
      </c>
      <c r="C38" s="77">
        <v>6.108947758593815</v>
      </c>
      <c r="D38" s="77">
        <v>7.1829353403866092</v>
      </c>
      <c r="E38" s="47" t="str">
        <f t="shared" si="1"/>
        <v>Below Average</v>
      </c>
      <c r="F38" s="47" t="str">
        <f t="shared" si="2"/>
        <v>Below Average</v>
      </c>
      <c r="G38" s="75" t="str" cm="1">
        <f t="array" ref="G38">_xlfn.IFS(AND(E38="Above Average",F38="Below Average"),"Q3",AND(E38="Above Average",F38="Above Average"),"Q2",AND(E38="Below Average",F38="Above Average"),"Q1",AND(E38="Below Average",F38="Below Average"),"Q4")</f>
        <v>Q4</v>
      </c>
      <c r="H38" s="90" cm="1">
        <f t="array" ref="H38">_xlfn.IFS(G38="Q1",1,G38="Q2",2,G38="Q3",3,G38="Q4",4)</f>
        <v>4</v>
      </c>
      <c r="J38" s="64" t="s">
        <v>37</v>
      </c>
      <c r="K38" s="52">
        <v>6.4810943600000004E-2</v>
      </c>
      <c r="L38" s="52">
        <v>0.473026044369111</v>
      </c>
      <c r="M38" s="47" t="str">
        <f t="shared" si="0"/>
        <v>Below Average</v>
      </c>
      <c r="N38" s="47" t="str">
        <f t="shared" si="3"/>
        <v>Above Average</v>
      </c>
      <c r="O38" s="75" t="str" cm="1">
        <f t="array" ref="O38">_xlfn.IFS(AND(M38="Above Average",N38="Below Average"),"Q3",AND(M38="Above Average",N38="Above Average"),"Q2",AND(M38="Below Average",N38="Above Average"),"Q1",AND(M38="Below Average",N38="Below Average"),"Q4")</f>
        <v>Q1</v>
      </c>
      <c r="P38" s="88" cm="1">
        <f t="array" ref="P38">_xlfn.IFS(O38="Q1",1,O38="Q2",2,O38="Q3",3,O38="Q4",4)</f>
        <v>1</v>
      </c>
      <c r="R38" t="s">
        <v>175</v>
      </c>
      <c r="S38" t="s">
        <v>176</v>
      </c>
      <c r="T38">
        <v>0.10762632370000001</v>
      </c>
      <c r="U38">
        <v>0.477408095311257</v>
      </c>
      <c r="AA38" s="64" t="s">
        <v>37</v>
      </c>
      <c r="AH38" s="64" t="s">
        <v>37</v>
      </c>
    </row>
    <row r="39" spans="1:34" x14ac:dyDescent="0.35">
      <c r="A39" s="64" t="s">
        <v>38</v>
      </c>
      <c r="B39" s="65" t="s">
        <v>178</v>
      </c>
      <c r="C39" s="77">
        <v>213.24893351885851</v>
      </c>
      <c r="D39" s="77">
        <v>42.1</v>
      </c>
      <c r="E39" s="47" t="str">
        <f t="shared" si="1"/>
        <v>Above Average</v>
      </c>
      <c r="F39" s="47" t="str">
        <f t="shared" si="2"/>
        <v>Above Average</v>
      </c>
      <c r="G39" s="75" t="str" cm="1">
        <f t="array" ref="G39">_xlfn.IFS(AND(E39="Above Average",F39="Below Average"),"Q3",AND(E39="Above Average",F39="Above Average"),"Q2",AND(E39="Below Average",F39="Above Average"),"Q1",AND(E39="Below Average",F39="Below Average"),"Q4")</f>
        <v>Q2</v>
      </c>
      <c r="H39" s="89" cm="1">
        <f t="array" ref="H39">_xlfn.IFS(G39="Q1",1,G39="Q2",2,G39="Q3",3,G39="Q4",4)</f>
        <v>2</v>
      </c>
      <c r="J39" s="64" t="s">
        <v>38</v>
      </c>
      <c r="K39" s="52">
        <v>0.10179439540000002</v>
      </c>
      <c r="L39" s="52">
        <v>0.377</v>
      </c>
      <c r="M39" s="47" t="str">
        <f t="shared" si="0"/>
        <v>Above Average</v>
      </c>
      <c r="N39" s="47" t="str">
        <f t="shared" si="3"/>
        <v>Below Average</v>
      </c>
      <c r="O39" s="75" t="str" cm="1">
        <f t="array" ref="O39">_xlfn.IFS(AND(M39="Above Average",N39="Below Average"),"Q3",AND(M39="Above Average",N39="Above Average"),"Q2",AND(M39="Below Average",N39="Above Average"),"Q1",AND(M39="Below Average",N39="Below Average"),"Q4")</f>
        <v>Q3</v>
      </c>
      <c r="P39" s="86" cm="1">
        <f t="array" ref="P39">_xlfn.IFS(O39="Q1",1,O39="Q2",2,O39="Q3",3,O39="Q4",4)</f>
        <v>3</v>
      </c>
      <c r="R39" t="s">
        <v>37</v>
      </c>
      <c r="S39" t="s">
        <v>177</v>
      </c>
      <c r="T39">
        <v>6.4810943600000004E-2</v>
      </c>
      <c r="U39">
        <v>0.473026044369111</v>
      </c>
      <c r="AA39" s="64" t="s">
        <v>38</v>
      </c>
      <c r="AH39" s="64" t="s">
        <v>38</v>
      </c>
    </row>
    <row r="40" spans="1:34" x14ac:dyDescent="0.35">
      <c r="A40" s="64" t="s">
        <v>39</v>
      </c>
      <c r="B40" s="65" t="s">
        <v>179</v>
      </c>
      <c r="C40" s="77">
        <v>22.128310502389212</v>
      </c>
      <c r="D40" s="77">
        <v>8.5050709939148081</v>
      </c>
      <c r="E40" s="47" t="str">
        <f t="shared" si="1"/>
        <v>Below Average</v>
      </c>
      <c r="F40" s="47" t="str">
        <f t="shared" si="2"/>
        <v>Below Average</v>
      </c>
      <c r="G40" s="75" t="str" cm="1">
        <f t="array" ref="G40">_xlfn.IFS(AND(E40="Above Average",F40="Below Average"),"Q3",AND(E40="Above Average",F40="Above Average"),"Q2",AND(E40="Below Average",F40="Above Average"),"Q1",AND(E40="Below Average",F40="Below Average"),"Q4")</f>
        <v>Q4</v>
      </c>
      <c r="H40" s="90" cm="1">
        <f t="array" ref="H40">_xlfn.IFS(G40="Q1",1,G40="Q2",2,G40="Q3",3,G40="Q4",4)</f>
        <v>4</v>
      </c>
      <c r="J40" s="64" t="s">
        <v>39</v>
      </c>
      <c r="K40" s="52">
        <v>5.2879381199999999E-2</v>
      </c>
      <c r="L40" s="52">
        <v>0.33232562471434801</v>
      </c>
      <c r="M40" s="47" t="str">
        <f t="shared" si="0"/>
        <v>Below Average</v>
      </c>
      <c r="N40" s="47" t="str">
        <f t="shared" si="3"/>
        <v>Below Average</v>
      </c>
      <c r="O40" s="75" t="str" cm="1">
        <f t="array" ref="O40">_xlfn.IFS(AND(M40="Above Average",N40="Below Average"),"Q3",AND(M40="Above Average",N40="Above Average"),"Q2",AND(M40="Below Average",N40="Above Average"),"Q1",AND(M40="Below Average",N40="Below Average"),"Q4")</f>
        <v>Q4</v>
      </c>
      <c r="P40" s="90" cm="1">
        <f t="array" ref="P40">_xlfn.IFS(O40="Q1",1,O40="Q2",2,O40="Q3",3,O40="Q4",4)</f>
        <v>4</v>
      </c>
      <c r="R40" t="s">
        <v>38</v>
      </c>
      <c r="S40" t="s">
        <v>178</v>
      </c>
      <c r="T40">
        <v>0.10179439540000002</v>
      </c>
      <c r="U40">
        <v>0.377</v>
      </c>
      <c r="AA40" s="64" t="s">
        <v>39</v>
      </c>
      <c r="AH40" s="64" t="s">
        <v>39</v>
      </c>
    </row>
    <row r="41" spans="1:34" x14ac:dyDescent="0.35">
      <c r="A41" s="64" t="s">
        <v>40</v>
      </c>
      <c r="B41" s="65" t="s">
        <v>180</v>
      </c>
      <c r="C41" s="77">
        <v>74.345193320567816</v>
      </c>
      <c r="D41" s="77">
        <v>107.24524316516025</v>
      </c>
      <c r="E41" s="47" t="str">
        <f t="shared" si="1"/>
        <v>Above Average</v>
      </c>
      <c r="F41" s="47" t="str">
        <f t="shared" si="2"/>
        <v>Above Average</v>
      </c>
      <c r="G41" s="75" t="str" cm="1">
        <f t="array" ref="G41">_xlfn.IFS(AND(E41="Above Average",F41="Below Average"),"Q3",AND(E41="Above Average",F41="Above Average"),"Q2",AND(E41="Below Average",F41="Above Average"),"Q1",AND(E41="Below Average",F41="Below Average"),"Q4")</f>
        <v>Q2</v>
      </c>
      <c r="H41" s="89" cm="1">
        <f t="array" ref="H41">_xlfn.IFS(G41="Q1",1,G41="Q2",2,G41="Q3",3,G41="Q4",4)</f>
        <v>2</v>
      </c>
      <c r="J41" s="64" t="s">
        <v>40</v>
      </c>
      <c r="K41" s="52">
        <v>0.1528983974</v>
      </c>
      <c r="L41" s="52">
        <v>0.54793438602622901</v>
      </c>
      <c r="M41" s="47" t="str">
        <f t="shared" si="0"/>
        <v>Above Average</v>
      </c>
      <c r="N41" s="47" t="str">
        <f t="shared" si="3"/>
        <v>Above Average</v>
      </c>
      <c r="O41" s="75" t="str" cm="1">
        <f t="array" ref="O41">_xlfn.IFS(AND(M41="Above Average",N41="Below Average"),"Q3",AND(M41="Above Average",N41="Above Average"),"Q2",AND(M41="Below Average",N41="Above Average"),"Q1",AND(M41="Below Average",N41="Below Average"),"Q4")</f>
        <v>Q2</v>
      </c>
      <c r="P41" s="89" cm="1">
        <f t="array" ref="P41">_xlfn.IFS(O41="Q1",1,O41="Q2",2,O41="Q3",3,O41="Q4",4)</f>
        <v>2</v>
      </c>
      <c r="R41" t="s">
        <v>39</v>
      </c>
      <c r="S41" t="s">
        <v>179</v>
      </c>
      <c r="T41">
        <v>5.2879381199999999E-2</v>
      </c>
      <c r="U41">
        <v>0.33232562471434801</v>
      </c>
      <c r="AA41" s="64" t="s">
        <v>40</v>
      </c>
      <c r="AH41" s="64" t="s">
        <v>40</v>
      </c>
    </row>
    <row r="42" spans="1:34" x14ac:dyDescent="0.35">
      <c r="A42" s="64" t="s">
        <v>41</v>
      </c>
      <c r="B42" s="65" t="s">
        <v>181</v>
      </c>
      <c r="C42" s="77">
        <v>7.3360946163777347</v>
      </c>
      <c r="D42" s="77">
        <v>20.688796680497926</v>
      </c>
      <c r="E42" s="47" t="str">
        <f t="shared" si="1"/>
        <v>Below Average</v>
      </c>
      <c r="F42" s="47" t="str">
        <f t="shared" si="2"/>
        <v>Below Average</v>
      </c>
      <c r="G42" s="75" t="str" cm="1">
        <f t="array" ref="G42">_xlfn.IFS(AND(E42="Above Average",F42="Below Average"),"Q3",AND(E42="Above Average",F42="Above Average"),"Q2",AND(E42="Below Average",F42="Above Average"),"Q1",AND(E42="Below Average",F42="Below Average"),"Q4")</f>
        <v>Q4</v>
      </c>
      <c r="H42" s="90" cm="1">
        <f t="array" ref="H42">_xlfn.IFS(G42="Q1",1,G42="Q2",2,G42="Q3",3,G42="Q4",4)</f>
        <v>4</v>
      </c>
      <c r="J42" s="64" t="s">
        <v>41</v>
      </c>
      <c r="K42" s="52">
        <v>2.10620522E-2</v>
      </c>
      <c r="L42" s="52">
        <v>0.24952584171475101</v>
      </c>
      <c r="M42" s="47" t="str">
        <f t="shared" si="0"/>
        <v>Below Average</v>
      </c>
      <c r="N42" s="47" t="str">
        <f t="shared" si="3"/>
        <v>Below Average</v>
      </c>
      <c r="O42" s="75" t="str" cm="1">
        <f t="array" ref="O42">_xlfn.IFS(AND(M42="Above Average",N42="Below Average"),"Q3",AND(M42="Above Average",N42="Above Average"),"Q2",AND(M42="Below Average",N42="Above Average"),"Q1",AND(M42="Below Average",N42="Below Average"),"Q4")</f>
        <v>Q4</v>
      </c>
      <c r="P42" s="90" cm="1">
        <f t="array" ref="P42">_xlfn.IFS(O42="Q1",1,O42="Q2",2,O42="Q3",3,O42="Q4",4)</f>
        <v>4</v>
      </c>
      <c r="R42" t="s">
        <v>40</v>
      </c>
      <c r="S42" t="s">
        <v>180</v>
      </c>
      <c r="T42">
        <v>0.1528983974</v>
      </c>
      <c r="U42">
        <v>0.54793438602622901</v>
      </c>
      <c r="AA42" s="64" t="s">
        <v>41</v>
      </c>
      <c r="AH42" s="64" t="s">
        <v>41</v>
      </c>
    </row>
    <row r="43" spans="1:34" x14ac:dyDescent="0.35">
      <c r="A43" s="64" t="s">
        <v>42</v>
      </c>
      <c r="B43" s="65" t="s">
        <v>184</v>
      </c>
      <c r="C43" s="77">
        <v>6.2037247448568724</v>
      </c>
      <c r="D43" s="77">
        <v>12.502461538461539</v>
      </c>
      <c r="E43" s="47" t="str">
        <f t="shared" si="1"/>
        <v>Below Average</v>
      </c>
      <c r="F43" s="47" t="str">
        <f t="shared" si="2"/>
        <v>Below Average</v>
      </c>
      <c r="G43" s="75" t="str" cm="1">
        <f t="array" ref="G43">_xlfn.IFS(AND(E43="Above Average",F43="Below Average"),"Q3",AND(E43="Above Average",F43="Above Average"),"Q2",AND(E43="Below Average",F43="Above Average"),"Q1",AND(E43="Below Average",F43="Below Average"),"Q4")</f>
        <v>Q4</v>
      </c>
      <c r="H43" s="90" cm="1">
        <f t="array" ref="H43">_xlfn.IFS(G43="Q1",1,G43="Q2",2,G43="Q3",3,G43="Q4",4)</f>
        <v>4</v>
      </c>
      <c r="J43" s="64" t="s">
        <v>42</v>
      </c>
      <c r="K43" s="52">
        <v>9.4023561499999991E-2</v>
      </c>
      <c r="L43" s="52">
        <v>0.56999999999999995</v>
      </c>
      <c r="M43" s="47" t="str">
        <f t="shared" si="0"/>
        <v>Above Average</v>
      </c>
      <c r="N43" s="47" t="str">
        <f t="shared" si="3"/>
        <v>Above Average</v>
      </c>
      <c r="O43" s="75" t="str" cm="1">
        <f t="array" ref="O43">_xlfn.IFS(AND(M43="Above Average",N43="Below Average"),"Q3",AND(M43="Above Average",N43="Above Average"),"Q2",AND(M43="Below Average",N43="Above Average"),"Q1",AND(M43="Below Average",N43="Below Average"),"Q4")</f>
        <v>Q2</v>
      </c>
      <c r="P43" s="89" cm="1">
        <f t="array" ref="P43">_xlfn.IFS(O43="Q1",1,O43="Q2",2,O43="Q3",3,O43="Q4",4)</f>
        <v>2</v>
      </c>
      <c r="R43" t="s">
        <v>41</v>
      </c>
      <c r="S43" t="s">
        <v>181</v>
      </c>
      <c r="T43">
        <v>2.10620522E-2</v>
      </c>
      <c r="U43">
        <v>0.24952584171475101</v>
      </c>
      <c r="AA43" s="64" t="s">
        <v>42</v>
      </c>
      <c r="AH43" s="64" t="s">
        <v>42</v>
      </c>
    </row>
    <row r="44" spans="1:34" x14ac:dyDescent="0.35">
      <c r="A44" s="64" t="s">
        <v>157</v>
      </c>
      <c r="B44" s="65" t="s">
        <v>158</v>
      </c>
      <c r="C44" s="77">
        <v>7.6950371510478712</v>
      </c>
      <c r="D44" s="77">
        <v>10.645443106523956</v>
      </c>
      <c r="E44" s="47" t="str">
        <f t="shared" si="1"/>
        <v>Below Average</v>
      </c>
      <c r="F44" s="47" t="str">
        <f t="shared" si="2"/>
        <v>Below Average</v>
      </c>
      <c r="G44" s="75" t="str" cm="1">
        <f t="array" ref="G44">_xlfn.IFS(AND(E44="Above Average",F44="Below Average"),"Q3",AND(E44="Above Average",F44="Above Average"),"Q2",AND(E44="Below Average",F44="Above Average"),"Q1",AND(E44="Below Average",F44="Below Average"),"Q4")</f>
        <v>Q4</v>
      </c>
      <c r="H44" s="90" cm="1">
        <f t="array" ref="H44">_xlfn.IFS(G44="Q1",1,G44="Q2",2,G44="Q3",3,G44="Q4",4)</f>
        <v>4</v>
      </c>
      <c r="J44" s="64" t="s">
        <v>157</v>
      </c>
      <c r="K44" s="52">
        <v>5.4796643300000003E-2</v>
      </c>
      <c r="L44" s="52">
        <v>0.170669454827377</v>
      </c>
      <c r="M44" s="47" t="str">
        <f t="shared" si="0"/>
        <v>Below Average</v>
      </c>
      <c r="N44" s="47" t="str">
        <f t="shared" si="3"/>
        <v>Below Average</v>
      </c>
      <c r="O44" s="75" t="str" cm="1">
        <f t="array" ref="O44">_xlfn.IFS(AND(M44="Above Average",N44="Below Average"),"Q3",AND(M44="Above Average",N44="Above Average"),"Q2",AND(M44="Below Average",N44="Above Average"),"Q1",AND(M44="Below Average",N44="Below Average"),"Q4")</f>
        <v>Q4</v>
      </c>
      <c r="P44" s="90" cm="1">
        <f t="array" ref="P44">_xlfn.IFS(O44="Q1",1,O44="Q2",2,O44="Q3",3,O44="Q4",4)</f>
        <v>4</v>
      </c>
      <c r="R44" t="s">
        <v>43</v>
      </c>
      <c r="S44" t="s">
        <v>182</v>
      </c>
      <c r="T44">
        <v>5.3817400899999999E-2</v>
      </c>
      <c r="U44">
        <v>0.25088889751308202</v>
      </c>
      <c r="AA44" s="64" t="s">
        <v>157</v>
      </c>
      <c r="AH44" s="64" t="s">
        <v>157</v>
      </c>
    </row>
    <row r="45" spans="1:34" x14ac:dyDescent="0.35">
      <c r="A45" s="64" t="s">
        <v>43</v>
      </c>
      <c r="B45" s="65" t="s">
        <v>182</v>
      </c>
      <c r="C45" s="77">
        <v>5.9036930685343147</v>
      </c>
      <c r="D45" s="77">
        <v>10.599369085173501</v>
      </c>
      <c r="E45" s="47" t="str">
        <f t="shared" si="1"/>
        <v>Below Average</v>
      </c>
      <c r="F45" s="47" t="str">
        <f t="shared" si="2"/>
        <v>Below Average</v>
      </c>
      <c r="G45" s="75" t="str" cm="1">
        <f t="array" ref="G45">_xlfn.IFS(AND(E45="Above Average",F45="Below Average"),"Q3",AND(E45="Above Average",F45="Above Average"),"Q2",AND(E45="Below Average",F45="Above Average"),"Q1",AND(E45="Below Average",F45="Below Average"),"Q4")</f>
        <v>Q4</v>
      </c>
      <c r="H45" s="90" cm="1">
        <f t="array" ref="H45">_xlfn.IFS(G45="Q1",1,G45="Q2",2,G45="Q3",3,G45="Q4",4)</f>
        <v>4</v>
      </c>
      <c r="J45" s="64" t="s">
        <v>43</v>
      </c>
      <c r="K45" s="52">
        <v>5.3817400899999999E-2</v>
      </c>
      <c r="L45" s="52">
        <v>0.25088889751308202</v>
      </c>
      <c r="M45" s="47" t="str">
        <f t="shared" si="0"/>
        <v>Below Average</v>
      </c>
      <c r="N45" s="47" t="str">
        <f t="shared" si="3"/>
        <v>Below Average</v>
      </c>
      <c r="O45" s="75" t="str" cm="1">
        <f t="array" ref="O45">_xlfn.IFS(AND(M45="Above Average",N45="Below Average"),"Q3",AND(M45="Above Average",N45="Above Average"),"Q2",AND(M45="Below Average",N45="Above Average"),"Q1",AND(M45="Below Average",N45="Below Average"),"Q4")</f>
        <v>Q4</v>
      </c>
      <c r="P45" s="90" cm="1">
        <f t="array" ref="P45">_xlfn.IFS(O45="Q1",1,O45="Q2",2,O45="Q3",3,O45="Q4",4)</f>
        <v>4</v>
      </c>
      <c r="R45" t="s">
        <v>44</v>
      </c>
      <c r="S45" t="s">
        <v>183</v>
      </c>
      <c r="T45">
        <v>3.1388299500000001E-2</v>
      </c>
      <c r="U45">
        <v>0.56299999999999994</v>
      </c>
      <c r="AA45" s="64" t="s">
        <v>43</v>
      </c>
      <c r="AH45" s="64" t="s">
        <v>43</v>
      </c>
    </row>
    <row r="46" spans="1:34" x14ac:dyDescent="0.35">
      <c r="A46" s="64" t="s">
        <v>44</v>
      </c>
      <c r="B46" s="65" t="s">
        <v>183</v>
      </c>
      <c r="C46" s="77">
        <v>24.594032165143432</v>
      </c>
      <c r="D46" s="77">
        <v>5.2036992954099146</v>
      </c>
      <c r="E46" s="47" t="str">
        <f t="shared" si="1"/>
        <v>Below Average</v>
      </c>
      <c r="F46" s="47" t="str">
        <f t="shared" si="2"/>
        <v>Below Average</v>
      </c>
      <c r="G46" s="75" t="str" cm="1">
        <f t="array" ref="G46">_xlfn.IFS(AND(E46="Above Average",F46="Below Average"),"Q3",AND(E46="Above Average",F46="Above Average"),"Q2",AND(E46="Below Average",F46="Above Average"),"Q1",AND(E46="Below Average",F46="Below Average"),"Q4")</f>
        <v>Q4</v>
      </c>
      <c r="H46" s="90" cm="1">
        <f t="array" ref="H46">_xlfn.IFS(G46="Q1",1,G46="Q2",2,G46="Q3",3,G46="Q4",4)</f>
        <v>4</v>
      </c>
      <c r="J46" s="64" t="s">
        <v>44</v>
      </c>
      <c r="K46" s="52">
        <v>3.1388299500000001E-2</v>
      </c>
      <c r="L46" s="52">
        <v>0.56299999999999994</v>
      </c>
      <c r="M46" s="47" t="str">
        <f t="shared" si="0"/>
        <v>Below Average</v>
      </c>
      <c r="N46" s="47" t="str">
        <f t="shared" si="3"/>
        <v>Above Average</v>
      </c>
      <c r="O46" s="75" t="str" cm="1">
        <f t="array" ref="O46">_xlfn.IFS(AND(M46="Above Average",N46="Below Average"),"Q3",AND(M46="Above Average",N46="Above Average"),"Q2",AND(M46="Below Average",N46="Above Average"),"Q1",AND(M46="Below Average",N46="Below Average"),"Q4")</f>
        <v>Q1</v>
      </c>
      <c r="P46" s="88" cm="1">
        <f t="array" ref="P46">_xlfn.IFS(O46="Q1",1,O46="Q2",2,O46="Q3",3,O46="Q4",4)</f>
        <v>1</v>
      </c>
      <c r="R46" t="s">
        <v>42</v>
      </c>
      <c r="S46" t="s">
        <v>184</v>
      </c>
      <c r="T46">
        <v>9.4023561499999991E-2</v>
      </c>
      <c r="U46">
        <v>0.56999999999999995</v>
      </c>
      <c r="AA46" s="64" t="s">
        <v>44</v>
      </c>
      <c r="AH46" s="64" t="s">
        <v>44</v>
      </c>
    </row>
    <row r="47" spans="1:34" x14ac:dyDescent="0.35">
      <c r="A47" s="64" t="s">
        <v>45</v>
      </c>
      <c r="B47" s="65" t="s">
        <v>185</v>
      </c>
      <c r="C47" s="77">
        <v>32.824990914279496</v>
      </c>
      <c r="D47" s="77">
        <v>10.51861504095309</v>
      </c>
      <c r="E47" s="47" t="str">
        <f t="shared" si="1"/>
        <v>Above Average</v>
      </c>
      <c r="F47" s="47" t="str">
        <f t="shared" si="2"/>
        <v>Below Average</v>
      </c>
      <c r="G47" s="75" t="str" cm="1">
        <f t="array" ref="G47">_xlfn.IFS(AND(E47="Above Average",F47="Below Average"),"Q3",AND(E47="Above Average",F47="Above Average"),"Q2",AND(E47="Below Average",F47="Above Average"),"Q1",AND(E47="Below Average",F47="Below Average"),"Q4")</f>
        <v>Q3</v>
      </c>
      <c r="H47" s="86" cm="1">
        <f t="array" ref="H47">_xlfn.IFS(G47="Q1",1,G47="Q2",2,G47="Q3",3,G47="Q4",4)</f>
        <v>3</v>
      </c>
      <c r="J47" s="64" t="s">
        <v>45</v>
      </c>
      <c r="K47" s="52">
        <v>7.1645693799999993E-2</v>
      </c>
      <c r="L47" s="52">
        <v>0.26773290915292702</v>
      </c>
      <c r="M47" s="47" t="str">
        <f t="shared" si="0"/>
        <v>Below Average</v>
      </c>
      <c r="N47" s="47" t="str">
        <f t="shared" si="3"/>
        <v>Below Average</v>
      </c>
      <c r="O47" s="75" t="str" cm="1">
        <f t="array" ref="O47">_xlfn.IFS(AND(M47="Above Average",N47="Below Average"),"Q3",AND(M47="Above Average",N47="Above Average"),"Q2",AND(M47="Below Average",N47="Above Average"),"Q1",AND(M47="Below Average",N47="Below Average"),"Q4")</f>
        <v>Q4</v>
      </c>
      <c r="P47" s="90" cm="1">
        <f t="array" ref="P47">_xlfn.IFS(O47="Q1",1,O47="Q2",2,O47="Q3",3,O47="Q4",4)</f>
        <v>4</v>
      </c>
      <c r="R47" t="s">
        <v>45</v>
      </c>
      <c r="S47" t="s">
        <v>185</v>
      </c>
      <c r="T47">
        <v>7.1645693799999993E-2</v>
      </c>
      <c r="U47">
        <v>0.26773290915292702</v>
      </c>
      <c r="AA47" s="64" t="s">
        <v>45</v>
      </c>
      <c r="AH47" s="64" t="s">
        <v>45</v>
      </c>
    </row>
    <row r="48" spans="1:34" ht="15" thickBot="1" x14ac:dyDescent="0.4">
      <c r="A48" s="66" t="s">
        <v>46</v>
      </c>
      <c r="B48" s="65" t="s">
        <v>186</v>
      </c>
      <c r="C48" s="77">
        <v>36.315960905902422</v>
      </c>
      <c r="D48" s="77">
        <v>36.387251549841309</v>
      </c>
      <c r="E48" s="47" t="str">
        <f t="shared" si="1"/>
        <v>Above Average</v>
      </c>
      <c r="F48" s="47" t="str">
        <f t="shared" si="2"/>
        <v>Above Average</v>
      </c>
      <c r="G48" s="75" t="str" cm="1">
        <f t="array" ref="G48">_xlfn.IFS(AND(E48="Above Average",F48="Below Average"),"Q3",AND(E48="Above Average",F48="Above Average"),"Q2",AND(E48="Below Average",F48="Above Average"),"Q1",AND(E48="Below Average",F48="Below Average"),"Q4")</f>
        <v>Q2</v>
      </c>
      <c r="H48" s="89" cm="1">
        <f t="array" ref="H48">_xlfn.IFS(G48="Q1",1,G48="Q2",2,G48="Q3",3,G48="Q4",4)</f>
        <v>2</v>
      </c>
      <c r="J48" s="66" t="s">
        <v>46</v>
      </c>
      <c r="K48" s="52">
        <v>5.1729364399999998E-2</v>
      </c>
      <c r="L48" s="52">
        <v>0.35</v>
      </c>
      <c r="M48" s="47" t="str">
        <f t="shared" si="0"/>
        <v>Below Average</v>
      </c>
      <c r="N48" s="47" t="str">
        <f t="shared" si="3"/>
        <v>Below Average</v>
      </c>
      <c r="O48" s="75" t="str" cm="1">
        <f t="array" ref="O48">_xlfn.IFS(AND(M48="Above Average",N48="Below Average"),"Q3",AND(M48="Above Average",N48="Above Average"),"Q2",AND(M48="Below Average",N48="Above Average"),"Q1",AND(M48="Below Average",N48="Below Average"),"Q4")</f>
        <v>Q4</v>
      </c>
      <c r="P48" s="90" cm="1">
        <f t="array" ref="P48">_xlfn.IFS(O48="Q1",1,O48="Q2",2,O48="Q3",3,O48="Q4",4)</f>
        <v>4</v>
      </c>
      <c r="R48" t="s">
        <v>46</v>
      </c>
      <c r="S48" t="s">
        <v>186</v>
      </c>
      <c r="T48">
        <v>5.1729364399999998E-2</v>
      </c>
      <c r="U48">
        <v>0.35</v>
      </c>
      <c r="AA48" s="66" t="s">
        <v>46</v>
      </c>
      <c r="AH48" s="66" t="s">
        <v>46</v>
      </c>
    </row>
    <row r="49" spans="1:34" ht="15" thickTop="1" x14ac:dyDescent="0.35">
      <c r="A49" s="76"/>
      <c r="B49" s="85" t="s">
        <v>103</v>
      </c>
      <c r="C49" s="77">
        <f>AVERAGE(C2:C48)</f>
        <v>24.652809013022068</v>
      </c>
      <c r="D49" s="77">
        <f>AVERAGE(D2:D48)</f>
        <v>22.857935830441416</v>
      </c>
      <c r="E49" s="77"/>
      <c r="F49" s="77"/>
      <c r="G49" s="78"/>
      <c r="J49" s="83" t="s">
        <v>103</v>
      </c>
      <c r="K49" s="82">
        <f>AVERAGE(K2:K48)</f>
        <v>7.287659531276594E-2</v>
      </c>
      <c r="L49" s="82">
        <f>AVERAGE(L2:L48)</f>
        <v>0.42362639990663953</v>
      </c>
      <c r="M49" s="77"/>
      <c r="N49" s="77"/>
      <c r="O49" s="78"/>
      <c r="S49" t="s">
        <v>103</v>
      </c>
      <c r="T49">
        <f>AVERAGE(T2:T48)</f>
        <v>7.287659531276594E-2</v>
      </c>
      <c r="U49">
        <v>0.42362639990663958</v>
      </c>
      <c r="AA49" s="76"/>
      <c r="AH49" s="76"/>
    </row>
    <row r="50" spans="1:34" x14ac:dyDescent="0.35">
      <c r="A50" s="79"/>
      <c r="B50" s="84" t="s">
        <v>190</v>
      </c>
      <c r="C50" s="77">
        <f>MIN(C2:C48)</f>
        <v>2.3259582036922208</v>
      </c>
      <c r="D50" s="77">
        <f>MIN(D2:D48)</f>
        <v>0.95412514516632685</v>
      </c>
      <c r="E50" s="77"/>
      <c r="F50" s="77"/>
      <c r="G50" s="78"/>
      <c r="J50" s="84" t="s">
        <v>190</v>
      </c>
      <c r="K50" s="81">
        <f>MIN(K2:K48)</f>
        <v>2.10620522E-2</v>
      </c>
      <c r="L50" s="81">
        <f>MIN(L2:L48)</f>
        <v>7.4999999999999997E-2</v>
      </c>
      <c r="M50" s="77"/>
      <c r="N50" s="77"/>
      <c r="O50" s="78"/>
      <c r="S50" t="s">
        <v>99</v>
      </c>
      <c r="T50">
        <v>6.8515443800000006E-2</v>
      </c>
      <c r="U50">
        <v>0.45</v>
      </c>
      <c r="AA50" s="79"/>
      <c r="AH50" s="79"/>
    </row>
    <row r="51" spans="1:34" x14ac:dyDescent="0.35">
      <c r="A51" s="80"/>
      <c r="B51" s="84" t="s">
        <v>191</v>
      </c>
      <c r="C51" s="77">
        <f>MAX(C2:C48)</f>
        <v>213.24893351885851</v>
      </c>
      <c r="D51" s="77">
        <f>MAX(D2:D48)</f>
        <v>107.24524316516025</v>
      </c>
      <c r="E51" s="77"/>
      <c r="F51" s="77"/>
      <c r="G51" s="78"/>
      <c r="J51" s="84" t="s">
        <v>191</v>
      </c>
      <c r="K51" s="81">
        <f>MAX(K2:K48)</f>
        <v>0.1528983974</v>
      </c>
      <c r="L51" s="81">
        <f>MAX(L2:L48)</f>
        <v>0.71079999999999999</v>
      </c>
      <c r="M51" s="77"/>
      <c r="N51" s="77"/>
      <c r="O51" s="78"/>
      <c r="AA51" s="80"/>
      <c r="AH51" s="80"/>
    </row>
    <row r="52" spans="1:34" x14ac:dyDescent="0.35">
      <c r="J52" s="83" t="s">
        <v>103</v>
      </c>
      <c r="K52">
        <v>7.287659531276594E-2</v>
      </c>
      <c r="L52">
        <v>0.42362639990663953</v>
      </c>
    </row>
    <row r="53" spans="1:34" x14ac:dyDescent="0.35">
      <c r="J53" s="84" t="s">
        <v>190</v>
      </c>
      <c r="K53">
        <v>2.10620522E-2</v>
      </c>
      <c r="L53">
        <v>7.4999999999999997E-2</v>
      </c>
    </row>
    <row r="54" spans="1:34" x14ac:dyDescent="0.35">
      <c r="J54" s="84" t="s">
        <v>191</v>
      </c>
      <c r="K54">
        <v>0.1528983974</v>
      </c>
      <c r="L54">
        <v>0.71079999999999999</v>
      </c>
    </row>
  </sheetData>
  <autoFilter ref="A1:H51" xr:uid="{BD313C7E-5C5C-4A03-A524-C087B17AC59E}"/>
  <conditionalFormatting sqref="C2:C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4B71-BD10-4554-8E0F-2CA509C3EF0B}">
  <sheetPr>
    <tabColor rgb="FF00B050"/>
  </sheetPr>
  <dimension ref="A1:CA51"/>
  <sheetViews>
    <sheetView topLeftCell="Q42" zoomScale="90" zoomScaleNormal="90" workbookViewId="0">
      <selection activeCell="V49" sqref="V49"/>
    </sheetView>
  </sheetViews>
  <sheetFormatPr defaultColWidth="8.81640625" defaultRowHeight="14.5" x14ac:dyDescent="0.35"/>
  <cols>
    <col min="1" max="1" width="27.26953125" style="58" bestFit="1" customWidth="1"/>
    <col min="2" max="2" width="13" style="58" bestFit="1" customWidth="1"/>
    <col min="3" max="3" width="15.08984375" customWidth="1"/>
    <col min="4" max="4" width="15.08984375" style="42" customWidth="1"/>
    <col min="5" max="5" width="16.36328125" customWidth="1"/>
    <col min="8" max="8" width="11" customWidth="1"/>
    <col min="9" max="9" width="13.7265625" customWidth="1"/>
    <col min="10" max="10" width="14.26953125" customWidth="1"/>
    <col min="11" max="11" width="13.26953125" bestFit="1" customWidth="1"/>
    <col min="12" max="12" width="12.08984375" bestFit="1" customWidth="1"/>
    <col min="13" max="13" width="11.26953125" customWidth="1"/>
    <col min="14" max="14" width="14" customWidth="1"/>
    <col min="16" max="16" width="27.26953125" style="58" bestFit="1" customWidth="1"/>
    <col min="17" max="18" width="11" customWidth="1"/>
    <col min="19" max="20" width="12.81640625" customWidth="1"/>
    <col min="25" max="25" width="27.26953125" style="58" bestFit="1" customWidth="1"/>
    <col min="26" max="26" width="15.36328125" bestFit="1" customWidth="1"/>
    <col min="27" max="27" width="12.81640625" customWidth="1"/>
    <col min="28" max="28" width="13.81640625" customWidth="1"/>
    <col min="29" max="29" width="15.36328125" customWidth="1"/>
    <col min="30" max="31" width="21" customWidth="1"/>
    <col min="32" max="32" width="21" style="2" customWidth="1"/>
    <col min="33" max="33" width="24.7265625" bestFit="1" customWidth="1"/>
    <col min="34" max="34" width="21" bestFit="1" customWidth="1"/>
    <col min="35" max="35" width="21" style="2" customWidth="1"/>
    <col min="39" max="39" width="11.6328125" bestFit="1" customWidth="1"/>
    <col min="57" max="57" width="27.26953125" style="58" bestFit="1" customWidth="1"/>
    <col min="58" max="58" width="11" customWidth="1"/>
    <col min="59" max="59" width="15.36328125" customWidth="1"/>
    <col min="60" max="60" width="13.81640625" bestFit="1" customWidth="1"/>
    <col min="61" max="62" width="13.81640625" customWidth="1"/>
    <col min="63" max="63" width="23.81640625" style="16" customWidth="1"/>
    <col min="64" max="64" width="13.81640625" customWidth="1"/>
    <col min="66" max="66" width="11.81640625" customWidth="1"/>
    <col min="67" max="67" width="20" customWidth="1"/>
    <col min="68" max="68" width="16.6328125" customWidth="1"/>
    <col min="71" max="71" width="15.7265625" customWidth="1"/>
    <col min="72" max="72" width="22.36328125" customWidth="1"/>
    <col min="73" max="73" width="11.26953125" customWidth="1"/>
    <col min="78" max="78" width="11.1796875" bestFit="1" customWidth="1"/>
  </cols>
  <sheetData>
    <row r="1" spans="1:79" s="61" customFormat="1" ht="73" thickTop="1" x14ac:dyDescent="0.35">
      <c r="A1" s="59" t="s">
        <v>0</v>
      </c>
      <c r="B1" s="60" t="s">
        <v>187</v>
      </c>
      <c r="C1" s="60" t="s">
        <v>135</v>
      </c>
      <c r="D1" s="60" t="s">
        <v>134</v>
      </c>
      <c r="E1" s="60" t="s">
        <v>74</v>
      </c>
      <c r="H1" s="60" t="s">
        <v>187</v>
      </c>
      <c r="I1" s="60" t="s">
        <v>188</v>
      </c>
      <c r="J1" s="60" t="s">
        <v>189</v>
      </c>
      <c r="K1" s="60" t="s">
        <v>74</v>
      </c>
      <c r="L1" s="60" t="s">
        <v>102</v>
      </c>
      <c r="M1" s="60" t="s">
        <v>188</v>
      </c>
      <c r="N1" s="60" t="s">
        <v>192</v>
      </c>
      <c r="P1" s="59" t="s">
        <v>0</v>
      </c>
      <c r="Q1" s="60" t="s">
        <v>187</v>
      </c>
      <c r="R1" s="60" t="s">
        <v>102</v>
      </c>
      <c r="S1" s="73" t="s">
        <v>196</v>
      </c>
      <c r="T1" s="73"/>
      <c r="W1" s="61" t="s">
        <v>310</v>
      </c>
      <c r="Y1" s="59" t="s">
        <v>0</v>
      </c>
      <c r="Z1" s="60" t="s">
        <v>187</v>
      </c>
      <c r="AA1" s="102" t="s">
        <v>297</v>
      </c>
      <c r="AB1" s="60" t="s">
        <v>102</v>
      </c>
      <c r="AC1" s="60" t="s">
        <v>271</v>
      </c>
      <c r="AD1" s="126" t="s">
        <v>273</v>
      </c>
      <c r="AE1" s="126"/>
      <c r="AF1" s="117" t="s">
        <v>274</v>
      </c>
      <c r="AI1" s="117" t="s">
        <v>280</v>
      </c>
      <c r="AJ1" s="61" t="s">
        <v>286</v>
      </c>
      <c r="AK1" s="61" t="s">
        <v>287</v>
      </c>
      <c r="AL1" s="61" t="s">
        <v>288</v>
      </c>
      <c r="AM1" s="61" t="s">
        <v>289</v>
      </c>
      <c r="AN1" s="61" t="s">
        <v>294</v>
      </c>
      <c r="BE1" s="59" t="s">
        <v>0</v>
      </c>
      <c r="BF1" s="60" t="s">
        <v>187</v>
      </c>
      <c r="BG1" s="73" t="s">
        <v>196</v>
      </c>
      <c r="BH1" s="60" t="s">
        <v>102</v>
      </c>
      <c r="BI1" s="60"/>
      <c r="BJ1" s="60"/>
      <c r="BK1" s="60" t="s">
        <v>199</v>
      </c>
      <c r="BL1" s="60"/>
      <c r="BN1" s="61" t="s">
        <v>198</v>
      </c>
      <c r="BO1" s="59" t="s">
        <v>0</v>
      </c>
      <c r="BP1" s="73" t="s">
        <v>196</v>
      </c>
      <c r="BS1" s="61" t="s">
        <v>197</v>
      </c>
      <c r="BT1" s="60" t="s">
        <v>187</v>
      </c>
      <c r="BU1" s="60" t="s">
        <v>102</v>
      </c>
    </row>
    <row r="2" spans="1:79" x14ac:dyDescent="0.35">
      <c r="A2" s="64" t="s">
        <v>1</v>
      </c>
      <c r="B2" s="65" t="s">
        <v>136</v>
      </c>
      <c r="C2" s="42">
        <v>0.55000000000000004</v>
      </c>
      <c r="D2" s="52">
        <v>0.10730769159999999</v>
      </c>
      <c r="E2" s="47">
        <v>98.058568574484738</v>
      </c>
      <c r="H2" s="65" t="s">
        <v>136</v>
      </c>
      <c r="I2" s="3">
        <v>1.9914855492738153</v>
      </c>
      <c r="J2" s="67">
        <v>1.3590370091771649</v>
      </c>
      <c r="K2" s="47">
        <v>98.058568574484738</v>
      </c>
      <c r="L2" s="67">
        <v>22.857935830441416</v>
      </c>
      <c r="M2" s="3">
        <f>LOG(K2)</f>
        <v>1.9914855492738153</v>
      </c>
      <c r="N2" s="3">
        <f>LOG(L2)</f>
        <v>1.3590370091771649</v>
      </c>
      <c r="P2" s="64" t="s">
        <v>1</v>
      </c>
      <c r="Q2" s="65" t="s">
        <v>136</v>
      </c>
      <c r="R2" s="67">
        <v>22.857935830441416</v>
      </c>
      <c r="S2">
        <v>42.170245010241459</v>
      </c>
      <c r="V2" s="137">
        <f>W2*AB2</f>
        <v>4.2907809697000497E-2</v>
      </c>
      <c r="W2">
        <f>VLOOKUP(Z2,Sheet9!F$2:L$48,7,FALSE)</f>
        <v>1.0191878787886104E-3</v>
      </c>
      <c r="X2" s="137">
        <f>AB2/SUM($AB$2:$AB$48)</f>
        <v>4.5902031849940544E-2</v>
      </c>
      <c r="Y2" s="64" t="s">
        <v>38</v>
      </c>
      <c r="Z2" s="65" t="s">
        <v>178</v>
      </c>
      <c r="AA2">
        <f>VLOOKUP(Z2,Sheet12!A$2:C$48,3,FALSE)</f>
        <v>196.51134024468229</v>
      </c>
      <c r="AB2" s="67">
        <f>VLOOKUP(Z2,Sheet9!A$2:K$48,11,FALSE)</f>
        <v>42.1</v>
      </c>
      <c r="AC2" s="67">
        <f>_xlfn.XLOOKUP(Y2,Density_Weighted_Stock_Weig!Y:Y,Density_Weighted_Stock_Weig!Z:Z)</f>
        <v>107118.5</v>
      </c>
      <c r="AD2" t="str">
        <f>IF(AA2&lt;$AA$49,"Below Weighted Average","Above Weighted Average")</f>
        <v>Above Weighted Average</v>
      </c>
      <c r="AE2" t="str">
        <f>IF(AB2&lt;$AB$49,"Below Weighted Average","Above Weighted Average")</f>
        <v>Above Weighted Average</v>
      </c>
      <c r="AF2" s="2" t="str" cm="1">
        <f t="array" ref="AF2">_xlfn.IFS(AND(AD2="Above Weighted Average",AE2="Below Weighted Average"),"3",AND(AD2="Above Weighted Average",AE2="Above Weighted Average"),"4",AND(AD2="Below Weighted Average",AE2="Above Weighted Average"),"2",AND(AD2="Below Weighted Average",AE2="Below Weighted Average"),"1")</f>
        <v>4</v>
      </c>
      <c r="AG2" t="str">
        <f>IF(AA2&lt;$AA$50,"Below Non Weighted Average","Above Non Weighted Average")</f>
        <v>Above Non Weighted Average</v>
      </c>
      <c r="AH2" t="str">
        <f>IF(AB2&lt;$AB$50,"Below Non Weighted Average","Above Non Weighted Average")</f>
        <v>Above Non Weighted Average</v>
      </c>
      <c r="AI2" s="2" t="str" cm="1">
        <f t="array" ref="AI2">_xlfn.IFS(AND(AG2="Above Non Weighted Average",AH2="Below Non Weighted Average"),"3",AND(AG2="Above Non Weighted Average",AH2="Above Non Weighted Average"),"4",AND(AG2="Below Non Weighted Average",AH2="Above Non Weighted Average"),"2",AND(AG2="Below Non Weighted Average",AH2="Below Non Weighted Average"),"1")</f>
        <v>4</v>
      </c>
      <c r="AJ2" t="b">
        <f>AI2=AF2</f>
        <v>1</v>
      </c>
      <c r="AK2" t="str">
        <f>IF(AA2&lt;Weighted_average,"Below","Above")</f>
        <v>Above</v>
      </c>
      <c r="AL2" t="str">
        <f>IF(AB2&lt;Stock_grad_ratio,"Below","Above")</f>
        <v>Above</v>
      </c>
      <c r="AM2" t="str">
        <f>AK2&amp;AL2</f>
        <v>AboveAbove</v>
      </c>
      <c r="AN2" t="str">
        <f>_xlfn.XLOOKUP(AM2,BZ:BZ,CA:CA,,0)</f>
        <v>Q4</v>
      </c>
      <c r="BE2" s="64" t="s">
        <v>40</v>
      </c>
      <c r="BF2" s="65" t="s">
        <v>180</v>
      </c>
      <c r="BG2" s="47">
        <v>74.345193320567816</v>
      </c>
      <c r="BH2" s="47">
        <v>107.24524316516025</v>
      </c>
      <c r="BI2" s="47" t="str">
        <f>IF(BG2&gt;$BG$49,"Above Average","Below Average")</f>
        <v>Above Average</v>
      </c>
      <c r="BJ2" s="47" t="str">
        <f>IF(BH2&gt;$BH$49,"Above Average","Below Average")</f>
        <v>Above Average</v>
      </c>
      <c r="BK2" s="75" t="str" cm="1">
        <f t="array" ref="BK2">_xlfn.IFS(AND(BI2="Above Average",BJ2="Below Average"),"Q1",AND(BI2="Above Average",BJ2="Above Average"),"Q2",AND(BI2="Below Average",BJ2="Above Average"),"Q3",AND(BI2="Below Average",BJ2="Below Average"),"Q4")</f>
        <v>Q2</v>
      </c>
      <c r="BL2" s="47"/>
      <c r="BM2">
        <v>1</v>
      </c>
      <c r="BN2" t="s">
        <v>100</v>
      </c>
      <c r="BO2" s="64" t="s">
        <v>38</v>
      </c>
      <c r="BP2" s="47">
        <v>213.24893351885851</v>
      </c>
      <c r="BR2">
        <v>1</v>
      </c>
      <c r="BS2" t="s">
        <v>100</v>
      </c>
      <c r="BT2" s="64" t="s">
        <v>40</v>
      </c>
      <c r="BU2" s="47">
        <v>107.24524316516025</v>
      </c>
    </row>
    <row r="3" spans="1:79" x14ac:dyDescent="0.35">
      <c r="A3" s="64" t="s">
        <v>2</v>
      </c>
      <c r="B3" s="65" t="s">
        <v>137</v>
      </c>
      <c r="C3" s="42">
        <v>0.50045872095830901</v>
      </c>
      <c r="D3" s="52">
        <v>5.3643193200000001E-2</v>
      </c>
      <c r="E3" s="47">
        <v>38.456345697593264</v>
      </c>
      <c r="H3" s="65" t="s">
        <v>137</v>
      </c>
      <c r="I3" s="3">
        <v>1.5849680131637138</v>
      </c>
      <c r="J3" s="67">
        <v>1.3258590047651035</v>
      </c>
      <c r="K3" s="47">
        <v>38.456345697593264</v>
      </c>
      <c r="L3" s="67">
        <v>21.176735134619424</v>
      </c>
      <c r="M3" s="3">
        <f t="shared" ref="M3:N48" si="0">LOG(K3)</f>
        <v>1.5849680131637138</v>
      </c>
      <c r="N3" s="3">
        <f t="shared" si="0"/>
        <v>1.3258590047651035</v>
      </c>
      <c r="P3" s="64" t="s">
        <v>2</v>
      </c>
      <c r="Q3" s="65" t="s">
        <v>137</v>
      </c>
      <c r="R3" s="67">
        <v>21.176735134619424</v>
      </c>
      <c r="S3">
        <v>21.19840588956373</v>
      </c>
      <c r="V3" s="137">
        <f t="shared" ref="V3:V48" si="1">W3*AB3</f>
        <v>23.121476882111391</v>
      </c>
      <c r="W3">
        <f>VLOOKUP(Z3,Sheet9!F$2:L$48,7,FALSE)</f>
        <v>0.21559442824427896</v>
      </c>
      <c r="X3" s="137">
        <f>AB3/SUM($AB$2:$AB$48)</f>
        <v>0.11693051229267944</v>
      </c>
      <c r="Y3" s="64" t="s">
        <v>40</v>
      </c>
      <c r="Z3" s="65" t="s">
        <v>180</v>
      </c>
      <c r="AA3">
        <f>VLOOKUP(Z3,Sheet12!A$2:C$48,3,FALSE)</f>
        <v>74.345193320567816</v>
      </c>
      <c r="AB3" s="67">
        <f>VLOOKUP(Z3,Sheet9!A$2:K$48,11,FALSE)</f>
        <v>107.24524316516025</v>
      </c>
      <c r="AC3" s="67">
        <f>_xlfn.XLOOKUP(Y3,Density_Weighted_Stock_Weig!Y:Y,Density_Weighted_Stock_Weig!Z:Z)</f>
        <v>59893885.5</v>
      </c>
      <c r="AD3" t="str">
        <f t="shared" ref="AD3:AD48" si="2">IF(AA3&lt;$AA$49,"Below Weighted Average","Above Weighted Average")</f>
        <v>Above Weighted Average</v>
      </c>
      <c r="AE3" t="str">
        <f t="shared" ref="AE3:AE48" si="3">IF(AB3&lt;$AB$49,"Below Weighted Average","Above Weighted Average")</f>
        <v>Above Weighted Average</v>
      </c>
      <c r="AF3" s="2" t="str" cm="1">
        <f t="array" ref="AF3">_xlfn.IFS(AND(AD3="Above Weighted Average",AE3="Below Weighted Average"),"3",AND(AD3="Above Weighted Average",AE3="Above Weighted Average"),"4",AND(AD3="Below Weighted Average",AE3="Above Weighted Average"),"2",AND(AD3="Below Weighted Average",AE3="Below Weighted Average"),"1")</f>
        <v>4</v>
      </c>
      <c r="AG3" t="str">
        <f t="shared" ref="AG3:AG48" si="4">IF(AA3&lt;$AA$50,"Below Non Weighted Average","Above Non Weighted Average")</f>
        <v>Above Non Weighted Average</v>
      </c>
      <c r="AH3" t="str">
        <f t="shared" ref="AH3:AH48" si="5">IF(AB3&lt;$AB$50,"Below Non Weighted Average","Above Non Weighted Average")</f>
        <v>Above Non Weighted Average</v>
      </c>
      <c r="AI3" s="2" t="str" cm="1">
        <f t="array" ref="AI3">_xlfn.IFS(AND(AG3="Above Non Weighted Average",AH3="Below Non Weighted Average"),"3",AND(AG3="Above Non Weighted Average",AH3="Above Non Weighted Average"),"4",AND(AG3="Below Non Weighted Average",AH3="Above Non Weighted Average"),"2",AND(AG3="Below Non Weighted Average",AH3="Below Non Weighted Average"),"1")</f>
        <v>4</v>
      </c>
      <c r="AJ3" t="b">
        <f t="shared" ref="AJ3:AJ48" si="6">AI3=AF3</f>
        <v>1</v>
      </c>
      <c r="AK3" t="str">
        <f>IF(AA3&lt;Weighted_average,"Below","Above")</f>
        <v>Above</v>
      </c>
      <c r="AL3" t="str">
        <f>IF(AB3&lt;Stock_grad_ratio,"Below","Above")</f>
        <v>Above</v>
      </c>
      <c r="AM3" t="str">
        <f t="shared" ref="AM3:AM51" si="7">AK3&amp;AL3</f>
        <v>AboveAbove</v>
      </c>
      <c r="AN3" t="str">
        <f t="shared" ref="AN3:AN48" si="8">_xlfn.XLOOKUP(AM3,BZ:BZ,CA:CA,,0)</f>
        <v>Q4</v>
      </c>
      <c r="BE3" s="64" t="s">
        <v>23</v>
      </c>
      <c r="BF3" s="65" t="s">
        <v>162</v>
      </c>
      <c r="BG3" s="47">
        <v>22.689931885967603</v>
      </c>
      <c r="BH3" s="47">
        <v>75.215601965601962</v>
      </c>
      <c r="BI3" s="47" t="str">
        <f t="shared" ref="BI3:BI51" si="9">IF(BG3&gt;$BG$49,"Above Average","Below Average")</f>
        <v>Below Average</v>
      </c>
      <c r="BJ3" s="47" t="str">
        <f t="shared" ref="BJ3:BJ51" si="10">IF(BH3&gt;$BH$49,"Above Average","Below Average")</f>
        <v>Above Average</v>
      </c>
      <c r="BK3" s="75" t="str" cm="1">
        <f t="array" ref="BK3">_xlfn.IFS(AND(BI3="Above Average",BJ3="Below Average"),"Q1",AND(BI3="Above Average",BJ3="Above Average"),"Q2",AND(BI3="Below Average",BJ3="Above Average"),"Q3",AND(BI3="Below Average",BJ3="Below Average"),"Q4")</f>
        <v>Q3</v>
      </c>
      <c r="BL3" s="47"/>
      <c r="BM3">
        <v>2</v>
      </c>
      <c r="BN3" t="s">
        <v>100</v>
      </c>
      <c r="BO3" s="64" t="s">
        <v>40</v>
      </c>
      <c r="BP3" s="47">
        <v>74.345193320567816</v>
      </c>
      <c r="BR3">
        <v>2</v>
      </c>
      <c r="BS3" t="s">
        <v>100</v>
      </c>
      <c r="BT3" s="64" t="s">
        <v>23</v>
      </c>
      <c r="BU3" s="47">
        <v>75.215601965601962</v>
      </c>
      <c r="BZ3" t="s">
        <v>290</v>
      </c>
      <c r="CA3" t="s">
        <v>100</v>
      </c>
    </row>
    <row r="4" spans="1:79" x14ac:dyDescent="0.35">
      <c r="A4" s="64" t="s">
        <v>3</v>
      </c>
      <c r="B4" s="65" t="s">
        <v>138</v>
      </c>
      <c r="C4" s="42">
        <v>0.473026044369111</v>
      </c>
      <c r="D4" s="52">
        <v>4.5545940399999998E-2</v>
      </c>
      <c r="E4" s="47">
        <v>18.729624018891407</v>
      </c>
      <c r="H4" s="65" t="s">
        <v>138</v>
      </c>
      <c r="I4" s="3">
        <v>1.2725290593741871</v>
      </c>
      <c r="J4" s="67">
        <v>0.91369125978844856</v>
      </c>
      <c r="K4" s="47">
        <v>18.729624018891407</v>
      </c>
      <c r="L4" s="67">
        <v>8.1976856316297013</v>
      </c>
      <c r="M4" s="3">
        <f t="shared" si="0"/>
        <v>1.2725290593741871</v>
      </c>
      <c r="N4" s="3">
        <f t="shared" si="0"/>
        <v>0.91369125978844856</v>
      </c>
      <c r="P4" s="64" t="s">
        <v>3</v>
      </c>
      <c r="Q4" s="65" t="s">
        <v>138</v>
      </c>
      <c r="R4" s="67">
        <v>8.1976856316297013</v>
      </c>
      <c r="S4">
        <v>7.905420140578082</v>
      </c>
      <c r="V4" s="137">
        <f t="shared" si="1"/>
        <v>0.21110382921354265</v>
      </c>
      <c r="W4">
        <f>VLOOKUP(Z4,Sheet9!F$2:L$48,7,FALSE)</f>
        <v>8.3061738516323827E-3</v>
      </c>
      <c r="X4" s="137">
        <f>AB4/SUM($AB$2:$AB$48)</f>
        <v>2.7710534852292062E-2</v>
      </c>
      <c r="Y4" s="64" t="s">
        <v>32</v>
      </c>
      <c r="Z4" s="65" t="s">
        <v>171</v>
      </c>
      <c r="AA4">
        <f>VLOOKUP(Z4,Sheet12!A$2:C$48,3,FALSE)</f>
        <v>66.829911127697898</v>
      </c>
      <c r="AB4" s="67">
        <f>VLOOKUP(Z4,Sheet9!A$2:K$48,11,FALSE)</f>
        <v>25.415291442768822</v>
      </c>
      <c r="AC4" s="67">
        <f>_xlfn.XLOOKUP(Y4,Density_Weighted_Stock_Weig!Y:Y,Density_Weighted_Stock_Weig!Z:Z)</f>
        <v>2567012.4999999995</v>
      </c>
      <c r="AD4" t="str">
        <f t="shared" si="2"/>
        <v>Above Weighted Average</v>
      </c>
      <c r="AE4" t="str">
        <f t="shared" si="3"/>
        <v>Above Weighted Average</v>
      </c>
      <c r="AF4" s="2" t="str" cm="1">
        <f t="array" ref="AF4">_xlfn.IFS(AND(AD4="Above Weighted Average",AE4="Below Weighted Average"),"3",AND(AD4="Above Weighted Average",AE4="Above Weighted Average"),"4",AND(AD4="Below Weighted Average",AE4="Above Weighted Average"),"2",AND(AD4="Below Weighted Average",AE4="Below Weighted Average"),"1")</f>
        <v>4</v>
      </c>
      <c r="AG4" t="str">
        <f t="shared" si="4"/>
        <v>Above Non Weighted Average</v>
      </c>
      <c r="AH4" t="str">
        <f t="shared" si="5"/>
        <v>Above Non Weighted Average</v>
      </c>
      <c r="AI4" s="2" t="str" cm="1">
        <f t="array" ref="AI4">_xlfn.IFS(AND(AG4="Above Non Weighted Average",AH4="Below Non Weighted Average"),"3",AND(AG4="Above Non Weighted Average",AH4="Above Non Weighted Average"),"4",AND(AG4="Below Non Weighted Average",AH4="Above Non Weighted Average"),"2",AND(AG4="Below Non Weighted Average",AH4="Below Non Weighted Average"),"1")</f>
        <v>4</v>
      </c>
      <c r="AJ4" t="b">
        <f t="shared" si="6"/>
        <v>1</v>
      </c>
      <c r="AK4" t="str">
        <f>IF(AA4&lt;Weighted_average,"Below","Above")</f>
        <v>Above</v>
      </c>
      <c r="AL4" t="str">
        <f>IF(AB4&lt;Stock_grad_ratio,"Below","Above")</f>
        <v>Above</v>
      </c>
      <c r="AM4" t="str">
        <f t="shared" si="7"/>
        <v>AboveAbove</v>
      </c>
      <c r="AN4" t="str">
        <f t="shared" si="8"/>
        <v>Q4</v>
      </c>
      <c r="BE4" s="64" t="s">
        <v>29</v>
      </c>
      <c r="BF4" s="65" t="s">
        <v>168</v>
      </c>
      <c r="BG4" s="47">
        <v>19.247819150386611</v>
      </c>
      <c r="BH4" s="47">
        <v>68.81446632132112</v>
      </c>
      <c r="BI4" s="47" t="str">
        <f t="shared" si="9"/>
        <v>Below Average</v>
      </c>
      <c r="BJ4" s="47" t="str">
        <f t="shared" si="10"/>
        <v>Above Average</v>
      </c>
      <c r="BK4" s="75" t="str" cm="1">
        <f t="array" ref="BK4">_xlfn.IFS(AND(BI4="Above Average",BJ4="Below Average"),"Q1",AND(BI4="Above Average",BJ4="Above Average"),"Q2",AND(BI4="Below Average",BJ4="Above Average"),"Q3",AND(BI4="Below Average",BJ4="Below Average"),"Q4")</f>
        <v>Q3</v>
      </c>
      <c r="BL4" s="47"/>
      <c r="BM4">
        <v>3</v>
      </c>
      <c r="BN4" t="s">
        <v>100</v>
      </c>
      <c r="BO4" s="64" t="s">
        <v>32</v>
      </c>
      <c r="BP4" s="47">
        <v>66.896135970779099</v>
      </c>
      <c r="BR4">
        <v>3</v>
      </c>
      <c r="BS4" t="s">
        <v>100</v>
      </c>
      <c r="BT4" s="64" t="s">
        <v>29</v>
      </c>
      <c r="BU4" s="47">
        <v>68.81446632132112</v>
      </c>
      <c r="BZ4" t="s">
        <v>291</v>
      </c>
      <c r="CA4" t="s">
        <v>207</v>
      </c>
    </row>
    <row r="5" spans="1:79" x14ac:dyDescent="0.35">
      <c r="A5" s="64" t="s">
        <v>4</v>
      </c>
      <c r="B5" s="65" t="s">
        <v>139</v>
      </c>
      <c r="C5" s="42">
        <v>0.52100000000000002</v>
      </c>
      <c r="D5" s="52">
        <v>0.12006065370000001</v>
      </c>
      <c r="E5" s="47">
        <v>68.115844081394968</v>
      </c>
      <c r="H5" s="65" t="s">
        <v>139</v>
      </c>
      <c r="I5" s="3">
        <v>1.8332481427025307</v>
      </c>
      <c r="J5" s="67">
        <v>1.2148438480476977</v>
      </c>
      <c r="K5" s="47">
        <v>68.115844081394968</v>
      </c>
      <c r="L5" s="67">
        <v>16.399999999999999</v>
      </c>
      <c r="M5" s="3">
        <f t="shared" si="0"/>
        <v>1.8332481427025307</v>
      </c>
      <c r="N5" s="3">
        <f t="shared" si="0"/>
        <v>1.2148438480476977</v>
      </c>
      <c r="P5" s="64" t="s">
        <v>4</v>
      </c>
      <c r="Q5" s="65" t="s">
        <v>139</v>
      </c>
      <c r="R5" s="67">
        <v>16.399999999999999</v>
      </c>
      <c r="S5">
        <v>34.292718386067548</v>
      </c>
      <c r="V5" s="137">
        <f t="shared" si="1"/>
        <v>2.4297346733931198E-2</v>
      </c>
      <c r="W5">
        <f>VLOOKUP(Z5,Sheet9!F$2:L$48,7,FALSE)</f>
        <v>1.7357665299083936E-3</v>
      </c>
      <c r="X5" s="137">
        <f>AB5/SUM($AB$2:$AB$48)</f>
        <v>1.5262207565851497E-2</v>
      </c>
      <c r="Y5" s="64" t="s">
        <v>60</v>
      </c>
      <c r="Z5" s="65" t="s">
        <v>142</v>
      </c>
      <c r="AA5">
        <f>VLOOKUP(Z5,Sheet12!A$2:C$48,3,FALSE)</f>
        <v>60.440074551188182</v>
      </c>
      <c r="AB5" s="67">
        <f>VLOOKUP(Z5,Sheet9!A$2:K$48,11,FALSE)</f>
        <v>13.998050034536332</v>
      </c>
      <c r="AC5" s="67">
        <f>_xlfn.XLOOKUP(Y5,Density_Weighted_Stock_Weig!Y:Y,Density_Weighted_Stock_Weig!Z:Z)</f>
        <v>593149.50000000012</v>
      </c>
      <c r="AD5" t="str">
        <f t="shared" si="2"/>
        <v>Above Weighted Average</v>
      </c>
      <c r="AE5" t="str">
        <f t="shared" si="3"/>
        <v>Below Weighted Average</v>
      </c>
      <c r="AF5" s="2" t="str" cm="1">
        <f t="array" ref="AF5">_xlfn.IFS(AND(AD5="Above Weighted Average",AE5="Below Weighted Average"),"3",AND(AD5="Above Weighted Average",AE5="Above Weighted Average"),"4",AND(AD5="Below Weighted Average",AE5="Above Weighted Average"),"2",AND(AD5="Below Weighted Average",AE5="Below Weighted Average"),"1")</f>
        <v>3</v>
      </c>
      <c r="AG5" t="str">
        <f t="shared" si="4"/>
        <v>Above Non Weighted Average</v>
      </c>
      <c r="AH5" t="str">
        <f t="shared" si="5"/>
        <v>Below Non Weighted Average</v>
      </c>
      <c r="AI5" s="2" t="str" cm="1">
        <f t="array" ref="AI5">_xlfn.IFS(AND(AG5="Above Non Weighted Average",AH5="Below Non Weighted Average"),"3",AND(AG5="Above Non Weighted Average",AH5="Above Non Weighted Average"),"4",AND(AG5="Below Non Weighted Average",AH5="Above Non Weighted Average"),"2",AND(AG5="Below Non Weighted Average",AH5="Below Non Weighted Average"),"1")</f>
        <v>3</v>
      </c>
      <c r="AJ5" t="b">
        <f t="shared" si="6"/>
        <v>1</v>
      </c>
      <c r="AK5" t="str">
        <f>IF(AA5&lt;Weighted_average,"Below","Above")</f>
        <v>Above</v>
      </c>
      <c r="AL5" t="str">
        <f>IF(AB5&lt;Stock_grad_ratio,"Below","Above")</f>
        <v>Below</v>
      </c>
      <c r="AM5" t="str">
        <f t="shared" si="7"/>
        <v>AboveBelow</v>
      </c>
      <c r="AN5" t="str">
        <f t="shared" si="8"/>
        <v>Q3</v>
      </c>
      <c r="BE5" s="64" t="s">
        <v>25</v>
      </c>
      <c r="BF5" s="65" t="s">
        <v>164</v>
      </c>
      <c r="BG5" s="47">
        <v>12.006604382306818</v>
      </c>
      <c r="BH5" s="47">
        <v>58.454296612863345</v>
      </c>
      <c r="BI5" s="47" t="str">
        <f t="shared" si="9"/>
        <v>Below Average</v>
      </c>
      <c r="BJ5" s="47" t="str">
        <f t="shared" si="10"/>
        <v>Above Average</v>
      </c>
      <c r="BK5" s="75" t="str" cm="1">
        <f t="array" ref="BK5">_xlfn.IFS(AND(BI5="Above Average",BJ5="Below Average"),"Q1",AND(BI5="Above Average",BJ5="Above Average"),"Q2",AND(BI5="Below Average",BJ5="Above Average"),"Q3",AND(BI5="Below Average",BJ5="Below Average"),"Q4")</f>
        <v>Q3</v>
      </c>
      <c r="BL5" s="47"/>
      <c r="BM5">
        <v>4</v>
      </c>
      <c r="BN5" t="s">
        <v>100</v>
      </c>
      <c r="BO5" s="64" t="s">
        <v>60</v>
      </c>
      <c r="BP5" s="47">
        <v>60.895271765381224</v>
      </c>
      <c r="BR5">
        <v>4</v>
      </c>
      <c r="BS5" t="s">
        <v>100</v>
      </c>
      <c r="BT5" s="64" t="s">
        <v>25</v>
      </c>
      <c r="BU5" s="47">
        <v>58.454296612863345</v>
      </c>
      <c r="BZ5" t="s">
        <v>292</v>
      </c>
      <c r="CA5" t="s">
        <v>101</v>
      </c>
    </row>
    <row r="6" spans="1:79" x14ac:dyDescent="0.35">
      <c r="A6" s="64" t="s">
        <v>5</v>
      </c>
      <c r="B6" s="65" t="s">
        <v>140</v>
      </c>
      <c r="C6" s="42">
        <v>0.32880543493854802</v>
      </c>
      <c r="D6" s="52">
        <v>0.11463944440000001</v>
      </c>
      <c r="E6" s="47">
        <v>16.827323041243478</v>
      </c>
      <c r="H6" s="65" t="s">
        <v>140</v>
      </c>
      <c r="I6" s="3">
        <v>1.2260150321442151</v>
      </c>
      <c r="J6" s="67">
        <v>0.81243620650053627</v>
      </c>
      <c r="K6" s="47">
        <v>16.827323041243478</v>
      </c>
      <c r="L6" s="67">
        <v>6.4928625093914354</v>
      </c>
      <c r="M6" s="3">
        <f t="shared" si="0"/>
        <v>1.2260150321442151</v>
      </c>
      <c r="N6" s="3">
        <f t="shared" si="0"/>
        <v>0.81243620650053627</v>
      </c>
      <c r="P6" s="64" t="s">
        <v>5</v>
      </c>
      <c r="Q6" s="65" t="s">
        <v>140</v>
      </c>
      <c r="R6" s="67">
        <v>6.4928625093914354</v>
      </c>
      <c r="S6">
        <v>11.721918929906732</v>
      </c>
      <c r="V6" s="137">
        <f t="shared" si="1"/>
        <v>3.3004843075349295E-2</v>
      </c>
      <c r="W6">
        <f>VLOOKUP(Z6,Sheet9!F$2:L$48,7,FALSE)</f>
        <v>3.1144707502685364E-3</v>
      </c>
      <c r="X6" s="137">
        <f>AB6/SUM($AB$2:$AB$48)</f>
        <v>1.1554289099502036E-2</v>
      </c>
      <c r="Y6" s="64" t="s">
        <v>30</v>
      </c>
      <c r="Z6" s="65" t="s">
        <v>169</v>
      </c>
      <c r="AA6">
        <f>VLOOKUP(Z6,Sheet12!A$2:C$48,3,FALSE)</f>
        <v>49.501251988132395</v>
      </c>
      <c r="AB6" s="67">
        <f>VLOOKUP(Z6,Sheet9!A$2:K$48,11,FALSE)</f>
        <v>10.597255752844539</v>
      </c>
      <c r="AC6" s="67">
        <f>_xlfn.XLOOKUP(Y6,Density_Weighted_Stock_Weig!Y:Y,Density_Weighted_Stock_Weig!Z:Z)</f>
        <v>1299468.9999999986</v>
      </c>
      <c r="AD6" t="str">
        <f t="shared" si="2"/>
        <v>Above Weighted Average</v>
      </c>
      <c r="AE6" t="str">
        <f t="shared" si="3"/>
        <v>Below Weighted Average</v>
      </c>
      <c r="AF6" s="2" t="str" cm="1">
        <f t="array" ref="AF6">_xlfn.IFS(AND(AD6="Above Weighted Average",AE6="Below Weighted Average"),"3",AND(AD6="Above Weighted Average",AE6="Above Weighted Average"),"4",AND(AD6="Below Weighted Average",AE6="Above Weighted Average"),"2",AND(AD6="Below Weighted Average",AE6="Below Weighted Average"),"1")</f>
        <v>3</v>
      </c>
      <c r="AG6" t="str">
        <f t="shared" si="4"/>
        <v>Above Non Weighted Average</v>
      </c>
      <c r="AH6" t="str">
        <f t="shared" si="5"/>
        <v>Below Non Weighted Average</v>
      </c>
      <c r="AI6" s="2" t="str" cm="1">
        <f t="array" ref="AI6">_xlfn.IFS(AND(AG6="Above Non Weighted Average",AH6="Below Non Weighted Average"),"3",AND(AG6="Above Non Weighted Average",AH6="Above Non Weighted Average"),"4",AND(AG6="Below Non Weighted Average",AH6="Above Non Weighted Average"),"2",AND(AG6="Below Non Weighted Average",AH6="Below Non Weighted Average"),"1")</f>
        <v>3</v>
      </c>
      <c r="AJ6" t="b">
        <f t="shared" si="6"/>
        <v>1</v>
      </c>
      <c r="AK6" t="str">
        <f>IF(AA6&lt;Weighted_average,"Below","Above")</f>
        <v>Above</v>
      </c>
      <c r="AL6" t="str">
        <f>IF(AB6&lt;Stock_grad_ratio,"Below","Above")</f>
        <v>Below</v>
      </c>
      <c r="AM6" t="str">
        <f t="shared" si="7"/>
        <v>AboveBelow</v>
      </c>
      <c r="AN6" t="str">
        <f t="shared" si="8"/>
        <v>Q3</v>
      </c>
      <c r="BE6" s="64" t="s">
        <v>147</v>
      </c>
      <c r="BF6" s="65" t="s">
        <v>148</v>
      </c>
      <c r="BG6" s="47">
        <v>12.82557799981813</v>
      </c>
      <c r="BH6" s="47">
        <v>55.125</v>
      </c>
      <c r="BI6" s="47" t="str">
        <f t="shared" si="9"/>
        <v>Below Average</v>
      </c>
      <c r="BJ6" s="47" t="str">
        <f t="shared" si="10"/>
        <v>Above Average</v>
      </c>
      <c r="BK6" s="75" t="str" cm="1">
        <f t="array" ref="BK6">_xlfn.IFS(AND(BI6="Above Average",BJ6="Below Average"),"Q1",AND(BI6="Above Average",BJ6="Above Average"),"Q2",AND(BI6="Below Average",BJ6="Above Average"),"Q3",AND(BI6="Below Average",BJ6="Below Average"),"Q4")</f>
        <v>Q3</v>
      </c>
      <c r="BL6" s="47"/>
      <c r="BM6">
        <v>5</v>
      </c>
      <c r="BN6" t="s">
        <v>100</v>
      </c>
      <c r="BO6" s="64" t="s">
        <v>30</v>
      </c>
      <c r="BP6" s="47">
        <v>53.864572698360966</v>
      </c>
      <c r="BR6">
        <v>5</v>
      </c>
      <c r="BS6" t="s">
        <v>100</v>
      </c>
      <c r="BT6" s="64" t="s">
        <v>147</v>
      </c>
      <c r="BU6" s="47">
        <v>55.125</v>
      </c>
      <c r="BZ6" t="s">
        <v>293</v>
      </c>
      <c r="CA6" t="s">
        <v>206</v>
      </c>
    </row>
    <row r="7" spans="1:79" x14ac:dyDescent="0.35">
      <c r="A7" s="64" t="s">
        <v>6</v>
      </c>
      <c r="B7" s="65" t="s">
        <v>141</v>
      </c>
      <c r="C7" s="42">
        <v>0.26769999999999999</v>
      </c>
      <c r="D7" s="52">
        <v>8.3128080399999998E-2</v>
      </c>
      <c r="E7" s="47">
        <v>40.986337247671983</v>
      </c>
      <c r="H7" s="65" t="s">
        <v>141</v>
      </c>
      <c r="I7" s="3">
        <v>1.6126391092362451</v>
      </c>
      <c r="J7" s="67">
        <v>0.76314631612737616</v>
      </c>
      <c r="K7" s="47">
        <v>40.986337247671983</v>
      </c>
      <c r="L7" s="67">
        <v>5.7962394193302087</v>
      </c>
      <c r="M7" s="3">
        <f t="shared" si="0"/>
        <v>1.6126391092362451</v>
      </c>
      <c r="N7" s="3">
        <f t="shared" si="0"/>
        <v>0.76314631612737616</v>
      </c>
      <c r="P7" s="64" t="s">
        <v>6</v>
      </c>
      <c r="Q7" s="65" t="s">
        <v>141</v>
      </c>
      <c r="R7" s="67">
        <v>5.7962394193302087</v>
      </c>
      <c r="S7">
        <v>8.1970005510432156</v>
      </c>
      <c r="V7" s="137">
        <f t="shared" si="1"/>
        <v>8.2336226221255221E-2</v>
      </c>
      <c r="W7">
        <f>VLOOKUP(Z7,Sheet9!F$2:L$48,7,FALSE)</f>
        <v>2.8706721773575634E-3</v>
      </c>
      <c r="X7" s="137">
        <f>AB7/SUM($AB$2:$AB$48)</f>
        <v>3.1272109043669567E-2</v>
      </c>
      <c r="Y7" s="64" t="s">
        <v>16</v>
      </c>
      <c r="Z7" s="65" t="s">
        <v>154</v>
      </c>
      <c r="AA7">
        <f>VLOOKUP(Z7,Sheet12!A$2:C$48,3,FALSE)</f>
        <v>49.339648431079915</v>
      </c>
      <c r="AB7" s="67">
        <f>VLOOKUP(Z7,Sheet9!A$2:K$48,11,FALSE)</f>
        <v>28.681863039145494</v>
      </c>
      <c r="AC7" s="67">
        <f>_xlfn.XLOOKUP(Y7,Density_Weighted_Stock_Weig!Y:Y,Density_Weighted_Stock_Weig!Z:Z)</f>
        <v>1201670.4999999995</v>
      </c>
      <c r="AD7" t="str">
        <f t="shared" si="2"/>
        <v>Above Weighted Average</v>
      </c>
      <c r="AE7" t="str">
        <f t="shared" si="3"/>
        <v>Above Weighted Average</v>
      </c>
      <c r="AF7" s="2" t="str" cm="1">
        <f t="array" ref="AF7">_xlfn.IFS(AND(AD7="Above Weighted Average",AE7="Below Weighted Average"),"3",AND(AD7="Above Weighted Average",AE7="Above Weighted Average"),"4",AND(AD7="Below Weighted Average",AE7="Above Weighted Average"),"2",AND(AD7="Below Weighted Average",AE7="Below Weighted Average"),"1")</f>
        <v>4</v>
      </c>
      <c r="AG7" t="str">
        <f t="shared" si="4"/>
        <v>Above Non Weighted Average</v>
      </c>
      <c r="AH7" t="str">
        <f t="shared" si="5"/>
        <v>Above Non Weighted Average</v>
      </c>
      <c r="AI7" s="2" t="str" cm="1">
        <f t="array" ref="AI7">_xlfn.IFS(AND(AG7="Above Non Weighted Average",AH7="Below Non Weighted Average"),"3",AND(AG7="Above Non Weighted Average",AH7="Above Non Weighted Average"),"4",AND(AG7="Below Non Weighted Average",AH7="Above Non Weighted Average"),"2",AND(AG7="Below Non Weighted Average",AH7="Below Non Weighted Average"),"1")</f>
        <v>4</v>
      </c>
      <c r="AJ7" t="b">
        <f t="shared" si="6"/>
        <v>1</v>
      </c>
      <c r="AK7" t="str">
        <f>IF(AA7&lt;Weighted_average,"Below","Above")</f>
        <v>Above</v>
      </c>
      <c r="AL7" t="str">
        <f>IF(AB7&lt;Stock_grad_ratio,"Below","Above")</f>
        <v>Above</v>
      </c>
      <c r="AM7" t="str">
        <f t="shared" si="7"/>
        <v>AboveAbove</v>
      </c>
      <c r="AN7" t="str">
        <f t="shared" si="8"/>
        <v>Q4</v>
      </c>
      <c r="BE7" s="64" t="s">
        <v>8</v>
      </c>
      <c r="BF7" s="65" t="s">
        <v>144</v>
      </c>
      <c r="BG7" s="47">
        <v>2.3872297370504008</v>
      </c>
      <c r="BH7" s="47">
        <v>44.159429280397021</v>
      </c>
      <c r="BI7" s="47" t="str">
        <f t="shared" si="9"/>
        <v>Below Average</v>
      </c>
      <c r="BJ7" s="47" t="str">
        <f t="shared" si="10"/>
        <v>Above Average</v>
      </c>
      <c r="BK7" s="75" t="str" cm="1">
        <f t="array" ref="BK7">_xlfn.IFS(AND(BI7="Above Average",BJ7="Below Average"),"Q1",AND(BI7="Above Average",BJ7="Above Average"),"Q2",AND(BI7="Below Average",BJ7="Above Average"),"Q3",AND(BI7="Below Average",BJ7="Below Average"),"Q4")</f>
        <v>Q3</v>
      </c>
      <c r="BL7" s="47"/>
      <c r="BM7">
        <v>6</v>
      </c>
      <c r="BN7" t="s">
        <v>100</v>
      </c>
      <c r="BO7" s="64" t="s">
        <v>16</v>
      </c>
      <c r="BP7" s="47">
        <v>49.456152913797929</v>
      </c>
      <c r="BR7">
        <v>6</v>
      </c>
      <c r="BS7" t="s">
        <v>100</v>
      </c>
      <c r="BT7" s="64" t="s">
        <v>8</v>
      </c>
      <c r="BU7" s="47">
        <v>44.159429280397021</v>
      </c>
    </row>
    <row r="8" spans="1:79" x14ac:dyDescent="0.35">
      <c r="A8" s="64" t="s">
        <v>60</v>
      </c>
      <c r="B8" s="65" t="s">
        <v>142</v>
      </c>
      <c r="C8" s="42">
        <v>0.32863412813189302</v>
      </c>
      <c r="D8" s="52">
        <v>0.10392424580000001</v>
      </c>
      <c r="E8" s="47">
        <v>104.36309518407614</v>
      </c>
      <c r="H8" s="65" t="s">
        <v>142</v>
      </c>
      <c r="I8" s="3">
        <v>2.0185469508558489</v>
      </c>
      <c r="J8" s="67">
        <v>1.3590370091771649</v>
      </c>
      <c r="K8" s="47">
        <v>104.36309518407614</v>
      </c>
      <c r="L8" s="67">
        <v>22.857935830441416</v>
      </c>
      <c r="M8" s="3">
        <f t="shared" si="0"/>
        <v>2.0185469508558489</v>
      </c>
      <c r="N8" s="3">
        <f t="shared" si="0"/>
        <v>1.3590370091771649</v>
      </c>
      <c r="P8" s="64" t="s">
        <v>60</v>
      </c>
      <c r="Q8" s="65" t="s">
        <v>142</v>
      </c>
      <c r="R8" s="67">
        <v>22.857935830441416</v>
      </c>
      <c r="S8">
        <v>60.895271765381224</v>
      </c>
      <c r="V8" s="137">
        <f t="shared" si="1"/>
        <v>0.35243004812267736</v>
      </c>
      <c r="W8">
        <f>VLOOKUP(Z8,Sheet9!F$2:L$48,7,FALSE)</f>
        <v>6.2424786463093129E-2</v>
      </c>
      <c r="X8" s="137">
        <f>AB8/SUM($AB$2:$AB$48)</f>
        <v>6.1555331981101788E-3</v>
      </c>
      <c r="Y8" s="64" t="s">
        <v>20</v>
      </c>
      <c r="Z8" s="65" t="s">
        <v>159</v>
      </c>
      <c r="AA8">
        <f>VLOOKUP(Z8,Sheet12!A$2:C$48,3,FALSE)</f>
        <v>38.514391127775333</v>
      </c>
      <c r="AB8" s="67">
        <f>VLOOKUP(Z8,Sheet9!A$2:K$48,11,FALSE)</f>
        <v>5.6456748687645337</v>
      </c>
      <c r="AC8" s="67">
        <f>_xlfn.XLOOKUP(Y8,Density_Weighted_Stock_Weig!Y:Y,Density_Weighted_Stock_Weig!Z:Z)</f>
        <v>33475870.500000011</v>
      </c>
      <c r="AD8" t="str">
        <f t="shared" si="2"/>
        <v>Above Weighted Average</v>
      </c>
      <c r="AE8" t="str">
        <f t="shared" si="3"/>
        <v>Below Weighted Average</v>
      </c>
      <c r="AF8" s="2" t="str" cm="1">
        <f t="array" ref="AF8">_xlfn.IFS(AND(AD8="Above Weighted Average",AE8="Below Weighted Average"),"3",AND(AD8="Above Weighted Average",AE8="Above Weighted Average"),"4",AND(AD8="Below Weighted Average",AE8="Above Weighted Average"),"2",AND(AD8="Below Weighted Average",AE8="Below Weighted Average"),"1")</f>
        <v>3</v>
      </c>
      <c r="AG8" t="str">
        <f t="shared" si="4"/>
        <v>Above Non Weighted Average</v>
      </c>
      <c r="AH8" t="str">
        <f t="shared" si="5"/>
        <v>Below Non Weighted Average</v>
      </c>
      <c r="AI8" s="2" t="str" cm="1">
        <f t="array" ref="AI8">_xlfn.IFS(AND(AG8="Above Non Weighted Average",AH8="Below Non Weighted Average"),"3",AND(AG8="Above Non Weighted Average",AH8="Above Non Weighted Average"),"4",AND(AG8="Below Non Weighted Average",AH8="Above Non Weighted Average"),"2",AND(AG8="Below Non Weighted Average",AH8="Below Non Weighted Average"),"1")</f>
        <v>3</v>
      </c>
      <c r="AJ8" t="b">
        <f t="shared" si="6"/>
        <v>1</v>
      </c>
      <c r="AK8" t="str">
        <f>IF(AA8&lt;Weighted_average,"Below","Above")</f>
        <v>Above</v>
      </c>
      <c r="AL8" t="str">
        <f>IF(AB8&lt;Stock_grad_ratio,"Below","Above")</f>
        <v>Below</v>
      </c>
      <c r="AM8" t="str">
        <f t="shared" si="7"/>
        <v>AboveBelow</v>
      </c>
      <c r="AN8" t="str">
        <f t="shared" si="8"/>
        <v>Q3</v>
      </c>
      <c r="BE8" s="64" t="s">
        <v>18</v>
      </c>
      <c r="BF8" s="65" t="s">
        <v>156</v>
      </c>
      <c r="BG8" s="47">
        <v>29.037302117617038</v>
      </c>
      <c r="BH8" s="47">
        <v>42.673685800866124</v>
      </c>
      <c r="BI8" s="47" t="str">
        <f t="shared" si="9"/>
        <v>Above Average</v>
      </c>
      <c r="BJ8" s="47" t="str">
        <f t="shared" si="10"/>
        <v>Above Average</v>
      </c>
      <c r="BK8" s="75" t="str" cm="1">
        <f t="array" ref="BK8">_xlfn.IFS(AND(BI8="Above Average",BJ8="Below Average"),"Q1",AND(BI8="Above Average",BJ8="Above Average"),"Q2",AND(BI8="Below Average",BJ8="Above Average"),"Q3",AND(BI8="Below Average",BJ8="Below Average"),"Q4")</f>
        <v>Q2</v>
      </c>
      <c r="BL8" s="47"/>
      <c r="BM8">
        <v>7</v>
      </c>
      <c r="BN8" t="s">
        <v>100</v>
      </c>
      <c r="BO8" s="64" t="s">
        <v>20</v>
      </c>
      <c r="BP8" s="47">
        <v>45.6484849222892</v>
      </c>
      <c r="BR8">
        <v>7</v>
      </c>
      <c r="BS8" t="s">
        <v>100</v>
      </c>
      <c r="BT8" s="64" t="s">
        <v>18</v>
      </c>
      <c r="BU8" s="47">
        <v>42.673685800866124</v>
      </c>
    </row>
    <row r="9" spans="1:79" x14ac:dyDescent="0.35">
      <c r="A9" s="64" t="s">
        <v>7</v>
      </c>
      <c r="B9" s="65" t="s">
        <v>143</v>
      </c>
      <c r="C9" s="42">
        <v>0.60169835832363905</v>
      </c>
      <c r="D9" s="52">
        <v>3.6992728700000005E-2</v>
      </c>
      <c r="E9" s="47">
        <v>11.326441981493597</v>
      </c>
      <c r="H9" s="65" t="s">
        <v>143</v>
      </c>
      <c r="I9" s="3">
        <v>1.0540935047016506</v>
      </c>
      <c r="J9" s="67">
        <v>0.7669627175435717</v>
      </c>
      <c r="K9" s="47">
        <v>11.326441981493597</v>
      </c>
      <c r="L9" s="67">
        <v>5.8473988439306357</v>
      </c>
      <c r="M9" s="3">
        <f t="shared" si="0"/>
        <v>1.0540935047016506</v>
      </c>
      <c r="N9" s="3">
        <f t="shared" si="0"/>
        <v>0.7669627175435717</v>
      </c>
      <c r="P9" s="64" t="s">
        <v>7</v>
      </c>
      <c r="Q9" s="65" t="s">
        <v>143</v>
      </c>
      <c r="R9" s="67">
        <v>5.8473988439306357</v>
      </c>
      <c r="S9">
        <v>7.8475241743670043</v>
      </c>
      <c r="V9" s="137">
        <f t="shared" si="1"/>
        <v>1.6034637218401804</v>
      </c>
      <c r="W9">
        <f>VLOOKUP(Z9,Sheet9!F$2:L$48,7,FALSE)</f>
        <v>8.7290899900732064E-2</v>
      </c>
      <c r="X9" s="137">
        <f>AB9/SUM($AB$2:$AB$48)</f>
        <v>2.0028110641303238E-2</v>
      </c>
      <c r="Y9" s="64" t="s">
        <v>1</v>
      </c>
      <c r="Z9" s="65" t="s">
        <v>136</v>
      </c>
      <c r="AA9">
        <f>VLOOKUP(Z9,Sheet12!A$2:C$48,3,FALSE)</f>
        <v>40.15034554867718</v>
      </c>
      <c r="AB9" s="67">
        <f>VLOOKUP(Z9,Sheet9!A$2:K$48,11,FALSE)</f>
        <v>18.369196831097543</v>
      </c>
      <c r="AC9" s="67">
        <f>_xlfn.XLOOKUP(Y9,Density_Weighted_Stock_Weig!Y:Y,Density_Weighted_Stock_Weig!Z:Z)</f>
        <v>44903225.000000007</v>
      </c>
      <c r="AD9" t="str">
        <f t="shared" si="2"/>
        <v>Above Weighted Average</v>
      </c>
      <c r="AE9" t="str">
        <f t="shared" si="3"/>
        <v>Below Weighted Average</v>
      </c>
      <c r="AF9" s="2" t="str" cm="1">
        <f t="array" ref="AF9">_xlfn.IFS(AND(AD9="Above Weighted Average",AE9="Below Weighted Average"),"3",AND(AD9="Above Weighted Average",AE9="Above Weighted Average"),"4",AND(AD9="Below Weighted Average",AE9="Above Weighted Average"),"2",AND(AD9="Below Weighted Average",AE9="Below Weighted Average"),"1")</f>
        <v>3</v>
      </c>
      <c r="AG9" t="str">
        <f t="shared" si="4"/>
        <v>Above Non Weighted Average</v>
      </c>
      <c r="AH9" t="str">
        <f t="shared" si="5"/>
        <v>Below Non Weighted Average</v>
      </c>
      <c r="AI9" s="2" t="str" cm="1">
        <f t="array" ref="AI9">_xlfn.IFS(AND(AG9="Above Non Weighted Average",AH9="Below Non Weighted Average"),"3",AND(AG9="Above Non Weighted Average",AH9="Above Non Weighted Average"),"4",AND(AG9="Below Non Weighted Average",AH9="Above Non Weighted Average"),"2",AND(AG9="Below Non Weighted Average",AH9="Below Non Weighted Average"),"1")</f>
        <v>3</v>
      </c>
      <c r="AJ9" t="b">
        <f t="shared" si="6"/>
        <v>1</v>
      </c>
      <c r="AK9" t="str">
        <f>IF(AA9&lt;Weighted_average,"Below","Above")</f>
        <v>Above</v>
      </c>
      <c r="AL9" t="str">
        <f>IF(AB9&lt;Stock_grad_ratio,"Below","Above")</f>
        <v>Below</v>
      </c>
      <c r="AM9" t="str">
        <f t="shared" si="7"/>
        <v>AboveBelow</v>
      </c>
      <c r="AN9" t="str">
        <f t="shared" si="8"/>
        <v>Q3</v>
      </c>
      <c r="BE9" s="64" t="s">
        <v>38</v>
      </c>
      <c r="BF9" s="65" t="s">
        <v>178</v>
      </c>
      <c r="BG9" s="47">
        <v>213.24893351885851</v>
      </c>
      <c r="BH9" s="47">
        <v>42.1</v>
      </c>
      <c r="BI9" s="47" t="str">
        <f t="shared" si="9"/>
        <v>Above Average</v>
      </c>
      <c r="BJ9" s="47" t="str">
        <f t="shared" si="10"/>
        <v>Above Average</v>
      </c>
      <c r="BK9" s="75" t="str" cm="1">
        <f t="array" ref="BK9">_xlfn.IFS(AND(BI9="Above Average",BJ9="Below Average"),"Q1",AND(BI9="Above Average",BJ9="Above Average"),"Q2",AND(BI9="Below Average",BJ9="Above Average"),"Q3",AND(BI9="Below Average",BJ9="Below Average"),"Q4")</f>
        <v>Q2</v>
      </c>
      <c r="BL9" s="47"/>
      <c r="BM9">
        <v>8</v>
      </c>
      <c r="BN9" t="s">
        <v>100</v>
      </c>
      <c r="BO9" s="64" t="s">
        <v>1</v>
      </c>
      <c r="BP9" s="47">
        <v>42.170245010241459</v>
      </c>
      <c r="BR9">
        <v>8</v>
      </c>
      <c r="BS9" t="s">
        <v>100</v>
      </c>
      <c r="BT9" s="64" t="s">
        <v>38</v>
      </c>
      <c r="BU9" s="47">
        <v>42.1</v>
      </c>
    </row>
    <row r="10" spans="1:79" x14ac:dyDescent="0.35">
      <c r="A10" s="64" t="s">
        <v>8</v>
      </c>
      <c r="B10" s="65" t="s">
        <v>144</v>
      </c>
      <c r="C10" s="42">
        <v>0.60169835832363905</v>
      </c>
      <c r="D10" s="52">
        <v>4.8423175799999996E-2</v>
      </c>
      <c r="E10" s="47">
        <v>10.210731090719779</v>
      </c>
      <c r="H10" s="65" t="s">
        <v>144</v>
      </c>
      <c r="I10" s="3">
        <v>1.0090568387860535</v>
      </c>
      <c r="J10" s="67">
        <v>1.6450234519046578</v>
      </c>
      <c r="K10" s="47">
        <v>10.210731090719779</v>
      </c>
      <c r="L10" s="67">
        <v>44.159429280397021</v>
      </c>
      <c r="M10" s="3">
        <f t="shared" si="0"/>
        <v>1.0090568387860535</v>
      </c>
      <c r="N10" s="3">
        <f t="shared" si="0"/>
        <v>1.6450234519046578</v>
      </c>
      <c r="P10" s="64" t="s">
        <v>8</v>
      </c>
      <c r="Q10" s="65" t="s">
        <v>144</v>
      </c>
      <c r="R10" s="67">
        <v>44.159429280397021</v>
      </c>
      <c r="S10">
        <v>2.3872297370504008</v>
      </c>
      <c r="V10" s="137">
        <f t="shared" si="1"/>
        <v>0.87505088302817735</v>
      </c>
      <c r="W10">
        <f>VLOOKUP(Z10,Sheet9!F$2:L$48,7,FALSE)</f>
        <v>2.404828190525958E-2</v>
      </c>
      <c r="X10" s="137">
        <f>AB10/SUM($AB$2:$AB$48)</f>
        <v>3.9673367685810312E-2</v>
      </c>
      <c r="Y10" s="64" t="s">
        <v>46</v>
      </c>
      <c r="Z10" s="65" t="s">
        <v>186</v>
      </c>
      <c r="AA10">
        <f>VLOOKUP(Z10,Sheet12!A$2:C$48,3,FALSE)</f>
        <v>30.433188788783969</v>
      </c>
      <c r="AB10" s="67">
        <f>VLOOKUP(Z10,Sheet9!A$2:K$48,11,FALSE)</f>
        <v>36.387251549841309</v>
      </c>
      <c r="AC10" s="67">
        <f>_xlfn.XLOOKUP(Y10,Density_Weighted_Stock_Weig!Y:Y,Density_Weighted_Stock_Weig!Z:Z)</f>
        <v>16320536.999999996</v>
      </c>
      <c r="AD10" t="str">
        <f t="shared" si="2"/>
        <v>Above Weighted Average</v>
      </c>
      <c r="AE10" t="str">
        <f t="shared" si="3"/>
        <v>Above Weighted Average</v>
      </c>
      <c r="AF10" s="2" t="str" cm="1">
        <f t="array" ref="AF10">_xlfn.IFS(AND(AD10="Above Weighted Average",AE10="Below Weighted Average"),"3",AND(AD10="Above Weighted Average",AE10="Above Weighted Average"),"4",AND(AD10="Below Weighted Average",AE10="Above Weighted Average"),"2",AND(AD10="Below Weighted Average",AE10="Below Weighted Average"),"1")</f>
        <v>4</v>
      </c>
      <c r="AG10" t="str">
        <f t="shared" si="4"/>
        <v>Above Non Weighted Average</v>
      </c>
      <c r="AH10" t="str">
        <f t="shared" si="5"/>
        <v>Above Non Weighted Average</v>
      </c>
      <c r="AI10" s="2" t="str" cm="1">
        <f t="array" ref="AI10">_xlfn.IFS(AND(AG10="Above Non Weighted Average",AH10="Below Non Weighted Average"),"3",AND(AG10="Above Non Weighted Average",AH10="Above Non Weighted Average"),"4",AND(AG10="Below Non Weighted Average",AH10="Above Non Weighted Average"),"2",AND(AG10="Below Non Weighted Average",AH10="Below Non Weighted Average"),"1")</f>
        <v>4</v>
      </c>
      <c r="AJ10" t="b">
        <f t="shared" si="6"/>
        <v>1</v>
      </c>
      <c r="AK10" t="str">
        <f>IF(AA10&lt;Weighted_average,"Below","Above")</f>
        <v>Above</v>
      </c>
      <c r="AL10" t="str">
        <f>IF(AB10&lt;Stock_grad_ratio,"Below","Above")</f>
        <v>Above</v>
      </c>
      <c r="AM10" t="str">
        <f t="shared" si="7"/>
        <v>AboveAbove</v>
      </c>
      <c r="AN10" t="str">
        <f t="shared" si="8"/>
        <v>Q4</v>
      </c>
      <c r="BE10" s="64" t="s">
        <v>35</v>
      </c>
      <c r="BF10" s="65" t="s">
        <v>174</v>
      </c>
      <c r="BG10" s="47">
        <v>12.440746230594545</v>
      </c>
      <c r="BH10" s="47">
        <v>41.391365435291313</v>
      </c>
      <c r="BI10" s="47" t="str">
        <f t="shared" si="9"/>
        <v>Below Average</v>
      </c>
      <c r="BJ10" s="47" t="str">
        <f t="shared" si="10"/>
        <v>Above Average</v>
      </c>
      <c r="BK10" s="75" t="str" cm="1">
        <f t="array" ref="BK10">_xlfn.IFS(AND(BI10="Above Average",BJ10="Below Average"),"Q1",AND(BI10="Above Average",BJ10="Above Average"),"Q2",AND(BI10="Below Average",BJ10="Above Average"),"Q3",AND(BI10="Below Average",BJ10="Below Average"),"Q4")</f>
        <v>Q3</v>
      </c>
      <c r="BL10" s="47"/>
      <c r="BM10">
        <v>9</v>
      </c>
      <c r="BN10" t="s">
        <v>100</v>
      </c>
      <c r="BO10" s="64" t="s">
        <v>46</v>
      </c>
      <c r="BP10" s="47">
        <v>36.315960905902422</v>
      </c>
      <c r="BR10">
        <v>9</v>
      </c>
      <c r="BS10" t="s">
        <v>100</v>
      </c>
      <c r="BT10" s="64" t="s">
        <v>35</v>
      </c>
      <c r="BU10" s="47">
        <v>41.391365435291313</v>
      </c>
    </row>
    <row r="11" spans="1:79" x14ac:dyDescent="0.35">
      <c r="A11" s="64" t="s">
        <v>9</v>
      </c>
      <c r="B11" s="65" t="s">
        <v>145</v>
      </c>
      <c r="C11" s="42">
        <v>0.35310312003413502</v>
      </c>
      <c r="D11" s="52">
        <v>4.8723001500000002E-2</v>
      </c>
      <c r="E11" s="47">
        <v>22.710971898965504</v>
      </c>
      <c r="H11" s="65" t="s">
        <v>145</v>
      </c>
      <c r="I11" s="3">
        <v>1.3562357199232156</v>
      </c>
      <c r="J11" s="67">
        <v>0.17779406880755011</v>
      </c>
      <c r="K11" s="47">
        <v>22.710971898965504</v>
      </c>
      <c r="L11" s="67">
        <v>1.5058928414930488</v>
      </c>
      <c r="M11" s="3">
        <f t="shared" si="0"/>
        <v>1.3562357199232156</v>
      </c>
      <c r="N11" s="3">
        <f t="shared" si="0"/>
        <v>0.17779406880755011</v>
      </c>
      <c r="P11" s="64" t="s">
        <v>9</v>
      </c>
      <c r="Q11" s="65" t="s">
        <v>145</v>
      </c>
      <c r="R11" s="67">
        <v>1.5058928414930488</v>
      </c>
      <c r="S11">
        <v>3.2716188953202665</v>
      </c>
      <c r="V11" s="137">
        <f t="shared" si="1"/>
        <v>7.1623004528950859E-2</v>
      </c>
      <c r="W11">
        <f>VLOOKUP(Z11,Sheet9!F$2:L$48,7,FALSE)</f>
        <v>4.367256373716516E-3</v>
      </c>
      <c r="X11" s="137">
        <f>AB11/SUM($AB$2:$AB$48)</f>
        <v>1.7881076540119355E-2</v>
      </c>
      <c r="Y11" s="64" t="s">
        <v>4</v>
      </c>
      <c r="Z11" s="65" t="s">
        <v>139</v>
      </c>
      <c r="AA11">
        <f>VLOOKUP(Z11,Sheet12!A$2:C$48,3,FALSE)</f>
        <v>34.292718386067548</v>
      </c>
      <c r="AB11" s="67">
        <f>VLOOKUP(Z11,Sheet9!A$2:K$48,11,FALSE)</f>
        <v>16.399999999999999</v>
      </c>
      <c r="AC11" s="67">
        <f>_xlfn.XLOOKUP(Y11,Density_Weighted_Stock_Weig!Y:Y,Density_Weighted_Stock_Weig!Z:Z)</f>
        <v>2630296.0000000019</v>
      </c>
      <c r="AD11" t="str">
        <f t="shared" si="2"/>
        <v>Above Weighted Average</v>
      </c>
      <c r="AE11" t="str">
        <f t="shared" si="3"/>
        <v>Below Weighted Average</v>
      </c>
      <c r="AF11" s="2" t="str" cm="1">
        <f t="array" ref="AF11">_xlfn.IFS(AND(AD11="Above Weighted Average",AE11="Below Weighted Average"),"3",AND(AD11="Above Weighted Average",AE11="Above Weighted Average"),"4",AND(AD11="Below Weighted Average",AE11="Above Weighted Average"),"2",AND(AD11="Below Weighted Average",AE11="Below Weighted Average"),"1")</f>
        <v>3</v>
      </c>
      <c r="AG11" t="str">
        <f t="shared" si="4"/>
        <v>Above Non Weighted Average</v>
      </c>
      <c r="AH11" t="str">
        <f t="shared" si="5"/>
        <v>Below Non Weighted Average</v>
      </c>
      <c r="AI11" s="2" t="str" cm="1">
        <f t="array" ref="AI11">_xlfn.IFS(AND(AG11="Above Non Weighted Average",AH11="Below Non Weighted Average"),"3",AND(AG11="Above Non Weighted Average",AH11="Above Non Weighted Average"),"4",AND(AG11="Below Non Weighted Average",AH11="Above Non Weighted Average"),"2",AND(AG11="Below Non Weighted Average",AH11="Below Non Weighted Average"),"1")</f>
        <v>3</v>
      </c>
      <c r="AJ11" t="b">
        <f t="shared" si="6"/>
        <v>1</v>
      </c>
      <c r="AK11" t="str">
        <f>IF(AA11&lt;Weighted_average,"Below","Above")</f>
        <v>Above</v>
      </c>
      <c r="AL11" t="str">
        <f>IF(AB11&lt;Stock_grad_ratio,"Below","Above")</f>
        <v>Below</v>
      </c>
      <c r="AM11" t="str">
        <f t="shared" si="7"/>
        <v>AboveBelow</v>
      </c>
      <c r="AN11" t="str">
        <f t="shared" si="8"/>
        <v>Q3</v>
      </c>
      <c r="BE11" s="64" t="s">
        <v>16</v>
      </c>
      <c r="BF11" s="65" t="s">
        <v>154</v>
      </c>
      <c r="BG11" s="47">
        <v>49.456152913797929</v>
      </c>
      <c r="BH11" s="47">
        <v>37.056249999999999</v>
      </c>
      <c r="BI11" s="47" t="str">
        <f t="shared" si="9"/>
        <v>Above Average</v>
      </c>
      <c r="BJ11" s="47" t="str">
        <f t="shared" si="10"/>
        <v>Above Average</v>
      </c>
      <c r="BK11" s="75" t="str" cm="1">
        <f t="array" ref="BK11">_xlfn.IFS(AND(BI11="Above Average",BJ11="Below Average"),"Q1",AND(BI11="Above Average",BJ11="Above Average"),"Q2",AND(BI11="Below Average",BJ11="Above Average"),"Q3",AND(BI11="Below Average",BJ11="Below Average"),"Q4")</f>
        <v>Q2</v>
      </c>
      <c r="BL11" s="47"/>
      <c r="BM11">
        <v>10</v>
      </c>
      <c r="BN11" t="s">
        <v>100</v>
      </c>
      <c r="BO11" s="64" t="s">
        <v>4</v>
      </c>
      <c r="BP11" s="47">
        <v>34.292718386067548</v>
      </c>
      <c r="BR11">
        <v>10</v>
      </c>
      <c r="BS11" t="s">
        <v>100</v>
      </c>
      <c r="BT11" s="64" t="s">
        <v>16</v>
      </c>
      <c r="BU11" s="47">
        <v>37.056249999999999</v>
      </c>
    </row>
    <row r="12" spans="1:79" x14ac:dyDescent="0.35">
      <c r="A12" s="64" t="s">
        <v>10</v>
      </c>
      <c r="B12" s="65" t="s">
        <v>146</v>
      </c>
      <c r="C12" s="42">
        <v>0.65</v>
      </c>
      <c r="D12" s="52">
        <v>4.1246685999999998E-2</v>
      </c>
      <c r="E12" s="47">
        <v>31.333794542132008</v>
      </c>
      <c r="H12" s="65" t="s">
        <v>146</v>
      </c>
      <c r="I12" s="3">
        <v>1.4960129914001041</v>
      </c>
      <c r="J12" s="67">
        <v>1.4544526651817888</v>
      </c>
      <c r="K12" s="47">
        <v>31.333794542132008</v>
      </c>
      <c r="L12" s="67">
        <v>28.47427435177109</v>
      </c>
      <c r="M12" s="3">
        <f t="shared" si="0"/>
        <v>1.4960129914001041</v>
      </c>
      <c r="N12" s="3">
        <f t="shared" si="0"/>
        <v>1.4544526651817888</v>
      </c>
      <c r="P12" s="64" t="s">
        <v>10</v>
      </c>
      <c r="Q12" s="65" t="s">
        <v>146</v>
      </c>
      <c r="R12" s="67">
        <v>28.47427435177109</v>
      </c>
      <c r="S12">
        <v>20.614550700647715</v>
      </c>
      <c r="V12" s="137">
        <f t="shared" si="1"/>
        <v>0.28697515855982353</v>
      </c>
      <c r="W12">
        <f>VLOOKUP(Z12,Sheet9!F$2:L$48,7,FALSE)</f>
        <v>2.7358779229847613E-2</v>
      </c>
      <c r="X12" s="137">
        <f>AB12/SUM($AB$2:$AB$48)</f>
        <v>1.14366124293804E-2</v>
      </c>
      <c r="Y12" s="64" t="s">
        <v>45</v>
      </c>
      <c r="Z12" s="65" t="s">
        <v>185</v>
      </c>
      <c r="AA12">
        <f>VLOOKUP(Z12,Sheet12!A$2:C$48,3,FALSE)</f>
        <v>28.228053457756701</v>
      </c>
      <c r="AB12" s="67">
        <f>VLOOKUP(Z12,Sheet9!A$2:K$48,11,FALSE)</f>
        <v>10.489326155559681</v>
      </c>
      <c r="AC12" s="67">
        <f>_xlfn.XLOOKUP(Y12,Density_Weighted_Stock_Weig!Y:Y,Density_Weighted_Stock_Weig!Z:Z)</f>
        <v>20017675.000000004</v>
      </c>
      <c r="AD12" t="str">
        <f t="shared" si="2"/>
        <v>Above Weighted Average</v>
      </c>
      <c r="AE12" t="str">
        <f t="shared" si="3"/>
        <v>Below Weighted Average</v>
      </c>
      <c r="AF12" s="2" t="str" cm="1">
        <f t="array" ref="AF12">_xlfn.IFS(AND(AD12="Above Weighted Average",AE12="Below Weighted Average"),"3",AND(AD12="Above Weighted Average",AE12="Above Weighted Average"),"4",AND(AD12="Below Weighted Average",AE12="Above Weighted Average"),"2",AND(AD12="Below Weighted Average",AE12="Below Weighted Average"),"1")</f>
        <v>3</v>
      </c>
      <c r="AG12" t="str">
        <f t="shared" si="4"/>
        <v>Above Non Weighted Average</v>
      </c>
      <c r="AH12" t="str">
        <f t="shared" si="5"/>
        <v>Below Non Weighted Average</v>
      </c>
      <c r="AI12" s="2" t="str" cm="1">
        <f t="array" ref="AI12">_xlfn.IFS(AND(AG12="Above Non Weighted Average",AH12="Below Non Weighted Average"),"3",AND(AG12="Above Non Weighted Average",AH12="Above Non Weighted Average"),"4",AND(AG12="Below Non Weighted Average",AH12="Above Non Weighted Average"),"2",AND(AG12="Below Non Weighted Average",AH12="Below Non Weighted Average"),"1")</f>
        <v>3</v>
      </c>
      <c r="AJ12" t="b">
        <f t="shared" si="6"/>
        <v>1</v>
      </c>
      <c r="AK12" t="str">
        <f>IF(AA12&lt;Weighted_average,"Below","Above")</f>
        <v>Above</v>
      </c>
      <c r="AL12" t="str">
        <f>IF(AB12&lt;Stock_grad_ratio,"Below","Above")</f>
        <v>Below</v>
      </c>
      <c r="AM12" t="str">
        <f t="shared" si="7"/>
        <v>AboveBelow</v>
      </c>
      <c r="AN12" t="str">
        <f t="shared" si="8"/>
        <v>Q3</v>
      </c>
      <c r="BE12" s="64" t="s">
        <v>46</v>
      </c>
      <c r="BF12" s="65" t="s">
        <v>186</v>
      </c>
      <c r="BG12" s="47">
        <v>36.315960905902422</v>
      </c>
      <c r="BH12" s="47">
        <v>36.387251549841309</v>
      </c>
      <c r="BI12" s="47" t="str">
        <f t="shared" si="9"/>
        <v>Above Average</v>
      </c>
      <c r="BJ12" s="47" t="str">
        <f t="shared" si="10"/>
        <v>Above Average</v>
      </c>
      <c r="BK12" s="75" t="str" cm="1">
        <f t="array" ref="BK12">_xlfn.IFS(AND(BI12="Above Average",BJ12="Below Average"),"Q1",AND(BI12="Above Average",BJ12="Above Average"),"Q2",AND(BI12="Below Average",BJ12="Above Average"),"Q3",AND(BI12="Below Average",BJ12="Below Average"),"Q4")</f>
        <v>Q2</v>
      </c>
      <c r="BL12" s="47"/>
      <c r="BM12">
        <v>11</v>
      </c>
      <c r="BN12" t="s">
        <v>100</v>
      </c>
      <c r="BO12" s="64" t="s">
        <v>45</v>
      </c>
      <c r="BP12" s="47">
        <v>32.824990914279496</v>
      </c>
      <c r="BR12">
        <v>11</v>
      </c>
      <c r="BS12" t="s">
        <v>100</v>
      </c>
      <c r="BT12" s="64" t="s">
        <v>46</v>
      </c>
      <c r="BU12" s="47">
        <v>36.387251549841309</v>
      </c>
    </row>
    <row r="13" spans="1:79" x14ac:dyDescent="0.35">
      <c r="A13" s="64" t="s">
        <v>147</v>
      </c>
      <c r="B13" s="65" t="s">
        <v>148</v>
      </c>
      <c r="C13" s="42">
        <v>0.43066371754243699</v>
      </c>
      <c r="D13" s="52">
        <v>8.2168407400000004E-2</v>
      </c>
      <c r="E13" s="47">
        <v>20.330016447381468</v>
      </c>
      <c r="H13" s="65" t="s">
        <v>148</v>
      </c>
      <c r="I13" s="3">
        <v>1.3081377299909223</v>
      </c>
      <c r="J13" s="67">
        <v>1.7413486024758948</v>
      </c>
      <c r="K13" s="47">
        <v>20.330016447381468</v>
      </c>
      <c r="L13" s="67">
        <v>55.125</v>
      </c>
      <c r="M13" s="3">
        <f t="shared" si="0"/>
        <v>1.3081377299909223</v>
      </c>
      <c r="N13" s="3">
        <f t="shared" si="0"/>
        <v>1.7413486024758948</v>
      </c>
      <c r="P13" s="64" t="s">
        <v>147</v>
      </c>
      <c r="Q13" s="65" t="s">
        <v>148</v>
      </c>
      <c r="R13" s="67">
        <v>55.125</v>
      </c>
      <c r="S13">
        <v>12.82557799981813</v>
      </c>
      <c r="V13" s="137">
        <f t="shared" si="1"/>
        <v>0.12432016359239777</v>
      </c>
      <c r="W13">
        <f>VLOOKUP(Z13,Sheet9!F$2:L$48,7,FALSE)</f>
        <v>2.9132745686072073E-3</v>
      </c>
      <c r="X13" s="137">
        <f>AB13/SUM($AB$2:$AB$48)</f>
        <v>4.6527526954529982E-2</v>
      </c>
      <c r="Y13" s="64" t="s">
        <v>18</v>
      </c>
      <c r="Z13" s="65" t="s">
        <v>156</v>
      </c>
      <c r="AA13">
        <f>VLOOKUP(Z13,Sheet12!A$2:C$48,3,FALSE)</f>
        <v>25.186306352665916</v>
      </c>
      <c r="AB13" s="67">
        <f>VLOOKUP(Z13,Sheet9!A$2:K$48,11,FALSE)</f>
        <v>42.673685800866124</v>
      </c>
      <c r="AC13" s="67">
        <f>_xlfn.XLOOKUP(Y13,Density_Weighted_Stock_Weig!Y:Y,Density_Weighted_Stock_Weig!Z:Z)</f>
        <v>2388992.5000000005</v>
      </c>
      <c r="AD13" t="str">
        <f t="shared" si="2"/>
        <v>Above Weighted Average</v>
      </c>
      <c r="AE13" t="str">
        <f t="shared" si="3"/>
        <v>Above Weighted Average</v>
      </c>
      <c r="AF13" s="2" t="str" cm="1">
        <f t="array" ref="AF13">_xlfn.IFS(AND(AD13="Above Weighted Average",AE13="Below Weighted Average"),"3",AND(AD13="Above Weighted Average",AE13="Above Weighted Average"),"4",AND(AD13="Below Weighted Average",AE13="Above Weighted Average"),"2",AND(AD13="Below Weighted Average",AE13="Below Weighted Average"),"1")</f>
        <v>4</v>
      </c>
      <c r="AG13" t="str">
        <f t="shared" si="4"/>
        <v>Above Non Weighted Average</v>
      </c>
      <c r="AH13" t="str">
        <f t="shared" si="5"/>
        <v>Above Non Weighted Average</v>
      </c>
      <c r="AI13" s="2" t="str" cm="1">
        <f t="array" ref="AI13">_xlfn.IFS(AND(AG13="Above Non Weighted Average",AH13="Below Non Weighted Average"),"3",AND(AG13="Above Non Weighted Average",AH13="Above Non Weighted Average"),"4",AND(AG13="Below Non Weighted Average",AH13="Above Non Weighted Average"),"2",AND(AG13="Below Non Weighted Average",AH13="Below Non Weighted Average"),"1")</f>
        <v>4</v>
      </c>
      <c r="AJ13" t="b">
        <f t="shared" si="6"/>
        <v>1</v>
      </c>
      <c r="AK13" t="str">
        <f>IF(AA13&lt;Weighted_average,"Below","Above")</f>
        <v>Above</v>
      </c>
      <c r="AL13" t="str">
        <f>IF(AB13&lt;Stock_grad_ratio,"Below","Above")</f>
        <v>Above</v>
      </c>
      <c r="AM13" t="str">
        <f t="shared" si="7"/>
        <v>AboveAbove</v>
      </c>
      <c r="AN13" t="str">
        <f t="shared" si="8"/>
        <v>Q4</v>
      </c>
      <c r="BE13" s="64" t="s">
        <v>10</v>
      </c>
      <c r="BF13" s="65" t="s">
        <v>146</v>
      </c>
      <c r="BG13" s="47">
        <v>20.614550700647715</v>
      </c>
      <c r="BH13" s="47">
        <v>28.47427435177109</v>
      </c>
      <c r="BI13" s="47" t="str">
        <f t="shared" si="9"/>
        <v>Below Average</v>
      </c>
      <c r="BJ13" s="47" t="str">
        <f t="shared" si="10"/>
        <v>Above Average</v>
      </c>
      <c r="BK13" s="75" t="str" cm="1">
        <f t="array" ref="BK13">_xlfn.IFS(AND(BI13="Above Average",BJ13="Below Average"),"Q1",AND(BI13="Above Average",BJ13="Above Average"),"Q2",AND(BI13="Below Average",BJ13="Above Average"),"Q3",AND(BI13="Below Average",BJ13="Below Average"),"Q4")</f>
        <v>Q3</v>
      </c>
      <c r="BL13" s="47"/>
      <c r="BM13">
        <v>12</v>
      </c>
      <c r="BN13" t="s">
        <v>100</v>
      </c>
      <c r="BO13" s="64" t="s">
        <v>18</v>
      </c>
      <c r="BP13" s="47">
        <v>29.037302117617038</v>
      </c>
      <c r="BR13">
        <v>12</v>
      </c>
      <c r="BS13" t="s">
        <v>100</v>
      </c>
      <c r="BT13" s="64" t="s">
        <v>10</v>
      </c>
      <c r="BU13" s="47">
        <v>28.47427435177109</v>
      </c>
    </row>
    <row r="14" spans="1:79" x14ac:dyDescent="0.35">
      <c r="A14" s="64" t="s">
        <v>149</v>
      </c>
      <c r="B14" s="65" t="s">
        <v>150</v>
      </c>
      <c r="C14" s="42">
        <v>0.373</v>
      </c>
      <c r="D14" s="52">
        <v>6.6596483200000001E-2</v>
      </c>
      <c r="E14" s="47">
        <v>25.91975377602575</v>
      </c>
      <c r="H14" s="65" t="s">
        <v>150</v>
      </c>
      <c r="I14" s="3">
        <v>1.4136308716498971</v>
      </c>
      <c r="J14" s="67">
        <v>1.3067231622417232</v>
      </c>
      <c r="K14" s="47">
        <v>25.91975377602575</v>
      </c>
      <c r="L14" s="67">
        <v>20.263906002583152</v>
      </c>
      <c r="M14" s="3">
        <f t="shared" si="0"/>
        <v>1.4136308716498971</v>
      </c>
      <c r="N14" s="3">
        <f t="shared" si="0"/>
        <v>1.3067231622417232</v>
      </c>
      <c r="P14" s="64" t="s">
        <v>149</v>
      </c>
      <c r="Q14" s="65" t="s">
        <v>150</v>
      </c>
      <c r="R14" s="67">
        <v>20.263906002583152</v>
      </c>
      <c r="S14">
        <v>11.710635712808925</v>
      </c>
      <c r="V14" s="137">
        <f t="shared" si="1"/>
        <v>3.3582105678435802E-3</v>
      </c>
      <c r="W14">
        <f>VLOOKUP(Z14,Sheet9!F$2:L$48,7,FALSE)</f>
        <v>2.6387524652721743E-4</v>
      </c>
      <c r="X14" s="137">
        <f>AB14/SUM($AB$2:$AB$48)</f>
        <v>1.3875833693616425E-2</v>
      </c>
      <c r="Y14" s="64" t="s">
        <v>175</v>
      </c>
      <c r="Z14" s="65" t="s">
        <v>176</v>
      </c>
      <c r="AA14">
        <f>VLOOKUP(Z14,Sheet12!A$2:C$48,3,FALSE)</f>
        <v>23.968739486189389</v>
      </c>
      <c r="AB14" s="67">
        <f>VLOOKUP(Z14,Sheet9!A$2:K$48,11,FALSE)</f>
        <v>12.726508499906593</v>
      </c>
      <c r="AC14" s="67">
        <f>_xlfn.XLOOKUP(Y14,Density_Weighted_Stock_Weig!Y:Y,Density_Weighted_Stock_Weig!Z:Z)</f>
        <v>227379.5</v>
      </c>
      <c r="AD14" t="str">
        <f t="shared" si="2"/>
        <v>Above Weighted Average</v>
      </c>
      <c r="AE14" t="str">
        <f t="shared" si="3"/>
        <v>Below Weighted Average</v>
      </c>
      <c r="AF14" s="2" t="str" cm="1">
        <f t="array" ref="AF14">_xlfn.IFS(AND(AD14="Above Weighted Average",AE14="Below Weighted Average"),"3",AND(AD14="Above Weighted Average",AE14="Above Weighted Average"),"4",AND(AD14="Below Weighted Average",AE14="Above Weighted Average"),"2",AND(AD14="Below Weighted Average",AE14="Below Weighted Average"),"1")</f>
        <v>3</v>
      </c>
      <c r="AG14" t="str">
        <f t="shared" si="4"/>
        <v>Above Non Weighted Average</v>
      </c>
      <c r="AH14" t="str">
        <f t="shared" si="5"/>
        <v>Below Non Weighted Average</v>
      </c>
      <c r="AI14" s="2" t="str" cm="1">
        <f t="array" ref="AI14">_xlfn.IFS(AND(AG14="Above Non Weighted Average",AH14="Below Non Weighted Average"),"3",AND(AG14="Above Non Weighted Average",AH14="Above Non Weighted Average"),"4",AND(AG14="Below Non Weighted Average",AH14="Above Non Weighted Average"),"2",AND(AG14="Below Non Weighted Average",AH14="Below Non Weighted Average"),"1")</f>
        <v>3</v>
      </c>
      <c r="AJ14" t="b">
        <f t="shared" si="6"/>
        <v>1</v>
      </c>
      <c r="AK14" t="str">
        <f>IF(AA14&lt;Weighted_average,"Below","Above")</f>
        <v>Above</v>
      </c>
      <c r="AL14" t="str">
        <f>IF(AB14&lt;Stock_grad_ratio,"Below","Above")</f>
        <v>Below</v>
      </c>
      <c r="AM14" t="str">
        <f t="shared" si="7"/>
        <v>AboveBelow</v>
      </c>
      <c r="AN14" t="str">
        <f t="shared" si="8"/>
        <v>Q3</v>
      </c>
      <c r="BE14" s="64" t="s">
        <v>32</v>
      </c>
      <c r="BF14" s="65" t="s">
        <v>171</v>
      </c>
      <c r="BG14" s="47">
        <v>66.896135970779099</v>
      </c>
      <c r="BH14" s="47">
        <v>25.415291442768822</v>
      </c>
      <c r="BI14" s="47" t="str">
        <f t="shared" si="9"/>
        <v>Above Average</v>
      </c>
      <c r="BJ14" s="47" t="str">
        <f t="shared" si="10"/>
        <v>Above Average</v>
      </c>
      <c r="BK14" s="75" t="str" cm="1">
        <f t="array" ref="BK14">_xlfn.IFS(AND(BI14="Above Average",BJ14="Below Average"),"Q1",AND(BI14="Above Average",BJ14="Above Average"),"Q2",AND(BI14="Below Average",BJ14="Above Average"),"Q3",AND(BI14="Below Average",BJ14="Below Average"),"Q4")</f>
        <v>Q2</v>
      </c>
      <c r="BL14" s="47"/>
      <c r="BM14" s="74"/>
      <c r="BN14" s="74"/>
      <c r="BO14" s="74"/>
      <c r="BP14" s="74"/>
      <c r="BQ14" s="74"/>
      <c r="BR14" s="74"/>
      <c r="BS14" s="74"/>
      <c r="BT14" s="74"/>
      <c r="BU14" s="74"/>
    </row>
    <row r="15" spans="1:79" ht="29" x14ac:dyDescent="0.35">
      <c r="A15" s="64" t="s">
        <v>82</v>
      </c>
      <c r="B15" s="65" t="s">
        <v>151</v>
      </c>
      <c r="C15" s="42">
        <v>0.473026044369111</v>
      </c>
      <c r="D15" s="52">
        <v>6.2699966400000001E-2</v>
      </c>
      <c r="E15" s="47">
        <v>15.888047021793218</v>
      </c>
      <c r="H15" s="65" t="s">
        <v>151</v>
      </c>
      <c r="I15" s="3">
        <v>1.2010705164782889</v>
      </c>
      <c r="J15" s="67">
        <v>0.65717737391864628</v>
      </c>
      <c r="K15" s="47">
        <v>15.888047021793218</v>
      </c>
      <c r="L15" s="67">
        <v>4.5412705268813731</v>
      </c>
      <c r="M15" s="3">
        <f t="shared" si="0"/>
        <v>1.2010705164782889</v>
      </c>
      <c r="N15" s="3">
        <f t="shared" si="0"/>
        <v>0.65717737391864628</v>
      </c>
      <c r="P15" s="64" t="s">
        <v>82</v>
      </c>
      <c r="Q15" s="65" t="s">
        <v>151</v>
      </c>
      <c r="R15" s="67">
        <v>4.5412705268813731</v>
      </c>
      <c r="S15">
        <v>14.104125276326323</v>
      </c>
      <c r="V15" s="137">
        <f t="shared" si="1"/>
        <v>0.20974529453996291</v>
      </c>
      <c r="W15">
        <f>VLOOKUP(Z15,Sheet9!F$2:L$48,7,FALSE)</f>
        <v>4.0306959075243891E-2</v>
      </c>
      <c r="X15" s="137">
        <f>AB15/SUM($AB$2:$AB$48)</f>
        <v>5.6736430117676736E-3</v>
      </c>
      <c r="Y15" s="64" t="s">
        <v>44</v>
      </c>
      <c r="Z15" s="65" t="s">
        <v>183</v>
      </c>
      <c r="AA15">
        <f>VLOOKUP(Z15,Sheet12!A$2:C$48,3,FALSE)</f>
        <v>17.61894444744178</v>
      </c>
      <c r="AB15" s="67">
        <f>VLOOKUP(Z15,Sheet9!A$2:K$48,11,FALSE)</f>
        <v>5.2036992954099146</v>
      </c>
      <c r="AC15" s="67">
        <f>_xlfn.XLOOKUP(Y15,Density_Weighted_Stock_Weig!Y:Y,Density_Weighted_Stock_Weig!Z:Z)</f>
        <v>47249584.999999978</v>
      </c>
      <c r="AD15" t="str">
        <f t="shared" si="2"/>
        <v>Above Weighted Average</v>
      </c>
      <c r="AE15" t="str">
        <f t="shared" si="3"/>
        <v>Below Weighted Average</v>
      </c>
      <c r="AF15" s="2" t="str" cm="1">
        <f t="array" ref="AF15">_xlfn.IFS(AND(AD15="Above Weighted Average",AE15="Below Weighted Average"),"3",AND(AD15="Above Weighted Average",AE15="Above Weighted Average"),"4",AND(AD15="Below Weighted Average",AE15="Above Weighted Average"),"2",AND(AD15="Below Weighted Average",AE15="Below Weighted Average"),"1")</f>
        <v>3</v>
      </c>
      <c r="AG15" t="str">
        <f t="shared" si="4"/>
        <v>Below Non Weighted Average</v>
      </c>
      <c r="AH15" t="str">
        <f t="shared" si="5"/>
        <v>Below Non Weighted Average</v>
      </c>
      <c r="AI15" s="2" t="str" cm="1">
        <f t="array" ref="AI15">_xlfn.IFS(AND(AG15="Above Non Weighted Average",AH15="Below Non Weighted Average"),"3",AND(AG15="Above Non Weighted Average",AH15="Above Non Weighted Average"),"4",AND(AG15="Below Non Weighted Average",AH15="Above Non Weighted Average"),"2",AND(AG15="Below Non Weighted Average",AH15="Below Non Weighted Average"),"1")</f>
        <v>1</v>
      </c>
      <c r="AJ15" t="b">
        <f t="shared" si="6"/>
        <v>0</v>
      </c>
      <c r="AK15" t="str">
        <f>IF(AA15&lt;Weighted_average,"Below","Above")</f>
        <v>Above</v>
      </c>
      <c r="AL15" t="str">
        <f>IF(AB15&lt;Stock_grad_ratio,"Below","Above")</f>
        <v>Below</v>
      </c>
      <c r="AM15" t="str">
        <f t="shared" si="7"/>
        <v>AboveBelow</v>
      </c>
      <c r="AN15" t="str">
        <f t="shared" si="8"/>
        <v>Q3</v>
      </c>
      <c r="BE15" s="64" t="s">
        <v>60</v>
      </c>
      <c r="BF15" s="65" t="s">
        <v>142</v>
      </c>
      <c r="BG15" s="47">
        <v>60.895271765381224</v>
      </c>
      <c r="BH15" s="47">
        <v>22.857935830441416</v>
      </c>
      <c r="BI15" s="47" t="str">
        <f t="shared" si="9"/>
        <v>Above Average</v>
      </c>
      <c r="BJ15" s="47" t="str">
        <f t="shared" si="10"/>
        <v>Below Average</v>
      </c>
      <c r="BK15" s="75" t="str" cm="1">
        <f t="array" ref="BK15">_xlfn.IFS(AND(BI15="Above Average",BJ15="Below Average"),"Q1",AND(BI15="Above Average",BJ15="Above Average"),"Q2",AND(BI15="Below Average",BJ15="Above Average"),"Q3",AND(BI15="Below Average",BJ15="Below Average"),"Q4")</f>
        <v>Q1</v>
      </c>
      <c r="BL15" s="47"/>
      <c r="BM15">
        <v>1</v>
      </c>
      <c r="BN15" t="s">
        <v>101</v>
      </c>
      <c r="BO15" s="64" t="s">
        <v>157</v>
      </c>
      <c r="BP15" s="47">
        <v>7.6950371510478712</v>
      </c>
      <c r="BR15">
        <v>1</v>
      </c>
      <c r="BS15" t="s">
        <v>101</v>
      </c>
      <c r="BT15" s="64" t="s">
        <v>37</v>
      </c>
      <c r="BU15" s="47">
        <v>7.1829353403866092</v>
      </c>
    </row>
    <row r="16" spans="1:79" x14ac:dyDescent="0.35">
      <c r="A16" s="64" t="s">
        <v>14</v>
      </c>
      <c r="B16" s="65" t="s">
        <v>152</v>
      </c>
      <c r="C16" s="42">
        <v>0.473026044369111</v>
      </c>
      <c r="D16" s="52">
        <v>5.2922940299999999E-2</v>
      </c>
      <c r="E16" s="47">
        <v>27.930586305707227</v>
      </c>
      <c r="H16" s="65" t="s">
        <v>152</v>
      </c>
      <c r="I16" s="3">
        <v>1.4460800523018218</v>
      </c>
      <c r="J16" s="67">
        <v>-2.0394658534172067E-2</v>
      </c>
      <c r="K16" s="47">
        <v>27.930586305707227</v>
      </c>
      <c r="L16" s="67">
        <v>0.95412514516632685</v>
      </c>
      <c r="M16" s="3">
        <f t="shared" si="0"/>
        <v>1.4460800523018218</v>
      </c>
      <c r="N16" s="3">
        <f t="shared" si="0"/>
        <v>-2.0394658534172067E-2</v>
      </c>
      <c r="P16" s="64" t="s">
        <v>14</v>
      </c>
      <c r="Q16" s="65" t="s">
        <v>152</v>
      </c>
      <c r="R16" s="67">
        <v>0.95412514516632685</v>
      </c>
      <c r="S16">
        <v>10.007213798082931</v>
      </c>
      <c r="V16" s="137">
        <f t="shared" si="1"/>
        <v>4.4593588456923152</v>
      </c>
      <c r="W16">
        <f>VLOOKUP(Z16,Sheet9!F$2:L$48,7,FALSE)</f>
        <v>5.9287684059640917E-2</v>
      </c>
      <c r="X16" s="137">
        <f>AB16/SUM($AB$2:$AB$48)</f>
        <v>8.2008288765736626E-2</v>
      </c>
      <c r="Y16" s="64" t="s">
        <v>23</v>
      </c>
      <c r="Z16" s="65" t="s">
        <v>162</v>
      </c>
      <c r="AA16">
        <f>VLOOKUP(Z16,Sheet12!A$2:C$48,3,FALSE)</f>
        <v>22.664574423015459</v>
      </c>
      <c r="AB16" s="67">
        <f>VLOOKUP(Z16,Sheet9!A$2:K$48,11,FALSE)</f>
        <v>75.215601965601962</v>
      </c>
      <c r="AC16" s="67">
        <f>_xlfn.XLOOKUP(Y16,Density_Weighted_Stock_Weig!Y:Y,Density_Weighted_Stock_Weig!Z:Z)</f>
        <v>54027486.999999985</v>
      </c>
      <c r="AD16" t="str">
        <f t="shared" si="2"/>
        <v>Above Weighted Average</v>
      </c>
      <c r="AE16" t="str">
        <f t="shared" si="3"/>
        <v>Above Weighted Average</v>
      </c>
      <c r="AF16" s="2" t="str" cm="1">
        <f t="array" ref="AF16">_xlfn.IFS(AND(AD16="Above Weighted Average",AE16="Below Weighted Average"),"3",AND(AD16="Above Weighted Average",AE16="Above Weighted Average"),"4",AND(AD16="Below Weighted Average",AE16="Above Weighted Average"),"2",AND(AD16="Below Weighted Average",AE16="Below Weighted Average"),"1")</f>
        <v>4</v>
      </c>
      <c r="AG16" t="str">
        <f t="shared" si="4"/>
        <v>Above Non Weighted Average</v>
      </c>
      <c r="AH16" t="str">
        <f t="shared" si="5"/>
        <v>Above Non Weighted Average</v>
      </c>
      <c r="AI16" s="2" t="str" cm="1">
        <f t="array" ref="AI16">_xlfn.IFS(AND(AG16="Above Non Weighted Average",AH16="Below Non Weighted Average"),"3",AND(AG16="Above Non Weighted Average",AH16="Above Non Weighted Average"),"4",AND(AG16="Below Non Weighted Average",AH16="Above Non Weighted Average"),"2",AND(AG16="Below Non Weighted Average",AH16="Below Non Weighted Average"),"1")</f>
        <v>4</v>
      </c>
      <c r="AJ16" t="b">
        <f t="shared" si="6"/>
        <v>1</v>
      </c>
      <c r="AK16" t="str">
        <f>IF(AA16&lt;Weighted_average,"Below","Above")</f>
        <v>Above</v>
      </c>
      <c r="AL16" t="str">
        <f>IF(AB16&lt;Stock_grad_ratio,"Below","Above")</f>
        <v>Above</v>
      </c>
      <c r="AM16" t="str">
        <f t="shared" si="7"/>
        <v>AboveAbove</v>
      </c>
      <c r="AN16" t="str">
        <f t="shared" si="8"/>
        <v>Q4</v>
      </c>
      <c r="BE16" s="64" t="s">
        <v>1</v>
      </c>
      <c r="BF16" s="65" t="s">
        <v>136</v>
      </c>
      <c r="BG16" s="47">
        <v>42.170245010241459</v>
      </c>
      <c r="BH16" s="47">
        <v>22.857935830441416</v>
      </c>
      <c r="BI16" s="47" t="str">
        <f t="shared" si="9"/>
        <v>Above Average</v>
      </c>
      <c r="BJ16" s="47" t="str">
        <f t="shared" si="10"/>
        <v>Below Average</v>
      </c>
      <c r="BK16" s="75" t="str" cm="1">
        <f t="array" ref="BK16">_xlfn.IFS(AND(BI16="Above Average",BJ16="Below Average"),"Q1",AND(BI16="Above Average",BJ16="Above Average"),"Q2",AND(BI16="Below Average",BJ16="Above Average"),"Q3",AND(BI16="Below Average",BJ16="Below Average"),"Q4")</f>
        <v>Q1</v>
      </c>
      <c r="BL16" s="47"/>
      <c r="BM16">
        <v>2</v>
      </c>
      <c r="BN16" t="s">
        <v>101</v>
      </c>
      <c r="BO16" s="64" t="s">
        <v>41</v>
      </c>
      <c r="BP16" s="47">
        <v>7.3360946163777347</v>
      </c>
      <c r="BR16">
        <v>2</v>
      </c>
      <c r="BS16" t="s">
        <v>101</v>
      </c>
      <c r="BT16" s="64" t="s">
        <v>5</v>
      </c>
      <c r="BU16" s="47">
        <v>6.4928625093914354</v>
      </c>
    </row>
    <row r="17" spans="1:73" x14ac:dyDescent="0.35">
      <c r="A17" s="64" t="s">
        <v>15</v>
      </c>
      <c r="B17" s="65" t="s">
        <v>153</v>
      </c>
      <c r="C17" s="42">
        <v>0.67300000000000004</v>
      </c>
      <c r="D17" s="52">
        <v>2.3541069000000001E-2</v>
      </c>
      <c r="E17" s="47">
        <v>38.107951184321514</v>
      </c>
      <c r="H17" s="65" t="s">
        <v>153</v>
      </c>
      <c r="I17" s="3">
        <v>1.5810156002215963</v>
      </c>
      <c r="J17" s="67">
        <v>1.1226923285672605</v>
      </c>
      <c r="K17" s="47">
        <v>38.107951184321514</v>
      </c>
      <c r="L17" s="67">
        <v>13.264544118808269</v>
      </c>
      <c r="M17" s="3">
        <f t="shared" si="0"/>
        <v>1.5810156002215963</v>
      </c>
      <c r="N17" s="3">
        <f t="shared" si="0"/>
        <v>1.1226923285672605</v>
      </c>
      <c r="P17" s="64" t="s">
        <v>15</v>
      </c>
      <c r="Q17" s="65" t="s">
        <v>153</v>
      </c>
      <c r="R17" s="67">
        <v>13.264544118808269</v>
      </c>
      <c r="S17">
        <v>14.584070867806926</v>
      </c>
      <c r="V17" s="137">
        <f t="shared" si="1"/>
        <v>6.9066102151313175E-2</v>
      </c>
      <c r="W17">
        <f>VLOOKUP(Z17,Sheet9!F$2:L$48,7,FALSE)</f>
        <v>8.1205791463385153E-3</v>
      </c>
      <c r="X17" s="137">
        <f>AB17/SUM($AB$2:$AB$48)</f>
        <v>9.2731600866670545E-3</v>
      </c>
      <c r="Y17" s="64" t="s">
        <v>39</v>
      </c>
      <c r="Z17" s="65" t="s">
        <v>179</v>
      </c>
      <c r="AA17">
        <f>VLOOKUP(Z17,Sheet12!A$2:C$48,3,FALSE)</f>
        <v>19.489367418267701</v>
      </c>
      <c r="AB17" s="67">
        <f>VLOOKUP(Z17,Sheet9!A$2:K$48,11,FALSE)</f>
        <v>8.5050709939148081</v>
      </c>
      <c r="AC17" s="67">
        <f>_xlfn.XLOOKUP(Y17,Density_Weighted_Stock_Weig!Y:Y,Density_Weighted_Stock_Weig!Z:Z)</f>
        <v>8605718.0000000056</v>
      </c>
      <c r="AD17" t="str">
        <f t="shared" si="2"/>
        <v>Above Weighted Average</v>
      </c>
      <c r="AE17" t="str">
        <f t="shared" si="3"/>
        <v>Below Weighted Average</v>
      </c>
      <c r="AF17" s="2" t="str" cm="1">
        <f t="array" ref="AF17">_xlfn.IFS(AND(AD17="Above Weighted Average",AE17="Below Weighted Average"),"3",AND(AD17="Above Weighted Average",AE17="Above Weighted Average"),"4",AND(AD17="Below Weighted Average",AE17="Above Weighted Average"),"2",AND(AD17="Below Weighted Average",AE17="Below Weighted Average"),"1")</f>
        <v>3</v>
      </c>
      <c r="AG17" t="str">
        <f t="shared" si="4"/>
        <v>Below Non Weighted Average</v>
      </c>
      <c r="AH17" t="str">
        <f t="shared" si="5"/>
        <v>Below Non Weighted Average</v>
      </c>
      <c r="AI17" s="2" t="str" cm="1">
        <f t="array" ref="AI17">_xlfn.IFS(AND(AG17="Above Non Weighted Average",AH17="Below Non Weighted Average"),"3",AND(AG17="Above Non Weighted Average",AH17="Above Non Weighted Average"),"4",AND(AG17="Below Non Weighted Average",AH17="Above Non Weighted Average"),"2",AND(AG17="Below Non Weighted Average",AH17="Below Non Weighted Average"),"1")</f>
        <v>1</v>
      </c>
      <c r="AJ17" t="b">
        <f t="shared" si="6"/>
        <v>0</v>
      </c>
      <c r="AK17" t="str">
        <f>IF(AA17&lt;Weighted_average,"Below","Above")</f>
        <v>Above</v>
      </c>
      <c r="AL17" t="str">
        <f>IF(AB17&lt;Stock_grad_ratio,"Below","Above")</f>
        <v>Below</v>
      </c>
      <c r="AM17" t="str">
        <f t="shared" si="7"/>
        <v>AboveBelow</v>
      </c>
      <c r="AN17" t="str">
        <f t="shared" si="8"/>
        <v>Q3</v>
      </c>
      <c r="BE17" s="64" t="s">
        <v>175</v>
      </c>
      <c r="BF17" s="65" t="s">
        <v>176</v>
      </c>
      <c r="BG17" s="47">
        <v>25.080738156916041</v>
      </c>
      <c r="BH17" s="47">
        <v>22.857935830441416</v>
      </c>
      <c r="BI17" s="47" t="str">
        <f t="shared" si="9"/>
        <v>Above Average</v>
      </c>
      <c r="BJ17" s="47" t="str">
        <f t="shared" si="10"/>
        <v>Below Average</v>
      </c>
      <c r="BK17" s="75" t="str" cm="1">
        <f t="array" ref="BK17">_xlfn.IFS(AND(BI17="Above Average",BJ17="Below Average"),"Q1",AND(BI17="Above Average",BJ17="Above Average"),"Q2",AND(BI17="Below Average",BJ17="Above Average"),"Q3",AND(BI17="Below Average",BJ17="Below Average"),"Q4")</f>
        <v>Q1</v>
      </c>
      <c r="BL17" s="47"/>
      <c r="BM17">
        <v>3</v>
      </c>
      <c r="BN17" t="s">
        <v>101</v>
      </c>
      <c r="BO17" s="64" t="s">
        <v>42</v>
      </c>
      <c r="BP17" s="47">
        <v>6.2037247448568724</v>
      </c>
      <c r="BR17">
        <v>3</v>
      </c>
      <c r="BS17" t="s">
        <v>101</v>
      </c>
      <c r="BT17" s="64" t="s">
        <v>7</v>
      </c>
      <c r="BU17" s="47">
        <v>5.8473988439306357</v>
      </c>
    </row>
    <row r="18" spans="1:73" x14ac:dyDescent="0.35">
      <c r="A18" s="64" t="s">
        <v>16</v>
      </c>
      <c r="B18" s="65" t="s">
        <v>154</v>
      </c>
      <c r="C18" s="42">
        <v>0.3</v>
      </c>
      <c r="D18" s="52">
        <v>9.9682931900000007E-2</v>
      </c>
      <c r="E18" s="47">
        <v>140.19826135915432</v>
      </c>
      <c r="H18" s="65" t="s">
        <v>154</v>
      </c>
      <c r="I18" s="3">
        <v>2.1467426278474209</v>
      </c>
      <c r="J18" s="67">
        <v>1.5688614676890389</v>
      </c>
      <c r="K18" s="47">
        <v>140.19826135915432</v>
      </c>
      <c r="L18" s="67">
        <v>37.056249999999999</v>
      </c>
      <c r="M18" s="3">
        <f t="shared" si="0"/>
        <v>2.1467426278474209</v>
      </c>
      <c r="N18" s="3">
        <f t="shared" si="0"/>
        <v>1.5688614676890389</v>
      </c>
      <c r="P18" s="64" t="s">
        <v>16</v>
      </c>
      <c r="Q18" s="65" t="s">
        <v>154</v>
      </c>
      <c r="R18" s="67">
        <v>37.056249999999999</v>
      </c>
      <c r="S18">
        <v>49.456152913797929</v>
      </c>
      <c r="V18" s="137">
        <f t="shared" si="1"/>
        <v>0.77320051208429841</v>
      </c>
      <c r="W18">
        <f>VLOOKUP(Z18,Sheet9!F$2:L$48,7,FALSE)</f>
        <v>3.6511790281603951E-2</v>
      </c>
      <c r="X18" s="137">
        <f>AB18/SUM($AB$2:$AB$48)</f>
        <v>2.3089196451949068E-2</v>
      </c>
      <c r="Y18" s="64" t="s">
        <v>2</v>
      </c>
      <c r="Z18" s="65" t="s">
        <v>137</v>
      </c>
      <c r="AA18">
        <f>VLOOKUP(Z18,Sheet12!A$2:C$48,3,FALSE)</f>
        <v>21.189238630023297</v>
      </c>
      <c r="AB18" s="67">
        <f>VLOOKUP(Z18,Sheet9!A$2:K$48,11,FALSE)</f>
        <v>21.176735134619424</v>
      </c>
      <c r="AC18" s="67">
        <f>_xlfn.XLOOKUP(Y18,Density_Weighted_Stock_Weig!Y:Y,Density_Weighted_Stock_Weig!Z:Z)</f>
        <v>35588987.00000003</v>
      </c>
      <c r="AD18" t="str">
        <f t="shared" si="2"/>
        <v>Above Weighted Average</v>
      </c>
      <c r="AE18" t="str">
        <f t="shared" si="3"/>
        <v>Below Weighted Average</v>
      </c>
      <c r="AF18" s="2" t="str" cm="1">
        <f t="array" ref="AF18">_xlfn.IFS(AND(AD18="Above Weighted Average",AE18="Below Weighted Average"),"3",AND(AD18="Above Weighted Average",AE18="Above Weighted Average"),"4",AND(AD18="Below Weighted Average",AE18="Above Weighted Average"),"2",AND(AD18="Below Weighted Average",AE18="Below Weighted Average"),"1")</f>
        <v>3</v>
      </c>
      <c r="AG18" t="str">
        <f t="shared" si="4"/>
        <v>Below Non Weighted Average</v>
      </c>
      <c r="AH18" t="str">
        <f t="shared" si="5"/>
        <v>Above Non Weighted Average</v>
      </c>
      <c r="AI18" s="2" t="str" cm="1">
        <f t="array" ref="AI18">_xlfn.IFS(AND(AG18="Above Non Weighted Average",AH18="Below Non Weighted Average"),"3",AND(AG18="Above Non Weighted Average",AH18="Above Non Weighted Average"),"4",AND(AG18="Below Non Weighted Average",AH18="Above Non Weighted Average"),"2",AND(AG18="Below Non Weighted Average",AH18="Below Non Weighted Average"),"1")</f>
        <v>2</v>
      </c>
      <c r="AJ18" t="b">
        <f t="shared" si="6"/>
        <v>0</v>
      </c>
      <c r="AK18" t="str">
        <f>IF(AA18&lt;Weighted_average,"Below","Above")</f>
        <v>Above</v>
      </c>
      <c r="AL18" t="str">
        <f>IF(AB18&lt;Stock_grad_ratio,"Below","Above")</f>
        <v>Below</v>
      </c>
      <c r="AM18" t="str">
        <f t="shared" si="7"/>
        <v>AboveBelow</v>
      </c>
      <c r="AN18" t="str">
        <f t="shared" si="8"/>
        <v>Q3</v>
      </c>
      <c r="BE18" s="64" t="s">
        <v>22</v>
      </c>
      <c r="BF18" s="65" t="s">
        <v>161</v>
      </c>
      <c r="BG18" s="47">
        <v>12.380872332200333</v>
      </c>
      <c r="BH18" s="47">
        <v>22.857935830441416</v>
      </c>
      <c r="BI18" s="47" t="str">
        <f t="shared" si="9"/>
        <v>Below Average</v>
      </c>
      <c r="BJ18" s="47" t="str">
        <f t="shared" si="10"/>
        <v>Below Average</v>
      </c>
      <c r="BK18" s="75" t="str" cm="1">
        <f t="array" ref="BK18">_xlfn.IFS(AND(BI18="Above Average",BJ18="Below Average"),"Q1",AND(BI18="Above Average",BJ18="Above Average"),"Q2",AND(BI18="Below Average",BJ18="Above Average"),"Q3",AND(BI18="Below Average",BJ18="Below Average"),"Q4")</f>
        <v>Q4</v>
      </c>
      <c r="BL18" s="47"/>
      <c r="BM18">
        <v>4</v>
      </c>
      <c r="BN18" t="s">
        <v>101</v>
      </c>
      <c r="BO18" s="64" t="s">
        <v>37</v>
      </c>
      <c r="BP18" s="47">
        <v>6.108947758593815</v>
      </c>
      <c r="BR18">
        <v>4</v>
      </c>
      <c r="BS18" t="s">
        <v>101</v>
      </c>
      <c r="BT18" s="64" t="s">
        <v>6</v>
      </c>
      <c r="BU18" s="47">
        <v>5.7962394193302087</v>
      </c>
    </row>
    <row r="19" spans="1:73" x14ac:dyDescent="0.35">
      <c r="A19" s="64" t="s">
        <v>17</v>
      </c>
      <c r="B19" s="65" t="s">
        <v>155</v>
      </c>
      <c r="C19" s="42">
        <v>0.18662367321998</v>
      </c>
      <c r="D19" s="52">
        <v>6.79223251E-2</v>
      </c>
      <c r="E19" s="47">
        <v>33.829583652601642</v>
      </c>
      <c r="H19" s="65" t="s">
        <v>155</v>
      </c>
      <c r="I19" s="3">
        <v>1.5292966528725109</v>
      </c>
      <c r="J19" s="67">
        <v>1.2166581852846132</v>
      </c>
      <c r="K19" s="47">
        <v>33.829583652601642</v>
      </c>
      <c r="L19" s="67">
        <v>16.468657033574161</v>
      </c>
      <c r="M19" s="3">
        <f t="shared" si="0"/>
        <v>1.5292966528725109</v>
      </c>
      <c r="N19" s="3">
        <f t="shared" si="0"/>
        <v>1.2166581852846132</v>
      </c>
      <c r="P19" s="64" t="s">
        <v>17</v>
      </c>
      <c r="Q19" s="65" t="s">
        <v>155</v>
      </c>
      <c r="R19" s="67">
        <v>16.468657033574161</v>
      </c>
      <c r="S19">
        <v>15.362628950222767</v>
      </c>
      <c r="V19" s="137">
        <f t="shared" si="1"/>
        <v>2.6545543803314682</v>
      </c>
      <c r="W19">
        <f>VLOOKUP(Z19,Sheet9!F$2:L$48,7,FALSE)</f>
        <v>0.14857483651345871</v>
      </c>
      <c r="X19" s="137">
        <f>AB19/SUM($AB$2:$AB$48)</f>
        <v>1.9480324171030305E-2</v>
      </c>
      <c r="Y19" s="64" t="s">
        <v>34</v>
      </c>
      <c r="Z19" s="65" t="s">
        <v>173</v>
      </c>
      <c r="AA19">
        <f>VLOOKUP(Z19,Sheet12!A$2:C$48,3,FALSE)</f>
        <v>14.041379101625415</v>
      </c>
      <c r="AB19" s="67">
        <f>VLOOKUP(Z19,Sheet9!A$2:K$48,11,FALSE)</f>
        <v>17.866783114992721</v>
      </c>
      <c r="AC19" s="67">
        <f>_xlfn.XLOOKUP(Y19,Density_Weighted_Stock_Weig!Y:Y,Density_Weighted_Stock_Weig!Z:Z)</f>
        <v>218541211.50000003</v>
      </c>
      <c r="AD19" t="str">
        <f t="shared" si="2"/>
        <v>Below Weighted Average</v>
      </c>
      <c r="AE19" t="str">
        <f t="shared" si="3"/>
        <v>Below Weighted Average</v>
      </c>
      <c r="AF19" s="2" t="str" cm="1">
        <f t="array" ref="AF19">_xlfn.IFS(AND(AD19="Above Weighted Average",AE19="Below Weighted Average"),"3",AND(AD19="Above Weighted Average",AE19="Above Weighted Average"),"4",AND(AD19="Below Weighted Average",AE19="Above Weighted Average"),"2",AND(AD19="Below Weighted Average",AE19="Below Weighted Average"),"1")</f>
        <v>1</v>
      </c>
      <c r="AG19" t="str">
        <f t="shared" si="4"/>
        <v>Below Non Weighted Average</v>
      </c>
      <c r="AH19" t="str">
        <f t="shared" si="5"/>
        <v>Below Non Weighted Average</v>
      </c>
      <c r="AI19" s="2" t="str" cm="1">
        <f t="array" ref="AI19">_xlfn.IFS(AND(AG19="Above Non Weighted Average",AH19="Below Non Weighted Average"),"3",AND(AG19="Above Non Weighted Average",AH19="Above Non Weighted Average"),"4",AND(AG19="Below Non Weighted Average",AH19="Above Non Weighted Average"),"2",AND(AG19="Below Non Weighted Average",AH19="Below Non Weighted Average"),"1")</f>
        <v>1</v>
      </c>
      <c r="AJ19" t="b">
        <f t="shared" si="6"/>
        <v>1</v>
      </c>
      <c r="AK19" t="str">
        <f>IF(AA19&lt;Weighted_average,"Below","Above")</f>
        <v>Below</v>
      </c>
      <c r="AL19" t="str">
        <f>IF(AB19&lt;Stock_grad_ratio,"Below","Above")</f>
        <v>Below</v>
      </c>
      <c r="AM19" t="str">
        <f t="shared" si="7"/>
        <v>BelowBelow</v>
      </c>
      <c r="AN19" t="str">
        <f t="shared" si="8"/>
        <v>Q1</v>
      </c>
      <c r="BE19" s="64" t="s">
        <v>28</v>
      </c>
      <c r="BF19" s="65" t="s">
        <v>167</v>
      </c>
      <c r="BG19" s="47">
        <v>5.5984926364175651</v>
      </c>
      <c r="BH19" s="47">
        <v>22.857935830441416</v>
      </c>
      <c r="BI19" s="47" t="str">
        <f t="shared" si="9"/>
        <v>Below Average</v>
      </c>
      <c r="BJ19" s="47" t="str">
        <f t="shared" si="10"/>
        <v>Below Average</v>
      </c>
      <c r="BK19" s="75" t="str" cm="1">
        <f t="array" ref="BK19">_xlfn.IFS(AND(BI19="Above Average",BJ19="Below Average"),"Q1",AND(BI19="Above Average",BJ19="Above Average"),"Q2",AND(BI19="Below Average",BJ19="Above Average"),"Q3",AND(BI19="Below Average",BJ19="Below Average"),"Q4")</f>
        <v>Q4</v>
      </c>
      <c r="BL19" s="47"/>
      <c r="BM19">
        <v>5</v>
      </c>
      <c r="BN19" t="s">
        <v>101</v>
      </c>
      <c r="BO19" s="64" t="s">
        <v>43</v>
      </c>
      <c r="BP19" s="47">
        <v>5.9036930685343147</v>
      </c>
      <c r="BR19">
        <v>5</v>
      </c>
      <c r="BS19" t="s">
        <v>101</v>
      </c>
      <c r="BT19" s="64" t="s">
        <v>20</v>
      </c>
      <c r="BU19" s="47">
        <v>5.6456748687645337</v>
      </c>
    </row>
    <row r="20" spans="1:73" x14ac:dyDescent="0.35">
      <c r="A20" s="64" t="s">
        <v>18</v>
      </c>
      <c r="B20" s="65" t="s">
        <v>156</v>
      </c>
      <c r="C20" s="42">
        <v>0.487577741763977</v>
      </c>
      <c r="D20" s="52">
        <v>9.5915584600000006E-2</v>
      </c>
      <c r="E20" s="47">
        <v>57.112151673993168</v>
      </c>
      <c r="H20" s="65" t="s">
        <v>156</v>
      </c>
      <c r="I20" s="3">
        <v>1.7567285223174451</v>
      </c>
      <c r="J20" s="67">
        <v>1.6301601552531939</v>
      </c>
      <c r="K20" s="47">
        <v>57.112151673993168</v>
      </c>
      <c r="L20" s="67">
        <v>42.673685800866124</v>
      </c>
      <c r="M20" s="3">
        <f t="shared" si="0"/>
        <v>1.7567285223174451</v>
      </c>
      <c r="N20" s="3">
        <f t="shared" si="0"/>
        <v>1.6301601552531939</v>
      </c>
      <c r="P20" s="64" t="s">
        <v>18</v>
      </c>
      <c r="Q20" s="65" t="s">
        <v>156</v>
      </c>
      <c r="R20" s="67">
        <v>42.673685800866124</v>
      </c>
      <c r="S20">
        <v>29.037302117617038</v>
      </c>
      <c r="V20" s="137">
        <f t="shared" si="1"/>
        <v>9.803004051906563E-3</v>
      </c>
      <c r="W20">
        <f>VLOOKUP(Z20,Sheet9!F$2:L$48,7,FALSE)</f>
        <v>5.5146100288126386E-4</v>
      </c>
      <c r="X20" s="137">
        <f>AB20/SUM($AB$2:$AB$48)</f>
        <v>1.9381803668600581E-2</v>
      </c>
      <c r="Y20" s="64" t="s">
        <v>10</v>
      </c>
      <c r="Z20" s="65" t="s">
        <v>146</v>
      </c>
      <c r="AA20">
        <f>VLOOKUP(Z20,Sheet12!A$2:C$48,3,FALSE)</f>
        <v>13.611460856143795</v>
      </c>
      <c r="AB20" s="67">
        <f>VLOOKUP(Z20,Sheet9!A$2:K$48,11,FALSE)</f>
        <v>17.776422993988692</v>
      </c>
      <c r="AC20" s="67">
        <f>_xlfn.XLOOKUP(Y20,Density_Weighted_Stock_Weig!Y:Y,Density_Weighted_Stock_Weig!Z:Z)</f>
        <v>836773.49999999977</v>
      </c>
      <c r="AD20" t="str">
        <f t="shared" si="2"/>
        <v>Below Weighted Average</v>
      </c>
      <c r="AE20" t="str">
        <f t="shared" si="3"/>
        <v>Below Weighted Average</v>
      </c>
      <c r="AF20" s="2" t="str" cm="1">
        <f t="array" ref="AF20">_xlfn.IFS(AND(AD20="Above Weighted Average",AE20="Below Weighted Average"),"3",AND(AD20="Above Weighted Average",AE20="Above Weighted Average"),"4",AND(AD20="Below Weighted Average",AE20="Above Weighted Average"),"2",AND(AD20="Below Weighted Average",AE20="Below Weighted Average"),"1")</f>
        <v>1</v>
      </c>
      <c r="AG20" t="str">
        <f t="shared" si="4"/>
        <v>Below Non Weighted Average</v>
      </c>
      <c r="AH20" t="str">
        <f t="shared" si="5"/>
        <v>Below Non Weighted Average</v>
      </c>
      <c r="AI20" s="2" t="str" cm="1">
        <f t="array" ref="AI20">_xlfn.IFS(AND(AG20="Above Non Weighted Average",AH20="Below Non Weighted Average"),"3",AND(AG20="Above Non Weighted Average",AH20="Above Non Weighted Average"),"4",AND(AG20="Below Non Weighted Average",AH20="Above Non Weighted Average"),"2",AND(AG20="Below Non Weighted Average",AH20="Below Non Weighted Average"),"1")</f>
        <v>1</v>
      </c>
      <c r="AJ20" t="b">
        <f t="shared" si="6"/>
        <v>1</v>
      </c>
      <c r="AK20" t="str">
        <f>IF(AA20&lt;Weighted_average,"Below","Above")</f>
        <v>Below</v>
      </c>
      <c r="AL20" t="str">
        <f>IF(AB20&lt;Stock_grad_ratio,"Below","Above")</f>
        <v>Below</v>
      </c>
      <c r="AM20" t="str">
        <f t="shared" si="7"/>
        <v>BelowBelow</v>
      </c>
      <c r="AN20" t="str">
        <f t="shared" si="8"/>
        <v>Q1</v>
      </c>
      <c r="BE20" s="64" t="s">
        <v>27</v>
      </c>
      <c r="BF20" s="65" t="s">
        <v>166</v>
      </c>
      <c r="BG20" s="47">
        <v>5.5434395125336913</v>
      </c>
      <c r="BH20" s="47">
        <v>21.348430688993169</v>
      </c>
      <c r="BI20" s="47" t="str">
        <f t="shared" si="9"/>
        <v>Below Average</v>
      </c>
      <c r="BJ20" s="47" t="str">
        <f t="shared" si="10"/>
        <v>Below Average</v>
      </c>
      <c r="BK20" s="75" t="str" cm="1">
        <f t="array" ref="BK20">_xlfn.IFS(AND(BI20="Above Average",BJ20="Below Average"),"Q1",AND(BI20="Above Average",BJ20="Above Average"),"Q2",AND(BI20="Below Average",BJ20="Above Average"),"Q3",AND(BI20="Below Average",BJ20="Below Average"),"Q4")</f>
        <v>Q4</v>
      </c>
      <c r="BL20" s="47"/>
      <c r="BM20">
        <v>6</v>
      </c>
      <c r="BN20" t="s">
        <v>101</v>
      </c>
      <c r="BO20" s="64" t="s">
        <v>28</v>
      </c>
      <c r="BP20" s="47">
        <v>5.5984926364175651</v>
      </c>
      <c r="BR20">
        <v>6</v>
      </c>
      <c r="BS20" t="s">
        <v>101</v>
      </c>
      <c r="BT20" s="64" t="s">
        <v>44</v>
      </c>
      <c r="BU20" s="47">
        <v>5.2036992954099146</v>
      </c>
    </row>
    <row r="21" spans="1:73" x14ac:dyDescent="0.35">
      <c r="A21" s="64" t="s">
        <v>157</v>
      </c>
      <c r="B21" s="65" t="s">
        <v>158</v>
      </c>
      <c r="C21" s="42">
        <v>0.170669454827377</v>
      </c>
      <c r="D21" s="52">
        <v>5.4796643300000003E-2</v>
      </c>
      <c r="E21" s="47">
        <v>34.171087572485987</v>
      </c>
      <c r="H21" s="65" t="s">
        <v>158</v>
      </c>
      <c r="I21" s="3">
        <v>1.5336588014271741</v>
      </c>
      <c r="J21" s="67">
        <v>1.027163743248569</v>
      </c>
      <c r="K21" s="47">
        <v>34.171087572485987</v>
      </c>
      <c r="L21" s="67">
        <v>10.645443106523956</v>
      </c>
      <c r="M21" s="3">
        <f t="shared" si="0"/>
        <v>1.5336588014271741</v>
      </c>
      <c r="N21" s="3">
        <f t="shared" si="0"/>
        <v>1.027163743248569</v>
      </c>
      <c r="P21" s="64" t="s">
        <v>157</v>
      </c>
      <c r="Q21" s="65" t="s">
        <v>158</v>
      </c>
      <c r="R21" s="67">
        <v>10.645443106523956</v>
      </c>
      <c r="S21">
        <v>7.6950371510478712</v>
      </c>
      <c r="V21" s="137">
        <f t="shared" si="1"/>
        <v>3.9595190046827662E-3</v>
      </c>
      <c r="W21">
        <f>VLOOKUP(Z21,Sheet9!F$2:L$48,7,FALSE)</f>
        <v>8.5800121526411356E-4</v>
      </c>
      <c r="X21" s="137">
        <f>AB21/SUM($AB$2:$AB$48)</f>
        <v>5.0315795457204528E-3</v>
      </c>
      <c r="Y21" s="64" t="s">
        <v>24</v>
      </c>
      <c r="Z21" s="65" t="s">
        <v>163</v>
      </c>
      <c r="AA21">
        <f>VLOOKUP(Z21,Sheet12!A$2:C$48,3,FALSE)</f>
        <v>7.6852732858695818</v>
      </c>
      <c r="AB21" s="67">
        <f>VLOOKUP(Z21,Sheet9!A$2:K$48,11,FALSE)</f>
        <v>4.6148174783924176</v>
      </c>
      <c r="AC21" s="67">
        <f>_xlfn.XLOOKUP(Y21,Density_Weighted_Stock_Weig!Y:Y,Density_Weighted_Stock_Weig!Z:Z)</f>
        <v>2305825.5000000019</v>
      </c>
      <c r="AD21" t="str">
        <f t="shared" si="2"/>
        <v>Below Weighted Average</v>
      </c>
      <c r="AE21" t="str">
        <f t="shared" si="3"/>
        <v>Below Weighted Average</v>
      </c>
      <c r="AF21" s="2" t="str" cm="1">
        <f t="array" ref="AF21">_xlfn.IFS(AND(AD21="Above Weighted Average",AE21="Below Weighted Average"),"3",AND(AD21="Above Weighted Average",AE21="Above Weighted Average"),"4",AND(AD21="Below Weighted Average",AE21="Above Weighted Average"),"2",AND(AD21="Below Weighted Average",AE21="Below Weighted Average"),"1")</f>
        <v>1</v>
      </c>
      <c r="AG21" t="str">
        <f t="shared" si="4"/>
        <v>Below Non Weighted Average</v>
      </c>
      <c r="AH21" t="str">
        <f t="shared" si="5"/>
        <v>Below Non Weighted Average</v>
      </c>
      <c r="AI21" s="2" t="str" cm="1">
        <f t="array" ref="AI21">_xlfn.IFS(AND(AG21="Above Non Weighted Average",AH21="Below Non Weighted Average"),"3",AND(AG21="Above Non Weighted Average",AH21="Above Non Weighted Average"),"4",AND(AG21="Below Non Weighted Average",AH21="Above Non Weighted Average"),"2",AND(AG21="Below Non Weighted Average",AH21="Below Non Weighted Average"),"1")</f>
        <v>1</v>
      </c>
      <c r="AJ21" t="b">
        <f t="shared" si="6"/>
        <v>1</v>
      </c>
      <c r="AK21" t="str">
        <f>IF(AA21&lt;Weighted_average,"Below","Above")</f>
        <v>Below</v>
      </c>
      <c r="AL21" t="str">
        <f>IF(AB21&lt;Stock_grad_ratio,"Below","Above")</f>
        <v>Below</v>
      </c>
      <c r="AM21" t="str">
        <f t="shared" si="7"/>
        <v>BelowBelow</v>
      </c>
      <c r="AN21" t="str">
        <f t="shared" si="8"/>
        <v>Q1</v>
      </c>
      <c r="BE21" s="64" t="s">
        <v>2</v>
      </c>
      <c r="BF21" s="65" t="s">
        <v>137</v>
      </c>
      <c r="BG21" s="47">
        <v>21.19840588956373</v>
      </c>
      <c r="BH21" s="47">
        <v>21.176735134619424</v>
      </c>
      <c r="BI21" s="47" t="str">
        <f t="shared" si="9"/>
        <v>Below Average</v>
      </c>
      <c r="BJ21" s="47" t="str">
        <f t="shared" si="10"/>
        <v>Below Average</v>
      </c>
      <c r="BK21" s="75" t="str" cm="1">
        <f t="array" ref="BK21">_xlfn.IFS(AND(BI21="Above Average",BJ21="Below Average"),"Q1",AND(BI21="Above Average",BJ21="Above Average"),"Q2",AND(BI21="Below Average",BJ21="Above Average"),"Q3",AND(BI21="Below Average",BJ21="Below Average"),"Q4")</f>
        <v>Q4</v>
      </c>
      <c r="BL21" s="47"/>
      <c r="BM21">
        <v>7</v>
      </c>
      <c r="BN21" t="s">
        <v>101</v>
      </c>
      <c r="BO21" s="64" t="s">
        <v>27</v>
      </c>
      <c r="BP21" s="47">
        <v>5.5434395125336913</v>
      </c>
      <c r="BR21">
        <v>7</v>
      </c>
      <c r="BS21" t="s">
        <v>101</v>
      </c>
      <c r="BT21" s="64" t="s">
        <v>24</v>
      </c>
      <c r="BU21" s="47">
        <v>4.6148174783924176</v>
      </c>
    </row>
    <row r="22" spans="1:73" ht="29" x14ac:dyDescent="0.35">
      <c r="A22" s="64" t="s">
        <v>20</v>
      </c>
      <c r="B22" s="65" t="s">
        <v>159</v>
      </c>
      <c r="C22" s="42">
        <v>0.57699999999999996</v>
      </c>
      <c r="D22" s="52">
        <v>6.8515443800000006E-2</v>
      </c>
      <c r="E22" s="47">
        <v>70.640914271306528</v>
      </c>
      <c r="H22" s="65" t="s">
        <v>159</v>
      </c>
      <c r="I22" s="3">
        <v>1.8490563114700485</v>
      </c>
      <c r="J22" s="67">
        <v>0.7517158637564777</v>
      </c>
      <c r="K22" s="47">
        <v>70.640914271306528</v>
      </c>
      <c r="L22" s="67">
        <v>5.6456748687645337</v>
      </c>
      <c r="M22" s="3">
        <f t="shared" si="0"/>
        <v>1.8490563114700485</v>
      </c>
      <c r="N22" s="3">
        <f t="shared" si="0"/>
        <v>0.7517158637564777</v>
      </c>
      <c r="P22" s="64" t="s">
        <v>20</v>
      </c>
      <c r="Q22" s="65" t="s">
        <v>159</v>
      </c>
      <c r="R22" s="67">
        <v>5.6456748687645337</v>
      </c>
      <c r="S22">
        <v>45.6484849222892</v>
      </c>
      <c r="V22" s="137">
        <f t="shared" si="1"/>
        <v>0.14670036508827769</v>
      </c>
      <c r="W22">
        <f>VLOOKUP(Z22,Sheet9!F$2:L$48,7,FALSE)</f>
        <v>3.7649597650735028E-3</v>
      </c>
      <c r="X22" s="137">
        <f>AB22/SUM($AB$2:$AB$48)</f>
        <v>4.2483537224884321E-2</v>
      </c>
      <c r="Y22" s="64" t="s">
        <v>29</v>
      </c>
      <c r="Z22" s="65" t="s">
        <v>168</v>
      </c>
      <c r="AA22">
        <f>VLOOKUP(Z22,Sheet12!A$2:C$48,3,FALSE)</f>
        <v>16.418510297753695</v>
      </c>
      <c r="AB22" s="67">
        <f>VLOOKUP(Z22,Sheet9!A$2:K$48,11,FALSE)</f>
        <v>38.96465679372637</v>
      </c>
      <c r="AC22" s="67">
        <f>_xlfn.XLOOKUP(Y22,Density_Weighted_Stock_Weig!Y:Y,Density_Weighted_Stock_Weig!Z:Z)</f>
        <v>4736138.9999999991</v>
      </c>
      <c r="AD22" t="str">
        <f t="shared" si="2"/>
        <v>Below Weighted Average</v>
      </c>
      <c r="AE22" t="str">
        <f t="shared" si="3"/>
        <v>Above Weighted Average</v>
      </c>
      <c r="AF22" s="2" t="str" cm="1">
        <f t="array" ref="AF22">_xlfn.IFS(AND(AD22="Above Weighted Average",AE22="Below Weighted Average"),"3",AND(AD22="Above Weighted Average",AE22="Above Weighted Average"),"4",AND(AD22="Below Weighted Average",AE22="Above Weighted Average"),"2",AND(AD22="Below Weighted Average",AE22="Below Weighted Average"),"1")</f>
        <v>2</v>
      </c>
      <c r="AG22" t="str">
        <f t="shared" si="4"/>
        <v>Below Non Weighted Average</v>
      </c>
      <c r="AH22" t="str">
        <f t="shared" si="5"/>
        <v>Above Non Weighted Average</v>
      </c>
      <c r="AI22" s="2" t="str" cm="1">
        <f t="array" ref="AI22">_xlfn.IFS(AND(AG22="Above Non Weighted Average",AH22="Below Non Weighted Average"),"3",AND(AG22="Above Non Weighted Average",AH22="Above Non Weighted Average"),"4",AND(AG22="Below Non Weighted Average",AH22="Above Non Weighted Average"),"2",AND(AG22="Below Non Weighted Average",AH22="Below Non Weighted Average"),"1")</f>
        <v>2</v>
      </c>
      <c r="AJ22" t="b">
        <f t="shared" si="6"/>
        <v>1</v>
      </c>
      <c r="AK22" t="str">
        <f>IF(AA22&lt;Weighted_average,"Below","Above")</f>
        <v>Below</v>
      </c>
      <c r="AL22" t="str">
        <f>IF(AB22&lt;Stock_grad_ratio,"Below","Above")</f>
        <v>Above</v>
      </c>
      <c r="AM22" t="str">
        <f t="shared" si="7"/>
        <v>BelowAbove</v>
      </c>
      <c r="AN22" t="str">
        <f t="shared" si="8"/>
        <v>Q2</v>
      </c>
      <c r="BE22" s="64" t="s">
        <v>41</v>
      </c>
      <c r="BF22" s="65" t="s">
        <v>181</v>
      </c>
      <c r="BG22" s="47">
        <v>7.3360946163777347</v>
      </c>
      <c r="BH22" s="47">
        <v>20.688796680497926</v>
      </c>
      <c r="BI22" s="47" t="str">
        <f t="shared" si="9"/>
        <v>Below Average</v>
      </c>
      <c r="BJ22" s="47" t="str">
        <f t="shared" si="10"/>
        <v>Below Average</v>
      </c>
      <c r="BK22" s="75" t="str" cm="1">
        <f t="array" ref="BK22">_xlfn.IFS(AND(BI22="Above Average",BJ22="Below Average"),"Q1",AND(BI22="Above Average",BJ22="Above Average"),"Q2",AND(BI22="Below Average",BJ22="Above Average"),"Q3",AND(BI22="Below Average",BJ22="Below Average"),"Q4")</f>
        <v>Q4</v>
      </c>
      <c r="BL22" s="47"/>
      <c r="BM22">
        <v>8</v>
      </c>
      <c r="BN22" t="s">
        <v>101</v>
      </c>
      <c r="BO22" s="64" t="s">
        <v>26</v>
      </c>
      <c r="BP22" s="47">
        <v>4.654914605753655</v>
      </c>
      <c r="BR22">
        <v>8</v>
      </c>
      <c r="BS22" t="s">
        <v>101</v>
      </c>
      <c r="BT22" s="64" t="s">
        <v>82</v>
      </c>
      <c r="BU22" s="47">
        <v>4.5412705268813731</v>
      </c>
    </row>
    <row r="23" spans="1:73" x14ac:dyDescent="0.35">
      <c r="A23" s="64" t="s">
        <v>21</v>
      </c>
      <c r="B23" s="65" t="s">
        <v>160</v>
      </c>
      <c r="C23" s="42">
        <v>0.391998679499238</v>
      </c>
      <c r="D23" s="52">
        <v>6.1485252399999996E-2</v>
      </c>
      <c r="E23" s="47">
        <v>17.813553305551778</v>
      </c>
      <c r="H23" s="65" t="s">
        <v>160</v>
      </c>
      <c r="I23" s="3">
        <v>1.250750557704271</v>
      </c>
      <c r="J23" s="67">
        <v>0.49089436829734151</v>
      </c>
      <c r="K23" s="47">
        <v>17.813553305551778</v>
      </c>
      <c r="L23" s="67">
        <v>3.096666017972511</v>
      </c>
      <c r="M23" s="3">
        <f t="shared" si="0"/>
        <v>1.250750557704271</v>
      </c>
      <c r="N23" s="3">
        <f t="shared" si="0"/>
        <v>0.49089436829734151</v>
      </c>
      <c r="P23" s="64" t="s">
        <v>21</v>
      </c>
      <c r="Q23" s="65" t="s">
        <v>160</v>
      </c>
      <c r="R23" s="67">
        <v>3.096666017972511</v>
      </c>
      <c r="S23">
        <v>4.5119996321234597</v>
      </c>
      <c r="V23" s="137">
        <f t="shared" si="1"/>
        <v>1.2359486823712351</v>
      </c>
      <c r="W23">
        <f>VLOOKUP(Z23,Sheet9!F$2:L$48,7,FALSE)</f>
        <v>7.5048540986161982E-2</v>
      </c>
      <c r="X23" s="137">
        <f>AB23/SUM($AB$2:$AB$48)</f>
        <v>1.7955933959165522E-2</v>
      </c>
      <c r="Y23" s="64" t="s">
        <v>17</v>
      </c>
      <c r="Z23" s="65" t="s">
        <v>155</v>
      </c>
      <c r="AA23">
        <f>VLOOKUP(Z23,Sheet12!A$2:C$48,3,FALSE)</f>
        <v>12.563064909315935</v>
      </c>
      <c r="AB23" s="67">
        <f>VLOOKUP(Z23,Sheet9!A$2:K$48,11,FALSE)</f>
        <v>16.468657033574161</v>
      </c>
      <c r="AC23" s="67">
        <f>_xlfn.XLOOKUP(Y23,Density_Weighted_Stock_Weig!Y:Y,Density_Weighted_Stock_Weig!Z:Z)</f>
        <v>123379924.50000004</v>
      </c>
      <c r="AD23" t="str">
        <f t="shared" si="2"/>
        <v>Below Weighted Average</v>
      </c>
      <c r="AE23" t="str">
        <f t="shared" si="3"/>
        <v>Below Weighted Average</v>
      </c>
      <c r="AF23" s="2" t="str" cm="1">
        <f t="array" ref="AF23">_xlfn.IFS(AND(AD23="Above Weighted Average",AE23="Below Weighted Average"),"3",AND(AD23="Above Weighted Average",AE23="Above Weighted Average"),"4",AND(AD23="Below Weighted Average",AE23="Above Weighted Average"),"2",AND(AD23="Below Weighted Average",AE23="Below Weighted Average"),"1")</f>
        <v>1</v>
      </c>
      <c r="AG23" t="str">
        <f t="shared" si="4"/>
        <v>Below Non Weighted Average</v>
      </c>
      <c r="AH23" t="str">
        <f t="shared" si="5"/>
        <v>Below Non Weighted Average</v>
      </c>
      <c r="AI23" s="2" t="str" cm="1">
        <f t="array" ref="AI23">_xlfn.IFS(AND(AG23="Above Non Weighted Average",AH23="Below Non Weighted Average"),"3",AND(AG23="Above Non Weighted Average",AH23="Above Non Weighted Average"),"4",AND(AG23="Below Non Weighted Average",AH23="Above Non Weighted Average"),"2",AND(AG23="Below Non Weighted Average",AH23="Below Non Weighted Average"),"1")</f>
        <v>1</v>
      </c>
      <c r="AJ23" t="b">
        <f t="shared" si="6"/>
        <v>1</v>
      </c>
      <c r="AK23" t="str">
        <f>IF(AA23&lt;Weighted_average,"Below","Above")</f>
        <v>Below</v>
      </c>
      <c r="AL23" t="str">
        <f>IF(AB23&lt;Stock_grad_ratio,"Below","Above")</f>
        <v>Below</v>
      </c>
      <c r="AM23" t="str">
        <f t="shared" si="7"/>
        <v>BelowBelow</v>
      </c>
      <c r="AN23" t="str">
        <f t="shared" si="8"/>
        <v>Q1</v>
      </c>
      <c r="BE23" s="64" t="s">
        <v>149</v>
      </c>
      <c r="BF23" s="65" t="s">
        <v>150</v>
      </c>
      <c r="BG23" s="47">
        <v>11.710635712808925</v>
      </c>
      <c r="BH23" s="47">
        <v>20.263906002583152</v>
      </c>
      <c r="BI23" s="47" t="str">
        <f t="shared" si="9"/>
        <v>Below Average</v>
      </c>
      <c r="BJ23" s="47" t="str">
        <f t="shared" si="10"/>
        <v>Below Average</v>
      </c>
      <c r="BK23" s="75" t="str" cm="1">
        <f t="array" ref="BK23">_xlfn.IFS(AND(BI23="Above Average",BJ23="Below Average"),"Q1",AND(BI23="Above Average",BJ23="Above Average"),"Q2",AND(BI23="Below Average",BJ23="Above Average"),"Q3",AND(BI23="Below Average",BJ23="Below Average"),"Q4")</f>
        <v>Q4</v>
      </c>
      <c r="BL23" s="47"/>
      <c r="BM23">
        <v>9</v>
      </c>
      <c r="BN23" t="s">
        <v>101</v>
      </c>
      <c r="BO23" s="64" t="s">
        <v>21</v>
      </c>
      <c r="BP23" s="47">
        <v>4.5119996321234597</v>
      </c>
      <c r="BR23">
        <v>9</v>
      </c>
      <c r="BS23" t="s">
        <v>101</v>
      </c>
      <c r="BT23" s="64" t="s">
        <v>26</v>
      </c>
      <c r="BU23" s="47">
        <v>3.4278711484593836</v>
      </c>
    </row>
    <row r="24" spans="1:73" x14ac:dyDescent="0.35">
      <c r="A24" s="64" t="s">
        <v>22</v>
      </c>
      <c r="B24" s="65" t="s">
        <v>161</v>
      </c>
      <c r="C24" s="42">
        <v>0.473026044369111</v>
      </c>
      <c r="D24" s="52">
        <v>2.7522828600000004E-2</v>
      </c>
      <c r="E24" s="47">
        <v>43.637164811660909</v>
      </c>
      <c r="H24" s="65" t="s">
        <v>161</v>
      </c>
      <c r="I24" s="3">
        <v>1.6398565259069067</v>
      </c>
      <c r="J24" s="67">
        <v>1.3590370091771649</v>
      </c>
      <c r="K24" s="47">
        <v>43.637164811660909</v>
      </c>
      <c r="L24" s="67">
        <v>22.857935830441416</v>
      </c>
      <c r="M24" s="3">
        <f t="shared" si="0"/>
        <v>1.6398565259069067</v>
      </c>
      <c r="N24" s="3">
        <f t="shared" si="0"/>
        <v>1.3590370091771649</v>
      </c>
      <c r="P24" s="64" t="s">
        <v>22</v>
      </c>
      <c r="Q24" s="65" t="s">
        <v>161</v>
      </c>
      <c r="R24" s="67">
        <v>22.857935830441416</v>
      </c>
      <c r="S24">
        <v>12.380872332200333</v>
      </c>
      <c r="V24" s="137">
        <f t="shared" si="1"/>
        <v>2.9531260115126124E-2</v>
      </c>
      <c r="W24">
        <f>VLOOKUP(Z24,Sheet9!F$2:L$48,7,FALSE)</f>
        <v>2.56894300874986E-3</v>
      </c>
      <c r="X24" s="137">
        <f>AB24/SUM($AB$2:$AB$48)</f>
        <v>1.2533643087273049E-2</v>
      </c>
      <c r="Y24" s="64" t="s">
        <v>15</v>
      </c>
      <c r="Z24" s="65" t="s">
        <v>153</v>
      </c>
      <c r="AA24">
        <f>VLOOKUP(Z24,Sheet12!A$2:C$48,3,FALSE)</f>
        <v>14.402204887562185</v>
      </c>
      <c r="AB24" s="67">
        <f>VLOOKUP(Z24,Sheet9!A$2:K$48,11,FALSE)</f>
        <v>11.49549056345049</v>
      </c>
      <c r="AC24" s="67">
        <f>_xlfn.XLOOKUP(Y24,Density_Weighted_Stock_Weig!Y:Y,Density_Weighted_Stock_Weig!Z:Z)</f>
        <v>3684031.5000000019</v>
      </c>
      <c r="AD24" t="str">
        <f t="shared" si="2"/>
        <v>Below Weighted Average</v>
      </c>
      <c r="AE24" t="str">
        <f t="shared" si="3"/>
        <v>Below Weighted Average</v>
      </c>
      <c r="AF24" s="2" t="str" cm="1">
        <f t="array" ref="AF24">_xlfn.IFS(AND(AD24="Above Weighted Average",AE24="Below Weighted Average"),"3",AND(AD24="Above Weighted Average",AE24="Above Weighted Average"),"4",AND(AD24="Below Weighted Average",AE24="Above Weighted Average"),"2",AND(AD24="Below Weighted Average",AE24="Below Weighted Average"),"1")</f>
        <v>1</v>
      </c>
      <c r="AG24" t="str">
        <f t="shared" si="4"/>
        <v>Below Non Weighted Average</v>
      </c>
      <c r="AH24" t="str">
        <f t="shared" si="5"/>
        <v>Below Non Weighted Average</v>
      </c>
      <c r="AI24" s="2" t="str" cm="1">
        <f t="array" ref="AI24">_xlfn.IFS(AND(AG24="Above Non Weighted Average",AH24="Below Non Weighted Average"),"3",AND(AG24="Above Non Weighted Average",AH24="Above Non Weighted Average"),"4",AND(AG24="Below Non Weighted Average",AH24="Above Non Weighted Average"),"2",AND(AG24="Below Non Weighted Average",AH24="Below Non Weighted Average"),"1")</f>
        <v>1</v>
      </c>
      <c r="AJ24" t="b">
        <f t="shared" si="6"/>
        <v>1</v>
      </c>
      <c r="AK24" t="str">
        <f>IF(AA24&lt;Weighted_average,"Below","Above")</f>
        <v>Below</v>
      </c>
      <c r="AL24" t="str">
        <f>IF(AB24&lt;Stock_grad_ratio,"Below","Above")</f>
        <v>Below</v>
      </c>
      <c r="AM24" t="str">
        <f t="shared" si="7"/>
        <v>BelowBelow</v>
      </c>
      <c r="AN24" t="str">
        <f t="shared" si="8"/>
        <v>Q1</v>
      </c>
      <c r="BE24" s="64" t="s">
        <v>34</v>
      </c>
      <c r="BF24" s="65" t="s">
        <v>173</v>
      </c>
      <c r="BG24" s="47">
        <v>20.758052766628868</v>
      </c>
      <c r="BH24" s="47">
        <v>17.866783114992721</v>
      </c>
      <c r="BI24" s="47" t="str">
        <f t="shared" si="9"/>
        <v>Below Average</v>
      </c>
      <c r="BJ24" s="47" t="str">
        <f t="shared" si="10"/>
        <v>Below Average</v>
      </c>
      <c r="BK24" s="75" t="str" cm="1">
        <f t="array" ref="BK24">_xlfn.IFS(AND(BI24="Above Average",BJ24="Below Average"),"Q1",AND(BI24="Above Average",BJ24="Above Average"),"Q2",AND(BI24="Below Average",BJ24="Above Average"),"Q3",AND(BI24="Below Average",BJ24="Below Average"),"Q4")</f>
        <v>Q4</v>
      </c>
      <c r="BL24" s="47"/>
      <c r="BM24">
        <v>10</v>
      </c>
      <c r="BN24" t="s">
        <v>101</v>
      </c>
      <c r="BO24" s="64" t="s">
        <v>9</v>
      </c>
      <c r="BP24" s="47">
        <v>3.2716188953202665</v>
      </c>
      <c r="BR24">
        <v>10</v>
      </c>
      <c r="BS24" t="s">
        <v>101</v>
      </c>
      <c r="BT24" s="64" t="s">
        <v>21</v>
      </c>
      <c r="BU24" s="47">
        <v>3.096666017972511</v>
      </c>
    </row>
    <row r="25" spans="1:73" ht="29" x14ac:dyDescent="0.35">
      <c r="A25" s="64" t="s">
        <v>23</v>
      </c>
      <c r="B25" s="65" t="s">
        <v>162</v>
      </c>
      <c r="C25" s="42">
        <v>0.437</v>
      </c>
      <c r="D25" s="52">
        <v>8.2324161500000007E-2</v>
      </c>
      <c r="E25" s="47">
        <v>52.761765904512501</v>
      </c>
      <c r="H25" s="65" t="s">
        <v>162</v>
      </c>
      <c r="I25" s="3">
        <v>1.7223193226922009</v>
      </c>
      <c r="J25" s="67">
        <v>1.8763079356017813</v>
      </c>
      <c r="K25" s="47">
        <v>52.761765904512501</v>
      </c>
      <c r="L25" s="67">
        <v>75.215601965601962</v>
      </c>
      <c r="M25" s="3">
        <f t="shared" si="0"/>
        <v>1.7223193226922009</v>
      </c>
      <c r="N25" s="3">
        <f t="shared" si="0"/>
        <v>1.8763079356017813</v>
      </c>
      <c r="P25" s="64" t="s">
        <v>23</v>
      </c>
      <c r="Q25" s="65" t="s">
        <v>162</v>
      </c>
      <c r="R25" s="67">
        <v>75.215601965601962</v>
      </c>
      <c r="S25">
        <v>22.689931885967603</v>
      </c>
      <c r="V25" s="137">
        <f t="shared" si="1"/>
        <v>0.30036489080671186</v>
      </c>
      <c r="W25">
        <f>VLOOKUP(Z25,Sheet9!F$2:L$48,7,FALSE)</f>
        <v>6.6141157860723498E-2</v>
      </c>
      <c r="X25" s="137">
        <f>AB25/SUM($AB$2:$AB$48)</f>
        <v>4.9513906024728042E-3</v>
      </c>
      <c r="Y25" s="64" t="s">
        <v>82</v>
      </c>
      <c r="Z25" s="65" t="s">
        <v>151</v>
      </c>
      <c r="AA25">
        <f>VLOOKUP(Z25,Sheet12!A$2:C$48,3,FALSE)</f>
        <v>13.797158490996726</v>
      </c>
      <c r="AB25" s="67">
        <f>VLOOKUP(Z25,Sheet9!A$2:K$48,11,FALSE)</f>
        <v>4.5412705268813731</v>
      </c>
      <c r="AC25" s="67">
        <f>_xlfn.XLOOKUP(Y25,Density_Weighted_Stock_Weig!Y:Y,Density_Weighted_Stock_Weig!Z:Z)</f>
        <v>99010212</v>
      </c>
      <c r="AD25" t="str">
        <f t="shared" si="2"/>
        <v>Below Weighted Average</v>
      </c>
      <c r="AE25" t="str">
        <f t="shared" si="3"/>
        <v>Below Weighted Average</v>
      </c>
      <c r="AF25" s="2" t="str" cm="1">
        <f t="array" ref="AF25">_xlfn.IFS(AND(AD25="Above Weighted Average",AE25="Below Weighted Average"),"3",AND(AD25="Above Weighted Average",AE25="Above Weighted Average"),"4",AND(AD25="Below Weighted Average",AE25="Above Weighted Average"),"2",AND(AD25="Below Weighted Average",AE25="Below Weighted Average"),"1")</f>
        <v>1</v>
      </c>
      <c r="AG25" t="str">
        <f t="shared" si="4"/>
        <v>Below Non Weighted Average</v>
      </c>
      <c r="AH25" t="str">
        <f t="shared" si="5"/>
        <v>Below Non Weighted Average</v>
      </c>
      <c r="AI25" s="2" t="str" cm="1">
        <f t="array" ref="AI25">_xlfn.IFS(AND(AG25="Above Non Weighted Average",AH25="Below Non Weighted Average"),"3",AND(AG25="Above Non Weighted Average",AH25="Above Non Weighted Average"),"4",AND(AG25="Below Non Weighted Average",AH25="Above Non Weighted Average"),"2",AND(AG25="Below Non Weighted Average",AH25="Below Non Weighted Average"),"1")</f>
        <v>1</v>
      </c>
      <c r="AJ25" t="b">
        <f t="shared" si="6"/>
        <v>1</v>
      </c>
      <c r="AK25" t="str">
        <f>IF(AA25&lt;Weighted_average,"Below","Above")</f>
        <v>Below</v>
      </c>
      <c r="AL25" t="str">
        <f>IF(AB25&lt;Stock_grad_ratio,"Below","Above")</f>
        <v>Below</v>
      </c>
      <c r="AM25" t="str">
        <f t="shared" si="7"/>
        <v>BelowBelow</v>
      </c>
      <c r="AN25" t="str">
        <f t="shared" si="8"/>
        <v>Q1</v>
      </c>
      <c r="BE25" s="64" t="s">
        <v>17</v>
      </c>
      <c r="BF25" s="65" t="s">
        <v>155</v>
      </c>
      <c r="BG25" s="47">
        <v>15.362628950222767</v>
      </c>
      <c r="BH25" s="47">
        <v>16.468657033574161</v>
      </c>
      <c r="BI25" s="47" t="str">
        <f t="shared" si="9"/>
        <v>Below Average</v>
      </c>
      <c r="BJ25" s="47" t="str">
        <f t="shared" si="10"/>
        <v>Below Average</v>
      </c>
      <c r="BK25" s="75" t="str" cm="1">
        <f t="array" ref="BK25">_xlfn.IFS(AND(BI25="Above Average",BJ25="Below Average"),"Q1",AND(BI25="Above Average",BJ25="Above Average"),"Q2",AND(BI25="Below Average",BJ25="Above Average"),"Q3",AND(BI25="Below Average",BJ25="Below Average"),"Q4")</f>
        <v>Q4</v>
      </c>
      <c r="BL25" s="47"/>
      <c r="BM25">
        <v>11</v>
      </c>
      <c r="BN25" t="s">
        <v>101</v>
      </c>
      <c r="BO25" s="64" t="s">
        <v>8</v>
      </c>
      <c r="BP25" s="47">
        <v>2.3872297370504008</v>
      </c>
      <c r="BR25">
        <v>11</v>
      </c>
      <c r="BS25" t="s">
        <v>101</v>
      </c>
      <c r="BT25" s="64" t="s">
        <v>9</v>
      </c>
      <c r="BU25" s="47">
        <v>1.5058928414930488</v>
      </c>
    </row>
    <row r="26" spans="1:73" ht="15" thickBot="1" x14ac:dyDescent="0.4">
      <c r="A26" s="64" t="s">
        <v>24</v>
      </c>
      <c r="B26" s="65" t="s">
        <v>163</v>
      </c>
      <c r="C26" s="42">
        <v>0.2407</v>
      </c>
      <c r="D26" s="52">
        <v>0.1107517719</v>
      </c>
      <c r="E26" s="47">
        <v>125.68172362603974</v>
      </c>
      <c r="H26" s="65" t="s">
        <v>163</v>
      </c>
      <c r="I26" s="3">
        <v>2.099272128080174</v>
      </c>
      <c r="J26" s="67">
        <v>0.6641545288300662</v>
      </c>
      <c r="K26" s="47">
        <v>125.68172362603974</v>
      </c>
      <c r="L26" s="67">
        <v>4.6148174783924176</v>
      </c>
      <c r="M26" s="3">
        <f t="shared" si="0"/>
        <v>2.099272128080174</v>
      </c>
      <c r="N26" s="3">
        <f t="shared" si="0"/>
        <v>0.6641545288300662</v>
      </c>
      <c r="P26" s="64" t="s">
        <v>24</v>
      </c>
      <c r="Q26" s="65" t="s">
        <v>163</v>
      </c>
      <c r="R26" s="67">
        <v>4.6148174783924176</v>
      </c>
      <c r="S26">
        <v>19.737356151637165</v>
      </c>
      <c r="V26" s="137">
        <f t="shared" si="1"/>
        <v>0.17655523561878361</v>
      </c>
      <c r="W26">
        <f>VLOOKUP(Z26,Sheet9!F$2:L$48,7,FALSE)</f>
        <v>3.2028160656468684E-3</v>
      </c>
      <c r="X26" s="137">
        <f>AB26/SUM($AB$2:$AB$48)</f>
        <v>6.0103313675248751E-2</v>
      </c>
      <c r="Y26" s="64" t="s">
        <v>147</v>
      </c>
      <c r="Z26" s="65" t="s">
        <v>148</v>
      </c>
      <c r="AA26">
        <f>VLOOKUP(Z26,Sheet12!A$2:C$48,3,FALSE)</f>
        <v>11.079615116112354</v>
      </c>
      <c r="AB26" s="67">
        <f>VLOOKUP(Z26,Sheet9!A$2:K$48,11,FALSE)</f>
        <v>55.125</v>
      </c>
      <c r="AC26" s="67">
        <f>_xlfn.XLOOKUP(Y26,Density_Weighted_Stock_Weig!Y:Y,Density_Weighted_Stock_Weig!Z:Z)</f>
        <v>5970424.0000000009</v>
      </c>
      <c r="AD26" t="str">
        <f t="shared" si="2"/>
        <v>Below Weighted Average</v>
      </c>
      <c r="AE26" t="str">
        <f t="shared" si="3"/>
        <v>Above Weighted Average</v>
      </c>
      <c r="AF26" s="2" t="str" cm="1">
        <f t="array" ref="AF26">_xlfn.IFS(AND(AD26="Above Weighted Average",AE26="Below Weighted Average"),"3",AND(AD26="Above Weighted Average",AE26="Above Weighted Average"),"4",AND(AD26="Below Weighted Average",AE26="Above Weighted Average"),"2",AND(AD26="Below Weighted Average",AE26="Below Weighted Average"),"1")</f>
        <v>2</v>
      </c>
      <c r="AG26" t="str">
        <f t="shared" si="4"/>
        <v>Below Non Weighted Average</v>
      </c>
      <c r="AH26" t="str">
        <f t="shared" si="5"/>
        <v>Above Non Weighted Average</v>
      </c>
      <c r="AI26" s="2" t="str" cm="1">
        <f t="array" ref="AI26">_xlfn.IFS(AND(AG26="Above Non Weighted Average",AH26="Below Non Weighted Average"),"3",AND(AG26="Above Non Weighted Average",AH26="Above Non Weighted Average"),"4",AND(AG26="Below Non Weighted Average",AH26="Above Non Weighted Average"),"2",AND(AG26="Below Non Weighted Average",AH26="Below Non Weighted Average"),"1")</f>
        <v>2</v>
      </c>
      <c r="AJ26" t="b">
        <f t="shared" si="6"/>
        <v>1</v>
      </c>
      <c r="AK26" t="str">
        <f>IF(AA26&lt;Weighted_average,"Below","Above")</f>
        <v>Below</v>
      </c>
      <c r="AL26" t="str">
        <f>IF(AB26&lt;Stock_grad_ratio,"Below","Above")</f>
        <v>Above</v>
      </c>
      <c r="AM26" t="str">
        <f t="shared" si="7"/>
        <v>BelowAbove</v>
      </c>
      <c r="AN26" t="str">
        <f t="shared" si="8"/>
        <v>Q2</v>
      </c>
      <c r="BE26" s="64" t="s">
        <v>4</v>
      </c>
      <c r="BF26" s="65" t="s">
        <v>139</v>
      </c>
      <c r="BG26" s="47">
        <v>34.292718386067548</v>
      </c>
      <c r="BH26" s="47">
        <v>16.399999999999999</v>
      </c>
      <c r="BI26" s="47" t="str">
        <f t="shared" si="9"/>
        <v>Above Average</v>
      </c>
      <c r="BJ26" s="47" t="str">
        <f t="shared" si="10"/>
        <v>Below Average</v>
      </c>
      <c r="BK26" s="75" t="str" cm="1">
        <f t="array" ref="BK26">_xlfn.IFS(AND(BI26="Above Average",BJ26="Below Average"),"Q1",AND(BI26="Above Average",BJ26="Above Average"),"Q2",AND(BI26="Below Average",BJ26="Above Average"),"Q3",AND(BI26="Below Average",BJ26="Below Average"),"Q4")</f>
        <v>Q1</v>
      </c>
      <c r="BL26" s="47"/>
      <c r="BM26">
        <v>12</v>
      </c>
      <c r="BN26" t="s">
        <v>101</v>
      </c>
      <c r="BO26" s="66" t="s">
        <v>33</v>
      </c>
      <c r="BP26" s="47">
        <v>2.3259582036922208</v>
      </c>
      <c r="BR26">
        <v>12</v>
      </c>
      <c r="BS26" t="s">
        <v>101</v>
      </c>
      <c r="BT26" s="66" t="s">
        <v>14</v>
      </c>
      <c r="BU26" s="47">
        <v>0.95412514516632685</v>
      </c>
    </row>
    <row r="27" spans="1:73" ht="15" thickTop="1" x14ac:dyDescent="0.35">
      <c r="A27" s="64" t="s">
        <v>25</v>
      </c>
      <c r="B27" s="65" t="s">
        <v>164</v>
      </c>
      <c r="C27" s="42">
        <v>0.71079999999999999</v>
      </c>
      <c r="D27" s="52">
        <v>4.5191278500000001E-2</v>
      </c>
      <c r="E27" s="47">
        <v>57.003752262980719</v>
      </c>
      <c r="H27" s="65" t="s">
        <v>164</v>
      </c>
      <c r="I27" s="3">
        <v>1.7559034439790238</v>
      </c>
      <c r="J27" s="67">
        <v>1.7668164389653847</v>
      </c>
      <c r="K27" s="47">
        <v>57.003752262980719</v>
      </c>
      <c r="L27" s="67">
        <v>58.454296612863345</v>
      </c>
      <c r="M27" s="3">
        <f t="shared" si="0"/>
        <v>1.7559034439790238</v>
      </c>
      <c r="N27" s="3">
        <f t="shared" si="0"/>
        <v>1.7668164389653847</v>
      </c>
      <c r="P27" s="64" t="s">
        <v>25</v>
      </c>
      <c r="Q27" s="65" t="s">
        <v>164</v>
      </c>
      <c r="R27" s="67">
        <v>58.454296612863345</v>
      </c>
      <c r="S27">
        <v>12.006604382306818</v>
      </c>
      <c r="V27" s="137">
        <f t="shared" si="1"/>
        <v>0.3036006813057715</v>
      </c>
      <c r="W27">
        <f>VLOOKUP(Z27,Sheet9!F$2:L$48,7,FALSE)</f>
        <v>7.3348795844969629E-3</v>
      </c>
      <c r="X27" s="137">
        <f>AB27/SUM($AB$2:$AB$48)</f>
        <v>4.5129400820030162E-2</v>
      </c>
      <c r="Y27" s="64" t="s">
        <v>35</v>
      </c>
      <c r="Z27" s="65" t="s">
        <v>174</v>
      </c>
      <c r="AA27">
        <f>VLOOKUP(Z27,Sheet12!A$2:C$48,3,FALSE)</f>
        <v>10.996278135102138</v>
      </c>
      <c r="AB27" s="67">
        <f>VLOOKUP(Z27,Sheet9!A$2:K$48,11,FALSE)</f>
        <v>41.391365435291313</v>
      </c>
      <c r="AC27" s="67">
        <f>_xlfn.XLOOKUP(Y27,Density_Weighted_Stock_Weig!Y:Y,Density_Weighted_Stock_Weig!Z:Z)</f>
        <v>13776697.499999994</v>
      </c>
      <c r="AD27" t="str">
        <f t="shared" si="2"/>
        <v>Below Weighted Average</v>
      </c>
      <c r="AE27" t="str">
        <f t="shared" si="3"/>
        <v>Above Weighted Average</v>
      </c>
      <c r="AF27" s="2" t="str" cm="1">
        <f t="array" ref="AF27">_xlfn.IFS(AND(AD27="Above Weighted Average",AE27="Below Weighted Average"),"3",AND(AD27="Above Weighted Average",AE27="Above Weighted Average"),"4",AND(AD27="Below Weighted Average",AE27="Above Weighted Average"),"2",AND(AD27="Below Weighted Average",AE27="Below Weighted Average"),"1")</f>
        <v>2</v>
      </c>
      <c r="AG27" t="str">
        <f t="shared" si="4"/>
        <v>Below Non Weighted Average</v>
      </c>
      <c r="AH27" t="str">
        <f t="shared" si="5"/>
        <v>Above Non Weighted Average</v>
      </c>
      <c r="AI27" s="2" t="str" cm="1">
        <f t="array" ref="AI27">_xlfn.IFS(AND(AG27="Above Non Weighted Average",AH27="Below Non Weighted Average"),"3",AND(AG27="Above Non Weighted Average",AH27="Above Non Weighted Average"),"4",AND(AG27="Below Non Weighted Average",AH27="Above Non Weighted Average"),"2",AND(AG27="Below Non Weighted Average",AH27="Below Non Weighted Average"),"1")</f>
        <v>2</v>
      </c>
      <c r="AJ27" t="b">
        <f t="shared" si="6"/>
        <v>1</v>
      </c>
      <c r="AK27" t="str">
        <f>IF(AA27&lt;Weighted_average,"Below","Above")</f>
        <v>Below</v>
      </c>
      <c r="AL27" t="str">
        <f>IF(AB27&lt;Stock_grad_ratio,"Below","Above")</f>
        <v>Above</v>
      </c>
      <c r="AM27" t="str">
        <f t="shared" si="7"/>
        <v>BelowAbove</v>
      </c>
      <c r="AN27" t="str">
        <f t="shared" si="8"/>
        <v>Q2</v>
      </c>
      <c r="BE27" s="64" t="s">
        <v>31</v>
      </c>
      <c r="BF27" s="65" t="s">
        <v>170</v>
      </c>
      <c r="BG27" s="47">
        <v>11.001373890249562</v>
      </c>
      <c r="BH27" s="47">
        <v>16.359542530378842</v>
      </c>
      <c r="BI27" s="47" t="str">
        <f t="shared" si="9"/>
        <v>Below Average</v>
      </c>
      <c r="BJ27" s="47" t="str">
        <f t="shared" si="10"/>
        <v>Below Average</v>
      </c>
      <c r="BK27" s="75" t="str" cm="1">
        <f t="array" ref="BK27">_xlfn.IFS(AND(BI27="Above Average",BJ27="Below Average"),"Q1",AND(BI27="Above Average",BJ27="Above Average"),"Q2",AND(BI27="Below Average",BJ27="Above Average"),"Q3",AND(BI27="Below Average",BJ27="Below Average"),"Q4")</f>
        <v>Q4</v>
      </c>
      <c r="BL27" s="47"/>
    </row>
    <row r="28" spans="1:73" x14ac:dyDescent="0.35">
      <c r="A28" s="64" t="s">
        <v>26</v>
      </c>
      <c r="B28" s="65" t="s">
        <v>165</v>
      </c>
      <c r="C28" s="42">
        <v>0.45</v>
      </c>
      <c r="D28" s="52">
        <v>8.78966999E-2</v>
      </c>
      <c r="E28" s="47">
        <v>21.968767905514429</v>
      </c>
      <c r="H28" s="65" t="s">
        <v>165</v>
      </c>
      <c r="I28" s="3">
        <v>1.3418057006692128</v>
      </c>
      <c r="J28" s="67">
        <v>0.53502448869900099</v>
      </c>
      <c r="K28" s="47">
        <v>21.968767905514429</v>
      </c>
      <c r="L28" s="67">
        <v>3.4278711484593836</v>
      </c>
      <c r="M28" s="3">
        <f t="shared" si="0"/>
        <v>1.3418057006692128</v>
      </c>
      <c r="N28" s="3">
        <f t="shared" si="0"/>
        <v>0.53502448869900099</v>
      </c>
      <c r="P28" s="64" t="s">
        <v>26</v>
      </c>
      <c r="Q28" s="65" t="s">
        <v>165</v>
      </c>
      <c r="R28" s="67">
        <v>3.4278711484593836</v>
      </c>
      <c r="S28">
        <v>4.654914605753655</v>
      </c>
      <c r="V28" s="137">
        <f t="shared" si="1"/>
        <v>6.7958586611199202E-3</v>
      </c>
      <c r="W28">
        <f>VLOOKUP(Z28,Sheet9!F$2:L$48,7,FALSE)</f>
        <v>1.1668000617306416E-3</v>
      </c>
      <c r="X28" s="137">
        <f>AB28/SUM($AB$2:$AB$48)</f>
        <v>6.3503506801139611E-3</v>
      </c>
      <c r="Y28" s="64" t="s">
        <v>22</v>
      </c>
      <c r="Z28" s="65" t="s">
        <v>161</v>
      </c>
      <c r="AA28">
        <f>VLOOKUP(Z28,Sheet12!A$2:C$48,3,FALSE)</f>
        <v>11.445256698300556</v>
      </c>
      <c r="AB28" s="67">
        <f>VLOOKUP(Z28,Sheet9!A$2:K$48,11,FALSE)</f>
        <v>5.8243557606948082</v>
      </c>
      <c r="AC28" s="67">
        <f>_xlfn.XLOOKUP(Y28,Density_Weighted_Stock_Weig!Y:Y,Density_Weighted_Stock_Weig!Z:Z)</f>
        <v>2105565.4999999991</v>
      </c>
      <c r="AD28" t="str">
        <f t="shared" si="2"/>
        <v>Below Weighted Average</v>
      </c>
      <c r="AE28" t="str">
        <f t="shared" si="3"/>
        <v>Below Weighted Average</v>
      </c>
      <c r="AF28" s="2" t="str" cm="1">
        <f t="array" ref="AF28">_xlfn.IFS(AND(AD28="Above Weighted Average",AE28="Below Weighted Average"),"3",AND(AD28="Above Weighted Average",AE28="Above Weighted Average"),"4",AND(AD28="Below Weighted Average",AE28="Above Weighted Average"),"2",AND(AD28="Below Weighted Average",AE28="Below Weighted Average"),"1")</f>
        <v>1</v>
      </c>
      <c r="AG28" t="str">
        <f t="shared" si="4"/>
        <v>Below Non Weighted Average</v>
      </c>
      <c r="AH28" t="str">
        <f t="shared" si="5"/>
        <v>Below Non Weighted Average</v>
      </c>
      <c r="AI28" s="2" t="str" cm="1">
        <f t="array" ref="AI28">_xlfn.IFS(AND(AG28="Above Non Weighted Average",AH28="Below Non Weighted Average"),"3",AND(AG28="Above Non Weighted Average",AH28="Above Non Weighted Average"),"4",AND(AG28="Below Non Weighted Average",AH28="Above Non Weighted Average"),"2",AND(AG28="Below Non Weighted Average",AH28="Below Non Weighted Average"),"1")</f>
        <v>1</v>
      </c>
      <c r="AJ28" t="b">
        <f t="shared" si="6"/>
        <v>1</v>
      </c>
      <c r="AK28" t="str">
        <f>IF(AA28&lt;Weighted_average,"Below","Above")</f>
        <v>Below</v>
      </c>
      <c r="AL28" t="str">
        <f>IF(AB28&lt;Stock_grad_ratio,"Below","Above")</f>
        <v>Below</v>
      </c>
      <c r="AM28" t="str">
        <f t="shared" si="7"/>
        <v>BelowBelow</v>
      </c>
      <c r="AN28" t="str">
        <f t="shared" si="8"/>
        <v>Q1</v>
      </c>
      <c r="BE28" s="64" t="s">
        <v>15</v>
      </c>
      <c r="BF28" s="65" t="s">
        <v>153</v>
      </c>
      <c r="BG28" s="47">
        <v>14.584070867806926</v>
      </c>
      <c r="BH28" s="47">
        <v>13.264544118808269</v>
      </c>
      <c r="BI28" s="47" t="str">
        <f t="shared" si="9"/>
        <v>Below Average</v>
      </c>
      <c r="BJ28" s="47" t="str">
        <f t="shared" si="10"/>
        <v>Below Average</v>
      </c>
      <c r="BK28" s="75" t="str" cm="1">
        <f t="array" ref="BK28">_xlfn.IFS(AND(BI28="Above Average",BJ28="Below Average"),"Q1",AND(BI28="Above Average",BJ28="Above Average"),"Q2",AND(BI28="Below Average",BJ28="Above Average"),"Q3",AND(BI28="Below Average",BJ28="Below Average"),"Q4")</f>
        <v>Q4</v>
      </c>
      <c r="BL28" s="47"/>
    </row>
    <row r="29" spans="1:73" x14ac:dyDescent="0.35">
      <c r="A29" s="64" t="s">
        <v>27</v>
      </c>
      <c r="B29" s="65" t="s">
        <v>166</v>
      </c>
      <c r="C29" s="42">
        <v>0.116668416553577</v>
      </c>
      <c r="D29" s="52">
        <v>8.6677389100000002E-2</v>
      </c>
      <c r="E29" s="47">
        <v>18.931285154211427</v>
      </c>
      <c r="H29" s="65" t="s">
        <v>166</v>
      </c>
      <c r="I29" s="3">
        <v>1.2771800971353457</v>
      </c>
      <c r="J29" s="67">
        <v>1.3293659557938311</v>
      </c>
      <c r="K29" s="47">
        <v>18.931285154211427</v>
      </c>
      <c r="L29" s="67">
        <v>21.348430688993169</v>
      </c>
      <c r="M29" s="3">
        <f t="shared" si="0"/>
        <v>1.2771800971353457</v>
      </c>
      <c r="N29" s="3">
        <f t="shared" si="0"/>
        <v>1.3293659557938311</v>
      </c>
      <c r="P29" s="64" t="s">
        <v>27</v>
      </c>
      <c r="Q29" s="65" t="s">
        <v>166</v>
      </c>
      <c r="R29" s="67">
        <v>21.348430688993169</v>
      </c>
      <c r="S29">
        <v>5.5434395125336913</v>
      </c>
      <c r="V29" s="137">
        <f t="shared" si="1"/>
        <v>0.15220287466488241</v>
      </c>
      <c r="W29">
        <f>VLOOKUP(Z29,Sheet9!F$2:L$48,7,FALSE)</f>
        <v>2.603792766046028E-3</v>
      </c>
      <c r="X29" s="137">
        <f>AB29/SUM($AB$2:$AB$48)</f>
        <v>6.3733277550820075E-2</v>
      </c>
      <c r="Y29" s="64" t="s">
        <v>25</v>
      </c>
      <c r="Z29" s="65" t="s">
        <v>164</v>
      </c>
      <c r="AA29">
        <f>VLOOKUP(Z29,Sheet12!A$2:C$48,3,FALSE)</f>
        <v>10.141653417174114</v>
      </c>
      <c r="AB29" s="67">
        <f>VLOOKUP(Z29,Sheet9!A$2:K$48,11,FALSE)</f>
        <v>58.454296612863345</v>
      </c>
      <c r="AC29" s="67">
        <f>_xlfn.XLOOKUP(Y29,Density_Weighted_Stock_Weig!Y:Y,Density_Weighted_Stock_Weig!Z:Z)</f>
        <v>5302681.0000000028</v>
      </c>
      <c r="AD29" t="str">
        <f t="shared" si="2"/>
        <v>Below Weighted Average</v>
      </c>
      <c r="AE29" t="str">
        <f t="shared" si="3"/>
        <v>Above Weighted Average</v>
      </c>
      <c r="AF29" s="2" t="str" cm="1">
        <f t="array" ref="AF29">_xlfn.IFS(AND(AD29="Above Weighted Average",AE29="Below Weighted Average"),"3",AND(AD29="Above Weighted Average",AE29="Above Weighted Average"),"4",AND(AD29="Below Weighted Average",AE29="Above Weighted Average"),"2",AND(AD29="Below Weighted Average",AE29="Below Weighted Average"),"1")</f>
        <v>2</v>
      </c>
      <c r="AG29" t="str">
        <f t="shared" si="4"/>
        <v>Below Non Weighted Average</v>
      </c>
      <c r="AH29" t="str">
        <f t="shared" si="5"/>
        <v>Above Non Weighted Average</v>
      </c>
      <c r="AI29" s="2" t="str" cm="1">
        <f t="array" ref="AI29">_xlfn.IFS(AND(AG29="Above Non Weighted Average",AH29="Below Non Weighted Average"),"3",AND(AG29="Above Non Weighted Average",AH29="Above Non Weighted Average"),"4",AND(AG29="Below Non Weighted Average",AH29="Above Non Weighted Average"),"2",AND(AG29="Below Non Weighted Average",AH29="Below Non Weighted Average"),"1")</f>
        <v>2</v>
      </c>
      <c r="AJ29" t="b">
        <f t="shared" si="6"/>
        <v>1</v>
      </c>
      <c r="AK29" t="str">
        <f>IF(AA29&lt;Weighted_average,"Below","Above")</f>
        <v>Below</v>
      </c>
      <c r="AL29" t="str">
        <f>IF(AB29&lt;Stock_grad_ratio,"Below","Above")</f>
        <v>Above</v>
      </c>
      <c r="AM29" t="str">
        <f t="shared" si="7"/>
        <v>BelowAbove</v>
      </c>
      <c r="AN29" t="str">
        <f t="shared" si="8"/>
        <v>Q2</v>
      </c>
      <c r="BE29" s="64" t="s">
        <v>42</v>
      </c>
      <c r="BF29" s="65" t="s">
        <v>184</v>
      </c>
      <c r="BG29" s="47">
        <v>6.2037247448568724</v>
      </c>
      <c r="BH29" s="47">
        <v>12.502461538461539</v>
      </c>
      <c r="BI29" s="47" t="str">
        <f t="shared" si="9"/>
        <v>Below Average</v>
      </c>
      <c r="BJ29" s="47" t="str">
        <f t="shared" si="10"/>
        <v>Below Average</v>
      </c>
      <c r="BK29" s="75" t="str" cm="1">
        <f t="array" ref="BK29">_xlfn.IFS(AND(BI29="Above Average",BJ29="Below Average"),"Q1",AND(BI29="Above Average",BJ29="Above Average"),"Q2",AND(BI29="Below Average",BJ29="Above Average"),"Q3",AND(BI29="Below Average",BJ29="Below Average"),"Q4")</f>
        <v>Q4</v>
      </c>
      <c r="BL29" s="47"/>
    </row>
    <row r="30" spans="1:73" x14ac:dyDescent="0.35">
      <c r="A30" s="64" t="s">
        <v>28</v>
      </c>
      <c r="B30" s="65" t="s">
        <v>167</v>
      </c>
      <c r="C30" s="42">
        <v>0.38900000000000001</v>
      </c>
      <c r="D30" s="52">
        <v>5.6687855699999998E-2</v>
      </c>
      <c r="E30" s="47">
        <v>16.946843842481947</v>
      </c>
      <c r="H30" s="65" t="s">
        <v>167</v>
      </c>
      <c r="I30" s="3">
        <v>1.2290888276467695</v>
      </c>
      <c r="J30" s="67">
        <v>1.3590370091771649</v>
      </c>
      <c r="K30" s="47">
        <v>16.946843842481947</v>
      </c>
      <c r="L30" s="67">
        <v>22.857935830441416</v>
      </c>
      <c r="M30" s="3">
        <f t="shared" si="0"/>
        <v>1.2290888276467695</v>
      </c>
      <c r="N30" s="3">
        <f t="shared" si="0"/>
        <v>1.3590370091771649</v>
      </c>
      <c r="P30" s="64" t="s">
        <v>28</v>
      </c>
      <c r="Q30" s="65" t="s">
        <v>167</v>
      </c>
      <c r="R30" s="67">
        <v>22.857935830441416</v>
      </c>
      <c r="S30">
        <v>5.5984926364175651</v>
      </c>
      <c r="V30" s="137">
        <f t="shared" si="1"/>
        <v>5.4335368143367792E-2</v>
      </c>
      <c r="W30">
        <f>VLOOKUP(Z30,Sheet9!F$2:L$48,7,FALSE)</f>
        <v>8.3684766256448186E-3</v>
      </c>
      <c r="X30" s="137">
        <f>AB30/SUM($AB$2:$AB$48)</f>
        <v>7.0792299692012004E-3</v>
      </c>
      <c r="Y30" s="64" t="s">
        <v>5</v>
      </c>
      <c r="Z30" s="65" t="s">
        <v>140</v>
      </c>
      <c r="AA30">
        <f>VLOOKUP(Z30,Sheet12!A$2:C$48,3,FALSE)</f>
        <v>7.6229079232639005</v>
      </c>
      <c r="AB30" s="67">
        <f>VLOOKUP(Z30,Sheet9!A$2:K$48,11,FALSE)</f>
        <v>6.4928625093914354</v>
      </c>
      <c r="AC30" s="67">
        <f>_xlfn.XLOOKUP(Y30,Density_Weighted_Stock_Weig!Y:Y,Density_Weighted_Stock_Weig!Z:Z)</f>
        <v>22673762.000000007</v>
      </c>
      <c r="AD30" t="str">
        <f t="shared" si="2"/>
        <v>Below Weighted Average</v>
      </c>
      <c r="AE30" t="str">
        <f t="shared" si="3"/>
        <v>Below Weighted Average</v>
      </c>
      <c r="AF30" s="2" t="str" cm="1">
        <f t="array" ref="AF30">_xlfn.IFS(AND(AD30="Above Weighted Average",AE30="Below Weighted Average"),"3",AND(AD30="Above Weighted Average",AE30="Above Weighted Average"),"4",AND(AD30="Below Weighted Average",AE30="Above Weighted Average"),"2",AND(AD30="Below Weighted Average",AE30="Below Weighted Average"),"1")</f>
        <v>1</v>
      </c>
      <c r="AG30" t="str">
        <f t="shared" si="4"/>
        <v>Below Non Weighted Average</v>
      </c>
      <c r="AH30" t="str">
        <f t="shared" si="5"/>
        <v>Below Non Weighted Average</v>
      </c>
      <c r="AI30" s="2" t="str" cm="1">
        <f t="array" ref="AI30">_xlfn.IFS(AND(AG30="Above Non Weighted Average",AH30="Below Non Weighted Average"),"3",AND(AG30="Above Non Weighted Average",AH30="Above Non Weighted Average"),"4",AND(AG30="Below Non Weighted Average",AH30="Above Non Weighted Average"),"2",AND(AG30="Below Non Weighted Average",AH30="Below Non Weighted Average"),"1")</f>
        <v>1</v>
      </c>
      <c r="AJ30" t="b">
        <f t="shared" si="6"/>
        <v>1</v>
      </c>
      <c r="AK30" t="str">
        <f>IF(AA30&lt;Weighted_average,"Below","Above")</f>
        <v>Below</v>
      </c>
      <c r="AL30" t="str">
        <f>IF(AB30&lt;Stock_grad_ratio,"Below","Above")</f>
        <v>Below</v>
      </c>
      <c r="AM30" t="str">
        <f t="shared" si="7"/>
        <v>BelowBelow</v>
      </c>
      <c r="AN30" t="str">
        <f t="shared" si="8"/>
        <v>Q1</v>
      </c>
      <c r="BE30" s="64" t="s">
        <v>157</v>
      </c>
      <c r="BF30" s="65" t="s">
        <v>158</v>
      </c>
      <c r="BG30" s="47">
        <v>7.6950371510478712</v>
      </c>
      <c r="BH30" s="47">
        <v>10.645443106523956</v>
      </c>
      <c r="BI30" s="47" t="str">
        <f t="shared" si="9"/>
        <v>Below Average</v>
      </c>
      <c r="BJ30" s="47" t="str">
        <f t="shared" si="10"/>
        <v>Below Average</v>
      </c>
      <c r="BK30" s="75" t="str" cm="1">
        <f t="array" ref="BK30">_xlfn.IFS(AND(BI30="Above Average",BJ30="Below Average"),"Q1",AND(BI30="Above Average",BJ30="Above Average"),"Q2",AND(BI30="Below Average",BJ30="Above Average"),"Q3",AND(BI30="Below Average",BJ30="Below Average"),"Q4")</f>
        <v>Q4</v>
      </c>
      <c r="BL30" s="47"/>
    </row>
    <row r="31" spans="1:73" x14ac:dyDescent="0.35">
      <c r="A31" s="64" t="s">
        <v>29</v>
      </c>
      <c r="B31" s="65" t="s">
        <v>168</v>
      </c>
      <c r="C31" s="42">
        <v>0.35207721704356598</v>
      </c>
      <c r="D31" s="52">
        <v>6.9763922699999995E-2</v>
      </c>
      <c r="E31" s="47">
        <v>43.978835355257424</v>
      </c>
      <c r="H31" s="65" t="s">
        <v>168</v>
      </c>
      <c r="I31" s="3">
        <v>1.6432437242179894</v>
      </c>
      <c r="J31" s="67">
        <v>1.837679746129431</v>
      </c>
      <c r="K31" s="47">
        <v>43.978835355257424</v>
      </c>
      <c r="L31" s="67">
        <v>68.81446632132112</v>
      </c>
      <c r="M31" s="3">
        <f t="shared" si="0"/>
        <v>1.6432437242179894</v>
      </c>
      <c r="N31" s="3">
        <f t="shared" si="0"/>
        <v>1.837679746129431</v>
      </c>
      <c r="P31" s="64" t="s">
        <v>29</v>
      </c>
      <c r="Q31" s="65" t="s">
        <v>168</v>
      </c>
      <c r="R31" s="67">
        <v>68.81446632132112</v>
      </c>
      <c r="S31">
        <v>19.247819150386611</v>
      </c>
      <c r="V31" s="137">
        <f t="shared" si="1"/>
        <v>0.25070532634769843</v>
      </c>
      <c r="W31">
        <f>VLOOKUP(Z31,Sheet9!F$2:L$48,7,FALSE)</f>
        <v>1.2372013881022723E-2</v>
      </c>
      <c r="X31" s="137">
        <f>AB31/SUM($AB$2:$AB$48)</f>
        <v>2.2093930136217889E-2</v>
      </c>
      <c r="Y31" s="64" t="s">
        <v>149</v>
      </c>
      <c r="Z31" s="65" t="s">
        <v>150</v>
      </c>
      <c r="AA31">
        <f>VLOOKUP(Z31,Sheet12!A$2:C$48,3,FALSE)</f>
        <v>9.0739677579923601</v>
      </c>
      <c r="AB31" s="67">
        <f>VLOOKUP(Z31,Sheet9!A$2:K$48,11,FALSE)</f>
        <v>20.263906002583152</v>
      </c>
      <c r="AC31" s="67">
        <f>_xlfn.XLOOKUP(Y31,Density_Weighted_Stock_Weig!Y:Y,Density_Weighted_Stock_Weig!Z:Z)</f>
        <v>28160542.500000004</v>
      </c>
      <c r="AD31" t="str">
        <f t="shared" si="2"/>
        <v>Below Weighted Average</v>
      </c>
      <c r="AE31" t="str">
        <f t="shared" si="3"/>
        <v>Below Weighted Average</v>
      </c>
      <c r="AF31" s="2" t="str" cm="1">
        <f t="array" ref="AF31">_xlfn.IFS(AND(AD31="Above Weighted Average",AE31="Below Weighted Average"),"3",AND(AD31="Above Weighted Average",AE31="Above Weighted Average"),"4",AND(AD31="Below Weighted Average",AE31="Above Weighted Average"),"2",AND(AD31="Below Weighted Average",AE31="Below Weighted Average"),"1")</f>
        <v>1</v>
      </c>
      <c r="AG31" t="str">
        <f t="shared" si="4"/>
        <v>Below Non Weighted Average</v>
      </c>
      <c r="AH31" t="str">
        <f t="shared" si="5"/>
        <v>Above Non Weighted Average</v>
      </c>
      <c r="AI31" s="2" t="str" cm="1">
        <f t="array" ref="AI31">_xlfn.IFS(AND(AG31="Above Non Weighted Average",AH31="Below Non Weighted Average"),"3",AND(AG31="Above Non Weighted Average",AH31="Above Non Weighted Average"),"4",AND(AG31="Below Non Weighted Average",AH31="Above Non Weighted Average"),"2",AND(AG31="Below Non Weighted Average",AH31="Below Non Weighted Average"),"1")</f>
        <v>2</v>
      </c>
      <c r="AJ31" t="b">
        <f t="shared" si="6"/>
        <v>0</v>
      </c>
      <c r="AK31" t="str">
        <f>IF(AA31&lt;Weighted_average,"Below","Above")</f>
        <v>Below</v>
      </c>
      <c r="AL31" t="str">
        <f>IF(AB31&lt;Stock_grad_ratio,"Below","Above")</f>
        <v>Below</v>
      </c>
      <c r="AM31" t="str">
        <f t="shared" si="7"/>
        <v>BelowBelow</v>
      </c>
      <c r="AN31" t="str">
        <f t="shared" si="8"/>
        <v>Q1</v>
      </c>
      <c r="BE31" s="64" t="s">
        <v>43</v>
      </c>
      <c r="BF31" s="65" t="s">
        <v>182</v>
      </c>
      <c r="BG31" s="47">
        <v>5.9036930685343147</v>
      </c>
      <c r="BH31" s="47">
        <v>10.599369085173501</v>
      </c>
      <c r="BI31" s="47" t="str">
        <f t="shared" si="9"/>
        <v>Below Average</v>
      </c>
      <c r="BJ31" s="47" t="str">
        <f t="shared" si="10"/>
        <v>Below Average</v>
      </c>
      <c r="BK31" s="75" t="str" cm="1">
        <f t="array" ref="BK31">_xlfn.IFS(AND(BI31="Above Average",BJ31="Below Average"),"Q1",AND(BI31="Above Average",BJ31="Above Average"),"Q2",AND(BI31="Below Average",BJ31="Above Average"),"Q3",AND(BI31="Below Average",BJ31="Below Average"),"Q4")</f>
        <v>Q4</v>
      </c>
      <c r="BL31" s="47"/>
    </row>
    <row r="32" spans="1:73" x14ac:dyDescent="0.35">
      <c r="A32" s="64" t="s">
        <v>30</v>
      </c>
      <c r="B32" s="65" t="s">
        <v>169</v>
      </c>
      <c r="C32" s="42">
        <v>0.55969999999999998</v>
      </c>
      <c r="D32" s="52">
        <v>0.102022686</v>
      </c>
      <c r="E32" s="47">
        <v>117.20284698003086</v>
      </c>
      <c r="H32" s="65" t="s">
        <v>169</v>
      </c>
      <c r="I32" s="3">
        <v>2.0689381612784907</v>
      </c>
      <c r="J32" s="67">
        <v>1.0251934156706199</v>
      </c>
      <c r="K32" s="47">
        <v>117.20284698003086</v>
      </c>
      <c r="L32" s="67">
        <v>10.597255752844539</v>
      </c>
      <c r="M32" s="3">
        <f t="shared" si="0"/>
        <v>2.0689381612784907</v>
      </c>
      <c r="N32" s="3">
        <f t="shared" si="0"/>
        <v>1.0251934156706199</v>
      </c>
      <c r="P32" s="64" t="s">
        <v>30</v>
      </c>
      <c r="Q32" s="65" t="s">
        <v>169</v>
      </c>
      <c r="R32" s="67">
        <v>10.597255752844539</v>
      </c>
      <c r="S32">
        <v>53.864572698360966</v>
      </c>
      <c r="V32" s="137">
        <f t="shared" si="1"/>
        <v>0.18128512673465641</v>
      </c>
      <c r="W32">
        <f>VLOOKUP(Z32,Sheet9!F$2:L$48,7,FALSE)</f>
        <v>1.1081307829850322E-2</v>
      </c>
      <c r="X32" s="137">
        <f>AB32/SUM($AB$2:$AB$48)</f>
        <v>1.7836965374819633E-2</v>
      </c>
      <c r="Y32" s="64" t="s">
        <v>31</v>
      </c>
      <c r="Z32" s="65" t="s">
        <v>170</v>
      </c>
      <c r="AA32">
        <f>VLOOKUP(Z32,Sheet12!A$2:C$48,3,FALSE)</f>
        <v>6.9418666214370077</v>
      </c>
      <c r="AB32" s="67">
        <f>VLOOKUP(Z32,Sheet9!A$2:K$48,11,FALSE)</f>
        <v>16.359542530378842</v>
      </c>
      <c r="AC32" s="67">
        <f>_xlfn.XLOOKUP(Y32,Density_Weighted_Stock_Weig!Y:Y,Density_Weighted_Stock_Weig!Z:Z)</f>
        <v>32969518.500000007</v>
      </c>
      <c r="AD32" t="str">
        <f t="shared" si="2"/>
        <v>Below Weighted Average</v>
      </c>
      <c r="AE32" t="str">
        <f t="shared" si="3"/>
        <v>Below Weighted Average</v>
      </c>
      <c r="AF32" s="2" t="str" cm="1">
        <f t="array" ref="AF32">_xlfn.IFS(AND(AD32="Above Weighted Average",AE32="Below Weighted Average"),"3",AND(AD32="Above Weighted Average",AE32="Above Weighted Average"),"4",AND(AD32="Below Weighted Average",AE32="Above Weighted Average"),"2",AND(AD32="Below Weighted Average",AE32="Below Weighted Average"),"1")</f>
        <v>1</v>
      </c>
      <c r="AG32" t="str">
        <f t="shared" si="4"/>
        <v>Below Non Weighted Average</v>
      </c>
      <c r="AH32" t="str">
        <f t="shared" si="5"/>
        <v>Below Non Weighted Average</v>
      </c>
      <c r="AI32" s="2" t="str" cm="1">
        <f t="array" ref="AI32">_xlfn.IFS(AND(AG32="Above Non Weighted Average",AH32="Below Non Weighted Average"),"3",AND(AG32="Above Non Weighted Average",AH32="Above Non Weighted Average"),"4",AND(AG32="Below Non Weighted Average",AH32="Above Non Weighted Average"),"2",AND(AG32="Below Non Weighted Average",AH32="Below Non Weighted Average"),"1")</f>
        <v>1</v>
      </c>
      <c r="AJ32" t="b">
        <f t="shared" si="6"/>
        <v>1</v>
      </c>
      <c r="AK32" t="str">
        <f>IF(AA32&lt;Weighted_average,"Below","Above")</f>
        <v>Below</v>
      </c>
      <c r="AL32" t="str">
        <f>IF(AB32&lt;Stock_grad_ratio,"Below","Above")</f>
        <v>Below</v>
      </c>
      <c r="AM32" t="str">
        <f t="shared" si="7"/>
        <v>BelowBelow</v>
      </c>
      <c r="AN32" t="str">
        <f t="shared" si="8"/>
        <v>Q1</v>
      </c>
      <c r="BE32" s="64" t="s">
        <v>30</v>
      </c>
      <c r="BF32" s="65" t="s">
        <v>169</v>
      </c>
      <c r="BG32" s="47">
        <v>53.864572698360966</v>
      </c>
      <c r="BH32" s="47">
        <v>10.597255752844539</v>
      </c>
      <c r="BI32" s="47" t="str">
        <f t="shared" si="9"/>
        <v>Above Average</v>
      </c>
      <c r="BJ32" s="47" t="str">
        <f t="shared" si="10"/>
        <v>Below Average</v>
      </c>
      <c r="BK32" s="75" t="str" cm="1">
        <f t="array" ref="BK32">_xlfn.IFS(AND(BI32="Above Average",BJ32="Below Average"),"Q1",AND(BI32="Above Average",BJ32="Above Average"),"Q2",AND(BI32="Below Average",BJ32="Above Average"),"Q3",AND(BI32="Below Average",BJ32="Below Average"),"Q4")</f>
        <v>Q1</v>
      </c>
      <c r="BL32" s="47"/>
    </row>
    <row r="33" spans="1:64" x14ac:dyDescent="0.35">
      <c r="A33" s="64" t="s">
        <v>31</v>
      </c>
      <c r="B33" s="65" t="s">
        <v>170</v>
      </c>
      <c r="C33" s="42">
        <v>0.61</v>
      </c>
      <c r="D33" s="52">
        <v>7.2900424000000005E-2</v>
      </c>
      <c r="E33" s="47">
        <v>54.608508445493854</v>
      </c>
      <c r="H33" s="65" t="s">
        <v>170</v>
      </c>
      <c r="I33" s="3">
        <v>1.7372603145553582</v>
      </c>
      <c r="J33" s="67">
        <v>1.2137711551232062</v>
      </c>
      <c r="K33" s="47">
        <v>54.608508445493854</v>
      </c>
      <c r="L33" s="67">
        <v>16.359542530378842</v>
      </c>
      <c r="M33" s="3">
        <f t="shared" si="0"/>
        <v>1.7372603145553582</v>
      </c>
      <c r="N33" s="3">
        <f t="shared" si="0"/>
        <v>1.2137711551232062</v>
      </c>
      <c r="P33" s="64" t="s">
        <v>31</v>
      </c>
      <c r="Q33" s="65" t="s">
        <v>170</v>
      </c>
      <c r="R33" s="67">
        <v>16.359542530378842</v>
      </c>
      <c r="S33">
        <v>11.001373890249562</v>
      </c>
      <c r="V33" s="137">
        <f t="shared" si="1"/>
        <v>7.6209274281431659E-4</v>
      </c>
      <c r="W33">
        <f>VLOOKUP(Z33,Sheet9!F$2:L$48,7,FALSE)</f>
        <v>7.9873457551678467E-4</v>
      </c>
      <c r="X33" s="137">
        <f>AB33/SUM($AB$2:$AB$48)</f>
        <v>1.0402917530226575E-3</v>
      </c>
      <c r="Y33" s="64" t="s">
        <v>14</v>
      </c>
      <c r="Z33" s="65" t="s">
        <v>152</v>
      </c>
      <c r="AA33">
        <f>VLOOKUP(Z33,Sheet12!A$2:C$48,3,FALSE)</f>
        <v>9.8493909874009749</v>
      </c>
      <c r="AB33" s="67">
        <f>VLOOKUP(Z33,Sheet9!A$2:K$48,11,FALSE)</f>
        <v>0.95412514516632685</v>
      </c>
      <c r="AC33" s="67">
        <f>_xlfn.XLOOKUP(Y33,Density_Weighted_Stock_Weig!Y:Y,Density_Weighted_Stock_Weig!Z:Z)</f>
        <v>1674908</v>
      </c>
      <c r="AD33" t="str">
        <f t="shared" si="2"/>
        <v>Below Weighted Average</v>
      </c>
      <c r="AE33" t="str">
        <f t="shared" si="3"/>
        <v>Below Weighted Average</v>
      </c>
      <c r="AF33" s="2" t="str" cm="1">
        <f t="array" ref="AF33">_xlfn.IFS(AND(AD33="Above Weighted Average",AE33="Below Weighted Average"),"3",AND(AD33="Above Weighted Average",AE33="Above Weighted Average"),"4",AND(AD33="Below Weighted Average",AE33="Above Weighted Average"),"2",AND(AD33="Below Weighted Average",AE33="Below Weighted Average"),"1")</f>
        <v>1</v>
      </c>
      <c r="AG33" t="str">
        <f t="shared" si="4"/>
        <v>Below Non Weighted Average</v>
      </c>
      <c r="AH33" t="str">
        <f t="shared" si="5"/>
        <v>Below Non Weighted Average</v>
      </c>
      <c r="AI33" s="2" t="str" cm="1">
        <f t="array" ref="AI33">_xlfn.IFS(AND(AG33="Above Non Weighted Average",AH33="Below Non Weighted Average"),"3",AND(AG33="Above Non Weighted Average",AH33="Above Non Weighted Average"),"4",AND(AG33="Below Non Weighted Average",AH33="Above Non Weighted Average"),"2",AND(AG33="Below Non Weighted Average",AH33="Below Non Weighted Average"),"1")</f>
        <v>1</v>
      </c>
      <c r="AJ33" t="b">
        <f t="shared" si="6"/>
        <v>1</v>
      </c>
      <c r="AK33" t="str">
        <f>IF(AA33&lt;Weighted_average,"Below","Above")</f>
        <v>Below</v>
      </c>
      <c r="AL33" t="str">
        <f>IF(AB33&lt;Stock_grad_ratio,"Below","Above")</f>
        <v>Below</v>
      </c>
      <c r="AM33" t="str">
        <f t="shared" si="7"/>
        <v>BelowBelow</v>
      </c>
      <c r="AN33" t="str">
        <f t="shared" si="8"/>
        <v>Q1</v>
      </c>
      <c r="BE33" s="64" t="s">
        <v>45</v>
      </c>
      <c r="BF33" s="65" t="s">
        <v>185</v>
      </c>
      <c r="BG33" s="47">
        <v>32.824990914279496</v>
      </c>
      <c r="BH33" s="47">
        <v>10.51861504095309</v>
      </c>
      <c r="BI33" s="47" t="str">
        <f t="shared" si="9"/>
        <v>Above Average</v>
      </c>
      <c r="BJ33" s="47" t="str">
        <f t="shared" si="10"/>
        <v>Below Average</v>
      </c>
      <c r="BK33" s="75" t="str" cm="1">
        <f t="array" ref="BK33">_xlfn.IFS(AND(BI33="Above Average",BJ33="Below Average"),"Q1",AND(BI33="Above Average",BJ33="Above Average"),"Q2",AND(BI33="Below Average",BJ33="Above Average"),"Q3",AND(BI33="Below Average",BJ33="Below Average"),"Q4")</f>
        <v>Q1</v>
      </c>
      <c r="BL33" s="47"/>
    </row>
    <row r="34" spans="1:64" x14ac:dyDescent="0.35">
      <c r="A34" s="64" t="s">
        <v>32</v>
      </c>
      <c r="B34" s="65" t="s">
        <v>171</v>
      </c>
      <c r="C34" s="42">
        <v>0.4869</v>
      </c>
      <c r="D34" s="52">
        <v>0.10652340890000001</v>
      </c>
      <c r="E34" s="47">
        <v>105.35216319078796</v>
      </c>
      <c r="H34" s="65" t="s">
        <v>171</v>
      </c>
      <c r="I34" s="3">
        <v>2.0226434573829182</v>
      </c>
      <c r="J34" s="67">
        <v>1.4050950942181666</v>
      </c>
      <c r="K34" s="47">
        <v>105.35216319078796</v>
      </c>
      <c r="L34" s="67">
        <v>25.415291442768822</v>
      </c>
      <c r="M34" s="3">
        <f t="shared" si="0"/>
        <v>2.0226434573829182</v>
      </c>
      <c r="N34" s="3">
        <f t="shared" si="0"/>
        <v>1.4050950942181666</v>
      </c>
      <c r="P34" s="64" t="s">
        <v>32</v>
      </c>
      <c r="Q34" s="65" t="s">
        <v>171</v>
      </c>
      <c r="R34" s="67">
        <v>25.415291442768822</v>
      </c>
      <c r="S34">
        <v>66.896135970779099</v>
      </c>
      <c r="V34" s="137">
        <f t="shared" si="1"/>
        <v>2.9149612601845006E-2</v>
      </c>
      <c r="W34">
        <f>VLOOKUP(Z34,Sheet9!F$2:L$48,7,FALSE)</f>
        <v>5.0290559952772661E-3</v>
      </c>
      <c r="X34" s="137">
        <f>AB34/SUM($AB$2:$AB$48)</f>
        <v>6.3196951647500263E-3</v>
      </c>
      <c r="Y34" s="64" t="s">
        <v>6</v>
      </c>
      <c r="Z34" s="65" t="s">
        <v>141</v>
      </c>
      <c r="AA34">
        <f>VLOOKUP(Z34,Sheet12!A$2:C$48,3,FALSE)</f>
        <v>8.0583415905400297</v>
      </c>
      <c r="AB34" s="67">
        <f>VLOOKUP(Z34,Sheet9!A$2:K$48,11,FALSE)</f>
        <v>5.7962394193302087</v>
      </c>
      <c r="AC34" s="67">
        <f>_xlfn.XLOOKUP(Y34,Density_Weighted_Stock_Weig!Y:Y,Density_Weighted_Stock_Weig!Z:Z)</f>
        <v>12889576.499999994</v>
      </c>
      <c r="AD34" t="str">
        <f t="shared" si="2"/>
        <v>Below Weighted Average</v>
      </c>
      <c r="AE34" t="str">
        <f t="shared" si="3"/>
        <v>Below Weighted Average</v>
      </c>
      <c r="AF34" s="2" t="str" cm="1">
        <f t="array" ref="AF34">_xlfn.IFS(AND(AD34="Above Weighted Average",AE34="Below Weighted Average"),"3",AND(AD34="Above Weighted Average",AE34="Above Weighted Average"),"4",AND(AD34="Below Weighted Average",AE34="Above Weighted Average"),"2",AND(AD34="Below Weighted Average",AE34="Below Weighted Average"),"1")</f>
        <v>1</v>
      </c>
      <c r="AG34" t="str">
        <f t="shared" si="4"/>
        <v>Below Non Weighted Average</v>
      </c>
      <c r="AH34" t="str">
        <f t="shared" si="5"/>
        <v>Below Non Weighted Average</v>
      </c>
      <c r="AI34" s="2" t="str" cm="1">
        <f t="array" ref="AI34">_xlfn.IFS(AND(AG34="Above Non Weighted Average",AH34="Below Non Weighted Average"),"3",AND(AG34="Above Non Weighted Average",AH34="Above Non Weighted Average"),"4",AND(AG34="Below Non Weighted Average",AH34="Above Non Weighted Average"),"2",AND(AG34="Below Non Weighted Average",AH34="Below Non Weighted Average"),"1")</f>
        <v>1</v>
      </c>
      <c r="AJ34" t="b">
        <f t="shared" si="6"/>
        <v>1</v>
      </c>
      <c r="AK34" t="str">
        <f>IF(AA34&lt;Weighted_average,"Below","Above")</f>
        <v>Below</v>
      </c>
      <c r="AL34" t="str">
        <f>IF(AB34&lt;Stock_grad_ratio,"Below","Above")</f>
        <v>Below</v>
      </c>
      <c r="AM34" t="str">
        <f t="shared" si="7"/>
        <v>BelowBelow</v>
      </c>
      <c r="AN34" t="str">
        <f t="shared" si="8"/>
        <v>Q1</v>
      </c>
      <c r="BE34" s="64" t="s">
        <v>39</v>
      </c>
      <c r="BF34" s="65" t="s">
        <v>179</v>
      </c>
      <c r="BG34" s="47">
        <v>22.128310502389212</v>
      </c>
      <c r="BH34" s="47">
        <v>8.5050709939148081</v>
      </c>
      <c r="BI34" s="47" t="str">
        <f t="shared" si="9"/>
        <v>Below Average</v>
      </c>
      <c r="BJ34" s="47" t="str">
        <f t="shared" si="10"/>
        <v>Below Average</v>
      </c>
      <c r="BK34" s="75" t="str" cm="1">
        <f t="array" ref="BK34">_xlfn.IFS(AND(BI34="Above Average",BJ34="Below Average"),"Q1",AND(BI34="Above Average",BJ34="Above Average"),"Q2",AND(BI34="Below Average",BJ34="Above Average"),"Q3",AND(BI34="Below Average",BJ34="Below Average"),"Q4")</f>
        <v>Q4</v>
      </c>
      <c r="BL34" s="47"/>
    </row>
    <row r="35" spans="1:64" x14ac:dyDescent="0.35">
      <c r="A35" s="64" t="s">
        <v>33</v>
      </c>
      <c r="B35" s="65" t="s">
        <v>172</v>
      </c>
      <c r="C35" s="42">
        <v>0.17051779817360399</v>
      </c>
      <c r="D35" s="52">
        <v>0.1023069668</v>
      </c>
      <c r="E35" s="47">
        <v>4.955848322257995</v>
      </c>
      <c r="H35" s="65" t="s">
        <v>172</v>
      </c>
      <c r="I35" s="3">
        <v>0.69511800597391782</v>
      </c>
      <c r="J35" s="67">
        <v>0.89256200067381375</v>
      </c>
      <c r="K35" s="47">
        <v>4.955848322257995</v>
      </c>
      <c r="L35" s="67">
        <v>7.8083990631299782</v>
      </c>
      <c r="M35" s="3">
        <f t="shared" si="0"/>
        <v>0.69511800597391782</v>
      </c>
      <c r="N35" s="3">
        <f t="shared" si="0"/>
        <v>0.89256200067381375</v>
      </c>
      <c r="P35" s="64" t="s">
        <v>33</v>
      </c>
      <c r="Q35" s="65" t="s">
        <v>172</v>
      </c>
      <c r="R35" s="67">
        <v>7.8083990631299782</v>
      </c>
      <c r="S35">
        <v>2.3259582036922208</v>
      </c>
      <c r="V35" s="137">
        <f t="shared" si="1"/>
        <v>3.3741425432674825E-2</v>
      </c>
      <c r="W35">
        <f>VLOOKUP(Z35,Sheet9!F$2:L$48,7,FALSE)</f>
        <v>4.1159696710603216E-3</v>
      </c>
      <c r="X35" s="137">
        <f>AB35/SUM($AB$2:$AB$48)</f>
        <v>8.9380148921345964E-3</v>
      </c>
      <c r="Y35" s="64" t="s">
        <v>3</v>
      </c>
      <c r="Z35" s="65" t="s">
        <v>138</v>
      </c>
      <c r="AA35">
        <f>VLOOKUP(Z35,Sheet12!A$2:C$48,3,FALSE)</f>
        <v>6.3664244614488705</v>
      </c>
      <c r="AB35" s="67">
        <f>VLOOKUP(Z35,Sheet9!A$2:K$48,11,FALSE)</f>
        <v>8.1976856316297013</v>
      </c>
      <c r="AC35" s="67">
        <f>_xlfn.XLOOKUP(Y35,Density_Weighted_Stock_Weig!Y:Y,Density_Weighted_Stock_Weig!Z:Z)</f>
        <v>13352864</v>
      </c>
      <c r="AD35" t="str">
        <f t="shared" si="2"/>
        <v>Below Weighted Average</v>
      </c>
      <c r="AE35" t="str">
        <f t="shared" si="3"/>
        <v>Below Weighted Average</v>
      </c>
      <c r="AF35" s="2" t="str" cm="1">
        <f t="array" ref="AF35">_xlfn.IFS(AND(AD35="Above Weighted Average",AE35="Below Weighted Average"),"3",AND(AD35="Above Weighted Average",AE35="Above Weighted Average"),"4",AND(AD35="Below Weighted Average",AE35="Above Weighted Average"),"2",AND(AD35="Below Weighted Average",AE35="Below Weighted Average"),"1")</f>
        <v>1</v>
      </c>
      <c r="AG35" t="str">
        <f t="shared" si="4"/>
        <v>Below Non Weighted Average</v>
      </c>
      <c r="AH35" t="str">
        <f t="shared" si="5"/>
        <v>Below Non Weighted Average</v>
      </c>
      <c r="AI35" s="2" t="str" cm="1">
        <f t="array" ref="AI35">_xlfn.IFS(AND(AG35="Above Non Weighted Average",AH35="Below Non Weighted Average"),"3",AND(AG35="Above Non Weighted Average",AH35="Above Non Weighted Average"),"4",AND(AG35="Below Non Weighted Average",AH35="Above Non Weighted Average"),"2",AND(AG35="Below Non Weighted Average",AH35="Below Non Weighted Average"),"1")</f>
        <v>1</v>
      </c>
      <c r="AJ35" t="b">
        <f t="shared" si="6"/>
        <v>1</v>
      </c>
      <c r="AK35" t="str">
        <f>IF(AA35&lt;Weighted_average,"Below","Above")</f>
        <v>Below</v>
      </c>
      <c r="AL35" t="str">
        <f>IF(AB35&lt;Stock_grad_ratio,"Below","Above")</f>
        <v>Below</v>
      </c>
      <c r="AM35" t="str">
        <f t="shared" si="7"/>
        <v>BelowBelow</v>
      </c>
      <c r="AN35" t="str">
        <f t="shared" si="8"/>
        <v>Q1</v>
      </c>
      <c r="BE35" s="64" t="s">
        <v>3</v>
      </c>
      <c r="BF35" s="65" t="s">
        <v>138</v>
      </c>
      <c r="BG35" s="47">
        <v>7.905420140578082</v>
      </c>
      <c r="BH35" s="47">
        <v>8.1976856316297013</v>
      </c>
      <c r="BI35" s="47" t="str">
        <f t="shared" si="9"/>
        <v>Below Average</v>
      </c>
      <c r="BJ35" s="47" t="str">
        <f t="shared" si="10"/>
        <v>Below Average</v>
      </c>
      <c r="BK35" s="75" t="str" cm="1">
        <f t="array" ref="BK35">_xlfn.IFS(AND(BI35="Above Average",BJ35="Below Average"),"Q1",AND(BI35="Above Average",BJ35="Above Average"),"Q2",AND(BI35="Below Average",BJ35="Above Average"),"Q3",AND(BI35="Below Average",BJ35="Below Average"),"Q4")</f>
        <v>Q4</v>
      </c>
      <c r="BL35" s="47"/>
    </row>
    <row r="36" spans="1:64" x14ac:dyDescent="0.35">
      <c r="A36" s="64" t="s">
        <v>34</v>
      </c>
      <c r="B36" s="65" t="s">
        <v>173</v>
      </c>
      <c r="C36" s="42">
        <v>0.66749999999999998</v>
      </c>
      <c r="D36" s="52">
        <v>4.2245168700000002E-2</v>
      </c>
      <c r="E36" s="47">
        <v>36.583982353138666</v>
      </c>
      <c r="H36" s="65" t="s">
        <v>173</v>
      </c>
      <c r="I36" s="3">
        <v>1.5632909788838778</v>
      </c>
      <c r="J36" s="67">
        <v>1.2520463655347098</v>
      </c>
      <c r="K36" s="47">
        <v>36.583982353138666</v>
      </c>
      <c r="L36" s="67">
        <v>17.866783114992721</v>
      </c>
      <c r="M36" s="3">
        <f t="shared" si="0"/>
        <v>1.5632909788838778</v>
      </c>
      <c r="N36" s="3">
        <f t="shared" si="0"/>
        <v>1.2520463655347098</v>
      </c>
      <c r="P36" s="64" t="s">
        <v>34</v>
      </c>
      <c r="Q36" s="65" t="s">
        <v>173</v>
      </c>
      <c r="R36" s="67">
        <v>17.866783114992721</v>
      </c>
      <c r="S36">
        <v>20.758052766628868</v>
      </c>
      <c r="V36" s="137">
        <f t="shared" si="1"/>
        <v>5.7280088943060199E-2</v>
      </c>
      <c r="W36">
        <f>VLOOKUP(Z36,Sheet9!F$2:L$48,7,FALSE)</f>
        <v>9.7958238307131427E-3</v>
      </c>
      <c r="X36" s="137">
        <f>AB36/SUM($AB$2:$AB$48)</f>
        <v>6.3754747737151916E-3</v>
      </c>
      <c r="Y36" s="64" t="s">
        <v>7</v>
      </c>
      <c r="Z36" s="65" t="s">
        <v>143</v>
      </c>
      <c r="AA36">
        <f>VLOOKUP(Z36,Sheet12!A$2:C$48,3,FALSE)</f>
        <v>7.2478366244770029</v>
      </c>
      <c r="AB36" s="67">
        <f>VLOOKUP(Z36,Sheet9!A$2:K$48,11,FALSE)</f>
        <v>5.8473988439306357</v>
      </c>
      <c r="AC36" s="67">
        <f>_xlfn.XLOOKUP(Y36,Density_Weighted_Stock_Weig!Y:Y,Density_Weighted_Stock_Weig!Z:Z)</f>
        <v>27914536.499999989</v>
      </c>
      <c r="AD36" t="str">
        <f t="shared" si="2"/>
        <v>Below Weighted Average</v>
      </c>
      <c r="AE36" t="str">
        <f t="shared" si="3"/>
        <v>Below Weighted Average</v>
      </c>
      <c r="AF36" s="2" t="str" cm="1">
        <f t="array" ref="AF36">_xlfn.IFS(AND(AD36="Above Weighted Average",AE36="Below Weighted Average"),"3",AND(AD36="Above Weighted Average",AE36="Above Weighted Average"),"4",AND(AD36="Below Weighted Average",AE36="Above Weighted Average"),"2",AND(AD36="Below Weighted Average",AE36="Below Weighted Average"),"1")</f>
        <v>1</v>
      </c>
      <c r="AG36" t="str">
        <f t="shared" si="4"/>
        <v>Below Non Weighted Average</v>
      </c>
      <c r="AH36" t="str">
        <f t="shared" si="5"/>
        <v>Below Non Weighted Average</v>
      </c>
      <c r="AI36" s="2" t="str" cm="1">
        <f t="array" ref="AI36">_xlfn.IFS(AND(AG36="Above Non Weighted Average",AH36="Below Non Weighted Average"),"3",AND(AG36="Above Non Weighted Average",AH36="Above Non Weighted Average"),"4",AND(AG36="Below Non Weighted Average",AH36="Above Non Weighted Average"),"2",AND(AG36="Below Non Weighted Average",AH36="Below Non Weighted Average"),"1")</f>
        <v>1</v>
      </c>
      <c r="AJ36" t="b">
        <f t="shared" si="6"/>
        <v>1</v>
      </c>
      <c r="AK36" t="str">
        <f>IF(AA36&lt;Weighted_average,"Below","Above")</f>
        <v>Below</v>
      </c>
      <c r="AL36" t="str">
        <f>IF(AB36&lt;Stock_grad_ratio,"Below","Above")</f>
        <v>Below</v>
      </c>
      <c r="AM36" t="str">
        <f t="shared" si="7"/>
        <v>BelowBelow</v>
      </c>
      <c r="AN36" t="str">
        <f t="shared" si="8"/>
        <v>Q1</v>
      </c>
      <c r="BE36" s="64" t="s">
        <v>33</v>
      </c>
      <c r="BF36" s="65" t="s">
        <v>172</v>
      </c>
      <c r="BG36" s="47">
        <v>2.3259582036922208</v>
      </c>
      <c r="BH36" s="47">
        <v>7.8083990631299782</v>
      </c>
      <c r="BI36" s="47" t="str">
        <f t="shared" si="9"/>
        <v>Below Average</v>
      </c>
      <c r="BJ36" s="47" t="str">
        <f t="shared" si="10"/>
        <v>Below Average</v>
      </c>
      <c r="BK36" s="75" t="str" cm="1">
        <f t="array" ref="BK36">_xlfn.IFS(AND(BI36="Above Average",BJ36="Below Average"),"Q1",AND(BI36="Above Average",BJ36="Above Average"),"Q2",AND(BI36="Below Average",BJ36="Above Average"),"Q3",AND(BI36="Below Average",BJ36="Below Average"),"Q4")</f>
        <v>Q4</v>
      </c>
      <c r="BL36" s="47"/>
    </row>
    <row r="37" spans="1:64" x14ac:dyDescent="0.35">
      <c r="A37" s="64" t="s">
        <v>35</v>
      </c>
      <c r="B37" s="65" t="s">
        <v>174</v>
      </c>
      <c r="C37" s="42">
        <v>7.4999999999999997E-2</v>
      </c>
      <c r="D37" s="52">
        <v>8.8827714899999993E-2</v>
      </c>
      <c r="E37" s="47">
        <v>59.624042517676429</v>
      </c>
      <c r="H37" s="65" t="s">
        <v>174</v>
      </c>
      <c r="I37" s="3">
        <v>1.7754214179160368</v>
      </c>
      <c r="J37" s="67">
        <v>1.6169097533210601</v>
      </c>
      <c r="K37" s="47">
        <v>59.624042517676429</v>
      </c>
      <c r="L37" s="67">
        <v>41.391365435291313</v>
      </c>
      <c r="M37" s="3">
        <f t="shared" si="0"/>
        <v>1.7754214179160368</v>
      </c>
      <c r="N37" s="3">
        <f t="shared" si="0"/>
        <v>1.6169097533210601</v>
      </c>
      <c r="P37" s="64" t="s">
        <v>35</v>
      </c>
      <c r="Q37" s="65" t="s">
        <v>174</v>
      </c>
      <c r="R37" s="67">
        <v>41.391365435291313</v>
      </c>
      <c r="S37">
        <v>12.440746230594545</v>
      </c>
      <c r="V37" s="137">
        <f t="shared" si="1"/>
        <v>8.7790923784461551E-3</v>
      </c>
      <c r="W37">
        <f>VLOOKUP(Z37,Sheet9!F$2:L$48,7,FALSE)</f>
        <v>8.2468078506436004E-4</v>
      </c>
      <c r="X37" s="137">
        <f>AB37/SUM($AB$2:$AB$48)</f>
        <v>1.1606828231173221E-2</v>
      </c>
      <c r="Y37" s="64" t="s">
        <v>157</v>
      </c>
      <c r="Z37" s="65" t="s">
        <v>158</v>
      </c>
      <c r="AA37">
        <f>VLOOKUP(Z37,Sheet12!A$2:C$48,3,FALSE)</f>
        <v>6.294441731697038</v>
      </c>
      <c r="AB37" s="67">
        <f>VLOOKUP(Z37,Sheet9!A$2:K$48,11,FALSE)</f>
        <v>10.645443106523956</v>
      </c>
      <c r="AC37" s="67">
        <f>_xlfn.XLOOKUP(Y37,Density_Weighted_Stock_Weig!Y:Y,Density_Weighted_Stock_Weig!Z:Z)</f>
        <v>2705991.9999999995</v>
      </c>
      <c r="AD37" t="str">
        <f t="shared" si="2"/>
        <v>Below Weighted Average</v>
      </c>
      <c r="AE37" t="str">
        <f t="shared" si="3"/>
        <v>Below Weighted Average</v>
      </c>
      <c r="AF37" s="2" t="str" cm="1">
        <f t="array" ref="AF37">_xlfn.IFS(AND(AD37="Above Weighted Average",AE37="Below Weighted Average"),"3",AND(AD37="Above Weighted Average",AE37="Above Weighted Average"),"4",AND(AD37="Below Weighted Average",AE37="Above Weighted Average"),"2",AND(AD37="Below Weighted Average",AE37="Below Weighted Average"),"1")</f>
        <v>1</v>
      </c>
      <c r="AG37" t="str">
        <f t="shared" si="4"/>
        <v>Below Non Weighted Average</v>
      </c>
      <c r="AH37" t="str">
        <f t="shared" si="5"/>
        <v>Below Non Weighted Average</v>
      </c>
      <c r="AI37" s="2" t="str" cm="1">
        <f t="array" ref="AI37">_xlfn.IFS(AND(AG37="Above Non Weighted Average",AH37="Below Non Weighted Average"),"3",AND(AG37="Above Non Weighted Average",AH37="Above Non Weighted Average"),"4",AND(AG37="Below Non Weighted Average",AH37="Above Non Weighted Average"),"2",AND(AG37="Below Non Weighted Average",AH37="Below Non Weighted Average"),"1")</f>
        <v>1</v>
      </c>
      <c r="AJ37" t="b">
        <f t="shared" si="6"/>
        <v>1</v>
      </c>
      <c r="AK37" t="str">
        <f>IF(AA37&lt;Weighted_average,"Below","Above")</f>
        <v>Below</v>
      </c>
      <c r="AL37" t="str">
        <f>IF(AB37&lt;Stock_grad_ratio,"Below","Above")</f>
        <v>Below</v>
      </c>
      <c r="AM37" t="str">
        <f t="shared" si="7"/>
        <v>BelowBelow</v>
      </c>
      <c r="AN37" t="str">
        <f t="shared" si="8"/>
        <v>Q1</v>
      </c>
      <c r="BE37" s="64" t="s">
        <v>37</v>
      </c>
      <c r="BF37" s="65" t="s">
        <v>177</v>
      </c>
      <c r="BG37" s="47">
        <v>6.108947758593815</v>
      </c>
      <c r="BH37" s="47">
        <v>7.1829353403866092</v>
      </c>
      <c r="BI37" s="47" t="str">
        <f t="shared" si="9"/>
        <v>Below Average</v>
      </c>
      <c r="BJ37" s="47" t="str">
        <f t="shared" si="10"/>
        <v>Below Average</v>
      </c>
      <c r="BK37" s="75" t="str" cm="1">
        <f t="array" ref="BK37">_xlfn.IFS(AND(BI37="Above Average",BJ37="Below Average"),"Q1",AND(BI37="Above Average",BJ37="Above Average"),"Q2",AND(BI37="Below Average",BJ37="Above Average"),"Q3",AND(BI37="Below Average",BJ37="Below Average"),"Q4")</f>
        <v>Q4</v>
      </c>
      <c r="BL37" s="47"/>
    </row>
    <row r="38" spans="1:64" x14ac:dyDescent="0.35">
      <c r="A38" s="64" t="s">
        <v>175</v>
      </c>
      <c r="B38" s="65" t="s">
        <v>176</v>
      </c>
      <c r="C38" s="42">
        <v>0.477408095311257</v>
      </c>
      <c r="D38" s="52">
        <v>0.10762632370000001</v>
      </c>
      <c r="E38" s="47">
        <v>63.393220513883151</v>
      </c>
      <c r="H38" s="65" t="s">
        <v>176</v>
      </c>
      <c r="I38" s="3">
        <v>1.8020428154394388</v>
      </c>
      <c r="J38" s="67">
        <v>1.3590370091771649</v>
      </c>
      <c r="K38" s="47">
        <v>63.393220513883151</v>
      </c>
      <c r="L38" s="67">
        <v>22.857935830441416</v>
      </c>
      <c r="M38" s="3">
        <f t="shared" si="0"/>
        <v>1.8020428154394388</v>
      </c>
      <c r="N38" s="3">
        <f t="shared" si="0"/>
        <v>1.3590370091771649</v>
      </c>
      <c r="P38" s="64" t="s">
        <v>175</v>
      </c>
      <c r="Q38" s="65" t="s">
        <v>176</v>
      </c>
      <c r="R38" s="67">
        <v>22.857935830441416</v>
      </c>
      <c r="S38">
        <v>25.080738156916041</v>
      </c>
      <c r="V38" s="137">
        <f t="shared" si="1"/>
        <v>3.5937252304945051E-2</v>
      </c>
      <c r="W38">
        <f>VLOOKUP(Z38,Sheet9!F$2:L$48,7,FALSE)</f>
        <v>2.414095374650837E-3</v>
      </c>
      <c r="X38" s="137">
        <f>AB38/SUM($AB$2:$AB$48)</f>
        <v>1.6230812429880146E-2</v>
      </c>
      <c r="Y38" s="64" t="s">
        <v>41</v>
      </c>
      <c r="Z38" s="65" t="s">
        <v>181</v>
      </c>
      <c r="AA38">
        <f>VLOOKUP(Z38,Sheet12!A$2:C$48,3,FALSE)</f>
        <v>4.5687943738770151</v>
      </c>
      <c r="AB38" s="67">
        <f>VLOOKUP(Z38,Sheet9!A$2:K$48,11,FALSE)</f>
        <v>14.886426063486757</v>
      </c>
      <c r="AC38" s="67">
        <f>_xlfn.XLOOKUP(Y38,Density_Weighted_Stock_Weig!Y:Y,Density_Weighted_Stock_Weig!Z:Z)</f>
        <v>10913163.5</v>
      </c>
      <c r="AD38" t="str">
        <f t="shared" si="2"/>
        <v>Below Weighted Average</v>
      </c>
      <c r="AE38" t="str">
        <f t="shared" si="3"/>
        <v>Below Weighted Average</v>
      </c>
      <c r="AF38" s="2" t="str" cm="1">
        <f t="array" ref="AF38">_xlfn.IFS(AND(AD38="Above Weighted Average",AE38="Below Weighted Average"),"3",AND(AD38="Above Weighted Average",AE38="Above Weighted Average"),"4",AND(AD38="Below Weighted Average",AE38="Above Weighted Average"),"2",AND(AD38="Below Weighted Average",AE38="Below Weighted Average"),"1")</f>
        <v>1</v>
      </c>
      <c r="AG38" t="str">
        <f t="shared" si="4"/>
        <v>Below Non Weighted Average</v>
      </c>
      <c r="AH38" t="str">
        <f t="shared" si="5"/>
        <v>Below Non Weighted Average</v>
      </c>
      <c r="AI38" s="2" t="str" cm="1">
        <f t="array" ref="AI38">_xlfn.IFS(AND(AG38="Above Non Weighted Average",AH38="Below Non Weighted Average"),"3",AND(AG38="Above Non Weighted Average",AH38="Above Non Weighted Average"),"4",AND(AG38="Below Non Weighted Average",AH38="Above Non Weighted Average"),"2",AND(AG38="Below Non Weighted Average",AH38="Below Non Weighted Average"),"1")</f>
        <v>1</v>
      </c>
      <c r="AJ38" t="b">
        <f t="shared" si="6"/>
        <v>1</v>
      </c>
      <c r="AK38" t="str">
        <f>IF(AA38&lt;Weighted_average,"Below","Above")</f>
        <v>Below</v>
      </c>
      <c r="AL38" t="str">
        <f>IF(AB38&lt;Stock_grad_ratio,"Below","Above")</f>
        <v>Below</v>
      </c>
      <c r="AM38" t="str">
        <f t="shared" si="7"/>
        <v>BelowBelow</v>
      </c>
      <c r="AN38" t="str">
        <f t="shared" si="8"/>
        <v>Q1</v>
      </c>
      <c r="BE38" s="64" t="s">
        <v>5</v>
      </c>
      <c r="BF38" s="65" t="s">
        <v>140</v>
      </c>
      <c r="BG38" s="47">
        <v>11.721918929906732</v>
      </c>
      <c r="BH38" s="47">
        <v>6.4928625093914354</v>
      </c>
      <c r="BI38" s="47" t="str">
        <f t="shared" si="9"/>
        <v>Below Average</v>
      </c>
      <c r="BJ38" s="47" t="str">
        <f t="shared" si="10"/>
        <v>Below Average</v>
      </c>
      <c r="BK38" s="75" t="str" cm="1">
        <f t="array" ref="BK38">_xlfn.IFS(AND(BI38="Above Average",BJ38="Below Average"),"Q1",AND(BI38="Above Average",BJ38="Above Average"),"Q2",AND(BI38="Below Average",BJ38="Above Average"),"Q3",AND(BI38="Below Average",BJ38="Below Average"),"Q4")</f>
        <v>Q4</v>
      </c>
      <c r="BL38" s="47"/>
    </row>
    <row r="39" spans="1:64" x14ac:dyDescent="0.35">
      <c r="A39" s="64" t="s">
        <v>37</v>
      </c>
      <c r="B39" s="65" t="s">
        <v>177</v>
      </c>
      <c r="C39" s="42">
        <v>0.473026044369111</v>
      </c>
      <c r="D39" s="52">
        <v>6.4810943600000004E-2</v>
      </c>
      <c r="E39" s="47">
        <v>23.796885847380697</v>
      </c>
      <c r="H39" s="65" t="s">
        <v>177</v>
      </c>
      <c r="I39" s="3">
        <v>1.3765201273174978</v>
      </c>
      <c r="J39" s="67">
        <v>0.85630195700274225</v>
      </c>
      <c r="K39" s="47">
        <v>23.796885847380697</v>
      </c>
      <c r="L39" s="67">
        <v>7.1829353403866092</v>
      </c>
      <c r="M39" s="3">
        <f t="shared" si="0"/>
        <v>1.3765201273174978</v>
      </c>
      <c r="N39" s="3">
        <f t="shared" si="0"/>
        <v>0.85630195700274225</v>
      </c>
      <c r="P39" s="64" t="s">
        <v>37</v>
      </c>
      <c r="Q39" s="65" t="s">
        <v>177</v>
      </c>
      <c r="R39" s="67">
        <v>7.1829353403866092</v>
      </c>
      <c r="S39">
        <v>6.108947758593815</v>
      </c>
      <c r="V39" s="137">
        <f t="shared" si="1"/>
        <v>0.14539691458656923</v>
      </c>
      <c r="W39">
        <f>VLOOKUP(Z39,Sheet9!F$2:L$48,7,FALSE)</f>
        <v>1.9673473196587937E-2</v>
      </c>
      <c r="X39" s="137">
        <f>AB39/SUM($AB$2:$AB$48)</f>
        <v>8.0579388408941362E-3</v>
      </c>
      <c r="Y39" s="64" t="s">
        <v>42</v>
      </c>
      <c r="Z39" s="65" t="s">
        <v>184</v>
      </c>
      <c r="AA39">
        <f>VLOOKUP(Z39,Sheet12!A$2:C$48,3,FALSE)</f>
        <v>6.2037247448568724</v>
      </c>
      <c r="AB39" s="67">
        <f>VLOOKUP(Z39,Sheet9!A$2:K$48,11,FALSE)</f>
        <v>7.3905056384139689</v>
      </c>
      <c r="AC39" s="67">
        <f>_xlfn.XLOOKUP(Y39,Density_Weighted_Stock_Weig!Y:Y,Density_Weighted_Stock_Weig!Z:Z)</f>
        <v>65497748.000000045</v>
      </c>
      <c r="AD39" t="str">
        <f t="shared" si="2"/>
        <v>Below Weighted Average</v>
      </c>
      <c r="AE39" t="str">
        <f t="shared" si="3"/>
        <v>Below Weighted Average</v>
      </c>
      <c r="AF39" s="2" t="str" cm="1">
        <f t="array" ref="AF39">_xlfn.IFS(AND(AD39="Above Weighted Average",AE39="Below Weighted Average"),"3",AND(AD39="Above Weighted Average",AE39="Above Weighted Average"),"4",AND(AD39="Below Weighted Average",AE39="Above Weighted Average"),"2",AND(AD39="Below Weighted Average",AE39="Below Weighted Average"),"1")</f>
        <v>1</v>
      </c>
      <c r="AG39" t="str">
        <f t="shared" si="4"/>
        <v>Below Non Weighted Average</v>
      </c>
      <c r="AH39" t="str">
        <f t="shared" si="5"/>
        <v>Below Non Weighted Average</v>
      </c>
      <c r="AI39" s="2" t="str" cm="1">
        <f t="array" ref="AI39">_xlfn.IFS(AND(AG39="Above Non Weighted Average",AH39="Below Non Weighted Average"),"3",AND(AG39="Above Non Weighted Average",AH39="Above Non Weighted Average"),"4",AND(AG39="Below Non Weighted Average",AH39="Above Non Weighted Average"),"2",AND(AG39="Below Non Weighted Average",AH39="Below Non Weighted Average"),"1")</f>
        <v>1</v>
      </c>
      <c r="AJ39" t="b">
        <f t="shared" si="6"/>
        <v>1</v>
      </c>
      <c r="AK39" t="str">
        <f>IF(AA39&lt;Weighted_average,"Below","Above")</f>
        <v>Below</v>
      </c>
      <c r="AL39" t="str">
        <f>IF(AB39&lt;Stock_grad_ratio,"Below","Above")</f>
        <v>Below</v>
      </c>
      <c r="AM39" t="str">
        <f t="shared" si="7"/>
        <v>BelowBelow</v>
      </c>
      <c r="AN39" t="str">
        <f t="shared" si="8"/>
        <v>Q1</v>
      </c>
      <c r="BE39" s="64" t="s">
        <v>7</v>
      </c>
      <c r="BF39" s="65" t="s">
        <v>143</v>
      </c>
      <c r="BG39" s="47">
        <v>7.8475241743670043</v>
      </c>
      <c r="BH39" s="47">
        <v>5.8473988439306357</v>
      </c>
      <c r="BI39" s="47" t="str">
        <f t="shared" si="9"/>
        <v>Below Average</v>
      </c>
      <c r="BJ39" s="47" t="str">
        <f t="shared" si="10"/>
        <v>Below Average</v>
      </c>
      <c r="BK39" s="75" t="str" cm="1">
        <f t="array" ref="BK39">_xlfn.IFS(AND(BI39="Above Average",BJ39="Below Average"),"Q1",AND(BI39="Above Average",BJ39="Above Average"),"Q2",AND(BI39="Below Average",BJ39="Above Average"),"Q3",AND(BI39="Below Average",BJ39="Below Average"),"Q4")</f>
        <v>Q4</v>
      </c>
      <c r="BL39" s="47"/>
    </row>
    <row r="40" spans="1:64" x14ac:dyDescent="0.35">
      <c r="A40" s="64" t="s">
        <v>38</v>
      </c>
      <c r="B40" s="65" t="s">
        <v>178</v>
      </c>
      <c r="C40" s="42">
        <v>0.377</v>
      </c>
      <c r="D40" s="52">
        <v>0.10179439540000002</v>
      </c>
      <c r="E40" s="47">
        <v>296.4662893379861</v>
      </c>
      <c r="H40" s="65" t="s">
        <v>178</v>
      </c>
      <c r="I40" s="3">
        <v>2.4719753176435297</v>
      </c>
      <c r="J40" s="67">
        <v>1.6242820958356683</v>
      </c>
      <c r="K40" s="47">
        <v>296.4662893379861</v>
      </c>
      <c r="L40" s="67">
        <v>42.1</v>
      </c>
      <c r="M40" s="3">
        <f t="shared" si="0"/>
        <v>2.4719753176435297</v>
      </c>
      <c r="N40" s="3">
        <f t="shared" si="0"/>
        <v>1.6242820958356683</v>
      </c>
      <c r="P40" s="64" t="s">
        <v>38</v>
      </c>
      <c r="Q40" s="65" t="s">
        <v>178</v>
      </c>
      <c r="R40" s="67">
        <v>42.1</v>
      </c>
      <c r="S40">
        <v>213.24893351885851</v>
      </c>
      <c r="V40" s="137">
        <f t="shared" si="1"/>
        <v>2.5380476519676561E-2</v>
      </c>
      <c r="W40">
        <f>VLOOKUP(Z40,Sheet9!F$2:L$48,7,FALSE)</f>
        <v>3.5334407616024149E-3</v>
      </c>
      <c r="X40" s="137">
        <f>AB40/SUM($AB$2:$AB$48)</f>
        <v>7.8316229636695885E-3</v>
      </c>
      <c r="Y40" s="64" t="s">
        <v>37</v>
      </c>
      <c r="Z40" s="65" t="s">
        <v>177</v>
      </c>
      <c r="AA40">
        <f>VLOOKUP(Z40,Sheet12!A$2:C$48,3,FALSE)</f>
        <v>4.2144104174203356</v>
      </c>
      <c r="AB40" s="67">
        <f>VLOOKUP(Z40,Sheet9!A$2:K$48,11,FALSE)</f>
        <v>7.1829353403866092</v>
      </c>
      <c r="AC40" s="67">
        <f>_xlfn.XLOOKUP(Y40,Density_Weighted_Stock_Weig!Y:Y,Density_Weighted_Stock_Weig!Z:Z)</f>
        <v>17316449</v>
      </c>
      <c r="AD40" t="str">
        <f t="shared" si="2"/>
        <v>Below Weighted Average</v>
      </c>
      <c r="AE40" t="str">
        <f t="shared" si="3"/>
        <v>Below Weighted Average</v>
      </c>
      <c r="AF40" s="2" t="str" cm="1">
        <f t="array" ref="AF40">_xlfn.IFS(AND(AD40="Above Weighted Average",AE40="Below Weighted Average"),"3",AND(AD40="Above Weighted Average",AE40="Above Weighted Average"),"4",AND(AD40="Below Weighted Average",AE40="Above Weighted Average"),"2",AND(AD40="Below Weighted Average",AE40="Below Weighted Average"),"1")</f>
        <v>1</v>
      </c>
      <c r="AG40" t="str">
        <f t="shared" si="4"/>
        <v>Below Non Weighted Average</v>
      </c>
      <c r="AH40" t="str">
        <f t="shared" si="5"/>
        <v>Below Non Weighted Average</v>
      </c>
      <c r="AI40" s="2" t="str" cm="1">
        <f t="array" ref="AI40">_xlfn.IFS(AND(AG40="Above Non Weighted Average",AH40="Below Non Weighted Average"),"3",AND(AG40="Above Non Weighted Average",AH40="Above Non Weighted Average"),"4",AND(AG40="Below Non Weighted Average",AH40="Above Non Weighted Average"),"2",AND(AG40="Below Non Weighted Average",AH40="Below Non Weighted Average"),"1")</f>
        <v>1</v>
      </c>
      <c r="AJ40" t="b">
        <f t="shared" si="6"/>
        <v>1</v>
      </c>
      <c r="AK40" t="str">
        <f>IF(AA40&lt;Weighted_average,"Below","Above")</f>
        <v>Below</v>
      </c>
      <c r="AL40" t="str">
        <f>IF(AB40&lt;Stock_grad_ratio,"Below","Above")</f>
        <v>Below</v>
      </c>
      <c r="AM40" t="str">
        <f t="shared" si="7"/>
        <v>BelowBelow</v>
      </c>
      <c r="AN40" t="str">
        <f t="shared" si="8"/>
        <v>Q1</v>
      </c>
      <c r="BE40" s="64" t="s">
        <v>6</v>
      </c>
      <c r="BF40" s="65" t="s">
        <v>141</v>
      </c>
      <c r="BG40" s="47">
        <v>8.1970005510432156</v>
      </c>
      <c r="BH40" s="47">
        <v>5.7962394193302087</v>
      </c>
      <c r="BI40" s="47" t="str">
        <f t="shared" si="9"/>
        <v>Below Average</v>
      </c>
      <c r="BJ40" s="47" t="str">
        <f t="shared" si="10"/>
        <v>Below Average</v>
      </c>
      <c r="BK40" s="75" t="str" cm="1">
        <f t="array" ref="BK40">_xlfn.IFS(AND(BI40="Above Average",BJ40="Below Average"),"Q1",AND(BI40="Above Average",BJ40="Above Average"),"Q2",AND(BI40="Below Average",BJ40="Above Average"),"Q3",AND(BI40="Below Average",BJ40="Below Average"),"Q4")</f>
        <v>Q4</v>
      </c>
      <c r="BL40" s="47"/>
    </row>
    <row r="41" spans="1:64" x14ac:dyDescent="0.35">
      <c r="A41" s="64" t="s">
        <v>39</v>
      </c>
      <c r="B41" s="65" t="s">
        <v>179</v>
      </c>
      <c r="C41" s="42">
        <v>0.33232562471434801</v>
      </c>
      <c r="D41" s="52">
        <v>5.2879381199999999E-2</v>
      </c>
      <c r="E41" s="47">
        <v>45.477301239981145</v>
      </c>
      <c r="H41" s="65" t="s">
        <v>179</v>
      </c>
      <c r="I41" s="3">
        <v>1.657794684437857</v>
      </c>
      <c r="J41" s="67">
        <v>0.92967794312633822</v>
      </c>
      <c r="K41" s="47">
        <v>45.477301239981145</v>
      </c>
      <c r="L41" s="67">
        <v>8.5050709939148081</v>
      </c>
      <c r="M41" s="3">
        <f t="shared" si="0"/>
        <v>1.657794684437857</v>
      </c>
      <c r="N41" s="3">
        <f t="shared" si="0"/>
        <v>0.92967794312633822</v>
      </c>
      <c r="P41" s="64" t="s">
        <v>39</v>
      </c>
      <c r="Q41" s="65" t="s">
        <v>179</v>
      </c>
      <c r="R41" s="67">
        <v>8.5050709939148081</v>
      </c>
      <c r="S41">
        <v>22.128310502389212</v>
      </c>
      <c r="V41" s="137">
        <f t="shared" si="1"/>
        <v>1.724334201483908E-2</v>
      </c>
      <c r="W41">
        <f>VLOOKUP(Z41,Sheet9!F$2:L$48,7,FALSE)</f>
        <v>1.6268272079476157E-3</v>
      </c>
      <c r="X41" s="137">
        <f>AB41/SUM($AB$2:$AB$48)</f>
        <v>1.1556593285912332E-2</v>
      </c>
      <c r="Y41" s="64" t="s">
        <v>43</v>
      </c>
      <c r="Z41" s="65" t="s">
        <v>182</v>
      </c>
      <c r="AA41">
        <f>VLOOKUP(Z41,Sheet12!A$2:C$48,3,FALSE)</f>
        <v>3.797168589256374</v>
      </c>
      <c r="AB41" s="67">
        <f>VLOOKUP(Z41,Sheet9!A$2:K$48,11,FALSE)</f>
        <v>10.599369085173501</v>
      </c>
      <c r="AC41" s="67">
        <f>_xlfn.XLOOKUP(Y41,Density_Weighted_Stock_Weig!Y:Y,Density_Weighted_Stock_Weig!Z:Z)</f>
        <v>8848698.5000000019</v>
      </c>
      <c r="AD41" t="str">
        <f t="shared" si="2"/>
        <v>Below Weighted Average</v>
      </c>
      <c r="AE41" t="str">
        <f t="shared" si="3"/>
        <v>Below Weighted Average</v>
      </c>
      <c r="AF41" s="2" t="str" cm="1">
        <f t="array" ref="AF41">_xlfn.IFS(AND(AD41="Above Weighted Average",AE41="Below Weighted Average"),"3",AND(AD41="Above Weighted Average",AE41="Above Weighted Average"),"4",AND(AD41="Below Weighted Average",AE41="Above Weighted Average"),"2",AND(AD41="Below Weighted Average",AE41="Below Weighted Average"),"1")</f>
        <v>1</v>
      </c>
      <c r="AG41" t="str">
        <f t="shared" si="4"/>
        <v>Below Non Weighted Average</v>
      </c>
      <c r="AH41" t="str">
        <f t="shared" si="5"/>
        <v>Below Non Weighted Average</v>
      </c>
      <c r="AI41" s="2" t="str" cm="1">
        <f t="array" ref="AI41">_xlfn.IFS(AND(AG41="Above Non Weighted Average",AH41="Below Non Weighted Average"),"3",AND(AG41="Above Non Weighted Average",AH41="Above Non Weighted Average"),"4",AND(AG41="Below Non Weighted Average",AH41="Above Non Weighted Average"),"2",AND(AG41="Below Non Weighted Average",AH41="Below Non Weighted Average"),"1")</f>
        <v>1</v>
      </c>
      <c r="AJ41" t="b">
        <f t="shared" si="6"/>
        <v>1</v>
      </c>
      <c r="AK41" t="str">
        <f>IF(AA41&lt;Weighted_average,"Below","Above")</f>
        <v>Below</v>
      </c>
      <c r="AL41" t="str">
        <f>IF(AB41&lt;Stock_grad_ratio,"Below","Above")</f>
        <v>Below</v>
      </c>
      <c r="AM41" t="str">
        <f t="shared" si="7"/>
        <v>BelowBelow</v>
      </c>
      <c r="AN41" t="str">
        <f t="shared" si="8"/>
        <v>Q1</v>
      </c>
      <c r="BE41" s="64" t="s">
        <v>20</v>
      </c>
      <c r="BF41" s="65" t="s">
        <v>159</v>
      </c>
      <c r="BG41" s="47">
        <v>45.6484849222892</v>
      </c>
      <c r="BH41" s="47">
        <v>5.6456748687645337</v>
      </c>
      <c r="BI41" s="47" t="str">
        <f t="shared" si="9"/>
        <v>Above Average</v>
      </c>
      <c r="BJ41" s="47" t="str">
        <f t="shared" si="10"/>
        <v>Below Average</v>
      </c>
      <c r="BK41" s="75" t="str" cm="1">
        <f t="array" ref="BK41">_xlfn.IFS(AND(BI41="Above Average",BJ41="Below Average"),"Q1",AND(BI41="Above Average",BJ41="Above Average"),"Q2",AND(BI41="Below Average",BJ41="Above Average"),"Q3",AND(BI41="Below Average",BJ41="Below Average"),"Q4")</f>
        <v>Q1</v>
      </c>
      <c r="BL41" s="47"/>
    </row>
    <row r="42" spans="1:64" x14ac:dyDescent="0.35">
      <c r="A42" s="64" t="s">
        <v>40</v>
      </c>
      <c r="B42" s="65" t="s">
        <v>180</v>
      </c>
      <c r="C42" s="42">
        <v>0.54793438602622901</v>
      </c>
      <c r="D42" s="52">
        <v>0.1528983974</v>
      </c>
      <c r="E42" s="47">
        <v>110.14054068074168</v>
      </c>
      <c r="H42" s="65" t="s">
        <v>180</v>
      </c>
      <c r="I42" s="3">
        <v>2.0419472041053712</v>
      </c>
      <c r="J42" s="67">
        <v>2.0303780382652743</v>
      </c>
      <c r="K42" s="47">
        <v>110.14054068074168</v>
      </c>
      <c r="L42" s="67">
        <v>107.24524316516025</v>
      </c>
      <c r="M42" s="3">
        <f t="shared" si="0"/>
        <v>2.0419472041053712</v>
      </c>
      <c r="N42" s="3">
        <f t="shared" si="0"/>
        <v>2.0303780382652743</v>
      </c>
      <c r="P42" s="64" t="s">
        <v>40</v>
      </c>
      <c r="Q42" s="65" t="s">
        <v>180</v>
      </c>
      <c r="R42" s="67">
        <v>107.24524316516025</v>
      </c>
      <c r="S42">
        <v>74.345193320567816</v>
      </c>
      <c r="V42" s="137">
        <f t="shared" si="1"/>
        <v>2.8851050173761102E-2</v>
      </c>
      <c r="W42">
        <f>VLOOKUP(Z42,Sheet9!F$2:L$48,7,FALSE)</f>
        <v>5.1947110458541576E-3</v>
      </c>
      <c r="X42" s="137">
        <f>AB42/SUM($AB$2:$AB$48)</f>
        <v>6.0555005107664622E-3</v>
      </c>
      <c r="Y42" s="64" t="s">
        <v>28</v>
      </c>
      <c r="Z42" s="65" t="s">
        <v>167</v>
      </c>
      <c r="AA42">
        <f>VLOOKUP(Z42,Sheet12!A$2:C$48,3,FALSE)</f>
        <v>4.7486918911803722</v>
      </c>
      <c r="AB42" s="67">
        <f>VLOOKUP(Z42,Sheet9!A$2:K$48,11,FALSE)</f>
        <v>5.5539278160210301</v>
      </c>
      <c r="AC42" s="67">
        <f>_xlfn.XLOOKUP(Y42,Density_Weighted_Stock_Weig!Y:Y,Density_Weighted_Stock_Weig!Z:Z)</f>
        <v>22593590.500000022</v>
      </c>
      <c r="AD42" t="str">
        <f t="shared" si="2"/>
        <v>Below Weighted Average</v>
      </c>
      <c r="AE42" t="str">
        <f t="shared" si="3"/>
        <v>Below Weighted Average</v>
      </c>
      <c r="AF42" s="2" t="str" cm="1">
        <f t="array" ref="AF42">_xlfn.IFS(AND(AD42="Above Weighted Average",AE42="Below Weighted Average"),"3",AND(AD42="Above Weighted Average",AE42="Above Weighted Average"),"4",AND(AD42="Below Weighted Average",AE42="Above Weighted Average"),"2",AND(AD42="Below Weighted Average",AE42="Below Weighted Average"),"1")</f>
        <v>1</v>
      </c>
      <c r="AG42" t="str">
        <f t="shared" si="4"/>
        <v>Below Non Weighted Average</v>
      </c>
      <c r="AH42" t="str">
        <f t="shared" si="5"/>
        <v>Below Non Weighted Average</v>
      </c>
      <c r="AI42" s="2" t="str" cm="1">
        <f t="array" ref="AI42">_xlfn.IFS(AND(AG42="Above Non Weighted Average",AH42="Below Non Weighted Average"),"3",AND(AG42="Above Non Weighted Average",AH42="Above Non Weighted Average"),"4",AND(AG42="Below Non Weighted Average",AH42="Above Non Weighted Average"),"2",AND(AG42="Below Non Weighted Average",AH42="Below Non Weighted Average"),"1")</f>
        <v>1</v>
      </c>
      <c r="AJ42" t="b">
        <f t="shared" si="6"/>
        <v>1</v>
      </c>
      <c r="AK42" t="str">
        <f>IF(AA42&lt;Weighted_average,"Below","Above")</f>
        <v>Below</v>
      </c>
      <c r="AL42" t="str">
        <f>IF(AB42&lt;Stock_grad_ratio,"Below","Above")</f>
        <v>Below</v>
      </c>
      <c r="AM42" t="str">
        <f t="shared" si="7"/>
        <v>BelowBelow</v>
      </c>
      <c r="AN42" t="str">
        <f t="shared" si="8"/>
        <v>Q1</v>
      </c>
      <c r="BE42" s="64" t="s">
        <v>44</v>
      </c>
      <c r="BF42" s="65" t="s">
        <v>183</v>
      </c>
      <c r="BG42" s="47">
        <v>24.594032165143432</v>
      </c>
      <c r="BH42" s="47">
        <v>5.2036992954099146</v>
      </c>
      <c r="BI42" s="47" t="str">
        <f t="shared" si="9"/>
        <v>Below Average</v>
      </c>
      <c r="BJ42" s="47" t="str">
        <f t="shared" si="10"/>
        <v>Below Average</v>
      </c>
      <c r="BK42" s="75" t="str" cm="1">
        <f t="array" ref="BK42">_xlfn.IFS(AND(BI42="Above Average",BJ42="Below Average"),"Q1",AND(BI42="Above Average",BJ42="Above Average"),"Q2",AND(BI42="Below Average",BJ42="Above Average"),"Q3",AND(BI42="Below Average",BJ42="Below Average"),"Q4")</f>
        <v>Q4</v>
      </c>
      <c r="BL42" s="47"/>
    </row>
    <row r="43" spans="1:64" x14ac:dyDescent="0.35">
      <c r="A43" s="64" t="s">
        <v>41</v>
      </c>
      <c r="B43" s="65" t="s">
        <v>181</v>
      </c>
      <c r="C43" s="42">
        <v>0.24952584171475101</v>
      </c>
      <c r="D43" s="52">
        <v>2.10620522E-2</v>
      </c>
      <c r="E43" s="47">
        <v>19.70458233636975</v>
      </c>
      <c r="H43" s="65" t="s">
        <v>181</v>
      </c>
      <c r="I43" s="3">
        <v>1.2945672338764618</v>
      </c>
      <c r="J43" s="67">
        <v>1.3157352315928863</v>
      </c>
      <c r="K43" s="47">
        <v>19.70458233636975</v>
      </c>
      <c r="L43" s="67">
        <v>20.688796680497926</v>
      </c>
      <c r="M43" s="3">
        <f t="shared" si="0"/>
        <v>1.2945672338764618</v>
      </c>
      <c r="N43" s="3">
        <f t="shared" si="0"/>
        <v>1.3157352315928863</v>
      </c>
      <c r="P43" s="64" t="s">
        <v>41</v>
      </c>
      <c r="Q43" s="65" t="s">
        <v>181</v>
      </c>
      <c r="R43" s="67">
        <v>20.688796680497926</v>
      </c>
      <c r="S43">
        <v>7.3360946163777347</v>
      </c>
      <c r="V43" s="137">
        <f t="shared" si="1"/>
        <v>0.11055331947398996</v>
      </c>
      <c r="W43">
        <f>VLOOKUP(Z43,Sheet9!F$2:L$48,7,FALSE)</f>
        <v>5.1785220695865514E-3</v>
      </c>
      <c r="X43" s="137">
        <f>AB43/SUM($AB$2:$AB$48)</f>
        <v>2.3276397753739016E-2</v>
      </c>
      <c r="Y43" s="64" t="s">
        <v>27</v>
      </c>
      <c r="Z43" s="65" t="s">
        <v>166</v>
      </c>
      <c r="AA43">
        <f>VLOOKUP(Z43,Sheet12!A$2:C$48,3,FALSE)</f>
        <v>5.2415574025453457</v>
      </c>
      <c r="AB43" s="67">
        <f>VLOOKUP(Z43,Sheet9!A$2:K$48,11,FALSE)</f>
        <v>21.348430688993169</v>
      </c>
      <c r="AC43" s="67">
        <f>_xlfn.XLOOKUP(Y43,Density_Weighted_Stock_Weig!Y:Y,Density_Weighted_Stock_Weig!Z:Z)</f>
        <v>20405316.500000019</v>
      </c>
      <c r="AD43" t="str">
        <f t="shared" si="2"/>
        <v>Below Weighted Average</v>
      </c>
      <c r="AE43" t="str">
        <f t="shared" si="3"/>
        <v>Below Weighted Average</v>
      </c>
      <c r="AF43" s="2" t="str" cm="1">
        <f t="array" ref="AF43">_xlfn.IFS(AND(AD43="Above Weighted Average",AE43="Below Weighted Average"),"3",AND(AD43="Above Weighted Average",AE43="Above Weighted Average"),"4",AND(AD43="Below Weighted Average",AE43="Above Weighted Average"),"2",AND(AD43="Below Weighted Average",AE43="Below Weighted Average"),"1")</f>
        <v>1</v>
      </c>
      <c r="AG43" t="str">
        <f t="shared" si="4"/>
        <v>Below Non Weighted Average</v>
      </c>
      <c r="AH43" t="str">
        <f t="shared" si="5"/>
        <v>Above Non Weighted Average</v>
      </c>
      <c r="AI43" s="2" t="str" cm="1">
        <f t="array" ref="AI43">_xlfn.IFS(AND(AG43="Above Non Weighted Average",AH43="Below Non Weighted Average"),"3",AND(AG43="Above Non Weighted Average",AH43="Above Non Weighted Average"),"4",AND(AG43="Below Non Weighted Average",AH43="Above Non Weighted Average"),"2",AND(AG43="Below Non Weighted Average",AH43="Below Non Weighted Average"),"1")</f>
        <v>2</v>
      </c>
      <c r="AJ43" t="b">
        <f t="shared" si="6"/>
        <v>0</v>
      </c>
      <c r="AK43" t="str">
        <f>IF(AA43&lt;Weighted_average,"Below","Above")</f>
        <v>Below</v>
      </c>
      <c r="AL43" t="str">
        <f>IF(AB43&lt;Stock_grad_ratio,"Below","Above")</f>
        <v>Below</v>
      </c>
      <c r="AM43" t="str">
        <f t="shared" si="7"/>
        <v>BelowBelow</v>
      </c>
      <c r="AN43" t="str">
        <f t="shared" si="8"/>
        <v>Q1</v>
      </c>
      <c r="BE43" s="64" t="s">
        <v>24</v>
      </c>
      <c r="BF43" s="65" t="s">
        <v>163</v>
      </c>
      <c r="BG43" s="47">
        <v>19.737356151637165</v>
      </c>
      <c r="BH43" s="47">
        <v>4.6148174783924176</v>
      </c>
      <c r="BI43" s="47" t="str">
        <f t="shared" si="9"/>
        <v>Below Average</v>
      </c>
      <c r="BJ43" s="47" t="str">
        <f t="shared" si="10"/>
        <v>Below Average</v>
      </c>
      <c r="BK43" s="75" t="str" cm="1">
        <f t="array" ref="BK43">_xlfn.IFS(AND(BI43="Above Average",BJ43="Below Average"),"Q1",AND(BI43="Above Average",BJ43="Above Average"),"Q2",AND(BI43="Below Average",BJ43="Above Average"),"Q3",AND(BI43="Below Average",BJ43="Below Average"),"Q4")</f>
        <v>Q4</v>
      </c>
      <c r="BL43" s="47"/>
    </row>
    <row r="44" spans="1:64" ht="29" x14ac:dyDescent="0.35">
      <c r="A44" s="64" t="s">
        <v>43</v>
      </c>
      <c r="B44" s="65" t="s">
        <v>182</v>
      </c>
      <c r="C44" s="42">
        <v>0.25088889751308202</v>
      </c>
      <c r="D44" s="52">
        <v>5.3817400899999999E-2</v>
      </c>
      <c r="E44" s="47">
        <v>30.235229462209936</v>
      </c>
      <c r="H44" s="65" t="s">
        <v>182</v>
      </c>
      <c r="I44" s="3">
        <v>1.4805132689166067</v>
      </c>
      <c r="J44" s="67">
        <v>1.0252800151720924</v>
      </c>
      <c r="K44" s="47">
        <v>30.235229462209936</v>
      </c>
      <c r="L44" s="67">
        <v>10.599369085173501</v>
      </c>
      <c r="M44" s="3">
        <f t="shared" si="0"/>
        <v>1.4805132689166067</v>
      </c>
      <c r="N44" s="3">
        <f t="shared" si="0"/>
        <v>1.0252800151720924</v>
      </c>
      <c r="P44" s="64" t="s">
        <v>43</v>
      </c>
      <c r="Q44" s="65" t="s">
        <v>182</v>
      </c>
      <c r="R44" s="67">
        <v>10.599369085173501</v>
      </c>
      <c r="S44">
        <v>5.9036930685343147</v>
      </c>
      <c r="V44" s="137">
        <f t="shared" si="1"/>
        <v>1.6248352424433531E-2</v>
      </c>
      <c r="W44">
        <f>VLOOKUP(Z44,Sheet9!F$2:L$48,7,FALSE)</f>
        <v>4.7400709422045113E-3</v>
      </c>
      <c r="X44" s="137">
        <f>AB44/SUM($AB$2:$AB$48)</f>
        <v>3.7374406326383587E-3</v>
      </c>
      <c r="Y44" s="64" t="s">
        <v>26</v>
      </c>
      <c r="Z44" s="65" t="s">
        <v>165</v>
      </c>
      <c r="AA44">
        <f>VLOOKUP(Z44,Sheet12!A$2:C$48,3,FALSE)</f>
        <v>3.3061240561758769</v>
      </c>
      <c r="AB44" s="67">
        <f>VLOOKUP(Z44,Sheet9!A$2:K$48,11,FALSE)</f>
        <v>3.4278711484593836</v>
      </c>
      <c r="AC44" s="67">
        <f>_xlfn.XLOOKUP(Y44,Density_Weighted_Stock_Weig!Y:Y,Density_Weighted_Stock_Weig!Z:Z)</f>
        <v>29611714.000000004</v>
      </c>
      <c r="AD44" t="str">
        <f t="shared" si="2"/>
        <v>Below Weighted Average</v>
      </c>
      <c r="AE44" t="str">
        <f t="shared" si="3"/>
        <v>Below Weighted Average</v>
      </c>
      <c r="AF44" s="2" t="str" cm="1">
        <f t="array" ref="AF44">_xlfn.IFS(AND(AD44="Above Weighted Average",AE44="Below Weighted Average"),"3",AND(AD44="Above Weighted Average",AE44="Above Weighted Average"),"4",AND(AD44="Below Weighted Average",AE44="Above Weighted Average"),"2",AND(AD44="Below Weighted Average",AE44="Below Weighted Average"),"1")</f>
        <v>1</v>
      </c>
      <c r="AG44" t="str">
        <f t="shared" si="4"/>
        <v>Below Non Weighted Average</v>
      </c>
      <c r="AH44" t="str">
        <f t="shared" si="5"/>
        <v>Below Non Weighted Average</v>
      </c>
      <c r="AI44" s="2" t="str" cm="1">
        <f t="array" ref="AI44">_xlfn.IFS(AND(AG44="Above Non Weighted Average",AH44="Below Non Weighted Average"),"3",AND(AG44="Above Non Weighted Average",AH44="Above Non Weighted Average"),"4",AND(AG44="Below Non Weighted Average",AH44="Above Non Weighted Average"),"2",AND(AG44="Below Non Weighted Average",AH44="Below Non Weighted Average"),"1")</f>
        <v>1</v>
      </c>
      <c r="AJ44" t="b">
        <f t="shared" si="6"/>
        <v>1</v>
      </c>
      <c r="AK44" t="str">
        <f>IF(AA44&lt;Weighted_average,"Below","Above")</f>
        <v>Below</v>
      </c>
      <c r="AL44" t="str">
        <f>IF(AB44&lt;Stock_grad_ratio,"Below","Above")</f>
        <v>Below</v>
      </c>
      <c r="AM44" t="str">
        <f t="shared" si="7"/>
        <v>BelowBelow</v>
      </c>
      <c r="AN44" t="str">
        <f t="shared" si="8"/>
        <v>Q1</v>
      </c>
      <c r="BE44" s="64" t="s">
        <v>82</v>
      </c>
      <c r="BF44" s="65" t="s">
        <v>151</v>
      </c>
      <c r="BG44" s="47">
        <v>14.104125276326323</v>
      </c>
      <c r="BH44" s="47">
        <v>4.5412705268813731</v>
      </c>
      <c r="BI44" s="47" t="str">
        <f t="shared" si="9"/>
        <v>Below Average</v>
      </c>
      <c r="BJ44" s="47" t="str">
        <f t="shared" si="10"/>
        <v>Below Average</v>
      </c>
      <c r="BK44" s="75" t="str" cm="1">
        <f t="array" ref="BK44">_xlfn.IFS(AND(BI44="Above Average",BJ44="Below Average"),"Q1",AND(BI44="Above Average",BJ44="Above Average"),"Q2",AND(BI44="Below Average",BJ44="Above Average"),"Q3",AND(BI44="Below Average",BJ44="Below Average"),"Q4")</f>
        <v>Q4</v>
      </c>
      <c r="BL44" s="47"/>
    </row>
    <row r="45" spans="1:64" x14ac:dyDescent="0.35">
      <c r="A45" s="64" t="s">
        <v>44</v>
      </c>
      <c r="B45" s="65" t="s">
        <v>183</v>
      </c>
      <c r="C45" s="42">
        <v>0.56299999999999994</v>
      </c>
      <c r="D45" s="52">
        <v>3.1388299500000001E-2</v>
      </c>
      <c r="E45" s="47">
        <v>70.939806529751905</v>
      </c>
      <c r="H45" s="65" t="s">
        <v>183</v>
      </c>
      <c r="I45" s="3">
        <v>1.8508899997099904</v>
      </c>
      <c r="J45" s="67">
        <v>0.71631219217137176</v>
      </c>
      <c r="K45" s="47">
        <v>70.939806529751905</v>
      </c>
      <c r="L45" s="67">
        <v>5.2036992954099146</v>
      </c>
      <c r="M45" s="3">
        <f t="shared" si="0"/>
        <v>1.8508899997099904</v>
      </c>
      <c r="N45" s="3">
        <f t="shared" si="0"/>
        <v>0.71631219217137176</v>
      </c>
      <c r="P45" s="64" t="s">
        <v>44</v>
      </c>
      <c r="Q45" s="65" t="s">
        <v>183</v>
      </c>
      <c r="R45" s="67">
        <v>5.2036992954099146</v>
      </c>
      <c r="S45">
        <v>24.594032165143432</v>
      </c>
      <c r="V45" s="137">
        <f t="shared" si="1"/>
        <v>8.0368887050234518E-3</v>
      </c>
      <c r="W45">
        <f>VLOOKUP(Z45,Sheet9!F$2:L$48,7,FALSE)</f>
        <v>2.5953359704852727E-3</v>
      </c>
      <c r="X45" s="137">
        <f>AB45/SUM($AB$2:$AB$48)</f>
        <v>3.3763245174727495E-3</v>
      </c>
      <c r="Y45" s="64" t="s">
        <v>21</v>
      </c>
      <c r="Z45" s="65" t="s">
        <v>160</v>
      </c>
      <c r="AA45">
        <f>VLOOKUP(Z45,Sheet12!A$2:C$48,3,FALSE)</f>
        <v>3.8676651873228853</v>
      </c>
      <c r="AB45" s="67">
        <f>VLOOKUP(Z45,Sheet9!A$2:K$48,11,FALSE)</f>
        <v>3.096666017972511</v>
      </c>
      <c r="AC45" s="67">
        <f>_xlfn.XLOOKUP(Y45,Density_Weighted_Stock_Weig!Y:Y,Density_Weighted_Stock_Weig!Z:Z)</f>
        <v>13859340.500000006</v>
      </c>
      <c r="AD45" t="str">
        <f t="shared" si="2"/>
        <v>Below Weighted Average</v>
      </c>
      <c r="AE45" t="str">
        <f t="shared" si="3"/>
        <v>Below Weighted Average</v>
      </c>
      <c r="AF45" s="2" t="str" cm="1">
        <f t="array" ref="AF45">_xlfn.IFS(AND(AD45="Above Weighted Average",AE45="Below Weighted Average"),"3",AND(AD45="Above Weighted Average",AE45="Above Weighted Average"),"4",AND(AD45="Below Weighted Average",AE45="Above Weighted Average"),"2",AND(AD45="Below Weighted Average",AE45="Below Weighted Average"),"1")</f>
        <v>1</v>
      </c>
      <c r="AG45" t="str">
        <f t="shared" si="4"/>
        <v>Below Non Weighted Average</v>
      </c>
      <c r="AH45" t="str">
        <f t="shared" si="5"/>
        <v>Below Non Weighted Average</v>
      </c>
      <c r="AI45" s="2" t="str" cm="1">
        <f t="array" ref="AI45">_xlfn.IFS(AND(AG45="Above Non Weighted Average",AH45="Below Non Weighted Average"),"3",AND(AG45="Above Non Weighted Average",AH45="Above Non Weighted Average"),"4",AND(AG45="Below Non Weighted Average",AH45="Above Non Weighted Average"),"2",AND(AG45="Below Non Weighted Average",AH45="Below Non Weighted Average"),"1")</f>
        <v>1</v>
      </c>
      <c r="AJ45" t="b">
        <f t="shared" si="6"/>
        <v>1</v>
      </c>
      <c r="AK45" t="str">
        <f>IF(AA45&lt;Weighted_average,"Below","Above")</f>
        <v>Below</v>
      </c>
      <c r="AL45" t="str">
        <f>IF(AB45&lt;Stock_grad_ratio,"Below","Above")</f>
        <v>Below</v>
      </c>
      <c r="AM45" t="str">
        <f t="shared" si="7"/>
        <v>BelowBelow</v>
      </c>
      <c r="AN45" t="str">
        <f t="shared" si="8"/>
        <v>Q1</v>
      </c>
      <c r="BE45" s="64" t="s">
        <v>26</v>
      </c>
      <c r="BF45" s="65" t="s">
        <v>165</v>
      </c>
      <c r="BG45" s="47">
        <v>4.654914605753655</v>
      </c>
      <c r="BH45" s="47">
        <v>3.4278711484593836</v>
      </c>
      <c r="BI45" s="47" t="str">
        <f t="shared" si="9"/>
        <v>Below Average</v>
      </c>
      <c r="BJ45" s="47" t="str">
        <f t="shared" si="10"/>
        <v>Below Average</v>
      </c>
      <c r="BK45" s="75" t="str" cm="1">
        <f t="array" ref="BK45">_xlfn.IFS(AND(BI45="Above Average",BJ45="Below Average"),"Q1",AND(BI45="Above Average",BJ45="Above Average"),"Q2",AND(BI45="Below Average",BJ45="Above Average"),"Q3",AND(BI45="Below Average",BJ45="Below Average"),"Q4")</f>
        <v>Q4</v>
      </c>
      <c r="BL45" s="47"/>
    </row>
    <row r="46" spans="1:64" x14ac:dyDescent="0.35">
      <c r="A46" s="64" t="s">
        <v>42</v>
      </c>
      <c r="B46" s="65" t="s">
        <v>184</v>
      </c>
      <c r="C46" s="42">
        <v>0.56999999999999995</v>
      </c>
      <c r="D46" s="52">
        <v>9.4023561499999991E-2</v>
      </c>
      <c r="E46" s="47">
        <v>28.683351968574311</v>
      </c>
      <c r="H46" s="65" t="s">
        <v>184</v>
      </c>
      <c r="I46" s="3">
        <v>1.4576299021000942</v>
      </c>
      <c r="J46" s="67">
        <v>1.0969955271941416</v>
      </c>
      <c r="K46" s="47">
        <v>28.683351968574311</v>
      </c>
      <c r="L46" s="67">
        <v>12.502461538461539</v>
      </c>
      <c r="M46" s="3">
        <f t="shared" si="0"/>
        <v>1.4576299021000942</v>
      </c>
      <c r="N46" s="3">
        <f t="shared" si="0"/>
        <v>1.0969955271941416</v>
      </c>
      <c r="P46" s="64" t="s">
        <v>42</v>
      </c>
      <c r="Q46" s="65" t="s">
        <v>184</v>
      </c>
      <c r="R46" s="67">
        <v>12.502461538461539</v>
      </c>
      <c r="S46">
        <v>6.2037247448568724</v>
      </c>
      <c r="V46" s="137">
        <f t="shared" si="1"/>
        <v>3.5684009669101325E-3</v>
      </c>
      <c r="W46">
        <f>VLOOKUP(Z46,Sheet9!F$2:L$48,7,FALSE)</f>
        <v>2.369624762524382E-3</v>
      </c>
      <c r="X46" s="137">
        <f>AB46/SUM($AB$2:$AB$48)</f>
        <v>1.6418893390216483E-3</v>
      </c>
      <c r="Y46" s="64" t="s">
        <v>9</v>
      </c>
      <c r="Z46" s="65" t="s">
        <v>145</v>
      </c>
      <c r="AA46">
        <f>VLOOKUP(Z46,Sheet12!A$2:C$48,3,FALSE)</f>
        <v>2.761420125367863</v>
      </c>
      <c r="AB46" s="67">
        <f>VLOOKUP(Z46,Sheet9!A$2:K$48,11,FALSE)</f>
        <v>1.5058928414930488</v>
      </c>
      <c r="AC46" s="67">
        <f>_xlfn.XLOOKUP(Y46,Density_Weighted_Stock_Weig!Y:Y,Density_Weighted_Stock_Weig!Z:Z)</f>
        <v>17723314.500000004</v>
      </c>
      <c r="AD46" t="str">
        <f t="shared" si="2"/>
        <v>Below Weighted Average</v>
      </c>
      <c r="AE46" t="str">
        <f t="shared" si="3"/>
        <v>Below Weighted Average</v>
      </c>
      <c r="AF46" s="2" t="str" cm="1">
        <f t="array" ref="AF46">_xlfn.IFS(AND(AD46="Above Weighted Average",AE46="Below Weighted Average"),"3",AND(AD46="Above Weighted Average",AE46="Above Weighted Average"),"4",AND(AD46="Below Weighted Average",AE46="Above Weighted Average"),"2",AND(AD46="Below Weighted Average",AE46="Below Weighted Average"),"1")</f>
        <v>1</v>
      </c>
      <c r="AG46" t="str">
        <f t="shared" si="4"/>
        <v>Below Non Weighted Average</v>
      </c>
      <c r="AH46" t="str">
        <f t="shared" si="5"/>
        <v>Below Non Weighted Average</v>
      </c>
      <c r="AI46" s="2" t="str" cm="1">
        <f t="array" ref="AI46">_xlfn.IFS(AND(AG46="Above Non Weighted Average",AH46="Below Non Weighted Average"),"3",AND(AG46="Above Non Weighted Average",AH46="Above Non Weighted Average"),"4",AND(AG46="Below Non Weighted Average",AH46="Above Non Weighted Average"),"2",AND(AG46="Below Non Weighted Average",AH46="Below Non Weighted Average"),"1")</f>
        <v>1</v>
      </c>
      <c r="AJ46" t="b">
        <f t="shared" si="6"/>
        <v>1</v>
      </c>
      <c r="AK46" t="str">
        <f>IF(AA46&lt;Weighted_average,"Below","Above")</f>
        <v>Below</v>
      </c>
      <c r="AL46" t="str">
        <f>IF(AB46&lt;Stock_grad_ratio,"Below","Above")</f>
        <v>Below</v>
      </c>
      <c r="AM46" t="str">
        <f t="shared" si="7"/>
        <v>BelowBelow</v>
      </c>
      <c r="AN46" t="str">
        <f t="shared" si="8"/>
        <v>Q1</v>
      </c>
      <c r="BE46" s="64" t="s">
        <v>21</v>
      </c>
      <c r="BF46" s="65" t="s">
        <v>160</v>
      </c>
      <c r="BG46" s="47">
        <v>4.5119996321234597</v>
      </c>
      <c r="BH46" s="47">
        <v>3.096666017972511</v>
      </c>
      <c r="BI46" s="47" t="str">
        <f t="shared" si="9"/>
        <v>Below Average</v>
      </c>
      <c r="BJ46" s="47" t="str">
        <f t="shared" si="10"/>
        <v>Below Average</v>
      </c>
      <c r="BK46" s="75" t="str" cm="1">
        <f t="array" ref="BK46">_xlfn.IFS(AND(BI46="Above Average",BJ46="Below Average"),"Q1",AND(BI46="Above Average",BJ46="Above Average"),"Q2",AND(BI46="Below Average",BJ46="Above Average"),"Q3",AND(BI46="Below Average",BJ46="Below Average"),"Q4")</f>
        <v>Q4</v>
      </c>
      <c r="BL46" s="47"/>
    </row>
    <row r="47" spans="1:64" x14ac:dyDescent="0.35">
      <c r="A47" s="64" t="s">
        <v>45</v>
      </c>
      <c r="B47" s="65" t="s">
        <v>185</v>
      </c>
      <c r="C47" s="42">
        <v>0.26773290915292702</v>
      </c>
      <c r="D47" s="52">
        <v>7.1645693799999993E-2</v>
      </c>
      <c r="E47" s="47">
        <v>55.939473332937403</v>
      </c>
      <c r="H47" s="65" t="s">
        <v>185</v>
      </c>
      <c r="I47" s="3">
        <v>1.7477183731961123</v>
      </c>
      <c r="J47" s="67">
        <v>1.0219585611420867</v>
      </c>
      <c r="K47" s="47">
        <v>55.939473332937403</v>
      </c>
      <c r="L47" s="67">
        <v>10.51861504095309</v>
      </c>
      <c r="M47" s="3">
        <f t="shared" si="0"/>
        <v>1.7477183731961123</v>
      </c>
      <c r="N47" s="3">
        <f t="shared" si="0"/>
        <v>1.0219585611420867</v>
      </c>
      <c r="P47" s="64" t="s">
        <v>45</v>
      </c>
      <c r="Q47" s="65" t="s">
        <v>185</v>
      </c>
      <c r="R47" s="67">
        <v>10.51861504095309</v>
      </c>
      <c r="S47">
        <v>32.824990914279496</v>
      </c>
      <c r="V47" s="137">
        <f t="shared" si="1"/>
        <v>2.485988356566572E-3</v>
      </c>
      <c r="W47">
        <f>VLOOKUP(Z47,Sheet9!F$2:L$48,7,FALSE)</f>
        <v>3.8485586271850967E-4</v>
      </c>
      <c r="X47" s="137">
        <f>AB47/SUM($AB$2:$AB$48)</f>
        <v>7.0428882519769842E-3</v>
      </c>
      <c r="Y47" s="64" t="s">
        <v>8</v>
      </c>
      <c r="Z47" s="65" t="s">
        <v>144</v>
      </c>
      <c r="AA47">
        <f>VLOOKUP(Z47,Sheet12!A$2:C$48,3,FALSE)</f>
        <v>1.42471640503089</v>
      </c>
      <c r="AB47" s="67">
        <f>VLOOKUP(Z47,Sheet9!A$2:K$48,11,FALSE)</f>
        <v>6.4595309501231828</v>
      </c>
      <c r="AC47" s="67">
        <f>_xlfn.XLOOKUP(Y47,Density_Weighted_Stock_Weig!Y:Y,Density_Weighted_Stock_Weig!Z:Z)</f>
        <v>5579143.5000000047</v>
      </c>
      <c r="AD47" t="str">
        <f t="shared" si="2"/>
        <v>Below Weighted Average</v>
      </c>
      <c r="AE47" t="str">
        <f t="shared" si="3"/>
        <v>Below Weighted Average</v>
      </c>
      <c r="AF47" s="2" t="str" cm="1">
        <f t="array" ref="AF47">_xlfn.IFS(AND(AD47="Above Weighted Average",AE47="Below Weighted Average"),"3",AND(AD47="Above Weighted Average",AE47="Above Weighted Average"),"4",AND(AD47="Below Weighted Average",AE47="Above Weighted Average"),"2",AND(AD47="Below Weighted Average",AE47="Below Weighted Average"),"1")</f>
        <v>1</v>
      </c>
      <c r="AG47" t="str">
        <f t="shared" si="4"/>
        <v>Below Non Weighted Average</v>
      </c>
      <c r="AH47" t="str">
        <f t="shared" si="5"/>
        <v>Below Non Weighted Average</v>
      </c>
      <c r="AI47" s="2" t="str" cm="1">
        <f t="array" ref="AI47">_xlfn.IFS(AND(AG47="Above Non Weighted Average",AH47="Below Non Weighted Average"),"3",AND(AG47="Above Non Weighted Average",AH47="Above Non Weighted Average"),"4",AND(AG47="Below Non Weighted Average",AH47="Above Non Weighted Average"),"2",AND(AG47="Below Non Weighted Average",AH47="Below Non Weighted Average"),"1")</f>
        <v>1</v>
      </c>
      <c r="AJ47" t="b">
        <f t="shared" si="6"/>
        <v>1</v>
      </c>
      <c r="AK47" t="str">
        <f>IF(AA47&lt;Weighted_average,"Below","Above")</f>
        <v>Below</v>
      </c>
      <c r="AL47" t="str">
        <f>IF(AB47&lt;Stock_grad_ratio,"Below","Above")</f>
        <v>Below</v>
      </c>
      <c r="AM47" t="str">
        <f t="shared" si="7"/>
        <v>BelowBelow</v>
      </c>
      <c r="AN47" t="str">
        <f t="shared" si="8"/>
        <v>Q1</v>
      </c>
      <c r="BE47" s="64" t="s">
        <v>9</v>
      </c>
      <c r="BF47" s="65" t="s">
        <v>145</v>
      </c>
      <c r="BG47" s="47">
        <v>3.2716188953202665</v>
      </c>
      <c r="BH47" s="47">
        <v>1.5058928414930488</v>
      </c>
      <c r="BI47" s="47" t="str">
        <f t="shared" si="9"/>
        <v>Below Average</v>
      </c>
      <c r="BJ47" s="47" t="str">
        <f t="shared" si="10"/>
        <v>Below Average</v>
      </c>
      <c r="BK47" s="75" t="str" cm="1">
        <f t="array" ref="BK47">_xlfn.IFS(AND(BI47="Above Average",BJ47="Below Average"),"Q1",AND(BI47="Above Average",BJ47="Above Average"),"Q2",AND(BI47="Below Average",BJ47="Above Average"),"Q3",AND(BI47="Below Average",BJ47="Below Average"),"Q4")</f>
        <v>Q4</v>
      </c>
      <c r="BL47" s="47"/>
    </row>
    <row r="48" spans="1:64" ht="15" thickBot="1" x14ac:dyDescent="0.4">
      <c r="A48" s="66" t="s">
        <v>46</v>
      </c>
      <c r="B48" s="65" t="s">
        <v>186</v>
      </c>
      <c r="C48" s="42">
        <v>0.35</v>
      </c>
      <c r="D48" s="52">
        <v>5.1729364399999998E-2</v>
      </c>
      <c r="E48" s="47">
        <v>64.042986580794391</v>
      </c>
      <c r="H48" s="65" t="s">
        <v>186</v>
      </c>
      <c r="I48" s="3">
        <v>1.8064715766094552</v>
      </c>
      <c r="J48" s="67">
        <v>1.560949253118078</v>
      </c>
      <c r="K48" s="47">
        <v>64.042986580794391</v>
      </c>
      <c r="L48" s="67">
        <v>36.387251549841309</v>
      </c>
      <c r="M48" s="3">
        <f t="shared" si="0"/>
        <v>1.8064715766094552</v>
      </c>
      <c r="N48" s="3">
        <f t="shared" si="0"/>
        <v>1.560949253118078</v>
      </c>
      <c r="P48" s="66" t="s">
        <v>46</v>
      </c>
      <c r="Q48" s="65" t="s">
        <v>186</v>
      </c>
      <c r="R48" s="67">
        <v>36.387251549841309</v>
      </c>
      <c r="S48">
        <v>36.315960905902422</v>
      </c>
      <c r="V48" s="137">
        <f t="shared" si="1"/>
        <v>1.9926449549161531E-2</v>
      </c>
      <c r="W48">
        <f>VLOOKUP(Z48,Sheet9!F$2:L$48,7,FALSE)</f>
        <v>2.5519250986096582E-3</v>
      </c>
      <c r="X48" s="137">
        <f>AB48/SUM($AB$2:$AB$48)</f>
        <v>8.5135720307087451E-3</v>
      </c>
      <c r="Y48" s="66" t="s">
        <v>33</v>
      </c>
      <c r="Z48" s="65" t="s">
        <v>172</v>
      </c>
      <c r="AA48">
        <f>VLOOKUP(Z48,Sheet12!A$2:C$48,3,FALSE)</f>
        <v>2.011093594964394</v>
      </c>
      <c r="AB48" s="67">
        <f>VLOOKUP(Z48,Sheet9!A$2:K$48,11,FALSE)</f>
        <v>7.8083990631299782</v>
      </c>
      <c r="AC48" s="67">
        <f>_xlfn.XLOOKUP(Y48,Density_Weighted_Stock_Weig!Y:Y,Density_Weighted_Stock_Weig!Z:Z)</f>
        <v>26207976.5</v>
      </c>
      <c r="AD48" t="str">
        <f t="shared" si="2"/>
        <v>Below Weighted Average</v>
      </c>
      <c r="AE48" t="str">
        <f t="shared" si="3"/>
        <v>Below Weighted Average</v>
      </c>
      <c r="AF48" s="2" t="str" cm="1">
        <f t="array" ref="AF48">_xlfn.IFS(AND(AD48="Above Weighted Average",AE48="Below Weighted Average"),"3",AND(AD48="Above Weighted Average",AE48="Above Weighted Average"),"4",AND(AD48="Below Weighted Average",AE48="Above Weighted Average"),"2",AND(AD48="Below Weighted Average",AE48="Below Weighted Average"),"1")</f>
        <v>1</v>
      </c>
      <c r="AG48" t="str">
        <f t="shared" si="4"/>
        <v>Below Non Weighted Average</v>
      </c>
      <c r="AH48" t="str">
        <f t="shared" si="5"/>
        <v>Below Non Weighted Average</v>
      </c>
      <c r="AI48" s="2" t="str" cm="1">
        <f t="array" ref="AI48">_xlfn.IFS(AND(AG48="Above Non Weighted Average",AH48="Below Non Weighted Average"),"3",AND(AG48="Above Non Weighted Average",AH48="Above Non Weighted Average"),"4",AND(AG48="Below Non Weighted Average",AH48="Above Non Weighted Average"),"2",AND(AG48="Below Non Weighted Average",AH48="Below Non Weighted Average"),"1")</f>
        <v>1</v>
      </c>
      <c r="AJ48" t="b">
        <f t="shared" si="6"/>
        <v>1</v>
      </c>
      <c r="AK48" t="str">
        <f>IF(AA48&lt;Weighted_average,"Below","Above")</f>
        <v>Below</v>
      </c>
      <c r="AL48" t="str">
        <f>IF(AB48&lt;Stock_grad_ratio,"Below","Above")</f>
        <v>Below</v>
      </c>
      <c r="AM48" t="str">
        <f t="shared" si="7"/>
        <v>BelowBelow</v>
      </c>
      <c r="AN48" t="str">
        <f t="shared" si="8"/>
        <v>Q1</v>
      </c>
      <c r="BE48" s="66" t="s">
        <v>14</v>
      </c>
      <c r="BF48" s="65" t="s">
        <v>152</v>
      </c>
      <c r="BG48" s="47">
        <v>10.007213798082931</v>
      </c>
      <c r="BH48" s="47">
        <v>0.95412514516632685</v>
      </c>
      <c r="BI48" s="47" t="str">
        <f t="shared" si="9"/>
        <v>Below Average</v>
      </c>
      <c r="BJ48" s="47" t="str">
        <f t="shared" si="10"/>
        <v>Below Average</v>
      </c>
      <c r="BK48" s="75" t="str" cm="1">
        <f t="array" ref="BK48">_xlfn.IFS(AND(BI48="Above Average",BJ48="Below Average"),"Q1",AND(BI48="Above Average",BJ48="Above Average"),"Q2",AND(BI48="Below Average",BJ48="Above Average"),"Q3",AND(BI48="Below Average",BJ48="Below Average"),"Q4")</f>
        <v>Q4</v>
      </c>
      <c r="BL48" s="47"/>
    </row>
    <row r="49" spans="1:64" ht="15" thickTop="1" x14ac:dyDescent="0.35">
      <c r="A49" s="53"/>
      <c r="B49" s="53" t="s">
        <v>103</v>
      </c>
      <c r="C49" s="54">
        <f>+AVERAGE(C2:C48)</f>
        <v>0.42362639990663958</v>
      </c>
      <c r="D49" s="54">
        <f>+AVERAGE(D2:D48)</f>
        <v>7.287659531276594E-2</v>
      </c>
      <c r="E49" s="62">
        <v>53.428046434715839</v>
      </c>
      <c r="I49" s="3"/>
      <c r="J49" s="69" t="s">
        <v>103</v>
      </c>
      <c r="K49" s="70">
        <f>AVERAGE(K2:K48)</f>
        <v>53.428046434715839</v>
      </c>
      <c r="L49" s="70">
        <f>AVERAGE(L2:L48)</f>
        <v>22.857935830441416</v>
      </c>
      <c r="M49" s="72">
        <f>AVERAGE(M2:M48)</f>
        <v>1.5963917396917788</v>
      </c>
      <c r="N49" s="72">
        <f>AVERAGE(N2:N48)</f>
        <v>1.1692594227645297</v>
      </c>
      <c r="P49" s="53"/>
      <c r="Q49" s="69" t="s">
        <v>103</v>
      </c>
      <c r="R49" s="70">
        <f>AVERAGE(R2:R48)</f>
        <v>22.857935830441416</v>
      </c>
      <c r="S49" s="70">
        <f>AVERAGE(S2:S48)</f>
        <v>24.652809013022065</v>
      </c>
      <c r="T49" s="70"/>
      <c r="V49" s="137">
        <f>AVERAGE(V2:V48)</f>
        <v>0.81688089791874108</v>
      </c>
      <c r="X49" s="137"/>
      <c r="Y49" s="53"/>
      <c r="Z49" s="69" t="s">
        <v>272</v>
      </c>
      <c r="AA49" s="116">
        <f>SUMPRODUCT(AA2:AA48,$AC$2:$AC$48)/SUM($AC$2:$AC$48)</f>
        <v>17.332080623370182</v>
      </c>
      <c r="AB49" s="116">
        <v>23.89</v>
      </c>
      <c r="AC49" s="67"/>
      <c r="AM49" t="str">
        <f t="shared" si="7"/>
        <v/>
      </c>
      <c r="BE49" s="53"/>
      <c r="BF49" s="69" t="s">
        <v>103</v>
      </c>
      <c r="BG49" s="72">
        <f>AVERAGE(BG2:BG48)</f>
        <v>24.652809013022068</v>
      </c>
      <c r="BH49" s="72">
        <f>AVERAGE(BH2:BH48)</f>
        <v>22.857935830441416</v>
      </c>
      <c r="BI49" s="47" t="str">
        <f t="shared" si="9"/>
        <v>Below Average</v>
      </c>
      <c r="BJ49" s="47" t="str">
        <f t="shared" si="10"/>
        <v>Below Average</v>
      </c>
      <c r="BK49" s="75" t="str" cm="1">
        <f t="array" ref="BK49">_xlfn.IFS(AND(BI49="Above Average",BJ49="Below Average"),"Q1",AND(BI49="Above Average",BJ49="Above Average"),"Q2",AND(BI49="Below Average",BJ49="Above Average"),"Q3",AND(BI49="Below Average",BJ49="Below Average"),"Q4")</f>
        <v>Q4</v>
      </c>
      <c r="BL49" s="47"/>
    </row>
    <row r="50" spans="1:64" x14ac:dyDescent="0.35">
      <c r="A50" s="55"/>
      <c r="B50" s="56" t="s">
        <v>99</v>
      </c>
      <c r="C50" s="57">
        <f>MEDIAN(C2:C48)</f>
        <v>0.45</v>
      </c>
      <c r="D50" s="57">
        <f>MEDIAN(D2:D48)</f>
        <v>6.8515443800000006E-2</v>
      </c>
      <c r="E50" s="63">
        <v>38.456345697593264</v>
      </c>
      <c r="J50" s="71" t="s">
        <v>190</v>
      </c>
      <c r="K50" s="72">
        <f>MIN($K$2:$K$48)</f>
        <v>4.955848322257995</v>
      </c>
      <c r="L50" s="72">
        <f>MIN($L$2:$L$48)</f>
        <v>0.95412514516632685</v>
      </c>
      <c r="M50" s="72">
        <f>MIN($K$2:$K$48)</f>
        <v>4.955848322257995</v>
      </c>
      <c r="N50" s="72">
        <f>MIN($L$2:$L$48)</f>
        <v>0.95412514516632685</v>
      </c>
      <c r="P50" s="55"/>
      <c r="Q50" s="71" t="s">
        <v>190</v>
      </c>
      <c r="R50" s="72">
        <f>MIN($R$2:$R$48)</f>
        <v>0.95412514516632685</v>
      </c>
      <c r="S50" s="72">
        <f>MIN($S$2:$S$48)</f>
        <v>2.3259582036922208</v>
      </c>
      <c r="T50" s="72"/>
      <c r="V50" s="137"/>
      <c r="X50" s="137"/>
      <c r="Y50" s="55"/>
      <c r="Z50" s="71" t="s">
        <v>103</v>
      </c>
      <c r="AA50" s="72">
        <f>AVERAGE(AA2:AA48)</f>
        <v>22.095440157706907</v>
      </c>
      <c r="AB50" s="136">
        <f>AVERAGE(AB2:AB48)</f>
        <v>19.514270823116604</v>
      </c>
      <c r="AC50" s="67"/>
      <c r="AM50" t="str">
        <f t="shared" si="7"/>
        <v/>
      </c>
      <c r="BE50" s="55"/>
      <c r="BF50" s="71" t="s">
        <v>190</v>
      </c>
      <c r="BG50" s="72">
        <f>MIN(BG3:BG49)</f>
        <v>2.3259582036922208</v>
      </c>
      <c r="BH50" s="72">
        <f>MIN($R$2:$R$48)</f>
        <v>0.95412514516632685</v>
      </c>
      <c r="BI50" s="47" t="str">
        <f t="shared" si="9"/>
        <v>Below Average</v>
      </c>
      <c r="BJ50" s="47" t="str">
        <f t="shared" si="10"/>
        <v>Below Average</v>
      </c>
      <c r="BK50" s="75" t="str" cm="1">
        <f t="array" ref="BK50">_xlfn.IFS(AND(BI50="Above Average",BJ50="Below Average"),"Q1",AND(BI50="Above Average",BJ50="Above Average"),"Q2",AND(BI50="Below Average",BJ50="Above Average"),"Q3",AND(BI50="Below Average",BJ50="Below Average"),"Q4")</f>
        <v>Q4</v>
      </c>
      <c r="BL50" s="47"/>
    </row>
    <row r="51" spans="1:64" x14ac:dyDescent="0.35">
      <c r="J51" s="71" t="s">
        <v>191</v>
      </c>
      <c r="K51" s="72">
        <f>MAX($K$2:$K$48)</f>
        <v>296.4662893379861</v>
      </c>
      <c r="L51" s="72">
        <f>MAX($L$2:$L$48)</f>
        <v>107.24524316516025</v>
      </c>
      <c r="M51" s="72">
        <f>MAX($K$2:$K$48)</f>
        <v>296.4662893379861</v>
      </c>
      <c r="N51" s="72">
        <f>MAX($L$2:$L$48)</f>
        <v>107.24524316516025</v>
      </c>
      <c r="Q51" s="71" t="s">
        <v>191</v>
      </c>
      <c r="R51" s="72">
        <f>MAX($R$2:$R$48)</f>
        <v>107.24524316516025</v>
      </c>
      <c r="S51" s="72">
        <f>MAX($S$2:$S$48)</f>
        <v>213.24893351885851</v>
      </c>
      <c r="T51" s="72"/>
      <c r="V51" s="137"/>
      <c r="X51" s="137"/>
      <c r="Z51" s="71"/>
      <c r="AA51" s="109"/>
      <c r="AB51" s="136">
        <f>AB50/V49</f>
        <v>23.888758903330089</v>
      </c>
      <c r="AC51" s="67"/>
      <c r="AM51" t="str">
        <f t="shared" si="7"/>
        <v/>
      </c>
      <c r="BF51" s="71" t="s">
        <v>191</v>
      </c>
      <c r="BG51" s="72">
        <f t="shared" ref="BG51" si="11">AVERAGE(BG4:BG50)</f>
        <v>23.162248204727995</v>
      </c>
      <c r="BH51" s="72">
        <f>MAX($R$2:$R$48)</f>
        <v>107.24524316516025</v>
      </c>
      <c r="BI51" s="47" t="str">
        <f t="shared" si="9"/>
        <v>Below Average</v>
      </c>
      <c r="BJ51" s="47" t="str">
        <f t="shared" si="10"/>
        <v>Above Average</v>
      </c>
      <c r="BK51" s="75" t="str" cm="1">
        <f t="array" ref="BK51">_xlfn.IFS(AND(BI51="Above Average",BJ51="Below Average"),"Q1",AND(BI51="Above Average",BJ51="Above Average"),"Q2",AND(BI51="Below Average",BJ51="Above Average"),"Q3",AND(BI51="Below Average",BJ51="Below Average"),"Q4")</f>
        <v>Q3</v>
      </c>
      <c r="BL51" s="47"/>
    </row>
  </sheetData>
  <mergeCells count="1">
    <mergeCell ref="AD1:AE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1F0-0C78-43BA-A9F5-1112B78BD0B6}">
  <sheetPr>
    <tabColor rgb="FF00B050"/>
  </sheetPr>
  <dimension ref="A1:BZ51"/>
  <sheetViews>
    <sheetView topLeftCell="R1" zoomScale="90" zoomScaleNormal="90" workbookViewId="0">
      <selection activeCell="AM1" sqref="AM1"/>
    </sheetView>
  </sheetViews>
  <sheetFormatPr defaultColWidth="8.81640625" defaultRowHeight="14.5" x14ac:dyDescent="0.35"/>
  <cols>
    <col min="1" max="1" width="27.26953125" style="58" bestFit="1" customWidth="1"/>
    <col min="2" max="2" width="13" style="58" bestFit="1" customWidth="1"/>
    <col min="3" max="3" width="15.08984375" customWidth="1"/>
    <col min="4" max="4" width="15.08984375" style="42" customWidth="1"/>
    <col min="5" max="5" width="16.36328125" customWidth="1"/>
    <col min="8" max="8" width="11" customWidth="1"/>
    <col min="9" max="9" width="13.7265625" customWidth="1"/>
    <col min="10" max="10" width="14.26953125" customWidth="1"/>
    <col min="11" max="11" width="13.26953125" bestFit="1" customWidth="1"/>
    <col min="12" max="12" width="12.08984375" bestFit="1" customWidth="1"/>
    <col min="13" max="13" width="11.26953125" customWidth="1"/>
    <col min="14" max="14" width="14" customWidth="1"/>
    <col min="16" max="16" width="27.26953125" style="58" bestFit="1" customWidth="1"/>
    <col min="17" max="18" width="11" customWidth="1"/>
    <col min="19" max="19" width="12.81640625" customWidth="1"/>
    <col min="24" max="24" width="27.26953125" style="58" bestFit="1" customWidth="1"/>
    <col min="25" max="25" width="15.36328125" bestFit="1" customWidth="1"/>
    <col min="26" max="26" width="12.81640625" customWidth="1"/>
    <col min="27" max="27" width="13.81640625" customWidth="1"/>
    <col min="28" max="28" width="15.36328125" customWidth="1"/>
    <col min="29" max="30" width="21" customWidth="1"/>
    <col min="31" max="31" width="21" style="2" customWidth="1"/>
    <col min="32" max="32" width="24.7265625" bestFit="1" customWidth="1"/>
    <col min="33" max="33" width="21" bestFit="1" customWidth="1"/>
    <col min="34" max="34" width="21" style="2" customWidth="1"/>
    <col min="38" max="38" width="11.6328125" bestFit="1" customWidth="1"/>
    <col min="56" max="56" width="27.26953125" style="58" bestFit="1" customWidth="1"/>
    <col min="57" max="57" width="11" customWidth="1"/>
    <col min="58" max="58" width="15.36328125" customWidth="1"/>
    <col min="59" max="59" width="13.81640625" bestFit="1" customWidth="1"/>
    <col min="60" max="61" width="13.81640625" customWidth="1"/>
    <col min="62" max="62" width="23.81640625" style="16" customWidth="1"/>
    <col min="63" max="63" width="13.81640625" customWidth="1"/>
    <col min="65" max="65" width="11.81640625" customWidth="1"/>
    <col min="66" max="66" width="20" customWidth="1"/>
    <col min="67" max="67" width="16.6328125" customWidth="1"/>
    <col min="70" max="70" width="15.7265625" customWidth="1"/>
    <col min="71" max="71" width="22.36328125" customWidth="1"/>
    <col min="72" max="72" width="11.26953125" customWidth="1"/>
    <col min="77" max="77" width="11.1796875" bestFit="1" customWidth="1"/>
  </cols>
  <sheetData>
    <row r="1" spans="1:78" s="61" customFormat="1" ht="73" thickTop="1" x14ac:dyDescent="0.35">
      <c r="A1" s="59" t="s">
        <v>0</v>
      </c>
      <c r="B1" s="60" t="s">
        <v>187</v>
      </c>
      <c r="C1" s="60" t="s">
        <v>135</v>
      </c>
      <c r="D1" s="60" t="s">
        <v>134</v>
      </c>
      <c r="E1" s="60" t="s">
        <v>74</v>
      </c>
      <c r="H1" s="60" t="s">
        <v>187</v>
      </c>
      <c r="I1" s="60" t="s">
        <v>188</v>
      </c>
      <c r="J1" s="60" t="s">
        <v>189</v>
      </c>
      <c r="K1" s="60" t="s">
        <v>74</v>
      </c>
      <c r="L1" s="60" t="s">
        <v>102</v>
      </c>
      <c r="M1" s="60" t="s">
        <v>188</v>
      </c>
      <c r="N1" s="60" t="s">
        <v>192</v>
      </c>
      <c r="P1" s="59" t="s">
        <v>0</v>
      </c>
      <c r="Q1" s="60" t="s">
        <v>187</v>
      </c>
      <c r="R1" s="60" t="s">
        <v>102</v>
      </c>
      <c r="S1" s="73" t="s">
        <v>196</v>
      </c>
      <c r="X1" s="59" t="s">
        <v>0</v>
      </c>
      <c r="Y1" s="60" t="s">
        <v>187</v>
      </c>
      <c r="Z1" s="102" t="s">
        <v>297</v>
      </c>
      <c r="AA1" s="60" t="s">
        <v>102</v>
      </c>
      <c r="AB1" s="60" t="s">
        <v>271</v>
      </c>
      <c r="AC1" s="126" t="s">
        <v>273</v>
      </c>
      <c r="AD1" s="126"/>
      <c r="AE1" s="117" t="s">
        <v>274</v>
      </c>
      <c r="AH1" s="117" t="s">
        <v>280</v>
      </c>
      <c r="AI1" s="61" t="s">
        <v>286</v>
      </c>
      <c r="AJ1" s="61" t="s">
        <v>287</v>
      </c>
      <c r="AK1" s="61" t="s">
        <v>288</v>
      </c>
      <c r="AL1" s="61" t="s">
        <v>289</v>
      </c>
      <c r="AM1" s="61" t="s">
        <v>294</v>
      </c>
      <c r="BD1" s="59" t="s">
        <v>0</v>
      </c>
      <c r="BE1" s="60" t="s">
        <v>187</v>
      </c>
      <c r="BF1" s="73" t="s">
        <v>196</v>
      </c>
      <c r="BG1" s="60" t="s">
        <v>102</v>
      </c>
      <c r="BH1" s="60"/>
      <c r="BI1" s="60"/>
      <c r="BJ1" s="60" t="s">
        <v>199</v>
      </c>
      <c r="BK1" s="60"/>
      <c r="BM1" s="61" t="s">
        <v>198</v>
      </c>
      <c r="BN1" s="59" t="s">
        <v>0</v>
      </c>
      <c r="BO1" s="73" t="s">
        <v>196</v>
      </c>
      <c r="BR1" s="61" t="s">
        <v>197</v>
      </c>
      <c r="BS1" s="60" t="s">
        <v>187</v>
      </c>
      <c r="BT1" s="60" t="s">
        <v>102</v>
      </c>
    </row>
    <row r="2" spans="1:78" x14ac:dyDescent="0.35">
      <c r="A2" s="64" t="s">
        <v>1</v>
      </c>
      <c r="B2" s="65" t="s">
        <v>136</v>
      </c>
      <c r="C2" s="42">
        <v>0.55000000000000004</v>
      </c>
      <c r="D2" s="52">
        <v>0.10730769159999999</v>
      </c>
      <c r="E2" s="47">
        <v>98.058568574484738</v>
      </c>
      <c r="H2" s="65" t="s">
        <v>136</v>
      </c>
      <c r="I2" s="3">
        <v>1.9914855492738153</v>
      </c>
      <c r="J2" s="67">
        <v>1.3590370091771649</v>
      </c>
      <c r="K2" s="47">
        <v>98.058568574484738</v>
      </c>
      <c r="L2" s="67">
        <v>22.857935830441416</v>
      </c>
      <c r="M2" s="3">
        <f>LOG(K2)</f>
        <v>1.9914855492738153</v>
      </c>
      <c r="N2" s="3">
        <f>LOG(L2)</f>
        <v>1.3590370091771649</v>
      </c>
      <c r="P2" s="64" t="s">
        <v>1</v>
      </c>
      <c r="Q2" s="65" t="s">
        <v>136</v>
      </c>
      <c r="R2" s="67">
        <v>22.857935830441416</v>
      </c>
      <c r="S2">
        <v>42.170245010241459</v>
      </c>
      <c r="X2" s="64" t="s">
        <v>38</v>
      </c>
      <c r="Y2" s="65" t="s">
        <v>178</v>
      </c>
      <c r="Z2">
        <f>VLOOKUP(Y2,Sheet8!A$3:E$49,5,FALSE)</f>
        <v>242.01401730513936</v>
      </c>
      <c r="AA2" s="67">
        <v>4.2907809697000497E-2</v>
      </c>
      <c r="AB2" s="67">
        <f>_xlfn.XLOOKUP(X2,Density_Weighted_Stock_Weig!Y:Y,Density_Weighted_Stock_Weig!Z:Z)</f>
        <v>107118.5</v>
      </c>
      <c r="AC2" t="str">
        <f>IF(Z2&lt;$Z$49,"Below Weighted Average","Above Weighted Average")</f>
        <v>Above Weighted Average</v>
      </c>
      <c r="AD2" t="str">
        <f>IF(AA2&lt;$AA$49,"Below Weighted Average","Above Weighted Average")</f>
        <v>Below Weighted Average</v>
      </c>
      <c r="AE2" s="2" t="str" cm="1">
        <f t="array" ref="AE2">_xlfn.IFS(AND(AC2="Above Weighted Average",AD2="Below Weighted Average"),"3",AND(AC2="Above Weighted Average",AD2="Above Weighted Average"),"4",AND(AC2="Below Weighted Average",AD2="Above Weighted Average"),"2",AND(AC2="Below Weighted Average",AD2="Below Weighted Average"),"1")</f>
        <v>3</v>
      </c>
      <c r="AF2" t="str">
        <f>IF(Z2&lt;$Z$50,"Below Non Weighted Average","Above Non Weighted Average")</f>
        <v>Above Non Weighted Average</v>
      </c>
      <c r="AG2" t="str">
        <f>IF(AA2&lt;$AA$50,"Below Non Weighted Average","Above Non Weighted Average")</f>
        <v>Below Non Weighted Average</v>
      </c>
      <c r="AH2" s="2" t="str" cm="1">
        <f t="array" ref="AH2">_xlfn.IFS(AND(AF2="Above Non Weighted Average",AG2="Below Non Weighted Average"),"3",AND(AF2="Above Non Weighted Average",AG2="Above Non Weighted Average"),"4",AND(AF2="Below Non Weighted Average",AG2="Above Non Weighted Average"),"2",AND(AF2="Below Non Weighted Average",AG2="Below Non Weighted Average"),"1")</f>
        <v>3</v>
      </c>
      <c r="AI2" t="b">
        <f>AH2=AE2</f>
        <v>1</v>
      </c>
      <c r="AJ2" t="str">
        <f>IF(Z2&lt;Weighted_average,"Below","Above")</f>
        <v>Above</v>
      </c>
      <c r="AK2" t="str">
        <f>IF(AA2&lt;Stock_grad_ratio,"Below","Above")</f>
        <v>Below</v>
      </c>
      <c r="AL2" t="str">
        <f>AJ2&amp;AK2</f>
        <v>AboveBelow</v>
      </c>
      <c r="AM2" t="str">
        <f>_xlfn.XLOOKUP(AL2,BY:BY,BZ:BZ,,0)</f>
        <v>Q3</v>
      </c>
      <c r="BD2" s="64" t="s">
        <v>40</v>
      </c>
      <c r="BE2" s="65" t="s">
        <v>180</v>
      </c>
      <c r="BF2" s="47">
        <v>74.345193320567816</v>
      </c>
      <c r="BG2" s="47">
        <v>107.24524316516025</v>
      </c>
      <c r="BH2" s="47" t="str">
        <f>IF(BF2&gt;$BF$49,"Above Average","Below Average")</f>
        <v>Above Average</v>
      </c>
      <c r="BI2" s="47" t="str">
        <f>IF(BG2&gt;$BG$49,"Above Average","Below Average")</f>
        <v>Above Average</v>
      </c>
      <c r="BJ2" s="75" t="str" cm="1">
        <f t="array" ref="BJ2">_xlfn.IFS(AND(BH2="Above Average",BI2="Below Average"),"Q1",AND(BH2="Above Average",BI2="Above Average"),"Q2",AND(BH2="Below Average",BI2="Above Average"),"Q3",AND(BH2="Below Average",BI2="Below Average"),"Q4")</f>
        <v>Q2</v>
      </c>
      <c r="BK2" s="47"/>
      <c r="BL2">
        <v>1</v>
      </c>
      <c r="BM2" t="s">
        <v>100</v>
      </c>
      <c r="BN2" s="64" t="s">
        <v>38</v>
      </c>
      <c r="BO2" s="47">
        <v>213.24893351885851</v>
      </c>
      <c r="BQ2">
        <v>1</v>
      </c>
      <c r="BR2" t="s">
        <v>100</v>
      </c>
      <c r="BS2" s="64" t="s">
        <v>40</v>
      </c>
      <c r="BT2" s="47">
        <v>107.24524316516025</v>
      </c>
    </row>
    <row r="3" spans="1:78" x14ac:dyDescent="0.35">
      <c r="A3" s="64" t="s">
        <v>2</v>
      </c>
      <c r="B3" s="65" t="s">
        <v>137</v>
      </c>
      <c r="C3" s="42">
        <v>0.50045872095830901</v>
      </c>
      <c r="D3" s="52">
        <v>5.3643193200000001E-2</v>
      </c>
      <c r="E3" s="47">
        <v>38.456345697593264</v>
      </c>
      <c r="H3" s="65" t="s">
        <v>137</v>
      </c>
      <c r="I3" s="3">
        <v>1.5849680131637138</v>
      </c>
      <c r="J3" s="67">
        <v>1.3258590047651035</v>
      </c>
      <c r="K3" s="47">
        <v>38.456345697593264</v>
      </c>
      <c r="L3" s="67">
        <v>21.176735134619424</v>
      </c>
      <c r="M3" s="3">
        <f t="shared" ref="M3:M48" si="0">LOG(K3)</f>
        <v>1.5849680131637138</v>
      </c>
      <c r="N3" s="3">
        <f t="shared" ref="N3:N48" si="1">LOG(L3)</f>
        <v>1.3258590047651035</v>
      </c>
      <c r="P3" s="64" t="s">
        <v>2</v>
      </c>
      <c r="Q3" s="65" t="s">
        <v>137</v>
      </c>
      <c r="R3" s="67">
        <v>21.176735134619424</v>
      </c>
      <c r="S3">
        <v>21.19840588956373</v>
      </c>
      <c r="X3" s="64" t="s">
        <v>40</v>
      </c>
      <c r="Y3" s="65" t="s">
        <v>180</v>
      </c>
      <c r="Z3">
        <f>VLOOKUP(Y3,Sheet8!A$3:E$49,5,FALSE)</f>
        <v>78.187272031248852</v>
      </c>
      <c r="AA3" s="67">
        <v>23.121476882111391</v>
      </c>
      <c r="AB3" s="67">
        <f>_xlfn.XLOOKUP(X3,Density_Weighted_Stock_Weig!Y:Y,Density_Weighted_Stock_Weig!Z:Z)</f>
        <v>59893885.5</v>
      </c>
      <c r="AC3" t="str">
        <f t="shared" ref="AC3:AC48" si="2">IF(Z3&lt;$Z$49,"Below Weighted Average","Above Weighted Average")</f>
        <v>Above Weighted Average</v>
      </c>
      <c r="AD3" t="str">
        <f t="shared" ref="AD3:AD48" si="3">IF(AA3&lt;$AA$49,"Below Weighted Average","Above Weighted Average")</f>
        <v>Above Weighted Average</v>
      </c>
      <c r="AE3" s="2" t="str" cm="1">
        <f t="array" ref="AE3">_xlfn.IFS(AND(AC3="Above Weighted Average",AD3="Below Weighted Average"),"3",AND(AC3="Above Weighted Average",AD3="Above Weighted Average"),"4",AND(AC3="Below Weighted Average",AD3="Above Weighted Average"),"2",AND(AC3="Below Weighted Average",AD3="Below Weighted Average"),"1")</f>
        <v>4</v>
      </c>
      <c r="AF3" t="str">
        <f t="shared" ref="AF3:AF48" si="4">IF(Z3&lt;$Z$50,"Below Non Weighted Average","Above Non Weighted Average")</f>
        <v>Above Non Weighted Average</v>
      </c>
      <c r="AG3" t="str">
        <f t="shared" ref="AG3:AG48" si="5">IF(AA3&lt;$AA$50,"Below Non Weighted Average","Above Non Weighted Average")</f>
        <v>Above Non Weighted Average</v>
      </c>
      <c r="AH3" s="2" t="str" cm="1">
        <f t="array" ref="AH3">_xlfn.IFS(AND(AF3="Above Non Weighted Average",AG3="Below Non Weighted Average"),"3",AND(AF3="Above Non Weighted Average",AG3="Above Non Weighted Average"),"4",AND(AF3="Below Non Weighted Average",AG3="Above Non Weighted Average"),"2",AND(AF3="Below Non Weighted Average",AG3="Below Non Weighted Average"),"1")</f>
        <v>4</v>
      </c>
      <c r="AI3" t="b">
        <f t="shared" ref="AI3:AI51" si="6">AH3=AE3</f>
        <v>1</v>
      </c>
      <c r="AJ3" t="str">
        <f>IF(Z3&lt;Weighted_average,"Below","Above")</f>
        <v>Above</v>
      </c>
      <c r="AK3" t="str">
        <f>IF(AA3&lt;Stock_grad_ratio,"Below","Above")</f>
        <v>Above</v>
      </c>
      <c r="AL3" t="str">
        <f t="shared" ref="AL3:AL51" si="7">AJ3&amp;AK3</f>
        <v>AboveAbove</v>
      </c>
      <c r="AM3" t="str">
        <f t="shared" ref="AM3:AM51" si="8">_xlfn.XLOOKUP(AL3,BY:BY,BZ:BZ,,0)</f>
        <v>Q4</v>
      </c>
      <c r="BD3" s="64" t="s">
        <v>23</v>
      </c>
      <c r="BE3" s="65" t="s">
        <v>162</v>
      </c>
      <c r="BF3" s="47">
        <v>22.689931885967603</v>
      </c>
      <c r="BG3" s="47">
        <v>75.215601965601962</v>
      </c>
      <c r="BH3" s="47" t="str">
        <f t="shared" ref="BH3:BH51" si="9">IF(BF3&gt;$BF$49,"Above Average","Below Average")</f>
        <v>Below Average</v>
      </c>
      <c r="BI3" s="47" t="str">
        <f t="shared" ref="BI3:BI51" si="10">IF(BG3&gt;$BG$49,"Above Average","Below Average")</f>
        <v>Above Average</v>
      </c>
      <c r="BJ3" s="75" t="str" cm="1">
        <f t="array" ref="BJ3">_xlfn.IFS(AND(BH3="Above Average",BI3="Below Average"),"Q1",AND(BH3="Above Average",BI3="Above Average"),"Q2",AND(BH3="Below Average",BI3="Above Average"),"Q3",AND(BH3="Below Average",BI3="Below Average"),"Q4")</f>
        <v>Q3</v>
      </c>
      <c r="BK3" s="47"/>
      <c r="BL3">
        <v>2</v>
      </c>
      <c r="BM3" t="s">
        <v>100</v>
      </c>
      <c r="BN3" s="64" t="s">
        <v>40</v>
      </c>
      <c r="BO3" s="47">
        <v>74.345193320567816</v>
      </c>
      <c r="BQ3">
        <v>2</v>
      </c>
      <c r="BR3" t="s">
        <v>100</v>
      </c>
      <c r="BS3" s="64" t="s">
        <v>23</v>
      </c>
      <c r="BT3" s="47">
        <v>75.215601965601962</v>
      </c>
      <c r="BY3" t="s">
        <v>290</v>
      </c>
      <c r="BZ3" t="s">
        <v>100</v>
      </c>
    </row>
    <row r="4" spans="1:78" x14ac:dyDescent="0.35">
      <c r="A4" s="64" t="s">
        <v>3</v>
      </c>
      <c r="B4" s="65" t="s">
        <v>138</v>
      </c>
      <c r="C4" s="42">
        <v>0.473026044369111</v>
      </c>
      <c r="D4" s="52">
        <v>4.5545940399999998E-2</v>
      </c>
      <c r="E4" s="47">
        <v>18.729624018891407</v>
      </c>
      <c r="H4" s="65" t="s">
        <v>138</v>
      </c>
      <c r="I4" s="3">
        <v>1.2725290593741871</v>
      </c>
      <c r="J4" s="67">
        <v>0.91369125978844856</v>
      </c>
      <c r="K4" s="47">
        <v>18.729624018891407</v>
      </c>
      <c r="L4" s="67">
        <v>8.1976856316297013</v>
      </c>
      <c r="M4" s="3">
        <f t="shared" si="0"/>
        <v>1.2725290593741871</v>
      </c>
      <c r="N4" s="3">
        <f t="shared" si="1"/>
        <v>0.91369125978844856</v>
      </c>
      <c r="P4" s="64" t="s">
        <v>3</v>
      </c>
      <c r="Q4" s="65" t="s">
        <v>138</v>
      </c>
      <c r="R4" s="67">
        <v>8.1976856316297013</v>
      </c>
      <c r="S4">
        <v>7.905420140578082</v>
      </c>
      <c r="X4" s="64" t="s">
        <v>32</v>
      </c>
      <c r="Y4" s="65" t="s">
        <v>171</v>
      </c>
      <c r="Z4">
        <f>VLOOKUP(Y4,Sheet8!A$3:E$49,5,FALSE)</f>
        <v>72.50007161772831</v>
      </c>
      <c r="AA4" s="67">
        <v>0.21110382921354265</v>
      </c>
      <c r="AB4" s="67">
        <f>_xlfn.XLOOKUP(X4,Density_Weighted_Stock_Weig!Y:Y,Density_Weighted_Stock_Weig!Z:Z)</f>
        <v>2567012.4999999995</v>
      </c>
      <c r="AC4" t="str">
        <f t="shared" si="2"/>
        <v>Above Weighted Average</v>
      </c>
      <c r="AD4" t="str">
        <f t="shared" si="3"/>
        <v>Below Weighted Average</v>
      </c>
      <c r="AE4" s="2" t="str" cm="1">
        <f t="array" ref="AE4">_xlfn.IFS(AND(AC4="Above Weighted Average",AD4="Below Weighted Average"),"3",AND(AC4="Above Weighted Average",AD4="Above Weighted Average"),"4",AND(AC4="Below Weighted Average",AD4="Above Weighted Average"),"2",AND(AC4="Below Weighted Average",AD4="Below Weighted Average"),"1")</f>
        <v>3</v>
      </c>
      <c r="AF4" t="str">
        <f t="shared" si="4"/>
        <v>Above Non Weighted Average</v>
      </c>
      <c r="AG4" t="str">
        <f t="shared" si="5"/>
        <v>Below Non Weighted Average</v>
      </c>
      <c r="AH4" s="2" t="str" cm="1">
        <f t="array" ref="AH4">_xlfn.IFS(AND(AF4="Above Non Weighted Average",AG4="Below Non Weighted Average"),"3",AND(AF4="Above Non Weighted Average",AG4="Above Non Weighted Average"),"4",AND(AF4="Below Non Weighted Average",AG4="Above Non Weighted Average"),"2",AND(AF4="Below Non Weighted Average",AG4="Below Non Weighted Average"),"1")</f>
        <v>3</v>
      </c>
      <c r="AI4" t="b">
        <f t="shared" si="6"/>
        <v>1</v>
      </c>
      <c r="AJ4" t="str">
        <f>IF(Z4&lt;Weighted_average,"Below","Above")</f>
        <v>Above</v>
      </c>
      <c r="AK4" t="str">
        <f>IF(AA4&lt;Stock_grad_ratio,"Below","Above")</f>
        <v>Below</v>
      </c>
      <c r="AL4" t="str">
        <f t="shared" si="7"/>
        <v>AboveBelow</v>
      </c>
      <c r="AM4" t="str">
        <f t="shared" si="8"/>
        <v>Q3</v>
      </c>
      <c r="BD4" s="64" t="s">
        <v>29</v>
      </c>
      <c r="BE4" s="65" t="s">
        <v>168</v>
      </c>
      <c r="BF4" s="47">
        <v>19.247819150386611</v>
      </c>
      <c r="BG4" s="47">
        <v>68.81446632132112</v>
      </c>
      <c r="BH4" s="47" t="str">
        <f t="shared" si="9"/>
        <v>Below Average</v>
      </c>
      <c r="BI4" s="47" t="str">
        <f t="shared" si="10"/>
        <v>Above Average</v>
      </c>
      <c r="BJ4" s="75" t="str" cm="1">
        <f t="array" ref="BJ4">_xlfn.IFS(AND(BH4="Above Average",BI4="Below Average"),"Q1",AND(BH4="Above Average",BI4="Above Average"),"Q2",AND(BH4="Below Average",BI4="Above Average"),"Q3",AND(BH4="Below Average",BI4="Below Average"),"Q4")</f>
        <v>Q3</v>
      </c>
      <c r="BK4" s="47"/>
      <c r="BL4">
        <v>3</v>
      </c>
      <c r="BM4" t="s">
        <v>100</v>
      </c>
      <c r="BN4" s="64" t="s">
        <v>32</v>
      </c>
      <c r="BO4" s="47">
        <v>66.896135970779099</v>
      </c>
      <c r="BQ4">
        <v>3</v>
      </c>
      <c r="BR4" t="s">
        <v>100</v>
      </c>
      <c r="BS4" s="64" t="s">
        <v>29</v>
      </c>
      <c r="BT4" s="47">
        <v>68.81446632132112</v>
      </c>
      <c r="BY4" t="s">
        <v>291</v>
      </c>
      <c r="BZ4" t="s">
        <v>207</v>
      </c>
    </row>
    <row r="5" spans="1:78" x14ac:dyDescent="0.35">
      <c r="A5" s="64" t="s">
        <v>4</v>
      </c>
      <c r="B5" s="65" t="s">
        <v>139</v>
      </c>
      <c r="C5" s="42">
        <v>0.52100000000000002</v>
      </c>
      <c r="D5" s="52">
        <v>0.12006065370000001</v>
      </c>
      <c r="E5" s="47">
        <v>68.115844081394968</v>
      </c>
      <c r="H5" s="65" t="s">
        <v>139</v>
      </c>
      <c r="I5" s="3">
        <v>1.8332481427025307</v>
      </c>
      <c r="J5" s="67">
        <v>1.2148438480476977</v>
      </c>
      <c r="K5" s="47">
        <v>68.115844081394968</v>
      </c>
      <c r="L5" s="67">
        <v>16.399999999999999</v>
      </c>
      <c r="M5" s="3">
        <f t="shared" si="0"/>
        <v>1.8332481427025307</v>
      </c>
      <c r="N5" s="3">
        <f t="shared" si="1"/>
        <v>1.2148438480476977</v>
      </c>
      <c r="P5" s="64" t="s">
        <v>4</v>
      </c>
      <c r="Q5" s="65" t="s">
        <v>139</v>
      </c>
      <c r="R5" s="67">
        <v>16.399999999999999</v>
      </c>
      <c r="S5">
        <v>34.292718386067548</v>
      </c>
      <c r="X5" s="64" t="s">
        <v>60</v>
      </c>
      <c r="Y5" s="65" t="s">
        <v>142</v>
      </c>
      <c r="Z5">
        <f>VLOOKUP(Y5,Sheet8!A$3:E$49,5,FALSE)</f>
        <v>62.960411138791216</v>
      </c>
      <c r="AA5" s="67">
        <v>2.4297346733931198E-2</v>
      </c>
      <c r="AB5" s="67">
        <f>_xlfn.XLOOKUP(X5,Density_Weighted_Stock_Weig!Y:Y,Density_Weighted_Stock_Weig!Z:Z)</f>
        <v>593149.50000000012</v>
      </c>
      <c r="AC5" t="str">
        <f t="shared" si="2"/>
        <v>Above Weighted Average</v>
      </c>
      <c r="AD5" t="str">
        <f t="shared" si="3"/>
        <v>Below Weighted Average</v>
      </c>
      <c r="AE5" s="2" t="str" cm="1">
        <f t="array" ref="AE5">_xlfn.IFS(AND(AC5="Above Weighted Average",AD5="Below Weighted Average"),"3",AND(AC5="Above Weighted Average",AD5="Above Weighted Average"),"4",AND(AC5="Below Weighted Average",AD5="Above Weighted Average"),"2",AND(AC5="Below Weighted Average",AD5="Below Weighted Average"),"1")</f>
        <v>3</v>
      </c>
      <c r="AF5" t="str">
        <f t="shared" si="4"/>
        <v>Above Non Weighted Average</v>
      </c>
      <c r="AG5" t="str">
        <f t="shared" si="5"/>
        <v>Below Non Weighted Average</v>
      </c>
      <c r="AH5" s="2" t="str" cm="1">
        <f t="array" ref="AH5">_xlfn.IFS(AND(AF5="Above Non Weighted Average",AG5="Below Non Weighted Average"),"3",AND(AF5="Above Non Weighted Average",AG5="Above Non Weighted Average"),"4",AND(AF5="Below Non Weighted Average",AG5="Above Non Weighted Average"),"2",AND(AF5="Below Non Weighted Average",AG5="Below Non Weighted Average"),"1")</f>
        <v>3</v>
      </c>
      <c r="AI5" t="b">
        <f t="shared" si="6"/>
        <v>1</v>
      </c>
      <c r="AJ5" t="str">
        <f>IF(Z5&lt;Weighted_average,"Below","Above")</f>
        <v>Above</v>
      </c>
      <c r="AK5" t="str">
        <f>IF(AA5&lt;Stock_grad_ratio,"Below","Above")</f>
        <v>Below</v>
      </c>
      <c r="AL5" t="str">
        <f t="shared" si="7"/>
        <v>AboveBelow</v>
      </c>
      <c r="AM5" t="str">
        <f t="shared" si="8"/>
        <v>Q3</v>
      </c>
      <c r="BD5" s="64" t="s">
        <v>25</v>
      </c>
      <c r="BE5" s="65" t="s">
        <v>164</v>
      </c>
      <c r="BF5" s="47">
        <v>12.006604382306818</v>
      </c>
      <c r="BG5" s="47">
        <v>58.454296612863345</v>
      </c>
      <c r="BH5" s="47" t="str">
        <f t="shared" si="9"/>
        <v>Below Average</v>
      </c>
      <c r="BI5" s="47" t="str">
        <f t="shared" si="10"/>
        <v>Above Average</v>
      </c>
      <c r="BJ5" s="75" t="str" cm="1">
        <f t="array" ref="BJ5">_xlfn.IFS(AND(BH5="Above Average",BI5="Below Average"),"Q1",AND(BH5="Above Average",BI5="Above Average"),"Q2",AND(BH5="Below Average",BI5="Above Average"),"Q3",AND(BH5="Below Average",BI5="Below Average"),"Q4")</f>
        <v>Q3</v>
      </c>
      <c r="BK5" s="47"/>
      <c r="BL5">
        <v>4</v>
      </c>
      <c r="BM5" t="s">
        <v>100</v>
      </c>
      <c r="BN5" s="64" t="s">
        <v>60</v>
      </c>
      <c r="BO5" s="47">
        <v>60.895271765381224</v>
      </c>
      <c r="BQ5">
        <v>4</v>
      </c>
      <c r="BR5" t="s">
        <v>100</v>
      </c>
      <c r="BS5" s="64" t="s">
        <v>25</v>
      </c>
      <c r="BT5" s="47">
        <v>58.454296612863345</v>
      </c>
      <c r="BY5" t="s">
        <v>292</v>
      </c>
      <c r="BZ5" t="s">
        <v>101</v>
      </c>
    </row>
    <row r="6" spans="1:78" x14ac:dyDescent="0.35">
      <c r="A6" s="64" t="s">
        <v>5</v>
      </c>
      <c r="B6" s="65" t="s">
        <v>140</v>
      </c>
      <c r="C6" s="42">
        <v>0.32880543493854802</v>
      </c>
      <c r="D6" s="52">
        <v>0.11463944440000001</v>
      </c>
      <c r="E6" s="47">
        <v>16.827323041243478</v>
      </c>
      <c r="H6" s="65" t="s">
        <v>140</v>
      </c>
      <c r="I6" s="3">
        <v>1.2260150321442151</v>
      </c>
      <c r="J6" s="67">
        <v>0.81243620650053627</v>
      </c>
      <c r="K6" s="47">
        <v>16.827323041243478</v>
      </c>
      <c r="L6" s="67">
        <v>6.4928625093914354</v>
      </c>
      <c r="M6" s="3">
        <f t="shared" si="0"/>
        <v>1.2260150321442151</v>
      </c>
      <c r="N6" s="3">
        <f t="shared" si="1"/>
        <v>0.81243620650053627</v>
      </c>
      <c r="P6" s="64" t="s">
        <v>5</v>
      </c>
      <c r="Q6" s="65" t="s">
        <v>140</v>
      </c>
      <c r="R6" s="67">
        <v>6.4928625093914354</v>
      </c>
      <c r="S6">
        <v>11.721918929906732</v>
      </c>
      <c r="X6" s="64" t="s">
        <v>30</v>
      </c>
      <c r="Y6" s="65" t="s">
        <v>169</v>
      </c>
      <c r="Z6">
        <f>VLOOKUP(Y6,Sheet8!A$3:E$49,5,FALSE)</f>
        <v>60.383936189147697</v>
      </c>
      <c r="AA6" s="67">
        <v>3.3004843075349295E-2</v>
      </c>
      <c r="AB6" s="67">
        <f>_xlfn.XLOOKUP(X6,Density_Weighted_Stock_Weig!Y:Y,Density_Weighted_Stock_Weig!Z:Z)</f>
        <v>1299468.9999999986</v>
      </c>
      <c r="AC6" t="str">
        <f t="shared" si="2"/>
        <v>Above Weighted Average</v>
      </c>
      <c r="AD6" t="str">
        <f t="shared" si="3"/>
        <v>Below Weighted Average</v>
      </c>
      <c r="AE6" s="2" t="str" cm="1">
        <f t="array" ref="AE6">_xlfn.IFS(AND(AC6="Above Weighted Average",AD6="Below Weighted Average"),"3",AND(AC6="Above Weighted Average",AD6="Above Weighted Average"),"4",AND(AC6="Below Weighted Average",AD6="Above Weighted Average"),"2",AND(AC6="Below Weighted Average",AD6="Below Weighted Average"),"1")</f>
        <v>3</v>
      </c>
      <c r="AF6" t="str">
        <f t="shared" si="4"/>
        <v>Above Non Weighted Average</v>
      </c>
      <c r="AG6" t="str">
        <f t="shared" si="5"/>
        <v>Below Non Weighted Average</v>
      </c>
      <c r="AH6" s="2" t="str" cm="1">
        <f t="array" ref="AH6">_xlfn.IFS(AND(AF6="Above Non Weighted Average",AG6="Below Non Weighted Average"),"3",AND(AF6="Above Non Weighted Average",AG6="Above Non Weighted Average"),"4",AND(AF6="Below Non Weighted Average",AG6="Above Non Weighted Average"),"2",AND(AF6="Below Non Weighted Average",AG6="Below Non Weighted Average"),"1")</f>
        <v>3</v>
      </c>
      <c r="AI6" t="b">
        <f t="shared" si="6"/>
        <v>1</v>
      </c>
      <c r="AJ6" t="str">
        <f>IF(Z6&lt;Weighted_average,"Below","Above")</f>
        <v>Above</v>
      </c>
      <c r="AK6" t="str">
        <f>IF(AA6&lt;Stock_grad_ratio,"Below","Above")</f>
        <v>Below</v>
      </c>
      <c r="AL6" t="str">
        <f t="shared" si="7"/>
        <v>AboveBelow</v>
      </c>
      <c r="AM6" t="str">
        <f t="shared" si="8"/>
        <v>Q3</v>
      </c>
      <c r="BD6" s="64" t="s">
        <v>147</v>
      </c>
      <c r="BE6" s="65" t="s">
        <v>148</v>
      </c>
      <c r="BF6" s="47">
        <v>12.82557799981813</v>
      </c>
      <c r="BG6" s="47">
        <v>55.125</v>
      </c>
      <c r="BH6" s="47" t="str">
        <f t="shared" si="9"/>
        <v>Below Average</v>
      </c>
      <c r="BI6" s="47" t="str">
        <f t="shared" si="10"/>
        <v>Above Average</v>
      </c>
      <c r="BJ6" s="75" t="str" cm="1">
        <f t="array" ref="BJ6">_xlfn.IFS(AND(BH6="Above Average",BI6="Below Average"),"Q1",AND(BH6="Above Average",BI6="Above Average"),"Q2",AND(BH6="Below Average",BI6="Above Average"),"Q3",AND(BH6="Below Average",BI6="Below Average"),"Q4")</f>
        <v>Q3</v>
      </c>
      <c r="BK6" s="47"/>
      <c r="BL6">
        <v>5</v>
      </c>
      <c r="BM6" t="s">
        <v>100</v>
      </c>
      <c r="BN6" s="64" t="s">
        <v>30</v>
      </c>
      <c r="BO6" s="47">
        <v>53.864572698360966</v>
      </c>
      <c r="BQ6">
        <v>5</v>
      </c>
      <c r="BR6" t="s">
        <v>100</v>
      </c>
      <c r="BS6" s="64" t="s">
        <v>147</v>
      </c>
      <c r="BT6" s="47">
        <v>55.125</v>
      </c>
      <c r="BY6" t="s">
        <v>293</v>
      </c>
      <c r="BZ6" t="s">
        <v>206</v>
      </c>
    </row>
    <row r="7" spans="1:78" x14ac:dyDescent="0.35">
      <c r="A7" s="64" t="s">
        <v>6</v>
      </c>
      <c r="B7" s="65" t="s">
        <v>141</v>
      </c>
      <c r="C7" s="42">
        <v>0.26769999999999999</v>
      </c>
      <c r="D7" s="52">
        <v>8.3128080399999998E-2</v>
      </c>
      <c r="E7" s="47">
        <v>40.986337247671983</v>
      </c>
      <c r="H7" s="65" t="s">
        <v>141</v>
      </c>
      <c r="I7" s="3">
        <v>1.6126391092362451</v>
      </c>
      <c r="J7" s="67">
        <v>0.76314631612737616</v>
      </c>
      <c r="K7" s="47">
        <v>40.986337247671983</v>
      </c>
      <c r="L7" s="67">
        <v>5.7962394193302087</v>
      </c>
      <c r="M7" s="3">
        <f t="shared" si="0"/>
        <v>1.6126391092362451</v>
      </c>
      <c r="N7" s="3">
        <f t="shared" si="1"/>
        <v>0.76314631612737616</v>
      </c>
      <c r="P7" s="64" t="s">
        <v>6</v>
      </c>
      <c r="Q7" s="65" t="s">
        <v>141</v>
      </c>
      <c r="R7" s="67">
        <v>5.7962394193302087</v>
      </c>
      <c r="S7">
        <v>8.1970005510432156</v>
      </c>
      <c r="X7" s="64" t="s">
        <v>16</v>
      </c>
      <c r="Y7" s="65" t="s">
        <v>154</v>
      </c>
      <c r="Z7">
        <f>VLOOKUP(Y7,Sheet8!A$3:E$49,5,FALSE)</f>
        <v>51.66268983905934</v>
      </c>
      <c r="AA7" s="67">
        <v>8.2336226221255221E-2</v>
      </c>
      <c r="AB7" s="67">
        <f>_xlfn.XLOOKUP(X7,Density_Weighted_Stock_Weig!Y:Y,Density_Weighted_Stock_Weig!Z:Z)</f>
        <v>1201670.4999999995</v>
      </c>
      <c r="AC7" t="str">
        <f t="shared" si="2"/>
        <v>Above Weighted Average</v>
      </c>
      <c r="AD7" t="str">
        <f t="shared" si="3"/>
        <v>Below Weighted Average</v>
      </c>
      <c r="AE7" s="2" t="str" cm="1">
        <f t="array" ref="AE7">_xlfn.IFS(AND(AC7="Above Weighted Average",AD7="Below Weighted Average"),"3",AND(AC7="Above Weighted Average",AD7="Above Weighted Average"),"4",AND(AC7="Below Weighted Average",AD7="Above Weighted Average"),"2",AND(AC7="Below Weighted Average",AD7="Below Weighted Average"),"1")</f>
        <v>3</v>
      </c>
      <c r="AF7" t="str">
        <f t="shared" si="4"/>
        <v>Above Non Weighted Average</v>
      </c>
      <c r="AG7" t="str">
        <f t="shared" si="5"/>
        <v>Below Non Weighted Average</v>
      </c>
      <c r="AH7" s="2" t="str" cm="1">
        <f t="array" ref="AH7">_xlfn.IFS(AND(AF7="Above Non Weighted Average",AG7="Below Non Weighted Average"),"3",AND(AF7="Above Non Weighted Average",AG7="Above Non Weighted Average"),"4",AND(AF7="Below Non Weighted Average",AG7="Above Non Weighted Average"),"2",AND(AF7="Below Non Weighted Average",AG7="Below Non Weighted Average"),"1")</f>
        <v>3</v>
      </c>
      <c r="AI7" t="b">
        <f t="shared" si="6"/>
        <v>1</v>
      </c>
      <c r="AJ7" t="str">
        <f>IF(Z7&lt;Weighted_average,"Below","Above")</f>
        <v>Above</v>
      </c>
      <c r="AK7" t="str">
        <f>IF(AA7&lt;Stock_grad_ratio,"Below","Above")</f>
        <v>Below</v>
      </c>
      <c r="AL7" t="str">
        <f t="shared" si="7"/>
        <v>AboveBelow</v>
      </c>
      <c r="AM7" t="str">
        <f t="shared" si="8"/>
        <v>Q3</v>
      </c>
      <c r="BD7" s="64" t="s">
        <v>8</v>
      </c>
      <c r="BE7" s="65" t="s">
        <v>144</v>
      </c>
      <c r="BF7" s="47">
        <v>2.3872297370504008</v>
      </c>
      <c r="BG7" s="47">
        <v>44.159429280397021</v>
      </c>
      <c r="BH7" s="47" t="str">
        <f t="shared" si="9"/>
        <v>Below Average</v>
      </c>
      <c r="BI7" s="47" t="str">
        <f t="shared" si="10"/>
        <v>Above Average</v>
      </c>
      <c r="BJ7" s="75" t="str" cm="1">
        <f t="array" ref="BJ7">_xlfn.IFS(AND(BH7="Above Average",BI7="Below Average"),"Q1",AND(BH7="Above Average",BI7="Above Average"),"Q2",AND(BH7="Below Average",BI7="Above Average"),"Q3",AND(BH7="Below Average",BI7="Below Average"),"Q4")</f>
        <v>Q3</v>
      </c>
      <c r="BK7" s="47"/>
      <c r="BL7">
        <v>6</v>
      </c>
      <c r="BM7" t="s">
        <v>100</v>
      </c>
      <c r="BN7" s="64" t="s">
        <v>16</v>
      </c>
      <c r="BO7" s="47">
        <v>49.456152913797929</v>
      </c>
      <c r="BQ7">
        <v>6</v>
      </c>
      <c r="BR7" t="s">
        <v>100</v>
      </c>
      <c r="BS7" s="64" t="s">
        <v>8</v>
      </c>
      <c r="BT7" s="47">
        <v>44.159429280397021</v>
      </c>
    </row>
    <row r="8" spans="1:78" x14ac:dyDescent="0.35">
      <c r="A8" s="64" t="s">
        <v>60</v>
      </c>
      <c r="B8" s="65" t="s">
        <v>142</v>
      </c>
      <c r="C8" s="42">
        <v>0.32863412813189302</v>
      </c>
      <c r="D8" s="52">
        <v>0.10392424580000001</v>
      </c>
      <c r="E8" s="47">
        <v>104.36309518407614</v>
      </c>
      <c r="H8" s="65" t="s">
        <v>142</v>
      </c>
      <c r="I8" s="3">
        <v>2.0185469508558489</v>
      </c>
      <c r="J8" s="67">
        <v>1.3590370091771649</v>
      </c>
      <c r="K8" s="47">
        <v>104.36309518407614</v>
      </c>
      <c r="L8" s="67">
        <v>22.857935830441416</v>
      </c>
      <c r="M8" s="3">
        <f t="shared" si="0"/>
        <v>2.0185469508558489</v>
      </c>
      <c r="N8" s="3">
        <f t="shared" si="1"/>
        <v>1.3590370091771649</v>
      </c>
      <c r="P8" s="64" t="s">
        <v>60</v>
      </c>
      <c r="Q8" s="65" t="s">
        <v>142</v>
      </c>
      <c r="R8" s="67">
        <v>22.857935830441416</v>
      </c>
      <c r="S8">
        <v>60.895271765381224</v>
      </c>
      <c r="X8" s="64" t="s">
        <v>20</v>
      </c>
      <c r="Y8" s="65" t="s">
        <v>159</v>
      </c>
      <c r="Z8">
        <f>VLOOKUP(Y8,Sheet8!A$3:E$49,5,FALSE)</f>
        <v>48.030714224150685</v>
      </c>
      <c r="AA8" s="67">
        <v>0.35243004812267736</v>
      </c>
      <c r="AB8" s="67">
        <f>_xlfn.XLOOKUP(X8,Density_Weighted_Stock_Weig!Y:Y,Density_Weighted_Stock_Weig!Z:Z)</f>
        <v>33475870.500000011</v>
      </c>
      <c r="AC8" t="str">
        <f t="shared" si="2"/>
        <v>Above Weighted Average</v>
      </c>
      <c r="AD8" t="str">
        <f t="shared" si="3"/>
        <v>Below Weighted Average</v>
      </c>
      <c r="AE8" s="2" t="str" cm="1">
        <f t="array" ref="AE8">_xlfn.IFS(AND(AC8="Above Weighted Average",AD8="Below Weighted Average"),"3",AND(AC8="Above Weighted Average",AD8="Above Weighted Average"),"4",AND(AC8="Below Weighted Average",AD8="Above Weighted Average"),"2",AND(AC8="Below Weighted Average",AD8="Below Weighted Average"),"1")</f>
        <v>3</v>
      </c>
      <c r="AF8" t="str">
        <f t="shared" si="4"/>
        <v>Above Non Weighted Average</v>
      </c>
      <c r="AG8" t="str">
        <f t="shared" si="5"/>
        <v>Below Non Weighted Average</v>
      </c>
      <c r="AH8" s="2" t="str" cm="1">
        <f t="array" ref="AH8">_xlfn.IFS(AND(AF8="Above Non Weighted Average",AG8="Below Non Weighted Average"),"3",AND(AF8="Above Non Weighted Average",AG8="Above Non Weighted Average"),"4",AND(AF8="Below Non Weighted Average",AG8="Above Non Weighted Average"),"2",AND(AF8="Below Non Weighted Average",AG8="Below Non Weighted Average"),"1")</f>
        <v>3</v>
      </c>
      <c r="AI8" t="b">
        <f t="shared" si="6"/>
        <v>1</v>
      </c>
      <c r="AJ8" t="str">
        <f>IF(Z8&lt;Weighted_average,"Below","Above")</f>
        <v>Above</v>
      </c>
      <c r="AK8" t="str">
        <f>IF(AA8&lt;Stock_grad_ratio,"Below","Above")</f>
        <v>Below</v>
      </c>
      <c r="AL8" t="str">
        <f t="shared" si="7"/>
        <v>AboveBelow</v>
      </c>
      <c r="AM8" t="str">
        <f t="shared" si="8"/>
        <v>Q3</v>
      </c>
      <c r="BD8" s="64" t="s">
        <v>18</v>
      </c>
      <c r="BE8" s="65" t="s">
        <v>156</v>
      </c>
      <c r="BF8" s="47">
        <v>29.037302117617038</v>
      </c>
      <c r="BG8" s="47">
        <v>42.673685800866124</v>
      </c>
      <c r="BH8" s="47" t="str">
        <f t="shared" si="9"/>
        <v>Above Average</v>
      </c>
      <c r="BI8" s="47" t="str">
        <f t="shared" si="10"/>
        <v>Above Average</v>
      </c>
      <c r="BJ8" s="75" t="str" cm="1">
        <f t="array" ref="BJ8">_xlfn.IFS(AND(BH8="Above Average",BI8="Below Average"),"Q1",AND(BH8="Above Average",BI8="Above Average"),"Q2",AND(BH8="Below Average",BI8="Above Average"),"Q3",AND(BH8="Below Average",BI8="Below Average"),"Q4")</f>
        <v>Q2</v>
      </c>
      <c r="BK8" s="47"/>
      <c r="BL8">
        <v>7</v>
      </c>
      <c r="BM8" t="s">
        <v>100</v>
      </c>
      <c r="BN8" s="64" t="s">
        <v>20</v>
      </c>
      <c r="BO8" s="47">
        <v>45.6484849222892</v>
      </c>
      <c r="BQ8">
        <v>7</v>
      </c>
      <c r="BR8" t="s">
        <v>100</v>
      </c>
      <c r="BS8" s="64" t="s">
        <v>18</v>
      </c>
      <c r="BT8" s="47">
        <v>42.673685800866124</v>
      </c>
    </row>
    <row r="9" spans="1:78" x14ac:dyDescent="0.35">
      <c r="A9" s="64" t="s">
        <v>7</v>
      </c>
      <c r="B9" s="65" t="s">
        <v>143</v>
      </c>
      <c r="C9" s="42">
        <v>0.60169835832363905</v>
      </c>
      <c r="D9" s="52">
        <v>3.6992728700000005E-2</v>
      </c>
      <c r="E9" s="47">
        <v>11.326441981493597</v>
      </c>
      <c r="H9" s="65" t="s">
        <v>143</v>
      </c>
      <c r="I9" s="3">
        <v>1.0540935047016506</v>
      </c>
      <c r="J9" s="67">
        <v>0.7669627175435717</v>
      </c>
      <c r="K9" s="47">
        <v>11.326441981493597</v>
      </c>
      <c r="L9" s="67">
        <v>5.8473988439306357</v>
      </c>
      <c r="M9" s="3">
        <f t="shared" si="0"/>
        <v>1.0540935047016506</v>
      </c>
      <c r="N9" s="3">
        <f t="shared" si="1"/>
        <v>0.7669627175435717</v>
      </c>
      <c r="P9" s="64" t="s">
        <v>7</v>
      </c>
      <c r="Q9" s="65" t="s">
        <v>143</v>
      </c>
      <c r="R9" s="67">
        <v>5.8473988439306357</v>
      </c>
      <c r="S9">
        <v>7.8475241743670043</v>
      </c>
      <c r="X9" s="64" t="s">
        <v>1</v>
      </c>
      <c r="Y9" s="65" t="s">
        <v>136</v>
      </c>
      <c r="Z9">
        <f>VLOOKUP(Y9,Sheet8!A$3:E$49,5,FALSE)</f>
        <v>49.173528181995827</v>
      </c>
      <c r="AA9" s="67">
        <v>1.6034637218401804</v>
      </c>
      <c r="AB9" s="67">
        <f>_xlfn.XLOOKUP(X9,Density_Weighted_Stock_Weig!Y:Y,Density_Weighted_Stock_Weig!Z:Z)</f>
        <v>44903225.000000007</v>
      </c>
      <c r="AC9" t="str">
        <f t="shared" si="2"/>
        <v>Above Weighted Average</v>
      </c>
      <c r="AD9" t="str">
        <f t="shared" si="3"/>
        <v>Above Weighted Average</v>
      </c>
      <c r="AE9" s="2" t="str" cm="1">
        <f t="array" ref="AE9">_xlfn.IFS(AND(AC9="Above Weighted Average",AD9="Below Weighted Average"),"3",AND(AC9="Above Weighted Average",AD9="Above Weighted Average"),"4",AND(AC9="Below Weighted Average",AD9="Above Weighted Average"),"2",AND(AC9="Below Weighted Average",AD9="Below Weighted Average"),"1")</f>
        <v>4</v>
      </c>
      <c r="AF9" t="str">
        <f t="shared" si="4"/>
        <v>Above Non Weighted Average</v>
      </c>
      <c r="AG9" t="str">
        <f t="shared" si="5"/>
        <v>Above Non Weighted Average</v>
      </c>
      <c r="AH9" s="2" t="str" cm="1">
        <f t="array" ref="AH9">_xlfn.IFS(AND(AF9="Above Non Weighted Average",AG9="Below Non Weighted Average"),"3",AND(AF9="Above Non Weighted Average",AG9="Above Non Weighted Average"),"4",AND(AF9="Below Non Weighted Average",AG9="Above Non Weighted Average"),"2",AND(AF9="Below Non Weighted Average",AG9="Below Non Weighted Average"),"1")</f>
        <v>4</v>
      </c>
      <c r="AI9" t="b">
        <f t="shared" si="6"/>
        <v>1</v>
      </c>
      <c r="AJ9" t="str">
        <f>IF(Z9&lt;Weighted_average,"Below","Above")</f>
        <v>Above</v>
      </c>
      <c r="AK9" t="str">
        <f>IF(AA9&lt;Stock_grad_ratio,"Below","Above")</f>
        <v>Above</v>
      </c>
      <c r="AL9" t="str">
        <f t="shared" si="7"/>
        <v>AboveAbove</v>
      </c>
      <c r="AM9" t="str">
        <f t="shared" si="8"/>
        <v>Q4</v>
      </c>
      <c r="BD9" s="64" t="s">
        <v>38</v>
      </c>
      <c r="BE9" s="65" t="s">
        <v>178</v>
      </c>
      <c r="BF9" s="47">
        <v>213.24893351885851</v>
      </c>
      <c r="BG9" s="47">
        <v>42.1</v>
      </c>
      <c r="BH9" s="47" t="str">
        <f t="shared" si="9"/>
        <v>Above Average</v>
      </c>
      <c r="BI9" s="47" t="str">
        <f t="shared" si="10"/>
        <v>Above Average</v>
      </c>
      <c r="BJ9" s="75" t="str" cm="1">
        <f t="array" ref="BJ9">_xlfn.IFS(AND(BH9="Above Average",BI9="Below Average"),"Q1",AND(BH9="Above Average",BI9="Above Average"),"Q2",AND(BH9="Below Average",BI9="Above Average"),"Q3",AND(BH9="Below Average",BI9="Below Average"),"Q4")</f>
        <v>Q2</v>
      </c>
      <c r="BK9" s="47"/>
      <c r="BL9">
        <v>8</v>
      </c>
      <c r="BM9" t="s">
        <v>100</v>
      </c>
      <c r="BN9" s="64" t="s">
        <v>1</v>
      </c>
      <c r="BO9" s="47">
        <v>42.170245010241459</v>
      </c>
      <c r="BQ9">
        <v>8</v>
      </c>
      <c r="BR9" t="s">
        <v>100</v>
      </c>
      <c r="BS9" s="64" t="s">
        <v>38</v>
      </c>
      <c r="BT9" s="47">
        <v>42.1</v>
      </c>
    </row>
    <row r="10" spans="1:78" x14ac:dyDescent="0.35">
      <c r="A10" s="64" t="s">
        <v>8</v>
      </c>
      <c r="B10" s="65" t="s">
        <v>144</v>
      </c>
      <c r="C10" s="42">
        <v>0.60169835832363905</v>
      </c>
      <c r="D10" s="52">
        <v>4.8423175799999996E-2</v>
      </c>
      <c r="E10" s="47">
        <v>10.210731090719779</v>
      </c>
      <c r="H10" s="65" t="s">
        <v>144</v>
      </c>
      <c r="I10" s="3">
        <v>1.0090568387860535</v>
      </c>
      <c r="J10" s="67">
        <v>1.6450234519046578</v>
      </c>
      <c r="K10" s="47">
        <v>10.210731090719779</v>
      </c>
      <c r="L10" s="67">
        <v>44.159429280397021</v>
      </c>
      <c r="M10" s="3">
        <f t="shared" si="0"/>
        <v>1.0090568387860535</v>
      </c>
      <c r="N10" s="3">
        <f t="shared" si="1"/>
        <v>1.6450234519046578</v>
      </c>
      <c r="P10" s="64" t="s">
        <v>8</v>
      </c>
      <c r="Q10" s="65" t="s">
        <v>144</v>
      </c>
      <c r="R10" s="67">
        <v>44.159429280397021</v>
      </c>
      <c r="S10">
        <v>2.3872297370504008</v>
      </c>
      <c r="X10" s="64" t="s">
        <v>46</v>
      </c>
      <c r="Y10" s="65" t="s">
        <v>186</v>
      </c>
      <c r="Z10">
        <f>VLOOKUP(Y10,Sheet8!A$3:E$49,5,FALSE)</f>
        <v>38.14728630825762</v>
      </c>
      <c r="AA10" s="67">
        <v>0.87505088302817735</v>
      </c>
      <c r="AB10" s="67">
        <f>_xlfn.XLOOKUP(X10,Density_Weighted_Stock_Weig!Y:Y,Density_Weighted_Stock_Weig!Z:Z)</f>
        <v>16320536.999999996</v>
      </c>
      <c r="AC10" t="str">
        <f t="shared" si="2"/>
        <v>Above Weighted Average</v>
      </c>
      <c r="AD10" t="str">
        <f t="shared" si="3"/>
        <v>Above Weighted Average</v>
      </c>
      <c r="AE10" s="2" t="str" cm="1">
        <f t="array" ref="AE10">_xlfn.IFS(AND(AC10="Above Weighted Average",AD10="Below Weighted Average"),"3",AND(AC10="Above Weighted Average",AD10="Above Weighted Average"),"4",AND(AC10="Below Weighted Average",AD10="Above Weighted Average"),"2",AND(AC10="Below Weighted Average",AD10="Below Weighted Average"),"1")</f>
        <v>4</v>
      </c>
      <c r="AF10" t="str">
        <f t="shared" si="4"/>
        <v>Above Non Weighted Average</v>
      </c>
      <c r="AG10" t="str">
        <f t="shared" si="5"/>
        <v>Above Non Weighted Average</v>
      </c>
      <c r="AH10" s="2" t="str" cm="1">
        <f t="array" ref="AH10">_xlfn.IFS(AND(AF10="Above Non Weighted Average",AG10="Below Non Weighted Average"),"3",AND(AF10="Above Non Weighted Average",AG10="Above Non Weighted Average"),"4",AND(AF10="Below Non Weighted Average",AG10="Above Non Weighted Average"),"2",AND(AF10="Below Non Weighted Average",AG10="Below Non Weighted Average"),"1")</f>
        <v>4</v>
      </c>
      <c r="AI10" t="b">
        <f t="shared" si="6"/>
        <v>1</v>
      </c>
      <c r="AJ10" t="str">
        <f>IF(Z10&lt;Weighted_average,"Below","Above")</f>
        <v>Above</v>
      </c>
      <c r="AK10" t="str">
        <f>IF(AA10&lt;Stock_grad_ratio,"Below","Above")</f>
        <v>Above</v>
      </c>
      <c r="AL10" t="str">
        <f t="shared" si="7"/>
        <v>AboveAbove</v>
      </c>
      <c r="AM10" t="str">
        <f t="shared" si="8"/>
        <v>Q4</v>
      </c>
      <c r="BD10" s="64" t="s">
        <v>35</v>
      </c>
      <c r="BE10" s="65" t="s">
        <v>174</v>
      </c>
      <c r="BF10" s="47">
        <v>12.440746230594545</v>
      </c>
      <c r="BG10" s="47">
        <v>41.391365435291313</v>
      </c>
      <c r="BH10" s="47" t="str">
        <f t="shared" si="9"/>
        <v>Below Average</v>
      </c>
      <c r="BI10" s="47" t="str">
        <f t="shared" si="10"/>
        <v>Above Average</v>
      </c>
      <c r="BJ10" s="75" t="str" cm="1">
        <f t="array" ref="BJ10">_xlfn.IFS(AND(BH10="Above Average",BI10="Below Average"),"Q1",AND(BH10="Above Average",BI10="Above Average"),"Q2",AND(BH10="Below Average",BI10="Above Average"),"Q3",AND(BH10="Below Average",BI10="Below Average"),"Q4")</f>
        <v>Q3</v>
      </c>
      <c r="BK10" s="47"/>
      <c r="BL10">
        <v>9</v>
      </c>
      <c r="BM10" t="s">
        <v>100</v>
      </c>
      <c r="BN10" s="64" t="s">
        <v>46</v>
      </c>
      <c r="BO10" s="47">
        <v>36.315960905902422</v>
      </c>
      <c r="BQ10">
        <v>9</v>
      </c>
      <c r="BR10" t="s">
        <v>100</v>
      </c>
      <c r="BS10" s="64" t="s">
        <v>35</v>
      </c>
      <c r="BT10" s="47">
        <v>41.391365435291313</v>
      </c>
    </row>
    <row r="11" spans="1:78" x14ac:dyDescent="0.35">
      <c r="A11" s="64" t="s">
        <v>9</v>
      </c>
      <c r="B11" s="65" t="s">
        <v>145</v>
      </c>
      <c r="C11" s="42">
        <v>0.35310312003413502</v>
      </c>
      <c r="D11" s="52">
        <v>4.8723001500000002E-2</v>
      </c>
      <c r="E11" s="47">
        <v>22.710971898965504</v>
      </c>
      <c r="H11" s="65" t="s">
        <v>145</v>
      </c>
      <c r="I11" s="3">
        <v>1.3562357199232156</v>
      </c>
      <c r="J11" s="67">
        <v>0.17779406880755011</v>
      </c>
      <c r="K11" s="47">
        <v>22.710971898965504</v>
      </c>
      <c r="L11" s="67">
        <v>1.5058928414930488</v>
      </c>
      <c r="M11" s="3">
        <f t="shared" si="0"/>
        <v>1.3562357199232156</v>
      </c>
      <c r="N11" s="3">
        <f t="shared" si="1"/>
        <v>0.17779406880755011</v>
      </c>
      <c r="P11" s="64" t="s">
        <v>9</v>
      </c>
      <c r="Q11" s="65" t="s">
        <v>145</v>
      </c>
      <c r="R11" s="67">
        <v>1.5058928414930488</v>
      </c>
      <c r="S11">
        <v>3.2716188953202665</v>
      </c>
      <c r="X11" s="64" t="s">
        <v>4</v>
      </c>
      <c r="Y11" s="65" t="s">
        <v>139</v>
      </c>
      <c r="Z11">
        <f>VLOOKUP(Y11,Sheet8!A$3:E$49,5,FALSE)</f>
        <v>37.02657488516612</v>
      </c>
      <c r="AA11" s="67">
        <v>7.1623004528950859E-2</v>
      </c>
      <c r="AB11" s="67">
        <f>_xlfn.XLOOKUP(X11,Density_Weighted_Stock_Weig!Y:Y,Density_Weighted_Stock_Weig!Z:Z)</f>
        <v>2630296.0000000019</v>
      </c>
      <c r="AC11" t="str">
        <f t="shared" si="2"/>
        <v>Above Weighted Average</v>
      </c>
      <c r="AD11" t="str">
        <f t="shared" si="3"/>
        <v>Below Weighted Average</v>
      </c>
      <c r="AE11" s="2" t="str" cm="1">
        <f t="array" ref="AE11">_xlfn.IFS(AND(AC11="Above Weighted Average",AD11="Below Weighted Average"),"3",AND(AC11="Above Weighted Average",AD11="Above Weighted Average"),"4",AND(AC11="Below Weighted Average",AD11="Above Weighted Average"),"2",AND(AC11="Below Weighted Average",AD11="Below Weighted Average"),"1")</f>
        <v>3</v>
      </c>
      <c r="AF11" t="str">
        <f t="shared" si="4"/>
        <v>Above Non Weighted Average</v>
      </c>
      <c r="AG11" t="str">
        <f t="shared" si="5"/>
        <v>Below Non Weighted Average</v>
      </c>
      <c r="AH11" s="2" t="str" cm="1">
        <f t="array" ref="AH11">_xlfn.IFS(AND(AF11="Above Non Weighted Average",AG11="Below Non Weighted Average"),"3",AND(AF11="Above Non Weighted Average",AG11="Above Non Weighted Average"),"4",AND(AF11="Below Non Weighted Average",AG11="Above Non Weighted Average"),"2",AND(AF11="Below Non Weighted Average",AG11="Below Non Weighted Average"),"1")</f>
        <v>3</v>
      </c>
      <c r="AI11" t="b">
        <f t="shared" si="6"/>
        <v>1</v>
      </c>
      <c r="AJ11" t="str">
        <f>IF(Z11&lt;Weighted_average,"Below","Above")</f>
        <v>Above</v>
      </c>
      <c r="AK11" t="str">
        <f>IF(AA11&lt;Stock_grad_ratio,"Below","Above")</f>
        <v>Below</v>
      </c>
      <c r="AL11" t="str">
        <f t="shared" si="7"/>
        <v>AboveBelow</v>
      </c>
      <c r="AM11" t="str">
        <f t="shared" si="8"/>
        <v>Q3</v>
      </c>
      <c r="BD11" s="64" t="s">
        <v>16</v>
      </c>
      <c r="BE11" s="65" t="s">
        <v>154</v>
      </c>
      <c r="BF11" s="47">
        <v>49.456152913797929</v>
      </c>
      <c r="BG11" s="47">
        <v>37.056249999999999</v>
      </c>
      <c r="BH11" s="47" t="str">
        <f t="shared" si="9"/>
        <v>Above Average</v>
      </c>
      <c r="BI11" s="47" t="str">
        <f t="shared" si="10"/>
        <v>Above Average</v>
      </c>
      <c r="BJ11" s="75" t="str" cm="1">
        <f t="array" ref="BJ11">_xlfn.IFS(AND(BH11="Above Average",BI11="Below Average"),"Q1",AND(BH11="Above Average",BI11="Above Average"),"Q2",AND(BH11="Below Average",BI11="Above Average"),"Q3",AND(BH11="Below Average",BI11="Below Average"),"Q4")</f>
        <v>Q2</v>
      </c>
      <c r="BK11" s="47"/>
      <c r="BL11">
        <v>10</v>
      </c>
      <c r="BM11" t="s">
        <v>100</v>
      </c>
      <c r="BN11" s="64" t="s">
        <v>4</v>
      </c>
      <c r="BO11" s="47">
        <v>34.292718386067548</v>
      </c>
      <c r="BQ11">
        <v>10</v>
      </c>
      <c r="BR11" t="s">
        <v>100</v>
      </c>
      <c r="BS11" s="64" t="s">
        <v>16</v>
      </c>
      <c r="BT11" s="47">
        <v>37.056249999999999</v>
      </c>
    </row>
    <row r="12" spans="1:78" x14ac:dyDescent="0.35">
      <c r="A12" s="64" t="s">
        <v>10</v>
      </c>
      <c r="B12" s="65" t="s">
        <v>146</v>
      </c>
      <c r="C12" s="42">
        <v>0.65</v>
      </c>
      <c r="D12" s="52">
        <v>4.1246685999999998E-2</v>
      </c>
      <c r="E12" s="47">
        <v>31.333794542132008</v>
      </c>
      <c r="H12" s="65" t="s">
        <v>146</v>
      </c>
      <c r="I12" s="3">
        <v>1.4960129914001041</v>
      </c>
      <c r="J12" s="67">
        <v>1.4544526651817888</v>
      </c>
      <c r="K12" s="47">
        <v>31.333794542132008</v>
      </c>
      <c r="L12" s="67">
        <v>28.47427435177109</v>
      </c>
      <c r="M12" s="3">
        <f t="shared" si="0"/>
        <v>1.4960129914001041</v>
      </c>
      <c r="N12" s="3">
        <f t="shared" si="1"/>
        <v>1.4544526651817888</v>
      </c>
      <c r="P12" s="64" t="s">
        <v>10</v>
      </c>
      <c r="Q12" s="65" t="s">
        <v>146</v>
      </c>
      <c r="R12" s="67">
        <v>28.47427435177109</v>
      </c>
      <c r="S12">
        <v>20.614550700647715</v>
      </c>
      <c r="X12" s="64" t="s">
        <v>45</v>
      </c>
      <c r="Y12" s="65" t="s">
        <v>185</v>
      </c>
      <c r="Z12">
        <f>VLOOKUP(Y12,Sheet8!A$3:E$49,5,FALSE)</f>
        <v>34.960104008082851</v>
      </c>
      <c r="AA12" s="67">
        <v>0.28697515855982353</v>
      </c>
      <c r="AB12" s="67">
        <f>_xlfn.XLOOKUP(X12,Density_Weighted_Stock_Weig!Y:Y,Density_Weighted_Stock_Weig!Z:Z)</f>
        <v>20017675.000000004</v>
      </c>
      <c r="AC12" t="str">
        <f t="shared" si="2"/>
        <v>Above Weighted Average</v>
      </c>
      <c r="AD12" t="str">
        <f t="shared" si="3"/>
        <v>Below Weighted Average</v>
      </c>
      <c r="AE12" s="2" t="str" cm="1">
        <f t="array" ref="AE12">_xlfn.IFS(AND(AC12="Above Weighted Average",AD12="Below Weighted Average"),"3",AND(AC12="Above Weighted Average",AD12="Above Weighted Average"),"4",AND(AC12="Below Weighted Average",AD12="Above Weighted Average"),"2",AND(AC12="Below Weighted Average",AD12="Below Weighted Average"),"1")</f>
        <v>3</v>
      </c>
      <c r="AF12" t="str">
        <f t="shared" si="4"/>
        <v>Above Non Weighted Average</v>
      </c>
      <c r="AG12" t="str">
        <f t="shared" si="5"/>
        <v>Below Non Weighted Average</v>
      </c>
      <c r="AH12" s="2" t="str" cm="1">
        <f t="array" ref="AH12">_xlfn.IFS(AND(AF12="Above Non Weighted Average",AG12="Below Non Weighted Average"),"3",AND(AF12="Above Non Weighted Average",AG12="Above Non Weighted Average"),"4",AND(AF12="Below Non Weighted Average",AG12="Above Non Weighted Average"),"2",AND(AF12="Below Non Weighted Average",AG12="Below Non Weighted Average"),"1")</f>
        <v>3</v>
      </c>
      <c r="AI12" t="b">
        <f t="shared" si="6"/>
        <v>1</v>
      </c>
      <c r="AJ12" t="str">
        <f>IF(Z12&lt;Weighted_average,"Below","Above")</f>
        <v>Above</v>
      </c>
      <c r="AK12" t="str">
        <f>IF(AA12&lt;Stock_grad_ratio,"Below","Above")</f>
        <v>Below</v>
      </c>
      <c r="AL12" t="str">
        <f t="shared" si="7"/>
        <v>AboveBelow</v>
      </c>
      <c r="AM12" t="str">
        <f t="shared" si="8"/>
        <v>Q3</v>
      </c>
      <c r="BD12" s="64" t="s">
        <v>46</v>
      </c>
      <c r="BE12" s="65" t="s">
        <v>186</v>
      </c>
      <c r="BF12" s="47">
        <v>36.315960905902422</v>
      </c>
      <c r="BG12" s="47">
        <v>36.387251549841309</v>
      </c>
      <c r="BH12" s="47" t="str">
        <f t="shared" si="9"/>
        <v>Above Average</v>
      </c>
      <c r="BI12" s="47" t="str">
        <f t="shared" si="10"/>
        <v>Above Average</v>
      </c>
      <c r="BJ12" s="75" t="str" cm="1">
        <f t="array" ref="BJ12">_xlfn.IFS(AND(BH12="Above Average",BI12="Below Average"),"Q1",AND(BH12="Above Average",BI12="Above Average"),"Q2",AND(BH12="Below Average",BI12="Above Average"),"Q3",AND(BH12="Below Average",BI12="Below Average"),"Q4")</f>
        <v>Q2</v>
      </c>
      <c r="BK12" s="47"/>
      <c r="BL12">
        <v>11</v>
      </c>
      <c r="BM12" t="s">
        <v>100</v>
      </c>
      <c r="BN12" s="64" t="s">
        <v>45</v>
      </c>
      <c r="BO12" s="47">
        <v>32.824990914279496</v>
      </c>
      <c r="BQ12">
        <v>11</v>
      </c>
      <c r="BR12" t="s">
        <v>100</v>
      </c>
      <c r="BS12" s="64" t="s">
        <v>46</v>
      </c>
      <c r="BT12" s="47">
        <v>36.387251549841309</v>
      </c>
    </row>
    <row r="13" spans="1:78" x14ac:dyDescent="0.35">
      <c r="A13" s="64" t="s">
        <v>147</v>
      </c>
      <c r="B13" s="65" t="s">
        <v>148</v>
      </c>
      <c r="C13" s="42">
        <v>0.43066371754243699</v>
      </c>
      <c r="D13" s="52">
        <v>8.2168407400000004E-2</v>
      </c>
      <c r="E13" s="47">
        <v>20.330016447381468</v>
      </c>
      <c r="H13" s="65" t="s">
        <v>148</v>
      </c>
      <c r="I13" s="3">
        <v>1.3081377299909223</v>
      </c>
      <c r="J13" s="67">
        <v>1.7413486024758948</v>
      </c>
      <c r="K13" s="47">
        <v>20.330016447381468</v>
      </c>
      <c r="L13" s="67">
        <v>55.125</v>
      </c>
      <c r="M13" s="3">
        <f t="shared" si="0"/>
        <v>1.3081377299909223</v>
      </c>
      <c r="N13" s="3">
        <f t="shared" si="1"/>
        <v>1.7413486024758948</v>
      </c>
      <c r="P13" s="64" t="s">
        <v>147</v>
      </c>
      <c r="Q13" s="65" t="s">
        <v>148</v>
      </c>
      <c r="R13" s="67">
        <v>55.125</v>
      </c>
      <c r="S13">
        <v>12.82557799981813</v>
      </c>
      <c r="X13" s="64" t="s">
        <v>18</v>
      </c>
      <c r="Y13" s="65" t="s">
        <v>156</v>
      </c>
      <c r="Z13">
        <f>VLOOKUP(Y13,Sheet8!A$3:E$49,5,FALSE)</f>
        <v>31.25849879805093</v>
      </c>
      <c r="AA13" s="67">
        <v>0.12432016359239777</v>
      </c>
      <c r="AB13" s="67">
        <f>_xlfn.XLOOKUP(X13,Density_Weighted_Stock_Weig!Y:Y,Density_Weighted_Stock_Weig!Z:Z)</f>
        <v>2388992.5000000005</v>
      </c>
      <c r="AC13" t="str">
        <f t="shared" si="2"/>
        <v>Above Weighted Average</v>
      </c>
      <c r="AD13" t="str">
        <f t="shared" si="3"/>
        <v>Below Weighted Average</v>
      </c>
      <c r="AE13" s="2" t="str" cm="1">
        <f t="array" ref="AE13">_xlfn.IFS(AND(AC13="Above Weighted Average",AD13="Below Weighted Average"),"3",AND(AC13="Above Weighted Average",AD13="Above Weighted Average"),"4",AND(AC13="Below Weighted Average",AD13="Above Weighted Average"),"2",AND(AC13="Below Weighted Average",AD13="Below Weighted Average"),"1")</f>
        <v>3</v>
      </c>
      <c r="AF13" t="str">
        <f t="shared" si="4"/>
        <v>Above Non Weighted Average</v>
      </c>
      <c r="AG13" t="str">
        <f t="shared" si="5"/>
        <v>Below Non Weighted Average</v>
      </c>
      <c r="AH13" s="2" t="str" cm="1">
        <f t="array" ref="AH13">_xlfn.IFS(AND(AF13="Above Non Weighted Average",AG13="Below Non Weighted Average"),"3",AND(AF13="Above Non Weighted Average",AG13="Above Non Weighted Average"),"4",AND(AF13="Below Non Weighted Average",AG13="Above Non Weighted Average"),"2",AND(AF13="Below Non Weighted Average",AG13="Below Non Weighted Average"),"1")</f>
        <v>3</v>
      </c>
      <c r="AI13" t="b">
        <f t="shared" si="6"/>
        <v>1</v>
      </c>
      <c r="AJ13" t="str">
        <f>IF(Z13&lt;Weighted_average,"Below","Above")</f>
        <v>Above</v>
      </c>
      <c r="AK13" t="str">
        <f>IF(AA13&lt;Stock_grad_ratio,"Below","Above")</f>
        <v>Below</v>
      </c>
      <c r="AL13" t="str">
        <f t="shared" si="7"/>
        <v>AboveBelow</v>
      </c>
      <c r="AM13" t="str">
        <f t="shared" si="8"/>
        <v>Q3</v>
      </c>
      <c r="BD13" s="64" t="s">
        <v>10</v>
      </c>
      <c r="BE13" s="65" t="s">
        <v>146</v>
      </c>
      <c r="BF13" s="47">
        <v>20.614550700647715</v>
      </c>
      <c r="BG13" s="47">
        <v>28.47427435177109</v>
      </c>
      <c r="BH13" s="47" t="str">
        <f t="shared" si="9"/>
        <v>Below Average</v>
      </c>
      <c r="BI13" s="47" t="str">
        <f t="shared" si="10"/>
        <v>Above Average</v>
      </c>
      <c r="BJ13" s="75" t="str" cm="1">
        <f t="array" ref="BJ13">_xlfn.IFS(AND(BH13="Above Average",BI13="Below Average"),"Q1",AND(BH13="Above Average",BI13="Above Average"),"Q2",AND(BH13="Below Average",BI13="Above Average"),"Q3",AND(BH13="Below Average",BI13="Below Average"),"Q4")</f>
        <v>Q3</v>
      </c>
      <c r="BK13" s="47"/>
      <c r="BL13">
        <v>12</v>
      </c>
      <c r="BM13" t="s">
        <v>100</v>
      </c>
      <c r="BN13" s="64" t="s">
        <v>18</v>
      </c>
      <c r="BO13" s="47">
        <v>29.037302117617038</v>
      </c>
      <c r="BQ13">
        <v>12</v>
      </c>
      <c r="BR13" t="s">
        <v>100</v>
      </c>
      <c r="BS13" s="64" t="s">
        <v>10</v>
      </c>
      <c r="BT13" s="47">
        <v>28.47427435177109</v>
      </c>
    </row>
    <row r="14" spans="1:78" x14ac:dyDescent="0.35">
      <c r="A14" s="64" t="s">
        <v>149</v>
      </c>
      <c r="B14" s="65" t="s">
        <v>150</v>
      </c>
      <c r="C14" s="42">
        <v>0.373</v>
      </c>
      <c r="D14" s="52">
        <v>6.6596483200000001E-2</v>
      </c>
      <c r="E14" s="47">
        <v>25.91975377602575</v>
      </c>
      <c r="H14" s="65" t="s">
        <v>150</v>
      </c>
      <c r="I14" s="3">
        <v>1.4136308716498971</v>
      </c>
      <c r="J14" s="67">
        <v>1.3067231622417232</v>
      </c>
      <c r="K14" s="47">
        <v>25.91975377602575</v>
      </c>
      <c r="L14" s="67">
        <v>20.263906002583152</v>
      </c>
      <c r="M14" s="3">
        <f t="shared" si="0"/>
        <v>1.4136308716498971</v>
      </c>
      <c r="N14" s="3">
        <f t="shared" si="1"/>
        <v>1.3067231622417232</v>
      </c>
      <c r="P14" s="64" t="s">
        <v>149</v>
      </c>
      <c r="Q14" s="65" t="s">
        <v>150</v>
      </c>
      <c r="R14" s="67">
        <v>20.263906002583152</v>
      </c>
      <c r="S14">
        <v>11.710635712808925</v>
      </c>
      <c r="X14" s="64" t="s">
        <v>175</v>
      </c>
      <c r="Y14" s="65" t="s">
        <v>176</v>
      </c>
      <c r="Z14">
        <f>VLOOKUP(Y14,Sheet8!A$3:E$49,5,FALSE)</f>
        <v>26.971849712707133</v>
      </c>
      <c r="AA14" s="67">
        <v>3.3582105678435802E-3</v>
      </c>
      <c r="AB14" s="67">
        <f>_xlfn.XLOOKUP(X14,Density_Weighted_Stock_Weig!Y:Y,Density_Weighted_Stock_Weig!Z:Z)</f>
        <v>227379.5</v>
      </c>
      <c r="AC14" t="str">
        <f t="shared" si="2"/>
        <v>Above Weighted Average</v>
      </c>
      <c r="AD14" t="str">
        <f t="shared" si="3"/>
        <v>Below Weighted Average</v>
      </c>
      <c r="AE14" s="2" t="str" cm="1">
        <f t="array" ref="AE14">_xlfn.IFS(AND(AC14="Above Weighted Average",AD14="Below Weighted Average"),"3",AND(AC14="Above Weighted Average",AD14="Above Weighted Average"),"4",AND(AC14="Below Weighted Average",AD14="Above Weighted Average"),"2",AND(AC14="Below Weighted Average",AD14="Below Weighted Average"),"1")</f>
        <v>3</v>
      </c>
      <c r="AF14" t="str">
        <f t="shared" si="4"/>
        <v>Above Non Weighted Average</v>
      </c>
      <c r="AG14" t="str">
        <f t="shared" si="5"/>
        <v>Below Non Weighted Average</v>
      </c>
      <c r="AH14" s="2" t="str" cm="1">
        <f t="array" ref="AH14">_xlfn.IFS(AND(AF14="Above Non Weighted Average",AG14="Below Non Weighted Average"),"3",AND(AF14="Above Non Weighted Average",AG14="Above Non Weighted Average"),"4",AND(AF14="Below Non Weighted Average",AG14="Above Non Weighted Average"),"2",AND(AF14="Below Non Weighted Average",AG14="Below Non Weighted Average"),"1")</f>
        <v>3</v>
      </c>
      <c r="AI14" t="b">
        <f t="shared" si="6"/>
        <v>1</v>
      </c>
      <c r="AJ14" t="str">
        <f>IF(Z14&lt;Weighted_average,"Below","Above")</f>
        <v>Above</v>
      </c>
      <c r="AK14" t="str">
        <f>IF(AA14&lt;Stock_grad_ratio,"Below","Above")</f>
        <v>Below</v>
      </c>
      <c r="AL14" t="str">
        <f t="shared" si="7"/>
        <v>AboveBelow</v>
      </c>
      <c r="AM14" t="str">
        <f t="shared" si="8"/>
        <v>Q3</v>
      </c>
      <c r="BD14" s="64" t="s">
        <v>32</v>
      </c>
      <c r="BE14" s="65" t="s">
        <v>171</v>
      </c>
      <c r="BF14" s="47">
        <v>66.896135970779099</v>
      </c>
      <c r="BG14" s="47">
        <v>25.415291442768822</v>
      </c>
      <c r="BH14" s="47" t="str">
        <f t="shared" si="9"/>
        <v>Above Average</v>
      </c>
      <c r="BI14" s="47" t="str">
        <f t="shared" si="10"/>
        <v>Above Average</v>
      </c>
      <c r="BJ14" s="75" t="str" cm="1">
        <f t="array" ref="BJ14">_xlfn.IFS(AND(BH14="Above Average",BI14="Below Average"),"Q1",AND(BH14="Above Average",BI14="Above Average"),"Q2",AND(BH14="Below Average",BI14="Above Average"),"Q3",AND(BH14="Below Average",BI14="Below Average"),"Q4")</f>
        <v>Q2</v>
      </c>
      <c r="BK14" s="47"/>
      <c r="BL14" s="74"/>
      <c r="BM14" s="74"/>
      <c r="BN14" s="74"/>
      <c r="BO14" s="74"/>
      <c r="BP14" s="74"/>
      <c r="BQ14" s="74"/>
      <c r="BR14" s="74"/>
      <c r="BS14" s="74"/>
      <c r="BT14" s="74"/>
    </row>
    <row r="15" spans="1:78" ht="29" x14ac:dyDescent="0.35">
      <c r="A15" s="64" t="s">
        <v>82</v>
      </c>
      <c r="B15" s="65" t="s">
        <v>151</v>
      </c>
      <c r="C15" s="42">
        <v>0.473026044369111</v>
      </c>
      <c r="D15" s="52">
        <v>6.2699966400000001E-2</v>
      </c>
      <c r="E15" s="47">
        <v>15.888047021793218</v>
      </c>
      <c r="H15" s="65" t="s">
        <v>151</v>
      </c>
      <c r="I15" s="3">
        <v>1.2010705164782889</v>
      </c>
      <c r="J15" s="67">
        <v>0.65717737391864628</v>
      </c>
      <c r="K15" s="47">
        <v>15.888047021793218</v>
      </c>
      <c r="L15" s="67">
        <v>4.5412705268813731</v>
      </c>
      <c r="M15" s="3">
        <f t="shared" si="0"/>
        <v>1.2010705164782889</v>
      </c>
      <c r="N15" s="3">
        <f t="shared" si="1"/>
        <v>0.65717737391864628</v>
      </c>
      <c r="P15" s="64" t="s">
        <v>82</v>
      </c>
      <c r="Q15" s="65" t="s">
        <v>151</v>
      </c>
      <c r="R15" s="67">
        <v>4.5412705268813731</v>
      </c>
      <c r="S15">
        <v>14.104125276326323</v>
      </c>
      <c r="X15" s="64" t="s">
        <v>44</v>
      </c>
      <c r="Y15" s="65" t="s">
        <v>183</v>
      </c>
      <c r="Z15">
        <f>VLOOKUP(Y15,Sheet8!A$3:E$49,5,FALSE)</f>
        <v>25.677639566139653</v>
      </c>
      <c r="AA15" s="67">
        <v>0.20974529453996291</v>
      </c>
      <c r="AB15" s="67">
        <f>_xlfn.XLOOKUP(X15,Density_Weighted_Stock_Weig!Y:Y,Density_Weighted_Stock_Weig!Z:Z)</f>
        <v>47249584.999999978</v>
      </c>
      <c r="AC15" t="str">
        <f t="shared" si="2"/>
        <v>Above Weighted Average</v>
      </c>
      <c r="AD15" t="str">
        <f t="shared" si="3"/>
        <v>Below Weighted Average</v>
      </c>
      <c r="AE15" s="2" t="str" cm="1">
        <f t="array" ref="AE15">_xlfn.IFS(AND(AC15="Above Weighted Average",AD15="Below Weighted Average"),"3",AND(AC15="Above Weighted Average",AD15="Above Weighted Average"),"4",AND(AC15="Below Weighted Average",AD15="Above Weighted Average"),"2",AND(AC15="Below Weighted Average",AD15="Below Weighted Average"),"1")</f>
        <v>3</v>
      </c>
      <c r="AF15" t="str">
        <f t="shared" si="4"/>
        <v>Below Non Weighted Average</v>
      </c>
      <c r="AG15" t="str">
        <f t="shared" si="5"/>
        <v>Below Non Weighted Average</v>
      </c>
      <c r="AH15" s="2" t="str" cm="1">
        <f t="array" ref="AH15">_xlfn.IFS(AND(AF15="Above Non Weighted Average",AG15="Below Non Weighted Average"),"3",AND(AF15="Above Non Weighted Average",AG15="Above Non Weighted Average"),"4",AND(AF15="Below Non Weighted Average",AG15="Above Non Weighted Average"),"2",AND(AF15="Below Non Weighted Average",AG15="Below Non Weighted Average"),"1")</f>
        <v>1</v>
      </c>
      <c r="AI15" t="b">
        <f t="shared" si="6"/>
        <v>0</v>
      </c>
      <c r="AJ15" t="str">
        <f>IF(Z15&lt;Weighted_average,"Below","Above")</f>
        <v>Above</v>
      </c>
      <c r="AK15" t="str">
        <f>IF(AA15&lt;Stock_grad_ratio,"Below","Above")</f>
        <v>Below</v>
      </c>
      <c r="AL15" t="str">
        <f t="shared" si="7"/>
        <v>AboveBelow</v>
      </c>
      <c r="AM15" t="str">
        <f t="shared" si="8"/>
        <v>Q3</v>
      </c>
      <c r="BD15" s="64" t="s">
        <v>60</v>
      </c>
      <c r="BE15" s="65" t="s">
        <v>142</v>
      </c>
      <c r="BF15" s="47">
        <v>60.895271765381224</v>
      </c>
      <c r="BG15" s="47">
        <v>22.857935830441416</v>
      </c>
      <c r="BH15" s="47" t="str">
        <f t="shared" si="9"/>
        <v>Above Average</v>
      </c>
      <c r="BI15" s="47" t="str">
        <f t="shared" si="10"/>
        <v>Below Average</v>
      </c>
      <c r="BJ15" s="75" t="str" cm="1">
        <f t="array" ref="BJ15">_xlfn.IFS(AND(BH15="Above Average",BI15="Below Average"),"Q1",AND(BH15="Above Average",BI15="Above Average"),"Q2",AND(BH15="Below Average",BI15="Above Average"),"Q3",AND(BH15="Below Average",BI15="Below Average"),"Q4")</f>
        <v>Q1</v>
      </c>
      <c r="BK15" s="47"/>
      <c r="BL15">
        <v>1</v>
      </c>
      <c r="BM15" t="s">
        <v>101</v>
      </c>
      <c r="BN15" s="64" t="s">
        <v>157</v>
      </c>
      <c r="BO15" s="47">
        <v>7.6950371510478712</v>
      </c>
      <c r="BQ15">
        <v>1</v>
      </c>
      <c r="BR15" t="s">
        <v>101</v>
      </c>
      <c r="BS15" s="64" t="s">
        <v>37</v>
      </c>
      <c r="BT15" s="47">
        <v>7.1829353403866092</v>
      </c>
    </row>
    <row r="16" spans="1:78" x14ac:dyDescent="0.35">
      <c r="A16" s="64" t="s">
        <v>14</v>
      </c>
      <c r="B16" s="65" t="s">
        <v>152</v>
      </c>
      <c r="C16" s="42">
        <v>0.473026044369111</v>
      </c>
      <c r="D16" s="52">
        <v>5.2922940299999999E-2</v>
      </c>
      <c r="E16" s="47">
        <v>27.930586305707227</v>
      </c>
      <c r="H16" s="65" t="s">
        <v>152</v>
      </c>
      <c r="I16" s="3">
        <v>1.4460800523018218</v>
      </c>
      <c r="J16" s="67">
        <v>-2.0394658534172067E-2</v>
      </c>
      <c r="K16" s="47">
        <v>27.930586305707227</v>
      </c>
      <c r="L16" s="67">
        <v>0.95412514516632685</v>
      </c>
      <c r="M16" s="3">
        <f t="shared" si="0"/>
        <v>1.4460800523018218</v>
      </c>
      <c r="N16" s="3">
        <f t="shared" si="1"/>
        <v>-2.0394658534172067E-2</v>
      </c>
      <c r="P16" s="64" t="s">
        <v>14</v>
      </c>
      <c r="Q16" s="65" t="s">
        <v>152</v>
      </c>
      <c r="R16" s="67">
        <v>0.95412514516632685</v>
      </c>
      <c r="S16">
        <v>10.007213798082931</v>
      </c>
      <c r="X16" s="64" t="s">
        <v>23</v>
      </c>
      <c r="Y16" s="65" t="s">
        <v>162</v>
      </c>
      <c r="Z16">
        <f>VLOOKUP(Y16,Sheet8!A$3:E$49,5,FALSE)</f>
        <v>24.523813221222014</v>
      </c>
      <c r="AA16" s="67">
        <v>4.4593588456923152</v>
      </c>
      <c r="AB16" s="67">
        <f>_xlfn.XLOOKUP(X16,Density_Weighted_Stock_Weig!Y:Y,Density_Weighted_Stock_Weig!Z:Z)</f>
        <v>54027486.999999985</v>
      </c>
      <c r="AC16" t="str">
        <f t="shared" si="2"/>
        <v>Above Weighted Average</v>
      </c>
      <c r="AD16" t="str">
        <f t="shared" si="3"/>
        <v>Above Weighted Average</v>
      </c>
      <c r="AE16" s="2" t="str" cm="1">
        <f t="array" ref="AE16">_xlfn.IFS(AND(AC16="Above Weighted Average",AD16="Below Weighted Average"),"3",AND(AC16="Above Weighted Average",AD16="Above Weighted Average"),"4",AND(AC16="Below Weighted Average",AD16="Above Weighted Average"),"2",AND(AC16="Below Weighted Average",AD16="Below Weighted Average"),"1")</f>
        <v>4</v>
      </c>
      <c r="AF16" t="str">
        <f t="shared" si="4"/>
        <v>Below Non Weighted Average</v>
      </c>
      <c r="AG16" t="str">
        <f t="shared" si="5"/>
        <v>Above Non Weighted Average</v>
      </c>
      <c r="AH16" s="2" t="str" cm="1">
        <f t="array" ref="AH16">_xlfn.IFS(AND(AF16="Above Non Weighted Average",AG16="Below Non Weighted Average"),"3",AND(AF16="Above Non Weighted Average",AG16="Above Non Weighted Average"),"4",AND(AF16="Below Non Weighted Average",AG16="Above Non Weighted Average"),"2",AND(AF16="Below Non Weighted Average",AG16="Below Non Weighted Average"),"1")</f>
        <v>2</v>
      </c>
      <c r="AI16" t="b">
        <f t="shared" si="6"/>
        <v>0</v>
      </c>
      <c r="AJ16" t="str">
        <f>IF(Z16&lt;Weighted_average,"Below","Above")</f>
        <v>Above</v>
      </c>
      <c r="AK16" t="str">
        <f>IF(AA16&lt;Stock_grad_ratio,"Below","Above")</f>
        <v>Above</v>
      </c>
      <c r="AL16" t="str">
        <f t="shared" si="7"/>
        <v>AboveAbove</v>
      </c>
      <c r="AM16" t="str">
        <f t="shared" si="8"/>
        <v>Q4</v>
      </c>
      <c r="BD16" s="64" t="s">
        <v>1</v>
      </c>
      <c r="BE16" s="65" t="s">
        <v>136</v>
      </c>
      <c r="BF16" s="47">
        <v>42.170245010241459</v>
      </c>
      <c r="BG16" s="47">
        <v>22.857935830441416</v>
      </c>
      <c r="BH16" s="47" t="str">
        <f t="shared" si="9"/>
        <v>Above Average</v>
      </c>
      <c r="BI16" s="47" t="str">
        <f t="shared" si="10"/>
        <v>Below Average</v>
      </c>
      <c r="BJ16" s="75" t="str" cm="1">
        <f t="array" ref="BJ16">_xlfn.IFS(AND(BH16="Above Average",BI16="Below Average"),"Q1",AND(BH16="Above Average",BI16="Above Average"),"Q2",AND(BH16="Below Average",BI16="Above Average"),"Q3",AND(BH16="Below Average",BI16="Below Average"),"Q4")</f>
        <v>Q1</v>
      </c>
      <c r="BK16" s="47"/>
      <c r="BL16">
        <v>2</v>
      </c>
      <c r="BM16" t="s">
        <v>101</v>
      </c>
      <c r="BN16" s="64" t="s">
        <v>41</v>
      </c>
      <c r="BO16" s="47">
        <v>7.3360946163777347</v>
      </c>
      <c r="BQ16">
        <v>2</v>
      </c>
      <c r="BR16" t="s">
        <v>101</v>
      </c>
      <c r="BS16" s="64" t="s">
        <v>5</v>
      </c>
      <c r="BT16" s="47">
        <v>6.4928625093914354</v>
      </c>
    </row>
    <row r="17" spans="1:72" x14ac:dyDescent="0.35">
      <c r="A17" s="64" t="s">
        <v>15</v>
      </c>
      <c r="B17" s="65" t="s">
        <v>153</v>
      </c>
      <c r="C17" s="42">
        <v>0.67300000000000004</v>
      </c>
      <c r="D17" s="52">
        <v>2.3541069000000001E-2</v>
      </c>
      <c r="E17" s="47">
        <v>38.107951184321514</v>
      </c>
      <c r="H17" s="65" t="s">
        <v>153</v>
      </c>
      <c r="I17" s="3">
        <v>1.5810156002215963</v>
      </c>
      <c r="J17" s="67">
        <v>1.1226923285672605</v>
      </c>
      <c r="K17" s="47">
        <v>38.107951184321514</v>
      </c>
      <c r="L17" s="67">
        <v>13.264544118808269</v>
      </c>
      <c r="M17" s="3">
        <f t="shared" si="0"/>
        <v>1.5810156002215963</v>
      </c>
      <c r="N17" s="3">
        <f t="shared" si="1"/>
        <v>1.1226923285672605</v>
      </c>
      <c r="P17" s="64" t="s">
        <v>15</v>
      </c>
      <c r="Q17" s="65" t="s">
        <v>153</v>
      </c>
      <c r="R17" s="67">
        <v>13.264544118808269</v>
      </c>
      <c r="S17">
        <v>14.584070867806926</v>
      </c>
      <c r="X17" s="64" t="s">
        <v>39</v>
      </c>
      <c r="Y17" s="65" t="s">
        <v>179</v>
      </c>
      <c r="Z17">
        <f>VLOOKUP(Y17,Sheet8!A$3:E$49,5,FALSE)</f>
        <v>23.534133501916237</v>
      </c>
      <c r="AA17" s="67">
        <v>6.9066102151313175E-2</v>
      </c>
      <c r="AB17" s="67">
        <f>_xlfn.XLOOKUP(X17,Density_Weighted_Stock_Weig!Y:Y,Density_Weighted_Stock_Weig!Z:Z)</f>
        <v>8605718.0000000056</v>
      </c>
      <c r="AC17" t="str">
        <f t="shared" si="2"/>
        <v>Above Weighted Average</v>
      </c>
      <c r="AD17" t="str">
        <f t="shared" si="3"/>
        <v>Below Weighted Average</v>
      </c>
      <c r="AE17" s="2" t="str" cm="1">
        <f t="array" ref="AE17">_xlfn.IFS(AND(AC17="Above Weighted Average",AD17="Below Weighted Average"),"3",AND(AC17="Above Weighted Average",AD17="Above Weighted Average"),"4",AND(AC17="Below Weighted Average",AD17="Above Weighted Average"),"2",AND(AC17="Below Weighted Average",AD17="Below Weighted Average"),"1")</f>
        <v>3</v>
      </c>
      <c r="AF17" t="str">
        <f t="shared" si="4"/>
        <v>Below Non Weighted Average</v>
      </c>
      <c r="AG17" t="str">
        <f t="shared" si="5"/>
        <v>Below Non Weighted Average</v>
      </c>
      <c r="AH17" s="2" t="str" cm="1">
        <f t="array" ref="AH17">_xlfn.IFS(AND(AF17="Above Non Weighted Average",AG17="Below Non Weighted Average"),"3",AND(AF17="Above Non Weighted Average",AG17="Above Non Weighted Average"),"4",AND(AF17="Below Non Weighted Average",AG17="Above Non Weighted Average"),"2",AND(AF17="Below Non Weighted Average",AG17="Below Non Weighted Average"),"1")</f>
        <v>1</v>
      </c>
      <c r="AI17" t="b">
        <f t="shared" si="6"/>
        <v>0</v>
      </c>
      <c r="AJ17" t="str">
        <f>IF(Z17&lt;Weighted_average,"Below","Above")</f>
        <v>Above</v>
      </c>
      <c r="AK17" t="str">
        <f>IF(AA17&lt;Stock_grad_ratio,"Below","Above")</f>
        <v>Below</v>
      </c>
      <c r="AL17" t="str">
        <f t="shared" si="7"/>
        <v>AboveBelow</v>
      </c>
      <c r="AM17" t="str">
        <f t="shared" si="8"/>
        <v>Q3</v>
      </c>
      <c r="BD17" s="64" t="s">
        <v>175</v>
      </c>
      <c r="BE17" s="65" t="s">
        <v>176</v>
      </c>
      <c r="BF17" s="47">
        <v>25.080738156916041</v>
      </c>
      <c r="BG17" s="47">
        <v>22.857935830441416</v>
      </c>
      <c r="BH17" s="47" t="str">
        <f t="shared" si="9"/>
        <v>Above Average</v>
      </c>
      <c r="BI17" s="47" t="str">
        <f t="shared" si="10"/>
        <v>Below Average</v>
      </c>
      <c r="BJ17" s="75" t="str" cm="1">
        <f t="array" ref="BJ17">_xlfn.IFS(AND(BH17="Above Average",BI17="Below Average"),"Q1",AND(BH17="Above Average",BI17="Above Average"),"Q2",AND(BH17="Below Average",BI17="Above Average"),"Q3",AND(BH17="Below Average",BI17="Below Average"),"Q4")</f>
        <v>Q1</v>
      </c>
      <c r="BK17" s="47"/>
      <c r="BL17">
        <v>3</v>
      </c>
      <c r="BM17" t="s">
        <v>101</v>
      </c>
      <c r="BN17" s="64" t="s">
        <v>42</v>
      </c>
      <c r="BO17" s="47">
        <v>6.2037247448568724</v>
      </c>
      <c r="BQ17">
        <v>3</v>
      </c>
      <c r="BR17" t="s">
        <v>101</v>
      </c>
      <c r="BS17" s="64" t="s">
        <v>7</v>
      </c>
      <c r="BT17" s="47">
        <v>5.8473988439306357</v>
      </c>
    </row>
    <row r="18" spans="1:72" x14ac:dyDescent="0.35">
      <c r="A18" s="64" t="s">
        <v>16</v>
      </c>
      <c r="B18" s="65" t="s">
        <v>154</v>
      </c>
      <c r="C18" s="42">
        <v>0.3</v>
      </c>
      <c r="D18" s="52">
        <v>9.9682931900000007E-2</v>
      </c>
      <c r="E18" s="47">
        <v>140.19826135915432</v>
      </c>
      <c r="H18" s="65" t="s">
        <v>154</v>
      </c>
      <c r="I18" s="3">
        <v>2.1467426278474209</v>
      </c>
      <c r="J18" s="67">
        <v>1.5688614676890389</v>
      </c>
      <c r="K18" s="47">
        <v>140.19826135915432</v>
      </c>
      <c r="L18" s="67">
        <v>37.056249999999999</v>
      </c>
      <c r="M18" s="3">
        <f t="shared" si="0"/>
        <v>2.1467426278474209</v>
      </c>
      <c r="N18" s="3">
        <f t="shared" si="1"/>
        <v>1.5688614676890389</v>
      </c>
      <c r="P18" s="64" t="s">
        <v>16</v>
      </c>
      <c r="Q18" s="65" t="s">
        <v>154</v>
      </c>
      <c r="R18" s="67">
        <v>37.056249999999999</v>
      </c>
      <c r="S18">
        <v>49.456152913797929</v>
      </c>
      <c r="X18" s="64" t="s">
        <v>2</v>
      </c>
      <c r="Y18" s="65" t="s">
        <v>137</v>
      </c>
      <c r="Z18">
        <f>VLOOKUP(Y18,Sheet8!A$3:E$49,5,FALSE)</f>
        <v>22.16128506058643</v>
      </c>
      <c r="AA18" s="67">
        <v>0.77320051208429841</v>
      </c>
      <c r="AB18" s="67">
        <f>_xlfn.XLOOKUP(X18,Density_Weighted_Stock_Weig!Y:Y,Density_Weighted_Stock_Weig!Z:Z)</f>
        <v>35588987.00000003</v>
      </c>
      <c r="AC18" t="str">
        <f t="shared" si="2"/>
        <v>Above Weighted Average</v>
      </c>
      <c r="AD18" t="str">
        <f t="shared" si="3"/>
        <v>Below Weighted Average</v>
      </c>
      <c r="AE18" s="2" t="str" cm="1">
        <f t="array" ref="AE18">_xlfn.IFS(AND(AC18="Above Weighted Average",AD18="Below Weighted Average"),"3",AND(AC18="Above Weighted Average",AD18="Above Weighted Average"),"4",AND(AC18="Below Weighted Average",AD18="Above Weighted Average"),"2",AND(AC18="Below Weighted Average",AD18="Below Weighted Average"),"1")</f>
        <v>3</v>
      </c>
      <c r="AF18" t="str">
        <f t="shared" si="4"/>
        <v>Below Non Weighted Average</v>
      </c>
      <c r="AG18" t="str">
        <f t="shared" si="5"/>
        <v>Below Non Weighted Average</v>
      </c>
      <c r="AH18" s="2" t="str" cm="1">
        <f t="array" ref="AH18">_xlfn.IFS(AND(AF18="Above Non Weighted Average",AG18="Below Non Weighted Average"),"3",AND(AF18="Above Non Weighted Average",AG18="Above Non Weighted Average"),"4",AND(AF18="Below Non Weighted Average",AG18="Above Non Weighted Average"),"2",AND(AF18="Below Non Weighted Average",AG18="Below Non Weighted Average"),"1")</f>
        <v>1</v>
      </c>
      <c r="AI18" t="b">
        <f t="shared" si="6"/>
        <v>0</v>
      </c>
      <c r="AJ18" t="str">
        <f>IF(Z18&lt;Weighted_average,"Below","Above")</f>
        <v>Above</v>
      </c>
      <c r="AK18" t="str">
        <f>IF(AA18&lt;Stock_grad_ratio,"Below","Above")</f>
        <v>Below</v>
      </c>
      <c r="AL18" t="str">
        <f t="shared" si="7"/>
        <v>AboveBelow</v>
      </c>
      <c r="AM18" t="str">
        <f t="shared" si="8"/>
        <v>Q3</v>
      </c>
      <c r="BD18" s="64" t="s">
        <v>22</v>
      </c>
      <c r="BE18" s="65" t="s">
        <v>161</v>
      </c>
      <c r="BF18" s="47">
        <v>12.380872332200333</v>
      </c>
      <c r="BG18" s="47">
        <v>22.857935830441416</v>
      </c>
      <c r="BH18" s="47" t="str">
        <f t="shared" si="9"/>
        <v>Below Average</v>
      </c>
      <c r="BI18" s="47" t="str">
        <f t="shared" si="10"/>
        <v>Below Average</v>
      </c>
      <c r="BJ18" s="75" t="str" cm="1">
        <f t="array" ref="BJ18">_xlfn.IFS(AND(BH18="Above Average",BI18="Below Average"),"Q1",AND(BH18="Above Average",BI18="Above Average"),"Q2",AND(BH18="Below Average",BI18="Above Average"),"Q3",AND(BH18="Below Average",BI18="Below Average"),"Q4")</f>
        <v>Q4</v>
      </c>
      <c r="BK18" s="47"/>
      <c r="BL18">
        <v>4</v>
      </c>
      <c r="BM18" t="s">
        <v>101</v>
      </c>
      <c r="BN18" s="64" t="s">
        <v>37</v>
      </c>
      <c r="BO18" s="47">
        <v>6.108947758593815</v>
      </c>
      <c r="BQ18">
        <v>4</v>
      </c>
      <c r="BR18" t="s">
        <v>101</v>
      </c>
      <c r="BS18" s="64" t="s">
        <v>6</v>
      </c>
      <c r="BT18" s="47">
        <v>5.7962394193302087</v>
      </c>
    </row>
    <row r="19" spans="1:72" x14ac:dyDescent="0.35">
      <c r="A19" s="64" t="s">
        <v>17</v>
      </c>
      <c r="B19" s="65" t="s">
        <v>155</v>
      </c>
      <c r="C19" s="42">
        <v>0.18662367321998</v>
      </c>
      <c r="D19" s="52">
        <v>6.79223251E-2</v>
      </c>
      <c r="E19" s="47">
        <v>33.829583652601642</v>
      </c>
      <c r="H19" s="65" t="s">
        <v>155</v>
      </c>
      <c r="I19" s="3">
        <v>1.5292966528725109</v>
      </c>
      <c r="J19" s="67">
        <v>1.2166581852846132</v>
      </c>
      <c r="K19" s="47">
        <v>33.829583652601642</v>
      </c>
      <c r="L19" s="67">
        <v>16.468657033574161</v>
      </c>
      <c r="M19" s="3">
        <f t="shared" si="0"/>
        <v>1.5292966528725109</v>
      </c>
      <c r="N19" s="3">
        <f t="shared" si="1"/>
        <v>1.2166581852846132</v>
      </c>
      <c r="P19" s="64" t="s">
        <v>17</v>
      </c>
      <c r="Q19" s="65" t="s">
        <v>155</v>
      </c>
      <c r="R19" s="67">
        <v>16.468657033574161</v>
      </c>
      <c r="S19">
        <v>15.362628950222767</v>
      </c>
      <c r="X19" s="64" t="s">
        <v>34</v>
      </c>
      <c r="Y19" s="65" t="s">
        <v>173</v>
      </c>
      <c r="Z19">
        <f>VLOOKUP(Y19,Sheet8!A$3:E$49,5,FALSE)</f>
        <v>22.692099302180001</v>
      </c>
      <c r="AA19" s="67">
        <v>2.6545543803314682</v>
      </c>
      <c r="AB19" s="67">
        <f>_xlfn.XLOOKUP(X19,Density_Weighted_Stock_Weig!Y:Y,Density_Weighted_Stock_Weig!Z:Z)</f>
        <v>218541211.50000003</v>
      </c>
      <c r="AC19" t="str">
        <f t="shared" si="2"/>
        <v>Above Weighted Average</v>
      </c>
      <c r="AD19" t="str">
        <f t="shared" si="3"/>
        <v>Above Weighted Average</v>
      </c>
      <c r="AE19" s="2" t="str" cm="1">
        <f t="array" ref="AE19">_xlfn.IFS(AND(AC19="Above Weighted Average",AD19="Below Weighted Average"),"3",AND(AC19="Above Weighted Average",AD19="Above Weighted Average"),"4",AND(AC19="Below Weighted Average",AD19="Above Weighted Average"),"2",AND(AC19="Below Weighted Average",AD19="Below Weighted Average"),"1")</f>
        <v>4</v>
      </c>
      <c r="AF19" t="str">
        <f t="shared" si="4"/>
        <v>Below Non Weighted Average</v>
      </c>
      <c r="AG19" t="str">
        <f t="shared" si="5"/>
        <v>Above Non Weighted Average</v>
      </c>
      <c r="AH19" s="2" t="str" cm="1">
        <f t="array" ref="AH19">_xlfn.IFS(AND(AF19="Above Non Weighted Average",AG19="Below Non Weighted Average"),"3",AND(AF19="Above Non Weighted Average",AG19="Above Non Weighted Average"),"4",AND(AF19="Below Non Weighted Average",AG19="Above Non Weighted Average"),"2",AND(AF19="Below Non Weighted Average",AG19="Below Non Weighted Average"),"1")</f>
        <v>2</v>
      </c>
      <c r="AI19" t="b">
        <f t="shared" si="6"/>
        <v>0</v>
      </c>
      <c r="AJ19" t="str">
        <f>IF(Z19&lt;Weighted_average,"Below","Above")</f>
        <v>Above</v>
      </c>
      <c r="AK19" t="str">
        <f>IF(AA19&lt;Stock_grad_ratio,"Below","Above")</f>
        <v>Above</v>
      </c>
      <c r="AL19" t="str">
        <f t="shared" si="7"/>
        <v>AboveAbove</v>
      </c>
      <c r="AM19" t="str">
        <f t="shared" si="8"/>
        <v>Q4</v>
      </c>
      <c r="BD19" s="64" t="s">
        <v>28</v>
      </c>
      <c r="BE19" s="65" t="s">
        <v>167</v>
      </c>
      <c r="BF19" s="47">
        <v>5.5984926364175651</v>
      </c>
      <c r="BG19" s="47">
        <v>22.857935830441416</v>
      </c>
      <c r="BH19" s="47" t="str">
        <f t="shared" si="9"/>
        <v>Below Average</v>
      </c>
      <c r="BI19" s="47" t="str">
        <f t="shared" si="10"/>
        <v>Below Average</v>
      </c>
      <c r="BJ19" s="75" t="str" cm="1">
        <f t="array" ref="BJ19">_xlfn.IFS(AND(BH19="Above Average",BI19="Below Average"),"Q1",AND(BH19="Above Average",BI19="Above Average"),"Q2",AND(BH19="Below Average",BI19="Above Average"),"Q3",AND(BH19="Below Average",BI19="Below Average"),"Q4")</f>
        <v>Q4</v>
      </c>
      <c r="BK19" s="47"/>
      <c r="BL19">
        <v>5</v>
      </c>
      <c r="BM19" t="s">
        <v>101</v>
      </c>
      <c r="BN19" s="64" t="s">
        <v>43</v>
      </c>
      <c r="BO19" s="47">
        <v>5.9036930685343147</v>
      </c>
      <c r="BQ19">
        <v>5</v>
      </c>
      <c r="BR19" t="s">
        <v>101</v>
      </c>
      <c r="BS19" s="64" t="s">
        <v>20</v>
      </c>
      <c r="BT19" s="47">
        <v>5.6456748687645337</v>
      </c>
    </row>
    <row r="20" spans="1:72" x14ac:dyDescent="0.35">
      <c r="A20" s="64" t="s">
        <v>18</v>
      </c>
      <c r="B20" s="65" t="s">
        <v>156</v>
      </c>
      <c r="C20" s="42">
        <v>0.487577741763977</v>
      </c>
      <c r="D20" s="52">
        <v>9.5915584600000006E-2</v>
      </c>
      <c r="E20" s="47">
        <v>57.112151673993168</v>
      </c>
      <c r="H20" s="65" t="s">
        <v>156</v>
      </c>
      <c r="I20" s="3">
        <v>1.7567285223174451</v>
      </c>
      <c r="J20" s="67">
        <v>1.6301601552531939</v>
      </c>
      <c r="K20" s="47">
        <v>57.112151673993168</v>
      </c>
      <c r="L20" s="67">
        <v>42.673685800866124</v>
      </c>
      <c r="M20" s="3">
        <f t="shared" si="0"/>
        <v>1.7567285223174451</v>
      </c>
      <c r="N20" s="3">
        <f t="shared" si="1"/>
        <v>1.6301601552531939</v>
      </c>
      <c r="P20" s="64" t="s">
        <v>18</v>
      </c>
      <c r="Q20" s="65" t="s">
        <v>156</v>
      </c>
      <c r="R20" s="67">
        <v>42.673685800866124</v>
      </c>
      <c r="S20">
        <v>29.037302117617038</v>
      </c>
      <c r="X20" s="64" t="s">
        <v>10</v>
      </c>
      <c r="Y20" s="65" t="s">
        <v>146</v>
      </c>
      <c r="Z20">
        <f>VLOOKUP(Y20,Sheet8!A$3:E$49,5,FALSE)</f>
        <v>22.326190141323295</v>
      </c>
      <c r="AA20" s="67">
        <v>9.803004051906563E-3</v>
      </c>
      <c r="AB20" s="67">
        <f>_xlfn.XLOOKUP(X20,Density_Weighted_Stock_Weig!Y:Y,Density_Weighted_Stock_Weig!Z:Z)</f>
        <v>836773.49999999977</v>
      </c>
      <c r="AC20" t="str">
        <f t="shared" si="2"/>
        <v>Above Weighted Average</v>
      </c>
      <c r="AD20" t="str">
        <f t="shared" si="3"/>
        <v>Below Weighted Average</v>
      </c>
      <c r="AE20" s="2" t="str" cm="1">
        <f t="array" ref="AE20">_xlfn.IFS(AND(AC20="Above Weighted Average",AD20="Below Weighted Average"),"3",AND(AC20="Above Weighted Average",AD20="Above Weighted Average"),"4",AND(AC20="Below Weighted Average",AD20="Above Weighted Average"),"2",AND(AC20="Below Weighted Average",AD20="Below Weighted Average"),"1")</f>
        <v>3</v>
      </c>
      <c r="AF20" t="str">
        <f t="shared" si="4"/>
        <v>Below Non Weighted Average</v>
      </c>
      <c r="AG20" t="str">
        <f t="shared" si="5"/>
        <v>Below Non Weighted Average</v>
      </c>
      <c r="AH20" s="2" t="str" cm="1">
        <f t="array" ref="AH20">_xlfn.IFS(AND(AF20="Above Non Weighted Average",AG20="Below Non Weighted Average"),"3",AND(AF20="Above Non Weighted Average",AG20="Above Non Weighted Average"),"4",AND(AF20="Below Non Weighted Average",AG20="Above Non Weighted Average"),"2",AND(AF20="Below Non Weighted Average",AG20="Below Non Weighted Average"),"1")</f>
        <v>1</v>
      </c>
      <c r="AI20" t="b">
        <f t="shared" si="6"/>
        <v>0</v>
      </c>
      <c r="AJ20" t="str">
        <f>IF(Z20&lt;Weighted_average,"Below","Above")</f>
        <v>Above</v>
      </c>
      <c r="AK20" t="str">
        <f>IF(AA20&lt;Stock_grad_ratio,"Below","Above")</f>
        <v>Below</v>
      </c>
      <c r="AL20" t="str">
        <f t="shared" si="7"/>
        <v>AboveBelow</v>
      </c>
      <c r="AM20" t="str">
        <f t="shared" si="8"/>
        <v>Q3</v>
      </c>
      <c r="BD20" s="64" t="s">
        <v>27</v>
      </c>
      <c r="BE20" s="65" t="s">
        <v>166</v>
      </c>
      <c r="BF20" s="47">
        <v>5.5434395125336913</v>
      </c>
      <c r="BG20" s="47">
        <v>21.348430688993169</v>
      </c>
      <c r="BH20" s="47" t="str">
        <f t="shared" si="9"/>
        <v>Below Average</v>
      </c>
      <c r="BI20" s="47" t="str">
        <f t="shared" si="10"/>
        <v>Below Average</v>
      </c>
      <c r="BJ20" s="75" t="str" cm="1">
        <f t="array" ref="BJ20">_xlfn.IFS(AND(BH20="Above Average",BI20="Below Average"),"Q1",AND(BH20="Above Average",BI20="Above Average"),"Q2",AND(BH20="Below Average",BI20="Above Average"),"Q3",AND(BH20="Below Average",BI20="Below Average"),"Q4")</f>
        <v>Q4</v>
      </c>
      <c r="BK20" s="47"/>
      <c r="BL20">
        <v>6</v>
      </c>
      <c r="BM20" t="s">
        <v>101</v>
      </c>
      <c r="BN20" s="64" t="s">
        <v>28</v>
      </c>
      <c r="BO20" s="47">
        <v>5.5984926364175651</v>
      </c>
      <c r="BQ20">
        <v>6</v>
      </c>
      <c r="BR20" t="s">
        <v>101</v>
      </c>
      <c r="BS20" s="64" t="s">
        <v>44</v>
      </c>
      <c r="BT20" s="47">
        <v>5.2036992954099146</v>
      </c>
    </row>
    <row r="21" spans="1:72" x14ac:dyDescent="0.35">
      <c r="A21" s="64" t="s">
        <v>157</v>
      </c>
      <c r="B21" s="65" t="s">
        <v>158</v>
      </c>
      <c r="C21" s="42">
        <v>0.170669454827377</v>
      </c>
      <c r="D21" s="52">
        <v>5.4796643300000003E-2</v>
      </c>
      <c r="E21" s="47">
        <v>34.171087572485987</v>
      </c>
      <c r="H21" s="65" t="s">
        <v>158</v>
      </c>
      <c r="I21" s="3">
        <v>1.5336588014271741</v>
      </c>
      <c r="J21" s="67">
        <v>1.027163743248569</v>
      </c>
      <c r="K21" s="47">
        <v>34.171087572485987</v>
      </c>
      <c r="L21" s="67">
        <v>10.645443106523956</v>
      </c>
      <c r="M21" s="3">
        <f t="shared" si="0"/>
        <v>1.5336588014271741</v>
      </c>
      <c r="N21" s="3">
        <f t="shared" si="1"/>
        <v>1.027163743248569</v>
      </c>
      <c r="P21" s="64" t="s">
        <v>157</v>
      </c>
      <c r="Q21" s="65" t="s">
        <v>158</v>
      </c>
      <c r="R21" s="67">
        <v>10.645443106523956</v>
      </c>
      <c r="S21">
        <v>7.6950371510478712</v>
      </c>
      <c r="X21" s="64" t="s">
        <v>24</v>
      </c>
      <c r="Y21" s="65" t="s">
        <v>163</v>
      </c>
      <c r="Z21">
        <f>VLOOKUP(Y21,Sheet8!A$3:E$49,5,FALSE)</f>
        <v>22.993174843373964</v>
      </c>
      <c r="AA21" s="67">
        <v>3.9595190046827662E-3</v>
      </c>
      <c r="AB21" s="67">
        <f>_xlfn.XLOOKUP(X21,Density_Weighted_Stock_Weig!Y:Y,Density_Weighted_Stock_Weig!Z:Z)</f>
        <v>2305825.5000000019</v>
      </c>
      <c r="AC21" t="str">
        <f t="shared" si="2"/>
        <v>Above Weighted Average</v>
      </c>
      <c r="AD21" t="str">
        <f t="shared" si="3"/>
        <v>Below Weighted Average</v>
      </c>
      <c r="AE21" s="2" t="str" cm="1">
        <f t="array" ref="AE21">_xlfn.IFS(AND(AC21="Above Weighted Average",AD21="Below Weighted Average"),"3",AND(AC21="Above Weighted Average",AD21="Above Weighted Average"),"4",AND(AC21="Below Weighted Average",AD21="Above Weighted Average"),"2",AND(AC21="Below Weighted Average",AD21="Below Weighted Average"),"1")</f>
        <v>3</v>
      </c>
      <c r="AF21" t="str">
        <f t="shared" si="4"/>
        <v>Below Non Weighted Average</v>
      </c>
      <c r="AG21" t="str">
        <f t="shared" si="5"/>
        <v>Below Non Weighted Average</v>
      </c>
      <c r="AH21" s="2" t="str" cm="1">
        <f t="array" ref="AH21">_xlfn.IFS(AND(AF21="Above Non Weighted Average",AG21="Below Non Weighted Average"),"3",AND(AF21="Above Non Weighted Average",AG21="Above Non Weighted Average"),"4",AND(AF21="Below Non Weighted Average",AG21="Above Non Weighted Average"),"2",AND(AF21="Below Non Weighted Average",AG21="Below Non Weighted Average"),"1")</f>
        <v>1</v>
      </c>
      <c r="AI21" t="b">
        <f t="shared" si="6"/>
        <v>0</v>
      </c>
      <c r="AJ21" t="str">
        <f>IF(Z21&lt;Weighted_average,"Below","Above")</f>
        <v>Above</v>
      </c>
      <c r="AK21" t="str">
        <f>IF(AA21&lt;Stock_grad_ratio,"Below","Above")</f>
        <v>Below</v>
      </c>
      <c r="AL21" t="str">
        <f t="shared" si="7"/>
        <v>AboveBelow</v>
      </c>
      <c r="AM21" t="str">
        <f t="shared" si="8"/>
        <v>Q3</v>
      </c>
      <c r="BD21" s="64" t="s">
        <v>2</v>
      </c>
      <c r="BE21" s="65" t="s">
        <v>137</v>
      </c>
      <c r="BF21" s="47">
        <v>21.19840588956373</v>
      </c>
      <c r="BG21" s="47">
        <v>21.176735134619424</v>
      </c>
      <c r="BH21" s="47" t="str">
        <f t="shared" si="9"/>
        <v>Below Average</v>
      </c>
      <c r="BI21" s="47" t="str">
        <f t="shared" si="10"/>
        <v>Below Average</v>
      </c>
      <c r="BJ21" s="75" t="str" cm="1">
        <f t="array" ref="BJ21">_xlfn.IFS(AND(BH21="Above Average",BI21="Below Average"),"Q1",AND(BH21="Above Average",BI21="Above Average"),"Q2",AND(BH21="Below Average",BI21="Above Average"),"Q3",AND(BH21="Below Average",BI21="Below Average"),"Q4")</f>
        <v>Q4</v>
      </c>
      <c r="BK21" s="47"/>
      <c r="BL21">
        <v>7</v>
      </c>
      <c r="BM21" t="s">
        <v>101</v>
      </c>
      <c r="BN21" s="64" t="s">
        <v>27</v>
      </c>
      <c r="BO21" s="47">
        <v>5.5434395125336913</v>
      </c>
      <c r="BQ21">
        <v>7</v>
      </c>
      <c r="BR21" t="s">
        <v>101</v>
      </c>
      <c r="BS21" s="64" t="s">
        <v>24</v>
      </c>
      <c r="BT21" s="47">
        <v>4.6148174783924176</v>
      </c>
    </row>
    <row r="22" spans="1:72" ht="29" x14ac:dyDescent="0.35">
      <c r="A22" s="64" t="s">
        <v>20</v>
      </c>
      <c r="B22" s="65" t="s">
        <v>159</v>
      </c>
      <c r="C22" s="42">
        <v>0.57699999999999996</v>
      </c>
      <c r="D22" s="52">
        <v>6.8515443800000006E-2</v>
      </c>
      <c r="E22" s="47">
        <v>70.640914271306528</v>
      </c>
      <c r="H22" s="65" t="s">
        <v>159</v>
      </c>
      <c r="I22" s="3">
        <v>1.8490563114700485</v>
      </c>
      <c r="J22" s="67">
        <v>0.7517158637564777</v>
      </c>
      <c r="K22" s="47">
        <v>70.640914271306528</v>
      </c>
      <c r="L22" s="67">
        <v>5.6456748687645337</v>
      </c>
      <c r="M22" s="3">
        <f t="shared" si="0"/>
        <v>1.8490563114700485</v>
      </c>
      <c r="N22" s="3">
        <f t="shared" si="1"/>
        <v>0.7517158637564777</v>
      </c>
      <c r="P22" s="64" t="s">
        <v>20</v>
      </c>
      <c r="Q22" s="65" t="s">
        <v>159</v>
      </c>
      <c r="R22" s="67">
        <v>5.6456748687645337</v>
      </c>
      <c r="S22">
        <v>45.6484849222892</v>
      </c>
      <c r="X22" s="64" t="s">
        <v>29</v>
      </c>
      <c r="Y22" s="65" t="s">
        <v>168</v>
      </c>
      <c r="Z22">
        <f>VLOOKUP(Y22,Sheet8!A$3:E$49,5,FALSE)</f>
        <v>19.794578938796668</v>
      </c>
      <c r="AA22" s="67">
        <v>0.14670036508827769</v>
      </c>
      <c r="AB22" s="67">
        <f>_xlfn.XLOOKUP(X22,Density_Weighted_Stock_Weig!Y:Y,Density_Weighted_Stock_Weig!Z:Z)</f>
        <v>4736138.9999999991</v>
      </c>
      <c r="AC22" t="str">
        <f t="shared" si="2"/>
        <v>Below Weighted Average</v>
      </c>
      <c r="AD22" t="str">
        <f t="shared" si="3"/>
        <v>Below Weighted Average</v>
      </c>
      <c r="AE22" s="2" t="str" cm="1">
        <f t="array" ref="AE22">_xlfn.IFS(AND(AC22="Above Weighted Average",AD22="Below Weighted Average"),"3",AND(AC22="Above Weighted Average",AD22="Above Weighted Average"),"4",AND(AC22="Below Weighted Average",AD22="Above Weighted Average"),"2",AND(AC22="Below Weighted Average",AD22="Below Weighted Average"),"1")</f>
        <v>1</v>
      </c>
      <c r="AF22" t="str">
        <f t="shared" si="4"/>
        <v>Below Non Weighted Average</v>
      </c>
      <c r="AG22" t="str">
        <f t="shared" si="5"/>
        <v>Below Non Weighted Average</v>
      </c>
      <c r="AH22" s="2" t="str" cm="1">
        <f t="array" ref="AH22">_xlfn.IFS(AND(AF22="Above Non Weighted Average",AG22="Below Non Weighted Average"),"3",AND(AF22="Above Non Weighted Average",AG22="Above Non Weighted Average"),"4",AND(AF22="Below Non Weighted Average",AG22="Above Non Weighted Average"),"2",AND(AF22="Below Non Weighted Average",AG22="Below Non Weighted Average"),"1")</f>
        <v>1</v>
      </c>
      <c r="AI22" t="b">
        <f t="shared" si="6"/>
        <v>1</v>
      </c>
      <c r="AJ22" t="str">
        <f>IF(Z22&lt;Weighted_average,"Below","Above")</f>
        <v>Below</v>
      </c>
      <c r="AK22" t="str">
        <f>IF(AA22&lt;Stock_grad_ratio,"Below","Above")</f>
        <v>Below</v>
      </c>
      <c r="AL22" t="str">
        <f t="shared" si="7"/>
        <v>BelowBelow</v>
      </c>
      <c r="AM22" t="str">
        <f t="shared" si="8"/>
        <v>Q1</v>
      </c>
      <c r="BD22" s="64" t="s">
        <v>41</v>
      </c>
      <c r="BE22" s="65" t="s">
        <v>181</v>
      </c>
      <c r="BF22" s="47">
        <v>7.3360946163777347</v>
      </c>
      <c r="BG22" s="47">
        <v>20.688796680497926</v>
      </c>
      <c r="BH22" s="47" t="str">
        <f t="shared" si="9"/>
        <v>Below Average</v>
      </c>
      <c r="BI22" s="47" t="str">
        <f t="shared" si="10"/>
        <v>Below Average</v>
      </c>
      <c r="BJ22" s="75" t="str" cm="1">
        <f t="array" ref="BJ22">_xlfn.IFS(AND(BH22="Above Average",BI22="Below Average"),"Q1",AND(BH22="Above Average",BI22="Above Average"),"Q2",AND(BH22="Below Average",BI22="Above Average"),"Q3",AND(BH22="Below Average",BI22="Below Average"),"Q4")</f>
        <v>Q4</v>
      </c>
      <c r="BK22" s="47"/>
      <c r="BL22">
        <v>8</v>
      </c>
      <c r="BM22" t="s">
        <v>101</v>
      </c>
      <c r="BN22" s="64" t="s">
        <v>26</v>
      </c>
      <c r="BO22" s="47">
        <v>4.654914605753655</v>
      </c>
      <c r="BQ22">
        <v>8</v>
      </c>
      <c r="BR22" t="s">
        <v>101</v>
      </c>
      <c r="BS22" s="64" t="s">
        <v>82</v>
      </c>
      <c r="BT22" s="47">
        <v>4.5412705268813731</v>
      </c>
    </row>
    <row r="23" spans="1:72" x14ac:dyDescent="0.35">
      <c r="A23" s="64" t="s">
        <v>21</v>
      </c>
      <c r="B23" s="65" t="s">
        <v>160</v>
      </c>
      <c r="C23" s="42">
        <v>0.391998679499238</v>
      </c>
      <c r="D23" s="52">
        <v>6.1485252399999996E-2</v>
      </c>
      <c r="E23" s="47">
        <v>17.813553305551778</v>
      </c>
      <c r="H23" s="65" t="s">
        <v>160</v>
      </c>
      <c r="I23" s="3">
        <v>1.250750557704271</v>
      </c>
      <c r="J23" s="67">
        <v>0.49089436829734151</v>
      </c>
      <c r="K23" s="47">
        <v>17.813553305551778</v>
      </c>
      <c r="L23" s="67">
        <v>3.096666017972511</v>
      </c>
      <c r="M23" s="3">
        <f t="shared" si="0"/>
        <v>1.250750557704271</v>
      </c>
      <c r="N23" s="3">
        <f t="shared" si="1"/>
        <v>0.49089436829734151</v>
      </c>
      <c r="P23" s="64" t="s">
        <v>21</v>
      </c>
      <c r="Q23" s="65" t="s">
        <v>160</v>
      </c>
      <c r="R23" s="67">
        <v>3.096666017972511</v>
      </c>
      <c r="S23">
        <v>4.5119996321234597</v>
      </c>
      <c r="X23" s="64" t="s">
        <v>17</v>
      </c>
      <c r="Y23" s="65" t="s">
        <v>155</v>
      </c>
      <c r="Z23">
        <f>VLOOKUP(Y23,Sheet8!A$3:E$49,5,FALSE)</f>
        <v>18.578792370715053</v>
      </c>
      <c r="AA23" s="67">
        <v>1.2359486823712351</v>
      </c>
      <c r="AB23" s="67">
        <f>_xlfn.XLOOKUP(X23,Density_Weighted_Stock_Weig!Y:Y,Density_Weighted_Stock_Weig!Z:Z)</f>
        <v>123379924.50000004</v>
      </c>
      <c r="AC23" t="str">
        <f t="shared" si="2"/>
        <v>Below Weighted Average</v>
      </c>
      <c r="AD23" t="str">
        <f t="shared" si="3"/>
        <v>Above Weighted Average</v>
      </c>
      <c r="AE23" s="2" t="str" cm="1">
        <f t="array" ref="AE23">_xlfn.IFS(AND(AC23="Above Weighted Average",AD23="Below Weighted Average"),"3",AND(AC23="Above Weighted Average",AD23="Above Weighted Average"),"4",AND(AC23="Below Weighted Average",AD23="Above Weighted Average"),"2",AND(AC23="Below Weighted Average",AD23="Below Weighted Average"),"1")</f>
        <v>2</v>
      </c>
      <c r="AF23" t="str">
        <f t="shared" si="4"/>
        <v>Below Non Weighted Average</v>
      </c>
      <c r="AG23" t="str">
        <f t="shared" si="5"/>
        <v>Above Non Weighted Average</v>
      </c>
      <c r="AH23" s="2" t="str" cm="1">
        <f t="array" ref="AH23">_xlfn.IFS(AND(AF23="Above Non Weighted Average",AG23="Below Non Weighted Average"),"3",AND(AF23="Above Non Weighted Average",AG23="Above Non Weighted Average"),"4",AND(AF23="Below Non Weighted Average",AG23="Above Non Weighted Average"),"2",AND(AF23="Below Non Weighted Average",AG23="Below Non Weighted Average"),"1")</f>
        <v>2</v>
      </c>
      <c r="AI23" t="b">
        <f t="shared" si="6"/>
        <v>1</v>
      </c>
      <c r="AJ23" t="str">
        <f>IF(Z23&lt;Weighted_average,"Below","Above")</f>
        <v>Below</v>
      </c>
      <c r="AK23" t="str">
        <f>IF(AA23&lt;Stock_grad_ratio,"Below","Above")</f>
        <v>Above</v>
      </c>
      <c r="AL23" t="str">
        <f t="shared" si="7"/>
        <v>BelowAbove</v>
      </c>
      <c r="AM23" t="str">
        <f t="shared" si="8"/>
        <v>Q2</v>
      </c>
      <c r="BD23" s="64" t="s">
        <v>149</v>
      </c>
      <c r="BE23" s="65" t="s">
        <v>150</v>
      </c>
      <c r="BF23" s="47">
        <v>11.710635712808925</v>
      </c>
      <c r="BG23" s="47">
        <v>20.263906002583152</v>
      </c>
      <c r="BH23" s="47" t="str">
        <f t="shared" si="9"/>
        <v>Below Average</v>
      </c>
      <c r="BI23" s="47" t="str">
        <f t="shared" si="10"/>
        <v>Below Average</v>
      </c>
      <c r="BJ23" s="75" t="str" cm="1">
        <f t="array" ref="BJ23">_xlfn.IFS(AND(BH23="Above Average",BI23="Below Average"),"Q1",AND(BH23="Above Average",BI23="Above Average"),"Q2",AND(BH23="Below Average",BI23="Above Average"),"Q3",AND(BH23="Below Average",BI23="Below Average"),"Q4")</f>
        <v>Q4</v>
      </c>
      <c r="BK23" s="47"/>
      <c r="BL23">
        <v>9</v>
      </c>
      <c r="BM23" t="s">
        <v>101</v>
      </c>
      <c r="BN23" s="64" t="s">
        <v>21</v>
      </c>
      <c r="BO23" s="47">
        <v>4.5119996321234597</v>
      </c>
      <c r="BQ23">
        <v>9</v>
      </c>
      <c r="BR23" t="s">
        <v>101</v>
      </c>
      <c r="BS23" s="64" t="s">
        <v>26</v>
      </c>
      <c r="BT23" s="47">
        <v>3.4278711484593836</v>
      </c>
    </row>
    <row r="24" spans="1:72" x14ac:dyDescent="0.35">
      <c r="A24" s="64" t="s">
        <v>22</v>
      </c>
      <c r="B24" s="65" t="s">
        <v>161</v>
      </c>
      <c r="C24" s="42">
        <v>0.473026044369111</v>
      </c>
      <c r="D24" s="52">
        <v>2.7522828600000004E-2</v>
      </c>
      <c r="E24" s="47">
        <v>43.637164811660909</v>
      </c>
      <c r="H24" s="65" t="s">
        <v>161</v>
      </c>
      <c r="I24" s="3">
        <v>1.6398565259069067</v>
      </c>
      <c r="J24" s="67">
        <v>1.3590370091771649</v>
      </c>
      <c r="K24" s="47">
        <v>43.637164811660909</v>
      </c>
      <c r="L24" s="67">
        <v>22.857935830441416</v>
      </c>
      <c r="M24" s="3">
        <f t="shared" si="0"/>
        <v>1.6398565259069067</v>
      </c>
      <c r="N24" s="3">
        <f t="shared" si="1"/>
        <v>1.3590370091771649</v>
      </c>
      <c r="P24" s="64" t="s">
        <v>22</v>
      </c>
      <c r="Q24" s="65" t="s">
        <v>161</v>
      </c>
      <c r="R24" s="67">
        <v>22.857935830441416</v>
      </c>
      <c r="S24">
        <v>12.380872332200333</v>
      </c>
      <c r="X24" s="64" t="s">
        <v>15</v>
      </c>
      <c r="Y24" s="65" t="s">
        <v>153</v>
      </c>
      <c r="Z24">
        <f>VLOOKUP(Y24,Sheet8!A$3:E$49,5,FALSE)</f>
        <v>16.774083760782815</v>
      </c>
      <c r="AA24" s="67">
        <v>2.9531260115126124E-2</v>
      </c>
      <c r="AB24" s="67">
        <f>_xlfn.XLOOKUP(X24,Density_Weighted_Stock_Weig!Y:Y,Density_Weighted_Stock_Weig!Z:Z)</f>
        <v>3684031.5000000019</v>
      </c>
      <c r="AC24" t="str">
        <f t="shared" si="2"/>
        <v>Below Weighted Average</v>
      </c>
      <c r="AD24" t="str">
        <f t="shared" si="3"/>
        <v>Below Weighted Average</v>
      </c>
      <c r="AE24" s="2" t="str" cm="1">
        <f t="array" ref="AE24">_xlfn.IFS(AND(AC24="Above Weighted Average",AD24="Below Weighted Average"),"3",AND(AC24="Above Weighted Average",AD24="Above Weighted Average"),"4",AND(AC24="Below Weighted Average",AD24="Above Weighted Average"),"2",AND(AC24="Below Weighted Average",AD24="Below Weighted Average"),"1")</f>
        <v>1</v>
      </c>
      <c r="AF24" t="str">
        <f t="shared" si="4"/>
        <v>Below Non Weighted Average</v>
      </c>
      <c r="AG24" t="str">
        <f t="shared" si="5"/>
        <v>Below Non Weighted Average</v>
      </c>
      <c r="AH24" s="2" t="str" cm="1">
        <f t="array" ref="AH24">_xlfn.IFS(AND(AF24="Above Non Weighted Average",AG24="Below Non Weighted Average"),"3",AND(AF24="Above Non Weighted Average",AG24="Above Non Weighted Average"),"4",AND(AF24="Below Non Weighted Average",AG24="Above Non Weighted Average"),"2",AND(AF24="Below Non Weighted Average",AG24="Below Non Weighted Average"),"1")</f>
        <v>1</v>
      </c>
      <c r="AI24" t="b">
        <f t="shared" si="6"/>
        <v>1</v>
      </c>
      <c r="AJ24" t="str">
        <f>IF(Z24&lt;Weighted_average,"Below","Above")</f>
        <v>Below</v>
      </c>
      <c r="AK24" t="str">
        <f>IF(AA24&lt;Stock_grad_ratio,"Below","Above")</f>
        <v>Below</v>
      </c>
      <c r="AL24" t="str">
        <f t="shared" si="7"/>
        <v>BelowBelow</v>
      </c>
      <c r="AM24" t="str">
        <f t="shared" si="8"/>
        <v>Q1</v>
      </c>
      <c r="BD24" s="64" t="s">
        <v>34</v>
      </c>
      <c r="BE24" s="65" t="s">
        <v>173</v>
      </c>
      <c r="BF24" s="47">
        <v>20.758052766628868</v>
      </c>
      <c r="BG24" s="47">
        <v>17.866783114992721</v>
      </c>
      <c r="BH24" s="47" t="str">
        <f t="shared" si="9"/>
        <v>Below Average</v>
      </c>
      <c r="BI24" s="47" t="str">
        <f t="shared" si="10"/>
        <v>Below Average</v>
      </c>
      <c r="BJ24" s="75" t="str" cm="1">
        <f t="array" ref="BJ24">_xlfn.IFS(AND(BH24="Above Average",BI24="Below Average"),"Q1",AND(BH24="Above Average",BI24="Above Average"),"Q2",AND(BH24="Below Average",BI24="Above Average"),"Q3",AND(BH24="Below Average",BI24="Below Average"),"Q4")</f>
        <v>Q4</v>
      </c>
      <c r="BK24" s="47"/>
      <c r="BL24">
        <v>10</v>
      </c>
      <c r="BM24" t="s">
        <v>101</v>
      </c>
      <c r="BN24" s="64" t="s">
        <v>9</v>
      </c>
      <c r="BO24" s="47">
        <v>3.2716188953202665</v>
      </c>
      <c r="BQ24">
        <v>10</v>
      </c>
      <c r="BR24" t="s">
        <v>101</v>
      </c>
      <c r="BS24" s="64" t="s">
        <v>21</v>
      </c>
      <c r="BT24" s="47">
        <v>3.096666017972511</v>
      </c>
    </row>
    <row r="25" spans="1:72" ht="29" x14ac:dyDescent="0.35">
      <c r="A25" s="64" t="s">
        <v>23</v>
      </c>
      <c r="B25" s="65" t="s">
        <v>162</v>
      </c>
      <c r="C25" s="42">
        <v>0.437</v>
      </c>
      <c r="D25" s="52">
        <v>8.2324161500000007E-2</v>
      </c>
      <c r="E25" s="47">
        <v>52.761765904512501</v>
      </c>
      <c r="H25" s="65" t="s">
        <v>162</v>
      </c>
      <c r="I25" s="3">
        <v>1.7223193226922009</v>
      </c>
      <c r="J25" s="67">
        <v>1.8763079356017813</v>
      </c>
      <c r="K25" s="47">
        <v>52.761765904512501</v>
      </c>
      <c r="L25" s="67">
        <v>75.215601965601962</v>
      </c>
      <c r="M25" s="3">
        <f t="shared" si="0"/>
        <v>1.7223193226922009</v>
      </c>
      <c r="N25" s="3">
        <f t="shared" si="1"/>
        <v>1.8763079356017813</v>
      </c>
      <c r="P25" s="64" t="s">
        <v>23</v>
      </c>
      <c r="Q25" s="65" t="s">
        <v>162</v>
      </c>
      <c r="R25" s="67">
        <v>75.215601965601962</v>
      </c>
      <c r="S25">
        <v>22.689931885967603</v>
      </c>
      <c r="X25" s="64" t="s">
        <v>82</v>
      </c>
      <c r="Y25" s="65" t="s">
        <v>151</v>
      </c>
      <c r="Z25">
        <f>VLOOKUP(Y25,Sheet8!A$3:E$49,5,FALSE)</f>
        <v>14.28160096277502</v>
      </c>
      <c r="AA25" s="67">
        <v>0.30036489080671186</v>
      </c>
      <c r="AB25" s="67">
        <f>_xlfn.XLOOKUP(X25,Density_Weighted_Stock_Weig!Y:Y,Density_Weighted_Stock_Weig!Z:Z)</f>
        <v>99010212</v>
      </c>
      <c r="AC25" t="str">
        <f t="shared" si="2"/>
        <v>Below Weighted Average</v>
      </c>
      <c r="AD25" t="str">
        <f t="shared" si="3"/>
        <v>Below Weighted Average</v>
      </c>
      <c r="AE25" s="2" t="str" cm="1">
        <f t="array" ref="AE25">_xlfn.IFS(AND(AC25="Above Weighted Average",AD25="Below Weighted Average"),"3",AND(AC25="Above Weighted Average",AD25="Above Weighted Average"),"4",AND(AC25="Below Weighted Average",AD25="Above Weighted Average"),"2",AND(AC25="Below Weighted Average",AD25="Below Weighted Average"),"1")</f>
        <v>1</v>
      </c>
      <c r="AF25" t="str">
        <f t="shared" si="4"/>
        <v>Below Non Weighted Average</v>
      </c>
      <c r="AG25" t="str">
        <f t="shared" si="5"/>
        <v>Below Non Weighted Average</v>
      </c>
      <c r="AH25" s="2" t="str" cm="1">
        <f t="array" ref="AH25">_xlfn.IFS(AND(AF25="Above Non Weighted Average",AG25="Below Non Weighted Average"),"3",AND(AF25="Above Non Weighted Average",AG25="Above Non Weighted Average"),"4",AND(AF25="Below Non Weighted Average",AG25="Above Non Weighted Average"),"2",AND(AF25="Below Non Weighted Average",AG25="Below Non Weighted Average"),"1")</f>
        <v>1</v>
      </c>
      <c r="AI25" t="b">
        <f t="shared" si="6"/>
        <v>1</v>
      </c>
      <c r="AJ25" t="str">
        <f>IF(Z25&lt;Weighted_average,"Below","Above")</f>
        <v>Below</v>
      </c>
      <c r="AK25" t="str">
        <f>IF(AA25&lt;Stock_grad_ratio,"Below","Above")</f>
        <v>Below</v>
      </c>
      <c r="AL25" t="str">
        <f t="shared" si="7"/>
        <v>BelowBelow</v>
      </c>
      <c r="AM25" t="str">
        <f t="shared" si="8"/>
        <v>Q1</v>
      </c>
      <c r="BD25" s="64" t="s">
        <v>17</v>
      </c>
      <c r="BE25" s="65" t="s">
        <v>155</v>
      </c>
      <c r="BF25" s="47">
        <v>15.362628950222767</v>
      </c>
      <c r="BG25" s="47">
        <v>16.468657033574161</v>
      </c>
      <c r="BH25" s="47" t="str">
        <f t="shared" si="9"/>
        <v>Below Average</v>
      </c>
      <c r="BI25" s="47" t="str">
        <f t="shared" si="10"/>
        <v>Below Average</v>
      </c>
      <c r="BJ25" s="75" t="str" cm="1">
        <f t="array" ref="BJ25">_xlfn.IFS(AND(BH25="Above Average",BI25="Below Average"),"Q1",AND(BH25="Above Average",BI25="Above Average"),"Q2",AND(BH25="Below Average",BI25="Above Average"),"Q3",AND(BH25="Below Average",BI25="Below Average"),"Q4")</f>
        <v>Q4</v>
      </c>
      <c r="BK25" s="47"/>
      <c r="BL25">
        <v>11</v>
      </c>
      <c r="BM25" t="s">
        <v>101</v>
      </c>
      <c r="BN25" s="64" t="s">
        <v>8</v>
      </c>
      <c r="BO25" s="47">
        <v>2.3872297370504008</v>
      </c>
      <c r="BQ25">
        <v>11</v>
      </c>
      <c r="BR25" t="s">
        <v>101</v>
      </c>
      <c r="BS25" s="64" t="s">
        <v>9</v>
      </c>
      <c r="BT25" s="47">
        <v>1.5058928414930488</v>
      </c>
    </row>
    <row r="26" spans="1:72" ht="15" thickBot="1" x14ac:dyDescent="0.4">
      <c r="A26" s="64" t="s">
        <v>24</v>
      </c>
      <c r="B26" s="65" t="s">
        <v>163</v>
      </c>
      <c r="C26" s="42">
        <v>0.2407</v>
      </c>
      <c r="D26" s="52">
        <v>0.1107517719</v>
      </c>
      <c r="E26" s="47">
        <v>125.68172362603974</v>
      </c>
      <c r="H26" s="65" t="s">
        <v>163</v>
      </c>
      <c r="I26" s="3">
        <v>2.099272128080174</v>
      </c>
      <c r="J26" s="67">
        <v>0.6641545288300662</v>
      </c>
      <c r="K26" s="47">
        <v>125.68172362603974</v>
      </c>
      <c r="L26" s="67">
        <v>4.6148174783924176</v>
      </c>
      <c r="M26" s="3">
        <f t="shared" si="0"/>
        <v>2.099272128080174</v>
      </c>
      <c r="N26" s="3">
        <f t="shared" si="1"/>
        <v>0.6641545288300662</v>
      </c>
      <c r="P26" s="64" t="s">
        <v>24</v>
      </c>
      <c r="Q26" s="65" t="s">
        <v>163</v>
      </c>
      <c r="R26" s="67">
        <v>4.6148174783924176</v>
      </c>
      <c r="S26">
        <v>19.737356151637165</v>
      </c>
      <c r="X26" s="64" t="s">
        <v>147</v>
      </c>
      <c r="Y26" s="65" t="s">
        <v>148</v>
      </c>
      <c r="Z26">
        <f>VLOOKUP(Y26,Sheet8!A$3:E$49,5,FALSE)</f>
        <v>13.050801436856251</v>
      </c>
      <c r="AA26" s="67">
        <v>0.17655523561878361</v>
      </c>
      <c r="AB26" s="67">
        <f>_xlfn.XLOOKUP(X26,Density_Weighted_Stock_Weig!Y:Y,Density_Weighted_Stock_Weig!Z:Z)</f>
        <v>5970424.0000000009</v>
      </c>
      <c r="AC26" t="str">
        <f t="shared" si="2"/>
        <v>Below Weighted Average</v>
      </c>
      <c r="AD26" t="str">
        <f t="shared" si="3"/>
        <v>Below Weighted Average</v>
      </c>
      <c r="AE26" s="2" t="str" cm="1">
        <f t="array" ref="AE26">_xlfn.IFS(AND(AC26="Above Weighted Average",AD26="Below Weighted Average"),"3",AND(AC26="Above Weighted Average",AD26="Above Weighted Average"),"4",AND(AC26="Below Weighted Average",AD26="Above Weighted Average"),"2",AND(AC26="Below Weighted Average",AD26="Below Weighted Average"),"1")</f>
        <v>1</v>
      </c>
      <c r="AF26" t="str">
        <f t="shared" si="4"/>
        <v>Below Non Weighted Average</v>
      </c>
      <c r="AG26" t="str">
        <f t="shared" si="5"/>
        <v>Below Non Weighted Average</v>
      </c>
      <c r="AH26" s="2" t="str" cm="1">
        <f t="array" ref="AH26">_xlfn.IFS(AND(AF26="Above Non Weighted Average",AG26="Below Non Weighted Average"),"3",AND(AF26="Above Non Weighted Average",AG26="Above Non Weighted Average"),"4",AND(AF26="Below Non Weighted Average",AG26="Above Non Weighted Average"),"2",AND(AF26="Below Non Weighted Average",AG26="Below Non Weighted Average"),"1")</f>
        <v>1</v>
      </c>
      <c r="AI26" t="b">
        <f t="shared" si="6"/>
        <v>1</v>
      </c>
      <c r="AJ26" t="str">
        <f>IF(Z26&lt;Weighted_average,"Below","Above")</f>
        <v>Below</v>
      </c>
      <c r="AK26" t="str">
        <f>IF(AA26&lt;Stock_grad_ratio,"Below","Above")</f>
        <v>Below</v>
      </c>
      <c r="AL26" t="str">
        <f t="shared" si="7"/>
        <v>BelowBelow</v>
      </c>
      <c r="AM26" t="str">
        <f t="shared" si="8"/>
        <v>Q1</v>
      </c>
      <c r="BD26" s="64" t="s">
        <v>4</v>
      </c>
      <c r="BE26" s="65" t="s">
        <v>139</v>
      </c>
      <c r="BF26" s="47">
        <v>34.292718386067548</v>
      </c>
      <c r="BG26" s="47">
        <v>16.399999999999999</v>
      </c>
      <c r="BH26" s="47" t="str">
        <f t="shared" si="9"/>
        <v>Above Average</v>
      </c>
      <c r="BI26" s="47" t="str">
        <f t="shared" si="10"/>
        <v>Below Average</v>
      </c>
      <c r="BJ26" s="75" t="str" cm="1">
        <f t="array" ref="BJ26">_xlfn.IFS(AND(BH26="Above Average",BI26="Below Average"),"Q1",AND(BH26="Above Average",BI26="Above Average"),"Q2",AND(BH26="Below Average",BI26="Above Average"),"Q3",AND(BH26="Below Average",BI26="Below Average"),"Q4")</f>
        <v>Q1</v>
      </c>
      <c r="BK26" s="47"/>
      <c r="BL26">
        <v>12</v>
      </c>
      <c r="BM26" t="s">
        <v>101</v>
      </c>
      <c r="BN26" s="66" t="s">
        <v>33</v>
      </c>
      <c r="BO26" s="47">
        <v>2.3259582036922208</v>
      </c>
      <c r="BQ26">
        <v>12</v>
      </c>
      <c r="BR26" t="s">
        <v>101</v>
      </c>
      <c r="BS26" s="66" t="s">
        <v>14</v>
      </c>
      <c r="BT26" s="47">
        <v>0.95412514516632685</v>
      </c>
    </row>
    <row r="27" spans="1:72" ht="15" thickTop="1" x14ac:dyDescent="0.35">
      <c r="A27" s="64" t="s">
        <v>25</v>
      </c>
      <c r="B27" s="65" t="s">
        <v>164</v>
      </c>
      <c r="C27" s="42">
        <v>0.71079999999999999</v>
      </c>
      <c r="D27" s="52">
        <v>4.5191278500000001E-2</v>
      </c>
      <c r="E27" s="47">
        <v>57.003752262980719</v>
      </c>
      <c r="H27" s="65" t="s">
        <v>164</v>
      </c>
      <c r="I27" s="3">
        <v>1.7559034439790238</v>
      </c>
      <c r="J27" s="67">
        <v>1.7668164389653847</v>
      </c>
      <c r="K27" s="47">
        <v>57.003752262980719</v>
      </c>
      <c r="L27" s="67">
        <v>58.454296612863345</v>
      </c>
      <c r="M27" s="3">
        <f t="shared" si="0"/>
        <v>1.7559034439790238</v>
      </c>
      <c r="N27" s="3">
        <f t="shared" si="1"/>
        <v>1.7668164389653847</v>
      </c>
      <c r="P27" s="64" t="s">
        <v>25</v>
      </c>
      <c r="Q27" s="65" t="s">
        <v>164</v>
      </c>
      <c r="R27" s="67">
        <v>58.454296612863345</v>
      </c>
      <c r="S27">
        <v>12.006604382306818</v>
      </c>
      <c r="X27" s="64" t="s">
        <v>35</v>
      </c>
      <c r="Y27" s="65" t="s">
        <v>174</v>
      </c>
      <c r="Z27">
        <f>VLOOKUP(Y27,Sheet8!A$3:E$49,5,FALSE)</f>
        <v>13.401063461919398</v>
      </c>
      <c r="AA27" s="67">
        <v>0.3036006813057715</v>
      </c>
      <c r="AB27" s="67">
        <f>_xlfn.XLOOKUP(X27,Density_Weighted_Stock_Weig!Y:Y,Density_Weighted_Stock_Weig!Z:Z)</f>
        <v>13776697.499999994</v>
      </c>
      <c r="AC27" t="str">
        <f t="shared" si="2"/>
        <v>Below Weighted Average</v>
      </c>
      <c r="AD27" t="str">
        <f t="shared" si="3"/>
        <v>Below Weighted Average</v>
      </c>
      <c r="AE27" s="2" t="str" cm="1">
        <f t="array" ref="AE27">_xlfn.IFS(AND(AC27="Above Weighted Average",AD27="Below Weighted Average"),"3",AND(AC27="Above Weighted Average",AD27="Above Weighted Average"),"4",AND(AC27="Below Weighted Average",AD27="Above Weighted Average"),"2",AND(AC27="Below Weighted Average",AD27="Below Weighted Average"),"1")</f>
        <v>1</v>
      </c>
      <c r="AF27" t="str">
        <f t="shared" si="4"/>
        <v>Below Non Weighted Average</v>
      </c>
      <c r="AG27" t="str">
        <f t="shared" si="5"/>
        <v>Below Non Weighted Average</v>
      </c>
      <c r="AH27" s="2" t="str" cm="1">
        <f t="array" ref="AH27">_xlfn.IFS(AND(AF27="Above Non Weighted Average",AG27="Below Non Weighted Average"),"3",AND(AF27="Above Non Weighted Average",AG27="Above Non Weighted Average"),"4",AND(AF27="Below Non Weighted Average",AG27="Above Non Weighted Average"),"2",AND(AF27="Below Non Weighted Average",AG27="Below Non Weighted Average"),"1")</f>
        <v>1</v>
      </c>
      <c r="AI27" t="b">
        <f t="shared" si="6"/>
        <v>1</v>
      </c>
      <c r="AJ27" t="str">
        <f>IF(Z27&lt;Weighted_average,"Below","Above")</f>
        <v>Below</v>
      </c>
      <c r="AK27" t="str">
        <f>IF(AA27&lt;Stock_grad_ratio,"Below","Above")</f>
        <v>Below</v>
      </c>
      <c r="AL27" t="str">
        <f t="shared" si="7"/>
        <v>BelowBelow</v>
      </c>
      <c r="AM27" t="str">
        <f t="shared" si="8"/>
        <v>Q1</v>
      </c>
      <c r="BD27" s="64" t="s">
        <v>31</v>
      </c>
      <c r="BE27" s="65" t="s">
        <v>170</v>
      </c>
      <c r="BF27" s="47">
        <v>11.001373890249562</v>
      </c>
      <c r="BG27" s="47">
        <v>16.359542530378842</v>
      </c>
      <c r="BH27" s="47" t="str">
        <f t="shared" si="9"/>
        <v>Below Average</v>
      </c>
      <c r="BI27" s="47" t="str">
        <f t="shared" si="10"/>
        <v>Below Average</v>
      </c>
      <c r="BJ27" s="75" t="str" cm="1">
        <f t="array" ref="BJ27">_xlfn.IFS(AND(BH27="Above Average",BI27="Below Average"),"Q1",AND(BH27="Above Average",BI27="Above Average"),"Q2",AND(BH27="Below Average",BI27="Above Average"),"Q3",AND(BH27="Below Average",BI27="Below Average"),"Q4")</f>
        <v>Q4</v>
      </c>
      <c r="BK27" s="47"/>
    </row>
    <row r="28" spans="1:72" x14ac:dyDescent="0.35">
      <c r="A28" s="64" t="s">
        <v>26</v>
      </c>
      <c r="B28" s="65" t="s">
        <v>165</v>
      </c>
      <c r="C28" s="42">
        <v>0.45</v>
      </c>
      <c r="D28" s="52">
        <v>8.78966999E-2</v>
      </c>
      <c r="E28" s="47">
        <v>21.968767905514429</v>
      </c>
      <c r="H28" s="65" t="s">
        <v>165</v>
      </c>
      <c r="I28" s="3">
        <v>1.3418057006692128</v>
      </c>
      <c r="J28" s="67">
        <v>0.53502448869900099</v>
      </c>
      <c r="K28" s="47">
        <v>21.968767905514429</v>
      </c>
      <c r="L28" s="67">
        <v>3.4278711484593836</v>
      </c>
      <c r="M28" s="3">
        <f t="shared" si="0"/>
        <v>1.3418057006692128</v>
      </c>
      <c r="N28" s="3">
        <f t="shared" si="1"/>
        <v>0.53502448869900099</v>
      </c>
      <c r="P28" s="64" t="s">
        <v>26</v>
      </c>
      <c r="Q28" s="65" t="s">
        <v>165</v>
      </c>
      <c r="R28" s="67">
        <v>3.4278711484593836</v>
      </c>
      <c r="S28">
        <v>4.654914605753655</v>
      </c>
      <c r="X28" s="64" t="s">
        <v>22</v>
      </c>
      <c r="Y28" s="65" t="s">
        <v>161</v>
      </c>
      <c r="Z28">
        <f>VLOOKUP(Y28,Sheet8!A$3:E$49,5,FALSE)</f>
        <v>12.878829589909351</v>
      </c>
      <c r="AA28" s="67">
        <v>6.7958586611199202E-3</v>
      </c>
      <c r="AB28" s="67">
        <f>_xlfn.XLOOKUP(X28,Density_Weighted_Stock_Weig!Y:Y,Density_Weighted_Stock_Weig!Z:Z)</f>
        <v>2105565.4999999991</v>
      </c>
      <c r="AC28" t="str">
        <f t="shared" si="2"/>
        <v>Below Weighted Average</v>
      </c>
      <c r="AD28" t="str">
        <f t="shared" si="3"/>
        <v>Below Weighted Average</v>
      </c>
      <c r="AE28" s="2" t="str" cm="1">
        <f t="array" ref="AE28">_xlfn.IFS(AND(AC28="Above Weighted Average",AD28="Below Weighted Average"),"3",AND(AC28="Above Weighted Average",AD28="Above Weighted Average"),"4",AND(AC28="Below Weighted Average",AD28="Above Weighted Average"),"2",AND(AC28="Below Weighted Average",AD28="Below Weighted Average"),"1")</f>
        <v>1</v>
      </c>
      <c r="AF28" t="str">
        <f t="shared" si="4"/>
        <v>Below Non Weighted Average</v>
      </c>
      <c r="AG28" t="str">
        <f t="shared" si="5"/>
        <v>Below Non Weighted Average</v>
      </c>
      <c r="AH28" s="2" t="str" cm="1">
        <f t="array" ref="AH28">_xlfn.IFS(AND(AF28="Above Non Weighted Average",AG28="Below Non Weighted Average"),"3",AND(AF28="Above Non Weighted Average",AG28="Above Non Weighted Average"),"4",AND(AF28="Below Non Weighted Average",AG28="Above Non Weighted Average"),"2",AND(AF28="Below Non Weighted Average",AG28="Below Non Weighted Average"),"1")</f>
        <v>1</v>
      </c>
      <c r="AI28" t="b">
        <f t="shared" si="6"/>
        <v>1</v>
      </c>
      <c r="AJ28" t="str">
        <f>IF(Z28&lt;Weighted_average,"Below","Above")</f>
        <v>Below</v>
      </c>
      <c r="AK28" t="str">
        <f>IF(AA28&lt;Stock_grad_ratio,"Below","Above")</f>
        <v>Below</v>
      </c>
      <c r="AL28" t="str">
        <f t="shared" si="7"/>
        <v>BelowBelow</v>
      </c>
      <c r="AM28" t="str">
        <f t="shared" si="8"/>
        <v>Q1</v>
      </c>
      <c r="BD28" s="64" t="s">
        <v>15</v>
      </c>
      <c r="BE28" s="65" t="s">
        <v>153</v>
      </c>
      <c r="BF28" s="47">
        <v>14.584070867806926</v>
      </c>
      <c r="BG28" s="47">
        <v>13.264544118808269</v>
      </c>
      <c r="BH28" s="47" t="str">
        <f t="shared" si="9"/>
        <v>Below Average</v>
      </c>
      <c r="BI28" s="47" t="str">
        <f t="shared" si="10"/>
        <v>Below Average</v>
      </c>
      <c r="BJ28" s="75" t="str" cm="1">
        <f t="array" ref="BJ28">_xlfn.IFS(AND(BH28="Above Average",BI28="Below Average"),"Q1",AND(BH28="Above Average",BI28="Above Average"),"Q2",AND(BH28="Below Average",BI28="Above Average"),"Q3",AND(BH28="Below Average",BI28="Below Average"),"Q4")</f>
        <v>Q4</v>
      </c>
      <c r="BK28" s="47"/>
    </row>
    <row r="29" spans="1:72" x14ac:dyDescent="0.35">
      <c r="A29" s="64" t="s">
        <v>27</v>
      </c>
      <c r="B29" s="65" t="s">
        <v>166</v>
      </c>
      <c r="C29" s="42">
        <v>0.116668416553577</v>
      </c>
      <c r="D29" s="52">
        <v>8.6677389100000002E-2</v>
      </c>
      <c r="E29" s="47">
        <v>18.931285154211427</v>
      </c>
      <c r="H29" s="65" t="s">
        <v>166</v>
      </c>
      <c r="I29" s="3">
        <v>1.2771800971353457</v>
      </c>
      <c r="J29" s="67">
        <v>1.3293659557938311</v>
      </c>
      <c r="K29" s="47">
        <v>18.931285154211427</v>
      </c>
      <c r="L29" s="67">
        <v>21.348430688993169</v>
      </c>
      <c r="M29" s="3">
        <f t="shared" si="0"/>
        <v>1.2771800971353457</v>
      </c>
      <c r="N29" s="3">
        <f t="shared" si="1"/>
        <v>1.3293659557938311</v>
      </c>
      <c r="P29" s="64" t="s">
        <v>27</v>
      </c>
      <c r="Q29" s="65" t="s">
        <v>166</v>
      </c>
      <c r="R29" s="67">
        <v>21.348430688993169</v>
      </c>
      <c r="S29">
        <v>5.5434395125336913</v>
      </c>
      <c r="X29" s="64" t="s">
        <v>25</v>
      </c>
      <c r="Y29" s="65" t="s">
        <v>164</v>
      </c>
      <c r="Z29">
        <f>VLOOKUP(Y29,Sheet8!A$3:E$49,5,FALSE)</f>
        <v>13.444654516010845</v>
      </c>
      <c r="AA29" s="67">
        <v>0.15220287466488241</v>
      </c>
      <c r="AB29" s="67">
        <f>_xlfn.XLOOKUP(X29,Density_Weighted_Stock_Weig!Y:Y,Density_Weighted_Stock_Weig!Z:Z)</f>
        <v>5302681.0000000028</v>
      </c>
      <c r="AC29" t="str">
        <f t="shared" si="2"/>
        <v>Below Weighted Average</v>
      </c>
      <c r="AD29" t="str">
        <f t="shared" si="3"/>
        <v>Below Weighted Average</v>
      </c>
      <c r="AE29" s="2" t="str" cm="1">
        <f t="array" ref="AE29">_xlfn.IFS(AND(AC29="Above Weighted Average",AD29="Below Weighted Average"),"3",AND(AC29="Above Weighted Average",AD29="Above Weighted Average"),"4",AND(AC29="Below Weighted Average",AD29="Above Weighted Average"),"2",AND(AC29="Below Weighted Average",AD29="Below Weighted Average"),"1")</f>
        <v>1</v>
      </c>
      <c r="AF29" t="str">
        <f t="shared" si="4"/>
        <v>Below Non Weighted Average</v>
      </c>
      <c r="AG29" t="str">
        <f t="shared" si="5"/>
        <v>Below Non Weighted Average</v>
      </c>
      <c r="AH29" s="2" t="str" cm="1">
        <f t="array" ref="AH29">_xlfn.IFS(AND(AF29="Above Non Weighted Average",AG29="Below Non Weighted Average"),"3",AND(AF29="Above Non Weighted Average",AG29="Above Non Weighted Average"),"4",AND(AF29="Below Non Weighted Average",AG29="Above Non Weighted Average"),"2",AND(AF29="Below Non Weighted Average",AG29="Below Non Weighted Average"),"1")</f>
        <v>1</v>
      </c>
      <c r="AI29" t="b">
        <f t="shared" si="6"/>
        <v>1</v>
      </c>
      <c r="AJ29" t="str">
        <f>IF(Z29&lt;Weighted_average,"Below","Above")</f>
        <v>Below</v>
      </c>
      <c r="AK29" t="str">
        <f>IF(AA29&lt;Stock_grad_ratio,"Below","Above")</f>
        <v>Below</v>
      </c>
      <c r="AL29" t="str">
        <f t="shared" si="7"/>
        <v>BelowBelow</v>
      </c>
      <c r="AM29" t="str">
        <f t="shared" si="8"/>
        <v>Q1</v>
      </c>
      <c r="BD29" s="64" t="s">
        <v>42</v>
      </c>
      <c r="BE29" s="65" t="s">
        <v>184</v>
      </c>
      <c r="BF29" s="47">
        <v>6.2037247448568724</v>
      </c>
      <c r="BG29" s="47">
        <v>12.502461538461539</v>
      </c>
      <c r="BH29" s="47" t="str">
        <f t="shared" si="9"/>
        <v>Below Average</v>
      </c>
      <c r="BI29" s="47" t="str">
        <f t="shared" si="10"/>
        <v>Below Average</v>
      </c>
      <c r="BJ29" s="75" t="str" cm="1">
        <f t="array" ref="BJ29">_xlfn.IFS(AND(BH29="Above Average",BI29="Below Average"),"Q1",AND(BH29="Above Average",BI29="Above Average"),"Q2",AND(BH29="Below Average",BI29="Above Average"),"Q3",AND(BH29="Below Average",BI29="Below Average"),"Q4")</f>
        <v>Q4</v>
      </c>
      <c r="BK29" s="47"/>
    </row>
    <row r="30" spans="1:72" x14ac:dyDescent="0.35">
      <c r="A30" s="64" t="s">
        <v>28</v>
      </c>
      <c r="B30" s="65" t="s">
        <v>167</v>
      </c>
      <c r="C30" s="42">
        <v>0.38900000000000001</v>
      </c>
      <c r="D30" s="52">
        <v>5.6687855699999998E-2</v>
      </c>
      <c r="E30" s="47">
        <v>16.946843842481947</v>
      </c>
      <c r="H30" s="65" t="s">
        <v>167</v>
      </c>
      <c r="I30" s="3">
        <v>1.2290888276467695</v>
      </c>
      <c r="J30" s="67">
        <v>1.3590370091771649</v>
      </c>
      <c r="K30" s="47">
        <v>16.946843842481947</v>
      </c>
      <c r="L30" s="67">
        <v>22.857935830441416</v>
      </c>
      <c r="M30" s="3">
        <f t="shared" si="0"/>
        <v>1.2290888276467695</v>
      </c>
      <c r="N30" s="3">
        <f t="shared" si="1"/>
        <v>1.3590370091771649</v>
      </c>
      <c r="P30" s="64" t="s">
        <v>28</v>
      </c>
      <c r="Q30" s="65" t="s">
        <v>167</v>
      </c>
      <c r="R30" s="67">
        <v>22.857935830441416</v>
      </c>
      <c r="S30">
        <v>5.5984926364175651</v>
      </c>
      <c r="X30" s="64" t="s">
        <v>5</v>
      </c>
      <c r="Y30" s="65" t="s">
        <v>140</v>
      </c>
      <c r="Z30">
        <f>VLOOKUP(Y30,Sheet8!A$3:E$49,5,FALSE)</f>
        <v>12.168856040551496</v>
      </c>
      <c r="AA30" s="67">
        <v>5.4335368143367792E-2</v>
      </c>
      <c r="AB30" s="67">
        <f>_xlfn.XLOOKUP(X30,Density_Weighted_Stock_Weig!Y:Y,Density_Weighted_Stock_Weig!Z:Z)</f>
        <v>22673762.000000007</v>
      </c>
      <c r="AC30" t="str">
        <f t="shared" si="2"/>
        <v>Below Weighted Average</v>
      </c>
      <c r="AD30" t="str">
        <f t="shared" si="3"/>
        <v>Below Weighted Average</v>
      </c>
      <c r="AE30" s="2" t="str" cm="1">
        <f t="array" ref="AE30">_xlfn.IFS(AND(AC30="Above Weighted Average",AD30="Below Weighted Average"),"3",AND(AC30="Above Weighted Average",AD30="Above Weighted Average"),"4",AND(AC30="Below Weighted Average",AD30="Above Weighted Average"),"2",AND(AC30="Below Weighted Average",AD30="Below Weighted Average"),"1")</f>
        <v>1</v>
      </c>
      <c r="AF30" t="str">
        <f t="shared" si="4"/>
        <v>Below Non Weighted Average</v>
      </c>
      <c r="AG30" t="str">
        <f t="shared" si="5"/>
        <v>Below Non Weighted Average</v>
      </c>
      <c r="AH30" s="2" t="str" cm="1">
        <f t="array" ref="AH30">_xlfn.IFS(AND(AF30="Above Non Weighted Average",AG30="Below Non Weighted Average"),"3",AND(AF30="Above Non Weighted Average",AG30="Above Non Weighted Average"),"4",AND(AF30="Below Non Weighted Average",AG30="Above Non Weighted Average"),"2",AND(AF30="Below Non Weighted Average",AG30="Below Non Weighted Average"),"1")</f>
        <v>1</v>
      </c>
      <c r="AI30" t="b">
        <f t="shared" si="6"/>
        <v>1</v>
      </c>
      <c r="AJ30" t="str">
        <f>IF(Z30&lt;Weighted_average,"Below","Above")</f>
        <v>Below</v>
      </c>
      <c r="AK30" t="str">
        <f>IF(AA30&lt;Stock_grad_ratio,"Below","Above")</f>
        <v>Below</v>
      </c>
      <c r="AL30" t="str">
        <f t="shared" si="7"/>
        <v>BelowBelow</v>
      </c>
      <c r="AM30" t="str">
        <f t="shared" si="8"/>
        <v>Q1</v>
      </c>
      <c r="BD30" s="64" t="s">
        <v>157</v>
      </c>
      <c r="BE30" s="65" t="s">
        <v>158</v>
      </c>
      <c r="BF30" s="47">
        <v>7.6950371510478712</v>
      </c>
      <c r="BG30" s="47">
        <v>10.645443106523956</v>
      </c>
      <c r="BH30" s="47" t="str">
        <f t="shared" si="9"/>
        <v>Below Average</v>
      </c>
      <c r="BI30" s="47" t="str">
        <f t="shared" si="10"/>
        <v>Below Average</v>
      </c>
      <c r="BJ30" s="75" t="str" cm="1">
        <f t="array" ref="BJ30">_xlfn.IFS(AND(BH30="Above Average",BI30="Below Average"),"Q1",AND(BH30="Above Average",BI30="Above Average"),"Q2",AND(BH30="Below Average",BI30="Above Average"),"Q3",AND(BH30="Below Average",BI30="Below Average"),"Q4")</f>
        <v>Q4</v>
      </c>
      <c r="BK30" s="47"/>
    </row>
    <row r="31" spans="1:72" x14ac:dyDescent="0.35">
      <c r="A31" s="64" t="s">
        <v>29</v>
      </c>
      <c r="B31" s="65" t="s">
        <v>168</v>
      </c>
      <c r="C31" s="42">
        <v>0.35207721704356598</v>
      </c>
      <c r="D31" s="52">
        <v>6.9763922699999995E-2</v>
      </c>
      <c r="E31" s="47">
        <v>43.978835355257424</v>
      </c>
      <c r="H31" s="65" t="s">
        <v>168</v>
      </c>
      <c r="I31" s="3">
        <v>1.6432437242179894</v>
      </c>
      <c r="J31" s="67">
        <v>1.837679746129431</v>
      </c>
      <c r="K31" s="47">
        <v>43.978835355257424</v>
      </c>
      <c r="L31" s="67">
        <v>68.81446632132112</v>
      </c>
      <c r="M31" s="3">
        <f t="shared" si="0"/>
        <v>1.6432437242179894</v>
      </c>
      <c r="N31" s="3">
        <f t="shared" si="1"/>
        <v>1.837679746129431</v>
      </c>
      <c r="P31" s="64" t="s">
        <v>29</v>
      </c>
      <c r="Q31" s="65" t="s">
        <v>168</v>
      </c>
      <c r="R31" s="67">
        <v>68.81446632132112</v>
      </c>
      <c r="S31">
        <v>19.247819150386611</v>
      </c>
      <c r="X31" s="64" t="s">
        <v>149</v>
      </c>
      <c r="Y31" s="65" t="s">
        <v>150</v>
      </c>
      <c r="Z31">
        <f>VLOOKUP(Y31,Sheet8!A$3:E$49,5,FALSE)</f>
        <v>12.531853132190035</v>
      </c>
      <c r="AA31" s="67">
        <v>0.25070532634769843</v>
      </c>
      <c r="AB31" s="67">
        <f>_xlfn.XLOOKUP(X31,Density_Weighted_Stock_Weig!Y:Y,Density_Weighted_Stock_Weig!Z:Z)</f>
        <v>28160542.500000004</v>
      </c>
      <c r="AC31" t="str">
        <f t="shared" si="2"/>
        <v>Below Weighted Average</v>
      </c>
      <c r="AD31" t="str">
        <f t="shared" si="3"/>
        <v>Below Weighted Average</v>
      </c>
      <c r="AE31" s="2" t="str" cm="1">
        <f t="array" ref="AE31">_xlfn.IFS(AND(AC31="Above Weighted Average",AD31="Below Weighted Average"),"3",AND(AC31="Above Weighted Average",AD31="Above Weighted Average"),"4",AND(AC31="Below Weighted Average",AD31="Above Weighted Average"),"2",AND(AC31="Below Weighted Average",AD31="Below Weighted Average"),"1")</f>
        <v>1</v>
      </c>
      <c r="AF31" t="str">
        <f t="shared" si="4"/>
        <v>Below Non Weighted Average</v>
      </c>
      <c r="AG31" t="str">
        <f t="shared" si="5"/>
        <v>Below Non Weighted Average</v>
      </c>
      <c r="AH31" s="2" t="str" cm="1">
        <f t="array" ref="AH31">_xlfn.IFS(AND(AF31="Above Non Weighted Average",AG31="Below Non Weighted Average"),"3",AND(AF31="Above Non Weighted Average",AG31="Above Non Weighted Average"),"4",AND(AF31="Below Non Weighted Average",AG31="Above Non Weighted Average"),"2",AND(AF31="Below Non Weighted Average",AG31="Below Non Weighted Average"),"1")</f>
        <v>1</v>
      </c>
      <c r="AI31" t="b">
        <f t="shared" si="6"/>
        <v>1</v>
      </c>
      <c r="AJ31" t="str">
        <f>IF(Z31&lt;Weighted_average,"Below","Above")</f>
        <v>Below</v>
      </c>
      <c r="AK31" t="str">
        <f>IF(AA31&lt;Stock_grad_ratio,"Below","Above")</f>
        <v>Below</v>
      </c>
      <c r="AL31" t="str">
        <f t="shared" si="7"/>
        <v>BelowBelow</v>
      </c>
      <c r="AM31" t="str">
        <f t="shared" si="8"/>
        <v>Q1</v>
      </c>
      <c r="BD31" s="64" t="s">
        <v>43</v>
      </c>
      <c r="BE31" s="65" t="s">
        <v>182</v>
      </c>
      <c r="BF31" s="47">
        <v>5.9036930685343147</v>
      </c>
      <c r="BG31" s="47">
        <v>10.599369085173501</v>
      </c>
      <c r="BH31" s="47" t="str">
        <f t="shared" si="9"/>
        <v>Below Average</v>
      </c>
      <c r="BI31" s="47" t="str">
        <f t="shared" si="10"/>
        <v>Below Average</v>
      </c>
      <c r="BJ31" s="75" t="str" cm="1">
        <f t="array" ref="BJ31">_xlfn.IFS(AND(BH31="Above Average",BI31="Below Average"),"Q1",AND(BH31="Above Average",BI31="Above Average"),"Q2",AND(BH31="Below Average",BI31="Above Average"),"Q3",AND(BH31="Below Average",BI31="Below Average"),"Q4")</f>
        <v>Q4</v>
      </c>
      <c r="BK31" s="47"/>
    </row>
    <row r="32" spans="1:72" x14ac:dyDescent="0.35">
      <c r="A32" s="64" t="s">
        <v>30</v>
      </c>
      <c r="B32" s="65" t="s">
        <v>169</v>
      </c>
      <c r="C32" s="42">
        <v>0.55969999999999998</v>
      </c>
      <c r="D32" s="52">
        <v>0.102022686</v>
      </c>
      <c r="E32" s="47">
        <v>117.20284698003086</v>
      </c>
      <c r="H32" s="65" t="s">
        <v>169</v>
      </c>
      <c r="I32" s="3">
        <v>2.0689381612784907</v>
      </c>
      <c r="J32" s="67">
        <v>1.0251934156706199</v>
      </c>
      <c r="K32" s="47">
        <v>117.20284698003086</v>
      </c>
      <c r="L32" s="67">
        <v>10.597255752844539</v>
      </c>
      <c r="M32" s="3">
        <f t="shared" si="0"/>
        <v>2.0689381612784907</v>
      </c>
      <c r="N32" s="3">
        <f t="shared" si="1"/>
        <v>1.0251934156706199</v>
      </c>
      <c r="P32" s="64" t="s">
        <v>30</v>
      </c>
      <c r="Q32" s="65" t="s">
        <v>169</v>
      </c>
      <c r="R32" s="67">
        <v>10.597255752844539</v>
      </c>
      <c r="S32">
        <v>53.864572698360966</v>
      </c>
      <c r="X32" s="64" t="s">
        <v>31</v>
      </c>
      <c r="Y32" s="65" t="s">
        <v>170</v>
      </c>
      <c r="Z32">
        <f>VLOOKUP(Y32,Sheet8!A$3:E$49,5,FALSE)</f>
        <v>12.362024638000094</v>
      </c>
      <c r="AA32" s="67">
        <v>0.18128512673465641</v>
      </c>
      <c r="AB32" s="67">
        <f>_xlfn.XLOOKUP(X32,Density_Weighted_Stock_Weig!Y:Y,Density_Weighted_Stock_Weig!Z:Z)</f>
        <v>32969518.500000007</v>
      </c>
      <c r="AC32" t="str">
        <f t="shared" si="2"/>
        <v>Below Weighted Average</v>
      </c>
      <c r="AD32" t="str">
        <f t="shared" si="3"/>
        <v>Below Weighted Average</v>
      </c>
      <c r="AE32" s="2" t="str" cm="1">
        <f t="array" ref="AE32">_xlfn.IFS(AND(AC32="Above Weighted Average",AD32="Below Weighted Average"),"3",AND(AC32="Above Weighted Average",AD32="Above Weighted Average"),"4",AND(AC32="Below Weighted Average",AD32="Above Weighted Average"),"2",AND(AC32="Below Weighted Average",AD32="Below Weighted Average"),"1")</f>
        <v>1</v>
      </c>
      <c r="AF32" t="str">
        <f t="shared" si="4"/>
        <v>Below Non Weighted Average</v>
      </c>
      <c r="AG32" t="str">
        <f t="shared" si="5"/>
        <v>Below Non Weighted Average</v>
      </c>
      <c r="AH32" s="2" t="str" cm="1">
        <f t="array" ref="AH32">_xlfn.IFS(AND(AF32="Above Non Weighted Average",AG32="Below Non Weighted Average"),"3",AND(AF32="Above Non Weighted Average",AG32="Above Non Weighted Average"),"4",AND(AF32="Below Non Weighted Average",AG32="Above Non Weighted Average"),"2",AND(AF32="Below Non Weighted Average",AG32="Below Non Weighted Average"),"1")</f>
        <v>1</v>
      </c>
      <c r="AI32" t="b">
        <f t="shared" si="6"/>
        <v>1</v>
      </c>
      <c r="AJ32" t="str">
        <f>IF(Z32&lt;Weighted_average,"Below","Above")</f>
        <v>Below</v>
      </c>
      <c r="AK32" t="str">
        <f>IF(AA32&lt;Stock_grad_ratio,"Below","Above")</f>
        <v>Below</v>
      </c>
      <c r="AL32" t="str">
        <f t="shared" si="7"/>
        <v>BelowBelow</v>
      </c>
      <c r="AM32" t="str">
        <f t="shared" si="8"/>
        <v>Q1</v>
      </c>
      <c r="BD32" s="64" t="s">
        <v>30</v>
      </c>
      <c r="BE32" s="65" t="s">
        <v>169</v>
      </c>
      <c r="BF32" s="47">
        <v>53.864572698360966</v>
      </c>
      <c r="BG32" s="47">
        <v>10.597255752844539</v>
      </c>
      <c r="BH32" s="47" t="str">
        <f t="shared" si="9"/>
        <v>Above Average</v>
      </c>
      <c r="BI32" s="47" t="str">
        <f t="shared" si="10"/>
        <v>Below Average</v>
      </c>
      <c r="BJ32" s="75" t="str" cm="1">
        <f t="array" ref="BJ32">_xlfn.IFS(AND(BH32="Above Average",BI32="Below Average"),"Q1",AND(BH32="Above Average",BI32="Above Average"),"Q2",AND(BH32="Below Average",BI32="Above Average"),"Q3",AND(BH32="Below Average",BI32="Below Average"),"Q4")</f>
        <v>Q1</v>
      </c>
      <c r="BK32" s="47"/>
    </row>
    <row r="33" spans="1:63" x14ac:dyDescent="0.35">
      <c r="A33" s="64" t="s">
        <v>31</v>
      </c>
      <c r="B33" s="65" t="s">
        <v>170</v>
      </c>
      <c r="C33" s="42">
        <v>0.61</v>
      </c>
      <c r="D33" s="52">
        <v>7.2900424000000005E-2</v>
      </c>
      <c r="E33" s="47">
        <v>54.608508445493854</v>
      </c>
      <c r="H33" s="65" t="s">
        <v>170</v>
      </c>
      <c r="I33" s="3">
        <v>1.7372603145553582</v>
      </c>
      <c r="J33" s="67">
        <v>1.2137711551232062</v>
      </c>
      <c r="K33" s="47">
        <v>54.608508445493854</v>
      </c>
      <c r="L33" s="67">
        <v>16.359542530378842</v>
      </c>
      <c r="M33" s="3">
        <f t="shared" si="0"/>
        <v>1.7372603145553582</v>
      </c>
      <c r="N33" s="3">
        <f t="shared" si="1"/>
        <v>1.2137711551232062</v>
      </c>
      <c r="P33" s="64" t="s">
        <v>31</v>
      </c>
      <c r="Q33" s="65" t="s">
        <v>170</v>
      </c>
      <c r="R33" s="67">
        <v>16.359542530378842</v>
      </c>
      <c r="S33">
        <v>11.001373890249562</v>
      </c>
      <c r="X33" s="64" t="s">
        <v>14</v>
      </c>
      <c r="Y33" s="65" t="s">
        <v>152</v>
      </c>
      <c r="Z33">
        <f>VLOOKUP(Y33,Sheet8!A$3:E$49,5,FALSE)</f>
        <v>10.634113902446874</v>
      </c>
      <c r="AA33" s="67">
        <v>7.6209274281431659E-4</v>
      </c>
      <c r="AB33" s="67">
        <f>_xlfn.XLOOKUP(X33,Density_Weighted_Stock_Weig!Y:Y,Density_Weighted_Stock_Weig!Z:Z)</f>
        <v>1674908</v>
      </c>
      <c r="AC33" t="str">
        <f t="shared" si="2"/>
        <v>Below Weighted Average</v>
      </c>
      <c r="AD33" t="str">
        <f t="shared" si="3"/>
        <v>Below Weighted Average</v>
      </c>
      <c r="AE33" s="2" t="str" cm="1">
        <f t="array" ref="AE33">_xlfn.IFS(AND(AC33="Above Weighted Average",AD33="Below Weighted Average"),"3",AND(AC33="Above Weighted Average",AD33="Above Weighted Average"),"4",AND(AC33="Below Weighted Average",AD33="Above Weighted Average"),"2",AND(AC33="Below Weighted Average",AD33="Below Weighted Average"),"1")</f>
        <v>1</v>
      </c>
      <c r="AF33" t="str">
        <f t="shared" si="4"/>
        <v>Below Non Weighted Average</v>
      </c>
      <c r="AG33" t="str">
        <f t="shared" si="5"/>
        <v>Below Non Weighted Average</v>
      </c>
      <c r="AH33" s="2" t="str" cm="1">
        <f t="array" ref="AH33">_xlfn.IFS(AND(AF33="Above Non Weighted Average",AG33="Below Non Weighted Average"),"3",AND(AF33="Above Non Weighted Average",AG33="Above Non Weighted Average"),"4",AND(AF33="Below Non Weighted Average",AG33="Above Non Weighted Average"),"2",AND(AF33="Below Non Weighted Average",AG33="Below Non Weighted Average"),"1")</f>
        <v>1</v>
      </c>
      <c r="AI33" t="b">
        <f t="shared" si="6"/>
        <v>1</v>
      </c>
      <c r="AJ33" t="str">
        <f>IF(Z33&lt;Weighted_average,"Below","Above")</f>
        <v>Below</v>
      </c>
      <c r="AK33" t="str">
        <f>IF(AA33&lt;Stock_grad_ratio,"Below","Above")</f>
        <v>Below</v>
      </c>
      <c r="AL33" t="str">
        <f t="shared" si="7"/>
        <v>BelowBelow</v>
      </c>
      <c r="AM33" t="str">
        <f t="shared" si="8"/>
        <v>Q1</v>
      </c>
      <c r="BD33" s="64" t="s">
        <v>45</v>
      </c>
      <c r="BE33" s="65" t="s">
        <v>185</v>
      </c>
      <c r="BF33" s="47">
        <v>32.824990914279496</v>
      </c>
      <c r="BG33" s="47">
        <v>10.51861504095309</v>
      </c>
      <c r="BH33" s="47" t="str">
        <f t="shared" si="9"/>
        <v>Above Average</v>
      </c>
      <c r="BI33" s="47" t="str">
        <f t="shared" si="10"/>
        <v>Below Average</v>
      </c>
      <c r="BJ33" s="75" t="str" cm="1">
        <f t="array" ref="BJ33">_xlfn.IFS(AND(BH33="Above Average",BI33="Below Average"),"Q1",AND(BH33="Above Average",BI33="Above Average"),"Q2",AND(BH33="Below Average",BI33="Above Average"),"Q3",AND(BH33="Below Average",BI33="Below Average"),"Q4")</f>
        <v>Q1</v>
      </c>
      <c r="BK33" s="47"/>
    </row>
    <row r="34" spans="1:63" x14ac:dyDescent="0.35">
      <c r="A34" s="64" t="s">
        <v>32</v>
      </c>
      <c r="B34" s="65" t="s">
        <v>171</v>
      </c>
      <c r="C34" s="42">
        <v>0.4869</v>
      </c>
      <c r="D34" s="52">
        <v>0.10652340890000001</v>
      </c>
      <c r="E34" s="47">
        <v>105.35216319078796</v>
      </c>
      <c r="H34" s="65" t="s">
        <v>171</v>
      </c>
      <c r="I34" s="3">
        <v>2.0226434573829182</v>
      </c>
      <c r="J34" s="67">
        <v>1.4050950942181666</v>
      </c>
      <c r="K34" s="47">
        <v>105.35216319078796</v>
      </c>
      <c r="L34" s="67">
        <v>25.415291442768822</v>
      </c>
      <c r="M34" s="3">
        <f t="shared" si="0"/>
        <v>2.0226434573829182</v>
      </c>
      <c r="N34" s="3">
        <f t="shared" si="1"/>
        <v>1.4050950942181666</v>
      </c>
      <c r="P34" s="64" t="s">
        <v>32</v>
      </c>
      <c r="Q34" s="65" t="s">
        <v>171</v>
      </c>
      <c r="R34" s="67">
        <v>25.415291442768822</v>
      </c>
      <c r="S34">
        <v>66.896135970779099</v>
      </c>
      <c r="X34" s="64" t="s">
        <v>6</v>
      </c>
      <c r="Y34" s="65" t="s">
        <v>141</v>
      </c>
      <c r="Z34">
        <f>VLOOKUP(Y34,Sheet8!A$3:E$49,5,FALSE)</f>
        <v>8.3085116295989803</v>
      </c>
      <c r="AA34" s="67">
        <v>2.9149612601845006E-2</v>
      </c>
      <c r="AB34" s="67">
        <f>_xlfn.XLOOKUP(X34,Density_Weighted_Stock_Weig!Y:Y,Density_Weighted_Stock_Weig!Z:Z)</f>
        <v>12889576.499999994</v>
      </c>
      <c r="AC34" t="str">
        <f t="shared" si="2"/>
        <v>Below Weighted Average</v>
      </c>
      <c r="AD34" t="str">
        <f t="shared" si="3"/>
        <v>Below Weighted Average</v>
      </c>
      <c r="AE34" s="2" t="str" cm="1">
        <f t="array" ref="AE34">_xlfn.IFS(AND(AC34="Above Weighted Average",AD34="Below Weighted Average"),"3",AND(AC34="Above Weighted Average",AD34="Above Weighted Average"),"4",AND(AC34="Below Weighted Average",AD34="Above Weighted Average"),"2",AND(AC34="Below Weighted Average",AD34="Below Weighted Average"),"1")</f>
        <v>1</v>
      </c>
      <c r="AF34" t="str">
        <f t="shared" si="4"/>
        <v>Below Non Weighted Average</v>
      </c>
      <c r="AG34" t="str">
        <f t="shared" si="5"/>
        <v>Below Non Weighted Average</v>
      </c>
      <c r="AH34" s="2" t="str" cm="1">
        <f t="array" ref="AH34">_xlfn.IFS(AND(AF34="Above Non Weighted Average",AG34="Below Non Weighted Average"),"3",AND(AF34="Above Non Weighted Average",AG34="Above Non Weighted Average"),"4",AND(AF34="Below Non Weighted Average",AG34="Above Non Weighted Average"),"2",AND(AF34="Below Non Weighted Average",AG34="Below Non Weighted Average"),"1")</f>
        <v>1</v>
      </c>
      <c r="AI34" t="b">
        <f t="shared" si="6"/>
        <v>1</v>
      </c>
      <c r="AJ34" t="str">
        <f>IF(Z34&lt;Weighted_average,"Below","Above")</f>
        <v>Below</v>
      </c>
      <c r="AK34" t="str">
        <f>IF(AA34&lt;Stock_grad_ratio,"Below","Above")</f>
        <v>Below</v>
      </c>
      <c r="AL34" t="str">
        <f t="shared" si="7"/>
        <v>BelowBelow</v>
      </c>
      <c r="AM34" t="str">
        <f t="shared" si="8"/>
        <v>Q1</v>
      </c>
      <c r="BD34" s="64" t="s">
        <v>39</v>
      </c>
      <c r="BE34" s="65" t="s">
        <v>179</v>
      </c>
      <c r="BF34" s="47">
        <v>22.128310502389212</v>
      </c>
      <c r="BG34" s="47">
        <v>8.5050709939148081</v>
      </c>
      <c r="BH34" s="47" t="str">
        <f t="shared" si="9"/>
        <v>Below Average</v>
      </c>
      <c r="BI34" s="47" t="str">
        <f t="shared" si="10"/>
        <v>Below Average</v>
      </c>
      <c r="BJ34" s="75" t="str" cm="1">
        <f t="array" ref="BJ34">_xlfn.IFS(AND(BH34="Above Average",BI34="Below Average"),"Q1",AND(BH34="Above Average",BI34="Above Average"),"Q2",AND(BH34="Below Average",BI34="Above Average"),"Q3",AND(BH34="Below Average",BI34="Below Average"),"Q4")</f>
        <v>Q4</v>
      </c>
      <c r="BK34" s="47"/>
    </row>
    <row r="35" spans="1:63" x14ac:dyDescent="0.35">
      <c r="A35" s="64" t="s">
        <v>33</v>
      </c>
      <c r="B35" s="65" t="s">
        <v>172</v>
      </c>
      <c r="C35" s="42">
        <v>0.17051779817360399</v>
      </c>
      <c r="D35" s="52">
        <v>0.1023069668</v>
      </c>
      <c r="E35" s="47">
        <v>4.955848322257995</v>
      </c>
      <c r="H35" s="65" t="s">
        <v>172</v>
      </c>
      <c r="I35" s="3">
        <v>0.69511800597391782</v>
      </c>
      <c r="J35" s="67">
        <v>0.89256200067381375</v>
      </c>
      <c r="K35" s="47">
        <v>4.955848322257995</v>
      </c>
      <c r="L35" s="67">
        <v>7.8083990631299782</v>
      </c>
      <c r="M35" s="3">
        <f t="shared" si="0"/>
        <v>0.69511800597391782</v>
      </c>
      <c r="N35" s="3">
        <f t="shared" si="1"/>
        <v>0.89256200067381375</v>
      </c>
      <c r="P35" s="64" t="s">
        <v>33</v>
      </c>
      <c r="Q35" s="65" t="s">
        <v>172</v>
      </c>
      <c r="R35" s="67">
        <v>7.8083990631299782</v>
      </c>
      <c r="S35">
        <v>2.3259582036922208</v>
      </c>
      <c r="X35" s="64" t="s">
        <v>3</v>
      </c>
      <c r="Y35" s="65" t="s">
        <v>138</v>
      </c>
      <c r="Z35">
        <f>VLOOKUP(Y35,Sheet8!A$3:E$49,5,FALSE)</f>
        <v>8.2764831925559506</v>
      </c>
      <c r="AA35" s="67">
        <v>3.3741425432674825E-2</v>
      </c>
      <c r="AB35" s="67">
        <f>_xlfn.XLOOKUP(X35,Density_Weighted_Stock_Weig!Y:Y,Density_Weighted_Stock_Weig!Z:Z)</f>
        <v>13352864</v>
      </c>
      <c r="AC35" t="str">
        <f t="shared" si="2"/>
        <v>Below Weighted Average</v>
      </c>
      <c r="AD35" t="str">
        <f t="shared" si="3"/>
        <v>Below Weighted Average</v>
      </c>
      <c r="AE35" s="2" t="str" cm="1">
        <f t="array" ref="AE35">_xlfn.IFS(AND(AC35="Above Weighted Average",AD35="Below Weighted Average"),"3",AND(AC35="Above Weighted Average",AD35="Above Weighted Average"),"4",AND(AC35="Below Weighted Average",AD35="Above Weighted Average"),"2",AND(AC35="Below Weighted Average",AD35="Below Weighted Average"),"1")</f>
        <v>1</v>
      </c>
      <c r="AF35" t="str">
        <f t="shared" si="4"/>
        <v>Below Non Weighted Average</v>
      </c>
      <c r="AG35" t="str">
        <f t="shared" si="5"/>
        <v>Below Non Weighted Average</v>
      </c>
      <c r="AH35" s="2" t="str" cm="1">
        <f t="array" ref="AH35">_xlfn.IFS(AND(AF35="Above Non Weighted Average",AG35="Below Non Weighted Average"),"3",AND(AF35="Above Non Weighted Average",AG35="Above Non Weighted Average"),"4",AND(AF35="Below Non Weighted Average",AG35="Above Non Weighted Average"),"2",AND(AF35="Below Non Weighted Average",AG35="Below Non Weighted Average"),"1")</f>
        <v>1</v>
      </c>
      <c r="AI35" t="b">
        <f t="shared" si="6"/>
        <v>1</v>
      </c>
      <c r="AJ35" t="str">
        <f>IF(Z35&lt;Weighted_average,"Below","Above")</f>
        <v>Below</v>
      </c>
      <c r="AK35" t="str">
        <f>IF(AA35&lt;Stock_grad_ratio,"Below","Above")</f>
        <v>Below</v>
      </c>
      <c r="AL35" t="str">
        <f t="shared" si="7"/>
        <v>BelowBelow</v>
      </c>
      <c r="AM35" t="str">
        <f t="shared" si="8"/>
        <v>Q1</v>
      </c>
      <c r="BD35" s="64" t="s">
        <v>3</v>
      </c>
      <c r="BE35" s="65" t="s">
        <v>138</v>
      </c>
      <c r="BF35" s="47">
        <v>7.905420140578082</v>
      </c>
      <c r="BG35" s="47">
        <v>8.1976856316297013</v>
      </c>
      <c r="BH35" s="47" t="str">
        <f t="shared" si="9"/>
        <v>Below Average</v>
      </c>
      <c r="BI35" s="47" t="str">
        <f t="shared" si="10"/>
        <v>Below Average</v>
      </c>
      <c r="BJ35" s="75" t="str" cm="1">
        <f t="array" ref="BJ35">_xlfn.IFS(AND(BH35="Above Average",BI35="Below Average"),"Q1",AND(BH35="Above Average",BI35="Above Average"),"Q2",AND(BH35="Below Average",BI35="Above Average"),"Q3",AND(BH35="Below Average",BI35="Below Average"),"Q4")</f>
        <v>Q4</v>
      </c>
      <c r="BK35" s="47"/>
    </row>
    <row r="36" spans="1:63" x14ac:dyDescent="0.35">
      <c r="A36" s="64" t="s">
        <v>34</v>
      </c>
      <c r="B36" s="65" t="s">
        <v>173</v>
      </c>
      <c r="C36" s="42">
        <v>0.66749999999999998</v>
      </c>
      <c r="D36" s="52">
        <v>4.2245168700000002E-2</v>
      </c>
      <c r="E36" s="47">
        <v>36.583982353138666</v>
      </c>
      <c r="H36" s="65" t="s">
        <v>173</v>
      </c>
      <c r="I36" s="3">
        <v>1.5632909788838778</v>
      </c>
      <c r="J36" s="67">
        <v>1.2520463655347098</v>
      </c>
      <c r="K36" s="47">
        <v>36.583982353138666</v>
      </c>
      <c r="L36" s="67">
        <v>17.866783114992721</v>
      </c>
      <c r="M36" s="3">
        <f t="shared" si="0"/>
        <v>1.5632909788838778</v>
      </c>
      <c r="N36" s="3">
        <f t="shared" si="1"/>
        <v>1.2520463655347098</v>
      </c>
      <c r="P36" s="64" t="s">
        <v>34</v>
      </c>
      <c r="Q36" s="65" t="s">
        <v>173</v>
      </c>
      <c r="R36" s="67">
        <v>17.866783114992721</v>
      </c>
      <c r="S36">
        <v>20.758052766628868</v>
      </c>
      <c r="X36" s="64" t="s">
        <v>7</v>
      </c>
      <c r="Y36" s="65" t="s">
        <v>143</v>
      </c>
      <c r="Z36">
        <f>VLOOKUP(Y36,Sheet8!A$3:E$49,5,FALSE)</f>
        <v>8.340457309760458</v>
      </c>
      <c r="AA36" s="67">
        <v>5.7280088943060199E-2</v>
      </c>
      <c r="AB36" s="67">
        <f>_xlfn.XLOOKUP(X36,Density_Weighted_Stock_Weig!Y:Y,Density_Weighted_Stock_Weig!Z:Z)</f>
        <v>27914536.499999989</v>
      </c>
      <c r="AC36" t="str">
        <f t="shared" si="2"/>
        <v>Below Weighted Average</v>
      </c>
      <c r="AD36" t="str">
        <f t="shared" si="3"/>
        <v>Below Weighted Average</v>
      </c>
      <c r="AE36" s="2" t="str" cm="1">
        <f t="array" ref="AE36">_xlfn.IFS(AND(AC36="Above Weighted Average",AD36="Below Weighted Average"),"3",AND(AC36="Above Weighted Average",AD36="Above Weighted Average"),"4",AND(AC36="Below Weighted Average",AD36="Above Weighted Average"),"2",AND(AC36="Below Weighted Average",AD36="Below Weighted Average"),"1")</f>
        <v>1</v>
      </c>
      <c r="AF36" t="str">
        <f t="shared" si="4"/>
        <v>Below Non Weighted Average</v>
      </c>
      <c r="AG36" t="str">
        <f t="shared" si="5"/>
        <v>Below Non Weighted Average</v>
      </c>
      <c r="AH36" s="2" t="str" cm="1">
        <f t="array" ref="AH36">_xlfn.IFS(AND(AF36="Above Non Weighted Average",AG36="Below Non Weighted Average"),"3",AND(AF36="Above Non Weighted Average",AG36="Above Non Weighted Average"),"4",AND(AF36="Below Non Weighted Average",AG36="Above Non Weighted Average"),"2",AND(AF36="Below Non Weighted Average",AG36="Below Non Weighted Average"),"1")</f>
        <v>1</v>
      </c>
      <c r="AI36" t="b">
        <f t="shared" si="6"/>
        <v>1</v>
      </c>
      <c r="AJ36" t="str">
        <f>IF(Z36&lt;Weighted_average,"Below","Above")</f>
        <v>Below</v>
      </c>
      <c r="AK36" t="str">
        <f>IF(AA36&lt;Stock_grad_ratio,"Below","Above")</f>
        <v>Below</v>
      </c>
      <c r="AL36" t="str">
        <f t="shared" si="7"/>
        <v>BelowBelow</v>
      </c>
      <c r="AM36" t="str">
        <f t="shared" si="8"/>
        <v>Q1</v>
      </c>
      <c r="BD36" s="64" t="s">
        <v>33</v>
      </c>
      <c r="BE36" s="65" t="s">
        <v>172</v>
      </c>
      <c r="BF36" s="47">
        <v>2.3259582036922208</v>
      </c>
      <c r="BG36" s="47">
        <v>7.8083990631299782</v>
      </c>
      <c r="BH36" s="47" t="str">
        <f t="shared" si="9"/>
        <v>Below Average</v>
      </c>
      <c r="BI36" s="47" t="str">
        <f t="shared" si="10"/>
        <v>Below Average</v>
      </c>
      <c r="BJ36" s="75" t="str" cm="1">
        <f t="array" ref="BJ36">_xlfn.IFS(AND(BH36="Above Average",BI36="Below Average"),"Q1",AND(BH36="Above Average",BI36="Above Average"),"Q2",AND(BH36="Below Average",BI36="Above Average"),"Q3",AND(BH36="Below Average",BI36="Below Average"),"Q4")</f>
        <v>Q4</v>
      </c>
      <c r="BK36" s="47"/>
    </row>
    <row r="37" spans="1:63" x14ac:dyDescent="0.35">
      <c r="A37" s="64" t="s">
        <v>35</v>
      </c>
      <c r="B37" s="65" t="s">
        <v>174</v>
      </c>
      <c r="C37" s="42">
        <v>7.4999999999999997E-2</v>
      </c>
      <c r="D37" s="52">
        <v>8.8827714899999993E-2</v>
      </c>
      <c r="E37" s="47">
        <v>59.624042517676429</v>
      </c>
      <c r="H37" s="65" t="s">
        <v>174</v>
      </c>
      <c r="I37" s="3">
        <v>1.7754214179160368</v>
      </c>
      <c r="J37" s="67">
        <v>1.6169097533210601</v>
      </c>
      <c r="K37" s="47">
        <v>59.624042517676429</v>
      </c>
      <c r="L37" s="67">
        <v>41.391365435291313</v>
      </c>
      <c r="M37" s="3">
        <f t="shared" si="0"/>
        <v>1.7754214179160368</v>
      </c>
      <c r="N37" s="3">
        <f t="shared" si="1"/>
        <v>1.6169097533210601</v>
      </c>
      <c r="P37" s="64" t="s">
        <v>35</v>
      </c>
      <c r="Q37" s="65" t="s">
        <v>174</v>
      </c>
      <c r="R37" s="67">
        <v>41.391365435291313</v>
      </c>
      <c r="S37">
        <v>12.440746230594545</v>
      </c>
      <c r="X37" s="64" t="s">
        <v>157</v>
      </c>
      <c r="Y37" s="65" t="s">
        <v>158</v>
      </c>
      <c r="Z37">
        <f>VLOOKUP(Y37,Sheet8!A$3:E$49,5,FALSE)</f>
        <v>8.1498514118713352</v>
      </c>
      <c r="AA37" s="67">
        <v>8.7790923784461551E-3</v>
      </c>
      <c r="AB37" s="67">
        <f>_xlfn.XLOOKUP(X37,Density_Weighted_Stock_Weig!Y:Y,Density_Weighted_Stock_Weig!Z:Z)</f>
        <v>2705991.9999999995</v>
      </c>
      <c r="AC37" t="str">
        <f t="shared" si="2"/>
        <v>Below Weighted Average</v>
      </c>
      <c r="AD37" t="str">
        <f t="shared" si="3"/>
        <v>Below Weighted Average</v>
      </c>
      <c r="AE37" s="2" t="str" cm="1">
        <f t="array" ref="AE37">_xlfn.IFS(AND(AC37="Above Weighted Average",AD37="Below Weighted Average"),"3",AND(AC37="Above Weighted Average",AD37="Above Weighted Average"),"4",AND(AC37="Below Weighted Average",AD37="Above Weighted Average"),"2",AND(AC37="Below Weighted Average",AD37="Below Weighted Average"),"1")</f>
        <v>1</v>
      </c>
      <c r="AF37" t="str">
        <f t="shared" si="4"/>
        <v>Below Non Weighted Average</v>
      </c>
      <c r="AG37" t="str">
        <f t="shared" si="5"/>
        <v>Below Non Weighted Average</v>
      </c>
      <c r="AH37" s="2" t="str" cm="1">
        <f t="array" ref="AH37">_xlfn.IFS(AND(AF37="Above Non Weighted Average",AG37="Below Non Weighted Average"),"3",AND(AF37="Above Non Weighted Average",AG37="Above Non Weighted Average"),"4",AND(AF37="Below Non Weighted Average",AG37="Above Non Weighted Average"),"2",AND(AF37="Below Non Weighted Average",AG37="Below Non Weighted Average"),"1")</f>
        <v>1</v>
      </c>
      <c r="AI37" t="b">
        <f t="shared" si="6"/>
        <v>1</v>
      </c>
      <c r="AJ37" t="str">
        <f>IF(Z37&lt;Weighted_average,"Below","Above")</f>
        <v>Below</v>
      </c>
      <c r="AK37" t="str">
        <f>IF(AA37&lt;Stock_grad_ratio,"Below","Above")</f>
        <v>Below</v>
      </c>
      <c r="AL37" t="str">
        <f t="shared" si="7"/>
        <v>BelowBelow</v>
      </c>
      <c r="AM37" t="str">
        <f t="shared" si="8"/>
        <v>Q1</v>
      </c>
      <c r="BD37" s="64" t="s">
        <v>37</v>
      </c>
      <c r="BE37" s="65" t="s">
        <v>177</v>
      </c>
      <c r="BF37" s="47">
        <v>6.108947758593815</v>
      </c>
      <c r="BG37" s="47">
        <v>7.1829353403866092</v>
      </c>
      <c r="BH37" s="47" t="str">
        <f t="shared" si="9"/>
        <v>Below Average</v>
      </c>
      <c r="BI37" s="47" t="str">
        <f t="shared" si="10"/>
        <v>Below Average</v>
      </c>
      <c r="BJ37" s="75" t="str" cm="1">
        <f t="array" ref="BJ37">_xlfn.IFS(AND(BH37="Above Average",BI37="Below Average"),"Q1",AND(BH37="Above Average",BI37="Above Average"),"Q2",AND(BH37="Below Average",BI37="Above Average"),"Q3",AND(BH37="Below Average",BI37="Below Average"),"Q4")</f>
        <v>Q4</v>
      </c>
      <c r="BK37" s="47"/>
    </row>
    <row r="38" spans="1:63" x14ac:dyDescent="0.35">
      <c r="A38" s="64" t="s">
        <v>175</v>
      </c>
      <c r="B38" s="65" t="s">
        <v>176</v>
      </c>
      <c r="C38" s="42">
        <v>0.477408095311257</v>
      </c>
      <c r="D38" s="52">
        <v>0.10762632370000001</v>
      </c>
      <c r="E38" s="47">
        <v>63.393220513883151</v>
      </c>
      <c r="H38" s="65" t="s">
        <v>176</v>
      </c>
      <c r="I38" s="3">
        <v>1.8020428154394388</v>
      </c>
      <c r="J38" s="67">
        <v>1.3590370091771649</v>
      </c>
      <c r="K38" s="47">
        <v>63.393220513883151</v>
      </c>
      <c r="L38" s="67">
        <v>22.857935830441416</v>
      </c>
      <c r="M38" s="3">
        <f t="shared" si="0"/>
        <v>1.8020428154394388</v>
      </c>
      <c r="N38" s="3">
        <f t="shared" si="1"/>
        <v>1.3590370091771649</v>
      </c>
      <c r="P38" s="64" t="s">
        <v>175</v>
      </c>
      <c r="Q38" s="65" t="s">
        <v>176</v>
      </c>
      <c r="R38" s="67">
        <v>22.857935830441416</v>
      </c>
      <c r="S38">
        <v>25.080738156916041</v>
      </c>
      <c r="X38" s="64" t="s">
        <v>41</v>
      </c>
      <c r="Y38" s="65" t="s">
        <v>181</v>
      </c>
      <c r="Z38">
        <f>VLOOKUP(Y38,Sheet8!A$3:E$49,5,FALSE)</f>
        <v>7.8959074273939986</v>
      </c>
      <c r="AA38" s="67">
        <v>3.5937252304945051E-2</v>
      </c>
      <c r="AB38" s="67">
        <f>_xlfn.XLOOKUP(X38,Density_Weighted_Stock_Weig!Y:Y,Density_Weighted_Stock_Weig!Z:Z)</f>
        <v>10913163.5</v>
      </c>
      <c r="AC38" t="str">
        <f t="shared" si="2"/>
        <v>Below Weighted Average</v>
      </c>
      <c r="AD38" t="str">
        <f t="shared" si="3"/>
        <v>Below Weighted Average</v>
      </c>
      <c r="AE38" s="2" t="str" cm="1">
        <f t="array" ref="AE38">_xlfn.IFS(AND(AC38="Above Weighted Average",AD38="Below Weighted Average"),"3",AND(AC38="Above Weighted Average",AD38="Above Weighted Average"),"4",AND(AC38="Below Weighted Average",AD38="Above Weighted Average"),"2",AND(AC38="Below Weighted Average",AD38="Below Weighted Average"),"1")</f>
        <v>1</v>
      </c>
      <c r="AF38" t="str">
        <f t="shared" si="4"/>
        <v>Below Non Weighted Average</v>
      </c>
      <c r="AG38" t="str">
        <f t="shared" si="5"/>
        <v>Below Non Weighted Average</v>
      </c>
      <c r="AH38" s="2" t="str" cm="1">
        <f t="array" ref="AH38">_xlfn.IFS(AND(AF38="Above Non Weighted Average",AG38="Below Non Weighted Average"),"3",AND(AF38="Above Non Weighted Average",AG38="Above Non Weighted Average"),"4",AND(AF38="Below Non Weighted Average",AG38="Above Non Weighted Average"),"2",AND(AF38="Below Non Weighted Average",AG38="Below Non Weighted Average"),"1")</f>
        <v>1</v>
      </c>
      <c r="AI38" t="b">
        <f t="shared" si="6"/>
        <v>1</v>
      </c>
      <c r="AJ38" t="str">
        <f>IF(Z38&lt;Weighted_average,"Below","Above")</f>
        <v>Below</v>
      </c>
      <c r="AK38" t="str">
        <f>IF(AA38&lt;Stock_grad_ratio,"Below","Above")</f>
        <v>Below</v>
      </c>
      <c r="AL38" t="str">
        <f t="shared" si="7"/>
        <v>BelowBelow</v>
      </c>
      <c r="AM38" t="str">
        <f t="shared" si="8"/>
        <v>Q1</v>
      </c>
      <c r="BD38" s="64" t="s">
        <v>5</v>
      </c>
      <c r="BE38" s="65" t="s">
        <v>140</v>
      </c>
      <c r="BF38" s="47">
        <v>11.721918929906732</v>
      </c>
      <c r="BG38" s="47">
        <v>6.4928625093914354</v>
      </c>
      <c r="BH38" s="47" t="str">
        <f t="shared" si="9"/>
        <v>Below Average</v>
      </c>
      <c r="BI38" s="47" t="str">
        <f t="shared" si="10"/>
        <v>Below Average</v>
      </c>
      <c r="BJ38" s="75" t="str" cm="1">
        <f t="array" ref="BJ38">_xlfn.IFS(AND(BH38="Above Average",BI38="Below Average"),"Q1",AND(BH38="Above Average",BI38="Above Average"),"Q2",AND(BH38="Below Average",BI38="Above Average"),"Q3",AND(BH38="Below Average",BI38="Below Average"),"Q4")</f>
        <v>Q4</v>
      </c>
      <c r="BK38" s="47"/>
    </row>
    <row r="39" spans="1:63" x14ac:dyDescent="0.35">
      <c r="A39" s="64" t="s">
        <v>37</v>
      </c>
      <c r="B39" s="65" t="s">
        <v>177</v>
      </c>
      <c r="C39" s="42">
        <v>0.473026044369111</v>
      </c>
      <c r="D39" s="52">
        <v>6.4810943600000004E-2</v>
      </c>
      <c r="E39" s="47">
        <v>23.796885847380697</v>
      </c>
      <c r="H39" s="65" t="s">
        <v>177</v>
      </c>
      <c r="I39" s="3">
        <v>1.3765201273174978</v>
      </c>
      <c r="J39" s="67">
        <v>0.85630195700274225</v>
      </c>
      <c r="K39" s="47">
        <v>23.796885847380697</v>
      </c>
      <c r="L39" s="67">
        <v>7.1829353403866092</v>
      </c>
      <c r="M39" s="3">
        <f t="shared" si="0"/>
        <v>1.3765201273174978</v>
      </c>
      <c r="N39" s="3">
        <f t="shared" si="1"/>
        <v>0.85630195700274225</v>
      </c>
      <c r="P39" s="64" t="s">
        <v>37</v>
      </c>
      <c r="Q39" s="65" t="s">
        <v>177</v>
      </c>
      <c r="R39" s="67">
        <v>7.1829353403866092</v>
      </c>
      <c r="S39">
        <v>6.108947758593815</v>
      </c>
      <c r="X39" s="64" t="s">
        <v>42</v>
      </c>
      <c r="Y39" s="65" t="s">
        <v>184</v>
      </c>
      <c r="Z39">
        <f>VLOOKUP(Y39,Sheet8!A$3:E$49,5,FALSE)</f>
        <v>7.605590561668536</v>
      </c>
      <c r="AA39" s="67">
        <v>0.14539691458656923</v>
      </c>
      <c r="AB39" s="67">
        <f>_xlfn.XLOOKUP(X39,Density_Weighted_Stock_Weig!Y:Y,Density_Weighted_Stock_Weig!Z:Z)</f>
        <v>65497748.000000045</v>
      </c>
      <c r="AC39" t="str">
        <f t="shared" si="2"/>
        <v>Below Weighted Average</v>
      </c>
      <c r="AD39" t="str">
        <f t="shared" si="3"/>
        <v>Below Weighted Average</v>
      </c>
      <c r="AE39" s="2" t="str" cm="1">
        <f t="array" ref="AE39">_xlfn.IFS(AND(AC39="Above Weighted Average",AD39="Below Weighted Average"),"3",AND(AC39="Above Weighted Average",AD39="Above Weighted Average"),"4",AND(AC39="Below Weighted Average",AD39="Above Weighted Average"),"2",AND(AC39="Below Weighted Average",AD39="Below Weighted Average"),"1")</f>
        <v>1</v>
      </c>
      <c r="AF39" t="str">
        <f t="shared" si="4"/>
        <v>Below Non Weighted Average</v>
      </c>
      <c r="AG39" t="str">
        <f t="shared" si="5"/>
        <v>Below Non Weighted Average</v>
      </c>
      <c r="AH39" s="2" t="str" cm="1">
        <f t="array" ref="AH39">_xlfn.IFS(AND(AF39="Above Non Weighted Average",AG39="Below Non Weighted Average"),"3",AND(AF39="Above Non Weighted Average",AG39="Above Non Weighted Average"),"4",AND(AF39="Below Non Weighted Average",AG39="Above Non Weighted Average"),"2",AND(AF39="Below Non Weighted Average",AG39="Below Non Weighted Average"),"1")</f>
        <v>1</v>
      </c>
      <c r="AI39" t="b">
        <f t="shared" si="6"/>
        <v>1</v>
      </c>
      <c r="AJ39" t="str">
        <f>IF(Z39&lt;Weighted_average,"Below","Above")</f>
        <v>Below</v>
      </c>
      <c r="AK39" t="str">
        <f>IF(AA39&lt;Stock_grad_ratio,"Below","Above")</f>
        <v>Below</v>
      </c>
      <c r="AL39" t="str">
        <f t="shared" si="7"/>
        <v>BelowBelow</v>
      </c>
      <c r="AM39" t="str">
        <f t="shared" si="8"/>
        <v>Q1</v>
      </c>
      <c r="BD39" s="64" t="s">
        <v>7</v>
      </c>
      <c r="BE39" s="65" t="s">
        <v>143</v>
      </c>
      <c r="BF39" s="47">
        <v>7.8475241743670043</v>
      </c>
      <c r="BG39" s="47">
        <v>5.8473988439306357</v>
      </c>
      <c r="BH39" s="47" t="str">
        <f t="shared" si="9"/>
        <v>Below Average</v>
      </c>
      <c r="BI39" s="47" t="str">
        <f t="shared" si="10"/>
        <v>Below Average</v>
      </c>
      <c r="BJ39" s="75" t="str" cm="1">
        <f t="array" ref="BJ39">_xlfn.IFS(AND(BH39="Above Average",BI39="Below Average"),"Q1",AND(BH39="Above Average",BI39="Above Average"),"Q2",AND(BH39="Below Average",BI39="Above Average"),"Q3",AND(BH39="Below Average",BI39="Below Average"),"Q4")</f>
        <v>Q4</v>
      </c>
      <c r="BK39" s="47"/>
    </row>
    <row r="40" spans="1:63" x14ac:dyDescent="0.35">
      <c r="A40" s="64" t="s">
        <v>38</v>
      </c>
      <c r="B40" s="65" t="s">
        <v>178</v>
      </c>
      <c r="C40" s="42">
        <v>0.377</v>
      </c>
      <c r="D40" s="52">
        <v>0.10179439540000002</v>
      </c>
      <c r="E40" s="47">
        <v>296.4662893379861</v>
      </c>
      <c r="H40" s="65" t="s">
        <v>178</v>
      </c>
      <c r="I40" s="3">
        <v>2.4719753176435297</v>
      </c>
      <c r="J40" s="67">
        <v>1.6242820958356683</v>
      </c>
      <c r="K40" s="47">
        <v>296.4662893379861</v>
      </c>
      <c r="L40" s="67">
        <v>42.1</v>
      </c>
      <c r="M40" s="3">
        <f t="shared" si="0"/>
        <v>2.4719753176435297</v>
      </c>
      <c r="N40" s="3">
        <f t="shared" si="1"/>
        <v>1.6242820958356683</v>
      </c>
      <c r="P40" s="64" t="s">
        <v>38</v>
      </c>
      <c r="Q40" s="65" t="s">
        <v>178</v>
      </c>
      <c r="R40" s="67">
        <v>42.1</v>
      </c>
      <c r="S40">
        <v>213.24893351885851</v>
      </c>
      <c r="X40" s="64" t="s">
        <v>37</v>
      </c>
      <c r="Y40" s="65" t="s">
        <v>177</v>
      </c>
      <c r="Z40">
        <f>VLOOKUP(Y40,Sheet8!A$3:E$49,5,FALSE)</f>
        <v>6.5171760234407232</v>
      </c>
      <c r="AA40" s="67">
        <v>2.5380476519676561E-2</v>
      </c>
      <c r="AB40" s="67">
        <f>_xlfn.XLOOKUP(X40,Density_Weighted_Stock_Weig!Y:Y,Density_Weighted_Stock_Weig!Z:Z)</f>
        <v>17316449</v>
      </c>
      <c r="AC40" t="str">
        <f t="shared" si="2"/>
        <v>Below Weighted Average</v>
      </c>
      <c r="AD40" t="str">
        <f t="shared" si="3"/>
        <v>Below Weighted Average</v>
      </c>
      <c r="AE40" s="2" t="str" cm="1">
        <f t="array" ref="AE40">_xlfn.IFS(AND(AC40="Above Weighted Average",AD40="Below Weighted Average"),"3",AND(AC40="Above Weighted Average",AD40="Above Weighted Average"),"4",AND(AC40="Below Weighted Average",AD40="Above Weighted Average"),"2",AND(AC40="Below Weighted Average",AD40="Below Weighted Average"),"1")</f>
        <v>1</v>
      </c>
      <c r="AF40" t="str">
        <f t="shared" si="4"/>
        <v>Below Non Weighted Average</v>
      </c>
      <c r="AG40" t="str">
        <f t="shared" si="5"/>
        <v>Below Non Weighted Average</v>
      </c>
      <c r="AH40" s="2" t="str" cm="1">
        <f t="array" ref="AH40">_xlfn.IFS(AND(AF40="Above Non Weighted Average",AG40="Below Non Weighted Average"),"3",AND(AF40="Above Non Weighted Average",AG40="Above Non Weighted Average"),"4",AND(AF40="Below Non Weighted Average",AG40="Above Non Weighted Average"),"2",AND(AF40="Below Non Weighted Average",AG40="Below Non Weighted Average"),"1")</f>
        <v>1</v>
      </c>
      <c r="AI40" t="b">
        <f t="shared" si="6"/>
        <v>1</v>
      </c>
      <c r="AJ40" t="str">
        <f>IF(Z40&lt;Weighted_average,"Below","Above")</f>
        <v>Below</v>
      </c>
      <c r="AK40" t="str">
        <f>IF(AA40&lt;Stock_grad_ratio,"Below","Above")</f>
        <v>Below</v>
      </c>
      <c r="AL40" t="str">
        <f t="shared" si="7"/>
        <v>BelowBelow</v>
      </c>
      <c r="AM40" t="str">
        <f t="shared" si="8"/>
        <v>Q1</v>
      </c>
      <c r="BD40" s="64" t="s">
        <v>6</v>
      </c>
      <c r="BE40" s="65" t="s">
        <v>141</v>
      </c>
      <c r="BF40" s="47">
        <v>8.1970005510432156</v>
      </c>
      <c r="BG40" s="47">
        <v>5.7962394193302087</v>
      </c>
      <c r="BH40" s="47" t="str">
        <f t="shared" si="9"/>
        <v>Below Average</v>
      </c>
      <c r="BI40" s="47" t="str">
        <f t="shared" si="10"/>
        <v>Below Average</v>
      </c>
      <c r="BJ40" s="75" t="str" cm="1">
        <f t="array" ref="BJ40">_xlfn.IFS(AND(BH40="Above Average",BI40="Below Average"),"Q1",AND(BH40="Above Average",BI40="Above Average"),"Q2",AND(BH40="Below Average",BI40="Above Average"),"Q3",AND(BH40="Below Average",BI40="Below Average"),"Q4")</f>
        <v>Q4</v>
      </c>
      <c r="BK40" s="47"/>
    </row>
    <row r="41" spans="1:63" x14ac:dyDescent="0.35">
      <c r="A41" s="64" t="s">
        <v>39</v>
      </c>
      <c r="B41" s="65" t="s">
        <v>179</v>
      </c>
      <c r="C41" s="42">
        <v>0.33232562471434801</v>
      </c>
      <c r="D41" s="52">
        <v>5.2879381199999999E-2</v>
      </c>
      <c r="E41" s="47">
        <v>45.477301239981145</v>
      </c>
      <c r="H41" s="65" t="s">
        <v>179</v>
      </c>
      <c r="I41" s="3">
        <v>1.657794684437857</v>
      </c>
      <c r="J41" s="67">
        <v>0.92967794312633822</v>
      </c>
      <c r="K41" s="47">
        <v>45.477301239981145</v>
      </c>
      <c r="L41" s="67">
        <v>8.5050709939148081</v>
      </c>
      <c r="M41" s="3">
        <f t="shared" si="0"/>
        <v>1.657794684437857</v>
      </c>
      <c r="N41" s="3">
        <f t="shared" si="1"/>
        <v>0.92967794312633822</v>
      </c>
      <c r="P41" s="64" t="s">
        <v>39</v>
      </c>
      <c r="Q41" s="65" t="s">
        <v>179</v>
      </c>
      <c r="R41" s="67">
        <v>8.5050709939148081</v>
      </c>
      <c r="S41">
        <v>22.128310502389212</v>
      </c>
      <c r="X41" s="64" t="s">
        <v>43</v>
      </c>
      <c r="Y41" s="65" t="s">
        <v>182</v>
      </c>
      <c r="Z41">
        <f>VLOOKUP(Y41,Sheet8!A$3:E$49,5,FALSE)</f>
        <v>6.3003257177536511</v>
      </c>
      <c r="AA41" s="67">
        <v>1.724334201483908E-2</v>
      </c>
      <c r="AB41" s="67">
        <f>_xlfn.XLOOKUP(X41,Density_Weighted_Stock_Weig!Y:Y,Density_Weighted_Stock_Weig!Z:Z)</f>
        <v>8848698.5000000019</v>
      </c>
      <c r="AC41" t="str">
        <f t="shared" si="2"/>
        <v>Below Weighted Average</v>
      </c>
      <c r="AD41" t="str">
        <f t="shared" si="3"/>
        <v>Below Weighted Average</v>
      </c>
      <c r="AE41" s="2" t="str" cm="1">
        <f t="array" ref="AE41">_xlfn.IFS(AND(AC41="Above Weighted Average",AD41="Below Weighted Average"),"3",AND(AC41="Above Weighted Average",AD41="Above Weighted Average"),"4",AND(AC41="Below Weighted Average",AD41="Above Weighted Average"),"2",AND(AC41="Below Weighted Average",AD41="Below Weighted Average"),"1")</f>
        <v>1</v>
      </c>
      <c r="AF41" t="str">
        <f t="shared" si="4"/>
        <v>Below Non Weighted Average</v>
      </c>
      <c r="AG41" t="str">
        <f t="shared" si="5"/>
        <v>Below Non Weighted Average</v>
      </c>
      <c r="AH41" s="2" t="str" cm="1">
        <f t="array" ref="AH41">_xlfn.IFS(AND(AF41="Above Non Weighted Average",AG41="Below Non Weighted Average"),"3",AND(AF41="Above Non Weighted Average",AG41="Above Non Weighted Average"),"4",AND(AF41="Below Non Weighted Average",AG41="Above Non Weighted Average"),"2",AND(AF41="Below Non Weighted Average",AG41="Below Non Weighted Average"),"1")</f>
        <v>1</v>
      </c>
      <c r="AI41" t="b">
        <f t="shared" si="6"/>
        <v>1</v>
      </c>
      <c r="AJ41" t="str">
        <f>IF(Z41&lt;Weighted_average,"Below","Above")</f>
        <v>Below</v>
      </c>
      <c r="AK41" t="str">
        <f>IF(AA41&lt;Stock_grad_ratio,"Below","Above")</f>
        <v>Below</v>
      </c>
      <c r="AL41" t="str">
        <f t="shared" si="7"/>
        <v>BelowBelow</v>
      </c>
      <c r="AM41" t="str">
        <f t="shared" si="8"/>
        <v>Q1</v>
      </c>
      <c r="BD41" s="64" t="s">
        <v>20</v>
      </c>
      <c r="BE41" s="65" t="s">
        <v>159</v>
      </c>
      <c r="BF41" s="47">
        <v>45.6484849222892</v>
      </c>
      <c r="BG41" s="47">
        <v>5.6456748687645337</v>
      </c>
      <c r="BH41" s="47" t="str">
        <f t="shared" si="9"/>
        <v>Above Average</v>
      </c>
      <c r="BI41" s="47" t="str">
        <f t="shared" si="10"/>
        <v>Below Average</v>
      </c>
      <c r="BJ41" s="75" t="str" cm="1">
        <f t="array" ref="BJ41">_xlfn.IFS(AND(BH41="Above Average",BI41="Below Average"),"Q1",AND(BH41="Above Average",BI41="Above Average"),"Q2",AND(BH41="Below Average",BI41="Above Average"),"Q3",AND(BH41="Below Average",BI41="Below Average"),"Q4")</f>
        <v>Q1</v>
      </c>
      <c r="BK41" s="47"/>
    </row>
    <row r="42" spans="1:63" x14ac:dyDescent="0.35">
      <c r="A42" s="64" t="s">
        <v>40</v>
      </c>
      <c r="B42" s="65" t="s">
        <v>180</v>
      </c>
      <c r="C42" s="42">
        <v>0.54793438602622901</v>
      </c>
      <c r="D42" s="52">
        <v>0.1528983974</v>
      </c>
      <c r="E42" s="47">
        <v>110.14054068074168</v>
      </c>
      <c r="H42" s="65" t="s">
        <v>180</v>
      </c>
      <c r="I42" s="3">
        <v>2.0419472041053712</v>
      </c>
      <c r="J42" s="67">
        <v>2.0303780382652743</v>
      </c>
      <c r="K42" s="47">
        <v>110.14054068074168</v>
      </c>
      <c r="L42" s="67">
        <v>107.24524316516025</v>
      </c>
      <c r="M42" s="3">
        <f t="shared" si="0"/>
        <v>2.0419472041053712</v>
      </c>
      <c r="N42" s="3">
        <f t="shared" si="1"/>
        <v>2.0303780382652743</v>
      </c>
      <c r="P42" s="64" t="s">
        <v>40</v>
      </c>
      <c r="Q42" s="65" t="s">
        <v>180</v>
      </c>
      <c r="R42" s="67">
        <v>107.24524316516025</v>
      </c>
      <c r="S42">
        <v>74.345193320567816</v>
      </c>
      <c r="X42" s="64" t="s">
        <v>28</v>
      </c>
      <c r="Y42" s="65" t="s">
        <v>167</v>
      </c>
      <c r="Z42">
        <f>VLOOKUP(Y42,Sheet8!A$3:E$49,5,FALSE)</f>
        <v>6.4341278578313545</v>
      </c>
      <c r="AA42" s="67">
        <v>2.8851050173761102E-2</v>
      </c>
      <c r="AB42" s="67">
        <f>_xlfn.XLOOKUP(X42,Density_Weighted_Stock_Weig!Y:Y,Density_Weighted_Stock_Weig!Z:Z)</f>
        <v>22593590.500000022</v>
      </c>
      <c r="AC42" t="str">
        <f t="shared" si="2"/>
        <v>Below Weighted Average</v>
      </c>
      <c r="AD42" t="str">
        <f t="shared" si="3"/>
        <v>Below Weighted Average</v>
      </c>
      <c r="AE42" s="2" t="str" cm="1">
        <f t="array" ref="AE42">_xlfn.IFS(AND(AC42="Above Weighted Average",AD42="Below Weighted Average"),"3",AND(AC42="Above Weighted Average",AD42="Above Weighted Average"),"4",AND(AC42="Below Weighted Average",AD42="Above Weighted Average"),"2",AND(AC42="Below Weighted Average",AD42="Below Weighted Average"),"1")</f>
        <v>1</v>
      </c>
      <c r="AF42" t="str">
        <f t="shared" si="4"/>
        <v>Below Non Weighted Average</v>
      </c>
      <c r="AG42" t="str">
        <f t="shared" si="5"/>
        <v>Below Non Weighted Average</v>
      </c>
      <c r="AH42" s="2" t="str" cm="1">
        <f t="array" ref="AH42">_xlfn.IFS(AND(AF42="Above Non Weighted Average",AG42="Below Non Weighted Average"),"3",AND(AF42="Above Non Weighted Average",AG42="Above Non Weighted Average"),"4",AND(AF42="Below Non Weighted Average",AG42="Above Non Weighted Average"),"2",AND(AF42="Below Non Weighted Average",AG42="Below Non Weighted Average"),"1")</f>
        <v>1</v>
      </c>
      <c r="AI42" t="b">
        <f t="shared" si="6"/>
        <v>1</v>
      </c>
      <c r="AJ42" t="str">
        <f>IF(Z42&lt;Weighted_average,"Below","Above")</f>
        <v>Below</v>
      </c>
      <c r="AK42" t="str">
        <f>IF(AA42&lt;Stock_grad_ratio,"Below","Above")</f>
        <v>Below</v>
      </c>
      <c r="AL42" t="str">
        <f t="shared" si="7"/>
        <v>BelowBelow</v>
      </c>
      <c r="AM42" t="str">
        <f t="shared" si="8"/>
        <v>Q1</v>
      </c>
      <c r="BD42" s="64" t="s">
        <v>44</v>
      </c>
      <c r="BE42" s="65" t="s">
        <v>183</v>
      </c>
      <c r="BF42" s="47">
        <v>24.594032165143432</v>
      </c>
      <c r="BG42" s="47">
        <v>5.2036992954099146</v>
      </c>
      <c r="BH42" s="47" t="str">
        <f t="shared" si="9"/>
        <v>Below Average</v>
      </c>
      <c r="BI42" s="47" t="str">
        <f t="shared" si="10"/>
        <v>Below Average</v>
      </c>
      <c r="BJ42" s="75" t="str" cm="1">
        <f t="array" ref="BJ42">_xlfn.IFS(AND(BH42="Above Average",BI42="Below Average"),"Q1",AND(BH42="Above Average",BI42="Above Average"),"Q2",AND(BH42="Below Average",BI42="Above Average"),"Q3",AND(BH42="Below Average",BI42="Below Average"),"Q4")</f>
        <v>Q4</v>
      </c>
      <c r="BK42" s="47"/>
    </row>
    <row r="43" spans="1:63" x14ac:dyDescent="0.35">
      <c r="A43" s="64" t="s">
        <v>41</v>
      </c>
      <c r="B43" s="65" t="s">
        <v>181</v>
      </c>
      <c r="C43" s="42">
        <v>0.24952584171475101</v>
      </c>
      <c r="D43" s="52">
        <v>2.10620522E-2</v>
      </c>
      <c r="E43" s="47">
        <v>19.70458233636975</v>
      </c>
      <c r="H43" s="65" t="s">
        <v>181</v>
      </c>
      <c r="I43" s="3">
        <v>1.2945672338764618</v>
      </c>
      <c r="J43" s="67">
        <v>1.3157352315928863</v>
      </c>
      <c r="K43" s="47">
        <v>19.70458233636975</v>
      </c>
      <c r="L43" s="67">
        <v>20.688796680497926</v>
      </c>
      <c r="M43" s="3">
        <f t="shared" si="0"/>
        <v>1.2945672338764618</v>
      </c>
      <c r="N43" s="3">
        <f t="shared" si="1"/>
        <v>1.3157352315928863</v>
      </c>
      <c r="P43" s="64" t="s">
        <v>41</v>
      </c>
      <c r="Q43" s="65" t="s">
        <v>181</v>
      </c>
      <c r="R43" s="67">
        <v>20.688796680497926</v>
      </c>
      <c r="S43">
        <v>7.3360946163777347</v>
      </c>
      <c r="X43" s="64" t="s">
        <v>27</v>
      </c>
      <c r="Y43" s="65" t="s">
        <v>166</v>
      </c>
      <c r="Z43">
        <f>VLOOKUP(Y43,Sheet8!A$3:E$49,5,FALSE)</f>
        <v>6.0858545949756246</v>
      </c>
      <c r="AA43" s="67">
        <v>0.11055331947398996</v>
      </c>
      <c r="AB43" s="67">
        <f>_xlfn.XLOOKUP(X43,Density_Weighted_Stock_Weig!Y:Y,Density_Weighted_Stock_Weig!Z:Z)</f>
        <v>20405316.500000019</v>
      </c>
      <c r="AC43" t="str">
        <f t="shared" si="2"/>
        <v>Below Weighted Average</v>
      </c>
      <c r="AD43" t="str">
        <f t="shared" si="3"/>
        <v>Below Weighted Average</v>
      </c>
      <c r="AE43" s="2" t="str" cm="1">
        <f t="array" ref="AE43">_xlfn.IFS(AND(AC43="Above Weighted Average",AD43="Below Weighted Average"),"3",AND(AC43="Above Weighted Average",AD43="Above Weighted Average"),"4",AND(AC43="Below Weighted Average",AD43="Above Weighted Average"),"2",AND(AC43="Below Weighted Average",AD43="Below Weighted Average"),"1")</f>
        <v>1</v>
      </c>
      <c r="AF43" t="str">
        <f t="shared" si="4"/>
        <v>Below Non Weighted Average</v>
      </c>
      <c r="AG43" t="str">
        <f t="shared" si="5"/>
        <v>Below Non Weighted Average</v>
      </c>
      <c r="AH43" s="2" t="str" cm="1">
        <f t="array" ref="AH43">_xlfn.IFS(AND(AF43="Above Non Weighted Average",AG43="Below Non Weighted Average"),"3",AND(AF43="Above Non Weighted Average",AG43="Above Non Weighted Average"),"4",AND(AF43="Below Non Weighted Average",AG43="Above Non Weighted Average"),"2",AND(AF43="Below Non Weighted Average",AG43="Below Non Weighted Average"),"1")</f>
        <v>1</v>
      </c>
      <c r="AI43" t="b">
        <f t="shared" si="6"/>
        <v>1</v>
      </c>
      <c r="AJ43" t="str">
        <f>IF(Z43&lt;Weighted_average,"Below","Above")</f>
        <v>Below</v>
      </c>
      <c r="AK43" t="str">
        <f>IF(AA43&lt;Stock_grad_ratio,"Below","Above")</f>
        <v>Below</v>
      </c>
      <c r="AL43" t="str">
        <f t="shared" si="7"/>
        <v>BelowBelow</v>
      </c>
      <c r="AM43" t="str">
        <f t="shared" si="8"/>
        <v>Q1</v>
      </c>
      <c r="BD43" s="64" t="s">
        <v>24</v>
      </c>
      <c r="BE43" s="65" t="s">
        <v>163</v>
      </c>
      <c r="BF43" s="47">
        <v>19.737356151637165</v>
      </c>
      <c r="BG43" s="47">
        <v>4.6148174783924176</v>
      </c>
      <c r="BH43" s="47" t="str">
        <f t="shared" si="9"/>
        <v>Below Average</v>
      </c>
      <c r="BI43" s="47" t="str">
        <f t="shared" si="10"/>
        <v>Below Average</v>
      </c>
      <c r="BJ43" s="75" t="str" cm="1">
        <f t="array" ref="BJ43">_xlfn.IFS(AND(BH43="Above Average",BI43="Below Average"),"Q1",AND(BH43="Above Average",BI43="Above Average"),"Q2",AND(BH43="Below Average",BI43="Above Average"),"Q3",AND(BH43="Below Average",BI43="Below Average"),"Q4")</f>
        <v>Q4</v>
      </c>
      <c r="BK43" s="47"/>
    </row>
    <row r="44" spans="1:63" ht="29" x14ac:dyDescent="0.35">
      <c r="A44" s="64" t="s">
        <v>43</v>
      </c>
      <c r="B44" s="65" t="s">
        <v>182</v>
      </c>
      <c r="C44" s="42">
        <v>0.25088889751308202</v>
      </c>
      <c r="D44" s="52">
        <v>5.3817400899999999E-2</v>
      </c>
      <c r="E44" s="47">
        <v>30.235229462209936</v>
      </c>
      <c r="H44" s="65" t="s">
        <v>182</v>
      </c>
      <c r="I44" s="3">
        <v>1.4805132689166067</v>
      </c>
      <c r="J44" s="67">
        <v>1.0252800151720924</v>
      </c>
      <c r="K44" s="47">
        <v>30.235229462209936</v>
      </c>
      <c r="L44" s="67">
        <v>10.599369085173501</v>
      </c>
      <c r="M44" s="3">
        <f t="shared" si="0"/>
        <v>1.4805132689166067</v>
      </c>
      <c r="N44" s="3">
        <f t="shared" si="1"/>
        <v>1.0252800151720924</v>
      </c>
      <c r="P44" s="64" t="s">
        <v>43</v>
      </c>
      <c r="Q44" s="65" t="s">
        <v>182</v>
      </c>
      <c r="R44" s="67">
        <v>10.599369085173501</v>
      </c>
      <c r="S44">
        <v>5.9036930685343147</v>
      </c>
      <c r="X44" s="64" t="s">
        <v>26</v>
      </c>
      <c r="Y44" s="65" t="s">
        <v>165</v>
      </c>
      <c r="Z44">
        <f>VLOOKUP(Y44,Sheet8!A$3:E$49,5,FALSE)</f>
        <v>4.761050716296678</v>
      </c>
      <c r="AA44" s="67">
        <v>1.6248352424433531E-2</v>
      </c>
      <c r="AB44" s="67">
        <f>_xlfn.XLOOKUP(X44,Density_Weighted_Stock_Weig!Y:Y,Density_Weighted_Stock_Weig!Z:Z)</f>
        <v>29611714.000000004</v>
      </c>
      <c r="AC44" t="str">
        <f t="shared" si="2"/>
        <v>Below Weighted Average</v>
      </c>
      <c r="AD44" t="str">
        <f t="shared" si="3"/>
        <v>Below Weighted Average</v>
      </c>
      <c r="AE44" s="2" t="str" cm="1">
        <f t="array" ref="AE44">_xlfn.IFS(AND(AC44="Above Weighted Average",AD44="Below Weighted Average"),"3",AND(AC44="Above Weighted Average",AD44="Above Weighted Average"),"4",AND(AC44="Below Weighted Average",AD44="Above Weighted Average"),"2",AND(AC44="Below Weighted Average",AD44="Below Weighted Average"),"1")</f>
        <v>1</v>
      </c>
      <c r="AF44" t="str">
        <f t="shared" si="4"/>
        <v>Below Non Weighted Average</v>
      </c>
      <c r="AG44" t="str">
        <f t="shared" si="5"/>
        <v>Below Non Weighted Average</v>
      </c>
      <c r="AH44" s="2" t="str" cm="1">
        <f t="array" ref="AH44">_xlfn.IFS(AND(AF44="Above Non Weighted Average",AG44="Below Non Weighted Average"),"3",AND(AF44="Above Non Weighted Average",AG44="Above Non Weighted Average"),"4",AND(AF44="Below Non Weighted Average",AG44="Above Non Weighted Average"),"2",AND(AF44="Below Non Weighted Average",AG44="Below Non Weighted Average"),"1")</f>
        <v>1</v>
      </c>
      <c r="AI44" t="b">
        <f t="shared" si="6"/>
        <v>1</v>
      </c>
      <c r="AJ44" t="str">
        <f>IF(Z44&lt;Weighted_average,"Below","Above")</f>
        <v>Below</v>
      </c>
      <c r="AK44" t="str">
        <f>IF(AA44&lt;Stock_grad_ratio,"Below","Above")</f>
        <v>Below</v>
      </c>
      <c r="AL44" t="str">
        <f t="shared" si="7"/>
        <v>BelowBelow</v>
      </c>
      <c r="AM44" t="str">
        <f t="shared" si="8"/>
        <v>Q1</v>
      </c>
      <c r="BD44" s="64" t="s">
        <v>82</v>
      </c>
      <c r="BE44" s="65" t="s">
        <v>151</v>
      </c>
      <c r="BF44" s="47">
        <v>14.104125276326323</v>
      </c>
      <c r="BG44" s="47">
        <v>4.5412705268813731</v>
      </c>
      <c r="BH44" s="47" t="str">
        <f t="shared" si="9"/>
        <v>Below Average</v>
      </c>
      <c r="BI44" s="47" t="str">
        <f t="shared" si="10"/>
        <v>Below Average</v>
      </c>
      <c r="BJ44" s="75" t="str" cm="1">
        <f t="array" ref="BJ44">_xlfn.IFS(AND(BH44="Above Average",BI44="Below Average"),"Q1",AND(BH44="Above Average",BI44="Above Average"),"Q2",AND(BH44="Below Average",BI44="Above Average"),"Q3",AND(BH44="Below Average",BI44="Below Average"),"Q4")</f>
        <v>Q4</v>
      </c>
      <c r="BK44" s="47"/>
    </row>
    <row r="45" spans="1:63" x14ac:dyDescent="0.35">
      <c r="A45" s="64" t="s">
        <v>44</v>
      </c>
      <c r="B45" s="65" t="s">
        <v>183</v>
      </c>
      <c r="C45" s="42">
        <v>0.56299999999999994</v>
      </c>
      <c r="D45" s="52">
        <v>3.1388299500000001E-2</v>
      </c>
      <c r="E45" s="47">
        <v>70.939806529751905</v>
      </c>
      <c r="H45" s="65" t="s">
        <v>183</v>
      </c>
      <c r="I45" s="3">
        <v>1.8508899997099904</v>
      </c>
      <c r="J45" s="67">
        <v>0.71631219217137176</v>
      </c>
      <c r="K45" s="47">
        <v>70.939806529751905</v>
      </c>
      <c r="L45" s="67">
        <v>5.2036992954099146</v>
      </c>
      <c r="M45" s="3">
        <f t="shared" si="0"/>
        <v>1.8508899997099904</v>
      </c>
      <c r="N45" s="3">
        <f t="shared" si="1"/>
        <v>0.71631219217137176</v>
      </c>
      <c r="P45" s="64" t="s">
        <v>44</v>
      </c>
      <c r="Q45" s="65" t="s">
        <v>183</v>
      </c>
      <c r="R45" s="67">
        <v>5.2036992954099146</v>
      </c>
      <c r="S45">
        <v>24.594032165143432</v>
      </c>
      <c r="X45" s="64" t="s">
        <v>21</v>
      </c>
      <c r="Y45" s="65" t="s">
        <v>160</v>
      </c>
      <c r="Z45">
        <f>VLOOKUP(Y45,Sheet8!A$3:E$49,5,FALSE)</f>
        <v>4.7602626385103033</v>
      </c>
      <c r="AA45" s="67">
        <v>8.0368887050234518E-3</v>
      </c>
      <c r="AB45" s="67">
        <f>_xlfn.XLOOKUP(X45,Density_Weighted_Stock_Weig!Y:Y,Density_Weighted_Stock_Weig!Z:Z)</f>
        <v>13859340.500000006</v>
      </c>
      <c r="AC45" t="str">
        <f t="shared" si="2"/>
        <v>Below Weighted Average</v>
      </c>
      <c r="AD45" t="str">
        <f t="shared" si="3"/>
        <v>Below Weighted Average</v>
      </c>
      <c r="AE45" s="2" t="str" cm="1">
        <f t="array" ref="AE45">_xlfn.IFS(AND(AC45="Above Weighted Average",AD45="Below Weighted Average"),"3",AND(AC45="Above Weighted Average",AD45="Above Weighted Average"),"4",AND(AC45="Below Weighted Average",AD45="Above Weighted Average"),"2",AND(AC45="Below Weighted Average",AD45="Below Weighted Average"),"1")</f>
        <v>1</v>
      </c>
      <c r="AF45" t="str">
        <f t="shared" si="4"/>
        <v>Below Non Weighted Average</v>
      </c>
      <c r="AG45" t="str">
        <f t="shared" si="5"/>
        <v>Below Non Weighted Average</v>
      </c>
      <c r="AH45" s="2" t="str" cm="1">
        <f t="array" ref="AH45">_xlfn.IFS(AND(AF45="Above Non Weighted Average",AG45="Below Non Weighted Average"),"3",AND(AF45="Above Non Weighted Average",AG45="Above Non Weighted Average"),"4",AND(AF45="Below Non Weighted Average",AG45="Above Non Weighted Average"),"2",AND(AF45="Below Non Weighted Average",AG45="Below Non Weighted Average"),"1")</f>
        <v>1</v>
      </c>
      <c r="AI45" t="b">
        <f t="shared" si="6"/>
        <v>1</v>
      </c>
      <c r="AJ45" t="str">
        <f>IF(Z45&lt;Weighted_average,"Below","Above")</f>
        <v>Below</v>
      </c>
      <c r="AK45" t="str">
        <f>IF(AA45&lt;Stock_grad_ratio,"Below","Above")</f>
        <v>Below</v>
      </c>
      <c r="AL45" t="str">
        <f t="shared" si="7"/>
        <v>BelowBelow</v>
      </c>
      <c r="AM45" t="str">
        <f t="shared" si="8"/>
        <v>Q1</v>
      </c>
      <c r="BD45" s="64" t="s">
        <v>26</v>
      </c>
      <c r="BE45" s="65" t="s">
        <v>165</v>
      </c>
      <c r="BF45" s="47">
        <v>4.654914605753655</v>
      </c>
      <c r="BG45" s="47">
        <v>3.4278711484593836</v>
      </c>
      <c r="BH45" s="47" t="str">
        <f t="shared" si="9"/>
        <v>Below Average</v>
      </c>
      <c r="BI45" s="47" t="str">
        <f t="shared" si="10"/>
        <v>Below Average</v>
      </c>
      <c r="BJ45" s="75" t="str" cm="1">
        <f t="array" ref="BJ45">_xlfn.IFS(AND(BH45="Above Average",BI45="Below Average"),"Q1",AND(BH45="Above Average",BI45="Above Average"),"Q2",AND(BH45="Below Average",BI45="Above Average"),"Q3",AND(BH45="Below Average",BI45="Below Average"),"Q4")</f>
        <v>Q4</v>
      </c>
      <c r="BK45" s="47"/>
    </row>
    <row r="46" spans="1:63" x14ac:dyDescent="0.35">
      <c r="A46" s="64" t="s">
        <v>42</v>
      </c>
      <c r="B46" s="65" t="s">
        <v>184</v>
      </c>
      <c r="C46" s="42">
        <v>0.56999999999999995</v>
      </c>
      <c r="D46" s="52">
        <v>9.4023561499999991E-2</v>
      </c>
      <c r="E46" s="47">
        <v>28.683351968574311</v>
      </c>
      <c r="H46" s="65" t="s">
        <v>184</v>
      </c>
      <c r="I46" s="3">
        <v>1.4576299021000942</v>
      </c>
      <c r="J46" s="67">
        <v>1.0969955271941416</v>
      </c>
      <c r="K46" s="47">
        <v>28.683351968574311</v>
      </c>
      <c r="L46" s="67">
        <v>12.502461538461539</v>
      </c>
      <c r="M46" s="3">
        <f t="shared" si="0"/>
        <v>1.4576299021000942</v>
      </c>
      <c r="N46" s="3">
        <f t="shared" si="1"/>
        <v>1.0969955271941416</v>
      </c>
      <c r="P46" s="64" t="s">
        <v>42</v>
      </c>
      <c r="Q46" s="65" t="s">
        <v>184</v>
      </c>
      <c r="R46" s="67">
        <v>12.502461538461539</v>
      </c>
      <c r="S46">
        <v>6.2037247448568724</v>
      </c>
      <c r="X46" s="64" t="s">
        <v>9</v>
      </c>
      <c r="Y46" s="65" t="s">
        <v>145</v>
      </c>
      <c r="Z46">
        <f>VLOOKUP(Y46,Sheet8!A$3:E$49,5,FALSE)</f>
        <v>3.5764373051455833</v>
      </c>
      <c r="AA46" s="67">
        <v>3.5684009669101325E-3</v>
      </c>
      <c r="AB46" s="67">
        <f>_xlfn.XLOOKUP(X46,Density_Weighted_Stock_Weig!Y:Y,Density_Weighted_Stock_Weig!Z:Z)</f>
        <v>17723314.500000004</v>
      </c>
      <c r="AC46" t="str">
        <f t="shared" si="2"/>
        <v>Below Weighted Average</v>
      </c>
      <c r="AD46" t="str">
        <f t="shared" si="3"/>
        <v>Below Weighted Average</v>
      </c>
      <c r="AE46" s="2" t="str" cm="1">
        <f t="array" ref="AE46">_xlfn.IFS(AND(AC46="Above Weighted Average",AD46="Below Weighted Average"),"3",AND(AC46="Above Weighted Average",AD46="Above Weighted Average"),"4",AND(AC46="Below Weighted Average",AD46="Above Weighted Average"),"2",AND(AC46="Below Weighted Average",AD46="Below Weighted Average"),"1")</f>
        <v>1</v>
      </c>
      <c r="AF46" t="str">
        <f t="shared" si="4"/>
        <v>Below Non Weighted Average</v>
      </c>
      <c r="AG46" t="str">
        <f t="shared" si="5"/>
        <v>Below Non Weighted Average</v>
      </c>
      <c r="AH46" s="2" t="str" cm="1">
        <f t="array" ref="AH46">_xlfn.IFS(AND(AF46="Above Non Weighted Average",AG46="Below Non Weighted Average"),"3",AND(AF46="Above Non Weighted Average",AG46="Above Non Weighted Average"),"4",AND(AF46="Below Non Weighted Average",AG46="Above Non Weighted Average"),"2",AND(AF46="Below Non Weighted Average",AG46="Below Non Weighted Average"),"1")</f>
        <v>1</v>
      </c>
      <c r="AI46" t="b">
        <f t="shared" si="6"/>
        <v>1</v>
      </c>
      <c r="AJ46" t="str">
        <f>IF(Z46&lt;Weighted_average,"Below","Above")</f>
        <v>Below</v>
      </c>
      <c r="AK46" t="str">
        <f>IF(AA46&lt;Stock_grad_ratio,"Below","Above")</f>
        <v>Below</v>
      </c>
      <c r="AL46" t="str">
        <f t="shared" si="7"/>
        <v>BelowBelow</v>
      </c>
      <c r="AM46" t="str">
        <f t="shared" si="8"/>
        <v>Q1</v>
      </c>
      <c r="BD46" s="64" t="s">
        <v>21</v>
      </c>
      <c r="BE46" s="65" t="s">
        <v>160</v>
      </c>
      <c r="BF46" s="47">
        <v>4.5119996321234597</v>
      </c>
      <c r="BG46" s="47">
        <v>3.096666017972511</v>
      </c>
      <c r="BH46" s="47" t="str">
        <f t="shared" si="9"/>
        <v>Below Average</v>
      </c>
      <c r="BI46" s="47" t="str">
        <f t="shared" si="10"/>
        <v>Below Average</v>
      </c>
      <c r="BJ46" s="75" t="str" cm="1">
        <f t="array" ref="BJ46">_xlfn.IFS(AND(BH46="Above Average",BI46="Below Average"),"Q1",AND(BH46="Above Average",BI46="Above Average"),"Q2",AND(BH46="Below Average",BI46="Above Average"),"Q3",AND(BH46="Below Average",BI46="Below Average"),"Q4")</f>
        <v>Q4</v>
      </c>
      <c r="BK46" s="47"/>
    </row>
    <row r="47" spans="1:63" x14ac:dyDescent="0.35">
      <c r="A47" s="64" t="s">
        <v>45</v>
      </c>
      <c r="B47" s="65" t="s">
        <v>185</v>
      </c>
      <c r="C47" s="42">
        <v>0.26773290915292702</v>
      </c>
      <c r="D47" s="52">
        <v>7.1645693799999993E-2</v>
      </c>
      <c r="E47" s="47">
        <v>55.939473332937403</v>
      </c>
      <c r="H47" s="65" t="s">
        <v>185</v>
      </c>
      <c r="I47" s="3">
        <v>1.7477183731961123</v>
      </c>
      <c r="J47" s="67">
        <v>1.0219585611420867</v>
      </c>
      <c r="K47" s="47">
        <v>55.939473332937403</v>
      </c>
      <c r="L47" s="67">
        <v>10.51861504095309</v>
      </c>
      <c r="M47" s="3">
        <f t="shared" si="0"/>
        <v>1.7477183731961123</v>
      </c>
      <c r="N47" s="3">
        <f t="shared" si="1"/>
        <v>1.0219585611420867</v>
      </c>
      <c r="P47" s="64" t="s">
        <v>45</v>
      </c>
      <c r="Q47" s="65" t="s">
        <v>185</v>
      </c>
      <c r="R47" s="67">
        <v>10.51861504095309</v>
      </c>
      <c r="S47">
        <v>32.824990914279496</v>
      </c>
      <c r="X47" s="64" t="s">
        <v>8</v>
      </c>
      <c r="Y47" s="65" t="s">
        <v>144</v>
      </c>
      <c r="Z47">
        <f>VLOOKUP(Y47,Sheet8!A$3:E$49,5,FALSE)</f>
        <v>2.4089830338186218</v>
      </c>
      <c r="AA47" s="67">
        <v>2.485988356566572E-3</v>
      </c>
      <c r="AB47" s="67">
        <f>_xlfn.XLOOKUP(X47,Density_Weighted_Stock_Weig!Y:Y,Density_Weighted_Stock_Weig!Z:Z)</f>
        <v>5579143.5000000047</v>
      </c>
      <c r="AC47" t="str">
        <f t="shared" si="2"/>
        <v>Below Weighted Average</v>
      </c>
      <c r="AD47" t="str">
        <f t="shared" si="3"/>
        <v>Below Weighted Average</v>
      </c>
      <c r="AE47" s="2" t="str" cm="1">
        <f t="array" ref="AE47">_xlfn.IFS(AND(AC47="Above Weighted Average",AD47="Below Weighted Average"),"3",AND(AC47="Above Weighted Average",AD47="Above Weighted Average"),"4",AND(AC47="Below Weighted Average",AD47="Above Weighted Average"),"2",AND(AC47="Below Weighted Average",AD47="Below Weighted Average"),"1")</f>
        <v>1</v>
      </c>
      <c r="AF47" t="str">
        <f t="shared" si="4"/>
        <v>Below Non Weighted Average</v>
      </c>
      <c r="AG47" t="str">
        <f t="shared" si="5"/>
        <v>Below Non Weighted Average</v>
      </c>
      <c r="AH47" s="2" t="str" cm="1">
        <f t="array" ref="AH47">_xlfn.IFS(AND(AF47="Above Non Weighted Average",AG47="Below Non Weighted Average"),"3",AND(AF47="Above Non Weighted Average",AG47="Above Non Weighted Average"),"4",AND(AF47="Below Non Weighted Average",AG47="Above Non Weighted Average"),"2",AND(AF47="Below Non Weighted Average",AG47="Below Non Weighted Average"),"1")</f>
        <v>1</v>
      </c>
      <c r="AI47" t="b">
        <f t="shared" si="6"/>
        <v>1</v>
      </c>
      <c r="AJ47" t="str">
        <f>IF(Z47&lt;Weighted_average,"Below","Above")</f>
        <v>Below</v>
      </c>
      <c r="AK47" t="str">
        <f>IF(AA47&lt;Stock_grad_ratio,"Below","Above")</f>
        <v>Below</v>
      </c>
      <c r="AL47" t="str">
        <f t="shared" si="7"/>
        <v>BelowBelow</v>
      </c>
      <c r="AM47" t="str">
        <f t="shared" si="8"/>
        <v>Q1</v>
      </c>
      <c r="BD47" s="64" t="s">
        <v>9</v>
      </c>
      <c r="BE47" s="65" t="s">
        <v>145</v>
      </c>
      <c r="BF47" s="47">
        <v>3.2716188953202665</v>
      </c>
      <c r="BG47" s="47">
        <v>1.5058928414930488</v>
      </c>
      <c r="BH47" s="47" t="str">
        <f t="shared" si="9"/>
        <v>Below Average</v>
      </c>
      <c r="BI47" s="47" t="str">
        <f t="shared" si="10"/>
        <v>Below Average</v>
      </c>
      <c r="BJ47" s="75" t="str" cm="1">
        <f t="array" ref="BJ47">_xlfn.IFS(AND(BH47="Above Average",BI47="Below Average"),"Q1",AND(BH47="Above Average",BI47="Above Average"),"Q2",AND(BH47="Below Average",BI47="Above Average"),"Q3",AND(BH47="Below Average",BI47="Below Average"),"Q4")</f>
        <v>Q4</v>
      </c>
      <c r="BK47" s="47"/>
    </row>
    <row r="48" spans="1:63" ht="15" thickBot="1" x14ac:dyDescent="0.4">
      <c r="A48" s="66" t="s">
        <v>46</v>
      </c>
      <c r="B48" s="65" t="s">
        <v>186</v>
      </c>
      <c r="C48" s="42">
        <v>0.35</v>
      </c>
      <c r="D48" s="52">
        <v>5.1729364399999998E-2</v>
      </c>
      <c r="E48" s="47">
        <v>64.042986580794391</v>
      </c>
      <c r="H48" s="65" t="s">
        <v>186</v>
      </c>
      <c r="I48" s="3">
        <v>1.8064715766094552</v>
      </c>
      <c r="J48" s="67">
        <v>1.560949253118078</v>
      </c>
      <c r="K48" s="47">
        <v>64.042986580794391</v>
      </c>
      <c r="L48" s="67">
        <v>36.387251549841309</v>
      </c>
      <c r="M48" s="3">
        <f t="shared" si="0"/>
        <v>1.8064715766094552</v>
      </c>
      <c r="N48" s="3">
        <f t="shared" si="1"/>
        <v>1.560949253118078</v>
      </c>
      <c r="P48" s="66" t="s">
        <v>46</v>
      </c>
      <c r="Q48" s="65" t="s">
        <v>186</v>
      </c>
      <c r="R48" s="67">
        <v>36.387251549841309</v>
      </c>
      <c r="S48">
        <v>36.315960905902422</v>
      </c>
      <c r="X48" s="66" t="s">
        <v>33</v>
      </c>
      <c r="Y48" s="65" t="s">
        <v>172</v>
      </c>
      <c r="Z48">
        <f>VLOOKUP(Y48,Sheet8!A$3:E$49,5,FALSE)</f>
        <v>2.3568659730003425</v>
      </c>
      <c r="AA48" s="67">
        <v>1.9926449549161531E-2</v>
      </c>
      <c r="AB48" s="67">
        <f>_xlfn.XLOOKUP(X48,Density_Weighted_Stock_Weig!Y:Y,Density_Weighted_Stock_Weig!Z:Z)</f>
        <v>26207976.5</v>
      </c>
      <c r="AC48" t="str">
        <f t="shared" si="2"/>
        <v>Below Weighted Average</v>
      </c>
      <c r="AD48" t="str">
        <f t="shared" si="3"/>
        <v>Below Weighted Average</v>
      </c>
      <c r="AE48" s="2" t="str" cm="1">
        <f t="array" ref="AE48">_xlfn.IFS(AND(AC48="Above Weighted Average",AD48="Below Weighted Average"),"3",AND(AC48="Above Weighted Average",AD48="Above Weighted Average"),"4",AND(AC48="Below Weighted Average",AD48="Above Weighted Average"),"2",AND(AC48="Below Weighted Average",AD48="Below Weighted Average"),"1")</f>
        <v>1</v>
      </c>
      <c r="AF48" t="str">
        <f t="shared" si="4"/>
        <v>Below Non Weighted Average</v>
      </c>
      <c r="AG48" t="str">
        <f t="shared" si="5"/>
        <v>Below Non Weighted Average</v>
      </c>
      <c r="AH48" s="2" t="str" cm="1">
        <f t="array" ref="AH48">_xlfn.IFS(AND(AF48="Above Non Weighted Average",AG48="Below Non Weighted Average"),"3",AND(AF48="Above Non Weighted Average",AG48="Above Non Weighted Average"),"4",AND(AF48="Below Non Weighted Average",AG48="Above Non Weighted Average"),"2",AND(AF48="Below Non Weighted Average",AG48="Below Non Weighted Average"),"1")</f>
        <v>1</v>
      </c>
      <c r="AI48" t="b">
        <f t="shared" si="6"/>
        <v>1</v>
      </c>
      <c r="AJ48" t="str">
        <f>IF(Z48&lt;Weighted_average,"Below","Above")</f>
        <v>Below</v>
      </c>
      <c r="AK48" t="str">
        <f>IF(AA48&lt;Stock_grad_ratio,"Below","Above")</f>
        <v>Below</v>
      </c>
      <c r="AL48" t="str">
        <f t="shared" si="7"/>
        <v>BelowBelow</v>
      </c>
      <c r="AM48" t="str">
        <f t="shared" si="8"/>
        <v>Q1</v>
      </c>
      <c r="BD48" s="66" t="s">
        <v>14</v>
      </c>
      <c r="BE48" s="65" t="s">
        <v>152</v>
      </c>
      <c r="BF48" s="47">
        <v>10.007213798082931</v>
      </c>
      <c r="BG48" s="47">
        <v>0.95412514516632685</v>
      </c>
      <c r="BH48" s="47" t="str">
        <f t="shared" si="9"/>
        <v>Below Average</v>
      </c>
      <c r="BI48" s="47" t="str">
        <f t="shared" si="10"/>
        <v>Below Average</v>
      </c>
      <c r="BJ48" s="75" t="str" cm="1">
        <f t="array" ref="BJ48">_xlfn.IFS(AND(BH48="Above Average",BI48="Below Average"),"Q1",AND(BH48="Above Average",BI48="Above Average"),"Q2",AND(BH48="Below Average",BI48="Above Average"),"Q3",AND(BH48="Below Average",BI48="Below Average"),"Q4")</f>
        <v>Q4</v>
      </c>
      <c r="BK48" s="47"/>
    </row>
    <row r="49" spans="1:63" ht="15" thickTop="1" x14ac:dyDescent="0.35">
      <c r="A49" s="53"/>
      <c r="B49" s="53" t="s">
        <v>103</v>
      </c>
      <c r="C49" s="54">
        <f>+AVERAGE(C2:C48)</f>
        <v>0.42362639990663958</v>
      </c>
      <c r="D49" s="54">
        <f>+AVERAGE(D2:D48)</f>
        <v>7.287659531276594E-2</v>
      </c>
      <c r="E49" s="62">
        <v>53.428046434715839</v>
      </c>
      <c r="I49" s="3"/>
      <c r="J49" s="69" t="s">
        <v>103</v>
      </c>
      <c r="K49" s="70">
        <f>AVERAGE(K2:K48)</f>
        <v>53.428046434715839</v>
      </c>
      <c r="L49" s="70">
        <f>AVERAGE(L2:L48)</f>
        <v>22.857935830441416</v>
      </c>
      <c r="M49" s="72">
        <f>AVERAGE(M2:M48)</f>
        <v>1.5963917396917788</v>
      </c>
      <c r="N49" s="72">
        <f>AVERAGE(N2:N48)</f>
        <v>1.1692594227645297</v>
      </c>
      <c r="P49" s="53"/>
      <c r="Q49" s="69" t="s">
        <v>103</v>
      </c>
      <c r="R49" s="70">
        <f>AVERAGE(R2:R48)</f>
        <v>22.857935830441416</v>
      </c>
      <c r="S49" s="70">
        <f>AVERAGE(S2:S48)</f>
        <v>24.652809013022065</v>
      </c>
      <c r="X49" s="53"/>
      <c r="Y49" s="69" t="s">
        <v>272</v>
      </c>
      <c r="Z49" s="116">
        <f>SUMPRODUCT(Z2:Z48,$AB$2:$AB$48)/SUM($AB$2:$AB$48)</f>
        <v>21.874935406426967</v>
      </c>
      <c r="AA49" s="136">
        <v>0.81688089791874108</v>
      </c>
      <c r="AB49" s="67"/>
      <c r="AL49" t="str">
        <f t="shared" si="7"/>
        <v/>
      </c>
      <c r="BD49" s="53"/>
      <c r="BE49" s="69" t="s">
        <v>103</v>
      </c>
      <c r="BF49" s="72">
        <f>AVERAGE(BF2:BF48)</f>
        <v>24.652809013022068</v>
      </c>
      <c r="BG49" s="72">
        <f>AVERAGE(BG2:BG48)</f>
        <v>22.857935830441416</v>
      </c>
      <c r="BH49" s="47" t="str">
        <f t="shared" si="9"/>
        <v>Below Average</v>
      </c>
      <c r="BI49" s="47" t="str">
        <f t="shared" si="10"/>
        <v>Below Average</v>
      </c>
      <c r="BJ49" s="75" t="str" cm="1">
        <f t="array" ref="BJ49">_xlfn.IFS(AND(BH49="Above Average",BI49="Below Average"),"Q1",AND(BH49="Above Average",BI49="Above Average"),"Q2",AND(BH49="Below Average",BI49="Above Average"),"Q3",AND(BH49="Below Average",BI49="Below Average"),"Q4")</f>
        <v>Q4</v>
      </c>
      <c r="BK49" s="47"/>
    </row>
    <row r="50" spans="1:63" x14ac:dyDescent="0.35">
      <c r="A50" s="55"/>
      <c r="B50" s="56" t="s">
        <v>99</v>
      </c>
      <c r="C50" s="57">
        <f>MEDIAN(C2:C48)</f>
        <v>0.45</v>
      </c>
      <c r="D50" s="57">
        <f>MEDIAN(D2:D48)</f>
        <v>6.8515443800000006E-2</v>
      </c>
      <c r="E50" s="63">
        <v>38.456345697593264</v>
      </c>
      <c r="J50" s="71" t="s">
        <v>190</v>
      </c>
      <c r="K50" s="72">
        <f>MIN($K$2:$K$48)</f>
        <v>4.955848322257995</v>
      </c>
      <c r="L50" s="72">
        <f>MIN($L$2:$L$48)</f>
        <v>0.95412514516632685</v>
      </c>
      <c r="M50" s="72">
        <f>MIN($K$2:$K$48)</f>
        <v>4.955848322257995</v>
      </c>
      <c r="N50" s="72">
        <f>MIN($L$2:$L$48)</f>
        <v>0.95412514516632685</v>
      </c>
      <c r="P50" s="55"/>
      <c r="Q50" s="71" t="s">
        <v>190</v>
      </c>
      <c r="R50" s="72">
        <f>MIN($R$2:$R$48)</f>
        <v>0.95412514516632685</v>
      </c>
      <c r="S50" s="72">
        <f>MIN($S$2:$S$48)</f>
        <v>2.3259582036922208</v>
      </c>
      <c r="X50" s="55"/>
      <c r="Y50" s="71" t="s">
        <v>103</v>
      </c>
      <c r="Z50" s="72">
        <f>AVERAGE(Z2:Z48)</f>
        <v>26.78434953235838</v>
      </c>
      <c r="AA50" s="136">
        <f>AVERAGE(AA2:AA48)</f>
        <v>0.81688089791874108</v>
      </c>
      <c r="AB50" s="67"/>
      <c r="AL50" t="str">
        <f t="shared" si="7"/>
        <v/>
      </c>
      <c r="BD50" s="55"/>
      <c r="BE50" s="71" t="s">
        <v>190</v>
      </c>
      <c r="BF50" s="72">
        <f>MIN(BF3:BF49)</f>
        <v>2.3259582036922208</v>
      </c>
      <c r="BG50" s="72">
        <f>MIN($R$2:$R$48)</f>
        <v>0.95412514516632685</v>
      </c>
      <c r="BH50" s="47" t="str">
        <f t="shared" si="9"/>
        <v>Below Average</v>
      </c>
      <c r="BI50" s="47" t="str">
        <f t="shared" si="10"/>
        <v>Below Average</v>
      </c>
      <c r="BJ50" s="75" t="str" cm="1">
        <f t="array" ref="BJ50">_xlfn.IFS(AND(BH50="Above Average",BI50="Below Average"),"Q1",AND(BH50="Above Average",BI50="Above Average"),"Q2",AND(BH50="Below Average",BI50="Above Average"),"Q3",AND(BH50="Below Average",BI50="Below Average"),"Q4")</f>
        <v>Q4</v>
      </c>
      <c r="BK50" s="47"/>
    </row>
    <row r="51" spans="1:63" x14ac:dyDescent="0.35">
      <c r="J51" s="71" t="s">
        <v>191</v>
      </c>
      <c r="K51" s="72">
        <f>MAX($K$2:$K$48)</f>
        <v>296.4662893379861</v>
      </c>
      <c r="L51" s="72">
        <f>MAX($L$2:$L$48)</f>
        <v>107.24524316516025</v>
      </c>
      <c r="M51" s="72">
        <f>MAX($K$2:$K$48)</f>
        <v>296.4662893379861</v>
      </c>
      <c r="N51" s="72">
        <f>MAX($L$2:$L$48)</f>
        <v>107.24524316516025</v>
      </c>
      <c r="Q51" s="71" t="s">
        <v>191</v>
      </c>
      <c r="R51" s="72">
        <f>MAX($R$2:$R$48)</f>
        <v>107.24524316516025</v>
      </c>
      <c r="S51" s="72">
        <f>MAX($S$2:$S$48)</f>
        <v>213.24893351885851</v>
      </c>
      <c r="Y51" s="71"/>
      <c r="Z51" s="109"/>
      <c r="AA51" s="109"/>
      <c r="AB51" s="67"/>
      <c r="AL51" t="str">
        <f t="shared" si="7"/>
        <v/>
      </c>
      <c r="BE51" s="71" t="s">
        <v>191</v>
      </c>
      <c r="BF51" s="72">
        <f t="shared" ref="BF51" si="11">AVERAGE(BF4:BF50)</f>
        <v>23.162248204727995</v>
      </c>
      <c r="BG51" s="72">
        <f>MAX($R$2:$R$48)</f>
        <v>107.24524316516025</v>
      </c>
      <c r="BH51" s="47" t="str">
        <f t="shared" si="9"/>
        <v>Below Average</v>
      </c>
      <c r="BI51" s="47" t="str">
        <f t="shared" si="10"/>
        <v>Above Average</v>
      </c>
      <c r="BJ51" s="75" t="str" cm="1">
        <f t="array" ref="BJ51">_xlfn.IFS(AND(BH51="Above Average",BI51="Below Average"),"Q1",AND(BH51="Above Average",BI51="Above Average"),"Q2",AND(BH51="Below Average",BI51="Above Average"),"Q3",AND(BH51="Below Average",BI51="Below Average"),"Q4")</f>
        <v>Q3</v>
      </c>
      <c r="BK51" s="47"/>
    </row>
  </sheetData>
  <autoFilter ref="X1:AM51" xr:uid="{6BC9B1F0-0C78-43BA-A9F5-1112B78BD0B6}">
    <filterColumn colId="5" showButton="0"/>
  </autoFilter>
  <sortState xmlns:xlrd2="http://schemas.microsoft.com/office/spreadsheetml/2017/richdata2" ref="BD2:BG48">
    <sortCondition descending="1" ref="BG2:BG48"/>
  </sortState>
  <mergeCells count="1">
    <mergeCell ref="AC1:AD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1349-45F2-45C0-BE5E-19E0BD402324}">
  <dimension ref="A3:F52"/>
  <sheetViews>
    <sheetView workbookViewId="0">
      <selection activeCell="A3" sqref="A3"/>
    </sheetView>
  </sheetViews>
  <sheetFormatPr defaultRowHeight="14.5" x14ac:dyDescent="0.35"/>
  <cols>
    <col min="1" max="1" width="29.36328125" bestFit="1" customWidth="1"/>
    <col min="2" max="2" width="15.26953125" bestFit="1" customWidth="1"/>
    <col min="3" max="5" width="1.81640625" bestFit="1" customWidth="1"/>
    <col min="6" max="6" width="10.7265625" bestFit="1" customWidth="1"/>
    <col min="7" max="7" width="31.81640625" bestFit="1" customWidth="1"/>
    <col min="8" max="8" width="28.1796875" bestFit="1" customWidth="1"/>
    <col min="9" max="9" width="31.81640625" bestFit="1" customWidth="1"/>
    <col min="10" max="10" width="33" bestFit="1" customWidth="1"/>
    <col min="11" max="11" width="36.6328125" bestFit="1" customWidth="1"/>
  </cols>
  <sheetData>
    <row r="3" spans="1:6" x14ac:dyDescent="0.35">
      <c r="B3" s="48" t="s">
        <v>120</v>
      </c>
    </row>
    <row r="4" spans="1:6" x14ac:dyDescent="0.35">
      <c r="A4" s="48" t="s">
        <v>114</v>
      </c>
      <c r="B4" t="s">
        <v>265</v>
      </c>
      <c r="C4" t="s">
        <v>266</v>
      </c>
      <c r="D4" t="s">
        <v>264</v>
      </c>
      <c r="E4" t="s">
        <v>263</v>
      </c>
      <c r="F4" t="s">
        <v>119</v>
      </c>
    </row>
    <row r="5" spans="1:6" x14ac:dyDescent="0.35">
      <c r="A5" s="26" t="s">
        <v>1</v>
      </c>
    </row>
    <row r="6" spans="1:6" x14ac:dyDescent="0.35">
      <c r="A6" s="26" t="s">
        <v>2</v>
      </c>
    </row>
    <row r="7" spans="1:6" x14ac:dyDescent="0.35">
      <c r="A7" s="26" t="s">
        <v>3</v>
      </c>
    </row>
    <row r="8" spans="1:6" x14ac:dyDescent="0.35">
      <c r="A8" s="26" t="s">
        <v>4</v>
      </c>
    </row>
    <row r="9" spans="1:6" x14ac:dyDescent="0.35">
      <c r="A9" s="26" t="s">
        <v>5</v>
      </c>
    </row>
    <row r="10" spans="1:6" x14ac:dyDescent="0.35">
      <c r="A10" s="26" t="s">
        <v>6</v>
      </c>
    </row>
    <row r="11" spans="1:6" x14ac:dyDescent="0.35">
      <c r="A11" s="26" t="s">
        <v>60</v>
      </c>
    </row>
    <row r="12" spans="1:6" x14ac:dyDescent="0.35">
      <c r="A12" s="26" t="s">
        <v>7</v>
      </c>
    </row>
    <row r="13" spans="1:6" x14ac:dyDescent="0.35">
      <c r="A13" s="26" t="s">
        <v>8</v>
      </c>
    </row>
    <row r="14" spans="1:6" x14ac:dyDescent="0.35">
      <c r="A14" s="26" t="s">
        <v>9</v>
      </c>
    </row>
    <row r="15" spans="1:6" x14ac:dyDescent="0.35">
      <c r="A15" s="26" t="s">
        <v>10</v>
      </c>
    </row>
    <row r="16" spans="1:6" x14ac:dyDescent="0.35">
      <c r="A16" s="26" t="s">
        <v>149</v>
      </c>
    </row>
    <row r="17" spans="1:1" x14ac:dyDescent="0.35">
      <c r="A17" s="26" t="s">
        <v>82</v>
      </c>
    </row>
    <row r="18" spans="1:1" x14ac:dyDescent="0.35">
      <c r="A18" s="26" t="s">
        <v>14</v>
      </c>
    </row>
    <row r="19" spans="1:1" x14ac:dyDescent="0.35">
      <c r="A19" s="26" t="s">
        <v>15</v>
      </c>
    </row>
    <row r="20" spans="1:1" x14ac:dyDescent="0.35">
      <c r="A20" s="26" t="s">
        <v>16</v>
      </c>
    </row>
    <row r="21" spans="1:1" x14ac:dyDescent="0.35">
      <c r="A21" s="26" t="s">
        <v>17</v>
      </c>
    </row>
    <row r="22" spans="1:1" x14ac:dyDescent="0.35">
      <c r="A22" s="26" t="s">
        <v>18</v>
      </c>
    </row>
    <row r="23" spans="1:1" x14ac:dyDescent="0.35">
      <c r="A23" s="26" t="s">
        <v>20</v>
      </c>
    </row>
    <row r="24" spans="1:1" x14ac:dyDescent="0.35">
      <c r="A24" s="26" t="s">
        <v>21</v>
      </c>
    </row>
    <row r="25" spans="1:1" x14ac:dyDescent="0.35">
      <c r="A25" s="26" t="s">
        <v>22</v>
      </c>
    </row>
    <row r="26" spans="1:1" x14ac:dyDescent="0.35">
      <c r="A26" s="26" t="s">
        <v>23</v>
      </c>
    </row>
    <row r="27" spans="1:1" x14ac:dyDescent="0.35">
      <c r="A27" s="26" t="s">
        <v>24</v>
      </c>
    </row>
    <row r="28" spans="1:1" x14ac:dyDescent="0.35">
      <c r="A28" s="26" t="s">
        <v>25</v>
      </c>
    </row>
    <row r="29" spans="1:1" x14ac:dyDescent="0.35">
      <c r="A29" s="26" t="s">
        <v>26</v>
      </c>
    </row>
    <row r="30" spans="1:1" x14ac:dyDescent="0.35">
      <c r="A30" s="26" t="s">
        <v>27</v>
      </c>
    </row>
    <row r="31" spans="1:1" x14ac:dyDescent="0.35">
      <c r="A31" s="26" t="s">
        <v>28</v>
      </c>
    </row>
    <row r="32" spans="1:1" x14ac:dyDescent="0.35">
      <c r="A32" s="26" t="s">
        <v>29</v>
      </c>
    </row>
    <row r="33" spans="1:1" x14ac:dyDescent="0.35">
      <c r="A33" s="26" t="s">
        <v>30</v>
      </c>
    </row>
    <row r="34" spans="1:1" x14ac:dyDescent="0.35">
      <c r="A34" s="26" t="s">
        <v>31</v>
      </c>
    </row>
    <row r="35" spans="1:1" x14ac:dyDescent="0.35">
      <c r="A35" s="26" t="s">
        <v>32</v>
      </c>
    </row>
    <row r="36" spans="1:1" x14ac:dyDescent="0.35">
      <c r="A36" s="26" t="s">
        <v>33</v>
      </c>
    </row>
    <row r="37" spans="1:1" x14ac:dyDescent="0.35">
      <c r="A37" s="26" t="s">
        <v>34</v>
      </c>
    </row>
    <row r="38" spans="1:1" x14ac:dyDescent="0.35">
      <c r="A38" s="26" t="s">
        <v>147</v>
      </c>
    </row>
    <row r="39" spans="1:1" x14ac:dyDescent="0.35">
      <c r="A39" s="26" t="s">
        <v>35</v>
      </c>
    </row>
    <row r="40" spans="1:1" x14ac:dyDescent="0.35">
      <c r="A40" s="26" t="s">
        <v>175</v>
      </c>
    </row>
    <row r="41" spans="1:1" x14ac:dyDescent="0.35">
      <c r="A41" s="26" t="s">
        <v>37</v>
      </c>
    </row>
    <row r="42" spans="1:1" x14ac:dyDescent="0.35">
      <c r="A42" s="26" t="s">
        <v>38</v>
      </c>
    </row>
    <row r="43" spans="1:1" x14ac:dyDescent="0.35">
      <c r="A43" s="26" t="s">
        <v>39</v>
      </c>
    </row>
    <row r="44" spans="1:1" x14ac:dyDescent="0.35">
      <c r="A44" s="26" t="s">
        <v>40</v>
      </c>
    </row>
    <row r="45" spans="1:1" x14ac:dyDescent="0.35">
      <c r="A45" s="26" t="s">
        <v>41</v>
      </c>
    </row>
    <row r="46" spans="1:1" x14ac:dyDescent="0.35">
      <c r="A46" s="26" t="s">
        <v>42</v>
      </c>
    </row>
    <row r="47" spans="1:1" x14ac:dyDescent="0.35">
      <c r="A47" s="26" t="s">
        <v>157</v>
      </c>
    </row>
    <row r="48" spans="1:1" x14ac:dyDescent="0.35">
      <c r="A48" s="26" t="s">
        <v>43</v>
      </c>
    </row>
    <row r="49" spans="1:1" x14ac:dyDescent="0.35">
      <c r="A49" s="26" t="s">
        <v>44</v>
      </c>
    </row>
    <row r="50" spans="1:1" x14ac:dyDescent="0.35">
      <c r="A50" s="26" t="s">
        <v>45</v>
      </c>
    </row>
    <row r="51" spans="1:1" x14ac:dyDescent="0.35">
      <c r="A51" s="26" t="s">
        <v>46</v>
      </c>
    </row>
    <row r="52" spans="1:1" x14ac:dyDescent="0.35">
      <c r="A52" s="26" t="s">
        <v>119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C754-3926-42BA-99B0-47597ECCF858}">
  <dimension ref="A1:N49"/>
  <sheetViews>
    <sheetView tabSelected="1" topLeftCell="A16" workbookViewId="0">
      <selection activeCell="A22" sqref="A22:XFD22"/>
    </sheetView>
  </sheetViews>
  <sheetFormatPr defaultRowHeight="14.5" x14ac:dyDescent="0.35"/>
  <cols>
    <col min="2" max="2" width="34.26953125" bestFit="1" customWidth="1"/>
    <col min="4" max="4" width="19.7265625" customWidth="1"/>
    <col min="7" max="7" width="12.453125" bestFit="1" customWidth="1"/>
    <col min="8" max="8" width="10.08984375" bestFit="1" customWidth="1"/>
    <col min="9" max="9" width="11.08984375" bestFit="1" customWidth="1"/>
    <col min="10" max="10" width="10.08984375" bestFit="1" customWidth="1"/>
  </cols>
  <sheetData>
    <row r="1" spans="1:14" s="9" customFormat="1" ht="72.5" x14ac:dyDescent="0.35">
      <c r="A1" s="9" t="s">
        <v>284</v>
      </c>
      <c r="B1" s="9" t="s">
        <v>298</v>
      </c>
      <c r="C1" s="9" t="s">
        <v>304</v>
      </c>
      <c r="D1" s="9" t="s">
        <v>302</v>
      </c>
      <c r="E1" s="9" t="s">
        <v>0</v>
      </c>
      <c r="F1" s="9" t="s">
        <v>284</v>
      </c>
      <c r="G1" s="9" t="s">
        <v>303</v>
      </c>
      <c r="H1" s="9" t="s">
        <v>305</v>
      </c>
      <c r="I1" s="9" t="s">
        <v>306</v>
      </c>
      <c r="J1" s="9" t="s">
        <v>308</v>
      </c>
      <c r="K1" s="9" t="s">
        <v>307</v>
      </c>
      <c r="L1" s="9" t="s">
        <v>309</v>
      </c>
    </row>
    <row r="2" spans="1:14" x14ac:dyDescent="0.35">
      <c r="A2" t="s">
        <v>136</v>
      </c>
      <c r="B2" t="s">
        <v>299</v>
      </c>
      <c r="C2" s="1">
        <v>75512</v>
      </c>
      <c r="D2">
        <v>5134.8160000000007</v>
      </c>
      <c r="E2" t="s">
        <v>1</v>
      </c>
      <c r="F2" t="s">
        <v>136</v>
      </c>
      <c r="G2" s="101">
        <v>104776</v>
      </c>
      <c r="H2" s="101">
        <v>4679.8755000000001</v>
      </c>
      <c r="I2" s="101">
        <f>C2+G2</f>
        <v>180288</v>
      </c>
      <c r="J2" s="101">
        <f>D2+H2</f>
        <v>9814.6915000000008</v>
      </c>
      <c r="K2" s="3">
        <f>I2/J2</f>
        <v>18.369196831097543</v>
      </c>
      <c r="L2">
        <f t="shared" ref="L2:L48" si="0">I2/$I$49</f>
        <v>8.7290899900732064E-2</v>
      </c>
      <c r="M2" s="52">
        <f>L2</f>
        <v>8.7290899900732064E-2</v>
      </c>
      <c r="N2" s="1">
        <f>I2*M2</f>
        <v>15737.501761303181</v>
      </c>
    </row>
    <row r="3" spans="1:14" x14ac:dyDescent="0.35">
      <c r="A3" t="s">
        <v>137</v>
      </c>
      <c r="B3" t="s">
        <v>299</v>
      </c>
      <c r="C3" s="1">
        <v>8693</v>
      </c>
      <c r="D3">
        <v>611</v>
      </c>
      <c r="E3" t="s">
        <v>2</v>
      </c>
      <c r="F3" t="s">
        <v>137</v>
      </c>
      <c r="G3" s="101">
        <v>66717.353814379763</v>
      </c>
      <c r="H3" s="101">
        <v>2950</v>
      </c>
      <c r="I3" s="101">
        <f t="shared" ref="I3:I48" si="1">C3+G3</f>
        <v>75410.353814379763</v>
      </c>
      <c r="J3" s="101">
        <f t="shared" ref="J3:J48" si="2">D3+H3</f>
        <v>3561</v>
      </c>
      <c r="K3" s="3">
        <f t="shared" ref="K3:K48" si="3">I3/J3</f>
        <v>21.176735134619424</v>
      </c>
      <c r="L3">
        <f t="shared" si="0"/>
        <v>3.6511790281603951E-2</v>
      </c>
      <c r="M3" s="52">
        <f t="shared" ref="M3:M48" si="4">L3</f>
        <v>3.6511790281603951E-2</v>
      </c>
      <c r="N3" s="1">
        <f t="shared" ref="N3:N48" si="5">I3*M3</f>
        <v>2753.3670235321865</v>
      </c>
    </row>
    <row r="4" spans="1:14" x14ac:dyDescent="0.35">
      <c r="A4" t="s">
        <v>138</v>
      </c>
      <c r="B4" t="s">
        <v>299</v>
      </c>
      <c r="C4" s="1">
        <v>2608</v>
      </c>
      <c r="D4">
        <v>780</v>
      </c>
      <c r="E4" t="s">
        <v>3</v>
      </c>
      <c r="F4" t="s">
        <v>138</v>
      </c>
      <c r="G4" s="101">
        <v>5893</v>
      </c>
      <c r="H4" s="101">
        <v>257</v>
      </c>
      <c r="I4" s="101">
        <f t="shared" si="1"/>
        <v>8501</v>
      </c>
      <c r="J4" s="101">
        <f t="shared" si="2"/>
        <v>1037</v>
      </c>
      <c r="K4" s="3">
        <f t="shared" si="3"/>
        <v>8.1976856316297013</v>
      </c>
      <c r="L4">
        <f t="shared" si="0"/>
        <v>4.1159696710603216E-3</v>
      </c>
      <c r="M4" s="52">
        <f t="shared" si="4"/>
        <v>4.1159696710603216E-3</v>
      </c>
      <c r="N4" s="1">
        <f t="shared" si="5"/>
        <v>34.989858173683793</v>
      </c>
    </row>
    <row r="5" spans="1:14" x14ac:dyDescent="0.35">
      <c r="A5" t="s">
        <v>139</v>
      </c>
      <c r="B5" t="s">
        <v>300</v>
      </c>
      <c r="C5" s="1">
        <v>992</v>
      </c>
      <c r="D5">
        <v>60</v>
      </c>
      <c r="E5" t="s">
        <v>4</v>
      </c>
      <c r="F5" t="s">
        <v>139</v>
      </c>
      <c r="G5" s="101">
        <v>8028</v>
      </c>
      <c r="H5" s="101">
        <v>490</v>
      </c>
      <c r="I5" s="101">
        <f t="shared" si="1"/>
        <v>9020</v>
      </c>
      <c r="J5" s="101">
        <f t="shared" si="2"/>
        <v>550</v>
      </c>
      <c r="K5" s="3">
        <f t="shared" si="3"/>
        <v>16.399999999999999</v>
      </c>
      <c r="L5">
        <f t="shared" si="0"/>
        <v>4.367256373716516E-3</v>
      </c>
      <c r="M5" s="52">
        <f t="shared" si="4"/>
        <v>4.367256373716516E-3</v>
      </c>
      <c r="N5" s="1">
        <f t="shared" si="5"/>
        <v>39.392652490922977</v>
      </c>
    </row>
    <row r="6" spans="1:14" x14ac:dyDescent="0.35">
      <c r="A6" t="s">
        <v>140</v>
      </c>
      <c r="B6" t="s">
        <v>301</v>
      </c>
      <c r="C6" s="1">
        <v>3323</v>
      </c>
      <c r="D6">
        <v>1492</v>
      </c>
      <c r="E6" t="s">
        <v>5</v>
      </c>
      <c r="F6" t="s">
        <v>140</v>
      </c>
      <c r="G6" s="101">
        <v>13961</v>
      </c>
      <c r="H6" s="101">
        <v>1170</v>
      </c>
      <c r="I6" s="101">
        <f t="shared" si="1"/>
        <v>17284</v>
      </c>
      <c r="J6" s="101">
        <f t="shared" si="2"/>
        <v>2662</v>
      </c>
      <c r="K6" s="3">
        <f t="shared" si="3"/>
        <v>6.4928625093914354</v>
      </c>
      <c r="L6">
        <f t="shared" si="0"/>
        <v>8.3684766256448186E-3</v>
      </c>
      <c r="M6" s="52">
        <f t="shared" si="4"/>
        <v>8.3684766256448186E-3</v>
      </c>
      <c r="N6" s="1">
        <f t="shared" si="5"/>
        <v>144.64074999764503</v>
      </c>
    </row>
    <row r="7" spans="1:14" x14ac:dyDescent="0.35">
      <c r="A7" t="s">
        <v>141</v>
      </c>
      <c r="B7" t="s">
        <v>301</v>
      </c>
      <c r="C7" s="1">
        <v>1014.8610394397346</v>
      </c>
      <c r="D7">
        <v>325</v>
      </c>
      <c r="E7" t="s">
        <v>6</v>
      </c>
      <c r="F7" t="s">
        <v>141</v>
      </c>
      <c r="G7" s="101">
        <v>9372</v>
      </c>
      <c r="H7" s="101">
        <v>1467</v>
      </c>
      <c r="I7" s="101">
        <f t="shared" si="1"/>
        <v>10386.861039439735</v>
      </c>
      <c r="J7" s="101">
        <f t="shared" si="2"/>
        <v>1792</v>
      </c>
      <c r="K7" s="3">
        <f t="shared" si="3"/>
        <v>5.7962394193302087</v>
      </c>
      <c r="L7">
        <f t="shared" si="0"/>
        <v>5.0290559952772661E-3</v>
      </c>
      <c r="M7" s="52">
        <f t="shared" si="4"/>
        <v>5.0290559952772661E-3</v>
      </c>
      <c r="N7" s="1">
        <f t="shared" si="5"/>
        <v>52.236105782506257</v>
      </c>
    </row>
    <row r="8" spans="1:14" x14ac:dyDescent="0.35">
      <c r="A8" t="s">
        <v>143</v>
      </c>
      <c r="B8" t="s">
        <v>299</v>
      </c>
      <c r="C8" s="1">
        <v>3759</v>
      </c>
      <c r="D8">
        <v>800</v>
      </c>
      <c r="E8" t="s">
        <v>7</v>
      </c>
      <c r="F8" t="s">
        <v>143</v>
      </c>
      <c r="G8" s="101">
        <v>16473</v>
      </c>
      <c r="H8" s="101">
        <v>2660</v>
      </c>
      <c r="I8" s="101">
        <f t="shared" si="1"/>
        <v>20232</v>
      </c>
      <c r="J8" s="101">
        <f t="shared" si="2"/>
        <v>3460</v>
      </c>
      <c r="K8" s="3">
        <f t="shared" si="3"/>
        <v>5.8473988439306357</v>
      </c>
      <c r="L8">
        <f t="shared" si="0"/>
        <v>9.7958238307131427E-3</v>
      </c>
      <c r="M8" s="52">
        <f t="shared" si="4"/>
        <v>9.7958238307131427E-3</v>
      </c>
      <c r="N8" s="1">
        <f t="shared" si="5"/>
        <v>198.18910774298831</v>
      </c>
    </row>
    <row r="9" spans="1:14" x14ac:dyDescent="0.35">
      <c r="A9" t="s">
        <v>142</v>
      </c>
      <c r="B9" t="s">
        <v>299</v>
      </c>
      <c r="C9" s="1">
        <v>2644</v>
      </c>
      <c r="D9">
        <v>179.792</v>
      </c>
      <c r="E9" t="s">
        <v>70</v>
      </c>
      <c r="F9" t="s">
        <v>142</v>
      </c>
      <c r="G9" s="101">
        <v>941</v>
      </c>
      <c r="H9" s="101">
        <v>76.315100000000001</v>
      </c>
      <c r="I9" s="101">
        <f t="shared" si="1"/>
        <v>3585</v>
      </c>
      <c r="J9" s="101">
        <f t="shared" si="2"/>
        <v>256.1071</v>
      </c>
      <c r="K9" s="3">
        <f t="shared" si="3"/>
        <v>13.998050034536332</v>
      </c>
      <c r="L9">
        <f t="shared" si="0"/>
        <v>1.7357665299083936E-3</v>
      </c>
      <c r="M9" s="52">
        <f t="shared" si="4"/>
        <v>1.7357665299083936E-3</v>
      </c>
      <c r="N9" s="1">
        <f t="shared" si="5"/>
        <v>6.2227230097215909</v>
      </c>
    </row>
    <row r="10" spans="1:14" x14ac:dyDescent="0.35">
      <c r="A10" t="s">
        <v>144</v>
      </c>
      <c r="B10" t="s">
        <v>301</v>
      </c>
      <c r="C10" s="1">
        <v>146.38957816377172</v>
      </c>
      <c r="D10">
        <v>18</v>
      </c>
      <c r="E10" t="s">
        <v>8</v>
      </c>
      <c r="F10" t="s">
        <v>144</v>
      </c>
      <c r="G10" s="101">
        <v>648.48014888337468</v>
      </c>
      <c r="H10" s="101">
        <v>105.05378411910671</v>
      </c>
      <c r="I10" s="101">
        <f t="shared" si="1"/>
        <v>794.8697270471464</v>
      </c>
      <c r="J10" s="101">
        <f t="shared" si="2"/>
        <v>123.05378411910671</v>
      </c>
      <c r="K10" s="3">
        <f t="shared" si="3"/>
        <v>6.4595309501231828</v>
      </c>
      <c r="L10">
        <f t="shared" si="0"/>
        <v>3.8485586271850967E-4</v>
      </c>
      <c r="M10" s="52">
        <f t="shared" si="4"/>
        <v>3.8485586271850967E-4</v>
      </c>
      <c r="N10" s="1">
        <f t="shared" si="5"/>
        <v>0.30591027455155584</v>
      </c>
    </row>
    <row r="11" spans="1:14" x14ac:dyDescent="0.35">
      <c r="A11" t="s">
        <v>145</v>
      </c>
      <c r="B11" t="s">
        <v>301</v>
      </c>
      <c r="C11" s="1">
        <v>1507</v>
      </c>
      <c r="D11">
        <v>330</v>
      </c>
      <c r="E11" t="s">
        <v>9</v>
      </c>
      <c r="F11" t="s">
        <v>145</v>
      </c>
      <c r="G11" s="101">
        <v>3387.151734852408</v>
      </c>
      <c r="H11" s="101">
        <v>2920</v>
      </c>
      <c r="I11" s="101">
        <f t="shared" si="1"/>
        <v>4894.1517348524085</v>
      </c>
      <c r="J11" s="101">
        <f t="shared" si="2"/>
        <v>3250</v>
      </c>
      <c r="K11" s="3">
        <f t="shared" si="3"/>
        <v>1.5058928414930488</v>
      </c>
      <c r="L11">
        <f t="shared" si="0"/>
        <v>2.369624762524382E-3</v>
      </c>
      <c r="M11" s="52">
        <f t="shared" si="4"/>
        <v>2.369624762524382E-3</v>
      </c>
      <c r="N11" s="1">
        <f t="shared" si="5"/>
        <v>11.59730314245793</v>
      </c>
    </row>
    <row r="12" spans="1:14" x14ac:dyDescent="0.35">
      <c r="A12" t="s">
        <v>146</v>
      </c>
      <c r="B12" t="s">
        <v>299</v>
      </c>
      <c r="C12" s="1">
        <v>354</v>
      </c>
      <c r="D12">
        <v>24.072000000000003</v>
      </c>
      <c r="E12" t="s">
        <v>10</v>
      </c>
      <c r="F12" t="s">
        <v>146</v>
      </c>
      <c r="G12" s="101">
        <v>784.97097407084357</v>
      </c>
      <c r="H12" s="101">
        <v>40</v>
      </c>
      <c r="I12" s="101">
        <f t="shared" si="1"/>
        <v>1138.9709740708436</v>
      </c>
      <c r="J12" s="101">
        <f t="shared" si="2"/>
        <v>64.072000000000003</v>
      </c>
      <c r="K12" s="3">
        <f t="shared" si="3"/>
        <v>17.776422993988692</v>
      </c>
      <c r="L12">
        <f t="shared" si="0"/>
        <v>5.5146100288126386E-4</v>
      </c>
      <c r="M12" s="52">
        <f t="shared" si="4"/>
        <v>5.5146100288126386E-4</v>
      </c>
      <c r="N12" s="1">
        <f t="shared" si="5"/>
        <v>0.62809807561375741</v>
      </c>
    </row>
    <row r="13" spans="1:14" x14ac:dyDescent="0.35">
      <c r="A13" t="s">
        <v>148</v>
      </c>
      <c r="B13" t="s">
        <v>299</v>
      </c>
      <c r="C13" s="1">
        <v>1042</v>
      </c>
      <c r="D13">
        <v>60</v>
      </c>
      <c r="E13" t="s">
        <v>11</v>
      </c>
      <c r="F13" t="s">
        <v>148</v>
      </c>
      <c r="G13" s="101">
        <v>5573</v>
      </c>
      <c r="H13" s="101">
        <v>60</v>
      </c>
      <c r="I13" s="101">
        <f t="shared" si="1"/>
        <v>6615</v>
      </c>
      <c r="J13" s="101">
        <f t="shared" si="2"/>
        <v>120</v>
      </c>
      <c r="K13" s="3">
        <f t="shared" si="3"/>
        <v>55.125</v>
      </c>
      <c r="L13">
        <f t="shared" si="0"/>
        <v>3.2028160656468684E-3</v>
      </c>
      <c r="M13" s="52">
        <f t="shared" si="4"/>
        <v>3.2028160656468684E-3</v>
      </c>
      <c r="N13" s="1">
        <f t="shared" si="5"/>
        <v>21.186628274254033</v>
      </c>
    </row>
    <row r="14" spans="1:14" x14ac:dyDescent="0.35">
      <c r="A14" t="s">
        <v>150</v>
      </c>
      <c r="B14" t="s">
        <v>299</v>
      </c>
      <c r="C14" s="1">
        <v>6327.5519796794806</v>
      </c>
      <c r="D14">
        <v>254</v>
      </c>
      <c r="E14" t="s">
        <v>12</v>
      </c>
      <c r="F14" t="s">
        <v>150</v>
      </c>
      <c r="G14" s="101">
        <v>19225.233489577877</v>
      </c>
      <c r="H14" s="101">
        <v>1007</v>
      </c>
      <c r="I14" s="101">
        <f t="shared" si="1"/>
        <v>25552.785469257356</v>
      </c>
      <c r="J14" s="101">
        <f t="shared" si="2"/>
        <v>1261</v>
      </c>
      <c r="K14" s="3">
        <f t="shared" si="3"/>
        <v>20.263906002583152</v>
      </c>
      <c r="L14">
        <f t="shared" si="0"/>
        <v>1.2372013881022723E-2</v>
      </c>
      <c r="M14" s="52">
        <f t="shared" si="4"/>
        <v>1.2372013881022723E-2</v>
      </c>
      <c r="N14" s="1">
        <f t="shared" si="5"/>
        <v>316.13941652444777</v>
      </c>
    </row>
    <row r="15" spans="1:14" x14ac:dyDescent="0.35">
      <c r="A15" t="s">
        <v>151</v>
      </c>
      <c r="B15" t="s">
        <v>301</v>
      </c>
      <c r="C15" s="1">
        <v>21289.958719118578</v>
      </c>
      <c r="D15">
        <v>6020</v>
      </c>
      <c r="E15" t="s">
        <v>13</v>
      </c>
      <c r="F15" t="s">
        <v>151</v>
      </c>
      <c r="G15" s="101">
        <v>115316</v>
      </c>
      <c r="H15" s="101">
        <v>24061</v>
      </c>
      <c r="I15" s="101">
        <f t="shared" si="1"/>
        <v>136605.95871911859</v>
      </c>
      <c r="J15" s="101">
        <f t="shared" si="2"/>
        <v>30081</v>
      </c>
      <c r="K15" s="3">
        <f t="shared" si="3"/>
        <v>4.5412705268813731</v>
      </c>
      <c r="L15">
        <f t="shared" si="0"/>
        <v>6.6141157860723498E-2</v>
      </c>
      <c r="M15" s="52">
        <f t="shared" si="4"/>
        <v>6.6141157860723498E-2</v>
      </c>
      <c r="N15" s="1">
        <f t="shared" si="5"/>
        <v>9035.2762803567002</v>
      </c>
    </row>
    <row r="16" spans="1:14" x14ac:dyDescent="0.35">
      <c r="A16" t="s">
        <v>152</v>
      </c>
      <c r="B16" t="s">
        <v>300</v>
      </c>
      <c r="C16" s="1">
        <v>274.68237599257924</v>
      </c>
      <c r="D16">
        <v>767</v>
      </c>
      <c r="E16" t="s">
        <v>14</v>
      </c>
      <c r="F16" t="s">
        <v>152</v>
      </c>
      <c r="G16" s="101">
        <v>1375</v>
      </c>
      <c r="H16" s="101">
        <v>962</v>
      </c>
      <c r="I16" s="101">
        <f t="shared" si="1"/>
        <v>1649.6823759925792</v>
      </c>
      <c r="J16" s="101">
        <f t="shared" si="2"/>
        <v>1729</v>
      </c>
      <c r="K16" s="3">
        <f t="shared" si="3"/>
        <v>0.95412514516632685</v>
      </c>
      <c r="L16">
        <f t="shared" si="0"/>
        <v>7.9873457551678467E-4</v>
      </c>
      <c r="M16" s="52">
        <f t="shared" si="4"/>
        <v>7.9873457551678467E-4</v>
      </c>
      <c r="N16" s="1">
        <f t="shared" si="5"/>
        <v>1.3176583523259535</v>
      </c>
    </row>
    <row r="17" spans="1:14" x14ac:dyDescent="0.35">
      <c r="A17" t="s">
        <v>153</v>
      </c>
      <c r="B17" t="s">
        <v>301</v>
      </c>
      <c r="C17" s="1">
        <v>298.81764752330793</v>
      </c>
      <c r="D17">
        <v>61.556435389801429</v>
      </c>
      <c r="E17" t="s">
        <v>15</v>
      </c>
      <c r="F17" t="s">
        <v>153</v>
      </c>
      <c r="G17" s="101">
        <v>5007</v>
      </c>
      <c r="H17" s="101">
        <v>399.99999999999994</v>
      </c>
      <c r="I17" s="101">
        <f t="shared" si="1"/>
        <v>5305.8176475233076</v>
      </c>
      <c r="J17" s="101">
        <f t="shared" si="2"/>
        <v>461.55643538980138</v>
      </c>
      <c r="K17" s="3">
        <f t="shared" si="3"/>
        <v>11.49549056345049</v>
      </c>
      <c r="L17">
        <f t="shared" si="0"/>
        <v>2.56894300874986E-3</v>
      </c>
      <c r="M17" s="52">
        <f t="shared" si="4"/>
        <v>2.56894300874986E-3</v>
      </c>
      <c r="N17" s="1">
        <f t="shared" si="5"/>
        <v>13.630343151306629</v>
      </c>
    </row>
    <row r="18" spans="1:14" x14ac:dyDescent="0.35">
      <c r="A18" t="s">
        <v>154</v>
      </c>
      <c r="B18" t="s">
        <v>299</v>
      </c>
      <c r="C18" s="1">
        <v>687</v>
      </c>
      <c r="D18">
        <v>46.716000000000001</v>
      </c>
      <c r="E18" t="s">
        <v>16</v>
      </c>
      <c r="F18" t="s">
        <v>154</v>
      </c>
      <c r="G18" s="101">
        <v>5242</v>
      </c>
      <c r="H18" s="101">
        <v>160</v>
      </c>
      <c r="I18" s="101">
        <f t="shared" si="1"/>
        <v>5929</v>
      </c>
      <c r="J18" s="101">
        <f t="shared" si="2"/>
        <v>206.71600000000001</v>
      </c>
      <c r="K18" s="3">
        <f t="shared" si="3"/>
        <v>28.681863039145494</v>
      </c>
      <c r="L18">
        <f t="shared" si="0"/>
        <v>2.8706721773575634E-3</v>
      </c>
      <c r="M18" s="52">
        <f t="shared" si="4"/>
        <v>2.8706721773575634E-3</v>
      </c>
      <c r="N18" s="1">
        <f t="shared" si="5"/>
        <v>17.020215339552994</v>
      </c>
    </row>
    <row r="19" spans="1:14" x14ac:dyDescent="0.35">
      <c r="A19" t="s">
        <v>155</v>
      </c>
      <c r="B19" t="s">
        <v>301</v>
      </c>
      <c r="C19" s="1">
        <v>23741</v>
      </c>
      <c r="D19">
        <v>3114.0000000000005</v>
      </c>
      <c r="E19" t="s">
        <v>17</v>
      </c>
      <c r="F19" t="s">
        <v>155</v>
      </c>
      <c r="G19" s="101">
        <v>131262</v>
      </c>
      <c r="H19" s="101">
        <v>6298</v>
      </c>
      <c r="I19" s="101">
        <f t="shared" si="1"/>
        <v>155003</v>
      </c>
      <c r="J19" s="101">
        <f t="shared" si="2"/>
        <v>9412</v>
      </c>
      <c r="K19" s="3">
        <f t="shared" si="3"/>
        <v>16.468657033574161</v>
      </c>
      <c r="L19">
        <f t="shared" si="0"/>
        <v>7.5048540986161982E-2</v>
      </c>
      <c r="M19" s="52">
        <f t="shared" si="4"/>
        <v>7.5048540986161982E-2</v>
      </c>
      <c r="N19" s="1">
        <f t="shared" si="5"/>
        <v>11632.748998478066</v>
      </c>
    </row>
    <row r="20" spans="1:14" x14ac:dyDescent="0.35">
      <c r="A20" t="s">
        <v>156</v>
      </c>
      <c r="B20" t="s">
        <v>300</v>
      </c>
      <c r="C20" s="1">
        <v>1265.3898201501661</v>
      </c>
      <c r="D20">
        <v>46.000000000000007</v>
      </c>
      <c r="E20" t="s">
        <v>18</v>
      </c>
      <c r="F20" t="s">
        <v>156</v>
      </c>
      <c r="G20" s="101">
        <v>4751.5998777719578</v>
      </c>
      <c r="H20" s="101">
        <v>95</v>
      </c>
      <c r="I20" s="101">
        <f t="shared" si="1"/>
        <v>6016.9896979221239</v>
      </c>
      <c r="J20" s="101">
        <f t="shared" si="2"/>
        <v>141</v>
      </c>
      <c r="K20" s="3">
        <f t="shared" si="3"/>
        <v>42.673685800866124</v>
      </c>
      <c r="L20">
        <f t="shared" si="0"/>
        <v>2.9132745686072073E-3</v>
      </c>
      <c r="M20" s="52">
        <f t="shared" si="4"/>
        <v>2.9132745686072073E-3</v>
      </c>
      <c r="N20" s="1">
        <f t="shared" si="5"/>
        <v>17.529143066528086</v>
      </c>
    </row>
    <row r="21" spans="1:14" x14ac:dyDescent="0.35">
      <c r="A21" t="s">
        <v>158</v>
      </c>
      <c r="B21" t="s">
        <v>301</v>
      </c>
      <c r="C21" s="1">
        <v>273.86722731906218</v>
      </c>
      <c r="D21">
        <v>23</v>
      </c>
      <c r="E21" t="s">
        <v>19</v>
      </c>
      <c r="F21" t="s">
        <v>158</v>
      </c>
      <c r="G21" s="101">
        <v>1429.4036697247707</v>
      </c>
      <c r="H21" s="101">
        <v>137</v>
      </c>
      <c r="I21" s="101">
        <f t="shared" si="1"/>
        <v>1703.270897043833</v>
      </c>
      <c r="J21" s="101">
        <f t="shared" si="2"/>
        <v>160</v>
      </c>
      <c r="K21" s="3">
        <f t="shared" si="3"/>
        <v>10.645443106523956</v>
      </c>
      <c r="L21">
        <f t="shared" si="0"/>
        <v>8.2468078506436004E-4</v>
      </c>
      <c r="M21" s="52">
        <f t="shared" si="4"/>
        <v>8.2468078506436004E-4</v>
      </c>
      <c r="N21" s="1">
        <f t="shared" si="5"/>
        <v>1.4046547805513849</v>
      </c>
    </row>
    <row r="22" spans="1:14" x14ac:dyDescent="0.35">
      <c r="A22" t="s">
        <v>159</v>
      </c>
      <c r="B22" t="s">
        <v>299</v>
      </c>
      <c r="C22" s="1">
        <v>4726</v>
      </c>
      <c r="D22">
        <v>1566</v>
      </c>
      <c r="E22" t="s">
        <v>20</v>
      </c>
      <c r="F22" t="s">
        <v>159</v>
      </c>
      <c r="G22" s="101">
        <v>124204.27697797566</v>
      </c>
      <c r="H22" s="101">
        <v>21271</v>
      </c>
      <c r="I22" s="101">
        <f t="shared" si="1"/>
        <v>128930.27697797566</v>
      </c>
      <c r="J22" s="101">
        <f t="shared" si="2"/>
        <v>22837</v>
      </c>
      <c r="K22" s="3">
        <f t="shared" si="3"/>
        <v>5.6456748687645337</v>
      </c>
      <c r="L22">
        <f t="shared" si="0"/>
        <v>6.2424786463093129E-2</v>
      </c>
      <c r="M22" s="52">
        <f t="shared" si="4"/>
        <v>6.2424786463093129E-2</v>
      </c>
      <c r="N22" s="1">
        <f t="shared" si="5"/>
        <v>8048.4450089775828</v>
      </c>
    </row>
    <row r="23" spans="1:14" x14ac:dyDescent="0.35">
      <c r="A23" t="s">
        <v>160</v>
      </c>
      <c r="B23" t="s">
        <v>301</v>
      </c>
      <c r="C23" s="1">
        <v>341.34169736316329</v>
      </c>
      <c r="D23">
        <v>767</v>
      </c>
      <c r="E23" t="s">
        <v>21</v>
      </c>
      <c r="F23" t="s">
        <v>160</v>
      </c>
      <c r="G23" s="101">
        <v>5018.9871797472533</v>
      </c>
      <c r="H23" s="101">
        <v>964</v>
      </c>
      <c r="I23" s="101">
        <f t="shared" si="1"/>
        <v>5360.3288771104162</v>
      </c>
      <c r="J23" s="101">
        <f t="shared" si="2"/>
        <v>1731</v>
      </c>
      <c r="K23" s="3">
        <f t="shared" si="3"/>
        <v>3.096666017972511</v>
      </c>
      <c r="L23">
        <f t="shared" si="0"/>
        <v>2.5953359704852727E-3</v>
      </c>
      <c r="M23" s="52">
        <f t="shared" si="4"/>
        <v>2.5953359704852727E-3</v>
      </c>
      <c r="N23" s="1">
        <f t="shared" si="5"/>
        <v>13.911854348395595</v>
      </c>
    </row>
    <row r="24" spans="1:14" x14ac:dyDescent="0.35">
      <c r="A24" t="s">
        <v>161</v>
      </c>
      <c r="B24" t="s">
        <v>301</v>
      </c>
      <c r="C24" s="1">
        <v>530.87376425855507</v>
      </c>
      <c r="D24">
        <v>109.35999543726234</v>
      </c>
      <c r="E24" t="s">
        <v>22</v>
      </c>
      <c r="F24" t="s">
        <v>161</v>
      </c>
      <c r="G24" s="101">
        <v>1879</v>
      </c>
      <c r="H24" s="101">
        <v>304.39800000000002</v>
      </c>
      <c r="I24" s="101">
        <f t="shared" si="1"/>
        <v>2409.8737642585552</v>
      </c>
      <c r="J24" s="101">
        <f t="shared" si="2"/>
        <v>413.75799543726237</v>
      </c>
      <c r="K24" s="3">
        <f t="shared" si="3"/>
        <v>5.8243557606948082</v>
      </c>
      <c r="L24">
        <f t="shared" si="0"/>
        <v>1.1668000617306416E-3</v>
      </c>
      <c r="M24" s="52">
        <f t="shared" si="4"/>
        <v>1.1668000617306416E-3</v>
      </c>
      <c r="N24" s="1">
        <f t="shared" si="5"/>
        <v>2.811840856899936</v>
      </c>
    </row>
    <row r="25" spans="1:14" x14ac:dyDescent="0.35">
      <c r="A25" t="s">
        <v>162</v>
      </c>
      <c r="B25" t="s">
        <v>299</v>
      </c>
      <c r="C25" s="1">
        <v>12792</v>
      </c>
      <c r="D25">
        <v>558</v>
      </c>
      <c r="E25" t="s">
        <v>23</v>
      </c>
      <c r="F25" t="s">
        <v>162</v>
      </c>
      <c r="G25" s="101">
        <v>109659</v>
      </c>
      <c r="H25" s="101">
        <v>1070</v>
      </c>
      <c r="I25" s="101">
        <f t="shared" si="1"/>
        <v>122451</v>
      </c>
      <c r="J25" s="101">
        <f t="shared" si="2"/>
        <v>1628</v>
      </c>
      <c r="K25" s="3">
        <f t="shared" si="3"/>
        <v>75.215601965601962</v>
      </c>
      <c r="L25">
        <f t="shared" si="0"/>
        <v>5.9287684059640917E-2</v>
      </c>
      <c r="M25" s="52">
        <f t="shared" si="4"/>
        <v>5.9287684059640917E-2</v>
      </c>
      <c r="N25" s="1">
        <f t="shared" si="5"/>
        <v>7259.8362007870901</v>
      </c>
    </row>
    <row r="26" spans="1:14" x14ac:dyDescent="0.35">
      <c r="A26" t="s">
        <v>163</v>
      </c>
      <c r="B26" t="s">
        <v>299</v>
      </c>
      <c r="C26" s="1">
        <v>536.60977859778598</v>
      </c>
      <c r="D26">
        <v>8</v>
      </c>
      <c r="E26" t="s">
        <v>24</v>
      </c>
      <c r="F26" t="s">
        <v>163</v>
      </c>
      <c r="G26" s="101">
        <v>1235.4801331049025</v>
      </c>
      <c r="H26" s="101">
        <v>376</v>
      </c>
      <c r="I26" s="101">
        <f t="shared" si="1"/>
        <v>1772.0899117026884</v>
      </c>
      <c r="J26" s="101">
        <f t="shared" si="2"/>
        <v>384</v>
      </c>
      <c r="K26" s="3">
        <f t="shared" si="3"/>
        <v>4.6148174783924176</v>
      </c>
      <c r="L26">
        <f t="shared" si="0"/>
        <v>8.5800121526411356E-4</v>
      </c>
      <c r="M26" s="52">
        <f t="shared" si="4"/>
        <v>8.5800121526411356E-4</v>
      </c>
      <c r="N26" s="1">
        <f t="shared" si="5"/>
        <v>1.5204552977981822</v>
      </c>
    </row>
    <row r="27" spans="1:14" x14ac:dyDescent="0.35">
      <c r="A27" t="s">
        <v>164</v>
      </c>
      <c r="B27" t="s">
        <v>301</v>
      </c>
      <c r="C27" s="1">
        <v>954</v>
      </c>
      <c r="D27">
        <v>29</v>
      </c>
      <c r="E27" t="s">
        <v>25</v>
      </c>
      <c r="F27" t="s">
        <v>164</v>
      </c>
      <c r="G27" s="101">
        <v>4423.7952883834278</v>
      </c>
      <c r="H27" s="101">
        <v>62.999999999999993</v>
      </c>
      <c r="I27" s="101">
        <f t="shared" si="1"/>
        <v>5377.7952883834278</v>
      </c>
      <c r="J27" s="101">
        <f t="shared" si="2"/>
        <v>92</v>
      </c>
      <c r="K27" s="3">
        <f t="shared" si="3"/>
        <v>58.454296612863345</v>
      </c>
      <c r="L27">
        <f t="shared" si="0"/>
        <v>2.603792766046028E-3</v>
      </c>
      <c r="M27" s="52">
        <f t="shared" si="4"/>
        <v>2.603792766046028E-3</v>
      </c>
      <c r="N27" s="1">
        <f t="shared" si="5"/>
        <v>14.002664469169183</v>
      </c>
    </row>
    <row r="28" spans="1:14" x14ac:dyDescent="0.35">
      <c r="A28" t="s">
        <v>165</v>
      </c>
      <c r="B28" t="s">
        <v>301</v>
      </c>
      <c r="C28" s="1">
        <v>5230</v>
      </c>
      <c r="D28">
        <v>316</v>
      </c>
      <c r="E28" t="s">
        <v>26</v>
      </c>
      <c r="F28" t="s">
        <v>165</v>
      </c>
      <c r="G28" s="101">
        <v>4560</v>
      </c>
      <c r="H28" s="101">
        <v>2540</v>
      </c>
      <c r="I28" s="101">
        <f t="shared" si="1"/>
        <v>9790</v>
      </c>
      <c r="J28" s="101">
        <f t="shared" si="2"/>
        <v>2856</v>
      </c>
      <c r="K28" s="3">
        <f t="shared" si="3"/>
        <v>3.4278711484593836</v>
      </c>
      <c r="L28">
        <f t="shared" si="0"/>
        <v>4.7400709422045113E-3</v>
      </c>
      <c r="M28" s="52">
        <f t="shared" si="4"/>
        <v>4.7400709422045113E-3</v>
      </c>
      <c r="N28" s="1">
        <f t="shared" si="5"/>
        <v>46.405294524182167</v>
      </c>
    </row>
    <row r="29" spans="1:14" x14ac:dyDescent="0.35">
      <c r="A29" t="s">
        <v>166</v>
      </c>
      <c r="B29" t="s">
        <v>301</v>
      </c>
      <c r="C29" s="1">
        <v>1103.5637751855782</v>
      </c>
      <c r="D29">
        <v>115</v>
      </c>
      <c r="E29" t="s">
        <v>27</v>
      </c>
      <c r="F29" t="s">
        <v>166</v>
      </c>
      <c r="G29" s="101">
        <v>9592</v>
      </c>
      <c r="H29" s="101">
        <v>386</v>
      </c>
      <c r="I29" s="101">
        <f t="shared" si="1"/>
        <v>10695.563775185577</v>
      </c>
      <c r="J29" s="101">
        <f t="shared" si="2"/>
        <v>501</v>
      </c>
      <c r="K29" s="3">
        <f t="shared" si="3"/>
        <v>21.348430688993169</v>
      </c>
      <c r="L29">
        <f t="shared" si="0"/>
        <v>5.1785220695865514E-3</v>
      </c>
      <c r="M29" s="52">
        <f t="shared" si="4"/>
        <v>5.1785220695865514E-3</v>
      </c>
      <c r="N29" s="1">
        <f t="shared" si="5"/>
        <v>55.387213056468966</v>
      </c>
    </row>
    <row r="30" spans="1:14" x14ac:dyDescent="0.35">
      <c r="A30" t="s">
        <v>167</v>
      </c>
      <c r="B30" t="s">
        <v>301</v>
      </c>
      <c r="C30" s="1">
        <v>4402</v>
      </c>
      <c r="D30">
        <v>906.8119999999999</v>
      </c>
      <c r="E30" t="s">
        <v>28</v>
      </c>
      <c r="F30" t="s">
        <v>167</v>
      </c>
      <c r="G30" s="101">
        <v>6327</v>
      </c>
      <c r="H30" s="101">
        <v>1024.9739999999999</v>
      </c>
      <c r="I30" s="101">
        <f t="shared" si="1"/>
        <v>10729</v>
      </c>
      <c r="J30" s="101">
        <f t="shared" si="2"/>
        <v>1931.7859999999998</v>
      </c>
      <c r="K30" s="3">
        <f t="shared" si="3"/>
        <v>5.5539278160210301</v>
      </c>
      <c r="L30">
        <f t="shared" si="0"/>
        <v>5.1947110458541576E-3</v>
      </c>
      <c r="M30" s="52">
        <f t="shared" si="4"/>
        <v>5.1947110458541576E-3</v>
      </c>
      <c r="N30" s="1">
        <f t="shared" si="5"/>
        <v>55.734054810969255</v>
      </c>
    </row>
    <row r="31" spans="1:14" x14ac:dyDescent="0.35">
      <c r="A31" t="s">
        <v>168</v>
      </c>
      <c r="B31" t="s">
        <v>299</v>
      </c>
      <c r="C31" s="1">
        <v>1273.0346943092873</v>
      </c>
      <c r="D31">
        <v>86.566359213031546</v>
      </c>
      <c r="E31" t="s">
        <v>29</v>
      </c>
      <c r="F31" t="s">
        <v>168</v>
      </c>
      <c r="G31" s="101">
        <v>6503</v>
      </c>
      <c r="H31" s="101">
        <v>113</v>
      </c>
      <c r="I31" s="101">
        <f t="shared" si="1"/>
        <v>7776.0346943092873</v>
      </c>
      <c r="J31" s="101">
        <f t="shared" si="2"/>
        <v>199.56635921303155</v>
      </c>
      <c r="K31" s="3">
        <f t="shared" si="3"/>
        <v>38.96465679372637</v>
      </c>
      <c r="L31">
        <f t="shared" si="0"/>
        <v>3.7649597650735028E-3</v>
      </c>
      <c r="M31" s="52">
        <f t="shared" si="4"/>
        <v>3.7649597650735028E-3</v>
      </c>
      <c r="N31" s="1">
        <f t="shared" si="5"/>
        <v>29.276457755890103</v>
      </c>
    </row>
    <row r="32" spans="1:14" x14ac:dyDescent="0.35">
      <c r="A32" t="s">
        <v>169</v>
      </c>
      <c r="B32" t="s">
        <v>300</v>
      </c>
      <c r="C32" s="1">
        <v>1833.6554988586008</v>
      </c>
      <c r="D32">
        <v>432</v>
      </c>
      <c r="E32" t="s">
        <v>30</v>
      </c>
      <c r="F32" t="s">
        <v>169</v>
      </c>
      <c r="G32" s="101">
        <v>4598.8787431180344</v>
      </c>
      <c r="H32" s="101">
        <v>175</v>
      </c>
      <c r="I32" s="101">
        <f t="shared" si="1"/>
        <v>6432.5342419766348</v>
      </c>
      <c r="J32" s="101">
        <f t="shared" si="2"/>
        <v>607</v>
      </c>
      <c r="K32" s="3">
        <f t="shared" si="3"/>
        <v>10.597255752844539</v>
      </c>
      <c r="L32">
        <f t="shared" si="0"/>
        <v>3.1144707502685364E-3</v>
      </c>
      <c r="M32" s="52">
        <f t="shared" si="4"/>
        <v>3.1144707502685364E-3</v>
      </c>
      <c r="N32" s="1">
        <f t="shared" si="5"/>
        <v>20.033939746737019</v>
      </c>
    </row>
    <row r="33" spans="1:14" x14ac:dyDescent="0.35">
      <c r="A33" t="s">
        <v>170</v>
      </c>
      <c r="B33" t="s">
        <v>301</v>
      </c>
      <c r="C33" s="1">
        <v>5719</v>
      </c>
      <c r="D33">
        <v>819.00000000000011</v>
      </c>
      <c r="E33" t="s">
        <v>31</v>
      </c>
      <c r="F33" t="s">
        <v>170</v>
      </c>
      <c r="G33" s="101">
        <v>17168</v>
      </c>
      <c r="H33" s="101">
        <v>580</v>
      </c>
      <c r="I33" s="101">
        <f t="shared" si="1"/>
        <v>22887</v>
      </c>
      <c r="J33" s="101">
        <f t="shared" si="2"/>
        <v>1399</v>
      </c>
      <c r="K33" s="3">
        <f t="shared" si="3"/>
        <v>16.359542530378842</v>
      </c>
      <c r="L33">
        <f t="shared" si="0"/>
        <v>1.1081307829850322E-2</v>
      </c>
      <c r="M33" s="52">
        <f t="shared" si="4"/>
        <v>1.1081307829850322E-2</v>
      </c>
      <c r="N33" s="1">
        <f t="shared" si="5"/>
        <v>253.61789230178434</v>
      </c>
    </row>
    <row r="34" spans="1:14" x14ac:dyDescent="0.35">
      <c r="A34" t="s">
        <v>171</v>
      </c>
      <c r="B34" t="s">
        <v>300</v>
      </c>
      <c r="C34" s="1">
        <v>1597</v>
      </c>
      <c r="D34">
        <v>474.99999999999994</v>
      </c>
      <c r="E34" t="s">
        <v>32</v>
      </c>
      <c r="F34" t="s">
        <v>171</v>
      </c>
      <c r="G34" s="101">
        <v>15558.321723868956</v>
      </c>
      <c r="H34" s="101">
        <v>200</v>
      </c>
      <c r="I34" s="101">
        <f t="shared" si="1"/>
        <v>17155.321723868954</v>
      </c>
      <c r="J34" s="101">
        <f t="shared" si="2"/>
        <v>675</v>
      </c>
      <c r="K34" s="3">
        <f t="shared" si="3"/>
        <v>25.415291442768822</v>
      </c>
      <c r="L34">
        <f t="shared" si="0"/>
        <v>8.3061738516323827E-3</v>
      </c>
      <c r="M34" s="52">
        <f t="shared" si="4"/>
        <v>8.3061738516323827E-3</v>
      </c>
      <c r="N34" s="1">
        <f t="shared" si="5"/>
        <v>142.49508471914129</v>
      </c>
    </row>
    <row r="35" spans="1:14" x14ac:dyDescent="0.35">
      <c r="A35" t="s">
        <v>172</v>
      </c>
      <c r="B35" t="s">
        <v>301</v>
      </c>
      <c r="C35" s="1">
        <v>705.66936761273496</v>
      </c>
      <c r="D35">
        <v>370</v>
      </c>
      <c r="E35" t="s">
        <v>33</v>
      </c>
      <c r="F35" t="s">
        <v>172</v>
      </c>
      <c r="G35" s="101">
        <v>4565</v>
      </c>
      <c r="H35" s="101">
        <v>305</v>
      </c>
      <c r="I35" s="101">
        <f t="shared" si="1"/>
        <v>5270.6693676127352</v>
      </c>
      <c r="J35" s="101">
        <f t="shared" si="2"/>
        <v>675</v>
      </c>
      <c r="K35" s="3">
        <f t="shared" si="3"/>
        <v>7.8083990631299782</v>
      </c>
      <c r="L35">
        <f t="shared" si="0"/>
        <v>2.5519250986096582E-3</v>
      </c>
      <c r="M35" s="52">
        <f t="shared" si="4"/>
        <v>2.5519250986096582E-3</v>
      </c>
      <c r="N35" s="1">
        <f t="shared" si="5"/>
        <v>13.450353445684033</v>
      </c>
    </row>
    <row r="36" spans="1:14" x14ac:dyDescent="0.35">
      <c r="A36" t="s">
        <v>173</v>
      </c>
      <c r="B36" t="s">
        <v>299</v>
      </c>
      <c r="C36" s="1">
        <v>86181</v>
      </c>
      <c r="D36">
        <v>4340</v>
      </c>
      <c r="E36" t="s">
        <v>34</v>
      </c>
      <c r="F36" t="s">
        <v>173</v>
      </c>
      <c r="G36" s="101">
        <v>220681</v>
      </c>
      <c r="H36" s="101">
        <v>12835</v>
      </c>
      <c r="I36" s="101">
        <f t="shared" si="1"/>
        <v>306862</v>
      </c>
      <c r="J36" s="101">
        <f t="shared" si="2"/>
        <v>17175</v>
      </c>
      <c r="K36" s="3">
        <f t="shared" si="3"/>
        <v>17.866783114992721</v>
      </c>
      <c r="L36">
        <f t="shared" si="0"/>
        <v>0.14857483651345871</v>
      </c>
      <c r="M36" s="52">
        <f t="shared" si="4"/>
        <v>0.14857483651345871</v>
      </c>
      <c r="N36" s="1">
        <f t="shared" si="5"/>
        <v>45591.971482192967</v>
      </c>
    </row>
    <row r="37" spans="1:14" x14ac:dyDescent="0.35">
      <c r="A37" t="s">
        <v>174</v>
      </c>
      <c r="B37" t="s">
        <v>301</v>
      </c>
      <c r="C37" s="1">
        <v>1648</v>
      </c>
      <c r="D37">
        <v>11</v>
      </c>
      <c r="E37" t="s">
        <v>35</v>
      </c>
      <c r="F37" t="s">
        <v>174</v>
      </c>
      <c r="G37" s="101">
        <v>13501.239749316621</v>
      </c>
      <c r="H37" s="101">
        <v>355</v>
      </c>
      <c r="I37" s="101">
        <f t="shared" si="1"/>
        <v>15149.239749316621</v>
      </c>
      <c r="J37" s="101">
        <f t="shared" si="2"/>
        <v>366</v>
      </c>
      <c r="K37" s="3">
        <f t="shared" si="3"/>
        <v>41.391365435291313</v>
      </c>
      <c r="L37">
        <f t="shared" si="0"/>
        <v>7.3348795844969629E-3</v>
      </c>
      <c r="M37" s="52">
        <f t="shared" si="4"/>
        <v>7.3348795844969629E-3</v>
      </c>
      <c r="N37" s="1">
        <f t="shared" si="5"/>
        <v>111.11784935791238</v>
      </c>
    </row>
    <row r="38" spans="1:14" x14ac:dyDescent="0.35">
      <c r="A38" t="s">
        <v>176</v>
      </c>
      <c r="B38" t="s">
        <v>299</v>
      </c>
      <c r="C38" s="1">
        <v>105</v>
      </c>
      <c r="D38">
        <v>7.1400000000000006</v>
      </c>
      <c r="E38" t="s">
        <v>36</v>
      </c>
      <c r="F38" t="s">
        <v>176</v>
      </c>
      <c r="G38" s="101">
        <v>440</v>
      </c>
      <c r="H38" s="101">
        <v>35.684000000000005</v>
      </c>
      <c r="I38" s="101">
        <f t="shared" si="1"/>
        <v>545</v>
      </c>
      <c r="J38" s="101">
        <f t="shared" si="2"/>
        <v>42.824000000000005</v>
      </c>
      <c r="K38" s="3">
        <f t="shared" si="3"/>
        <v>12.726508499906593</v>
      </c>
      <c r="L38">
        <f t="shared" si="0"/>
        <v>2.6387524652721743E-4</v>
      </c>
      <c r="M38" s="52">
        <f t="shared" si="4"/>
        <v>2.6387524652721743E-4</v>
      </c>
      <c r="N38" s="1">
        <f t="shared" si="5"/>
        <v>0.14381200935733349</v>
      </c>
    </row>
    <row r="39" spans="1:14" x14ac:dyDescent="0.35">
      <c r="A39" t="s">
        <v>177</v>
      </c>
      <c r="B39" t="s">
        <v>299</v>
      </c>
      <c r="C39" s="1">
        <v>2560.8623058327948</v>
      </c>
      <c r="D39">
        <v>434.00000000000006</v>
      </c>
      <c r="E39" t="s">
        <v>37</v>
      </c>
      <c r="F39" t="s">
        <v>177</v>
      </c>
      <c r="G39" s="101">
        <v>4737</v>
      </c>
      <c r="H39" s="101">
        <v>582</v>
      </c>
      <c r="I39" s="101">
        <f t="shared" si="1"/>
        <v>7297.8623058327948</v>
      </c>
      <c r="J39" s="101">
        <f t="shared" si="2"/>
        <v>1016</v>
      </c>
      <c r="K39" s="3">
        <f t="shared" si="3"/>
        <v>7.1829353403866092</v>
      </c>
      <c r="L39">
        <f t="shared" si="0"/>
        <v>3.5334407616024149E-3</v>
      </c>
      <c r="M39" s="52">
        <f t="shared" si="4"/>
        <v>3.5334407616024149E-3</v>
      </c>
      <c r="N39" s="1">
        <f t="shared" si="5"/>
        <v>25.786564143991388</v>
      </c>
    </row>
    <row r="40" spans="1:14" x14ac:dyDescent="0.35">
      <c r="A40" t="s">
        <v>178</v>
      </c>
      <c r="B40" t="s">
        <v>300</v>
      </c>
      <c r="C40" s="1">
        <v>828</v>
      </c>
      <c r="D40">
        <v>10</v>
      </c>
      <c r="E40" t="s">
        <v>38</v>
      </c>
      <c r="F40" t="s">
        <v>178</v>
      </c>
      <c r="G40" s="101">
        <v>1277</v>
      </c>
      <c r="H40" s="101">
        <v>40</v>
      </c>
      <c r="I40" s="101">
        <f t="shared" si="1"/>
        <v>2105</v>
      </c>
      <c r="J40" s="101">
        <f t="shared" si="2"/>
        <v>50</v>
      </c>
      <c r="K40" s="3">
        <f t="shared" si="3"/>
        <v>42.1</v>
      </c>
      <c r="L40">
        <f t="shared" si="0"/>
        <v>1.0191878787886104E-3</v>
      </c>
      <c r="M40" s="52">
        <f t="shared" si="4"/>
        <v>1.0191878787886104E-3</v>
      </c>
      <c r="N40" s="1">
        <f t="shared" si="5"/>
        <v>2.1453904848500249</v>
      </c>
    </row>
    <row r="41" spans="1:14" x14ac:dyDescent="0.35">
      <c r="A41" t="s">
        <v>179</v>
      </c>
      <c r="B41" t="s">
        <v>301</v>
      </c>
      <c r="C41" s="1">
        <v>1106</v>
      </c>
      <c r="D41">
        <v>217</v>
      </c>
      <c r="E41" t="s">
        <v>39</v>
      </c>
      <c r="F41" t="s">
        <v>179</v>
      </c>
      <c r="G41" s="101">
        <v>15666</v>
      </c>
      <c r="H41" s="101">
        <v>1755</v>
      </c>
      <c r="I41" s="101">
        <f t="shared" si="1"/>
        <v>16772</v>
      </c>
      <c r="J41" s="101">
        <f t="shared" si="2"/>
        <v>1972</v>
      </c>
      <c r="K41" s="3">
        <f t="shared" si="3"/>
        <v>8.5050709939148081</v>
      </c>
      <c r="L41">
        <f t="shared" si="0"/>
        <v>8.1205791463385153E-3</v>
      </c>
      <c r="M41" s="52">
        <f t="shared" si="4"/>
        <v>8.1205791463385153E-3</v>
      </c>
      <c r="N41" s="1">
        <f t="shared" si="5"/>
        <v>136.19835344238959</v>
      </c>
    </row>
    <row r="42" spans="1:14" x14ac:dyDescent="0.35">
      <c r="A42" t="s">
        <v>180</v>
      </c>
      <c r="B42" t="s">
        <v>300</v>
      </c>
      <c r="C42" s="1">
        <v>48021</v>
      </c>
      <c r="D42">
        <v>998</v>
      </c>
      <c r="E42" t="s">
        <v>40</v>
      </c>
      <c r="F42" t="s">
        <v>180</v>
      </c>
      <c r="G42" s="101">
        <v>397261.24962174537</v>
      </c>
      <c r="H42" s="101">
        <v>3153.9999999999995</v>
      </c>
      <c r="I42" s="101">
        <f t="shared" si="1"/>
        <v>445282.24962174537</v>
      </c>
      <c r="J42" s="101">
        <f t="shared" si="2"/>
        <v>4152</v>
      </c>
      <c r="K42" s="3">
        <f t="shared" si="3"/>
        <v>107.24524316516025</v>
      </c>
      <c r="L42">
        <f t="shared" si="0"/>
        <v>0.21559442824427896</v>
      </c>
      <c r="M42" s="52">
        <f t="shared" si="4"/>
        <v>0.21559442824427896</v>
      </c>
      <c r="N42" s="1">
        <f t="shared" si="5"/>
        <v>96000.372014526496</v>
      </c>
    </row>
    <row r="43" spans="1:14" x14ac:dyDescent="0.35">
      <c r="A43" t="s">
        <v>181</v>
      </c>
      <c r="B43" t="s">
        <v>301</v>
      </c>
      <c r="C43" s="1">
        <v>456</v>
      </c>
      <c r="D43">
        <v>93.935999999999993</v>
      </c>
      <c r="E43" t="s">
        <v>41</v>
      </c>
      <c r="F43" t="s">
        <v>181</v>
      </c>
      <c r="G43" s="101">
        <v>4530</v>
      </c>
      <c r="H43" s="101">
        <v>241</v>
      </c>
      <c r="I43" s="101">
        <f t="shared" si="1"/>
        <v>4986</v>
      </c>
      <c r="J43" s="101">
        <f t="shared" si="2"/>
        <v>334.93599999999998</v>
      </c>
      <c r="K43" s="3">
        <f t="shared" si="3"/>
        <v>14.886426063486757</v>
      </c>
      <c r="L43">
        <f t="shared" si="0"/>
        <v>2.414095374650837E-3</v>
      </c>
      <c r="M43" s="52">
        <f t="shared" si="4"/>
        <v>2.414095374650837E-3</v>
      </c>
      <c r="N43" s="1">
        <f t="shared" si="5"/>
        <v>12.036679538009073</v>
      </c>
    </row>
    <row r="44" spans="1:14" x14ac:dyDescent="0.35">
      <c r="A44" t="s">
        <v>184</v>
      </c>
      <c r="B44" t="s">
        <v>299</v>
      </c>
      <c r="C44" s="1">
        <v>8693</v>
      </c>
      <c r="D44">
        <v>891</v>
      </c>
      <c r="E44" t="s">
        <v>42</v>
      </c>
      <c r="F44" t="s">
        <v>184</v>
      </c>
      <c r="G44" s="101">
        <v>31940</v>
      </c>
      <c r="H44" s="101">
        <v>4607</v>
      </c>
      <c r="I44" s="101">
        <f t="shared" si="1"/>
        <v>40633</v>
      </c>
      <c r="J44" s="101">
        <f t="shared" si="2"/>
        <v>5498</v>
      </c>
      <c r="K44" s="3">
        <f t="shared" si="3"/>
        <v>7.3905056384139689</v>
      </c>
      <c r="L44">
        <f t="shared" si="0"/>
        <v>1.9673473196587937E-2</v>
      </c>
      <c r="M44" s="52">
        <f t="shared" si="4"/>
        <v>1.9673473196587937E-2</v>
      </c>
      <c r="N44" s="1">
        <f t="shared" si="5"/>
        <v>799.39223639695763</v>
      </c>
    </row>
    <row r="45" spans="1:14" x14ac:dyDescent="0.35">
      <c r="A45" t="s">
        <v>182</v>
      </c>
      <c r="B45" t="s">
        <v>301</v>
      </c>
      <c r="C45" s="1">
        <v>730</v>
      </c>
      <c r="D45">
        <v>77</v>
      </c>
      <c r="E45" t="s">
        <v>43</v>
      </c>
      <c r="F45" t="s">
        <v>182</v>
      </c>
      <c r="G45" s="101">
        <v>2630</v>
      </c>
      <c r="H45" s="101">
        <v>240</v>
      </c>
      <c r="I45" s="101">
        <f t="shared" si="1"/>
        <v>3360</v>
      </c>
      <c r="J45" s="101">
        <f t="shared" si="2"/>
        <v>317</v>
      </c>
      <c r="K45" s="3">
        <f t="shared" si="3"/>
        <v>10.599369085173501</v>
      </c>
      <c r="L45">
        <f t="shared" si="0"/>
        <v>1.6268272079476157E-3</v>
      </c>
      <c r="M45" s="52">
        <f t="shared" si="4"/>
        <v>1.6268272079476157E-3</v>
      </c>
      <c r="N45" s="1">
        <f t="shared" si="5"/>
        <v>5.4661394187039889</v>
      </c>
    </row>
    <row r="46" spans="1:14" x14ac:dyDescent="0.35">
      <c r="A46" t="s">
        <v>183</v>
      </c>
      <c r="B46" t="s">
        <v>301</v>
      </c>
      <c r="C46" s="1">
        <v>9051.7813279678066</v>
      </c>
      <c r="D46">
        <v>1997</v>
      </c>
      <c r="E46" t="s">
        <v>44</v>
      </c>
      <c r="F46" t="s">
        <v>183</v>
      </c>
      <c r="G46" s="101">
        <v>74197</v>
      </c>
      <c r="H46" s="101">
        <v>14001</v>
      </c>
      <c r="I46" s="101">
        <f t="shared" si="1"/>
        <v>83248.781327967808</v>
      </c>
      <c r="J46" s="101">
        <f t="shared" si="2"/>
        <v>15998</v>
      </c>
      <c r="K46" s="3">
        <f t="shared" si="3"/>
        <v>5.2036992954099146</v>
      </c>
      <c r="L46">
        <f t="shared" si="0"/>
        <v>4.0306959075243891E-2</v>
      </c>
      <c r="M46" s="52">
        <f t="shared" si="4"/>
        <v>4.0306959075243891E-2</v>
      </c>
      <c r="N46" s="1">
        <f t="shared" si="5"/>
        <v>3355.5052220503262</v>
      </c>
    </row>
    <row r="47" spans="1:14" x14ac:dyDescent="0.35">
      <c r="A47" t="s">
        <v>185</v>
      </c>
      <c r="B47" t="s">
        <v>299</v>
      </c>
      <c r="C47" s="1">
        <v>6531</v>
      </c>
      <c r="D47">
        <v>115.00000000000001</v>
      </c>
      <c r="E47" t="s">
        <v>45</v>
      </c>
      <c r="F47" t="s">
        <v>185</v>
      </c>
      <c r="G47" s="101">
        <v>49975</v>
      </c>
      <c r="H47" s="101">
        <v>5272</v>
      </c>
      <c r="I47" s="101">
        <f t="shared" si="1"/>
        <v>56506</v>
      </c>
      <c r="J47" s="101">
        <f t="shared" si="2"/>
        <v>5387</v>
      </c>
      <c r="K47" s="3">
        <f t="shared" si="3"/>
        <v>10.489326155559681</v>
      </c>
      <c r="L47">
        <f t="shared" si="0"/>
        <v>2.7358779229847613E-2</v>
      </c>
      <c r="M47" s="52">
        <f t="shared" si="4"/>
        <v>2.7358779229847613E-2</v>
      </c>
      <c r="N47" s="1">
        <f t="shared" si="5"/>
        <v>1545.9351791617692</v>
      </c>
    </row>
    <row r="48" spans="1:14" x14ac:dyDescent="0.35">
      <c r="A48" t="s">
        <v>186</v>
      </c>
      <c r="B48" t="s">
        <v>299</v>
      </c>
      <c r="C48" s="1">
        <v>3131.5983655333839</v>
      </c>
      <c r="D48">
        <v>265</v>
      </c>
      <c r="E48" t="s">
        <v>46</v>
      </c>
      <c r="F48" t="s">
        <v>186</v>
      </c>
      <c r="G48" s="101">
        <v>46537</v>
      </c>
      <c r="H48" s="101">
        <v>1100</v>
      </c>
      <c r="I48" s="101">
        <f t="shared" si="1"/>
        <v>49668.598365533384</v>
      </c>
      <c r="J48" s="101">
        <f t="shared" si="2"/>
        <v>1365</v>
      </c>
      <c r="K48" s="3">
        <f t="shared" si="3"/>
        <v>36.387251549841309</v>
      </c>
      <c r="L48">
        <f t="shared" si="0"/>
        <v>2.404828190525958E-2</v>
      </c>
      <c r="M48" s="52">
        <f t="shared" si="4"/>
        <v>2.404828190525958E-2</v>
      </c>
      <c r="N48" s="1">
        <f t="shared" si="5"/>
        <v>1194.444455333462</v>
      </c>
    </row>
    <row r="49" spans="9:9" x14ac:dyDescent="0.35">
      <c r="I49" s="1">
        <f>SUM(I2:I48)</f>
        <v>2065369.9320894275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E347-DF36-40C8-AA54-3135A576A1DB}">
  <dimension ref="A1:N48"/>
  <sheetViews>
    <sheetView workbookViewId="0">
      <selection activeCell="D6" sqref="D6"/>
    </sheetView>
  </sheetViews>
  <sheetFormatPr defaultRowHeight="14.5" x14ac:dyDescent="0.35"/>
  <cols>
    <col min="1" max="1" width="29.36328125" bestFit="1" customWidth="1"/>
    <col min="2" max="2" width="12.36328125" bestFit="1" customWidth="1"/>
    <col min="3" max="3" width="22.6328125" bestFit="1" customWidth="1"/>
    <col min="4" max="4" width="20.90625" bestFit="1" customWidth="1"/>
    <col min="5" max="5" width="11.81640625" bestFit="1" customWidth="1"/>
    <col min="8" max="8" width="20.26953125" style="2" bestFit="1" customWidth="1"/>
    <col min="11" max="11" width="25.6328125" style="2" customWidth="1"/>
    <col min="13" max="13" width="30.08984375" style="2" bestFit="1" customWidth="1"/>
  </cols>
  <sheetData>
    <row r="1" spans="1:14" ht="29" x14ac:dyDescent="0.35">
      <c r="A1" t="s">
        <v>0</v>
      </c>
      <c r="B1" t="s">
        <v>187</v>
      </c>
      <c r="C1" t="s">
        <v>74</v>
      </c>
      <c r="D1" t="s">
        <v>102</v>
      </c>
      <c r="E1" t="s">
        <v>271</v>
      </c>
      <c r="F1" s="9" t="s">
        <v>273</v>
      </c>
      <c r="G1" s="9" t="s">
        <v>273</v>
      </c>
      <c r="H1" s="2" t="s">
        <v>274</v>
      </c>
      <c r="I1" t="s">
        <v>279</v>
      </c>
      <c r="J1" t="s">
        <v>279</v>
      </c>
      <c r="K1" s="2" t="s">
        <v>280</v>
      </c>
      <c r="L1" t="s">
        <v>281</v>
      </c>
      <c r="M1" s="2" t="s">
        <v>282</v>
      </c>
      <c r="N1" t="s">
        <v>283</v>
      </c>
    </row>
    <row r="2" spans="1:14" x14ac:dyDescent="0.35">
      <c r="A2" t="s">
        <v>38</v>
      </c>
      <c r="B2" t="s">
        <v>178</v>
      </c>
      <c r="C2">
        <v>296.4662893379861</v>
      </c>
      <c r="D2">
        <v>42.1</v>
      </c>
      <c r="E2">
        <v>107118.5</v>
      </c>
      <c r="F2" t="s">
        <v>275</v>
      </c>
      <c r="G2" t="s">
        <v>275</v>
      </c>
      <c r="H2" s="2" t="s">
        <v>263</v>
      </c>
      <c r="I2" t="s">
        <v>276</v>
      </c>
      <c r="J2" t="s">
        <v>276</v>
      </c>
      <c r="K2" s="2" t="s">
        <v>263</v>
      </c>
      <c r="L2" t="b">
        <f>H2=K2</f>
        <v>1</v>
      </c>
      <c r="M2" s="2" t="str">
        <f>VLOOKUP(B2,Density_Weighted_Stock_Unw!K$2:P$48,6,FALSE)</f>
        <v>2</v>
      </c>
      <c r="N2" t="b">
        <f>K2=M2</f>
        <v>0</v>
      </c>
    </row>
    <row r="3" spans="1:14" x14ac:dyDescent="0.35">
      <c r="A3" t="s">
        <v>40</v>
      </c>
      <c r="B3" t="s">
        <v>180</v>
      </c>
      <c r="C3">
        <v>110.14054068074168</v>
      </c>
      <c r="D3">
        <v>107.24524316516025</v>
      </c>
      <c r="E3">
        <v>59893885.5</v>
      </c>
      <c r="F3" t="s">
        <v>275</v>
      </c>
      <c r="G3" t="s">
        <v>275</v>
      </c>
      <c r="H3" s="2" t="s">
        <v>263</v>
      </c>
      <c r="I3" t="s">
        <v>276</v>
      </c>
      <c r="J3" t="s">
        <v>276</v>
      </c>
      <c r="K3" s="2" t="s">
        <v>263</v>
      </c>
      <c r="L3" t="b">
        <f t="shared" ref="L3:L48" si="0">H3=K3</f>
        <v>1</v>
      </c>
      <c r="M3" s="2" t="str">
        <f>VLOOKUP(B3,Density_Weighted_Stock_Unw!K$2:P$48,6,FALSE)</f>
        <v>4</v>
      </c>
      <c r="N3" t="b">
        <f t="shared" ref="N3:N48" si="1">K3=M3</f>
        <v>1</v>
      </c>
    </row>
    <row r="4" spans="1:14" x14ac:dyDescent="0.35">
      <c r="A4" t="s">
        <v>32</v>
      </c>
      <c r="B4" t="s">
        <v>171</v>
      </c>
      <c r="C4">
        <v>105.35216319078796</v>
      </c>
      <c r="D4">
        <v>25.415291442768822</v>
      </c>
      <c r="E4">
        <v>2567012.4999999995</v>
      </c>
      <c r="F4" t="s">
        <v>275</v>
      </c>
      <c r="G4" t="s">
        <v>275</v>
      </c>
      <c r="H4" s="2" t="s">
        <v>263</v>
      </c>
      <c r="I4" t="s">
        <v>276</v>
      </c>
      <c r="J4" t="s">
        <v>276</v>
      </c>
      <c r="K4" s="2" t="s">
        <v>263</v>
      </c>
      <c r="L4" t="b">
        <f t="shared" si="0"/>
        <v>1</v>
      </c>
      <c r="M4" s="2" t="str">
        <f>VLOOKUP(B4,Density_Weighted_Stock_Unw!K$2:P$48,6,FALSE)</f>
        <v>2</v>
      </c>
      <c r="N4" t="b">
        <f t="shared" si="1"/>
        <v>0</v>
      </c>
    </row>
    <row r="5" spans="1:14" x14ac:dyDescent="0.35">
      <c r="A5" t="s">
        <v>60</v>
      </c>
      <c r="B5" t="s">
        <v>142</v>
      </c>
      <c r="C5">
        <v>104.36309518407614</v>
      </c>
      <c r="D5">
        <v>22.857935830441416</v>
      </c>
      <c r="E5">
        <v>593149.50000000012</v>
      </c>
      <c r="F5" t="s">
        <v>275</v>
      </c>
      <c r="G5" t="s">
        <v>275</v>
      </c>
      <c r="H5" s="2" t="s">
        <v>263</v>
      </c>
      <c r="I5" t="s">
        <v>276</v>
      </c>
      <c r="J5" t="s">
        <v>276</v>
      </c>
      <c r="K5" s="2" t="s">
        <v>263</v>
      </c>
      <c r="L5" t="b">
        <f t="shared" si="0"/>
        <v>1</v>
      </c>
      <c r="M5" s="2" t="str">
        <f>VLOOKUP(B5,Density_Weighted_Stock_Unw!K$2:P$48,6,FALSE)</f>
        <v>2</v>
      </c>
      <c r="N5" t="b">
        <f t="shared" si="1"/>
        <v>0</v>
      </c>
    </row>
    <row r="6" spans="1:14" x14ac:dyDescent="0.35">
      <c r="A6" t="s">
        <v>30</v>
      </c>
      <c r="B6" t="s">
        <v>169</v>
      </c>
      <c r="C6">
        <v>117.20284698003086</v>
      </c>
      <c r="D6">
        <v>10.597255752844539</v>
      </c>
      <c r="E6">
        <v>1299468.9999999986</v>
      </c>
      <c r="F6" t="s">
        <v>275</v>
      </c>
      <c r="G6" t="s">
        <v>277</v>
      </c>
      <c r="H6" s="2" t="s">
        <v>264</v>
      </c>
      <c r="I6" t="s">
        <v>276</v>
      </c>
      <c r="J6" t="s">
        <v>278</v>
      </c>
      <c r="K6" s="2" t="s">
        <v>264</v>
      </c>
      <c r="L6" t="b">
        <f t="shared" si="0"/>
        <v>1</v>
      </c>
      <c r="M6" s="2" t="str">
        <f>VLOOKUP(B6,Density_Weighted_Stock_Unw!K$2:P$48,6,FALSE)</f>
        <v>1</v>
      </c>
      <c r="N6" t="b">
        <f t="shared" si="1"/>
        <v>0</v>
      </c>
    </row>
    <row r="7" spans="1:14" x14ac:dyDescent="0.35">
      <c r="A7" t="s">
        <v>16</v>
      </c>
      <c r="B7" t="s">
        <v>154</v>
      </c>
      <c r="C7">
        <v>140.19826135915432</v>
      </c>
      <c r="D7">
        <v>37.056249999999999</v>
      </c>
      <c r="E7">
        <v>1201670.4999999995</v>
      </c>
      <c r="F7" t="s">
        <v>275</v>
      </c>
      <c r="G7" t="s">
        <v>275</v>
      </c>
      <c r="H7" s="2" t="s">
        <v>263</v>
      </c>
      <c r="I7" t="s">
        <v>276</v>
      </c>
      <c r="J7" t="s">
        <v>276</v>
      </c>
      <c r="K7" s="2" t="s">
        <v>263</v>
      </c>
      <c r="L7" t="b">
        <f t="shared" si="0"/>
        <v>1</v>
      </c>
      <c r="M7" s="2" t="str">
        <f>VLOOKUP(B7,Density_Weighted_Stock_Unw!K$2:P$48,6,FALSE)</f>
        <v>2</v>
      </c>
      <c r="N7" t="b">
        <f t="shared" si="1"/>
        <v>0</v>
      </c>
    </row>
    <row r="8" spans="1:14" x14ac:dyDescent="0.35">
      <c r="A8" t="s">
        <v>20</v>
      </c>
      <c r="B8" t="s">
        <v>159</v>
      </c>
      <c r="C8">
        <v>70.640914271306528</v>
      </c>
      <c r="D8">
        <v>5.6456748687645337</v>
      </c>
      <c r="E8">
        <v>33475870.500000011</v>
      </c>
      <c r="F8" t="s">
        <v>275</v>
      </c>
      <c r="G8" t="s">
        <v>277</v>
      </c>
      <c r="H8" s="2" t="s">
        <v>264</v>
      </c>
      <c r="I8" t="s">
        <v>276</v>
      </c>
      <c r="J8" t="s">
        <v>278</v>
      </c>
      <c r="K8" s="2" t="s">
        <v>264</v>
      </c>
      <c r="L8" t="b">
        <f t="shared" si="0"/>
        <v>1</v>
      </c>
      <c r="M8" s="2" t="str">
        <f>VLOOKUP(B8,Density_Weighted_Stock_Unw!K$2:P$48,6,FALSE)</f>
        <v>3</v>
      </c>
      <c r="N8" t="b">
        <f t="shared" si="1"/>
        <v>1</v>
      </c>
    </row>
    <row r="9" spans="1:14" x14ac:dyDescent="0.35">
      <c r="A9" t="s">
        <v>1</v>
      </c>
      <c r="B9" t="s">
        <v>136</v>
      </c>
      <c r="C9">
        <v>130.9</v>
      </c>
      <c r="D9">
        <v>22.857935830441416</v>
      </c>
      <c r="E9">
        <v>44903225.000000007</v>
      </c>
      <c r="F9" t="s">
        <v>275</v>
      </c>
      <c r="G9" t="s">
        <v>275</v>
      </c>
      <c r="H9" s="2" t="s">
        <v>263</v>
      </c>
      <c r="I9" t="s">
        <v>276</v>
      </c>
      <c r="J9" t="s">
        <v>276</v>
      </c>
      <c r="K9" s="2" t="s">
        <v>263</v>
      </c>
      <c r="L9" t="b">
        <f t="shared" si="0"/>
        <v>1</v>
      </c>
      <c r="M9" s="2" t="str">
        <f>VLOOKUP(B9,Density_Weighted_Stock_Unw!K$2:P$48,6,FALSE)</f>
        <v>4</v>
      </c>
      <c r="N9" t="b">
        <f t="shared" si="1"/>
        <v>1</v>
      </c>
    </row>
    <row r="10" spans="1:14" x14ac:dyDescent="0.35">
      <c r="A10" t="s">
        <v>46</v>
      </c>
      <c r="B10" t="s">
        <v>186</v>
      </c>
      <c r="C10">
        <v>64.042986580794391</v>
      </c>
      <c r="D10">
        <v>36.387251549841309</v>
      </c>
      <c r="E10">
        <v>16320536.999999996</v>
      </c>
      <c r="F10" t="s">
        <v>275</v>
      </c>
      <c r="G10" t="s">
        <v>275</v>
      </c>
      <c r="H10" s="2" t="s">
        <v>263</v>
      </c>
      <c r="I10" t="s">
        <v>276</v>
      </c>
      <c r="J10" t="s">
        <v>276</v>
      </c>
      <c r="K10" s="2" t="s">
        <v>263</v>
      </c>
      <c r="L10" t="b">
        <f t="shared" si="0"/>
        <v>1</v>
      </c>
      <c r="M10" s="2" t="str">
        <f>VLOOKUP(B10,Density_Weighted_Stock_Unw!K$2:P$48,6,FALSE)</f>
        <v>2</v>
      </c>
      <c r="N10" t="b">
        <f t="shared" si="1"/>
        <v>0</v>
      </c>
    </row>
    <row r="11" spans="1:14" x14ac:dyDescent="0.35">
      <c r="A11" t="s">
        <v>4</v>
      </c>
      <c r="B11" t="s">
        <v>139</v>
      </c>
      <c r="C11">
        <v>68.115844081394968</v>
      </c>
      <c r="D11">
        <v>16.399999999999999</v>
      </c>
      <c r="E11">
        <v>2630296.0000000019</v>
      </c>
      <c r="F11" t="s">
        <v>275</v>
      </c>
      <c r="G11" t="s">
        <v>277</v>
      </c>
      <c r="H11" s="2" t="s">
        <v>264</v>
      </c>
      <c r="I11" t="s">
        <v>276</v>
      </c>
      <c r="J11" t="s">
        <v>278</v>
      </c>
      <c r="K11" s="2" t="s">
        <v>264</v>
      </c>
      <c r="L11" t="b">
        <f t="shared" si="0"/>
        <v>1</v>
      </c>
      <c r="M11" s="2" t="str">
        <f>VLOOKUP(B11,Density_Weighted_Stock_Unw!K$2:P$48,6,FALSE)</f>
        <v>1</v>
      </c>
      <c r="N11" t="b">
        <f t="shared" si="1"/>
        <v>0</v>
      </c>
    </row>
    <row r="12" spans="1:14" x14ac:dyDescent="0.35">
      <c r="A12" t="s">
        <v>45</v>
      </c>
      <c r="B12" t="s">
        <v>185</v>
      </c>
      <c r="C12">
        <v>55.939473332937403</v>
      </c>
      <c r="D12">
        <v>10.51861504095309</v>
      </c>
      <c r="E12">
        <v>20017675.000000004</v>
      </c>
      <c r="F12" t="s">
        <v>275</v>
      </c>
      <c r="G12" t="s">
        <v>277</v>
      </c>
      <c r="H12" s="2" t="s">
        <v>264</v>
      </c>
      <c r="I12" t="s">
        <v>276</v>
      </c>
      <c r="J12" t="s">
        <v>278</v>
      </c>
      <c r="K12" s="2" t="s">
        <v>264</v>
      </c>
      <c r="L12" t="b">
        <f t="shared" si="0"/>
        <v>1</v>
      </c>
      <c r="M12" s="2" t="str">
        <f>VLOOKUP(B12,Density_Weighted_Stock_Unw!K$2:P$48,6,FALSE)</f>
        <v>3</v>
      </c>
      <c r="N12" t="b">
        <f t="shared" si="1"/>
        <v>1</v>
      </c>
    </row>
    <row r="13" spans="1:14" x14ac:dyDescent="0.35">
      <c r="A13" t="s">
        <v>18</v>
      </c>
      <c r="B13" t="s">
        <v>156</v>
      </c>
      <c r="C13">
        <v>57.112151673993168</v>
      </c>
      <c r="D13">
        <v>42.673685800866124</v>
      </c>
      <c r="E13">
        <v>2388992.5000000005</v>
      </c>
      <c r="F13" t="s">
        <v>275</v>
      </c>
      <c r="G13" t="s">
        <v>275</v>
      </c>
      <c r="H13" s="2" t="s">
        <v>263</v>
      </c>
      <c r="I13" t="s">
        <v>276</v>
      </c>
      <c r="J13" t="s">
        <v>276</v>
      </c>
      <c r="K13" s="2" t="s">
        <v>263</v>
      </c>
      <c r="L13" t="b">
        <f t="shared" si="0"/>
        <v>1</v>
      </c>
      <c r="M13" s="2" t="str">
        <f>VLOOKUP(B13,Density_Weighted_Stock_Unw!K$2:P$48,6,FALSE)</f>
        <v>2</v>
      </c>
      <c r="N13" t="b">
        <f t="shared" si="1"/>
        <v>0</v>
      </c>
    </row>
    <row r="14" spans="1:14" x14ac:dyDescent="0.35">
      <c r="A14" t="s">
        <v>175</v>
      </c>
      <c r="B14" t="s">
        <v>176</v>
      </c>
      <c r="C14">
        <v>63.393220513883151</v>
      </c>
      <c r="D14">
        <v>22.857935830441416</v>
      </c>
      <c r="E14">
        <v>227379.5</v>
      </c>
      <c r="F14" t="s">
        <v>275</v>
      </c>
      <c r="G14" t="s">
        <v>275</v>
      </c>
      <c r="H14" s="2" t="s">
        <v>263</v>
      </c>
      <c r="I14" t="s">
        <v>276</v>
      </c>
      <c r="J14" t="s">
        <v>276</v>
      </c>
      <c r="K14" s="2" t="s">
        <v>263</v>
      </c>
      <c r="L14" t="b">
        <f t="shared" si="0"/>
        <v>1</v>
      </c>
      <c r="M14" s="2" t="str">
        <f>VLOOKUP(B14,Density_Weighted_Stock_Unw!K$2:P$48,6,FALSE)</f>
        <v>2</v>
      </c>
      <c r="N14" t="b">
        <f t="shared" si="1"/>
        <v>0</v>
      </c>
    </row>
    <row r="15" spans="1:14" x14ac:dyDescent="0.35">
      <c r="A15" t="s">
        <v>44</v>
      </c>
      <c r="B15" t="s">
        <v>183</v>
      </c>
      <c r="C15">
        <v>70.939806529751905</v>
      </c>
      <c r="D15">
        <v>5.2036992954099146</v>
      </c>
      <c r="E15">
        <v>47249584.999999978</v>
      </c>
      <c r="F15" t="s">
        <v>275</v>
      </c>
      <c r="G15" t="s">
        <v>277</v>
      </c>
      <c r="H15" s="2" t="s">
        <v>264</v>
      </c>
      <c r="I15" t="s">
        <v>276</v>
      </c>
      <c r="J15" t="s">
        <v>278</v>
      </c>
      <c r="K15" s="2" t="s">
        <v>264</v>
      </c>
      <c r="L15" t="b">
        <f t="shared" si="0"/>
        <v>1</v>
      </c>
      <c r="M15" s="2" t="str">
        <f>VLOOKUP(B15,Density_Weighted_Stock_Unw!K$2:P$48,6,FALSE)</f>
        <v>3</v>
      </c>
      <c r="N15" t="b">
        <f t="shared" si="1"/>
        <v>1</v>
      </c>
    </row>
    <row r="16" spans="1:14" x14ac:dyDescent="0.35">
      <c r="A16" t="s">
        <v>23</v>
      </c>
      <c r="B16" t="s">
        <v>162</v>
      </c>
      <c r="C16">
        <v>52.761765904512501</v>
      </c>
      <c r="D16">
        <v>75.215601965601962</v>
      </c>
      <c r="E16">
        <v>54027486.999999985</v>
      </c>
      <c r="F16" t="s">
        <v>275</v>
      </c>
      <c r="G16" t="s">
        <v>275</v>
      </c>
      <c r="H16" s="2" t="s">
        <v>263</v>
      </c>
      <c r="I16" t="s">
        <v>278</v>
      </c>
      <c r="J16" t="s">
        <v>276</v>
      </c>
      <c r="K16" s="2" t="s">
        <v>266</v>
      </c>
      <c r="L16" t="b">
        <f t="shared" si="0"/>
        <v>0</v>
      </c>
      <c r="M16" s="2" t="str">
        <f>VLOOKUP(B16,Density_Weighted_Stock_Unw!K$2:P$48,6,FALSE)</f>
        <v>4</v>
      </c>
      <c r="N16" t="b">
        <f t="shared" si="1"/>
        <v>0</v>
      </c>
    </row>
    <row r="17" spans="1:14" x14ac:dyDescent="0.35">
      <c r="A17" t="s">
        <v>39</v>
      </c>
      <c r="B17" t="s">
        <v>179</v>
      </c>
      <c r="C17">
        <v>45.477301239981145</v>
      </c>
      <c r="D17">
        <v>8.5050709939148081</v>
      </c>
      <c r="E17">
        <v>8605718.0000000056</v>
      </c>
      <c r="F17" t="s">
        <v>275</v>
      </c>
      <c r="G17" t="s">
        <v>277</v>
      </c>
      <c r="H17" s="2" t="s">
        <v>264</v>
      </c>
      <c r="I17" t="s">
        <v>278</v>
      </c>
      <c r="J17" t="s">
        <v>278</v>
      </c>
      <c r="K17" s="2" t="s">
        <v>265</v>
      </c>
      <c r="L17" t="b">
        <f t="shared" si="0"/>
        <v>0</v>
      </c>
      <c r="M17" s="2" t="str">
        <f>VLOOKUP(B17,Density_Weighted_Stock_Unw!K$2:P$48,6,FALSE)</f>
        <v>1</v>
      </c>
      <c r="N17" t="b">
        <f t="shared" si="1"/>
        <v>1</v>
      </c>
    </row>
    <row r="18" spans="1:14" x14ac:dyDescent="0.35">
      <c r="A18" t="s">
        <v>2</v>
      </c>
      <c r="B18" t="s">
        <v>137</v>
      </c>
      <c r="C18">
        <v>38.456345697593264</v>
      </c>
      <c r="D18">
        <v>21.176735134619424</v>
      </c>
      <c r="E18">
        <v>35588987.00000003</v>
      </c>
      <c r="F18" t="s">
        <v>277</v>
      </c>
      <c r="G18" t="s">
        <v>277</v>
      </c>
      <c r="H18" s="2" t="s">
        <v>265</v>
      </c>
      <c r="I18" t="s">
        <v>278</v>
      </c>
      <c r="J18" t="s">
        <v>278</v>
      </c>
      <c r="K18" s="2" t="s">
        <v>265</v>
      </c>
      <c r="L18" t="b">
        <f t="shared" si="0"/>
        <v>1</v>
      </c>
      <c r="M18" s="2" t="str">
        <f>VLOOKUP(B18,Density_Weighted_Stock_Unw!K$2:P$48,6,FALSE)</f>
        <v>3</v>
      </c>
      <c r="N18" t="b">
        <f t="shared" si="1"/>
        <v>0</v>
      </c>
    </row>
    <row r="19" spans="1:14" x14ac:dyDescent="0.35">
      <c r="A19" t="s">
        <v>34</v>
      </c>
      <c r="B19" t="s">
        <v>173</v>
      </c>
      <c r="C19">
        <v>36.583982353138666</v>
      </c>
      <c r="D19">
        <v>17.866783114992721</v>
      </c>
      <c r="E19">
        <v>218541211.50000003</v>
      </c>
      <c r="F19" t="s">
        <v>277</v>
      </c>
      <c r="G19" t="s">
        <v>277</v>
      </c>
      <c r="H19" s="2" t="s">
        <v>265</v>
      </c>
      <c r="I19" t="s">
        <v>278</v>
      </c>
      <c r="J19" t="s">
        <v>278</v>
      </c>
      <c r="K19" s="2" t="s">
        <v>265</v>
      </c>
      <c r="L19" t="b">
        <f t="shared" si="0"/>
        <v>1</v>
      </c>
      <c r="M19" s="2" t="str">
        <f>VLOOKUP(B19,Density_Weighted_Stock_Unw!K$2:P$48,6,FALSE)</f>
        <v>3</v>
      </c>
      <c r="N19" t="b">
        <f t="shared" si="1"/>
        <v>0</v>
      </c>
    </row>
    <row r="20" spans="1:14" x14ac:dyDescent="0.35">
      <c r="A20" t="s">
        <v>10</v>
      </c>
      <c r="B20" t="s">
        <v>146</v>
      </c>
      <c r="C20">
        <v>31.333794542132008</v>
      </c>
      <c r="D20">
        <v>28.47427435177109</v>
      </c>
      <c r="E20">
        <v>836773.49999999977</v>
      </c>
      <c r="F20" t="s">
        <v>277</v>
      </c>
      <c r="G20" t="s">
        <v>275</v>
      </c>
      <c r="H20" s="2" t="s">
        <v>266</v>
      </c>
      <c r="I20" t="s">
        <v>278</v>
      </c>
      <c r="J20" t="s">
        <v>276</v>
      </c>
      <c r="K20" s="2" t="s">
        <v>266</v>
      </c>
      <c r="L20" t="b">
        <f t="shared" si="0"/>
        <v>1</v>
      </c>
      <c r="M20" s="2" t="str">
        <f>VLOOKUP(B20,Density_Weighted_Stock_Unw!K$2:P$48,6,FALSE)</f>
        <v>2</v>
      </c>
      <c r="N20" t="b">
        <f t="shared" si="1"/>
        <v>1</v>
      </c>
    </row>
    <row r="21" spans="1:14" x14ac:dyDescent="0.35">
      <c r="A21" t="s">
        <v>24</v>
      </c>
      <c r="B21" t="s">
        <v>163</v>
      </c>
      <c r="C21">
        <v>125.68172362603974</v>
      </c>
      <c r="D21">
        <v>4.6148174783924176</v>
      </c>
      <c r="E21">
        <v>2305825.5000000019</v>
      </c>
      <c r="F21" t="s">
        <v>275</v>
      </c>
      <c r="G21" t="s">
        <v>277</v>
      </c>
      <c r="H21" s="2" t="s">
        <v>264</v>
      </c>
      <c r="I21" t="s">
        <v>276</v>
      </c>
      <c r="J21" t="s">
        <v>278</v>
      </c>
      <c r="K21" s="2" t="s">
        <v>264</v>
      </c>
      <c r="L21" t="b">
        <f t="shared" si="0"/>
        <v>1</v>
      </c>
      <c r="M21" s="2" t="str">
        <f>VLOOKUP(B21,Density_Weighted_Stock_Unw!K$2:P$48,6,FALSE)</f>
        <v>1</v>
      </c>
      <c r="N21" t="b">
        <f t="shared" si="1"/>
        <v>0</v>
      </c>
    </row>
    <row r="22" spans="1:14" x14ac:dyDescent="0.35">
      <c r="A22" t="s">
        <v>29</v>
      </c>
      <c r="B22" t="s">
        <v>168</v>
      </c>
      <c r="C22">
        <v>43.978835355257424</v>
      </c>
      <c r="D22">
        <v>68.81446632132112</v>
      </c>
      <c r="E22">
        <v>4736138.9999999991</v>
      </c>
      <c r="F22" t="s">
        <v>275</v>
      </c>
      <c r="G22" t="s">
        <v>275</v>
      </c>
      <c r="H22" s="2" t="s">
        <v>263</v>
      </c>
      <c r="I22" t="s">
        <v>278</v>
      </c>
      <c r="J22" t="s">
        <v>276</v>
      </c>
      <c r="K22" s="2" t="s">
        <v>266</v>
      </c>
      <c r="L22" t="b">
        <f t="shared" si="0"/>
        <v>0</v>
      </c>
      <c r="M22" s="2" t="str">
        <f>VLOOKUP(B22,Density_Weighted_Stock_Unw!K$2:P$48,6,FALSE)</f>
        <v>2</v>
      </c>
      <c r="N22" t="b">
        <f t="shared" si="1"/>
        <v>1</v>
      </c>
    </row>
    <row r="23" spans="1:14" x14ac:dyDescent="0.35">
      <c r="A23" t="s">
        <v>17</v>
      </c>
      <c r="B23" t="s">
        <v>155</v>
      </c>
      <c r="C23">
        <v>33.829583652601642</v>
      </c>
      <c r="D23">
        <v>16.468657033574161</v>
      </c>
      <c r="E23">
        <v>123379924.50000004</v>
      </c>
      <c r="F23" t="s">
        <v>277</v>
      </c>
      <c r="G23" t="s">
        <v>277</v>
      </c>
      <c r="H23" s="2" t="s">
        <v>265</v>
      </c>
      <c r="I23" t="s">
        <v>278</v>
      </c>
      <c r="J23" t="s">
        <v>278</v>
      </c>
      <c r="K23" s="2" t="s">
        <v>265</v>
      </c>
      <c r="L23" t="b">
        <f t="shared" si="0"/>
        <v>1</v>
      </c>
      <c r="M23" s="2" t="str">
        <f>VLOOKUP(B23,Density_Weighted_Stock_Unw!K$2:P$48,6,FALSE)</f>
        <v>3</v>
      </c>
      <c r="N23" t="b">
        <f t="shared" si="1"/>
        <v>0</v>
      </c>
    </row>
    <row r="24" spans="1:14" x14ac:dyDescent="0.35">
      <c r="A24" t="s">
        <v>15</v>
      </c>
      <c r="B24" t="s">
        <v>153</v>
      </c>
      <c r="C24">
        <v>38.107951184321514</v>
      </c>
      <c r="D24">
        <v>13.264544118808269</v>
      </c>
      <c r="E24">
        <v>3684031.5000000019</v>
      </c>
      <c r="F24" t="s">
        <v>277</v>
      </c>
      <c r="G24" t="s">
        <v>277</v>
      </c>
      <c r="H24" s="2" t="s">
        <v>265</v>
      </c>
      <c r="I24" t="s">
        <v>278</v>
      </c>
      <c r="J24" t="s">
        <v>278</v>
      </c>
      <c r="K24" s="2" t="s">
        <v>265</v>
      </c>
      <c r="L24" t="b">
        <f t="shared" si="0"/>
        <v>1</v>
      </c>
      <c r="M24" s="2" t="str">
        <f>VLOOKUP(B24,Density_Weighted_Stock_Unw!K$2:P$48,6,FALSE)</f>
        <v>1</v>
      </c>
      <c r="N24" t="b">
        <f t="shared" si="1"/>
        <v>1</v>
      </c>
    </row>
    <row r="25" spans="1:14" x14ac:dyDescent="0.35">
      <c r="A25" t="s">
        <v>82</v>
      </c>
      <c r="B25" t="s">
        <v>151</v>
      </c>
      <c r="C25">
        <v>15.888047021793218</v>
      </c>
      <c r="D25">
        <v>4.5412705268813731</v>
      </c>
      <c r="E25">
        <v>99010212</v>
      </c>
      <c r="F25" t="s">
        <v>277</v>
      </c>
      <c r="G25" t="s">
        <v>277</v>
      </c>
      <c r="H25" s="2" t="s">
        <v>265</v>
      </c>
      <c r="I25" t="s">
        <v>278</v>
      </c>
      <c r="J25" t="s">
        <v>278</v>
      </c>
      <c r="K25" s="2" t="s">
        <v>265</v>
      </c>
      <c r="L25" t="b">
        <f t="shared" si="0"/>
        <v>1</v>
      </c>
      <c r="M25" s="2" t="str">
        <f>VLOOKUP(B25,Density_Weighted_Stock_Unw!K$2:P$48,6,FALSE)</f>
        <v>3</v>
      </c>
      <c r="N25" t="b">
        <f t="shared" si="1"/>
        <v>0</v>
      </c>
    </row>
    <row r="26" spans="1:14" x14ac:dyDescent="0.35">
      <c r="A26" t="s">
        <v>147</v>
      </c>
      <c r="B26" t="s">
        <v>148</v>
      </c>
      <c r="C26">
        <v>20.330016447381468</v>
      </c>
      <c r="D26">
        <v>55.125</v>
      </c>
      <c r="E26">
        <v>5970424.0000000009</v>
      </c>
      <c r="F26" t="s">
        <v>277</v>
      </c>
      <c r="G26" t="s">
        <v>275</v>
      </c>
      <c r="H26" s="2" t="s">
        <v>266</v>
      </c>
      <c r="I26" t="s">
        <v>278</v>
      </c>
      <c r="J26" t="s">
        <v>276</v>
      </c>
      <c r="K26" s="2" t="s">
        <v>266</v>
      </c>
      <c r="L26" t="b">
        <f t="shared" si="0"/>
        <v>1</v>
      </c>
      <c r="M26" s="2" t="str">
        <f>VLOOKUP(B26,Density_Weighted_Stock_Unw!K$2:P$48,6,FALSE)</f>
        <v>2</v>
      </c>
      <c r="N26" t="b">
        <f t="shared" si="1"/>
        <v>1</v>
      </c>
    </row>
    <row r="27" spans="1:14" x14ac:dyDescent="0.35">
      <c r="A27" t="s">
        <v>35</v>
      </c>
      <c r="B27" t="s">
        <v>174</v>
      </c>
      <c r="C27">
        <v>59.624042517676429</v>
      </c>
      <c r="D27">
        <v>41.391365435291313</v>
      </c>
      <c r="E27">
        <v>13776697.499999994</v>
      </c>
      <c r="F27" t="s">
        <v>275</v>
      </c>
      <c r="G27" t="s">
        <v>275</v>
      </c>
      <c r="H27" s="2" t="s">
        <v>263</v>
      </c>
      <c r="I27" t="s">
        <v>276</v>
      </c>
      <c r="J27" t="s">
        <v>276</v>
      </c>
      <c r="K27" s="2" t="s">
        <v>263</v>
      </c>
      <c r="L27" t="b">
        <f t="shared" si="0"/>
        <v>1</v>
      </c>
      <c r="M27" s="2" t="str">
        <f>VLOOKUP(B27,Density_Weighted_Stock_Unw!K$2:P$48,6,FALSE)</f>
        <v>2</v>
      </c>
      <c r="N27" t="b">
        <f t="shared" si="1"/>
        <v>0</v>
      </c>
    </row>
    <row r="28" spans="1:14" x14ac:dyDescent="0.35">
      <c r="A28" t="s">
        <v>22</v>
      </c>
      <c r="B28" t="s">
        <v>161</v>
      </c>
      <c r="C28">
        <v>43.637164811660909</v>
      </c>
      <c r="D28">
        <v>22.857935830441416</v>
      </c>
      <c r="E28">
        <v>2105565.4999999991</v>
      </c>
      <c r="F28" t="s">
        <v>275</v>
      </c>
      <c r="G28" t="s">
        <v>275</v>
      </c>
      <c r="H28" s="2" t="s">
        <v>263</v>
      </c>
      <c r="I28" t="s">
        <v>278</v>
      </c>
      <c r="J28" t="s">
        <v>276</v>
      </c>
      <c r="K28" s="2" t="s">
        <v>266</v>
      </c>
      <c r="L28" t="b">
        <f t="shared" si="0"/>
        <v>0</v>
      </c>
      <c r="M28" s="2" t="str">
        <f>VLOOKUP(B28,Density_Weighted_Stock_Unw!K$2:P$48,6,FALSE)</f>
        <v>2</v>
      </c>
      <c r="N28" t="b">
        <f t="shared" si="1"/>
        <v>1</v>
      </c>
    </row>
    <row r="29" spans="1:14" x14ac:dyDescent="0.35">
      <c r="A29" t="s">
        <v>25</v>
      </c>
      <c r="B29" t="s">
        <v>164</v>
      </c>
      <c r="C29">
        <v>57.003752262980719</v>
      </c>
      <c r="D29">
        <v>58.454296612863345</v>
      </c>
      <c r="E29">
        <v>5302681.0000000028</v>
      </c>
      <c r="F29" t="s">
        <v>275</v>
      </c>
      <c r="G29" t="s">
        <v>275</v>
      </c>
      <c r="H29" s="2" t="s">
        <v>263</v>
      </c>
      <c r="I29" t="s">
        <v>276</v>
      </c>
      <c r="J29" t="s">
        <v>276</v>
      </c>
      <c r="K29" s="2" t="s">
        <v>263</v>
      </c>
      <c r="L29" t="b">
        <f t="shared" si="0"/>
        <v>1</v>
      </c>
      <c r="M29" s="2" t="str">
        <f>VLOOKUP(B29,Density_Weighted_Stock_Unw!K$2:P$48,6,FALSE)</f>
        <v>2</v>
      </c>
      <c r="N29" t="b">
        <f t="shared" si="1"/>
        <v>0</v>
      </c>
    </row>
    <row r="30" spans="1:14" x14ac:dyDescent="0.35">
      <c r="A30" t="s">
        <v>5</v>
      </c>
      <c r="B30" t="s">
        <v>140</v>
      </c>
      <c r="C30">
        <v>16.827323041243478</v>
      </c>
      <c r="D30">
        <v>6.4928625093914354</v>
      </c>
      <c r="E30">
        <v>22673762.000000007</v>
      </c>
      <c r="F30" t="s">
        <v>277</v>
      </c>
      <c r="G30" t="s">
        <v>277</v>
      </c>
      <c r="H30" s="2" t="s">
        <v>265</v>
      </c>
      <c r="I30" t="s">
        <v>278</v>
      </c>
      <c r="J30" t="s">
        <v>278</v>
      </c>
      <c r="K30" s="2" t="s">
        <v>265</v>
      </c>
      <c r="L30" t="b">
        <f t="shared" si="0"/>
        <v>1</v>
      </c>
      <c r="M30" s="2" t="str">
        <f>VLOOKUP(B30,Density_Weighted_Stock_Unw!K$2:P$48,6,FALSE)</f>
        <v>1</v>
      </c>
      <c r="N30" t="b">
        <f t="shared" si="1"/>
        <v>1</v>
      </c>
    </row>
    <row r="31" spans="1:14" x14ac:dyDescent="0.35">
      <c r="A31" t="s">
        <v>149</v>
      </c>
      <c r="B31" t="s">
        <v>150</v>
      </c>
      <c r="C31">
        <v>25.91975377602575</v>
      </c>
      <c r="D31">
        <v>20.263906002583152</v>
      </c>
      <c r="E31">
        <v>28160542.500000004</v>
      </c>
      <c r="F31" t="s">
        <v>277</v>
      </c>
      <c r="G31" t="s">
        <v>277</v>
      </c>
      <c r="H31" s="2" t="s">
        <v>265</v>
      </c>
      <c r="I31" t="s">
        <v>278</v>
      </c>
      <c r="J31" t="s">
        <v>278</v>
      </c>
      <c r="K31" s="2" t="s">
        <v>265</v>
      </c>
      <c r="L31" t="b">
        <f t="shared" si="0"/>
        <v>1</v>
      </c>
      <c r="M31" s="2" t="str">
        <f>VLOOKUP(B31,Density_Weighted_Stock_Unw!K$2:P$48,6,FALSE)</f>
        <v>1</v>
      </c>
      <c r="N31" t="b">
        <f t="shared" si="1"/>
        <v>1</v>
      </c>
    </row>
    <row r="32" spans="1:14" x14ac:dyDescent="0.35">
      <c r="A32" t="s">
        <v>31</v>
      </c>
      <c r="B32" t="s">
        <v>170</v>
      </c>
      <c r="C32">
        <v>54.608508445493854</v>
      </c>
      <c r="D32">
        <v>16.359542530378842</v>
      </c>
      <c r="E32">
        <v>32969518.500000007</v>
      </c>
      <c r="F32" t="s">
        <v>275</v>
      </c>
      <c r="G32" t="s">
        <v>277</v>
      </c>
      <c r="H32" s="2" t="s">
        <v>264</v>
      </c>
      <c r="I32" t="s">
        <v>276</v>
      </c>
      <c r="J32" t="s">
        <v>278</v>
      </c>
      <c r="K32" s="2" t="s">
        <v>264</v>
      </c>
      <c r="L32" t="b">
        <f t="shared" si="0"/>
        <v>1</v>
      </c>
      <c r="M32" s="2" t="str">
        <f>VLOOKUP(B32,Density_Weighted_Stock_Unw!K$2:P$48,6,FALSE)</f>
        <v>3</v>
      </c>
      <c r="N32" t="b">
        <f t="shared" si="1"/>
        <v>1</v>
      </c>
    </row>
    <row r="33" spans="1:14" x14ac:dyDescent="0.35">
      <c r="A33" t="s">
        <v>14</v>
      </c>
      <c r="B33" t="s">
        <v>152</v>
      </c>
      <c r="C33">
        <v>27.930586305707227</v>
      </c>
      <c r="D33">
        <v>0.95412514516632685</v>
      </c>
      <c r="E33">
        <v>1674908</v>
      </c>
      <c r="F33" t="s">
        <v>277</v>
      </c>
      <c r="G33" t="s">
        <v>277</v>
      </c>
      <c r="H33" s="2" t="s">
        <v>265</v>
      </c>
      <c r="I33" t="s">
        <v>278</v>
      </c>
      <c r="J33" t="s">
        <v>278</v>
      </c>
      <c r="K33" s="2" t="s">
        <v>265</v>
      </c>
      <c r="L33" t="b">
        <f t="shared" si="0"/>
        <v>1</v>
      </c>
      <c r="M33" s="2" t="str">
        <f>VLOOKUP(B33,Density_Weighted_Stock_Unw!K$2:P$48,6,FALSE)</f>
        <v>1</v>
      </c>
      <c r="N33" t="b">
        <f t="shared" si="1"/>
        <v>1</v>
      </c>
    </row>
    <row r="34" spans="1:14" x14ac:dyDescent="0.35">
      <c r="A34" t="s">
        <v>6</v>
      </c>
      <c r="B34" t="s">
        <v>141</v>
      </c>
      <c r="C34">
        <v>40.986337247671983</v>
      </c>
      <c r="D34">
        <v>5.7962394193302087</v>
      </c>
      <c r="E34">
        <v>12889576.499999994</v>
      </c>
      <c r="F34" t="s">
        <v>277</v>
      </c>
      <c r="G34" t="s">
        <v>277</v>
      </c>
      <c r="H34" s="2" t="s">
        <v>265</v>
      </c>
      <c r="I34" t="s">
        <v>278</v>
      </c>
      <c r="J34" t="s">
        <v>278</v>
      </c>
      <c r="K34" s="2" t="s">
        <v>265</v>
      </c>
      <c r="L34" t="b">
        <f t="shared" si="0"/>
        <v>1</v>
      </c>
      <c r="M34" s="2" t="str">
        <f>VLOOKUP(B34,Density_Weighted_Stock_Unw!K$2:P$48,6,FALSE)</f>
        <v>1</v>
      </c>
      <c r="N34" t="b">
        <f t="shared" si="1"/>
        <v>1</v>
      </c>
    </row>
    <row r="35" spans="1:14" x14ac:dyDescent="0.35">
      <c r="A35" t="s">
        <v>3</v>
      </c>
      <c r="B35" t="s">
        <v>138</v>
      </c>
      <c r="C35">
        <v>18.729624018891407</v>
      </c>
      <c r="D35">
        <v>8.1976856316297013</v>
      </c>
      <c r="E35">
        <v>13352864</v>
      </c>
      <c r="F35" t="s">
        <v>277</v>
      </c>
      <c r="G35" t="s">
        <v>277</v>
      </c>
      <c r="H35" s="2" t="s">
        <v>265</v>
      </c>
      <c r="I35" t="s">
        <v>278</v>
      </c>
      <c r="J35" t="s">
        <v>278</v>
      </c>
      <c r="K35" s="2" t="s">
        <v>265</v>
      </c>
      <c r="L35" t="b">
        <f t="shared" si="0"/>
        <v>1</v>
      </c>
      <c r="M35" s="2" t="str">
        <f>VLOOKUP(B35,Density_Weighted_Stock_Unw!K$2:P$48,6,FALSE)</f>
        <v>1</v>
      </c>
      <c r="N35" t="b">
        <f t="shared" si="1"/>
        <v>1</v>
      </c>
    </row>
    <row r="36" spans="1:14" x14ac:dyDescent="0.35">
      <c r="A36" t="s">
        <v>7</v>
      </c>
      <c r="B36" t="s">
        <v>143</v>
      </c>
      <c r="C36">
        <v>11.326441981493597</v>
      </c>
      <c r="D36">
        <v>5.8473988439306357</v>
      </c>
      <c r="E36">
        <v>27914536.499999989</v>
      </c>
      <c r="F36" t="s">
        <v>277</v>
      </c>
      <c r="G36" t="s">
        <v>277</v>
      </c>
      <c r="H36" s="2" t="s">
        <v>265</v>
      </c>
      <c r="I36" t="s">
        <v>278</v>
      </c>
      <c r="J36" t="s">
        <v>278</v>
      </c>
      <c r="K36" s="2" t="s">
        <v>265</v>
      </c>
      <c r="L36" t="b">
        <f t="shared" si="0"/>
        <v>1</v>
      </c>
      <c r="M36" s="2" t="str">
        <f>VLOOKUP(B36,Density_Weighted_Stock_Unw!K$2:P$48,6,FALSE)</f>
        <v>1</v>
      </c>
      <c r="N36" t="b">
        <f t="shared" si="1"/>
        <v>1</v>
      </c>
    </row>
    <row r="37" spans="1:14" x14ac:dyDescent="0.35">
      <c r="A37" t="s">
        <v>157</v>
      </c>
      <c r="B37" t="s">
        <v>158</v>
      </c>
      <c r="C37">
        <v>34.171087572485987</v>
      </c>
      <c r="D37">
        <v>10.645443106523956</v>
      </c>
      <c r="E37">
        <v>2705991.9999999995</v>
      </c>
      <c r="F37" t="s">
        <v>277</v>
      </c>
      <c r="G37" t="s">
        <v>277</v>
      </c>
      <c r="H37" s="2" t="s">
        <v>265</v>
      </c>
      <c r="I37" t="s">
        <v>278</v>
      </c>
      <c r="J37" t="s">
        <v>278</v>
      </c>
      <c r="K37" s="2" t="s">
        <v>265</v>
      </c>
      <c r="L37" t="b">
        <f t="shared" si="0"/>
        <v>1</v>
      </c>
      <c r="M37" s="2" t="str">
        <f>VLOOKUP(B37,Density_Weighted_Stock_Unw!K$2:P$48,6,FALSE)</f>
        <v>1</v>
      </c>
      <c r="N37" t="b">
        <f t="shared" si="1"/>
        <v>1</v>
      </c>
    </row>
    <row r="38" spans="1:14" x14ac:dyDescent="0.35">
      <c r="A38" t="s">
        <v>41</v>
      </c>
      <c r="B38" t="s">
        <v>181</v>
      </c>
      <c r="C38">
        <v>19.70458233636975</v>
      </c>
      <c r="D38">
        <v>20.688796680497926</v>
      </c>
      <c r="E38">
        <v>10913163.5</v>
      </c>
      <c r="F38" t="s">
        <v>277</v>
      </c>
      <c r="G38" t="s">
        <v>277</v>
      </c>
      <c r="H38" s="2" t="s">
        <v>265</v>
      </c>
      <c r="I38" t="s">
        <v>278</v>
      </c>
      <c r="J38" t="s">
        <v>278</v>
      </c>
      <c r="K38" s="2" t="s">
        <v>265</v>
      </c>
      <c r="L38" t="b">
        <f t="shared" si="0"/>
        <v>1</v>
      </c>
      <c r="M38" s="2" t="str">
        <f>VLOOKUP(B38,Density_Weighted_Stock_Unw!K$2:P$48,6,FALSE)</f>
        <v>1</v>
      </c>
      <c r="N38" t="b">
        <f t="shared" si="1"/>
        <v>1</v>
      </c>
    </row>
    <row r="39" spans="1:14" x14ac:dyDescent="0.35">
      <c r="A39" t="s">
        <v>42</v>
      </c>
      <c r="B39" t="s">
        <v>184</v>
      </c>
      <c r="C39">
        <v>28.683351968574311</v>
      </c>
      <c r="D39">
        <v>12.502461538461539</v>
      </c>
      <c r="E39">
        <v>65497748.000000045</v>
      </c>
      <c r="F39" t="s">
        <v>277</v>
      </c>
      <c r="G39" t="s">
        <v>277</v>
      </c>
      <c r="H39" s="2" t="s">
        <v>265</v>
      </c>
      <c r="I39" t="s">
        <v>278</v>
      </c>
      <c r="J39" t="s">
        <v>278</v>
      </c>
      <c r="K39" s="2" t="s">
        <v>265</v>
      </c>
      <c r="L39" t="b">
        <f t="shared" si="0"/>
        <v>1</v>
      </c>
      <c r="M39" s="2" t="str">
        <f>VLOOKUP(B39,Density_Weighted_Stock_Unw!K$2:P$48,6,FALSE)</f>
        <v>3</v>
      </c>
      <c r="N39" t="b">
        <f t="shared" si="1"/>
        <v>0</v>
      </c>
    </row>
    <row r="40" spans="1:14" x14ac:dyDescent="0.35">
      <c r="A40" t="s">
        <v>37</v>
      </c>
      <c r="B40" t="s">
        <v>177</v>
      </c>
      <c r="C40">
        <v>23.796885847380697</v>
      </c>
      <c r="D40">
        <v>7.1829353403866092</v>
      </c>
      <c r="E40">
        <v>17316449</v>
      </c>
      <c r="F40" t="s">
        <v>277</v>
      </c>
      <c r="G40" t="s">
        <v>277</v>
      </c>
      <c r="H40" s="2" t="s">
        <v>265</v>
      </c>
      <c r="I40" t="s">
        <v>278</v>
      </c>
      <c r="J40" t="s">
        <v>278</v>
      </c>
      <c r="K40" s="2" t="s">
        <v>265</v>
      </c>
      <c r="L40" t="b">
        <f t="shared" si="0"/>
        <v>1</v>
      </c>
      <c r="M40" s="2" t="str">
        <f>VLOOKUP(B40,Density_Weighted_Stock_Unw!K$2:P$48,6,FALSE)</f>
        <v>1</v>
      </c>
      <c r="N40" t="b">
        <f t="shared" si="1"/>
        <v>1</v>
      </c>
    </row>
    <row r="41" spans="1:14" x14ac:dyDescent="0.35">
      <c r="A41" t="s">
        <v>43</v>
      </c>
      <c r="B41" t="s">
        <v>182</v>
      </c>
      <c r="C41">
        <v>30.235229462209936</v>
      </c>
      <c r="D41">
        <v>10.599369085173501</v>
      </c>
      <c r="E41">
        <v>8848698.5000000019</v>
      </c>
      <c r="F41" t="s">
        <v>277</v>
      </c>
      <c r="G41" t="s">
        <v>277</v>
      </c>
      <c r="H41" s="2" t="s">
        <v>265</v>
      </c>
      <c r="I41" t="s">
        <v>278</v>
      </c>
      <c r="J41" t="s">
        <v>278</v>
      </c>
      <c r="K41" s="2" t="s">
        <v>265</v>
      </c>
      <c r="L41" t="b">
        <f t="shared" si="0"/>
        <v>1</v>
      </c>
      <c r="M41" s="2" t="str">
        <f>VLOOKUP(B41,Density_Weighted_Stock_Unw!K$2:P$48,6,FALSE)</f>
        <v>1</v>
      </c>
      <c r="N41" t="b">
        <f t="shared" si="1"/>
        <v>1</v>
      </c>
    </row>
    <row r="42" spans="1:14" x14ac:dyDescent="0.35">
      <c r="A42" t="s">
        <v>28</v>
      </c>
      <c r="B42" t="s">
        <v>167</v>
      </c>
      <c r="C42">
        <v>16.946843842481947</v>
      </c>
      <c r="D42">
        <v>22.857935830441416</v>
      </c>
      <c r="E42">
        <v>22593590.500000022</v>
      </c>
      <c r="F42" t="s">
        <v>277</v>
      </c>
      <c r="G42" t="s">
        <v>275</v>
      </c>
      <c r="H42" s="2" t="s">
        <v>266</v>
      </c>
      <c r="I42" t="s">
        <v>278</v>
      </c>
      <c r="J42" t="s">
        <v>276</v>
      </c>
      <c r="K42" s="2" t="s">
        <v>266</v>
      </c>
      <c r="L42" t="b">
        <f t="shared" si="0"/>
        <v>1</v>
      </c>
      <c r="M42" s="2" t="str">
        <f>VLOOKUP(B42,Density_Weighted_Stock_Unw!K$2:P$48,6,FALSE)</f>
        <v>2</v>
      </c>
      <c r="N42" t="b">
        <f t="shared" si="1"/>
        <v>1</v>
      </c>
    </row>
    <row r="43" spans="1:14" x14ac:dyDescent="0.35">
      <c r="A43" t="s">
        <v>27</v>
      </c>
      <c r="B43" t="s">
        <v>166</v>
      </c>
      <c r="C43">
        <v>18.931285154211427</v>
      </c>
      <c r="D43">
        <v>21.348430688993169</v>
      </c>
      <c r="E43">
        <v>20405316.500000019</v>
      </c>
      <c r="F43" t="s">
        <v>277</v>
      </c>
      <c r="G43" t="s">
        <v>277</v>
      </c>
      <c r="H43" s="2" t="s">
        <v>265</v>
      </c>
      <c r="I43" t="s">
        <v>278</v>
      </c>
      <c r="J43" t="s">
        <v>278</v>
      </c>
      <c r="K43" s="2" t="s">
        <v>265</v>
      </c>
      <c r="L43" t="b">
        <f t="shared" si="0"/>
        <v>1</v>
      </c>
      <c r="M43" s="2" t="str">
        <f>VLOOKUP(B43,Density_Weighted_Stock_Unw!K$2:P$48,6,FALSE)</f>
        <v>1</v>
      </c>
      <c r="N43" t="b">
        <f t="shared" si="1"/>
        <v>1</v>
      </c>
    </row>
    <row r="44" spans="1:14" x14ac:dyDescent="0.35">
      <c r="A44" t="s">
        <v>26</v>
      </c>
      <c r="B44" t="s">
        <v>165</v>
      </c>
      <c r="C44">
        <v>21.968767905514429</v>
      </c>
      <c r="D44">
        <v>3.4278711484593836</v>
      </c>
      <c r="E44">
        <v>29611714.000000004</v>
      </c>
      <c r="F44" t="s">
        <v>277</v>
      </c>
      <c r="G44" t="s">
        <v>277</v>
      </c>
      <c r="H44" s="2" t="s">
        <v>265</v>
      </c>
      <c r="I44" t="s">
        <v>278</v>
      </c>
      <c r="J44" t="s">
        <v>278</v>
      </c>
      <c r="K44" s="2" t="s">
        <v>265</v>
      </c>
      <c r="L44" t="b">
        <f t="shared" si="0"/>
        <v>1</v>
      </c>
      <c r="M44" s="2" t="str">
        <f>VLOOKUP(B44,Density_Weighted_Stock_Unw!K$2:P$48,6,FALSE)</f>
        <v>1</v>
      </c>
      <c r="N44" t="b">
        <f t="shared" si="1"/>
        <v>1</v>
      </c>
    </row>
    <row r="45" spans="1:14" x14ac:dyDescent="0.35">
      <c r="A45" t="s">
        <v>21</v>
      </c>
      <c r="B45" t="s">
        <v>160</v>
      </c>
      <c r="C45">
        <v>17.813553305551778</v>
      </c>
      <c r="D45">
        <v>3.096666017972511</v>
      </c>
      <c r="E45">
        <v>13859340.500000006</v>
      </c>
      <c r="F45" t="s">
        <v>277</v>
      </c>
      <c r="G45" t="s">
        <v>277</v>
      </c>
      <c r="H45" s="2" t="s">
        <v>265</v>
      </c>
      <c r="I45" t="s">
        <v>278</v>
      </c>
      <c r="J45" t="s">
        <v>278</v>
      </c>
      <c r="K45" s="2" t="s">
        <v>265</v>
      </c>
      <c r="L45" t="b">
        <f t="shared" si="0"/>
        <v>1</v>
      </c>
      <c r="M45" s="2" t="str">
        <f>VLOOKUP(B45,Density_Weighted_Stock_Unw!K$2:P$48,6,FALSE)</f>
        <v>1</v>
      </c>
      <c r="N45" t="b">
        <f t="shared" si="1"/>
        <v>1</v>
      </c>
    </row>
    <row r="46" spans="1:14" x14ac:dyDescent="0.35">
      <c r="A46" t="s">
        <v>9</v>
      </c>
      <c r="B46" t="s">
        <v>145</v>
      </c>
      <c r="C46">
        <v>22.710971898965504</v>
      </c>
      <c r="D46">
        <v>1.5058928414930488</v>
      </c>
      <c r="E46">
        <v>17723314.500000004</v>
      </c>
      <c r="F46" t="s">
        <v>277</v>
      </c>
      <c r="G46" t="s">
        <v>277</v>
      </c>
      <c r="H46" s="2" t="s">
        <v>265</v>
      </c>
      <c r="I46" t="s">
        <v>278</v>
      </c>
      <c r="J46" t="s">
        <v>278</v>
      </c>
      <c r="K46" s="2" t="s">
        <v>265</v>
      </c>
      <c r="L46" t="b">
        <f t="shared" si="0"/>
        <v>1</v>
      </c>
      <c r="M46" s="2" t="str">
        <f>VLOOKUP(B46,Density_Weighted_Stock_Unw!K$2:P$48,6,FALSE)</f>
        <v>1</v>
      </c>
      <c r="N46" t="b">
        <f t="shared" si="1"/>
        <v>1</v>
      </c>
    </row>
    <row r="47" spans="1:14" x14ac:dyDescent="0.35">
      <c r="A47" t="s">
        <v>8</v>
      </c>
      <c r="B47" t="s">
        <v>144</v>
      </c>
      <c r="C47">
        <v>10.210731090719779</v>
      </c>
      <c r="D47">
        <v>44.159429280397021</v>
      </c>
      <c r="E47">
        <v>5579143.5000000047</v>
      </c>
      <c r="F47" t="s">
        <v>277</v>
      </c>
      <c r="G47" t="s">
        <v>275</v>
      </c>
      <c r="H47" s="2" t="s">
        <v>266</v>
      </c>
      <c r="I47" t="s">
        <v>278</v>
      </c>
      <c r="J47" t="s">
        <v>276</v>
      </c>
      <c r="K47" s="2" t="s">
        <v>266</v>
      </c>
      <c r="L47" t="b">
        <f t="shared" si="0"/>
        <v>1</v>
      </c>
      <c r="M47" s="2" t="str">
        <f>VLOOKUP(B47,Density_Weighted_Stock_Unw!K$2:P$48,6,FALSE)</f>
        <v>2</v>
      </c>
      <c r="N47" t="b">
        <f t="shared" si="1"/>
        <v>1</v>
      </c>
    </row>
    <row r="48" spans="1:14" x14ac:dyDescent="0.35">
      <c r="A48" t="s">
        <v>33</v>
      </c>
      <c r="B48" t="s">
        <v>172</v>
      </c>
      <c r="C48">
        <v>4.955848322257995</v>
      </c>
      <c r="D48">
        <v>7.8083990631299782</v>
      </c>
      <c r="E48">
        <v>26207976.5</v>
      </c>
      <c r="F48" t="s">
        <v>277</v>
      </c>
      <c r="G48" t="s">
        <v>277</v>
      </c>
      <c r="H48" s="2" t="s">
        <v>265</v>
      </c>
      <c r="I48" t="s">
        <v>278</v>
      </c>
      <c r="J48" t="s">
        <v>278</v>
      </c>
      <c r="K48" s="2" t="s">
        <v>265</v>
      </c>
      <c r="L48" t="b">
        <f t="shared" si="0"/>
        <v>1</v>
      </c>
      <c r="M48" s="2" t="str">
        <f>VLOOKUP(B48,Density_Weighted_Stock_Unw!K$2:P$48,6,FALSE)</f>
        <v>1</v>
      </c>
      <c r="N48" t="b">
        <f t="shared" si="1"/>
        <v>1</v>
      </c>
    </row>
  </sheetData>
  <autoFilter ref="A1:N48" xr:uid="{ECC2E347-DF36-40C8-AA54-3135A576A1DB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0DB3-3E8C-4D1D-BAFB-2F4E43E5F2C9}">
  <dimension ref="B1:AE51"/>
  <sheetViews>
    <sheetView topLeftCell="L1" workbookViewId="0">
      <selection activeCell="W10" sqref="W10"/>
    </sheetView>
  </sheetViews>
  <sheetFormatPr defaultRowHeight="14.5" x14ac:dyDescent="0.35"/>
  <cols>
    <col min="2" max="2" width="11" customWidth="1"/>
    <col min="3" max="3" width="13.7265625" customWidth="1"/>
    <col min="4" max="4" width="14.26953125" customWidth="1"/>
    <col min="5" max="5" width="13.26953125" bestFit="1" customWidth="1"/>
    <col min="6" max="6" width="12.08984375" bestFit="1" customWidth="1"/>
    <col min="8" max="8" width="11.7265625" customWidth="1"/>
    <col min="9" max="9" width="14.26953125" customWidth="1"/>
    <col min="11" max="11" width="11" customWidth="1"/>
    <col min="12" max="12" width="12.08984375" bestFit="1" customWidth="1"/>
    <col min="13" max="13" width="11.7265625" customWidth="1"/>
    <col min="14" max="14" width="12.08984375" bestFit="1" customWidth="1"/>
    <col min="15" max="16" width="12.54296875" bestFit="1" customWidth="1"/>
    <col min="19" max="19" width="11" customWidth="1"/>
    <col min="20" max="20" width="10.90625" customWidth="1"/>
    <col min="25" max="25" width="27.26953125" style="58" bestFit="1" customWidth="1"/>
    <col min="26" max="26" width="16.36328125" customWidth="1"/>
  </cols>
  <sheetData>
    <row r="1" spans="2:31" ht="58.5" thickTop="1" x14ac:dyDescent="0.35">
      <c r="B1" s="60" t="s">
        <v>187</v>
      </c>
      <c r="C1" s="60" t="s">
        <v>188</v>
      </c>
      <c r="D1" s="60" t="s">
        <v>189</v>
      </c>
      <c r="E1" s="60" t="s">
        <v>74</v>
      </c>
      <c r="F1" s="60" t="s">
        <v>102</v>
      </c>
      <c r="G1" s="61"/>
      <c r="H1" s="102" t="s">
        <v>261</v>
      </c>
      <c r="I1" s="103" t="s">
        <v>189</v>
      </c>
      <c r="K1" s="60" t="s">
        <v>187</v>
      </c>
      <c r="L1" s="60" t="s">
        <v>102</v>
      </c>
      <c r="M1" s="102" t="s">
        <v>74</v>
      </c>
      <c r="N1" s="60" t="s">
        <v>192</v>
      </c>
      <c r="O1" s="102" t="s">
        <v>261</v>
      </c>
      <c r="P1" s="60" t="s">
        <v>102</v>
      </c>
      <c r="R1" s="106" t="s">
        <v>262</v>
      </c>
      <c r="S1" s="60" t="s">
        <v>187</v>
      </c>
      <c r="T1" s="9" t="s">
        <v>268</v>
      </c>
      <c r="U1" t="s">
        <v>269</v>
      </c>
      <c r="Y1" s="59" t="s">
        <v>0</v>
      </c>
      <c r="Z1" s="60" t="s">
        <v>208</v>
      </c>
    </row>
    <row r="2" spans="2:31" x14ac:dyDescent="0.35">
      <c r="B2" s="65" t="s">
        <v>136</v>
      </c>
      <c r="C2" s="3">
        <v>1.9914855492738153</v>
      </c>
      <c r="D2" s="67">
        <v>1.3590370091771649</v>
      </c>
      <c r="E2" s="47">
        <v>98.058568574484738</v>
      </c>
      <c r="F2" s="67">
        <v>22.857935830441416</v>
      </c>
      <c r="H2">
        <v>3.6950126815550437</v>
      </c>
      <c r="I2" s="67">
        <v>1.3590370091771649</v>
      </c>
      <c r="K2" s="65" t="s">
        <v>136</v>
      </c>
      <c r="L2" s="67">
        <v>22.857935830441416</v>
      </c>
      <c r="M2">
        <v>130.9</v>
      </c>
      <c r="N2" s="67">
        <v>1.3590370091771649</v>
      </c>
      <c r="O2" t="str">
        <f>IF(M2&lt;$M$49,"Below Average","Above Average")</f>
        <v>Above Average</v>
      </c>
      <c r="P2" t="str">
        <f>IF(N2&lt;$N$49,"Below Average","Above Average")</f>
        <v>Above Average</v>
      </c>
      <c r="R2" t="str" cm="1">
        <f t="array" ref="R2">_xlfn.IFS(AND(O2="Above Average",P2="Below Average"),"3",AND(O2="Above Average",P2="Above Average"),"4",AND(O2="Below Average",P2="Above Average"),"2",AND(O2="Below Average",P2="Below Average"),"1")</f>
        <v>4</v>
      </c>
      <c r="S2" s="65" t="s">
        <v>136</v>
      </c>
      <c r="T2" t="s">
        <v>263</v>
      </c>
      <c r="U2" t="b">
        <f t="shared" ref="U2:U48" si="0">R2=T2</f>
        <v>1</v>
      </c>
      <c r="Y2" s="64" t="s">
        <v>1</v>
      </c>
      <c r="Z2" s="101">
        <v>44903225.000000007</v>
      </c>
      <c r="AB2" s="131" t="s">
        <v>1</v>
      </c>
      <c r="AC2" s="132">
        <v>2.931267462129866</v>
      </c>
      <c r="AD2" s="132">
        <v>41.893522234964195</v>
      </c>
      <c r="AE2" s="133">
        <v>49.173528181995827</v>
      </c>
    </row>
    <row r="3" spans="2:31" x14ac:dyDescent="0.35">
      <c r="B3" s="65" t="s">
        <v>137</v>
      </c>
      <c r="C3" s="3">
        <v>1.5849680131637138</v>
      </c>
      <c r="D3" s="67">
        <v>1.3258590047651035</v>
      </c>
      <c r="E3" s="47">
        <v>38.456345697593264</v>
      </c>
      <c r="F3" s="67">
        <v>21.176735134619424</v>
      </c>
      <c r="H3">
        <v>1.1485145197284106</v>
      </c>
      <c r="I3" s="67">
        <v>1.3258590047651035</v>
      </c>
      <c r="K3" s="65" t="s">
        <v>137</v>
      </c>
      <c r="L3" s="67">
        <v>21.176735134619424</v>
      </c>
      <c r="M3">
        <v>38.456345697593264</v>
      </c>
      <c r="N3" s="67">
        <v>1.3258590047651035</v>
      </c>
      <c r="O3" t="str">
        <f t="shared" ref="O3:O48" si="1">IF(M3&lt;$M$49,"Below Average","Above Average")</f>
        <v>Below Average</v>
      </c>
      <c r="P3" t="str">
        <f t="shared" ref="P3:P48" si="2">IF(N3&lt;$N$49,"Below Average","Above Average")</f>
        <v>Above Average</v>
      </c>
      <c r="R3" t="str" cm="1">
        <f t="array" ref="R3">_xlfn.IFS(AND(O3="Above Average",P3="Below Average"),"3",AND(O3="Above Average",P3="Above Average"),"4",AND(O3="Below Average",P3="Above Average"),"2",AND(O3="Below Average",P3="Below Average"),"1")</f>
        <v>2</v>
      </c>
      <c r="S3" s="65" t="s">
        <v>137</v>
      </c>
      <c r="T3" t="s">
        <v>264</v>
      </c>
      <c r="U3" t="b">
        <f t="shared" si="0"/>
        <v>0</v>
      </c>
      <c r="Y3" s="64" t="s">
        <v>2</v>
      </c>
      <c r="Z3" s="101">
        <v>35588987.00000003</v>
      </c>
      <c r="AB3" s="131" t="s">
        <v>2</v>
      </c>
      <c r="AC3" s="132">
        <v>1.147359073900709E-2</v>
      </c>
      <c r="AD3" s="132">
        <v>19.33519951199629</v>
      </c>
      <c r="AE3" s="132">
        <v>22.16128506058643</v>
      </c>
    </row>
    <row r="4" spans="2:31" x14ac:dyDescent="0.35">
      <c r="B4" s="65" t="s">
        <v>138</v>
      </c>
      <c r="C4" s="3">
        <v>1.2725290593741871</v>
      </c>
      <c r="D4" s="67">
        <v>0.91369125978844856</v>
      </c>
      <c r="E4" s="47">
        <v>18.729624018891407</v>
      </c>
      <c r="F4" s="67">
        <v>8.1976856316297013</v>
      </c>
      <c r="H4">
        <v>0.20987288638745535</v>
      </c>
      <c r="I4" s="67">
        <v>0.91369125978844856</v>
      </c>
      <c r="K4" s="65" t="s">
        <v>138</v>
      </c>
      <c r="L4" s="67">
        <v>8.1976856316297013</v>
      </c>
      <c r="M4">
        <v>18.729624018891407</v>
      </c>
      <c r="N4" s="67">
        <v>0.91369125978844856</v>
      </c>
      <c r="O4" t="str">
        <f t="shared" si="1"/>
        <v>Below Average</v>
      </c>
      <c r="P4" t="str">
        <f t="shared" si="2"/>
        <v>Below Average</v>
      </c>
      <c r="R4" t="str" cm="1">
        <f t="array" ref="R4">_xlfn.IFS(AND(O4="Above Average",P4="Below Average"),"3",AND(O4="Above Average",P4="Above Average"),"4",AND(O4="Below Average",P4="Above Average"),"2",AND(O4="Below Average",P4="Below Average"),"1")</f>
        <v>1</v>
      </c>
      <c r="S4" s="65" t="s">
        <v>138</v>
      </c>
      <c r="T4" t="s">
        <v>265</v>
      </c>
      <c r="U4" t="b">
        <f t="shared" si="0"/>
        <v>1</v>
      </c>
      <c r="Y4" s="64" t="s">
        <v>3</v>
      </c>
      <c r="Z4" s="101">
        <v>13352864</v>
      </c>
      <c r="AB4" s="131" t="s">
        <v>3</v>
      </c>
      <c r="AC4" s="132">
        <v>7.6857184306059843</v>
      </c>
      <c r="AD4" s="132">
        <v>4.8313817211552434</v>
      </c>
      <c r="AE4" s="132">
        <v>8.2764831925559506</v>
      </c>
    </row>
    <row r="5" spans="2:31" x14ac:dyDescent="0.35">
      <c r="B5" s="65" t="s">
        <v>139</v>
      </c>
      <c r="C5" s="3">
        <v>1.8332481427025307</v>
      </c>
      <c r="D5" s="67">
        <v>1.2148438480476977</v>
      </c>
      <c r="E5" s="47">
        <v>68.115844081394968</v>
      </c>
      <c r="F5" s="67">
        <v>16.399999999999999</v>
      </c>
      <c r="H5">
        <v>0.15035075647857676</v>
      </c>
      <c r="I5" s="67">
        <v>1.2148438480476977</v>
      </c>
      <c r="K5" s="65" t="s">
        <v>139</v>
      </c>
      <c r="L5" s="67">
        <v>16.399999999999999</v>
      </c>
      <c r="M5">
        <v>68.115844081394968</v>
      </c>
      <c r="N5" s="67">
        <v>1.2148438480476977</v>
      </c>
      <c r="O5" t="str">
        <f t="shared" si="1"/>
        <v>Above Average</v>
      </c>
      <c r="P5" t="str">
        <f t="shared" si="2"/>
        <v>Above Average</v>
      </c>
      <c r="R5" t="str" cm="1">
        <f t="array" ref="R5">_xlfn.IFS(AND(O5="Above Average",P5="Below Average"),"3",AND(O5="Above Average",P5="Above Average"),"4",AND(O5="Below Average",P5="Above Average"),"2",AND(O5="Below Average",P5="Below Average"),"1")</f>
        <v>4</v>
      </c>
      <c r="S5" s="65" t="s">
        <v>139</v>
      </c>
      <c r="T5" t="s">
        <v>265</v>
      </c>
      <c r="U5" t="b">
        <f t="shared" si="0"/>
        <v>0</v>
      </c>
      <c r="Y5" s="64" t="s">
        <v>4</v>
      </c>
      <c r="Z5" s="101">
        <v>2630296.0000000019</v>
      </c>
      <c r="AB5" s="134" t="s">
        <v>4</v>
      </c>
      <c r="AC5" s="132">
        <v>36.941691569573123</v>
      </c>
      <c r="AD5" s="132">
        <v>37.8721049551717</v>
      </c>
      <c r="AE5" s="132">
        <v>37.02657488516612</v>
      </c>
    </row>
    <row r="6" spans="2:31" x14ac:dyDescent="0.35">
      <c r="B6" s="65" t="s">
        <v>140</v>
      </c>
      <c r="C6" s="3">
        <v>1.2260150321442151</v>
      </c>
      <c r="D6" s="67">
        <v>0.81243620650053627</v>
      </c>
      <c r="E6" s="47">
        <v>16.827323041243478</v>
      </c>
      <c r="F6" s="67">
        <v>6.4928625093914354</v>
      </c>
      <c r="H6">
        <v>0.32017798429058059</v>
      </c>
      <c r="I6" s="67">
        <v>0.81243620650053627</v>
      </c>
      <c r="K6" s="65" t="s">
        <v>140</v>
      </c>
      <c r="L6" s="67">
        <v>6.4928625093914354</v>
      </c>
      <c r="M6">
        <v>16.827323041243478</v>
      </c>
      <c r="N6" s="67">
        <v>0.81243620650053627</v>
      </c>
      <c r="O6" t="str">
        <f t="shared" si="1"/>
        <v>Below Average</v>
      </c>
      <c r="P6" t="str">
        <f t="shared" si="2"/>
        <v>Below Average</v>
      </c>
      <c r="R6" t="str" cm="1">
        <f t="array" ref="R6">_xlfn.IFS(AND(O6="Above Average",P6="Below Average"),"3",AND(O6="Above Average",P6="Above Average"),"4",AND(O6="Below Average",P6="Above Average"),"2",AND(O6="Below Average",P6="Below Average"),"1")</f>
        <v>1</v>
      </c>
      <c r="S6" s="65" t="s">
        <v>140</v>
      </c>
      <c r="T6" t="s">
        <v>265</v>
      </c>
      <c r="U6" t="b">
        <f t="shared" si="0"/>
        <v>1</v>
      </c>
      <c r="Y6" s="64" t="s">
        <v>5</v>
      </c>
      <c r="Z6" s="101">
        <v>22673762.000000007</v>
      </c>
      <c r="AB6" s="131" t="s">
        <v>5</v>
      </c>
      <c r="AC6" s="132">
        <v>5.0934409402821972</v>
      </c>
      <c r="AD6" s="132">
        <v>9.6338286946770175</v>
      </c>
      <c r="AE6" s="132">
        <v>12.168856040551496</v>
      </c>
    </row>
    <row r="7" spans="2:31" x14ac:dyDescent="0.35">
      <c r="B7" s="65" t="s">
        <v>141</v>
      </c>
      <c r="C7" s="3">
        <v>1.6126391092362451</v>
      </c>
      <c r="D7" s="67">
        <v>0.76314631612737616</v>
      </c>
      <c r="E7" s="47">
        <v>40.986337247671983</v>
      </c>
      <c r="F7" s="67">
        <v>5.7962394193302087</v>
      </c>
      <c r="H7">
        <v>0.44333355969284122</v>
      </c>
      <c r="I7" s="67">
        <v>0.76314631612737616</v>
      </c>
      <c r="K7" s="65" t="s">
        <v>141</v>
      </c>
      <c r="L7" s="67">
        <v>5.7962394193302087</v>
      </c>
      <c r="M7">
        <v>40.986337247671983</v>
      </c>
      <c r="N7" s="67">
        <v>0.76314631612737616</v>
      </c>
      <c r="O7" t="str">
        <f t="shared" si="1"/>
        <v>Below Average</v>
      </c>
      <c r="P7" t="str">
        <f t="shared" si="2"/>
        <v>Below Average</v>
      </c>
      <c r="R7" t="str" cm="1">
        <f t="array" ref="R7">_xlfn.IFS(AND(O7="Above Average",P7="Below Average"),"3",AND(O7="Above Average",P7="Above Average"),"4",AND(O7="Below Average",P7="Above Average"),"2",AND(O7="Below Average",P7="Below Average"),"1")</f>
        <v>1</v>
      </c>
      <c r="S7" s="65" t="s">
        <v>141</v>
      </c>
      <c r="T7" t="s">
        <v>265</v>
      </c>
      <c r="U7" t="b">
        <f t="shared" si="0"/>
        <v>1</v>
      </c>
      <c r="Y7" s="64" t="s">
        <v>6</v>
      </c>
      <c r="Z7" s="101">
        <v>12889576.499999994</v>
      </c>
      <c r="AB7" s="134" t="s">
        <v>6</v>
      </c>
      <c r="AC7" s="132">
        <v>7.0643334660974784</v>
      </c>
      <c r="AD7" s="132">
        <v>9.1643321894231757</v>
      </c>
      <c r="AE7" s="132">
        <v>8.3085116295989803</v>
      </c>
    </row>
    <row r="8" spans="2:31" x14ac:dyDescent="0.35">
      <c r="B8" s="65" t="s">
        <v>142</v>
      </c>
      <c r="C8" s="3">
        <v>2.0185469508558489</v>
      </c>
      <c r="D8" s="67">
        <v>1.3590370091771649</v>
      </c>
      <c r="E8" s="47">
        <v>104.36309518407614</v>
      </c>
      <c r="F8" s="67">
        <v>22.857935830441416</v>
      </c>
      <c r="H8">
        <v>5.1947418435536935E-2</v>
      </c>
      <c r="I8" s="67">
        <v>1.3590370091771649</v>
      </c>
      <c r="K8" s="65" t="s">
        <v>142</v>
      </c>
      <c r="L8" s="67">
        <v>22.857935830441416</v>
      </c>
      <c r="M8">
        <v>104.36309518407614</v>
      </c>
      <c r="N8" s="67">
        <v>1.3590370091771649</v>
      </c>
      <c r="O8" t="str">
        <f t="shared" si="1"/>
        <v>Above Average</v>
      </c>
      <c r="P8" t="str">
        <f t="shared" si="2"/>
        <v>Above Average</v>
      </c>
      <c r="R8" t="str" cm="1">
        <f t="array" ref="R8">_xlfn.IFS(AND(O8="Above Average",P8="Below Average"),"3",AND(O8="Above Average",P8="Above Average"),"4",AND(O8="Below Average",P8="Above Average"),"2",AND(O8="Below Average",P8="Below Average"),"1")</f>
        <v>4</v>
      </c>
      <c r="S8" s="65" t="s">
        <v>142</v>
      </c>
      <c r="T8" t="s">
        <v>266</v>
      </c>
      <c r="U8" t="b">
        <f t="shared" si="0"/>
        <v>0</v>
      </c>
      <c r="Y8" s="64" t="s">
        <v>60</v>
      </c>
      <c r="Z8" s="101">
        <v>593149.50000000012</v>
      </c>
      <c r="AB8" s="131" t="s">
        <v>7</v>
      </c>
      <c r="AC8" s="132">
        <v>10.318104179523269</v>
      </c>
      <c r="AD8" s="132">
        <v>5.7950101302016952</v>
      </c>
      <c r="AE8" s="132">
        <v>8.340457309760458</v>
      </c>
    </row>
    <row r="9" spans="2:31" x14ac:dyDescent="0.35">
      <c r="B9" s="65" t="s">
        <v>143</v>
      </c>
      <c r="C9" s="3">
        <v>1.0540935047016506</v>
      </c>
      <c r="D9" s="67">
        <v>0.7669627175435717</v>
      </c>
      <c r="E9" s="47">
        <v>11.326441981493597</v>
      </c>
      <c r="F9" s="67">
        <v>5.8473988439306357</v>
      </c>
      <c r="H9">
        <v>0.26532414668682264</v>
      </c>
      <c r="I9" s="67">
        <v>0.7669627175435717</v>
      </c>
      <c r="K9" s="65" t="s">
        <v>143</v>
      </c>
      <c r="L9" s="67">
        <v>5.8473988439306357</v>
      </c>
      <c r="M9">
        <v>11.326441981493597</v>
      </c>
      <c r="N9" s="67">
        <v>0.7669627175435717</v>
      </c>
      <c r="O9" t="str">
        <f t="shared" si="1"/>
        <v>Below Average</v>
      </c>
      <c r="P9" t="str">
        <f t="shared" si="2"/>
        <v>Below Average</v>
      </c>
      <c r="R9" t="str" cm="1">
        <f t="array" ref="R9">_xlfn.IFS(AND(O9="Above Average",P9="Below Average"),"3",AND(O9="Above Average",P9="Above Average"),"4",AND(O9="Below Average",P9="Above Average"),"2",AND(O9="Below Average",P9="Below Average"),"1")</f>
        <v>1</v>
      </c>
      <c r="S9" s="65" t="s">
        <v>143</v>
      </c>
      <c r="T9" t="s">
        <v>265</v>
      </c>
      <c r="U9" t="b">
        <f t="shared" si="0"/>
        <v>1</v>
      </c>
      <c r="Y9" s="64" t="s">
        <v>7</v>
      </c>
      <c r="Z9" s="101">
        <v>27914536.499999989</v>
      </c>
      <c r="AB9" s="131" t="s">
        <v>70</v>
      </c>
      <c r="AC9" s="132">
        <v>13.168129792199135</v>
      </c>
      <c r="AD9" s="132">
        <v>29.16659007373055</v>
      </c>
      <c r="AE9" s="132">
        <v>62.960411138791216</v>
      </c>
    </row>
    <row r="10" spans="2:31" x14ac:dyDescent="0.35">
      <c r="B10" s="65" t="s">
        <v>144</v>
      </c>
      <c r="C10" s="3">
        <v>1.0090568387860535</v>
      </c>
      <c r="D10" s="67">
        <v>1.6450234519046578</v>
      </c>
      <c r="E10" s="47">
        <v>10.210731090719779</v>
      </c>
      <c r="F10" s="67">
        <v>44.159429280397021</v>
      </c>
      <c r="H10">
        <v>4.7805429136147902E-2</v>
      </c>
      <c r="I10" s="67">
        <v>1.6450234519046578</v>
      </c>
      <c r="K10" s="65" t="s">
        <v>144</v>
      </c>
      <c r="L10" s="67">
        <v>44.159429280397021</v>
      </c>
      <c r="M10">
        <v>10.210731090719779</v>
      </c>
      <c r="N10" s="67">
        <v>1.6450234519046578</v>
      </c>
      <c r="O10" t="str">
        <f t="shared" si="1"/>
        <v>Below Average</v>
      </c>
      <c r="P10" t="str">
        <f t="shared" si="2"/>
        <v>Above Average</v>
      </c>
      <c r="R10" t="str" cm="1">
        <f t="array" ref="R10">_xlfn.IFS(AND(O10="Above Average",P10="Below Average"),"3",AND(O10="Above Average",P10="Above Average"),"4",AND(O10="Below Average",P10="Above Average"),"2",AND(O10="Below Average",P10="Below Average"),"1")</f>
        <v>2</v>
      </c>
      <c r="S10" s="65" t="s">
        <v>144</v>
      </c>
      <c r="T10" t="s">
        <v>266</v>
      </c>
      <c r="U10" t="b">
        <f t="shared" si="0"/>
        <v>1</v>
      </c>
      <c r="Y10" s="64" t="s">
        <v>8</v>
      </c>
      <c r="Z10" s="101">
        <v>5579143.5000000047</v>
      </c>
      <c r="AB10" s="131" t="s">
        <v>8</v>
      </c>
      <c r="AC10" s="132">
        <v>2.4570901992606395</v>
      </c>
      <c r="AD10" s="132">
        <v>3.9785819996152929</v>
      </c>
      <c r="AE10" s="132">
        <v>2.4089830338186218</v>
      </c>
    </row>
    <row r="11" spans="2:31" x14ac:dyDescent="0.35">
      <c r="B11" s="65" t="s">
        <v>145</v>
      </c>
      <c r="C11" s="3">
        <v>1.3562357199232156</v>
      </c>
      <c r="D11" s="67">
        <v>0.17779406880755011</v>
      </c>
      <c r="E11" s="47">
        <v>22.710971898965504</v>
      </c>
      <c r="F11" s="67">
        <v>1.5058928414930488</v>
      </c>
      <c r="H11">
        <v>0.33777967568103295</v>
      </c>
      <c r="I11" s="67">
        <v>0.17779406880755011</v>
      </c>
      <c r="K11" s="65" t="s">
        <v>145</v>
      </c>
      <c r="L11" s="67">
        <v>1.5058928414930488</v>
      </c>
      <c r="M11">
        <v>22.710971898965504</v>
      </c>
      <c r="N11" s="67">
        <v>0.17779406880755011</v>
      </c>
      <c r="O11" t="str">
        <f t="shared" si="1"/>
        <v>Below Average</v>
      </c>
      <c r="P11" t="str">
        <f t="shared" si="2"/>
        <v>Below Average</v>
      </c>
      <c r="R11" t="str" cm="1">
        <f t="array" ref="R11">_xlfn.IFS(AND(O11="Above Average",P11="Below Average"),"3",AND(O11="Above Average",P11="Above Average"),"4",AND(O11="Below Average",P11="Above Average"),"2",AND(O11="Below Average",P11="Below Average"),"1")</f>
        <v>1</v>
      </c>
      <c r="S11" s="65" t="s">
        <v>145</v>
      </c>
      <c r="T11" t="s">
        <v>265</v>
      </c>
      <c r="U11" t="b">
        <f t="shared" si="0"/>
        <v>1</v>
      </c>
      <c r="Y11" s="64" t="s">
        <v>9</v>
      </c>
      <c r="Z11" s="101">
        <v>17723314.500000004</v>
      </c>
      <c r="AB11" s="131" t="s">
        <v>9</v>
      </c>
      <c r="AC11" s="132">
        <v>3.557602383306083</v>
      </c>
      <c r="AD11" s="132">
        <v>4.4808420291703328</v>
      </c>
      <c r="AE11" s="132">
        <v>3.5764373051455833</v>
      </c>
    </row>
    <row r="12" spans="2:31" x14ac:dyDescent="0.35">
      <c r="B12" s="65" t="s">
        <v>146</v>
      </c>
      <c r="C12" s="3">
        <v>1.4960129914001041</v>
      </c>
      <c r="D12" s="67">
        <v>1.4544526651817888</v>
      </c>
      <c r="E12" s="47">
        <v>31.333794542132008</v>
      </c>
      <c r="F12" s="67">
        <v>28.47427435177109</v>
      </c>
      <c r="H12">
        <v>2.2002587648580929E-2</v>
      </c>
      <c r="I12" s="67">
        <v>1.4544526651817888</v>
      </c>
      <c r="K12" s="65" t="s">
        <v>146</v>
      </c>
      <c r="L12" s="67">
        <v>28.47427435177109</v>
      </c>
      <c r="M12">
        <v>31.333794542132008</v>
      </c>
      <c r="N12" s="67">
        <v>1.4544526651817888</v>
      </c>
      <c r="O12" t="str">
        <f t="shared" si="1"/>
        <v>Below Average</v>
      </c>
      <c r="P12" t="str">
        <f t="shared" si="2"/>
        <v>Above Average</v>
      </c>
      <c r="R12" t="str" cm="1">
        <f t="array" ref="R12">_xlfn.IFS(AND(O12="Above Average",P12="Below Average"),"3",AND(O12="Above Average",P12="Above Average"),"4",AND(O12="Below Average",P12="Above Average"),"2",AND(O12="Below Average",P12="Below Average"),"1")</f>
        <v>2</v>
      </c>
      <c r="S12" s="65" t="s">
        <v>146</v>
      </c>
      <c r="T12" t="s">
        <v>266</v>
      </c>
      <c r="U12" t="b">
        <f t="shared" si="0"/>
        <v>1</v>
      </c>
      <c r="Y12" s="64" t="s">
        <v>10</v>
      </c>
      <c r="Z12" s="101">
        <v>836773.49999999977</v>
      </c>
      <c r="AB12" s="131" t="s">
        <v>10</v>
      </c>
      <c r="AC12" s="132">
        <v>6.4627516022834079</v>
      </c>
      <c r="AD12" s="132">
        <v>19.850228032875876</v>
      </c>
      <c r="AE12" s="132">
        <v>22.326190141323295</v>
      </c>
    </row>
    <row r="13" spans="2:31" x14ac:dyDescent="0.35">
      <c r="B13" s="65" t="s">
        <v>148</v>
      </c>
      <c r="C13" s="3">
        <v>1.3081377299909223</v>
      </c>
      <c r="D13" s="67">
        <v>1.7413486024758948</v>
      </c>
      <c r="E13" s="47">
        <v>20.330016447381468</v>
      </c>
      <c r="F13" s="67">
        <v>55.125</v>
      </c>
      <c r="H13">
        <v>0.10185814312981475</v>
      </c>
      <c r="I13" s="67">
        <v>1.7413486024758948</v>
      </c>
      <c r="K13" s="65" t="s">
        <v>148</v>
      </c>
      <c r="L13" s="67">
        <v>55.125</v>
      </c>
      <c r="M13">
        <v>20.330016447381468</v>
      </c>
      <c r="N13" s="67">
        <v>1.7413486024758948</v>
      </c>
      <c r="O13" t="str">
        <f t="shared" si="1"/>
        <v>Below Average</v>
      </c>
      <c r="P13" t="str">
        <f t="shared" si="2"/>
        <v>Above Average</v>
      </c>
      <c r="R13" t="str" cm="1">
        <f t="array" ref="R13">_xlfn.IFS(AND(O13="Above Average",P13="Below Average"),"3",AND(O13="Above Average",P13="Above Average"),"4",AND(O13="Below Average",P13="Above Average"),"2",AND(O13="Below Average",P13="Below Average"),"1")</f>
        <v>2</v>
      </c>
      <c r="S13" s="65" t="s">
        <v>148</v>
      </c>
      <c r="T13" t="s">
        <v>266</v>
      </c>
      <c r="U13" t="b">
        <f t="shared" si="0"/>
        <v>1</v>
      </c>
      <c r="Y13" s="64" t="s">
        <v>147</v>
      </c>
      <c r="Z13" s="101">
        <v>5970424.0000000009</v>
      </c>
      <c r="AB13" s="131" t="s">
        <v>11</v>
      </c>
      <c r="AC13" s="132">
        <v>9.4675580794092156</v>
      </c>
      <c r="AD13" s="132">
        <v>12.795296212393836</v>
      </c>
      <c r="AE13" s="132">
        <v>13.050801436856251</v>
      </c>
    </row>
    <row r="14" spans="2:31" x14ac:dyDescent="0.35">
      <c r="B14" s="65" t="s">
        <v>150</v>
      </c>
      <c r="C14" s="3">
        <v>1.4136308716498971</v>
      </c>
      <c r="D14" s="67">
        <v>1.3067231622417232</v>
      </c>
      <c r="E14" s="47">
        <v>25.91975377602575</v>
      </c>
      <c r="F14" s="67">
        <v>20.263906002583152</v>
      </c>
      <c r="H14">
        <v>0.61252629763871769</v>
      </c>
      <c r="I14" s="67">
        <v>1.3067231622417232</v>
      </c>
      <c r="K14" s="65" t="s">
        <v>150</v>
      </c>
      <c r="L14" s="67">
        <v>20.263906002583152</v>
      </c>
      <c r="M14">
        <v>25.91975377602575</v>
      </c>
      <c r="N14" s="67">
        <v>1.3067231622417232</v>
      </c>
      <c r="O14" t="str">
        <f t="shared" si="1"/>
        <v>Below Average</v>
      </c>
      <c r="P14" t="str">
        <f t="shared" si="2"/>
        <v>Above Average</v>
      </c>
      <c r="R14" t="str" cm="1">
        <f t="array" ref="R14">_xlfn.IFS(AND(O14="Above Average",P14="Below Average"),"3",AND(O14="Above Average",P14="Above Average"),"4",AND(O14="Below Average",P14="Above Average"),"2",AND(O14="Below Average",P14="Below Average"),"1")</f>
        <v>2</v>
      </c>
      <c r="S14" s="65" t="s">
        <v>150</v>
      </c>
      <c r="T14" t="s">
        <v>265</v>
      </c>
      <c r="U14" t="b">
        <f t="shared" si="0"/>
        <v>0</v>
      </c>
      <c r="Y14" s="64" t="s">
        <v>149</v>
      </c>
      <c r="Z14" s="101">
        <v>28160542.500000004</v>
      </c>
      <c r="AB14" s="131" t="s">
        <v>12</v>
      </c>
      <c r="AC14" s="132">
        <v>10.33456030553733</v>
      </c>
      <c r="AD14" s="132">
        <v>11.548997129264416</v>
      </c>
      <c r="AE14" s="132">
        <v>12.531853132190035</v>
      </c>
    </row>
    <row r="15" spans="2:31" ht="29" x14ac:dyDescent="0.35">
      <c r="B15" s="65" t="s">
        <v>151</v>
      </c>
      <c r="C15" s="3">
        <v>1.2010705164782889</v>
      </c>
      <c r="D15" s="67">
        <v>0.65717737391864628</v>
      </c>
      <c r="E15" s="47">
        <v>15.888047021793218</v>
      </c>
      <c r="F15" s="67">
        <v>4.5412705268813731</v>
      </c>
      <c r="H15">
        <v>1.3200894409083583</v>
      </c>
      <c r="I15" s="67">
        <v>0.65717737391864628</v>
      </c>
      <c r="K15" s="65" t="s">
        <v>151</v>
      </c>
      <c r="L15" s="67">
        <v>4.5412705268813731</v>
      </c>
      <c r="M15">
        <v>15.888047021793218</v>
      </c>
      <c r="N15" s="67">
        <v>0.65717737391864628</v>
      </c>
      <c r="O15" t="str">
        <f t="shared" si="1"/>
        <v>Below Average</v>
      </c>
      <c r="P15" t="str">
        <f t="shared" si="2"/>
        <v>Below Average</v>
      </c>
      <c r="R15" t="str" cm="1">
        <f t="array" ref="R15">_xlfn.IFS(AND(O15="Above Average",P15="Below Average"),"3",AND(O15="Above Average",P15="Above Average"),"4",AND(O15="Below Average",P15="Above Average"),"2",AND(O15="Below Average",P15="Below Average"),"1")</f>
        <v>1</v>
      </c>
      <c r="S15" s="65" t="s">
        <v>151</v>
      </c>
      <c r="T15" t="s">
        <v>264</v>
      </c>
      <c r="U15" t="b">
        <f t="shared" si="0"/>
        <v>0</v>
      </c>
      <c r="Y15" s="64" t="s">
        <v>82</v>
      </c>
      <c r="Z15" s="101">
        <v>99010212</v>
      </c>
      <c r="AB15" s="134" t="s">
        <v>13</v>
      </c>
      <c r="AC15" s="132">
        <v>9.2661285789722267</v>
      </c>
      <c r="AD15" s="132">
        <v>16.223939744179855</v>
      </c>
      <c r="AE15" s="132">
        <v>14.28160096277502</v>
      </c>
    </row>
    <row r="16" spans="2:31" x14ac:dyDescent="0.35">
      <c r="B16" s="65" t="s">
        <v>152</v>
      </c>
      <c r="C16" s="3">
        <v>1.4460800523018218</v>
      </c>
      <c r="D16" s="67">
        <v>-2.0394658534172067E-2</v>
      </c>
      <c r="E16" s="47">
        <v>27.930586305707227</v>
      </c>
      <c r="F16" s="67">
        <v>0.95412514516632685</v>
      </c>
      <c r="H16">
        <v>3.9257610300616946E-2</v>
      </c>
      <c r="I16" s="67">
        <v>-2.0394658534172067E-2</v>
      </c>
      <c r="K16" s="65" t="s">
        <v>152</v>
      </c>
      <c r="L16" s="67">
        <v>0.95412514516632685</v>
      </c>
      <c r="M16">
        <v>27.930586305707227</v>
      </c>
      <c r="N16" s="67">
        <v>-2.0394658534172067E-2</v>
      </c>
      <c r="O16" t="str">
        <f t="shared" si="1"/>
        <v>Below Average</v>
      </c>
      <c r="P16" t="str">
        <f t="shared" si="2"/>
        <v>Below Average</v>
      </c>
      <c r="R16" t="str" cm="1">
        <f t="array" ref="R16">_xlfn.IFS(AND(O16="Above Average",P16="Below Average"),"3",AND(O16="Above Average",P16="Above Average"),"4",AND(O16="Below Average",P16="Above Average"),"2",AND(O16="Below Average",P16="Below Average"),"1")</f>
        <v>1</v>
      </c>
      <c r="S16" s="65" t="s">
        <v>152</v>
      </c>
      <c r="T16" t="s">
        <v>265</v>
      </c>
      <c r="U16" t="b">
        <f t="shared" si="0"/>
        <v>1</v>
      </c>
      <c r="Y16" s="64" t="s">
        <v>14</v>
      </c>
      <c r="Z16" s="101">
        <v>1674908</v>
      </c>
      <c r="AB16" s="131" t="s">
        <v>14</v>
      </c>
      <c r="AC16" s="132">
        <v>0</v>
      </c>
      <c r="AD16" s="132">
        <v>4.4071882438586458</v>
      </c>
      <c r="AE16" s="132">
        <v>10.634113902446874</v>
      </c>
    </row>
    <row r="17" spans="2:31" x14ac:dyDescent="0.35">
      <c r="B17" s="65" t="s">
        <v>153</v>
      </c>
      <c r="C17" s="3">
        <v>1.5810156002215963</v>
      </c>
      <c r="D17" s="67">
        <v>1.1226923285672605</v>
      </c>
      <c r="E17" s="47">
        <v>38.107951184321514</v>
      </c>
      <c r="F17" s="67">
        <v>13.264544118808269</v>
      </c>
      <c r="H17">
        <v>0.11781261220530713</v>
      </c>
      <c r="I17" s="67">
        <v>1.1226923285672605</v>
      </c>
      <c r="K17" s="65" t="s">
        <v>153</v>
      </c>
      <c r="L17" s="67">
        <v>13.264544118808269</v>
      </c>
      <c r="M17">
        <v>38.107951184321514</v>
      </c>
      <c r="N17" s="67">
        <v>1.1226923285672605</v>
      </c>
      <c r="O17" t="str">
        <f t="shared" si="1"/>
        <v>Below Average</v>
      </c>
      <c r="P17" t="str">
        <f t="shared" si="2"/>
        <v>Below Average</v>
      </c>
      <c r="R17" t="str" cm="1">
        <f t="array" ref="R17">_xlfn.IFS(AND(O17="Above Average",P17="Below Average"),"3",AND(O17="Above Average",P17="Above Average"),"4",AND(O17="Below Average",P17="Above Average"),"2",AND(O17="Below Average",P17="Below Average"),"1")</f>
        <v>1</v>
      </c>
      <c r="S17" s="65" t="s">
        <v>153</v>
      </c>
      <c r="T17" t="s">
        <v>265</v>
      </c>
      <c r="U17" t="b">
        <f t="shared" si="0"/>
        <v>1</v>
      </c>
      <c r="Y17" s="64" t="s">
        <v>15</v>
      </c>
      <c r="Z17" s="101">
        <v>3684031.5000000019</v>
      </c>
      <c r="AB17" s="131" t="s">
        <v>15</v>
      </c>
      <c r="AC17" s="132">
        <v>13.451172154071436</v>
      </c>
      <c r="AD17" s="132">
        <v>18.566922115433325</v>
      </c>
      <c r="AE17" s="132">
        <v>16.774083760782815</v>
      </c>
    </row>
    <row r="18" spans="2:31" x14ac:dyDescent="0.35">
      <c r="B18" s="65" t="s">
        <v>154</v>
      </c>
      <c r="C18" s="3">
        <v>2.1467426278474209</v>
      </c>
      <c r="D18" s="67">
        <v>1.5688614676890389</v>
      </c>
      <c r="E18" s="47">
        <v>140.19826135915432</v>
      </c>
      <c r="F18" s="67">
        <v>37.056249999999999</v>
      </c>
      <c r="H18">
        <v>0.14137768888743704</v>
      </c>
      <c r="I18" s="67">
        <v>1.5688614676890389</v>
      </c>
      <c r="K18" s="65" t="s">
        <v>154</v>
      </c>
      <c r="L18" s="67">
        <v>37.056249999999999</v>
      </c>
      <c r="M18">
        <v>140.19826135915432</v>
      </c>
      <c r="N18" s="67">
        <v>1.5688614676890389</v>
      </c>
      <c r="O18" t="str">
        <f t="shared" si="1"/>
        <v>Above Average</v>
      </c>
      <c r="P18" t="str">
        <f t="shared" si="2"/>
        <v>Above Average</v>
      </c>
      <c r="R18" t="str" cm="1">
        <f t="array" ref="R18">_xlfn.IFS(AND(O18="Above Average",P18="Below Average"),"3",AND(O18="Above Average",P18="Above Average"),"4",AND(O18="Below Average",P18="Above Average"),"2",AND(O18="Below Average",P18="Below Average"),"1")</f>
        <v>4</v>
      </c>
      <c r="S18" s="65" t="s">
        <v>154</v>
      </c>
      <c r="T18" t="s">
        <v>266</v>
      </c>
      <c r="U18" t="b">
        <f t="shared" si="0"/>
        <v>0</v>
      </c>
      <c r="Y18" s="64" t="s">
        <v>16</v>
      </c>
      <c r="Z18" s="101">
        <v>1201670.4999999995</v>
      </c>
      <c r="AB18" s="131" t="s">
        <v>16</v>
      </c>
      <c r="AC18" s="132">
        <v>33.398341618089297</v>
      </c>
      <c r="AD18" s="132">
        <v>47.999551889282181</v>
      </c>
      <c r="AE18" s="132">
        <v>51.66268983905934</v>
      </c>
    </row>
    <row r="19" spans="2:31" x14ac:dyDescent="0.35">
      <c r="B19" s="65" t="s">
        <v>155</v>
      </c>
      <c r="C19" s="3">
        <v>1.5292966528725109</v>
      </c>
      <c r="D19" s="67">
        <v>1.2166581852846132</v>
      </c>
      <c r="E19" s="47">
        <v>33.829583652601642</v>
      </c>
      <c r="F19" s="67">
        <v>16.468657033574161</v>
      </c>
      <c r="H19">
        <v>3.5026279054070923</v>
      </c>
      <c r="I19" s="67">
        <v>1.2166581852846132</v>
      </c>
      <c r="K19" s="65" t="s">
        <v>155</v>
      </c>
      <c r="L19" s="67">
        <v>16.468657033574161</v>
      </c>
      <c r="M19">
        <v>33.829583652601642</v>
      </c>
      <c r="N19" s="67">
        <v>1.2166581852846132</v>
      </c>
      <c r="O19" t="str">
        <f t="shared" si="1"/>
        <v>Below Average</v>
      </c>
      <c r="P19" t="str">
        <f t="shared" si="2"/>
        <v>Above Average</v>
      </c>
      <c r="R19" t="str" cm="1">
        <f t="array" ref="R19">_xlfn.IFS(AND(O19="Above Average",P19="Below Average"),"3",AND(O19="Above Average",P19="Above Average"),"4",AND(O19="Below Average",P19="Above Average"),"2",AND(O19="Below Average",P19="Below Average"),"1")</f>
        <v>2</v>
      </c>
      <c r="S19" s="65" t="s">
        <v>155</v>
      </c>
      <c r="T19" t="s">
        <v>264</v>
      </c>
      <c r="U19" t="b">
        <f t="shared" si="0"/>
        <v>0</v>
      </c>
      <c r="Y19" s="64" t="s">
        <v>17</v>
      </c>
      <c r="Z19" s="101">
        <v>123379924.50000004</v>
      </c>
      <c r="AB19" s="131" t="s">
        <v>17</v>
      </c>
      <c r="AC19" s="132">
        <v>0.71329713375271953</v>
      </c>
      <c r="AD19" s="132">
        <v>9.7927247683912508</v>
      </c>
      <c r="AE19" s="132">
        <v>18.578792370715053</v>
      </c>
    </row>
    <row r="20" spans="2:31" x14ac:dyDescent="0.35">
      <c r="B20" s="65" t="s">
        <v>156</v>
      </c>
      <c r="C20" s="3">
        <v>1.7567285223174451</v>
      </c>
      <c r="D20" s="67">
        <v>1.6301601552531939</v>
      </c>
      <c r="E20" s="47">
        <v>57.112151673993168</v>
      </c>
      <c r="F20" s="67">
        <v>42.673685800866124</v>
      </c>
      <c r="H20">
        <v>0.11449754082088195</v>
      </c>
      <c r="I20" s="67">
        <v>1.6301601552531939</v>
      </c>
      <c r="K20" s="65" t="s">
        <v>156</v>
      </c>
      <c r="L20" s="67">
        <v>42.673685800866124</v>
      </c>
      <c r="M20">
        <v>57.112151673993168</v>
      </c>
      <c r="N20" s="67">
        <v>1.6301601552531939</v>
      </c>
      <c r="O20" t="str">
        <f t="shared" si="1"/>
        <v>Above Average</v>
      </c>
      <c r="P20" t="str">
        <f t="shared" si="2"/>
        <v>Above Average</v>
      </c>
      <c r="R20" t="str" cm="1">
        <f t="array" ref="R20">_xlfn.IFS(AND(O20="Above Average",P20="Below Average"),"3",AND(O20="Above Average",P20="Above Average"),"4",AND(O20="Below Average",P20="Above Average"),"2",AND(O20="Below Average",P20="Below Average"),"1")</f>
        <v>4</v>
      </c>
      <c r="S20" s="65" t="s">
        <v>156</v>
      </c>
      <c r="T20" t="s">
        <v>266</v>
      </c>
      <c r="U20" t="b">
        <f t="shared" si="0"/>
        <v>0</v>
      </c>
      <c r="Y20" s="64" t="s">
        <v>18</v>
      </c>
      <c r="Z20" s="101">
        <v>2388992.5000000005</v>
      </c>
      <c r="AB20" s="131" t="s">
        <v>18</v>
      </c>
      <c r="AC20" s="132">
        <v>2.2973079178531046</v>
      </c>
      <c r="AD20" s="132">
        <v>39.060014055583196</v>
      </c>
      <c r="AE20" s="132">
        <v>31.25849879805093</v>
      </c>
    </row>
    <row r="21" spans="2:31" x14ac:dyDescent="0.35">
      <c r="B21" s="65" t="s">
        <v>158</v>
      </c>
      <c r="C21" s="3">
        <v>1.5336588014271741</v>
      </c>
      <c r="D21" s="67">
        <v>1.027163743248569</v>
      </c>
      <c r="E21" s="47">
        <v>34.171087572485987</v>
      </c>
      <c r="F21" s="67">
        <v>10.645443106523956</v>
      </c>
      <c r="H21">
        <v>7.7595790190691891E-2</v>
      </c>
      <c r="I21" s="67">
        <v>1.027163743248569</v>
      </c>
      <c r="K21" s="65" t="s">
        <v>158</v>
      </c>
      <c r="L21" s="67">
        <v>10.645443106523956</v>
      </c>
      <c r="M21">
        <v>34.171087572485987</v>
      </c>
      <c r="N21" s="67">
        <v>1.027163743248569</v>
      </c>
      <c r="O21" t="str">
        <f t="shared" si="1"/>
        <v>Below Average</v>
      </c>
      <c r="P21" t="str">
        <f t="shared" si="2"/>
        <v>Below Average</v>
      </c>
      <c r="R21" t="str" cm="1">
        <f t="array" ref="R21">_xlfn.IFS(AND(O21="Above Average",P21="Below Average"),"3",AND(O21="Above Average",P21="Above Average"),"4",AND(O21="Below Average",P21="Above Average"),"2",AND(O21="Below Average",P21="Below Average"),"1")</f>
        <v>1</v>
      </c>
      <c r="S21" s="65" t="s">
        <v>158</v>
      </c>
      <c r="T21" t="s">
        <v>265</v>
      </c>
      <c r="U21" t="b">
        <f t="shared" si="0"/>
        <v>1</v>
      </c>
      <c r="Y21" s="64" t="s">
        <v>157</v>
      </c>
      <c r="Z21" s="101">
        <v>2705991.9999999995</v>
      </c>
      <c r="AB21" s="131" t="s">
        <v>19</v>
      </c>
      <c r="AC21" s="132">
        <v>14.019684502977714</v>
      </c>
      <c r="AD21" s="132">
        <v>9.341836149347488</v>
      </c>
      <c r="AE21" s="132">
        <v>8.1498514118713352</v>
      </c>
    </row>
    <row r="22" spans="2:31" x14ac:dyDescent="0.35">
      <c r="B22" s="65" t="s">
        <v>159</v>
      </c>
      <c r="C22" s="3">
        <v>1.8490563114700485</v>
      </c>
      <c r="D22" s="67">
        <v>0.7517158637564777</v>
      </c>
      <c r="E22" s="47">
        <v>70.640914271306528</v>
      </c>
      <c r="F22" s="67">
        <v>5.6456748687645337</v>
      </c>
      <c r="H22">
        <v>1.9844540211277069</v>
      </c>
      <c r="I22" s="67">
        <v>0.7517158637564777</v>
      </c>
      <c r="K22" s="65" t="s">
        <v>159</v>
      </c>
      <c r="L22" s="67">
        <v>5.6456748687645337</v>
      </c>
      <c r="M22">
        <v>70.640914271306528</v>
      </c>
      <c r="N22" s="67">
        <v>0.7517158637564777</v>
      </c>
      <c r="O22" t="str">
        <f t="shared" si="1"/>
        <v>Above Average</v>
      </c>
      <c r="P22" t="str">
        <f t="shared" si="2"/>
        <v>Below Average</v>
      </c>
      <c r="R22" t="str" cm="1">
        <f t="array" ref="R22">_xlfn.IFS(AND(O22="Above Average",P22="Below Average"),"3",AND(O22="Above Average",P22="Above Average"),"4",AND(O22="Below Average",P22="Above Average"),"2",AND(O22="Below Average",P22="Below Average"),"1")</f>
        <v>3</v>
      </c>
      <c r="S22" s="65" t="s">
        <v>159</v>
      </c>
      <c r="T22" t="s">
        <v>264</v>
      </c>
      <c r="U22" t="b">
        <f t="shared" si="0"/>
        <v>1</v>
      </c>
      <c r="Y22" s="64" t="s">
        <v>20</v>
      </c>
      <c r="Z22" s="101">
        <v>33475870.500000011</v>
      </c>
      <c r="AB22" s="131" t="s">
        <v>20</v>
      </c>
      <c r="AC22" s="132">
        <v>18.681157033578607</v>
      </c>
      <c r="AD22" s="132">
        <v>46.40817219195695</v>
      </c>
      <c r="AE22" s="132">
        <v>48.030714224150685</v>
      </c>
    </row>
    <row r="23" spans="2:31" x14ac:dyDescent="0.35">
      <c r="B23" s="65" t="s">
        <v>160</v>
      </c>
      <c r="C23" s="3">
        <v>1.250750557704271</v>
      </c>
      <c r="D23" s="67">
        <v>0.49089436829734151</v>
      </c>
      <c r="E23" s="47">
        <v>17.813553305551778</v>
      </c>
      <c r="F23" s="67">
        <v>3.096666017972511</v>
      </c>
      <c r="H23">
        <v>0.20717911463727129</v>
      </c>
      <c r="I23" s="67">
        <v>0.49089436829734151</v>
      </c>
      <c r="K23" s="65" t="s">
        <v>160</v>
      </c>
      <c r="L23" s="67">
        <v>3.096666017972511</v>
      </c>
      <c r="M23">
        <v>17.813553305551778</v>
      </c>
      <c r="N23" s="67">
        <v>0.49089436829734151</v>
      </c>
      <c r="O23" t="str">
        <f t="shared" si="1"/>
        <v>Below Average</v>
      </c>
      <c r="P23" t="str">
        <f t="shared" si="2"/>
        <v>Below Average</v>
      </c>
      <c r="R23" t="str" cm="1">
        <f t="array" ref="R23">_xlfn.IFS(AND(O23="Above Average",P23="Below Average"),"3",AND(O23="Above Average",P23="Above Average"),"4",AND(O23="Below Average",P23="Above Average"),"2",AND(O23="Below Average",P23="Below Average"),"1")</f>
        <v>1</v>
      </c>
      <c r="S23" s="65" t="s">
        <v>160</v>
      </c>
      <c r="T23" t="s">
        <v>265</v>
      </c>
      <c r="U23" t="b">
        <f t="shared" si="0"/>
        <v>1</v>
      </c>
      <c r="Y23" s="64" t="s">
        <v>21</v>
      </c>
      <c r="Z23" s="101">
        <v>13859340.500000006</v>
      </c>
      <c r="AB23" s="131" t="s">
        <v>21</v>
      </c>
      <c r="AC23" s="132">
        <v>7.4850096287525645</v>
      </c>
      <c r="AD23" s="132">
        <v>8.9017288876355476</v>
      </c>
      <c r="AE23" s="132">
        <v>4.7602626385103033</v>
      </c>
    </row>
    <row r="24" spans="2:31" x14ac:dyDescent="0.35">
      <c r="B24" s="65" t="s">
        <v>161</v>
      </c>
      <c r="C24" s="3">
        <v>1.6398565259069067</v>
      </c>
      <c r="D24" s="67">
        <v>1.3590370091771649</v>
      </c>
      <c r="E24" s="47">
        <v>43.637164811660909</v>
      </c>
      <c r="F24" s="67">
        <v>22.857935830441416</v>
      </c>
      <c r="H24">
        <v>7.7104217185446564E-2</v>
      </c>
      <c r="I24" s="67">
        <v>1.3590370091771649</v>
      </c>
      <c r="K24" s="65" t="s">
        <v>161</v>
      </c>
      <c r="L24" s="67">
        <v>22.857935830441416</v>
      </c>
      <c r="M24">
        <v>43.637164811660909</v>
      </c>
      <c r="N24" s="67">
        <v>1.3590370091771649</v>
      </c>
      <c r="O24" t="str">
        <f t="shared" si="1"/>
        <v>Above Average</v>
      </c>
      <c r="P24" t="str">
        <f t="shared" si="2"/>
        <v>Above Average</v>
      </c>
      <c r="R24" t="str" cm="1">
        <f t="array" ref="R24">_xlfn.IFS(AND(O24="Above Average",P24="Below Average"),"3",AND(O24="Above Average",P24="Above Average"),"4",AND(O24="Below Average",P24="Above Average"),"2",AND(O24="Below Average",P24="Below Average"),"1")</f>
        <v>4</v>
      </c>
      <c r="S24" s="65" t="s">
        <v>161</v>
      </c>
      <c r="T24" t="s">
        <v>266</v>
      </c>
      <c r="U24" t="b">
        <f t="shared" si="0"/>
        <v>0</v>
      </c>
      <c r="Y24" s="64" t="s">
        <v>22</v>
      </c>
      <c r="Z24" s="101">
        <v>2105565.4999999991</v>
      </c>
      <c r="AB24" s="131" t="s">
        <v>22</v>
      </c>
      <c r="AC24" s="132">
        <v>7.2684328251615025</v>
      </c>
      <c r="AD24" s="132">
        <v>10.893763982473359</v>
      </c>
      <c r="AE24" s="132">
        <v>12.878829589909351</v>
      </c>
    </row>
    <row r="25" spans="2:31" x14ac:dyDescent="0.35">
      <c r="B25" s="65" t="s">
        <v>162</v>
      </c>
      <c r="C25" s="3">
        <v>1.7223193226922009</v>
      </c>
      <c r="D25" s="67">
        <v>1.8763079356017813</v>
      </c>
      <c r="E25" s="47">
        <v>52.761765904512501</v>
      </c>
      <c r="F25" s="67">
        <v>75.215601965601962</v>
      </c>
      <c r="H25">
        <v>2.392141913566511</v>
      </c>
      <c r="I25" s="67">
        <v>1.8763079356017813</v>
      </c>
      <c r="K25" s="65" t="s">
        <v>162</v>
      </c>
      <c r="L25" s="67">
        <v>75.215601965601962</v>
      </c>
      <c r="M25">
        <v>52.761765904512501</v>
      </c>
      <c r="N25" s="67">
        <v>1.8763079356017813</v>
      </c>
      <c r="O25" t="str">
        <f t="shared" si="1"/>
        <v>Above Average</v>
      </c>
      <c r="P25" t="str">
        <f t="shared" si="2"/>
        <v>Above Average</v>
      </c>
      <c r="R25" t="str" cm="1">
        <f t="array" ref="R25">_xlfn.IFS(AND(O25="Above Average",P25="Below Average"),"3",AND(O25="Above Average",P25="Above Average"),"4",AND(O25="Below Average",P25="Above Average"),"2",AND(O25="Below Average",P25="Below Average"),"1")</f>
        <v>4</v>
      </c>
      <c r="S25" s="65" t="s">
        <v>162</v>
      </c>
      <c r="T25" t="s">
        <v>263</v>
      </c>
      <c r="U25" t="b">
        <f t="shared" si="0"/>
        <v>1</v>
      </c>
      <c r="Y25" s="64" t="s">
        <v>23</v>
      </c>
      <c r="Z25" s="101">
        <v>54027486.999999985</v>
      </c>
      <c r="AB25" s="131" t="s">
        <v>23</v>
      </c>
      <c r="AC25" s="132">
        <v>11.658459316104921</v>
      </c>
      <c r="AD25" s="132">
        <v>14.413861393432555</v>
      </c>
      <c r="AE25" s="132">
        <v>24.523813221222014</v>
      </c>
    </row>
    <row r="26" spans="2:31" x14ac:dyDescent="0.35">
      <c r="B26" s="65" t="s">
        <v>163</v>
      </c>
      <c r="C26" s="3">
        <v>2.099272128080174</v>
      </c>
      <c r="D26" s="67">
        <v>0.6641545288300662</v>
      </c>
      <c r="E26" s="47">
        <v>125.68172362603974</v>
      </c>
      <c r="F26" s="67">
        <v>4.6148174783924176</v>
      </c>
      <c r="H26">
        <v>0.24319319373674986</v>
      </c>
      <c r="I26" s="67">
        <v>0.6641545288300662</v>
      </c>
      <c r="K26" s="65" t="s">
        <v>163</v>
      </c>
      <c r="L26" s="67">
        <v>4.6148174783924176</v>
      </c>
      <c r="M26">
        <v>125.68172362603974</v>
      </c>
      <c r="N26" s="67">
        <v>0.6641545288300662</v>
      </c>
      <c r="O26" t="str">
        <f t="shared" si="1"/>
        <v>Above Average</v>
      </c>
      <c r="P26" t="str">
        <f t="shared" si="2"/>
        <v>Below Average</v>
      </c>
      <c r="R26" t="str" cm="1">
        <f t="array" ref="R26">_xlfn.IFS(AND(O26="Above Average",P26="Below Average"),"3",AND(O26="Above Average",P26="Above Average"),"4",AND(O26="Below Average",P26="Above Average"),"2",AND(O26="Below Average",P26="Below Average"),"1")</f>
        <v>3</v>
      </c>
      <c r="S26" s="65" t="s">
        <v>163</v>
      </c>
      <c r="T26" t="s">
        <v>265</v>
      </c>
      <c r="U26" t="b">
        <f t="shared" si="0"/>
        <v>0</v>
      </c>
      <c r="Y26" s="64" t="s">
        <v>24</v>
      </c>
      <c r="Z26" s="101">
        <v>2305825.5000000019</v>
      </c>
      <c r="AB26" s="131" t="s">
        <v>24</v>
      </c>
      <c r="AC26" s="132">
        <v>0</v>
      </c>
      <c r="AD26" s="132">
        <v>52.870382713145531</v>
      </c>
      <c r="AE26" s="132">
        <v>22.993174843373964</v>
      </c>
    </row>
    <row r="27" spans="2:31" x14ac:dyDescent="0.35">
      <c r="B27" s="65" t="s">
        <v>164</v>
      </c>
      <c r="C27" s="3">
        <v>1.7559034439790238</v>
      </c>
      <c r="D27" s="67">
        <v>1.7668164389653847</v>
      </c>
      <c r="E27" s="47">
        <v>57.003752262980719</v>
      </c>
      <c r="F27" s="67">
        <v>58.454296612863345</v>
      </c>
      <c r="H27">
        <v>0.25365988769489528</v>
      </c>
      <c r="I27" s="67">
        <v>1.7668164389653847</v>
      </c>
      <c r="K27" s="65" t="s">
        <v>164</v>
      </c>
      <c r="L27" s="67">
        <v>58.454296612863345</v>
      </c>
      <c r="M27">
        <v>57.003752262980719</v>
      </c>
      <c r="N27" s="67">
        <v>1.7668164389653847</v>
      </c>
      <c r="O27" t="str">
        <f t="shared" si="1"/>
        <v>Above Average</v>
      </c>
      <c r="P27" t="str">
        <f t="shared" si="2"/>
        <v>Above Average</v>
      </c>
      <c r="R27" t="str" cm="1">
        <f t="array" ref="R27">_xlfn.IFS(AND(O27="Above Average",P27="Below Average"),"3",AND(O27="Above Average",P27="Above Average"),"4",AND(O27="Below Average",P27="Above Average"),"2",AND(O27="Below Average",P27="Below Average"),"1")</f>
        <v>4</v>
      </c>
      <c r="S27" s="65" t="s">
        <v>164</v>
      </c>
      <c r="T27" t="s">
        <v>266</v>
      </c>
      <c r="U27" t="b">
        <f t="shared" si="0"/>
        <v>0</v>
      </c>
      <c r="Y27" s="64" t="s">
        <v>25</v>
      </c>
      <c r="Z27" s="101">
        <v>5302681.0000000028</v>
      </c>
      <c r="AB27" s="131" t="s">
        <v>25</v>
      </c>
      <c r="AC27" s="132">
        <v>2.1999802363171792</v>
      </c>
      <c r="AD27" s="132">
        <v>22.91287401641636</v>
      </c>
      <c r="AE27" s="132">
        <v>13.444654516010845</v>
      </c>
    </row>
    <row r="28" spans="2:31" x14ac:dyDescent="0.35">
      <c r="B28" s="65" t="s">
        <v>165</v>
      </c>
      <c r="C28" s="3">
        <v>1.3418057006692128</v>
      </c>
      <c r="D28" s="67">
        <v>0.53502448869900099</v>
      </c>
      <c r="E28" s="47">
        <v>21.968767905514429</v>
      </c>
      <c r="F28" s="67">
        <v>3.4278711484593836</v>
      </c>
      <c r="H28">
        <v>0.54591131656778469</v>
      </c>
      <c r="I28" s="67">
        <v>0.53502448869900099</v>
      </c>
      <c r="K28" s="65" t="s">
        <v>165</v>
      </c>
      <c r="L28" s="67">
        <v>3.4278711484593836</v>
      </c>
      <c r="M28">
        <v>21.968767905514429</v>
      </c>
      <c r="N28" s="67">
        <v>0.53502448869900099</v>
      </c>
      <c r="O28" t="str">
        <f t="shared" si="1"/>
        <v>Below Average</v>
      </c>
      <c r="P28" t="str">
        <f t="shared" si="2"/>
        <v>Below Average</v>
      </c>
      <c r="R28" t="str" cm="1">
        <f t="array" ref="R28">_xlfn.IFS(AND(O28="Above Average",P28="Below Average"),"3",AND(O28="Above Average",P28="Above Average"),"4",AND(O28="Below Average",P28="Above Average"),"2",AND(O28="Below Average",P28="Below Average"),"1")</f>
        <v>1</v>
      </c>
      <c r="S28" s="65" t="s">
        <v>165</v>
      </c>
      <c r="T28" t="s">
        <v>265</v>
      </c>
      <c r="U28" t="b">
        <f t="shared" si="0"/>
        <v>1</v>
      </c>
      <c r="Y28" s="64" t="s">
        <v>26</v>
      </c>
      <c r="Z28" s="101">
        <v>29611714.000000004</v>
      </c>
      <c r="AB28" s="131" t="s">
        <v>26</v>
      </c>
      <c r="AC28" s="132">
        <v>4.4467387300620373</v>
      </c>
      <c r="AD28" s="132">
        <v>5.4640186234792782</v>
      </c>
      <c r="AE28" s="132">
        <v>4.761050716296678</v>
      </c>
    </row>
    <row r="29" spans="2:31" x14ac:dyDescent="0.35">
      <c r="B29" s="65" t="s">
        <v>166</v>
      </c>
      <c r="C29" s="3">
        <v>1.2771800971353457</v>
      </c>
      <c r="D29" s="67">
        <v>1.3293659557938311</v>
      </c>
      <c r="E29" s="47">
        <v>18.931285154211427</v>
      </c>
      <c r="F29" s="67">
        <v>21.348430688993169</v>
      </c>
      <c r="H29">
        <v>0.32417258402366966</v>
      </c>
      <c r="I29" s="67">
        <v>1.3293659557938311</v>
      </c>
      <c r="K29" s="65" t="s">
        <v>166</v>
      </c>
      <c r="L29" s="67">
        <v>21.348430688993169</v>
      </c>
      <c r="M29">
        <v>18.931285154211427</v>
      </c>
      <c r="N29" s="67">
        <v>1.3293659557938311</v>
      </c>
      <c r="O29" t="str">
        <f t="shared" si="1"/>
        <v>Below Average</v>
      </c>
      <c r="P29" t="str">
        <f t="shared" si="2"/>
        <v>Above Average</v>
      </c>
      <c r="R29" t="str" cm="1">
        <f t="array" ref="R29">_xlfn.IFS(AND(O29="Above Average",P29="Below Average"),"3",AND(O29="Above Average",P29="Above Average"),"4",AND(O29="Below Average",P29="Above Average"),"2",AND(O29="Below Average",P29="Below Average"),"1")</f>
        <v>2</v>
      </c>
      <c r="S29" s="65" t="s">
        <v>166</v>
      </c>
      <c r="T29" t="s">
        <v>265</v>
      </c>
      <c r="U29" t="b">
        <f t="shared" si="0"/>
        <v>0</v>
      </c>
      <c r="Y29" s="64" t="s">
        <v>27</v>
      </c>
      <c r="Z29" s="101">
        <v>20405316.500000019</v>
      </c>
      <c r="AB29" s="134" t="s">
        <v>27</v>
      </c>
      <c r="AC29" s="132">
        <v>2.4730455662233775</v>
      </c>
      <c r="AD29" s="132">
        <v>6.2979495241776151</v>
      </c>
      <c r="AE29" s="132">
        <v>6.0858545949756246</v>
      </c>
    </row>
    <row r="30" spans="2:31" x14ac:dyDescent="0.35">
      <c r="B30" s="65" t="s">
        <v>167</v>
      </c>
      <c r="C30" s="3">
        <v>1.2290888276467695</v>
      </c>
      <c r="D30" s="67">
        <v>1.3590370091771649</v>
      </c>
      <c r="E30" s="47">
        <v>16.946843842481947</v>
      </c>
      <c r="F30" s="67">
        <v>22.857935830441416</v>
      </c>
      <c r="H30">
        <v>0.32131198939957734</v>
      </c>
      <c r="I30" s="67">
        <v>1.3590370091771649</v>
      </c>
      <c r="K30" s="65" t="s">
        <v>167</v>
      </c>
      <c r="L30" s="67">
        <v>22.857935830441416</v>
      </c>
      <c r="M30">
        <v>16.946843842481947</v>
      </c>
      <c r="N30" s="67">
        <v>1.3590370091771649</v>
      </c>
      <c r="O30" t="str">
        <f t="shared" si="1"/>
        <v>Below Average</v>
      </c>
      <c r="P30" t="str">
        <f t="shared" si="2"/>
        <v>Above Average</v>
      </c>
      <c r="R30" t="str" cm="1">
        <f t="array" ref="R30">_xlfn.IFS(AND(O30="Above Average",P30="Below Average"),"3",AND(O30="Above Average",P30="Above Average"),"4",AND(O30="Below Average",P30="Above Average"),"2",AND(O30="Below Average",P30="Below Average"),"1")</f>
        <v>2</v>
      </c>
      <c r="S30" s="65" t="s">
        <v>167</v>
      </c>
      <c r="T30" t="s">
        <v>266</v>
      </c>
      <c r="U30" t="b">
        <f t="shared" si="0"/>
        <v>1</v>
      </c>
      <c r="Y30" s="64" t="s">
        <v>28</v>
      </c>
      <c r="Z30" s="101">
        <v>22593590.500000022</v>
      </c>
      <c r="AB30" s="134" t="s">
        <v>28</v>
      </c>
      <c r="AC30" s="132">
        <v>4.8159164598162238</v>
      </c>
      <c r="AD30" s="132">
        <v>6.4376483184910729</v>
      </c>
      <c r="AE30" s="132">
        <v>6.4341278578313545</v>
      </c>
    </row>
    <row r="31" spans="2:31" x14ac:dyDescent="0.35">
      <c r="B31" s="65" t="s">
        <v>168</v>
      </c>
      <c r="C31" s="3">
        <v>1.6432437242179894</v>
      </c>
      <c r="D31" s="67">
        <v>1.837679746129431</v>
      </c>
      <c r="E31" s="47">
        <v>43.978835355257424</v>
      </c>
      <c r="F31" s="67">
        <v>68.81446632132112</v>
      </c>
      <c r="H31">
        <v>0.17479178380184746</v>
      </c>
      <c r="I31" s="67">
        <v>1.837679746129431</v>
      </c>
      <c r="K31" s="65" t="s">
        <v>168</v>
      </c>
      <c r="L31" s="67">
        <v>68.81446632132112</v>
      </c>
      <c r="M31">
        <v>43.978835355257424</v>
      </c>
      <c r="N31" s="67">
        <v>1.837679746129431</v>
      </c>
      <c r="O31" t="str">
        <f t="shared" si="1"/>
        <v>Above Average</v>
      </c>
      <c r="P31" t="str">
        <f t="shared" si="2"/>
        <v>Above Average</v>
      </c>
      <c r="R31" t="str" cm="1">
        <f t="array" ref="R31">_xlfn.IFS(AND(O31="Above Average",P31="Below Average"),"3",AND(O31="Above Average",P31="Above Average"),"4",AND(O31="Below Average",P31="Above Average"),"2",AND(O31="Below Average",P31="Below Average"),"1")</f>
        <v>4</v>
      </c>
      <c r="S31" s="65" t="s">
        <v>168</v>
      </c>
      <c r="T31" t="s">
        <v>266</v>
      </c>
      <c r="U31" t="b">
        <f t="shared" si="0"/>
        <v>0</v>
      </c>
      <c r="Y31" s="64" t="s">
        <v>29</v>
      </c>
      <c r="Z31" s="101">
        <v>4736138.9999999991</v>
      </c>
      <c r="AB31" s="131" t="s">
        <v>29</v>
      </c>
      <c r="AC31" s="132">
        <v>12.920259078445698</v>
      </c>
      <c r="AD31" s="132">
        <v>15.917722374831463</v>
      </c>
      <c r="AE31" s="132">
        <v>19.794578938796668</v>
      </c>
    </row>
    <row r="32" spans="2:31" x14ac:dyDescent="0.35">
      <c r="B32" s="65" t="s">
        <v>169</v>
      </c>
      <c r="C32" s="3">
        <v>2.0689381612784907</v>
      </c>
      <c r="D32" s="67">
        <v>1.0251934156706199</v>
      </c>
      <c r="E32" s="47">
        <v>117.20284698003086</v>
      </c>
      <c r="F32" s="67">
        <v>10.597255752844539</v>
      </c>
      <c r="H32">
        <v>0.12780767517896055</v>
      </c>
      <c r="I32" s="67">
        <v>1.0251934156706199</v>
      </c>
      <c r="K32" s="65" t="s">
        <v>169</v>
      </c>
      <c r="L32" s="67">
        <v>10.597255752844539</v>
      </c>
      <c r="M32">
        <v>117.20284698003086</v>
      </c>
      <c r="N32" s="67">
        <v>1.0251934156706199</v>
      </c>
      <c r="O32" t="str">
        <f t="shared" si="1"/>
        <v>Above Average</v>
      </c>
      <c r="P32" t="str">
        <f t="shared" si="2"/>
        <v>Below Average</v>
      </c>
      <c r="R32" t="str" cm="1">
        <f t="array" ref="R32">_xlfn.IFS(AND(O32="Above Average",P32="Below Average"),"3",AND(O32="Above Average",P32="Above Average"),"4",AND(O32="Below Average",P32="Above Average"),"2",AND(O32="Below Average",P32="Below Average"),"1")</f>
        <v>3</v>
      </c>
      <c r="S32" s="65" t="s">
        <v>169</v>
      </c>
      <c r="T32" t="s">
        <v>265</v>
      </c>
      <c r="U32" t="b">
        <f t="shared" si="0"/>
        <v>0</v>
      </c>
      <c r="Y32" s="64" t="s">
        <v>30</v>
      </c>
      <c r="Z32" s="101">
        <v>1299468.9999999986</v>
      </c>
      <c r="AB32" s="131" t="s">
        <v>30</v>
      </c>
      <c r="AC32" s="132">
        <v>52.839892414260113</v>
      </c>
      <c r="AD32" s="132">
        <v>72.905163459567675</v>
      </c>
      <c r="AE32" s="132">
        <v>60.383936189147697</v>
      </c>
    </row>
    <row r="33" spans="2:31" x14ac:dyDescent="0.35">
      <c r="B33" s="65" t="s">
        <v>170</v>
      </c>
      <c r="C33" s="3">
        <v>1.7372603145553582</v>
      </c>
      <c r="D33" s="67">
        <v>1.2137711551232062</v>
      </c>
      <c r="E33" s="47">
        <v>54.608508445493854</v>
      </c>
      <c r="F33" s="67">
        <v>16.359542530378842</v>
      </c>
      <c r="H33">
        <v>1.5108653786250514</v>
      </c>
      <c r="I33" s="67">
        <v>1.2137711551232062</v>
      </c>
      <c r="K33" s="65" t="s">
        <v>170</v>
      </c>
      <c r="L33" s="67">
        <v>16.359542530378842</v>
      </c>
      <c r="M33">
        <v>54.608508445493854</v>
      </c>
      <c r="N33" s="67">
        <v>1.2137711551232062</v>
      </c>
      <c r="O33" t="str">
        <f t="shared" si="1"/>
        <v>Above Average</v>
      </c>
      <c r="P33" t="str">
        <f t="shared" si="2"/>
        <v>Above Average</v>
      </c>
      <c r="R33" t="str" cm="1">
        <f t="array" ref="R33">_xlfn.IFS(AND(O33="Above Average",P33="Below Average"),"3",AND(O33="Above Average",P33="Above Average"),"4",AND(O33="Below Average",P33="Above Average"),"2",AND(O33="Below Average",P33="Below Average"),"1")</f>
        <v>4</v>
      </c>
      <c r="S33" s="65" t="s">
        <v>170</v>
      </c>
      <c r="T33" t="s">
        <v>264</v>
      </c>
      <c r="U33" t="b">
        <f t="shared" si="0"/>
        <v>0</v>
      </c>
      <c r="Y33" s="64" t="s">
        <v>31</v>
      </c>
      <c r="Z33" s="101">
        <v>32969518.500000007</v>
      </c>
      <c r="AB33" s="131" t="s">
        <v>31</v>
      </c>
      <c r="AC33" s="132">
        <v>5.5497185519677856</v>
      </c>
      <c r="AD33" s="132">
        <v>6.6605767149290012</v>
      </c>
      <c r="AE33" s="132">
        <v>12.362024638000094</v>
      </c>
    </row>
    <row r="34" spans="2:31" x14ac:dyDescent="0.35">
      <c r="B34" s="65" t="s">
        <v>171</v>
      </c>
      <c r="C34" s="3">
        <v>2.0226434573829182</v>
      </c>
      <c r="D34" s="67">
        <v>1.4050950942181666</v>
      </c>
      <c r="E34" s="47">
        <v>105.35216319078796</v>
      </c>
      <c r="F34" s="67">
        <v>25.415291442768822</v>
      </c>
      <c r="H34">
        <v>0.2269469189988374</v>
      </c>
      <c r="I34" s="67">
        <v>1.4050950942181666</v>
      </c>
      <c r="K34" s="65" t="s">
        <v>171</v>
      </c>
      <c r="L34" s="67">
        <v>25.415291442768822</v>
      </c>
      <c r="M34">
        <v>105.35216319078796</v>
      </c>
      <c r="N34" s="67">
        <v>1.4050950942181666</v>
      </c>
      <c r="O34" t="str">
        <f t="shared" si="1"/>
        <v>Above Average</v>
      </c>
      <c r="P34" t="str">
        <f t="shared" si="2"/>
        <v>Above Average</v>
      </c>
      <c r="R34" t="str" cm="1">
        <f t="array" ref="R34">_xlfn.IFS(AND(O34="Above Average",P34="Below Average"),"3",AND(O34="Above Average",P34="Above Average"),"4",AND(O34="Below Average",P34="Above Average"),"2",AND(O34="Below Average",P34="Below Average"),"1")</f>
        <v>4</v>
      </c>
      <c r="S34" s="65" t="s">
        <v>171</v>
      </c>
      <c r="T34" t="s">
        <v>266</v>
      </c>
      <c r="U34" t="b">
        <f t="shared" si="0"/>
        <v>0</v>
      </c>
      <c r="Y34" s="64" t="s">
        <v>32</v>
      </c>
      <c r="Z34" s="101">
        <v>2567012.4999999995</v>
      </c>
      <c r="AB34" s="131" t="s">
        <v>32</v>
      </c>
      <c r="AC34" s="132">
        <v>18.952057373293837</v>
      </c>
      <c r="AD34" s="132">
        <v>64.854830057441106</v>
      </c>
      <c r="AE34" s="132">
        <v>72.50007161772831</v>
      </c>
    </row>
    <row r="35" spans="2:31" x14ac:dyDescent="0.35">
      <c r="B35" s="65" t="s">
        <v>172</v>
      </c>
      <c r="C35" s="3">
        <v>0.69511800597391782</v>
      </c>
      <c r="D35" s="67">
        <v>0.89256200067381375</v>
      </c>
      <c r="E35" s="47">
        <v>4.955848322257995</v>
      </c>
      <c r="F35" s="67">
        <v>7.8083990631299782</v>
      </c>
      <c r="H35">
        <v>0.10899444065530016</v>
      </c>
      <c r="I35" s="67">
        <v>0.89256200067381375</v>
      </c>
      <c r="K35" s="65" t="s">
        <v>172</v>
      </c>
      <c r="L35" s="67">
        <v>7.8083990631299782</v>
      </c>
      <c r="M35">
        <v>4.955848322257995</v>
      </c>
      <c r="N35" s="67">
        <v>0.89256200067381375</v>
      </c>
      <c r="O35" t="str">
        <f t="shared" si="1"/>
        <v>Below Average</v>
      </c>
      <c r="P35" t="str">
        <f t="shared" si="2"/>
        <v>Below Average</v>
      </c>
      <c r="R35" t="str" cm="1">
        <f t="array" ref="R35">_xlfn.IFS(AND(O35="Above Average",P35="Below Average"),"3",AND(O35="Above Average",P35="Above Average"),"4",AND(O35="Below Average",P35="Above Average"),"2",AND(O35="Below Average",P35="Below Average"),"1")</f>
        <v>1</v>
      </c>
      <c r="S35" s="65" t="s">
        <v>172</v>
      </c>
      <c r="T35" t="s">
        <v>265</v>
      </c>
      <c r="U35" t="b">
        <f t="shared" si="0"/>
        <v>1</v>
      </c>
      <c r="Y35" s="64" t="s">
        <v>33</v>
      </c>
      <c r="Z35" s="101">
        <v>26207976.5</v>
      </c>
      <c r="AB35" s="134" t="s">
        <v>33</v>
      </c>
      <c r="AC35" s="132">
        <v>2.9362255771784778</v>
      </c>
      <c r="AD35" s="132">
        <v>2.731976858986676</v>
      </c>
      <c r="AE35" s="132">
        <v>2.3568659730003425</v>
      </c>
    </row>
    <row r="36" spans="2:31" x14ac:dyDescent="0.35">
      <c r="B36" s="65" t="s">
        <v>173</v>
      </c>
      <c r="C36" s="3">
        <v>1.5632909788838778</v>
      </c>
      <c r="D36" s="67">
        <v>1.2520463655347098</v>
      </c>
      <c r="E36" s="47">
        <v>36.583982353138666</v>
      </c>
      <c r="F36" s="67">
        <v>17.866783114992721</v>
      </c>
      <c r="H36">
        <v>6.7092994461470346</v>
      </c>
      <c r="I36" s="67">
        <v>1.2520463655347098</v>
      </c>
      <c r="K36" s="65" t="s">
        <v>173</v>
      </c>
      <c r="L36" s="67">
        <v>17.866783114992721</v>
      </c>
      <c r="M36">
        <v>36.583982353138666</v>
      </c>
      <c r="N36" s="67">
        <v>1.2520463655347098</v>
      </c>
      <c r="O36" t="str">
        <f t="shared" si="1"/>
        <v>Below Average</v>
      </c>
      <c r="P36" t="str">
        <f t="shared" si="2"/>
        <v>Above Average</v>
      </c>
      <c r="R36" t="str" cm="1">
        <f t="array" ref="R36">_xlfn.IFS(AND(O36="Above Average",P36="Below Average"),"3",AND(O36="Above Average",P36="Above Average"),"4",AND(O36="Below Average",P36="Above Average"),"2",AND(O36="Below Average",P36="Below Average"),"1")</f>
        <v>2</v>
      </c>
      <c r="S36" s="65" t="s">
        <v>173</v>
      </c>
      <c r="T36" t="s">
        <v>264</v>
      </c>
      <c r="U36" t="b">
        <f t="shared" si="0"/>
        <v>0</v>
      </c>
      <c r="Y36" s="64" t="s">
        <v>34</v>
      </c>
      <c r="Z36" s="101">
        <v>218541211.50000003</v>
      </c>
      <c r="AB36" s="131" t="s">
        <v>34</v>
      </c>
      <c r="AC36" s="132">
        <v>14.994266155054937</v>
      </c>
      <c r="AD36" s="132">
        <v>22.251085637910265</v>
      </c>
      <c r="AE36" s="132">
        <v>22.692099302180001</v>
      </c>
    </row>
    <row r="37" spans="2:31" x14ac:dyDescent="0.35">
      <c r="B37" s="65" t="s">
        <v>174</v>
      </c>
      <c r="C37" s="3">
        <v>1.7754214179160368</v>
      </c>
      <c r="D37" s="67">
        <v>1.6169097533210601</v>
      </c>
      <c r="E37" s="47">
        <v>59.624042517676429</v>
      </c>
      <c r="F37" s="67">
        <v>41.391365435291313</v>
      </c>
      <c r="H37">
        <v>0.68931763738764196</v>
      </c>
      <c r="I37" s="67">
        <v>1.6169097533210601</v>
      </c>
      <c r="K37" s="65" t="s">
        <v>174</v>
      </c>
      <c r="L37" s="67">
        <v>41.391365435291313</v>
      </c>
      <c r="M37">
        <v>59.624042517676429</v>
      </c>
      <c r="N37" s="67">
        <v>1.6169097533210601</v>
      </c>
      <c r="O37" t="str">
        <f t="shared" si="1"/>
        <v>Above Average</v>
      </c>
      <c r="P37" t="str">
        <f t="shared" si="2"/>
        <v>Above Average</v>
      </c>
      <c r="R37" t="str" cm="1">
        <f t="array" ref="R37">_xlfn.IFS(AND(O37="Above Average",P37="Below Average"),"3",AND(O37="Above Average",P37="Above Average"),"4",AND(O37="Below Average",P37="Above Average"),"2",AND(O37="Below Average",P37="Below Average"),"1")</f>
        <v>4</v>
      </c>
      <c r="S37" s="65" t="s">
        <v>174</v>
      </c>
      <c r="T37" t="s">
        <v>266</v>
      </c>
      <c r="U37" t="b">
        <f t="shared" si="0"/>
        <v>0</v>
      </c>
      <c r="Y37" s="64" t="s">
        <v>35</v>
      </c>
      <c r="Z37" s="101">
        <v>13776697.499999994</v>
      </c>
      <c r="AB37" s="134" t="s">
        <v>35</v>
      </c>
      <c r="AC37" s="132">
        <v>10.441973743822771</v>
      </c>
      <c r="AD37" s="132">
        <v>14.187099506595519</v>
      </c>
      <c r="AE37" s="132">
        <v>13.401063461919398</v>
      </c>
    </row>
    <row r="38" spans="2:31" x14ac:dyDescent="0.35">
      <c r="B38" s="65" t="s">
        <v>176</v>
      </c>
      <c r="C38" s="3">
        <v>1.8020428154394388</v>
      </c>
      <c r="D38" s="67">
        <v>1.3590370091771649</v>
      </c>
      <c r="E38" s="47">
        <v>63.393220513883151</v>
      </c>
      <c r="F38" s="67">
        <v>22.857935830441416</v>
      </c>
      <c r="H38">
        <v>1.2096144686277734E-2</v>
      </c>
      <c r="I38" s="67">
        <v>1.3590370091771649</v>
      </c>
      <c r="K38" s="65" t="s">
        <v>176</v>
      </c>
      <c r="L38" s="67">
        <v>22.857935830441416</v>
      </c>
      <c r="M38">
        <v>63.393220513883151</v>
      </c>
      <c r="N38" s="67">
        <v>1.3590370091771649</v>
      </c>
      <c r="O38" t="str">
        <f t="shared" si="1"/>
        <v>Above Average</v>
      </c>
      <c r="P38" t="str">
        <f t="shared" si="2"/>
        <v>Above Average</v>
      </c>
      <c r="R38" t="str" cm="1">
        <f t="array" ref="R38">_xlfn.IFS(AND(O38="Above Average",P38="Below Average"),"3",AND(O38="Above Average",P38="Above Average"),"4",AND(O38="Below Average",P38="Above Average"),"2",AND(O38="Below Average",P38="Below Average"),"1")</f>
        <v>4</v>
      </c>
      <c r="S38" s="65" t="s">
        <v>176</v>
      </c>
      <c r="T38" t="s">
        <v>266</v>
      </c>
      <c r="U38" t="b">
        <f t="shared" si="0"/>
        <v>0</v>
      </c>
      <c r="Y38" s="64" t="s">
        <v>175</v>
      </c>
      <c r="Z38" s="101">
        <v>227379.5</v>
      </c>
      <c r="AB38" s="131" t="s">
        <v>36</v>
      </c>
      <c r="AC38" s="132">
        <v>27.663516672946013</v>
      </c>
      <c r="AD38" s="132">
        <v>26.449769096827922</v>
      </c>
      <c r="AE38" s="132">
        <v>26.971849712707133</v>
      </c>
    </row>
    <row r="39" spans="2:31" x14ac:dyDescent="0.35">
      <c r="B39" s="65" t="s">
        <v>177</v>
      </c>
      <c r="C39" s="3">
        <v>1.3765201273174978</v>
      </c>
      <c r="D39" s="67">
        <v>0.85630195700274225</v>
      </c>
      <c r="E39" s="47">
        <v>23.796885847380697</v>
      </c>
      <c r="F39" s="67">
        <v>7.1829353403866092</v>
      </c>
      <c r="H39">
        <v>0.34580543583860351</v>
      </c>
      <c r="I39" s="67">
        <v>0.85630195700274225</v>
      </c>
      <c r="K39" s="65" t="s">
        <v>177</v>
      </c>
      <c r="L39" s="67">
        <v>7.1829353403866092</v>
      </c>
      <c r="M39">
        <v>23.796885847380697</v>
      </c>
      <c r="N39" s="67">
        <v>0.85630195700274225</v>
      </c>
      <c r="O39" t="str">
        <f t="shared" si="1"/>
        <v>Below Average</v>
      </c>
      <c r="P39" t="str">
        <f t="shared" si="2"/>
        <v>Below Average</v>
      </c>
      <c r="R39" t="str" cm="1">
        <f t="array" ref="R39">_xlfn.IFS(AND(O39="Above Average",P39="Below Average"),"3",AND(O39="Above Average",P39="Above Average"),"4",AND(O39="Below Average",P39="Above Average"),"2",AND(O39="Below Average",P39="Below Average"),"1")</f>
        <v>1</v>
      </c>
      <c r="S39" s="65" t="s">
        <v>177</v>
      </c>
      <c r="T39" t="s">
        <v>265</v>
      </c>
      <c r="U39" t="b">
        <f t="shared" si="0"/>
        <v>1</v>
      </c>
      <c r="Y39" s="64" t="s">
        <v>37</v>
      </c>
      <c r="Z39" s="101">
        <v>17316449</v>
      </c>
      <c r="AB39" s="134" t="s">
        <v>37</v>
      </c>
      <c r="AC39" s="132">
        <v>4.5573683566159886</v>
      </c>
      <c r="AD39" s="132">
        <v>7.0151292697761525</v>
      </c>
      <c r="AE39" s="132">
        <v>6.5171760234407232</v>
      </c>
    </row>
    <row r="40" spans="2:31" x14ac:dyDescent="0.35">
      <c r="B40" s="65" t="s">
        <v>178</v>
      </c>
      <c r="C40" s="3">
        <v>2.4719753176435297</v>
      </c>
      <c r="D40" s="67">
        <v>1.6242820958356683</v>
      </c>
      <c r="E40" s="47">
        <v>296.4662893379861</v>
      </c>
      <c r="F40" s="67">
        <v>42.1</v>
      </c>
      <c r="H40">
        <v>2.6649720008577755E-2</v>
      </c>
      <c r="I40" s="67">
        <v>1.6242820958356683</v>
      </c>
      <c r="K40" s="65" t="s">
        <v>178</v>
      </c>
      <c r="L40" s="67">
        <v>42.1</v>
      </c>
      <c r="M40">
        <v>296.4662893379861</v>
      </c>
      <c r="N40" s="67">
        <v>1.6242820958356683</v>
      </c>
      <c r="O40" t="str">
        <f t="shared" si="1"/>
        <v>Above Average</v>
      </c>
      <c r="P40" t="str">
        <f t="shared" si="2"/>
        <v>Above Average</v>
      </c>
      <c r="R40" t="str" cm="1">
        <f t="array" ref="R40">_xlfn.IFS(AND(O40="Above Average",P40="Below Average"),"3",AND(O40="Above Average",P40="Above Average"),"4",AND(O40="Below Average",P40="Above Average"),"2",AND(O40="Below Average",P40="Below Average"),"1")</f>
        <v>4</v>
      </c>
      <c r="S40" s="65" t="s">
        <v>178</v>
      </c>
      <c r="T40" t="s">
        <v>266</v>
      </c>
      <c r="U40" t="b">
        <f t="shared" si="0"/>
        <v>0</v>
      </c>
      <c r="Y40" s="64" t="s">
        <v>38</v>
      </c>
      <c r="Z40" s="101">
        <v>107118.5</v>
      </c>
      <c r="AB40" s="131" t="s">
        <v>38</v>
      </c>
      <c r="AC40" s="132">
        <v>54.800752734867757</v>
      </c>
      <c r="AD40" s="132">
        <v>195.92438482652926</v>
      </c>
      <c r="AE40" s="132">
        <v>242.01401730513936</v>
      </c>
    </row>
    <row r="41" spans="2:31" x14ac:dyDescent="0.35">
      <c r="B41" s="65" t="s">
        <v>179</v>
      </c>
      <c r="C41" s="3">
        <v>1.657794684437857</v>
      </c>
      <c r="D41" s="67">
        <v>0.92967794312633822</v>
      </c>
      <c r="E41" s="47">
        <v>45.477301239981145</v>
      </c>
      <c r="F41" s="67">
        <v>8.5050709939148081</v>
      </c>
      <c r="H41">
        <v>0.32842381788896147</v>
      </c>
      <c r="I41" s="67">
        <v>0.92967794312633822</v>
      </c>
      <c r="K41" s="65" t="s">
        <v>179</v>
      </c>
      <c r="L41" s="67">
        <v>8.5050709939148081</v>
      </c>
      <c r="M41">
        <v>45.477301239981145</v>
      </c>
      <c r="N41" s="67">
        <v>0.92967794312633822</v>
      </c>
      <c r="O41" t="str">
        <f t="shared" si="1"/>
        <v>Above Average</v>
      </c>
      <c r="P41" t="str">
        <f t="shared" si="2"/>
        <v>Below Average</v>
      </c>
      <c r="R41" t="str" cm="1">
        <f t="array" ref="R41">_xlfn.IFS(AND(O41="Above Average",P41="Below Average"),"3",AND(O41="Above Average",P41="Above Average"),"4",AND(O41="Below Average",P41="Above Average"),"2",AND(O41="Below Average",P41="Below Average"),"1")</f>
        <v>3</v>
      </c>
      <c r="S41" s="65" t="s">
        <v>179</v>
      </c>
      <c r="T41" t="s">
        <v>265</v>
      </c>
      <c r="U41" t="b">
        <f t="shared" si="0"/>
        <v>0</v>
      </c>
      <c r="Y41" s="64" t="s">
        <v>39</v>
      </c>
      <c r="Z41" s="101">
        <v>8605718.0000000056</v>
      </c>
      <c r="AB41" s="131" t="s">
        <v>39</v>
      </c>
      <c r="AC41" s="132">
        <v>11.906918137676456</v>
      </c>
      <c r="AD41" s="132">
        <v>9.3114595445704076</v>
      </c>
      <c r="AE41" s="132">
        <v>23.534133501916237</v>
      </c>
    </row>
    <row r="42" spans="2:31" x14ac:dyDescent="0.35">
      <c r="B42" s="65" t="s">
        <v>180</v>
      </c>
      <c r="C42" s="3">
        <v>2.0419472041053712</v>
      </c>
      <c r="D42" s="67">
        <v>2.0303780382652743</v>
      </c>
      <c r="E42" s="47">
        <v>110.14054068074168</v>
      </c>
      <c r="F42" s="67">
        <v>107.24524316516025</v>
      </c>
      <c r="H42">
        <v>5.535827419797827</v>
      </c>
      <c r="I42" s="67">
        <v>2.0303780382652743</v>
      </c>
      <c r="K42" s="65" t="s">
        <v>180</v>
      </c>
      <c r="L42" s="67">
        <v>107.24524316516025</v>
      </c>
      <c r="M42">
        <v>110.14054068074168</v>
      </c>
      <c r="N42" s="67">
        <v>2.0303780382652743</v>
      </c>
      <c r="O42" t="str">
        <f t="shared" si="1"/>
        <v>Above Average</v>
      </c>
      <c r="P42" t="str">
        <f t="shared" si="2"/>
        <v>Above Average</v>
      </c>
      <c r="R42" t="str" cm="1">
        <f t="array" ref="R42">_xlfn.IFS(AND(O42="Above Average",P42="Below Average"),"3",AND(O42="Above Average",P42="Above Average"),"4",AND(O42="Below Average",P42="Above Average"),"2",AND(O42="Below Average",P42="Below Average"),"1")</f>
        <v>4</v>
      </c>
      <c r="S42" s="65" t="s">
        <v>180</v>
      </c>
      <c r="T42" t="s">
        <v>263</v>
      </c>
      <c r="U42" t="b">
        <f t="shared" si="0"/>
        <v>1</v>
      </c>
      <c r="Y42" s="64" t="s">
        <v>40</v>
      </c>
      <c r="Z42" s="101">
        <v>59893885.5</v>
      </c>
      <c r="AB42" s="131" t="s">
        <v>40</v>
      </c>
      <c r="AC42" s="132">
        <v>16.720429532704841</v>
      </c>
      <c r="AD42" s="132">
        <v>61.781000175533016</v>
      </c>
      <c r="AE42" s="132">
        <v>78.187272031248852</v>
      </c>
    </row>
    <row r="43" spans="2:31" x14ac:dyDescent="0.35">
      <c r="B43" s="65" t="s">
        <v>181</v>
      </c>
      <c r="C43" s="3">
        <v>1.2945672338764618</v>
      </c>
      <c r="D43" s="67">
        <v>1.3157352315928863</v>
      </c>
      <c r="E43" s="47">
        <v>19.70458233636975</v>
      </c>
      <c r="F43" s="67">
        <v>20.688796680497926</v>
      </c>
      <c r="H43">
        <v>0.18045575879365716</v>
      </c>
      <c r="I43" s="67">
        <v>1.3157352315928863</v>
      </c>
      <c r="K43" s="65" t="s">
        <v>181</v>
      </c>
      <c r="L43" s="67">
        <v>20.688796680497926</v>
      </c>
      <c r="M43">
        <v>19.70458233636975</v>
      </c>
      <c r="N43" s="67">
        <v>1.3157352315928863</v>
      </c>
      <c r="O43" t="str">
        <f t="shared" si="1"/>
        <v>Below Average</v>
      </c>
      <c r="P43" t="str">
        <f t="shared" si="2"/>
        <v>Above Average</v>
      </c>
      <c r="R43" t="str" cm="1">
        <f t="array" ref="R43">_xlfn.IFS(AND(O43="Above Average",P43="Below Average"),"3",AND(O43="Above Average",P43="Above Average"),"4",AND(O43="Below Average",P43="Above Average"),"2",AND(O43="Below Average",P43="Below Average"),"1")</f>
        <v>2</v>
      </c>
      <c r="S43" s="65" t="s">
        <v>181</v>
      </c>
      <c r="T43" t="s">
        <v>265</v>
      </c>
      <c r="U43" t="b">
        <f t="shared" si="0"/>
        <v>0</v>
      </c>
      <c r="Y43" s="64" t="s">
        <v>41</v>
      </c>
      <c r="Z43" s="101">
        <v>10913163.5</v>
      </c>
      <c r="AB43" s="131" t="s">
        <v>41</v>
      </c>
      <c r="AC43" s="132">
        <v>0</v>
      </c>
      <c r="AD43" s="132">
        <v>6.1691166210748785</v>
      </c>
      <c r="AE43" s="132">
        <v>7.8959074273939986</v>
      </c>
    </row>
    <row r="44" spans="2:31" x14ac:dyDescent="0.35">
      <c r="B44" s="65" t="s">
        <v>182</v>
      </c>
      <c r="C44" s="3">
        <v>1.4805132689166067</v>
      </c>
      <c r="D44" s="67">
        <v>1.0252800151720924</v>
      </c>
      <c r="E44" s="47">
        <v>30.235229462209936</v>
      </c>
      <c r="F44" s="67">
        <v>10.599369085173501</v>
      </c>
      <c r="H44">
        <v>0.22451508021737129</v>
      </c>
      <c r="I44" s="67">
        <v>1.0252800151720924</v>
      </c>
      <c r="K44" s="65" t="s">
        <v>182</v>
      </c>
      <c r="L44" s="67">
        <v>10.599369085173501</v>
      </c>
      <c r="M44">
        <v>30.235229462209936</v>
      </c>
      <c r="N44" s="67">
        <v>1.0252800151720924</v>
      </c>
      <c r="O44" t="str">
        <f t="shared" si="1"/>
        <v>Below Average</v>
      </c>
      <c r="P44" t="str">
        <f t="shared" si="2"/>
        <v>Below Average</v>
      </c>
      <c r="R44" t="str" cm="1">
        <f t="array" ref="R44">_xlfn.IFS(AND(O44="Above Average",P44="Below Average"),"3",AND(O44="Above Average",P44="Above Average"),"4",AND(O44="Below Average",P44="Above Average"),"2",AND(O44="Below Average",P44="Below Average"),"1")</f>
        <v>1</v>
      </c>
      <c r="S44" s="65" t="s">
        <v>182</v>
      </c>
      <c r="T44" t="s">
        <v>265</v>
      </c>
      <c r="U44" t="b">
        <f t="shared" si="0"/>
        <v>1</v>
      </c>
      <c r="Y44" s="64" t="s">
        <v>43</v>
      </c>
      <c r="Z44" s="101">
        <v>8848698.5000000019</v>
      </c>
      <c r="AB44" s="131" t="s">
        <v>42</v>
      </c>
      <c r="AC44" s="132">
        <v>4.7513236254288476</v>
      </c>
      <c r="AD44" s="132">
        <v>6.7766740907794407</v>
      </c>
      <c r="AE44" s="132">
        <v>7.605590561668536</v>
      </c>
    </row>
    <row r="45" spans="2:31" x14ac:dyDescent="0.35">
      <c r="B45" s="65" t="s">
        <v>183</v>
      </c>
      <c r="C45" s="3">
        <v>1.8508899997099904</v>
      </c>
      <c r="D45" s="67">
        <v>0.71631219217137176</v>
      </c>
      <c r="E45" s="47">
        <v>70.939806529751905</v>
      </c>
      <c r="F45" s="67">
        <v>5.2036992954099146</v>
      </c>
      <c r="H45">
        <v>2.8128129214331787</v>
      </c>
      <c r="I45" s="67">
        <v>0.71631219217137176</v>
      </c>
      <c r="K45" s="65" t="s">
        <v>183</v>
      </c>
      <c r="L45" s="67">
        <v>5.2036992954099146</v>
      </c>
      <c r="M45">
        <v>70.939806529751905</v>
      </c>
      <c r="N45" s="67">
        <v>0.71631219217137176</v>
      </c>
      <c r="O45" t="str">
        <f t="shared" si="1"/>
        <v>Above Average</v>
      </c>
      <c r="P45" t="str">
        <f t="shared" si="2"/>
        <v>Below Average</v>
      </c>
      <c r="R45" t="str" cm="1">
        <f t="array" ref="R45">_xlfn.IFS(AND(O45="Above Average",P45="Below Average"),"3",AND(O45="Above Average",P45="Above Average"),"4",AND(O45="Below Average",P45="Above Average"),"2",AND(O45="Below Average",P45="Below Average"),"1")</f>
        <v>3</v>
      </c>
      <c r="S45" s="65" t="s">
        <v>183</v>
      </c>
      <c r="T45" t="s">
        <v>264</v>
      </c>
      <c r="U45" t="b">
        <f t="shared" si="0"/>
        <v>1</v>
      </c>
      <c r="Y45" s="64" t="s">
        <v>44</v>
      </c>
      <c r="Z45" s="101">
        <v>47249584.999999978</v>
      </c>
      <c r="AB45" s="131" t="s">
        <v>43</v>
      </c>
      <c r="AC45" s="132">
        <v>3.5630712154083408</v>
      </c>
      <c r="AD45" s="132">
        <v>5.1412514405011063</v>
      </c>
      <c r="AE45" s="132">
        <v>6.3003257177536511</v>
      </c>
    </row>
    <row r="46" spans="2:31" x14ac:dyDescent="0.35">
      <c r="B46" s="65" t="s">
        <v>184</v>
      </c>
      <c r="C46" s="3">
        <v>1.4576299021000942</v>
      </c>
      <c r="D46" s="67">
        <v>1.0969955271941416</v>
      </c>
      <c r="E46" s="47">
        <v>28.683351968574311</v>
      </c>
      <c r="F46" s="67">
        <v>12.502461538461539</v>
      </c>
      <c r="H46">
        <v>1.5765549788815736</v>
      </c>
      <c r="I46" s="67">
        <v>1.0969955271941416</v>
      </c>
      <c r="K46" s="65" t="s">
        <v>184</v>
      </c>
      <c r="L46" s="67">
        <v>12.502461538461539</v>
      </c>
      <c r="M46">
        <v>28.683351968574311</v>
      </c>
      <c r="N46" s="67">
        <v>1.0969955271941416</v>
      </c>
      <c r="O46" t="str">
        <f t="shared" si="1"/>
        <v>Below Average</v>
      </c>
      <c r="P46" t="str">
        <f t="shared" si="2"/>
        <v>Below Average</v>
      </c>
      <c r="R46" t="str" cm="1">
        <f t="array" ref="R46">_xlfn.IFS(AND(O46="Above Average",P46="Below Average"),"3",AND(O46="Above Average",P46="Above Average"),"4",AND(O46="Below Average",P46="Above Average"),"2",AND(O46="Below Average",P46="Below Average"),"1")</f>
        <v>1</v>
      </c>
      <c r="S46" s="65" t="s">
        <v>184</v>
      </c>
      <c r="T46" t="s">
        <v>264</v>
      </c>
      <c r="U46" t="b">
        <f t="shared" si="0"/>
        <v>0</v>
      </c>
      <c r="Y46" s="64" t="s">
        <v>42</v>
      </c>
      <c r="Z46" s="101">
        <v>65497748.000000045</v>
      </c>
      <c r="AB46" s="131" t="s">
        <v>44</v>
      </c>
      <c r="AC46" s="132">
        <v>14.740498339124736</v>
      </c>
      <c r="AD46" s="132">
        <v>18.773758505730214</v>
      </c>
      <c r="AE46" s="132">
        <v>25.677639566139653</v>
      </c>
    </row>
    <row r="47" spans="2:31" x14ac:dyDescent="0.35">
      <c r="B47" s="65" t="s">
        <v>185</v>
      </c>
      <c r="C47" s="3">
        <v>1.7477183731961123</v>
      </c>
      <c r="D47" s="67">
        <v>1.0219585611420867</v>
      </c>
      <c r="E47" s="47">
        <v>55.939473332937403</v>
      </c>
      <c r="F47" s="67">
        <v>10.51861504095309</v>
      </c>
      <c r="H47">
        <v>0.93969054582200373</v>
      </c>
      <c r="I47" s="67">
        <v>1.0219585611420867</v>
      </c>
      <c r="K47" s="65" t="s">
        <v>185</v>
      </c>
      <c r="L47" s="67">
        <v>10.51861504095309</v>
      </c>
      <c r="M47">
        <v>55.939473332937403</v>
      </c>
      <c r="N47" s="67">
        <v>1.0219585611420867</v>
      </c>
      <c r="O47" t="str">
        <f t="shared" si="1"/>
        <v>Above Average</v>
      </c>
      <c r="P47" t="str">
        <f t="shared" si="2"/>
        <v>Below Average</v>
      </c>
      <c r="R47" t="str" cm="1">
        <f t="array" ref="R47">_xlfn.IFS(AND(O47="Above Average",P47="Below Average"),"3",AND(O47="Above Average",P47="Above Average"),"4",AND(O47="Below Average",P47="Above Average"),"2",AND(O47="Below Average",P47="Below Average"),"1")</f>
        <v>3</v>
      </c>
      <c r="S47" s="65" t="s">
        <v>185</v>
      </c>
      <c r="T47" t="s">
        <v>264</v>
      </c>
      <c r="U47" t="b">
        <f t="shared" si="0"/>
        <v>1</v>
      </c>
      <c r="Y47" s="64" t="s">
        <v>45</v>
      </c>
      <c r="Z47" s="101">
        <v>20017675.000000004</v>
      </c>
      <c r="AB47" s="131" t="s">
        <v>45</v>
      </c>
      <c r="AC47" s="132">
        <v>2.8080123001178361</v>
      </c>
      <c r="AD47" s="132">
        <v>17.258457426269619</v>
      </c>
      <c r="AE47" s="132">
        <v>34.960104008082851</v>
      </c>
    </row>
    <row r="48" spans="2:31" ht="15" thickBot="1" x14ac:dyDescent="0.4">
      <c r="B48" s="65" t="s">
        <v>186</v>
      </c>
      <c r="C48" s="3">
        <v>1.8064715766094552</v>
      </c>
      <c r="D48" s="67">
        <v>1.560949253118078</v>
      </c>
      <c r="E48" s="47">
        <v>64.042986580794391</v>
      </c>
      <c r="F48" s="67">
        <v>36.387251549841309</v>
      </c>
      <c r="H48">
        <v>0.87711971217454798</v>
      </c>
      <c r="I48" s="67">
        <v>1.560949253118078</v>
      </c>
      <c r="K48" s="65" t="s">
        <v>186</v>
      </c>
      <c r="L48" s="67">
        <v>36.387251549841309</v>
      </c>
      <c r="M48">
        <v>64.042986580794391</v>
      </c>
      <c r="N48" s="67">
        <v>1.560949253118078</v>
      </c>
      <c r="O48" t="str">
        <f t="shared" si="1"/>
        <v>Above Average</v>
      </c>
      <c r="P48" t="str">
        <f t="shared" si="2"/>
        <v>Above Average</v>
      </c>
      <c r="R48" t="str" cm="1">
        <f t="array" ref="R48">_xlfn.IFS(AND(O48="Above Average",P48="Below Average"),"3",AND(O48="Above Average",P48="Above Average"),"4",AND(O48="Below Average",P48="Above Average"),"2",AND(O48="Below Average",P48="Below Average"),"1")</f>
        <v>4</v>
      </c>
      <c r="S48" s="65" t="s">
        <v>186</v>
      </c>
      <c r="T48" t="s">
        <v>266</v>
      </c>
      <c r="U48" t="b">
        <f t="shared" si="0"/>
        <v>0</v>
      </c>
      <c r="Y48" s="66" t="s">
        <v>46</v>
      </c>
      <c r="Z48" s="101">
        <v>16320536.999999996</v>
      </c>
      <c r="AB48" s="131" t="s">
        <v>46</v>
      </c>
      <c r="AC48" s="132">
        <v>15.601137891580859</v>
      </c>
      <c r="AD48" s="132">
        <v>23.66965484875815</v>
      </c>
      <c r="AE48" s="132">
        <v>38.14728630825762</v>
      </c>
    </row>
    <row r="49" spans="3:26" ht="15" thickTop="1" x14ac:dyDescent="0.35">
      <c r="C49" s="3"/>
      <c r="D49" s="68"/>
      <c r="E49" s="1">
        <v>53.428046434715839</v>
      </c>
      <c r="F49" s="1">
        <v>22.857935830441416</v>
      </c>
      <c r="H49" s="105">
        <v>0.88248654743588983</v>
      </c>
      <c r="I49" s="104">
        <v>1.1692594227645297</v>
      </c>
      <c r="L49" s="1">
        <v>22.857935830441416</v>
      </c>
      <c r="M49" s="105">
        <v>42.714388400671432</v>
      </c>
      <c r="N49" s="105">
        <v>1.1550140009774728</v>
      </c>
      <c r="Y49" s="53"/>
      <c r="Z49" s="101">
        <v>1191645698.5</v>
      </c>
    </row>
    <row r="50" spans="3:26" x14ac:dyDescent="0.35">
      <c r="D50" t="s">
        <v>190</v>
      </c>
      <c r="E50" s="47">
        <v>4.955848322257995</v>
      </c>
      <c r="F50" s="47">
        <v>0.95412514516632685</v>
      </c>
      <c r="L50" s="47">
        <v>0.95412514516632685</v>
      </c>
      <c r="N50" s="47"/>
      <c r="Y50" s="55"/>
      <c r="Z50" s="101"/>
    </row>
    <row r="51" spans="3:26" x14ac:dyDescent="0.35">
      <c r="D51" t="s">
        <v>191</v>
      </c>
      <c r="E51" s="47">
        <v>296.4662893379861</v>
      </c>
      <c r="F51" s="47">
        <v>107.24524316516025</v>
      </c>
      <c r="L51" s="47">
        <v>107.24524316516025</v>
      </c>
      <c r="N51" s="47"/>
    </row>
  </sheetData>
  <autoFilter ref="K1:Q49" xr:uid="{2FE30DB3-3E8C-4D1D-BAFB-2F4E43E5F2C9}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738B-122D-47BB-8F7D-CB63D6F4219A}">
  <dimension ref="A1:F49"/>
  <sheetViews>
    <sheetView workbookViewId="0">
      <selection activeCell="E3" sqref="E3"/>
    </sheetView>
  </sheetViews>
  <sheetFormatPr defaultRowHeight="14.5" x14ac:dyDescent="0.35"/>
  <cols>
    <col min="2" max="2" width="18.54296875" bestFit="1" customWidth="1"/>
  </cols>
  <sheetData>
    <row r="1" spans="1:6" x14ac:dyDescent="0.35">
      <c r="B1" s="127"/>
      <c r="C1" s="128" t="s">
        <v>66</v>
      </c>
      <c r="D1" s="128"/>
      <c r="E1" s="128"/>
    </row>
    <row r="2" spans="1:6" ht="56.5" x14ac:dyDescent="0.35">
      <c r="A2" t="s">
        <v>285</v>
      </c>
      <c r="B2" s="129" t="s">
        <v>0</v>
      </c>
      <c r="C2" s="130" t="s">
        <v>72</v>
      </c>
      <c r="D2" s="130" t="s">
        <v>73</v>
      </c>
      <c r="E2" s="130" t="s">
        <v>74</v>
      </c>
      <c r="F2" s="135" t="s">
        <v>285</v>
      </c>
    </row>
    <row r="3" spans="1:6" x14ac:dyDescent="0.35">
      <c r="A3" t="s">
        <v>136</v>
      </c>
      <c r="B3" s="131" t="s">
        <v>1</v>
      </c>
      <c r="C3" s="132">
        <v>2.931267462129866</v>
      </c>
      <c r="D3" s="132">
        <v>41.893522234964195</v>
      </c>
      <c r="E3" s="133">
        <v>49.173528181995827</v>
      </c>
      <c r="F3" t="str">
        <f>VLOOKUP(B3,Sheet11!B$2:C$48,2,FALSE)</f>
        <v>DZA</v>
      </c>
    </row>
    <row r="4" spans="1:6" x14ac:dyDescent="0.35">
      <c r="A4" t="s">
        <v>137</v>
      </c>
      <c r="B4" s="131" t="s">
        <v>2</v>
      </c>
      <c r="C4" s="132">
        <v>1.147359073900709E-2</v>
      </c>
      <c r="D4" s="132">
        <v>19.33519951199629</v>
      </c>
      <c r="E4" s="132">
        <v>22.16128506058643</v>
      </c>
      <c r="F4" t="str">
        <f>VLOOKUP(B4,Sheet11!B$2:C$48,2,FALSE)</f>
        <v>AGO</v>
      </c>
    </row>
    <row r="5" spans="1:6" x14ac:dyDescent="0.35">
      <c r="A5" t="s">
        <v>138</v>
      </c>
      <c r="B5" s="131" t="s">
        <v>3</v>
      </c>
      <c r="C5" s="132">
        <v>7.6857184306059843</v>
      </c>
      <c r="D5" s="132">
        <v>4.8313817211552434</v>
      </c>
      <c r="E5" s="132">
        <v>8.2764831925559506</v>
      </c>
      <c r="F5" t="str">
        <f>VLOOKUP(B5,Sheet11!B$2:C$48,2,FALSE)</f>
        <v>BEN</v>
      </c>
    </row>
    <row r="6" spans="1:6" x14ac:dyDescent="0.35">
      <c r="A6" t="s">
        <v>139</v>
      </c>
      <c r="B6" s="134" t="s">
        <v>4</v>
      </c>
      <c r="C6" s="132">
        <v>36.941691569573123</v>
      </c>
      <c r="D6" s="132">
        <v>37.8721049551717</v>
      </c>
      <c r="E6" s="132">
        <v>37.02657488516612</v>
      </c>
      <c r="F6" t="str">
        <f>VLOOKUP(B6,Sheet11!B$2:C$48,2,FALSE)</f>
        <v>BWA</v>
      </c>
    </row>
    <row r="7" spans="1:6" x14ac:dyDescent="0.35">
      <c r="A7" t="s">
        <v>140</v>
      </c>
      <c r="B7" s="131" t="s">
        <v>5</v>
      </c>
      <c r="C7" s="132">
        <v>5.0934409402821972</v>
      </c>
      <c r="D7" s="132">
        <v>9.6338286946770175</v>
      </c>
      <c r="E7" s="132">
        <v>12.168856040551496</v>
      </c>
      <c r="F7" t="str">
        <f>VLOOKUP(B7,Sheet11!B$2:C$48,2,FALSE)</f>
        <v>BFA</v>
      </c>
    </row>
    <row r="8" spans="1:6" x14ac:dyDescent="0.35">
      <c r="A8" t="s">
        <v>141</v>
      </c>
      <c r="B8" s="134" t="s">
        <v>6</v>
      </c>
      <c r="C8" s="132">
        <v>7.0643334660974784</v>
      </c>
      <c r="D8" s="132">
        <v>9.1643321894231757</v>
      </c>
      <c r="E8" s="132">
        <v>8.3085116295989803</v>
      </c>
      <c r="F8" t="str">
        <f>VLOOKUP(B8,Sheet11!B$2:C$48,2,FALSE)</f>
        <v>BDI</v>
      </c>
    </row>
    <row r="9" spans="1:6" x14ac:dyDescent="0.35">
      <c r="A9" t="s">
        <v>143</v>
      </c>
      <c r="B9" s="131" t="s">
        <v>7</v>
      </c>
      <c r="C9" s="132">
        <v>10.318104179523269</v>
      </c>
      <c r="D9" s="132">
        <v>5.7950101302016952</v>
      </c>
      <c r="E9" s="132">
        <v>8.340457309760458</v>
      </c>
      <c r="F9" t="str">
        <f>VLOOKUP(B9,Sheet11!B$2:C$48,2,FALSE)</f>
        <v>CMR</v>
      </c>
    </row>
    <row r="10" spans="1:6" x14ac:dyDescent="0.35">
      <c r="A10" t="s">
        <v>142</v>
      </c>
      <c r="B10" t="s">
        <v>60</v>
      </c>
      <c r="C10" s="132">
        <v>13.168129792199135</v>
      </c>
      <c r="D10" s="132">
        <v>29.16659007373055</v>
      </c>
      <c r="E10" s="132">
        <v>62.960411138791216</v>
      </c>
      <c r="F10" t="str">
        <f>VLOOKUP(B10,Sheet11!B$2:C$48,2,FALSE)</f>
        <v>CPV</v>
      </c>
    </row>
    <row r="11" spans="1:6" x14ac:dyDescent="0.35">
      <c r="A11" t="s">
        <v>144</v>
      </c>
      <c r="B11" s="131" t="s">
        <v>8</v>
      </c>
      <c r="C11" s="132">
        <v>2.4570901992606395</v>
      </c>
      <c r="D11" s="132">
        <v>3.9785819996152929</v>
      </c>
      <c r="E11" s="132">
        <v>2.4089830338186218</v>
      </c>
      <c r="F11" t="str">
        <f>VLOOKUP(B11,Sheet11!B$2:C$48,2,FALSE)</f>
        <v>CAF</v>
      </c>
    </row>
    <row r="12" spans="1:6" x14ac:dyDescent="0.35">
      <c r="A12" t="s">
        <v>145</v>
      </c>
      <c r="B12" s="131" t="s">
        <v>9</v>
      </c>
      <c r="C12" s="132">
        <v>3.557602383306083</v>
      </c>
      <c r="D12" s="132">
        <v>4.4808420291703328</v>
      </c>
      <c r="E12" s="132">
        <v>3.5764373051455833</v>
      </c>
      <c r="F12" t="str">
        <f>VLOOKUP(B12,Sheet11!B$2:C$48,2,FALSE)</f>
        <v>TCD</v>
      </c>
    </row>
    <row r="13" spans="1:6" x14ac:dyDescent="0.35">
      <c r="A13" t="s">
        <v>146</v>
      </c>
      <c r="B13" s="131" t="s">
        <v>10</v>
      </c>
      <c r="C13" s="132">
        <v>6.4627516022834079</v>
      </c>
      <c r="D13" s="132">
        <v>19.850228032875876</v>
      </c>
      <c r="E13" s="132">
        <v>22.326190141323295</v>
      </c>
      <c r="F13" t="str">
        <f>VLOOKUP(B13,Sheet11!B$2:C$48,2,FALSE)</f>
        <v>COM</v>
      </c>
    </row>
    <row r="14" spans="1:6" x14ac:dyDescent="0.35">
      <c r="A14" t="s">
        <v>148</v>
      </c>
      <c r="B14" s="131" t="s">
        <v>11</v>
      </c>
      <c r="C14" s="132">
        <v>9.4675580794092156</v>
      </c>
      <c r="D14" s="132">
        <v>12.795296212393836</v>
      </c>
      <c r="E14" s="132">
        <v>13.050801436856251</v>
      </c>
      <c r="F14" t="str">
        <f>VLOOKUP(B14,Sheet11!B$2:C$48,2,FALSE)</f>
        <v>COG</v>
      </c>
    </row>
    <row r="15" spans="1:6" x14ac:dyDescent="0.35">
      <c r="A15" t="s">
        <v>150</v>
      </c>
      <c r="B15" s="131" t="s">
        <v>12</v>
      </c>
      <c r="C15" s="132">
        <v>10.33456030553733</v>
      </c>
      <c r="D15" s="132">
        <v>11.548997129264416</v>
      </c>
      <c r="E15" s="132">
        <v>12.531853132190035</v>
      </c>
      <c r="F15" t="str">
        <f>VLOOKUP(B15,Sheet11!B$2:C$48,2,FALSE)</f>
        <v>CIV</v>
      </c>
    </row>
    <row r="16" spans="1:6" x14ac:dyDescent="0.35">
      <c r="A16" t="s">
        <v>151</v>
      </c>
      <c r="B16" t="s">
        <v>82</v>
      </c>
      <c r="C16" s="132">
        <v>9.2661285789722267</v>
      </c>
      <c r="D16" s="132">
        <v>16.223939744179855</v>
      </c>
      <c r="E16" s="132">
        <v>14.28160096277502</v>
      </c>
      <c r="F16" t="str">
        <f>VLOOKUP(B16,Sheet11!B$2:C$48,2,FALSE)</f>
        <v>COD</v>
      </c>
    </row>
    <row r="17" spans="1:6" x14ac:dyDescent="0.35">
      <c r="A17" t="s">
        <v>152</v>
      </c>
      <c r="B17" s="131" t="s">
        <v>14</v>
      </c>
      <c r="C17" s="132">
        <v>0</v>
      </c>
      <c r="D17" s="132">
        <v>4.4071882438586458</v>
      </c>
      <c r="E17" s="132">
        <v>10.634113902446874</v>
      </c>
      <c r="F17" t="str">
        <f>VLOOKUP(B17,Sheet11!B$2:C$48,2,FALSE)</f>
        <v>GNQ</v>
      </c>
    </row>
    <row r="18" spans="1:6" x14ac:dyDescent="0.35">
      <c r="A18" t="s">
        <v>153</v>
      </c>
      <c r="B18" s="131" t="s">
        <v>15</v>
      </c>
      <c r="C18" s="132">
        <v>13.451172154071436</v>
      </c>
      <c r="D18" s="132">
        <v>18.566922115433325</v>
      </c>
      <c r="E18" s="132">
        <v>16.774083760782815</v>
      </c>
      <c r="F18" t="str">
        <f>VLOOKUP(B18,Sheet11!B$2:C$48,2,FALSE)</f>
        <v>ERI</v>
      </c>
    </row>
    <row r="19" spans="1:6" x14ac:dyDescent="0.35">
      <c r="A19" t="s">
        <v>154</v>
      </c>
      <c r="B19" s="131" t="s">
        <v>16</v>
      </c>
      <c r="C19" s="132">
        <v>33.398341618089297</v>
      </c>
      <c r="D19" s="132">
        <v>47.999551889282181</v>
      </c>
      <c r="E19" s="132">
        <v>51.66268983905934</v>
      </c>
      <c r="F19" t="str">
        <f>VLOOKUP(B19,Sheet11!B$2:C$48,2,FALSE)</f>
        <v>SWZ</v>
      </c>
    </row>
    <row r="20" spans="1:6" x14ac:dyDescent="0.35">
      <c r="A20" t="s">
        <v>155</v>
      </c>
      <c r="B20" s="131" t="s">
        <v>17</v>
      </c>
      <c r="C20" s="132">
        <v>0.71329713375271953</v>
      </c>
      <c r="D20" s="132">
        <v>9.7927247683912508</v>
      </c>
      <c r="E20" s="132">
        <v>18.578792370715053</v>
      </c>
      <c r="F20" t="str">
        <f>VLOOKUP(B20,Sheet11!B$2:C$48,2,FALSE)</f>
        <v>ETH</v>
      </c>
    </row>
    <row r="21" spans="1:6" x14ac:dyDescent="0.35">
      <c r="A21" t="s">
        <v>156</v>
      </c>
      <c r="B21" s="131" t="s">
        <v>18</v>
      </c>
      <c r="C21" s="132">
        <v>2.2973079178531046</v>
      </c>
      <c r="D21" s="132">
        <v>39.060014055583196</v>
      </c>
      <c r="E21" s="132">
        <v>31.25849879805093</v>
      </c>
      <c r="F21" t="str">
        <f>VLOOKUP(B21,Sheet11!B$2:C$48,2,FALSE)</f>
        <v>GAB</v>
      </c>
    </row>
    <row r="22" spans="1:6" x14ac:dyDescent="0.35">
      <c r="A22" t="s">
        <v>158</v>
      </c>
      <c r="B22" s="131" t="s">
        <v>19</v>
      </c>
      <c r="C22" s="132">
        <v>14.019684502977714</v>
      </c>
      <c r="D22" s="132">
        <v>9.341836149347488</v>
      </c>
      <c r="E22" s="132">
        <v>8.1498514118713352</v>
      </c>
      <c r="F22" t="str">
        <f>VLOOKUP(B22,Sheet11!B$2:C$48,2,FALSE)</f>
        <v>GMB</v>
      </c>
    </row>
    <row r="23" spans="1:6" x14ac:dyDescent="0.35">
      <c r="A23" t="s">
        <v>159</v>
      </c>
      <c r="B23" s="131" t="s">
        <v>20</v>
      </c>
      <c r="C23" s="132">
        <v>18.681157033578607</v>
      </c>
      <c r="D23" s="132">
        <v>46.40817219195695</v>
      </c>
      <c r="E23" s="132">
        <v>48.030714224150685</v>
      </c>
      <c r="F23" t="str">
        <f>VLOOKUP(B23,Sheet11!B$2:C$48,2,FALSE)</f>
        <v>GHA</v>
      </c>
    </row>
    <row r="24" spans="1:6" x14ac:dyDescent="0.35">
      <c r="A24" t="s">
        <v>160</v>
      </c>
      <c r="B24" s="131" t="s">
        <v>21</v>
      </c>
      <c r="C24" s="132">
        <v>7.4850096287525645</v>
      </c>
      <c r="D24" s="132">
        <v>8.9017288876355476</v>
      </c>
      <c r="E24" s="132">
        <v>4.7602626385103033</v>
      </c>
      <c r="F24" t="str">
        <f>VLOOKUP(B24,Sheet11!B$2:C$48,2,FALSE)</f>
        <v>GIN</v>
      </c>
    </row>
    <row r="25" spans="1:6" x14ac:dyDescent="0.35">
      <c r="A25" t="s">
        <v>161</v>
      </c>
      <c r="B25" s="131" t="s">
        <v>22</v>
      </c>
      <c r="C25" s="132">
        <v>7.2684328251615025</v>
      </c>
      <c r="D25" s="132">
        <v>10.893763982473359</v>
      </c>
      <c r="E25" s="132">
        <v>12.878829589909351</v>
      </c>
      <c r="F25" t="str">
        <f>VLOOKUP(B25,Sheet11!B$2:C$48,2,FALSE)</f>
        <v>GNB</v>
      </c>
    </row>
    <row r="26" spans="1:6" x14ac:dyDescent="0.35">
      <c r="A26" t="s">
        <v>162</v>
      </c>
      <c r="B26" s="131" t="s">
        <v>23</v>
      </c>
      <c r="C26" s="132">
        <v>11.658459316104921</v>
      </c>
      <c r="D26" s="132">
        <v>14.413861393432555</v>
      </c>
      <c r="E26" s="132">
        <v>24.523813221222014</v>
      </c>
      <c r="F26" t="str">
        <f>VLOOKUP(B26,Sheet11!B$2:C$48,2,FALSE)</f>
        <v>KEN</v>
      </c>
    </row>
    <row r="27" spans="1:6" x14ac:dyDescent="0.35">
      <c r="A27" t="s">
        <v>163</v>
      </c>
      <c r="B27" s="131" t="s">
        <v>24</v>
      </c>
      <c r="C27" s="132">
        <v>0</v>
      </c>
      <c r="D27" s="132">
        <v>52.870382713145531</v>
      </c>
      <c r="E27" s="132">
        <v>22.993174843373964</v>
      </c>
      <c r="F27" t="str">
        <f>VLOOKUP(B27,Sheet11!B$2:C$48,2,FALSE)</f>
        <v>LSO</v>
      </c>
    </row>
    <row r="28" spans="1:6" x14ac:dyDescent="0.35">
      <c r="A28" t="s">
        <v>164</v>
      </c>
      <c r="B28" s="131" t="s">
        <v>25</v>
      </c>
      <c r="C28" s="132">
        <v>2.1999802363171792</v>
      </c>
      <c r="D28" s="132">
        <v>22.91287401641636</v>
      </c>
      <c r="E28" s="132">
        <v>13.444654516010845</v>
      </c>
      <c r="F28" t="str">
        <f>VLOOKUP(B28,Sheet11!B$2:C$48,2,FALSE)</f>
        <v>LBR</v>
      </c>
    </row>
    <row r="29" spans="1:6" x14ac:dyDescent="0.35">
      <c r="A29" t="s">
        <v>165</v>
      </c>
      <c r="B29" s="131" t="s">
        <v>26</v>
      </c>
      <c r="C29" s="132">
        <v>4.4467387300620373</v>
      </c>
      <c r="D29" s="132">
        <v>5.4640186234792782</v>
      </c>
      <c r="E29" s="132">
        <v>4.761050716296678</v>
      </c>
      <c r="F29" t="str">
        <f>VLOOKUP(B29,Sheet11!B$2:C$48,2,FALSE)</f>
        <v>MDG</v>
      </c>
    </row>
    <row r="30" spans="1:6" x14ac:dyDescent="0.35">
      <c r="A30" t="s">
        <v>166</v>
      </c>
      <c r="B30" s="134" t="s">
        <v>27</v>
      </c>
      <c r="C30" s="132">
        <v>2.4730455662233775</v>
      </c>
      <c r="D30" s="132">
        <v>6.2979495241776151</v>
      </c>
      <c r="E30" s="132">
        <v>6.0858545949756246</v>
      </c>
      <c r="F30" t="str">
        <f>VLOOKUP(B30,Sheet11!B$2:C$48,2,FALSE)</f>
        <v>MWI</v>
      </c>
    </row>
    <row r="31" spans="1:6" x14ac:dyDescent="0.35">
      <c r="A31" t="s">
        <v>167</v>
      </c>
      <c r="B31" s="134" t="s">
        <v>28</v>
      </c>
      <c r="C31" s="132">
        <v>4.8159164598162238</v>
      </c>
      <c r="D31" s="132">
        <v>6.4376483184910729</v>
      </c>
      <c r="E31" s="132">
        <v>6.4341278578313545</v>
      </c>
      <c r="F31" t="str">
        <f>VLOOKUP(B31,Sheet11!B$2:C$48,2,FALSE)</f>
        <v>MLI</v>
      </c>
    </row>
    <row r="32" spans="1:6" x14ac:dyDescent="0.35">
      <c r="A32" t="s">
        <v>168</v>
      </c>
      <c r="B32" s="131" t="s">
        <v>29</v>
      </c>
      <c r="C32" s="132">
        <v>12.920259078445698</v>
      </c>
      <c r="D32" s="132">
        <v>15.917722374831463</v>
      </c>
      <c r="E32" s="132">
        <v>19.794578938796668</v>
      </c>
      <c r="F32" t="str">
        <f>VLOOKUP(B32,Sheet11!B$2:C$48,2,FALSE)</f>
        <v>MRT</v>
      </c>
    </row>
    <row r="33" spans="1:6" x14ac:dyDescent="0.35">
      <c r="A33" t="s">
        <v>169</v>
      </c>
      <c r="B33" s="131" t="s">
        <v>30</v>
      </c>
      <c r="C33" s="132">
        <v>52.839892414260113</v>
      </c>
      <c r="D33" s="132">
        <v>72.905163459567675</v>
      </c>
      <c r="E33" s="132">
        <v>60.383936189147697</v>
      </c>
      <c r="F33" t="str">
        <f>VLOOKUP(B33,Sheet11!B$2:C$48,2,FALSE)</f>
        <v>MUS</v>
      </c>
    </row>
    <row r="34" spans="1:6" x14ac:dyDescent="0.35">
      <c r="A34" t="s">
        <v>170</v>
      </c>
      <c r="B34" s="131" t="s">
        <v>31</v>
      </c>
      <c r="C34" s="132">
        <v>5.5497185519677856</v>
      </c>
      <c r="D34" s="132">
        <v>6.6605767149290012</v>
      </c>
      <c r="E34" s="132">
        <v>12.362024638000094</v>
      </c>
      <c r="F34" t="str">
        <f>VLOOKUP(B34,Sheet11!B$2:C$48,2,FALSE)</f>
        <v>MOZ</v>
      </c>
    </row>
    <row r="35" spans="1:6" x14ac:dyDescent="0.35">
      <c r="A35" t="s">
        <v>171</v>
      </c>
      <c r="B35" s="131" t="s">
        <v>32</v>
      </c>
      <c r="C35" s="132">
        <v>18.952057373293837</v>
      </c>
      <c r="D35" s="132">
        <v>64.854830057441106</v>
      </c>
      <c r="E35" s="132">
        <v>72.50007161772831</v>
      </c>
      <c r="F35" t="str">
        <f>VLOOKUP(B35,Sheet11!B$2:C$48,2,FALSE)</f>
        <v>NAM</v>
      </c>
    </row>
    <row r="36" spans="1:6" x14ac:dyDescent="0.35">
      <c r="A36" t="s">
        <v>172</v>
      </c>
      <c r="B36" s="134" t="s">
        <v>33</v>
      </c>
      <c r="C36" s="132">
        <v>2.9362255771784778</v>
      </c>
      <c r="D36" s="132">
        <v>2.731976858986676</v>
      </c>
      <c r="E36" s="132">
        <v>2.3568659730003425</v>
      </c>
      <c r="F36" t="str">
        <f>VLOOKUP(B36,Sheet11!B$2:C$48,2,FALSE)</f>
        <v>NER</v>
      </c>
    </row>
    <row r="37" spans="1:6" x14ac:dyDescent="0.35">
      <c r="A37" t="s">
        <v>173</v>
      </c>
      <c r="B37" s="131" t="s">
        <v>34</v>
      </c>
      <c r="C37" s="132">
        <v>14.994266155054937</v>
      </c>
      <c r="D37" s="132">
        <v>22.251085637910265</v>
      </c>
      <c r="E37" s="132">
        <v>22.692099302180001</v>
      </c>
      <c r="F37" t="str">
        <f>VLOOKUP(B37,Sheet11!B$2:C$48,2,FALSE)</f>
        <v>NGA</v>
      </c>
    </row>
    <row r="38" spans="1:6" x14ac:dyDescent="0.35">
      <c r="A38" t="s">
        <v>174</v>
      </c>
      <c r="B38" s="134" t="s">
        <v>35</v>
      </c>
      <c r="C38" s="132">
        <v>10.441973743822771</v>
      </c>
      <c r="D38" s="132">
        <v>14.187099506595519</v>
      </c>
      <c r="E38" s="132">
        <v>13.401063461919398</v>
      </c>
      <c r="F38" t="str">
        <f>VLOOKUP(B38,Sheet11!B$2:C$48,2,FALSE)</f>
        <v>RWA</v>
      </c>
    </row>
    <row r="39" spans="1:6" x14ac:dyDescent="0.35">
      <c r="A39" t="s">
        <v>176</v>
      </c>
      <c r="B39" s="131" t="s">
        <v>36</v>
      </c>
      <c r="C39" s="132">
        <v>27.663516672946013</v>
      </c>
      <c r="D39" s="132">
        <v>26.449769096827922</v>
      </c>
      <c r="E39" s="132">
        <v>26.971849712707133</v>
      </c>
      <c r="F39" t="str">
        <f>VLOOKUP(B39,Sheet11!B$2:C$48,2,FALSE)</f>
        <v>STP</v>
      </c>
    </row>
    <row r="40" spans="1:6" x14ac:dyDescent="0.35">
      <c r="A40" t="s">
        <v>177</v>
      </c>
      <c r="B40" s="134" t="s">
        <v>37</v>
      </c>
      <c r="C40" s="132">
        <v>4.5573683566159886</v>
      </c>
      <c r="D40" s="132">
        <v>7.0151292697761525</v>
      </c>
      <c r="E40" s="132">
        <v>6.5171760234407232</v>
      </c>
      <c r="F40" t="str">
        <f>VLOOKUP(B40,Sheet11!B$2:C$48,2,FALSE)</f>
        <v>SEN</v>
      </c>
    </row>
    <row r="41" spans="1:6" x14ac:dyDescent="0.35">
      <c r="A41" t="s">
        <v>178</v>
      </c>
      <c r="B41" s="131" t="s">
        <v>38</v>
      </c>
      <c r="C41" s="132">
        <v>54.800752734867757</v>
      </c>
      <c r="D41" s="132">
        <v>195.92438482652926</v>
      </c>
      <c r="E41" s="132">
        <v>242.01401730513936</v>
      </c>
      <c r="F41" t="str">
        <f>VLOOKUP(B41,Sheet11!B$2:C$48,2,FALSE)</f>
        <v>SYC</v>
      </c>
    </row>
    <row r="42" spans="1:6" x14ac:dyDescent="0.35">
      <c r="A42" t="s">
        <v>179</v>
      </c>
      <c r="B42" s="131" t="s">
        <v>39</v>
      </c>
      <c r="C42" s="132">
        <v>11.906918137676456</v>
      </c>
      <c r="D42" s="132">
        <v>9.3114595445704076</v>
      </c>
      <c r="E42" s="132">
        <v>23.534133501916237</v>
      </c>
      <c r="F42" t="str">
        <f>VLOOKUP(B42,Sheet11!B$2:C$48,2,FALSE)</f>
        <v>SLE</v>
      </c>
    </row>
    <row r="43" spans="1:6" x14ac:dyDescent="0.35">
      <c r="A43" t="s">
        <v>180</v>
      </c>
      <c r="B43" s="131" t="s">
        <v>40</v>
      </c>
      <c r="C43" s="132">
        <v>16.720429532704841</v>
      </c>
      <c r="D43" s="132">
        <v>61.781000175533016</v>
      </c>
      <c r="E43" s="132">
        <v>78.187272031248852</v>
      </c>
      <c r="F43" t="str">
        <f>VLOOKUP(B43,Sheet11!B$2:C$48,2,FALSE)</f>
        <v>ZAF</v>
      </c>
    </row>
    <row r="44" spans="1:6" x14ac:dyDescent="0.35">
      <c r="A44" t="s">
        <v>181</v>
      </c>
      <c r="B44" s="131" t="s">
        <v>41</v>
      </c>
      <c r="C44" s="132">
        <v>0</v>
      </c>
      <c r="D44" s="132">
        <v>6.1691166210748785</v>
      </c>
      <c r="E44" s="132">
        <v>7.8959074273939986</v>
      </c>
      <c r="F44" t="str">
        <f>VLOOKUP(B44,Sheet11!B$2:C$48,2,FALSE)</f>
        <v>SSD</v>
      </c>
    </row>
    <row r="45" spans="1:6" x14ac:dyDescent="0.35">
      <c r="A45" t="s">
        <v>184</v>
      </c>
      <c r="B45" s="131" t="s">
        <v>42</v>
      </c>
      <c r="C45" s="132">
        <v>4.7513236254288476</v>
      </c>
      <c r="D45" s="132">
        <v>6.7766740907794407</v>
      </c>
      <c r="E45" s="132">
        <v>7.605590561668536</v>
      </c>
      <c r="F45" t="str">
        <f>VLOOKUP(B45,Sheet11!B$2:C$48,2,FALSE)</f>
        <v>TZA</v>
      </c>
    </row>
    <row r="46" spans="1:6" x14ac:dyDescent="0.35">
      <c r="A46" t="s">
        <v>182</v>
      </c>
      <c r="B46" s="131" t="s">
        <v>43</v>
      </c>
      <c r="C46" s="132">
        <v>3.5630712154083408</v>
      </c>
      <c r="D46" s="132">
        <v>5.1412514405011063</v>
      </c>
      <c r="E46" s="132">
        <v>6.3003257177536511</v>
      </c>
      <c r="F46" t="str">
        <f>VLOOKUP(B46,Sheet11!B$2:C$48,2,FALSE)</f>
        <v>TGO</v>
      </c>
    </row>
    <row r="47" spans="1:6" x14ac:dyDescent="0.35">
      <c r="A47" t="s">
        <v>183</v>
      </c>
      <c r="B47" s="131" t="s">
        <v>44</v>
      </c>
      <c r="C47" s="132">
        <v>14.740498339124736</v>
      </c>
      <c r="D47" s="132">
        <v>18.773758505730214</v>
      </c>
      <c r="E47" s="132">
        <v>25.677639566139653</v>
      </c>
      <c r="F47" t="str">
        <f>VLOOKUP(B47,Sheet11!B$2:C$48,2,FALSE)</f>
        <v>UGA</v>
      </c>
    </row>
    <row r="48" spans="1:6" x14ac:dyDescent="0.35">
      <c r="A48" t="s">
        <v>185</v>
      </c>
      <c r="B48" s="131" t="s">
        <v>45</v>
      </c>
      <c r="C48" s="132">
        <v>2.8080123001178361</v>
      </c>
      <c r="D48" s="132">
        <v>17.258457426269619</v>
      </c>
      <c r="E48" s="132">
        <v>34.960104008082851</v>
      </c>
      <c r="F48" t="str">
        <f>VLOOKUP(B48,Sheet11!B$2:C$48,2,FALSE)</f>
        <v>ZMB</v>
      </c>
    </row>
    <row r="49" spans="1:6" x14ac:dyDescent="0.35">
      <c r="A49" t="s">
        <v>186</v>
      </c>
      <c r="B49" s="131" t="s">
        <v>46</v>
      </c>
      <c r="C49" s="132">
        <v>15.601137891580859</v>
      </c>
      <c r="D49" s="132">
        <v>23.66965484875815</v>
      </c>
      <c r="E49" s="132">
        <v>38.14728630825762</v>
      </c>
      <c r="F49" t="str">
        <f>VLOOKUP(B49,Sheet11!B$2:C$48,2,FALSE)</f>
        <v>ZWE</v>
      </c>
    </row>
  </sheetData>
  <mergeCells count="1">
    <mergeCell ref="C1:E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17CB-2212-4226-963A-ABE9CF49F553}">
  <dimension ref="A1:C48"/>
  <sheetViews>
    <sheetView topLeftCell="A4" workbookViewId="0">
      <selection activeCell="B10" sqref="B10"/>
    </sheetView>
  </sheetViews>
  <sheetFormatPr defaultRowHeight="14.5" x14ac:dyDescent="0.35"/>
  <sheetData>
    <row r="1" spans="1:3" ht="29" x14ac:dyDescent="0.35">
      <c r="A1" s="9" t="s">
        <v>284</v>
      </c>
      <c r="B1" s="9" t="s">
        <v>0</v>
      </c>
      <c r="C1" s="9" t="s">
        <v>284</v>
      </c>
    </row>
    <row r="2" spans="1:3" x14ac:dyDescent="0.35">
      <c r="A2" t="s">
        <v>137</v>
      </c>
      <c r="B2" t="s">
        <v>2</v>
      </c>
      <c r="C2" t="s">
        <v>137</v>
      </c>
    </row>
    <row r="3" spans="1:3" x14ac:dyDescent="0.35">
      <c r="A3" t="s">
        <v>141</v>
      </c>
      <c r="B3" t="s">
        <v>6</v>
      </c>
      <c r="C3" t="s">
        <v>141</v>
      </c>
    </row>
    <row r="4" spans="1:3" x14ac:dyDescent="0.35">
      <c r="A4" t="s">
        <v>138</v>
      </c>
      <c r="B4" t="s">
        <v>3</v>
      </c>
      <c r="C4" t="s">
        <v>138</v>
      </c>
    </row>
    <row r="5" spans="1:3" x14ac:dyDescent="0.35">
      <c r="A5" t="s">
        <v>140</v>
      </c>
      <c r="B5" t="s">
        <v>5</v>
      </c>
      <c r="C5" t="s">
        <v>140</v>
      </c>
    </row>
    <row r="6" spans="1:3" x14ac:dyDescent="0.35">
      <c r="A6" t="s">
        <v>139</v>
      </c>
      <c r="B6" t="s">
        <v>4</v>
      </c>
      <c r="C6" t="s">
        <v>139</v>
      </c>
    </row>
    <row r="7" spans="1:3" x14ac:dyDescent="0.35">
      <c r="A7" t="s">
        <v>144</v>
      </c>
      <c r="B7" t="s">
        <v>8</v>
      </c>
      <c r="C7" t="s">
        <v>144</v>
      </c>
    </row>
    <row r="8" spans="1:3" x14ac:dyDescent="0.35">
      <c r="A8" t="s">
        <v>150</v>
      </c>
      <c r="B8" t="s">
        <v>12</v>
      </c>
      <c r="C8" t="s">
        <v>150</v>
      </c>
    </row>
    <row r="9" spans="1:3" x14ac:dyDescent="0.35">
      <c r="A9" t="s">
        <v>143</v>
      </c>
      <c r="B9" t="s">
        <v>7</v>
      </c>
      <c r="C9" t="s">
        <v>143</v>
      </c>
    </row>
    <row r="10" spans="1:3" x14ac:dyDescent="0.35">
      <c r="A10" t="s">
        <v>151</v>
      </c>
      <c r="B10" t="s">
        <v>82</v>
      </c>
      <c r="C10" t="s">
        <v>151</v>
      </c>
    </row>
    <row r="11" spans="1:3" x14ac:dyDescent="0.35">
      <c r="A11" t="s">
        <v>148</v>
      </c>
      <c r="B11" t="s">
        <v>11</v>
      </c>
      <c r="C11" t="s">
        <v>148</v>
      </c>
    </row>
    <row r="12" spans="1:3" x14ac:dyDescent="0.35">
      <c r="A12" t="s">
        <v>146</v>
      </c>
      <c r="B12" t="s">
        <v>10</v>
      </c>
      <c r="C12" t="s">
        <v>146</v>
      </c>
    </row>
    <row r="13" spans="1:3" x14ac:dyDescent="0.35">
      <c r="A13" t="s">
        <v>142</v>
      </c>
      <c r="B13" t="s">
        <v>60</v>
      </c>
      <c r="C13" t="s">
        <v>142</v>
      </c>
    </row>
    <row r="14" spans="1:3" x14ac:dyDescent="0.35">
      <c r="A14" t="s">
        <v>136</v>
      </c>
      <c r="B14" t="s">
        <v>1</v>
      </c>
      <c r="C14" t="s">
        <v>136</v>
      </c>
    </row>
    <row r="15" spans="1:3" x14ac:dyDescent="0.35">
      <c r="A15" t="s">
        <v>153</v>
      </c>
      <c r="B15" t="s">
        <v>15</v>
      </c>
      <c r="C15" t="s">
        <v>153</v>
      </c>
    </row>
    <row r="16" spans="1:3" x14ac:dyDescent="0.35">
      <c r="A16" t="s">
        <v>155</v>
      </c>
      <c r="B16" t="s">
        <v>17</v>
      </c>
      <c r="C16" t="s">
        <v>155</v>
      </c>
    </row>
    <row r="17" spans="1:3" x14ac:dyDescent="0.35">
      <c r="A17" t="s">
        <v>156</v>
      </c>
      <c r="B17" t="s">
        <v>18</v>
      </c>
      <c r="C17" t="s">
        <v>156</v>
      </c>
    </row>
    <row r="18" spans="1:3" x14ac:dyDescent="0.35">
      <c r="A18" t="s">
        <v>159</v>
      </c>
      <c r="B18" t="s">
        <v>20</v>
      </c>
      <c r="C18" t="s">
        <v>159</v>
      </c>
    </row>
    <row r="19" spans="1:3" x14ac:dyDescent="0.35">
      <c r="A19" t="s">
        <v>160</v>
      </c>
      <c r="B19" t="s">
        <v>21</v>
      </c>
      <c r="C19" t="s">
        <v>160</v>
      </c>
    </row>
    <row r="20" spans="1:3" x14ac:dyDescent="0.35">
      <c r="A20" t="s">
        <v>158</v>
      </c>
      <c r="B20" t="s">
        <v>19</v>
      </c>
      <c r="C20" t="s">
        <v>158</v>
      </c>
    </row>
    <row r="21" spans="1:3" x14ac:dyDescent="0.35">
      <c r="A21" t="s">
        <v>161</v>
      </c>
      <c r="B21" t="s">
        <v>22</v>
      </c>
      <c r="C21" t="s">
        <v>161</v>
      </c>
    </row>
    <row r="22" spans="1:3" x14ac:dyDescent="0.35">
      <c r="A22" t="s">
        <v>152</v>
      </c>
      <c r="B22" t="s">
        <v>14</v>
      </c>
      <c r="C22" t="s">
        <v>152</v>
      </c>
    </row>
    <row r="23" spans="1:3" x14ac:dyDescent="0.35">
      <c r="A23" t="s">
        <v>162</v>
      </c>
      <c r="B23" t="s">
        <v>23</v>
      </c>
      <c r="C23" t="s">
        <v>162</v>
      </c>
    </row>
    <row r="24" spans="1:3" x14ac:dyDescent="0.35">
      <c r="A24" t="s">
        <v>164</v>
      </c>
      <c r="B24" t="s">
        <v>25</v>
      </c>
      <c r="C24" t="s">
        <v>164</v>
      </c>
    </row>
    <row r="25" spans="1:3" x14ac:dyDescent="0.35">
      <c r="A25" t="s">
        <v>163</v>
      </c>
      <c r="B25" t="s">
        <v>24</v>
      </c>
      <c r="C25" t="s">
        <v>163</v>
      </c>
    </row>
    <row r="26" spans="1:3" x14ac:dyDescent="0.35">
      <c r="A26" t="s">
        <v>165</v>
      </c>
      <c r="B26" t="s">
        <v>26</v>
      </c>
      <c r="C26" t="s">
        <v>165</v>
      </c>
    </row>
    <row r="27" spans="1:3" x14ac:dyDescent="0.35">
      <c r="A27" t="s">
        <v>167</v>
      </c>
      <c r="B27" t="s">
        <v>28</v>
      </c>
      <c r="C27" t="s">
        <v>167</v>
      </c>
    </row>
    <row r="28" spans="1:3" x14ac:dyDescent="0.35">
      <c r="A28" t="s">
        <v>170</v>
      </c>
      <c r="B28" t="s">
        <v>31</v>
      </c>
      <c r="C28" t="s">
        <v>170</v>
      </c>
    </row>
    <row r="29" spans="1:3" x14ac:dyDescent="0.35">
      <c r="A29" t="s">
        <v>168</v>
      </c>
      <c r="B29" t="s">
        <v>29</v>
      </c>
      <c r="C29" t="s">
        <v>168</v>
      </c>
    </row>
    <row r="30" spans="1:3" x14ac:dyDescent="0.35">
      <c r="A30" t="s">
        <v>169</v>
      </c>
      <c r="B30" t="s">
        <v>30</v>
      </c>
      <c r="C30" t="s">
        <v>169</v>
      </c>
    </row>
    <row r="31" spans="1:3" x14ac:dyDescent="0.35">
      <c r="A31" t="s">
        <v>166</v>
      </c>
      <c r="B31" t="s">
        <v>27</v>
      </c>
      <c r="C31" t="s">
        <v>166</v>
      </c>
    </row>
    <row r="32" spans="1:3" x14ac:dyDescent="0.35">
      <c r="A32" t="s">
        <v>171</v>
      </c>
      <c r="B32" t="s">
        <v>32</v>
      </c>
      <c r="C32" t="s">
        <v>171</v>
      </c>
    </row>
    <row r="33" spans="1:3" x14ac:dyDescent="0.35">
      <c r="A33" t="s">
        <v>172</v>
      </c>
      <c r="B33" t="s">
        <v>33</v>
      </c>
      <c r="C33" t="s">
        <v>172</v>
      </c>
    </row>
    <row r="34" spans="1:3" x14ac:dyDescent="0.35">
      <c r="A34" t="s">
        <v>173</v>
      </c>
      <c r="B34" t="s">
        <v>34</v>
      </c>
      <c r="C34" t="s">
        <v>173</v>
      </c>
    </row>
    <row r="35" spans="1:3" x14ac:dyDescent="0.35">
      <c r="A35" t="s">
        <v>174</v>
      </c>
      <c r="B35" t="s">
        <v>35</v>
      </c>
      <c r="C35" t="s">
        <v>174</v>
      </c>
    </row>
    <row r="36" spans="1:3" x14ac:dyDescent="0.35">
      <c r="A36" t="s">
        <v>177</v>
      </c>
      <c r="B36" t="s">
        <v>37</v>
      </c>
      <c r="C36" t="s">
        <v>177</v>
      </c>
    </row>
    <row r="37" spans="1:3" x14ac:dyDescent="0.35">
      <c r="A37" t="s">
        <v>179</v>
      </c>
      <c r="B37" t="s">
        <v>39</v>
      </c>
      <c r="C37" t="s">
        <v>179</v>
      </c>
    </row>
    <row r="38" spans="1:3" x14ac:dyDescent="0.35">
      <c r="A38" t="s">
        <v>181</v>
      </c>
      <c r="B38" t="s">
        <v>41</v>
      </c>
      <c r="C38" t="s">
        <v>181</v>
      </c>
    </row>
    <row r="39" spans="1:3" x14ac:dyDescent="0.35">
      <c r="A39" t="s">
        <v>176</v>
      </c>
      <c r="B39" t="s">
        <v>36</v>
      </c>
      <c r="C39" t="s">
        <v>176</v>
      </c>
    </row>
    <row r="40" spans="1:3" x14ac:dyDescent="0.35">
      <c r="A40" t="s">
        <v>154</v>
      </c>
      <c r="B40" t="s">
        <v>16</v>
      </c>
      <c r="C40" t="s">
        <v>154</v>
      </c>
    </row>
    <row r="41" spans="1:3" x14ac:dyDescent="0.35">
      <c r="A41" t="s">
        <v>178</v>
      </c>
      <c r="B41" t="s">
        <v>38</v>
      </c>
      <c r="C41" t="s">
        <v>178</v>
      </c>
    </row>
    <row r="42" spans="1:3" x14ac:dyDescent="0.35">
      <c r="A42" t="s">
        <v>145</v>
      </c>
      <c r="B42" t="s">
        <v>9</v>
      </c>
      <c r="C42" t="s">
        <v>145</v>
      </c>
    </row>
    <row r="43" spans="1:3" x14ac:dyDescent="0.35">
      <c r="A43" t="s">
        <v>182</v>
      </c>
      <c r="B43" t="s">
        <v>43</v>
      </c>
      <c r="C43" t="s">
        <v>182</v>
      </c>
    </row>
    <row r="44" spans="1:3" x14ac:dyDescent="0.35">
      <c r="A44" t="s">
        <v>184</v>
      </c>
      <c r="B44" t="s">
        <v>42</v>
      </c>
      <c r="C44" t="s">
        <v>184</v>
      </c>
    </row>
    <row r="45" spans="1:3" x14ac:dyDescent="0.35">
      <c r="A45" t="s">
        <v>183</v>
      </c>
      <c r="B45" t="s">
        <v>44</v>
      </c>
      <c r="C45" t="s">
        <v>183</v>
      </c>
    </row>
    <row r="46" spans="1:3" x14ac:dyDescent="0.35">
      <c r="A46" t="s">
        <v>180</v>
      </c>
      <c r="B46" t="s">
        <v>40</v>
      </c>
      <c r="C46" t="s">
        <v>180</v>
      </c>
    </row>
    <row r="47" spans="1:3" x14ac:dyDescent="0.35">
      <c r="A47" t="s">
        <v>185</v>
      </c>
      <c r="B47" t="s">
        <v>45</v>
      </c>
      <c r="C47" t="s">
        <v>185</v>
      </c>
    </row>
    <row r="48" spans="1:3" x14ac:dyDescent="0.35">
      <c r="A48" t="s">
        <v>186</v>
      </c>
      <c r="B48" t="s">
        <v>46</v>
      </c>
      <c r="C48" t="s">
        <v>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EE58-5A57-4CC3-9ABA-2AFC05FECB76}">
  <dimension ref="A1:D48"/>
  <sheetViews>
    <sheetView topLeftCell="A13" workbookViewId="0">
      <selection activeCell="C2" sqref="C2"/>
    </sheetView>
  </sheetViews>
  <sheetFormatPr defaultRowHeight="14.5" x14ac:dyDescent="0.35"/>
  <cols>
    <col min="2" max="2" width="20.90625" bestFit="1" customWidth="1"/>
    <col min="3" max="3" width="23.6328125" bestFit="1" customWidth="1"/>
  </cols>
  <sheetData>
    <row r="1" spans="1:4" x14ac:dyDescent="0.35">
      <c r="A1" t="s">
        <v>296</v>
      </c>
      <c r="B1" t="s">
        <v>0</v>
      </c>
      <c r="C1" t="s">
        <v>295</v>
      </c>
    </row>
    <row r="2" spans="1:4" x14ac:dyDescent="0.35">
      <c r="A2" t="s">
        <v>136</v>
      </c>
      <c r="B2" t="s">
        <v>1</v>
      </c>
      <c r="C2">
        <v>40.15034554867718</v>
      </c>
      <c r="D2" t="str">
        <f>VLOOKUP(B2,Sheet11!B$2:C$48,2,FALSE)</f>
        <v>DZA</v>
      </c>
    </row>
    <row r="3" spans="1:4" x14ac:dyDescent="0.35">
      <c r="A3" t="s">
        <v>137</v>
      </c>
      <c r="B3" t="s">
        <v>2</v>
      </c>
      <c r="C3">
        <v>21.189238630023297</v>
      </c>
      <c r="D3" t="str">
        <f>VLOOKUP(B3,Sheet11!B$2:C$48,2,FALSE)</f>
        <v>AGO</v>
      </c>
    </row>
    <row r="4" spans="1:4" x14ac:dyDescent="0.35">
      <c r="A4" t="s">
        <v>138</v>
      </c>
      <c r="B4" t="s">
        <v>3</v>
      </c>
      <c r="C4">
        <v>6.3664244614488705</v>
      </c>
      <c r="D4" t="str">
        <f>VLOOKUP(B4,Sheet11!B$2:C$48,2,FALSE)</f>
        <v>BEN</v>
      </c>
    </row>
    <row r="5" spans="1:4" x14ac:dyDescent="0.35">
      <c r="A5" t="s">
        <v>139</v>
      </c>
      <c r="B5" t="s">
        <v>4</v>
      </c>
      <c r="C5">
        <v>34.292718386067548</v>
      </c>
      <c r="D5" t="str">
        <f>VLOOKUP(B5,Sheet11!B$2:C$48,2,FALSE)</f>
        <v>BWA</v>
      </c>
    </row>
    <row r="6" spans="1:4" x14ac:dyDescent="0.35">
      <c r="A6" t="s">
        <v>140</v>
      </c>
      <c r="B6" t="s">
        <v>5</v>
      </c>
      <c r="C6">
        <v>7.6229079232639005</v>
      </c>
      <c r="D6" t="str">
        <f>VLOOKUP(B6,Sheet11!B$2:C$48,2,FALSE)</f>
        <v>BFA</v>
      </c>
    </row>
    <row r="7" spans="1:4" x14ac:dyDescent="0.35">
      <c r="A7" t="s">
        <v>141</v>
      </c>
      <c r="B7" t="s">
        <v>6</v>
      </c>
      <c r="C7">
        <v>8.0583415905400297</v>
      </c>
      <c r="D7" t="str">
        <f>VLOOKUP(B7,Sheet11!B$2:C$48,2,FALSE)</f>
        <v>BDI</v>
      </c>
    </row>
    <row r="8" spans="1:4" x14ac:dyDescent="0.35">
      <c r="A8" t="s">
        <v>143</v>
      </c>
      <c r="B8" t="s">
        <v>7</v>
      </c>
      <c r="C8">
        <v>7.2478366244770029</v>
      </c>
      <c r="D8" t="str">
        <f>VLOOKUP(B8,Sheet11!B$2:C$48,2,FALSE)</f>
        <v>CMR</v>
      </c>
    </row>
    <row r="9" spans="1:4" x14ac:dyDescent="0.35">
      <c r="A9" t="s">
        <v>142</v>
      </c>
      <c r="B9" t="s">
        <v>60</v>
      </c>
      <c r="C9">
        <v>60.440074551188182</v>
      </c>
      <c r="D9" t="str">
        <f>VLOOKUP(B9,Sheet11!B$2:C$48,2,FALSE)</f>
        <v>CPV</v>
      </c>
    </row>
    <row r="10" spans="1:4" x14ac:dyDescent="0.35">
      <c r="A10" t="s">
        <v>144</v>
      </c>
      <c r="B10" t="s">
        <v>8</v>
      </c>
      <c r="C10">
        <v>1.42471640503089</v>
      </c>
      <c r="D10" t="str">
        <f>VLOOKUP(B10,Sheet11!B$2:C$48,2,FALSE)</f>
        <v>CAF</v>
      </c>
    </row>
    <row r="11" spans="1:4" x14ac:dyDescent="0.35">
      <c r="A11" t="s">
        <v>145</v>
      </c>
      <c r="B11" t="s">
        <v>9</v>
      </c>
      <c r="C11">
        <v>2.761420125367863</v>
      </c>
      <c r="D11" t="str">
        <f>VLOOKUP(B11,Sheet11!B$2:C$48,2,FALSE)</f>
        <v>TCD</v>
      </c>
    </row>
    <row r="12" spans="1:4" x14ac:dyDescent="0.35">
      <c r="A12" t="s">
        <v>146</v>
      </c>
      <c r="B12" t="s">
        <v>10</v>
      </c>
      <c r="C12">
        <v>13.611460856143795</v>
      </c>
      <c r="D12" t="str">
        <f>VLOOKUP(B12,Sheet11!B$2:C$48,2,FALSE)</f>
        <v>COM</v>
      </c>
    </row>
    <row r="13" spans="1:4" x14ac:dyDescent="0.35">
      <c r="A13" t="s">
        <v>148</v>
      </c>
      <c r="B13" t="s">
        <v>11</v>
      </c>
      <c r="C13">
        <v>11.079615116112354</v>
      </c>
      <c r="D13" t="str">
        <f>VLOOKUP(B13,Sheet11!B$2:C$48,2,FALSE)</f>
        <v>COG</v>
      </c>
    </row>
    <row r="14" spans="1:4" x14ac:dyDescent="0.35">
      <c r="A14" t="s">
        <v>150</v>
      </c>
      <c r="B14" t="s">
        <v>12</v>
      </c>
      <c r="C14">
        <v>9.0739677579923601</v>
      </c>
      <c r="D14" t="str">
        <f>VLOOKUP(B14,Sheet11!B$2:C$48,2,FALSE)</f>
        <v>CIV</v>
      </c>
    </row>
    <row r="15" spans="1:4" x14ac:dyDescent="0.35">
      <c r="A15" t="s">
        <v>151</v>
      </c>
      <c r="B15" t="s">
        <v>82</v>
      </c>
      <c r="C15">
        <v>13.797158490996726</v>
      </c>
      <c r="D15" t="str">
        <f>VLOOKUP(B15,Sheet11!B$2:C$48,2,FALSE)</f>
        <v>COD</v>
      </c>
    </row>
    <row r="16" spans="1:4" x14ac:dyDescent="0.35">
      <c r="A16" t="s">
        <v>152</v>
      </c>
      <c r="B16" t="s">
        <v>14</v>
      </c>
      <c r="C16">
        <v>9.8493909874009749</v>
      </c>
      <c r="D16" t="str">
        <f>VLOOKUP(B16,Sheet11!B$2:C$48,2,FALSE)</f>
        <v>GNQ</v>
      </c>
    </row>
    <row r="17" spans="1:4" x14ac:dyDescent="0.35">
      <c r="A17" t="s">
        <v>153</v>
      </c>
      <c r="B17" t="s">
        <v>15</v>
      </c>
      <c r="C17">
        <v>14.402204887562185</v>
      </c>
      <c r="D17" t="str">
        <f>VLOOKUP(B17,Sheet11!B$2:C$48,2,FALSE)</f>
        <v>ERI</v>
      </c>
    </row>
    <row r="18" spans="1:4" x14ac:dyDescent="0.35">
      <c r="A18" t="s">
        <v>154</v>
      </c>
      <c r="B18" t="s">
        <v>16</v>
      </c>
      <c r="C18">
        <v>49.339648431079915</v>
      </c>
      <c r="D18" t="str">
        <f>VLOOKUP(B18,Sheet11!B$2:C$48,2,FALSE)</f>
        <v>SWZ</v>
      </c>
    </row>
    <row r="19" spans="1:4" x14ac:dyDescent="0.35">
      <c r="A19" t="s">
        <v>155</v>
      </c>
      <c r="B19" t="s">
        <v>17</v>
      </c>
      <c r="C19">
        <v>12.563064909315935</v>
      </c>
      <c r="D19" t="str">
        <f>VLOOKUP(B19,Sheet11!B$2:C$48,2,FALSE)</f>
        <v>ETH</v>
      </c>
    </row>
    <row r="20" spans="1:4" x14ac:dyDescent="0.35">
      <c r="A20" t="s">
        <v>156</v>
      </c>
      <c r="B20" t="s">
        <v>18</v>
      </c>
      <c r="C20">
        <v>25.186306352665916</v>
      </c>
      <c r="D20" t="str">
        <f>VLOOKUP(B20,Sheet11!B$2:C$48,2,FALSE)</f>
        <v>GAB</v>
      </c>
    </row>
    <row r="21" spans="1:4" x14ac:dyDescent="0.35">
      <c r="A21" t="s">
        <v>158</v>
      </c>
      <c r="B21" t="s">
        <v>19</v>
      </c>
      <c r="C21">
        <v>6.294441731697038</v>
      </c>
      <c r="D21" t="str">
        <f>VLOOKUP(B21,Sheet11!B$2:C$48,2,FALSE)</f>
        <v>GMB</v>
      </c>
    </row>
    <row r="22" spans="1:4" x14ac:dyDescent="0.35">
      <c r="A22" t="s">
        <v>159</v>
      </c>
      <c r="B22" t="s">
        <v>20</v>
      </c>
      <c r="C22">
        <v>38.514391127775333</v>
      </c>
      <c r="D22" t="str">
        <f>VLOOKUP(B22,Sheet11!B$2:C$48,2,FALSE)</f>
        <v>GHA</v>
      </c>
    </row>
    <row r="23" spans="1:4" x14ac:dyDescent="0.35">
      <c r="A23" t="s">
        <v>160</v>
      </c>
      <c r="B23" t="s">
        <v>21</v>
      </c>
      <c r="C23">
        <v>3.8676651873228853</v>
      </c>
      <c r="D23" t="str">
        <f>VLOOKUP(B23,Sheet11!B$2:C$48,2,FALSE)</f>
        <v>GIN</v>
      </c>
    </row>
    <row r="24" spans="1:4" x14ac:dyDescent="0.35">
      <c r="A24" t="s">
        <v>161</v>
      </c>
      <c r="B24" t="s">
        <v>22</v>
      </c>
      <c r="C24">
        <v>11.445256698300556</v>
      </c>
      <c r="D24" t="str">
        <f>VLOOKUP(B24,Sheet11!B$2:C$48,2,FALSE)</f>
        <v>GNB</v>
      </c>
    </row>
    <row r="25" spans="1:4" x14ac:dyDescent="0.35">
      <c r="A25" t="s">
        <v>162</v>
      </c>
      <c r="B25" t="s">
        <v>23</v>
      </c>
      <c r="C25">
        <v>22.664574423015459</v>
      </c>
      <c r="D25" t="str">
        <f>VLOOKUP(B25,Sheet11!B$2:C$48,2,FALSE)</f>
        <v>KEN</v>
      </c>
    </row>
    <row r="26" spans="1:4" x14ac:dyDescent="0.35">
      <c r="A26" t="s">
        <v>163</v>
      </c>
      <c r="B26" t="s">
        <v>24</v>
      </c>
      <c r="C26">
        <v>7.6852732858695818</v>
      </c>
      <c r="D26" t="str">
        <f>VLOOKUP(B26,Sheet11!B$2:C$48,2,FALSE)</f>
        <v>LSO</v>
      </c>
    </row>
    <row r="27" spans="1:4" x14ac:dyDescent="0.35">
      <c r="A27" t="s">
        <v>164</v>
      </c>
      <c r="B27" t="s">
        <v>25</v>
      </c>
      <c r="C27">
        <v>10.141653417174114</v>
      </c>
      <c r="D27" t="str">
        <f>VLOOKUP(B27,Sheet11!B$2:C$48,2,FALSE)</f>
        <v>LBR</v>
      </c>
    </row>
    <row r="28" spans="1:4" x14ac:dyDescent="0.35">
      <c r="A28" t="s">
        <v>165</v>
      </c>
      <c r="B28" t="s">
        <v>26</v>
      </c>
      <c r="C28">
        <v>3.3061240561758769</v>
      </c>
      <c r="D28" t="str">
        <f>VLOOKUP(B28,Sheet11!B$2:C$48,2,FALSE)</f>
        <v>MDG</v>
      </c>
    </row>
    <row r="29" spans="1:4" x14ac:dyDescent="0.35">
      <c r="A29" t="s">
        <v>166</v>
      </c>
      <c r="B29" t="s">
        <v>27</v>
      </c>
      <c r="C29">
        <v>5.2415574025453457</v>
      </c>
      <c r="D29" t="str">
        <f>VLOOKUP(B29,Sheet11!B$2:C$48,2,FALSE)</f>
        <v>MWI</v>
      </c>
    </row>
    <row r="30" spans="1:4" x14ac:dyDescent="0.35">
      <c r="A30" t="s">
        <v>167</v>
      </c>
      <c r="B30" t="s">
        <v>28</v>
      </c>
      <c r="C30">
        <v>4.7486918911803722</v>
      </c>
      <c r="D30" t="str">
        <f>VLOOKUP(B30,Sheet11!B$2:C$48,2,FALSE)</f>
        <v>MLI</v>
      </c>
    </row>
    <row r="31" spans="1:4" x14ac:dyDescent="0.35">
      <c r="A31" t="s">
        <v>168</v>
      </c>
      <c r="B31" t="s">
        <v>29</v>
      </c>
      <c r="C31">
        <v>16.418510297753695</v>
      </c>
      <c r="D31" t="str">
        <f>VLOOKUP(B31,Sheet11!B$2:C$48,2,FALSE)</f>
        <v>MRT</v>
      </c>
    </row>
    <row r="32" spans="1:4" x14ac:dyDescent="0.35">
      <c r="A32" t="s">
        <v>169</v>
      </c>
      <c r="B32" t="s">
        <v>30</v>
      </c>
      <c r="C32">
        <v>49.501251988132395</v>
      </c>
      <c r="D32" t="str">
        <f>VLOOKUP(B32,Sheet11!B$2:C$48,2,FALSE)</f>
        <v>MUS</v>
      </c>
    </row>
    <row r="33" spans="1:4" x14ac:dyDescent="0.35">
      <c r="A33" t="s">
        <v>170</v>
      </c>
      <c r="B33" t="s">
        <v>31</v>
      </c>
      <c r="C33">
        <v>6.9418666214370077</v>
      </c>
      <c r="D33" t="str">
        <f>VLOOKUP(B33,Sheet11!B$2:C$48,2,FALSE)</f>
        <v>MOZ</v>
      </c>
    </row>
    <row r="34" spans="1:4" x14ac:dyDescent="0.35">
      <c r="A34" t="s">
        <v>171</v>
      </c>
      <c r="B34" t="s">
        <v>32</v>
      </c>
      <c r="C34">
        <v>66.829911127697898</v>
      </c>
      <c r="D34" t="str">
        <f>VLOOKUP(B34,Sheet11!B$2:C$48,2,FALSE)</f>
        <v>NAM</v>
      </c>
    </row>
    <row r="35" spans="1:4" x14ac:dyDescent="0.35">
      <c r="A35" t="s">
        <v>172</v>
      </c>
      <c r="B35" t="s">
        <v>33</v>
      </c>
      <c r="C35">
        <v>2.011093594964394</v>
      </c>
      <c r="D35" t="str">
        <f>VLOOKUP(B35,Sheet11!B$2:C$48,2,FALSE)</f>
        <v>NER</v>
      </c>
    </row>
    <row r="36" spans="1:4" x14ac:dyDescent="0.35">
      <c r="A36" t="s">
        <v>173</v>
      </c>
      <c r="B36" t="s">
        <v>34</v>
      </c>
      <c r="C36">
        <v>14.041379101625415</v>
      </c>
      <c r="D36" t="str">
        <f>VLOOKUP(B36,Sheet11!B$2:C$48,2,FALSE)</f>
        <v>NGA</v>
      </c>
    </row>
    <row r="37" spans="1:4" x14ac:dyDescent="0.35">
      <c r="A37" t="s">
        <v>174</v>
      </c>
      <c r="B37" t="s">
        <v>35</v>
      </c>
      <c r="C37">
        <v>10.996278135102138</v>
      </c>
      <c r="D37" t="str">
        <f>VLOOKUP(B37,Sheet11!B$2:C$48,2,FALSE)</f>
        <v>RWA</v>
      </c>
    </row>
    <row r="38" spans="1:4" x14ac:dyDescent="0.35">
      <c r="A38" t="s">
        <v>176</v>
      </c>
      <c r="B38" t="s">
        <v>36</v>
      </c>
      <c r="C38">
        <v>23.968739486189389</v>
      </c>
      <c r="D38" t="str">
        <f>VLOOKUP(B38,Sheet11!B$2:C$48,2,FALSE)</f>
        <v>STP</v>
      </c>
    </row>
    <row r="39" spans="1:4" x14ac:dyDescent="0.35">
      <c r="A39" t="s">
        <v>177</v>
      </c>
      <c r="B39" t="s">
        <v>37</v>
      </c>
      <c r="C39">
        <v>4.2144104174203356</v>
      </c>
      <c r="D39" t="str">
        <f>VLOOKUP(B39,Sheet11!B$2:C$48,2,FALSE)</f>
        <v>SEN</v>
      </c>
    </row>
    <row r="40" spans="1:4" x14ac:dyDescent="0.35">
      <c r="A40" t="s">
        <v>178</v>
      </c>
      <c r="B40" t="s">
        <v>38</v>
      </c>
      <c r="C40">
        <v>196.51134024468229</v>
      </c>
      <c r="D40" t="str">
        <f>VLOOKUP(B40,Sheet11!B$2:C$48,2,FALSE)</f>
        <v>SYC</v>
      </c>
    </row>
    <row r="41" spans="1:4" x14ac:dyDescent="0.35">
      <c r="A41" t="s">
        <v>179</v>
      </c>
      <c r="B41" t="s">
        <v>39</v>
      </c>
      <c r="C41">
        <v>19.489367418267701</v>
      </c>
      <c r="D41" t="str">
        <f>VLOOKUP(B41,Sheet11!B$2:C$48,2,FALSE)</f>
        <v>SLE</v>
      </c>
    </row>
    <row r="42" spans="1:4" x14ac:dyDescent="0.35">
      <c r="A42" t="s">
        <v>180</v>
      </c>
      <c r="B42" t="s">
        <v>40</v>
      </c>
      <c r="C42">
        <v>74.345193320567816</v>
      </c>
      <c r="D42" t="str">
        <f>VLOOKUP(B42,Sheet11!B$2:C$48,2,FALSE)</f>
        <v>ZAF</v>
      </c>
    </row>
    <row r="43" spans="1:4" x14ac:dyDescent="0.35">
      <c r="A43" t="s">
        <v>181</v>
      </c>
      <c r="B43" t="s">
        <v>41</v>
      </c>
      <c r="C43">
        <v>4.5687943738770151</v>
      </c>
      <c r="D43" t="str">
        <f>VLOOKUP(B43,Sheet11!B$2:C$48,2,FALSE)</f>
        <v>SSD</v>
      </c>
    </row>
    <row r="44" spans="1:4" x14ac:dyDescent="0.35">
      <c r="A44" t="s">
        <v>184</v>
      </c>
      <c r="B44" t="s">
        <v>42</v>
      </c>
      <c r="C44">
        <v>6.2037247448568724</v>
      </c>
      <c r="D44" t="str">
        <f>VLOOKUP(B44,Sheet11!B$2:C$48,2,FALSE)</f>
        <v>TZA</v>
      </c>
    </row>
    <row r="45" spans="1:4" x14ac:dyDescent="0.35">
      <c r="A45" t="s">
        <v>182</v>
      </c>
      <c r="B45" t="s">
        <v>43</v>
      </c>
      <c r="C45">
        <v>3.797168589256374</v>
      </c>
      <c r="D45" t="str">
        <f>VLOOKUP(B45,Sheet11!B$2:C$48,2,FALSE)</f>
        <v>TGO</v>
      </c>
    </row>
    <row r="46" spans="1:4" x14ac:dyDescent="0.35">
      <c r="A46" t="s">
        <v>183</v>
      </c>
      <c r="B46" t="s">
        <v>44</v>
      </c>
      <c r="C46">
        <v>17.61894444744178</v>
      </c>
      <c r="D46" t="str">
        <f>VLOOKUP(B46,Sheet11!B$2:C$48,2,FALSE)</f>
        <v>UGA</v>
      </c>
    </row>
    <row r="47" spans="1:4" x14ac:dyDescent="0.35">
      <c r="A47" t="s">
        <v>185</v>
      </c>
      <c r="B47" t="s">
        <v>45</v>
      </c>
      <c r="C47">
        <v>28.228053457756701</v>
      </c>
      <c r="D47" t="str">
        <f>VLOOKUP(B47,Sheet11!B$2:C$48,2,FALSE)</f>
        <v>ZMB</v>
      </c>
    </row>
    <row r="48" spans="1:4" x14ac:dyDescent="0.35">
      <c r="A48" t="s">
        <v>186</v>
      </c>
      <c r="B48" t="s">
        <v>46</v>
      </c>
      <c r="C48">
        <v>30.433188788783969</v>
      </c>
      <c r="D48" t="str">
        <f>VLOOKUP(B48,Sheet11!B$2:C$48,2,FALSE)</f>
        <v>ZWE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4</vt:i4>
      </vt:variant>
    </vt:vector>
  </HeadingPairs>
  <TitlesOfParts>
    <vt:vector size="34" baseType="lpstr">
      <vt:lpstr>Stock grad Doctors</vt:lpstr>
      <vt:lpstr>Sheet2</vt:lpstr>
      <vt:lpstr>Nurses</vt:lpstr>
      <vt:lpstr>DoctNurses</vt:lpstr>
      <vt:lpstr>All workforce stock</vt:lpstr>
      <vt:lpstr>All workforce density </vt:lpstr>
      <vt:lpstr>Education capacity</vt:lpstr>
      <vt:lpstr>Combined density-grad-stock</vt:lpstr>
      <vt:lpstr>Sheet4</vt:lpstr>
      <vt:lpstr>Combined density-grad-stock (2)</vt:lpstr>
      <vt:lpstr>Sheet6</vt:lpstr>
      <vt:lpstr>Scatter_plot</vt:lpstr>
      <vt:lpstr>Graph</vt:lpstr>
      <vt:lpstr>Sheet1</vt:lpstr>
      <vt:lpstr>Density_Weighted_Stock_Unw</vt:lpstr>
      <vt:lpstr>Scatter_plot (2)</vt:lpstr>
      <vt:lpstr>Quadrans</vt:lpstr>
      <vt:lpstr>Quadrans (2)</vt:lpstr>
      <vt:lpstr>Sheet10</vt:lpstr>
      <vt:lpstr>Sheet5</vt:lpstr>
      <vt:lpstr>Quadrans (3)</vt:lpstr>
      <vt:lpstr>Density vs graduate Stock G (2)</vt:lpstr>
      <vt:lpstr>Density vs graduate Stock Graph</vt:lpstr>
      <vt:lpstr>Sheet7</vt:lpstr>
      <vt:lpstr>Sheet9</vt:lpstr>
      <vt:lpstr>Summaries</vt:lpstr>
      <vt:lpstr>Density_Weighted_Stock_Weig</vt:lpstr>
      <vt:lpstr>Sheet8</vt:lpstr>
      <vt:lpstr>Sheet11</vt:lpstr>
      <vt:lpstr>Sheet12</vt:lpstr>
      <vt:lpstr>'Density vs graduate Stock G (2)'!Stock_grad_ratio</vt:lpstr>
      <vt:lpstr>Stock_grad_ratio</vt:lpstr>
      <vt:lpstr>'Density vs graduate Stock G (2)'!Weighted_average</vt:lpstr>
      <vt:lpstr>Weighted_average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2024-03-05T16:05:31Z</dcterms:created>
  <dcterms:modified xsi:type="dcterms:W3CDTF">2024-03-08T16:51:43Z</dcterms:modified>
</cp:coreProperties>
</file>