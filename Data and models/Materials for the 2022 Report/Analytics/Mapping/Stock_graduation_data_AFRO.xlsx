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Mapping\"/>
    </mc:Choice>
  </mc:AlternateContent>
  <xr:revisionPtr revIDLastSave="0" documentId="8_{64F8C40D-553F-4346-A426-0C2D247C411E}" xr6:coauthVersionLast="47" xr6:coauthVersionMax="47" xr10:uidLastSave="{00000000-0000-0000-0000-000000000000}"/>
  <bookViews>
    <workbookView xWindow="-110" yWindow="-110" windowWidth="19420" windowHeight="10300" firstSheet="7" activeTab="10" xr2:uid="{DBE6EC53-E42B-4499-838D-152297B7C724}"/>
  </bookViews>
  <sheets>
    <sheet name="Stock grad Doctors" sheetId="1" r:id="rId1"/>
    <sheet name="Sheet2" sheetId="2" r:id="rId2"/>
    <sheet name="Sheet1" sheetId="8" r:id="rId3"/>
    <sheet name="Nurses" sheetId="3" r:id="rId4"/>
    <sheet name="DoctNurses" sheetId="4" r:id="rId5"/>
    <sheet name="Sheet4" sheetId="12" r:id="rId6"/>
    <sheet name="All workforce stock" sheetId="5" r:id="rId7"/>
    <sheet name="All workforce density " sheetId="6" r:id="rId8"/>
    <sheet name="Doctors education" sheetId="9" r:id="rId9"/>
    <sheet name="Nurses education" sheetId="10" r:id="rId10"/>
    <sheet name="stockgranddensity" sheetId="11" r:id="rId11"/>
  </sheets>
  <definedNames>
    <definedName name="_xlnm._FilterDatabase" localSheetId="4" hidden="1">DoctNurses!$A$1:$I$48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1" l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2" i="4"/>
  <c r="I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H2" i="4"/>
  <c r="H39" i="4"/>
  <c r="H40" i="4"/>
  <c r="H41" i="4"/>
  <c r="H42" i="4"/>
  <c r="H43" i="4"/>
  <c r="H44" i="4"/>
  <c r="H45" i="4"/>
  <c r="H46" i="4"/>
  <c r="H47" i="4"/>
  <c r="H48" i="4"/>
  <c r="H38" i="4"/>
  <c r="H31" i="4"/>
  <c r="H32" i="4"/>
  <c r="H33" i="4"/>
  <c r="H34" i="4"/>
  <c r="H35" i="4"/>
  <c r="H36" i="4"/>
  <c r="H37" i="4"/>
  <c r="H30" i="4"/>
  <c r="H25" i="4"/>
  <c r="H26" i="4"/>
  <c r="H27" i="4"/>
  <c r="H28" i="4"/>
  <c r="H29" i="4"/>
  <c r="H24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9" i="4"/>
  <c r="H3" i="4"/>
  <c r="H4" i="4"/>
  <c r="H5" i="4"/>
  <c r="H6" i="4"/>
  <c r="H7" i="4"/>
  <c r="H8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2" i="4" l="1"/>
</calcChain>
</file>

<file path=xl/sharedStrings.xml><?xml version="1.0" encoding="utf-8"?>
<sst xmlns="http://schemas.openxmlformats.org/spreadsheetml/2006/main" count="1022" uniqueCount="203">
  <si>
    <t>Country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</si>
  <si>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</si>
  <si>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</si>
  <si>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</si>
  <si>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</si>
  <si>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</si>
  <si>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</si>
  <si>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</si>
  <si>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</si>
  <si>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</si>
  <si>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</si>
  <si>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</si>
  <si>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</si>
  <si>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</si>
  <si>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</si>
  <si>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</si>
  <si>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</si>
  <si>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</si>
  <si>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</si>
  <si>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</si>
  <si>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</si>
  <si>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</si>
  <si>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</si>
  <si>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</si>
  <si>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</si>
  <si>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</si>
  <si>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</si>
  <si>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</si>
  <si>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</si>
  <si>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</si>
  <si>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</si>
  <si>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</si>
  <si>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</si>
  <si>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</si>
  <si>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</si>
  <si>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</si>
  <si>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</si>
  <si>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</si>
  <si>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</si>
  <si>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</si>
  <si>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</si>
  <si>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</si>
  <si>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</si>
  <si>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</si>
  <si>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</si>
  <si>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</si>
  <si>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</si>
  <si>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Doctors stock 2022</t>
  </si>
  <si>
    <t>Generalist Medical Practitioners</t>
  </si>
  <si>
    <t>Specialist Medical Practitioners</t>
  </si>
  <si>
    <t>Dentists</t>
  </si>
  <si>
    <t>Other Dental practitioners</t>
  </si>
  <si>
    <t>Pharmacists</t>
  </si>
  <si>
    <t>Other Pharmacy practitioners</t>
  </si>
  <si>
    <t>Midwifery personnel</t>
  </si>
  <si>
    <t>Nursing Personnel</t>
  </si>
  <si>
    <t>Medical and Pathology Laboratory scientists</t>
  </si>
  <si>
    <t>Paramedical Practitioners</t>
  </si>
  <si>
    <t>Other Health Workers</t>
  </si>
  <si>
    <t>Total</t>
  </si>
  <si>
    <t>Cabo Verde</t>
  </si>
  <si>
    <t>Doctors graduates</t>
  </si>
  <si>
    <t>Nurses Stock 2022</t>
  </si>
  <si>
    <t>Nurses Graduates</t>
  </si>
  <si>
    <t>Doctors and Nurses Stock 2022</t>
  </si>
  <si>
    <t>Doctors and Nurses graduates</t>
  </si>
  <si>
    <t>Core health workforce*</t>
  </si>
  <si>
    <t>Other workers</t>
  </si>
  <si>
    <t>S No</t>
  </si>
  <si>
    <t>Adjusted 2022</t>
  </si>
  <si>
    <t>Cape-Verde</t>
  </si>
  <si>
    <t>AFRO</t>
  </si>
  <si>
    <t xml:space="preserve"> Density per 10,000 (2013)</t>
  </si>
  <si>
    <t xml:space="preserve"> Density per 10,000 (2018)</t>
  </si>
  <si>
    <t xml:space="preserve"> Density per 10,000 (2022)</t>
  </si>
  <si>
    <t>Data Sorce(s)</t>
  </si>
  <si>
    <t>NHWA dataset, 2023</t>
  </si>
  <si>
    <t>Dent-2018;</t>
  </si>
  <si>
    <t>Med-2021; Pharm-2021;Mid-2021; Nur-2021;Biom-2021; others-2021</t>
  </si>
  <si>
    <t>2022 for all</t>
  </si>
  <si>
    <t>2018 dataset</t>
  </si>
  <si>
    <t>2021 for all</t>
  </si>
  <si>
    <t>Democratic Republic of the Congo</t>
  </si>
  <si>
    <t>Nurs-2022</t>
  </si>
  <si>
    <t>pharmacist from 2018</t>
  </si>
  <si>
    <t xml:space="preserve">HLMA 2023; Ismaila (2023) </t>
  </si>
  <si>
    <t>HLMA data, Dentist-2018; CMHW-2022; Biom -2018;</t>
  </si>
  <si>
    <t>SADC dataset, 2022</t>
  </si>
  <si>
    <t>capacity-HLMA data extracted</t>
  </si>
  <si>
    <t>NHWA dataset, 2023; HLMA dataset, 2019; 2018 survey dataset</t>
  </si>
  <si>
    <t>Med-2021,2022; Nurs-2022; Midw-2022; Other-2021,2022, CHW-2021</t>
  </si>
  <si>
    <t>2030 starategic plan</t>
  </si>
  <si>
    <t>NHWA dataset, 2023; Other and Medical specialist from 2018 Survey dataset</t>
  </si>
  <si>
    <t>other occupations, Medical specialis taken from 2018 survey dataset</t>
  </si>
  <si>
    <t>NHWA dataset, 2023; Zambia HLMA</t>
  </si>
  <si>
    <t>2022 data set for -all</t>
  </si>
  <si>
    <t>Total (row)</t>
  </si>
  <si>
    <t>Ratio</t>
  </si>
  <si>
    <t>Country Code</t>
  </si>
  <si>
    <t>BFA</t>
  </si>
  <si>
    <t>CAF</t>
  </si>
  <si>
    <t>STP</t>
  </si>
  <si>
    <t>COD</t>
  </si>
  <si>
    <t>ETH</t>
  </si>
  <si>
    <t>NGA</t>
  </si>
  <si>
    <t>GAB</t>
  </si>
  <si>
    <t>MRT</t>
  </si>
  <si>
    <t>SWZ</t>
  </si>
  <si>
    <t>LSO</t>
  </si>
  <si>
    <t>DZA</t>
  </si>
  <si>
    <t>AGO</t>
  </si>
  <si>
    <t>BEN</t>
  </si>
  <si>
    <t>BWA</t>
  </si>
  <si>
    <t>BDI</t>
  </si>
  <si>
    <t>CIV</t>
  </si>
  <si>
    <t>CPV</t>
  </si>
  <si>
    <t>CMR</t>
  </si>
  <si>
    <t>TCD</t>
  </si>
  <si>
    <t>GNQ</t>
  </si>
  <si>
    <t>GMB</t>
  </si>
  <si>
    <t>GHA</t>
  </si>
  <si>
    <t>GIN</t>
  </si>
  <si>
    <t>GNB</t>
  </si>
  <si>
    <t>KEN</t>
  </si>
  <si>
    <t>LBR</t>
  </si>
  <si>
    <t>MDG</t>
  </si>
  <si>
    <t>MWI</t>
  </si>
  <si>
    <t>MLI</t>
  </si>
  <si>
    <t>MUS</t>
  </si>
  <si>
    <t>MOZ</t>
  </si>
  <si>
    <t>NAM</t>
  </si>
  <si>
    <t>RWA</t>
  </si>
  <si>
    <t>SEN</t>
  </si>
  <si>
    <t>SYC</t>
  </si>
  <si>
    <t>SLE</t>
  </si>
  <si>
    <t>ZAF</t>
  </si>
  <si>
    <t>SSD</t>
  </si>
  <si>
    <t>COG</t>
  </si>
  <si>
    <t>NER</t>
  </si>
  <si>
    <t>UGA</t>
  </si>
  <si>
    <t>ZMB</t>
  </si>
  <si>
    <t>ZWE</t>
  </si>
  <si>
    <t>ERI</t>
  </si>
  <si>
    <t>TGO</t>
  </si>
  <si>
    <t>COM</t>
  </si>
  <si>
    <t>TZA</t>
  </si>
  <si>
    <t>Country code</t>
  </si>
  <si>
    <t>income level</t>
  </si>
  <si>
    <t>Medical Doctors Stock By Age Group &lt; 25 yrs (prop)</t>
  </si>
  <si>
    <t>Medical Doctors Stock By Age Group 25-34 yrs (prop)</t>
  </si>
  <si>
    <t>Medical Doctors Stock By Age Group 35-44 yrs (prop)</t>
  </si>
  <si>
    <t>Medical Doctors Stock By Age Group 45-54 yrs (prop)</t>
  </si>
  <si>
    <t>Medical Doctors Stock By Age Group 55-64 yrs (prop)</t>
  </si>
  <si>
    <t>Medical Doctors Stock By Age Group ≥ 65 yrs (prop)</t>
  </si>
  <si>
    <t>Medical Doctors Stock By Age Group 25-34 yrs</t>
  </si>
  <si>
    <t>Medical Doctors Stock By Age Group 35-44 yrs</t>
  </si>
  <si>
    <t>Medical Doctors Stock By Age Group 45-54 yrs</t>
  </si>
  <si>
    <t>Medical Doctors Stock By Age Group 55-64 yrs</t>
  </si>
  <si>
    <t>Medical Doctors Stock By Age Group ≥ 65 yrs</t>
  </si>
  <si>
    <t>Annual graduates (2017 survey)</t>
  </si>
  <si>
    <t>Updated annual graduate</t>
  </si>
  <si>
    <t>Projected 2023</t>
  </si>
  <si>
    <t>Projected 2024</t>
  </si>
  <si>
    <t>Projected 2025</t>
  </si>
  <si>
    <t>Projected 2026</t>
  </si>
  <si>
    <t>Projected 2027</t>
  </si>
  <si>
    <t>Projected 2028</t>
  </si>
  <si>
    <t>Projected 2029</t>
  </si>
  <si>
    <t>Projected 2030</t>
  </si>
  <si>
    <t>Force of movement from 55-64 into Age 65+</t>
  </si>
  <si>
    <t>stock to graduates</t>
  </si>
  <si>
    <t>Estimated graduates</t>
  </si>
  <si>
    <t>Lower-Middle-Income Economies</t>
  </si>
  <si>
    <t>High/Upper-Middle-Income Economies </t>
  </si>
  <si>
    <t>Low-Income Economies</t>
  </si>
  <si>
    <t>Nursing  Personnel  Stock By Age Group &lt; 25 yrs (prop)</t>
  </si>
  <si>
    <t>Nursing  Personnel  Stock By Age Group 25-34 yrs  (prop)</t>
  </si>
  <si>
    <t>Nursing  Personnel  Stock By Age Group 35-44 yrs  (prop)</t>
  </si>
  <si>
    <t>Nursing  Personnel  Stock By Age Group 45-54 yrs  (prop)</t>
  </si>
  <si>
    <t>Nursing  Personnel  Stock By Age Group 55-64 yrs  (prop)</t>
  </si>
  <si>
    <t>Nursing  Personnel  Stock By Age Group ≥ 65 yrs  (prop)</t>
  </si>
  <si>
    <t>Nursing  Personnel  Stock By Age Group &lt; 25 yrs</t>
  </si>
  <si>
    <t xml:space="preserve">Nursing  Personnel  Stock By Age Group 25-34 yrs </t>
  </si>
  <si>
    <t xml:space="preserve">Nursing  Personnel  Stock By Age Group 35-44 yrs </t>
  </si>
  <si>
    <t xml:space="preserve">Nursing  Personnel  Stock By Age Group 45-54 yrs </t>
  </si>
  <si>
    <t xml:space="preserve">Nursing  Personnel  Stock By Age Group 55-64 yrs </t>
  </si>
  <si>
    <t xml:space="preserve">Nursing  Personnel  Stock By Age Group ≥ 65 yrs  </t>
  </si>
  <si>
    <t>Updated Annual graduated</t>
  </si>
  <si>
    <t>Ratio of stock to graduates</t>
  </si>
  <si>
    <t>Estimated annual graduates</t>
  </si>
  <si>
    <t>Density</t>
  </si>
  <si>
    <t>Doctors and Nurses Density per 10,000 (2022)</t>
  </si>
  <si>
    <t>Ratio stock to graduates</t>
  </si>
  <si>
    <t>Population</t>
  </si>
  <si>
    <t>São Tomé and Príncipe</t>
  </si>
  <si>
    <t>Republic of Congo</t>
  </si>
  <si>
    <t>Côte d'Ivoire</t>
  </si>
  <si>
    <t>The Gambia</t>
  </si>
  <si>
    <t>% of health budget spent on HWF</t>
  </si>
  <si>
    <t>GGHE-D as % GGE</t>
  </si>
  <si>
    <t>Percentage of health budget spent on HWF</t>
  </si>
  <si>
    <t>GGHE-D as percentage GGE</t>
  </si>
  <si>
    <t>Graduates Doctors and Nurses per 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</si>
</sst>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sz val="11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0" borderId="1" xfId="0" applyBorder="1"/>
    <xf numFmtId="1" fontId="0" fillId="0" borderId="1" xfId="0" applyNumberFormat="1" applyBorder="1"/>
    <xf numFmtId="1" fontId="0" fillId="3" borderId="1" xfId="0" applyNumberFormat="1" applyFill="1" applyBorder="1"/>
    <xf numFmtId="2" fontId="0" fillId="3" borderId="0" xfId="0" applyNumberForma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2" fillId="4" borderId="0" xfId="1" applyFont="1" applyFill="1" applyAlignment="1" applyProtection="1">
      <alignment vertical="center"/>
      <protection locked="0"/>
    </xf>
    <xf numFmtId="9" fontId="0" fillId="0" borderId="0" xfId="3" applyFont="1"/>
    <xf numFmtId="3" fontId="3" fillId="5" borderId="0" xfId="1" applyNumberFormat="1" applyFont="1" applyFill="1" applyAlignment="1">
      <alignment horizontal="left" vertical="center" wrapText="1"/>
    </xf>
    <xf numFmtId="9" fontId="0" fillId="0" borderId="0" xfId="3" applyFont="1" applyAlignment="1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4">
    <cellStyle name="Comma 2 2" xfId="2" xr:uid="{AD25DB30-904A-44E1-A32A-903196E680BA}"/>
    <cellStyle name="Normal" xfId="0" builtinId="0"/>
    <cellStyle name="Normal 2" xfId="1" xr:uid="{A82D89D0-6203-4ADA-9611-248E5C93EF5B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29DF-BFB0-4D75-BA10-F5240BA75D02}">
  <dimension ref="A1:E48"/>
  <sheetViews>
    <sheetView workbookViewId="0">
      <selection activeCell="D2" sqref="D2"/>
    </sheetView>
  </sheetViews>
  <sheetFormatPr defaultRowHeight="14.5" x14ac:dyDescent="0.35"/>
  <cols>
    <col min="1" max="1" width="20.90625" bestFit="1" customWidth="1"/>
    <col min="4" max="4" width="16.54296875" bestFit="1" customWidth="1"/>
  </cols>
  <sheetData>
    <row r="1" spans="1:5" x14ac:dyDescent="0.35">
      <c r="A1" t="s">
        <v>0</v>
      </c>
      <c r="B1">
        <v>2013</v>
      </c>
      <c r="C1">
        <v>2018</v>
      </c>
      <c r="D1" t="s">
        <v>47</v>
      </c>
      <c r="E1" t="s">
        <v>61</v>
      </c>
    </row>
    <row r="2" spans="1:5" x14ac:dyDescent="0.35">
      <c r="A2" t="s">
        <v>1</v>
      </c>
      <c r="B2">
        <v>0</v>
      </c>
      <c r="C2">
        <v>73168</v>
      </c>
      <c r="D2">
        <v>48033.824348850052</v>
      </c>
      <c r="E2">
        <v>0</v>
      </c>
    </row>
    <row r="3" spans="1:5" x14ac:dyDescent="0.35">
      <c r="A3" t="s">
        <v>2</v>
      </c>
      <c r="B3">
        <v>0</v>
      </c>
      <c r="C3">
        <v>6593</v>
      </c>
      <c r="D3">
        <v>8693</v>
      </c>
      <c r="E3">
        <v>611</v>
      </c>
    </row>
    <row r="4" spans="1:5" x14ac:dyDescent="0.35">
      <c r="A4" t="s">
        <v>3</v>
      </c>
      <c r="B4">
        <v>0</v>
      </c>
      <c r="C4">
        <v>908</v>
      </c>
      <c r="D4">
        <v>2608</v>
      </c>
      <c r="E4">
        <v>780</v>
      </c>
    </row>
    <row r="5" spans="1:5" x14ac:dyDescent="0.35">
      <c r="A5" t="s">
        <v>4</v>
      </c>
      <c r="B5">
        <v>819</v>
      </c>
      <c r="C5">
        <v>925</v>
      </c>
      <c r="D5">
        <v>992</v>
      </c>
      <c r="E5">
        <v>60</v>
      </c>
    </row>
    <row r="6" spans="1:5" x14ac:dyDescent="0.35">
      <c r="A6" t="s">
        <v>5</v>
      </c>
      <c r="B6">
        <v>803</v>
      </c>
      <c r="C6">
        <v>1684</v>
      </c>
      <c r="D6">
        <v>3323</v>
      </c>
      <c r="E6">
        <v>1492</v>
      </c>
    </row>
    <row r="7" spans="1:5" x14ac:dyDescent="0.35">
      <c r="A7" t="s">
        <v>6</v>
      </c>
      <c r="B7">
        <v>554</v>
      </c>
      <c r="C7">
        <v>1084</v>
      </c>
      <c r="D7">
        <v>1014.8610394397346</v>
      </c>
      <c r="E7">
        <v>325</v>
      </c>
    </row>
    <row r="8" spans="1:5" x14ac:dyDescent="0.35">
      <c r="A8" t="s">
        <v>7</v>
      </c>
      <c r="B8">
        <v>1842</v>
      </c>
      <c r="C8">
        <v>3259</v>
      </c>
      <c r="D8">
        <v>3759</v>
      </c>
      <c r="E8">
        <v>800</v>
      </c>
    </row>
    <row r="9" spans="1:5" x14ac:dyDescent="0.35">
      <c r="A9" t="s">
        <v>60</v>
      </c>
      <c r="B9">
        <v>308</v>
      </c>
      <c r="C9">
        <v>452</v>
      </c>
      <c r="D9">
        <v>2644</v>
      </c>
      <c r="E9">
        <v>0</v>
      </c>
    </row>
    <row r="10" spans="1:5" x14ac:dyDescent="0.35">
      <c r="A10" t="s">
        <v>8</v>
      </c>
      <c r="B10">
        <v>324</v>
      </c>
      <c r="C10">
        <v>335</v>
      </c>
      <c r="D10">
        <v>146.38957816377172</v>
      </c>
      <c r="E10">
        <v>18</v>
      </c>
    </row>
    <row r="11" spans="1:5" x14ac:dyDescent="0.35">
      <c r="A11" t="s">
        <v>9</v>
      </c>
      <c r="B11">
        <v>573</v>
      </c>
      <c r="C11">
        <v>803</v>
      </c>
      <c r="D11">
        <v>1507</v>
      </c>
      <c r="E11">
        <v>330</v>
      </c>
    </row>
    <row r="12" spans="1:5" x14ac:dyDescent="0.35">
      <c r="A12" t="s">
        <v>10</v>
      </c>
      <c r="B12">
        <v>123</v>
      </c>
      <c r="C12">
        <v>220</v>
      </c>
      <c r="D12">
        <v>354</v>
      </c>
      <c r="E12">
        <v>0</v>
      </c>
    </row>
    <row r="13" spans="1:5" x14ac:dyDescent="0.35">
      <c r="A13" t="s">
        <v>11</v>
      </c>
      <c r="B13">
        <v>0</v>
      </c>
      <c r="C13">
        <v>544</v>
      </c>
      <c r="D13">
        <v>1042</v>
      </c>
      <c r="E13">
        <v>60</v>
      </c>
    </row>
    <row r="14" spans="1:5" x14ac:dyDescent="0.35">
      <c r="A14" t="s">
        <v>12</v>
      </c>
      <c r="B14">
        <v>5240</v>
      </c>
      <c r="C14">
        <v>5602</v>
      </c>
      <c r="D14">
        <v>6327.5519796794806</v>
      </c>
      <c r="E14">
        <v>254</v>
      </c>
    </row>
    <row r="15" spans="1:5" x14ac:dyDescent="0.35">
      <c r="A15" t="s">
        <v>13</v>
      </c>
      <c r="B15">
        <v>6418</v>
      </c>
      <c r="C15">
        <v>31546</v>
      </c>
      <c r="D15">
        <v>21289.958719118578</v>
      </c>
      <c r="E15">
        <v>6020</v>
      </c>
    </row>
    <row r="16" spans="1:5" x14ac:dyDescent="0.35">
      <c r="A16" t="s">
        <v>14</v>
      </c>
      <c r="B16">
        <v>0</v>
      </c>
      <c r="C16">
        <v>246</v>
      </c>
      <c r="D16">
        <v>274.68237599257924</v>
      </c>
      <c r="E16">
        <v>767</v>
      </c>
    </row>
    <row r="17" spans="1:5" x14ac:dyDescent="0.35">
      <c r="A17" t="s">
        <v>15</v>
      </c>
      <c r="B17">
        <v>172</v>
      </c>
      <c r="C17">
        <v>280</v>
      </c>
      <c r="D17">
        <v>298.81764752330793</v>
      </c>
      <c r="E17">
        <v>0</v>
      </c>
    </row>
    <row r="18" spans="1:5" x14ac:dyDescent="0.35">
      <c r="A18" t="s">
        <v>16</v>
      </c>
      <c r="B18">
        <v>0</v>
      </c>
      <c r="C18">
        <v>278</v>
      </c>
      <c r="D18">
        <v>687</v>
      </c>
      <c r="E18">
        <v>0</v>
      </c>
    </row>
    <row r="19" spans="1:5" x14ac:dyDescent="0.35">
      <c r="A19" t="s">
        <v>17</v>
      </c>
      <c r="B19">
        <v>0</v>
      </c>
      <c r="C19">
        <v>11263</v>
      </c>
      <c r="D19">
        <v>23741</v>
      </c>
      <c r="E19">
        <v>3114</v>
      </c>
    </row>
    <row r="20" spans="1:5" x14ac:dyDescent="0.35">
      <c r="A20" t="s">
        <v>18</v>
      </c>
      <c r="B20">
        <v>0</v>
      </c>
      <c r="C20">
        <v>1368</v>
      </c>
      <c r="D20">
        <v>1265.3898201501661</v>
      </c>
      <c r="E20">
        <v>46</v>
      </c>
    </row>
    <row r="21" spans="1:5" x14ac:dyDescent="0.35">
      <c r="A21" t="s">
        <v>19</v>
      </c>
      <c r="B21">
        <v>213</v>
      </c>
      <c r="C21">
        <v>298</v>
      </c>
      <c r="D21">
        <v>273.86722731906218</v>
      </c>
      <c r="E21">
        <v>23</v>
      </c>
    </row>
    <row r="22" spans="1:5" x14ac:dyDescent="0.35">
      <c r="A22" t="s">
        <v>20</v>
      </c>
      <c r="B22">
        <v>2730</v>
      </c>
      <c r="C22">
        <v>4406</v>
      </c>
      <c r="D22">
        <v>4726</v>
      </c>
      <c r="E22">
        <v>1566</v>
      </c>
    </row>
    <row r="23" spans="1:5" x14ac:dyDescent="0.35">
      <c r="A23" t="s">
        <v>21</v>
      </c>
      <c r="B23">
        <v>1844</v>
      </c>
      <c r="C23">
        <v>2787</v>
      </c>
      <c r="D23">
        <v>341.34169736316329</v>
      </c>
      <c r="E23">
        <v>767</v>
      </c>
    </row>
    <row r="24" spans="1:5" x14ac:dyDescent="0.35">
      <c r="A24" t="s">
        <v>22</v>
      </c>
      <c r="B24">
        <v>354</v>
      </c>
      <c r="C24">
        <v>578</v>
      </c>
      <c r="D24">
        <v>530.87376425855507</v>
      </c>
      <c r="E24">
        <v>0</v>
      </c>
    </row>
    <row r="25" spans="1:5" x14ac:dyDescent="0.35">
      <c r="A25" t="s">
        <v>23</v>
      </c>
      <c r="B25">
        <v>8682</v>
      </c>
      <c r="C25">
        <v>8042</v>
      </c>
      <c r="D25">
        <v>12792</v>
      </c>
      <c r="E25">
        <v>558</v>
      </c>
    </row>
    <row r="26" spans="1:5" x14ac:dyDescent="0.35">
      <c r="A26" t="s">
        <v>24</v>
      </c>
      <c r="B26">
        <v>0</v>
      </c>
      <c r="C26">
        <v>998</v>
      </c>
      <c r="D26">
        <v>536.60977859778598</v>
      </c>
      <c r="E26">
        <v>8</v>
      </c>
    </row>
    <row r="27" spans="1:5" x14ac:dyDescent="0.35">
      <c r="A27" t="s">
        <v>25</v>
      </c>
      <c r="B27">
        <v>168</v>
      </c>
      <c r="C27">
        <v>693</v>
      </c>
      <c r="D27">
        <v>954</v>
      </c>
      <c r="E27">
        <v>29</v>
      </c>
    </row>
    <row r="28" spans="1:5" x14ac:dyDescent="0.35">
      <c r="A28" t="s">
        <v>26</v>
      </c>
      <c r="B28">
        <v>3523</v>
      </c>
      <c r="C28">
        <v>5230</v>
      </c>
      <c r="D28">
        <v>5230</v>
      </c>
      <c r="E28">
        <v>316</v>
      </c>
    </row>
    <row r="29" spans="1:5" x14ac:dyDescent="0.35">
      <c r="A29" t="s">
        <v>27</v>
      </c>
      <c r="B29">
        <v>200</v>
      </c>
      <c r="C29">
        <v>2760</v>
      </c>
      <c r="D29">
        <v>1103.5637751855782</v>
      </c>
      <c r="E29">
        <v>115</v>
      </c>
    </row>
    <row r="30" spans="1:5" x14ac:dyDescent="0.35">
      <c r="A30" t="s">
        <v>28</v>
      </c>
      <c r="B30">
        <v>1971</v>
      </c>
      <c r="C30">
        <v>2866</v>
      </c>
      <c r="D30">
        <v>4402</v>
      </c>
      <c r="E30">
        <v>0</v>
      </c>
    </row>
    <row r="31" spans="1:5" x14ac:dyDescent="0.35">
      <c r="A31" t="s">
        <v>29</v>
      </c>
      <c r="B31">
        <v>622</v>
      </c>
      <c r="C31">
        <v>1626</v>
      </c>
      <c r="D31">
        <v>1273.0346943092873</v>
      </c>
      <c r="E31">
        <v>0</v>
      </c>
    </row>
    <row r="32" spans="1:5" x14ac:dyDescent="0.35">
      <c r="A32" t="s">
        <v>30</v>
      </c>
      <c r="B32">
        <v>2046</v>
      </c>
      <c r="C32">
        <v>2395</v>
      </c>
      <c r="D32">
        <v>1833.6554988586008</v>
      </c>
      <c r="E32">
        <v>432</v>
      </c>
    </row>
    <row r="33" spans="1:5" x14ac:dyDescent="0.35">
      <c r="A33" t="s">
        <v>31</v>
      </c>
      <c r="B33">
        <v>1452</v>
      </c>
      <c r="C33">
        <v>2473</v>
      </c>
      <c r="D33">
        <v>5719</v>
      </c>
      <c r="E33">
        <v>819</v>
      </c>
    </row>
    <row r="34" spans="1:5" x14ac:dyDescent="0.35">
      <c r="A34" t="s">
        <v>32</v>
      </c>
      <c r="B34">
        <v>0</v>
      </c>
      <c r="C34">
        <v>1445</v>
      </c>
      <c r="D34">
        <v>1597</v>
      </c>
      <c r="E34">
        <v>475</v>
      </c>
    </row>
    <row r="35" spans="1:5" x14ac:dyDescent="0.35">
      <c r="A35" t="s">
        <v>33</v>
      </c>
      <c r="B35">
        <v>946</v>
      </c>
      <c r="C35">
        <v>1065</v>
      </c>
      <c r="D35">
        <v>705.66936761273496</v>
      </c>
      <c r="E35">
        <v>370</v>
      </c>
    </row>
    <row r="36" spans="1:5" x14ac:dyDescent="0.35">
      <c r="A36" t="s">
        <v>34</v>
      </c>
      <c r="B36">
        <v>65759</v>
      </c>
      <c r="C36">
        <v>83907</v>
      </c>
      <c r="D36">
        <v>86181</v>
      </c>
      <c r="E36">
        <v>4340</v>
      </c>
    </row>
    <row r="37" spans="1:5" x14ac:dyDescent="0.35">
      <c r="A37" t="s">
        <v>35</v>
      </c>
      <c r="B37">
        <v>1104</v>
      </c>
      <c r="C37">
        <v>1648</v>
      </c>
      <c r="D37">
        <v>1648</v>
      </c>
      <c r="E37">
        <v>11</v>
      </c>
    </row>
    <row r="38" spans="1:5" x14ac:dyDescent="0.35">
      <c r="A38" t="s">
        <v>36</v>
      </c>
      <c r="B38">
        <v>63</v>
      </c>
      <c r="C38">
        <v>60</v>
      </c>
      <c r="D38">
        <v>105</v>
      </c>
      <c r="E38">
        <v>0</v>
      </c>
    </row>
    <row r="39" spans="1:5" x14ac:dyDescent="0.35">
      <c r="A39" t="s">
        <v>37</v>
      </c>
      <c r="B39">
        <v>0</v>
      </c>
      <c r="C39">
        <v>2883</v>
      </c>
      <c r="D39">
        <v>2560.8623058327948</v>
      </c>
      <c r="E39">
        <v>434</v>
      </c>
    </row>
    <row r="40" spans="1:5" x14ac:dyDescent="0.35">
      <c r="A40" t="s">
        <v>38</v>
      </c>
      <c r="B40">
        <v>93</v>
      </c>
      <c r="C40">
        <v>240</v>
      </c>
      <c r="D40">
        <v>828</v>
      </c>
      <c r="E40">
        <v>10</v>
      </c>
    </row>
    <row r="41" spans="1:5" x14ac:dyDescent="0.35">
      <c r="A41" t="s">
        <v>39</v>
      </c>
      <c r="B41">
        <v>0</v>
      </c>
      <c r="C41">
        <v>566</v>
      </c>
      <c r="D41">
        <v>1106</v>
      </c>
      <c r="E41">
        <v>217</v>
      </c>
    </row>
    <row r="42" spans="1:5" x14ac:dyDescent="0.35">
      <c r="A42" t="s">
        <v>40</v>
      </c>
      <c r="B42">
        <v>0</v>
      </c>
      <c r="C42">
        <v>43503</v>
      </c>
      <c r="D42">
        <v>48021</v>
      </c>
      <c r="E42">
        <v>998</v>
      </c>
    </row>
    <row r="43" spans="1:5" x14ac:dyDescent="0.35">
      <c r="A43" t="s">
        <v>41</v>
      </c>
      <c r="B43">
        <v>0</v>
      </c>
      <c r="C43">
        <v>411</v>
      </c>
      <c r="D43">
        <v>456</v>
      </c>
      <c r="E43">
        <v>0</v>
      </c>
    </row>
    <row r="44" spans="1:5" x14ac:dyDescent="0.35">
      <c r="A44" t="s">
        <v>42</v>
      </c>
      <c r="B44">
        <v>1481</v>
      </c>
      <c r="C44">
        <v>2885</v>
      </c>
      <c r="D44">
        <v>8693</v>
      </c>
      <c r="E44">
        <v>330</v>
      </c>
    </row>
    <row r="45" spans="1:5" x14ac:dyDescent="0.35">
      <c r="A45" t="s">
        <v>43</v>
      </c>
      <c r="B45">
        <v>361</v>
      </c>
      <c r="C45">
        <v>611</v>
      </c>
      <c r="D45">
        <v>730</v>
      </c>
      <c r="E45">
        <v>77</v>
      </c>
    </row>
    <row r="46" spans="1:5" x14ac:dyDescent="0.35">
      <c r="A46" t="s">
        <v>44</v>
      </c>
      <c r="B46">
        <v>3370</v>
      </c>
      <c r="C46">
        <v>17186</v>
      </c>
      <c r="D46">
        <v>9051.7813279678066</v>
      </c>
      <c r="E46">
        <v>1997</v>
      </c>
    </row>
    <row r="47" spans="1:5" x14ac:dyDescent="0.35">
      <c r="A47" t="s">
        <v>45</v>
      </c>
      <c r="B47">
        <v>0</v>
      </c>
      <c r="C47">
        <v>4021</v>
      </c>
      <c r="D47">
        <v>6531</v>
      </c>
      <c r="E47">
        <v>100</v>
      </c>
    </row>
    <row r="48" spans="1:5" x14ac:dyDescent="0.35">
      <c r="A48" t="s">
        <v>46</v>
      </c>
      <c r="B48">
        <v>1114</v>
      </c>
      <c r="C48">
        <v>3026</v>
      </c>
      <c r="D48">
        <v>3131.5983655333839</v>
      </c>
      <c r="E48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9513-39E9-4195-8CC9-087689CFA46C}">
  <dimension ref="A1:N50"/>
  <sheetViews>
    <sheetView topLeftCell="A37" workbookViewId="0">
      <selection activeCell="B5" sqref="B5"/>
    </sheetView>
  </sheetViews>
  <sheetFormatPr defaultRowHeight="14.5" x14ac:dyDescent="0.35"/>
  <cols>
    <col min="1" max="1" width="29.36328125" bestFit="1" customWidth="1"/>
    <col min="2" max="2" width="27.54296875" bestFit="1" customWidth="1"/>
    <col min="8" max="8" width="18.26953125" bestFit="1" customWidth="1"/>
    <col min="9" max="9" width="16" bestFit="1" customWidth="1"/>
  </cols>
  <sheetData>
    <row r="1" spans="1:14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75</v>
      </c>
    </row>
    <row r="2" spans="1:14" x14ac:dyDescent="0.35">
      <c r="A2" t="s">
        <v>1</v>
      </c>
      <c r="B2">
        <v>0</v>
      </c>
      <c r="M2">
        <v>0</v>
      </c>
      <c r="N2" t="s">
        <v>76</v>
      </c>
    </row>
    <row r="3" spans="1:14" x14ac:dyDescent="0.35">
      <c r="A3" t="s">
        <v>2</v>
      </c>
      <c r="B3">
        <v>611</v>
      </c>
      <c r="D3">
        <v>145</v>
      </c>
      <c r="F3">
        <v>529</v>
      </c>
      <c r="I3">
        <v>2950</v>
      </c>
      <c r="M3">
        <v>4235</v>
      </c>
      <c r="N3" t="s">
        <v>77</v>
      </c>
    </row>
    <row r="4" spans="1:14" x14ac:dyDescent="0.35">
      <c r="A4" t="s">
        <v>3</v>
      </c>
      <c r="B4">
        <v>780</v>
      </c>
      <c r="C4">
        <v>385</v>
      </c>
      <c r="F4">
        <v>143</v>
      </c>
      <c r="H4">
        <v>247</v>
      </c>
      <c r="I4">
        <v>257</v>
      </c>
      <c r="J4">
        <v>1113</v>
      </c>
      <c r="L4">
        <v>1194</v>
      </c>
      <c r="M4">
        <v>4119</v>
      </c>
      <c r="N4" t="s">
        <v>78</v>
      </c>
    </row>
    <row r="5" spans="1:14" x14ac:dyDescent="0.35">
      <c r="A5" t="s">
        <v>4</v>
      </c>
      <c r="B5">
        <v>60</v>
      </c>
      <c r="C5">
        <v>48</v>
      </c>
      <c r="D5">
        <v>7</v>
      </c>
      <c r="E5">
        <v>10</v>
      </c>
      <c r="F5">
        <v>95</v>
      </c>
      <c r="G5">
        <v>60</v>
      </c>
      <c r="H5">
        <v>40</v>
      </c>
      <c r="I5">
        <v>490</v>
      </c>
      <c r="J5">
        <v>189</v>
      </c>
      <c r="K5">
        <v>30</v>
      </c>
      <c r="L5">
        <v>597</v>
      </c>
      <c r="M5">
        <v>1626</v>
      </c>
      <c r="N5" t="s">
        <v>79</v>
      </c>
    </row>
    <row r="6" spans="1:14" x14ac:dyDescent="0.35">
      <c r="A6" t="s">
        <v>5</v>
      </c>
      <c r="B6">
        <v>1492</v>
      </c>
      <c r="C6">
        <v>385</v>
      </c>
      <c r="D6">
        <v>62</v>
      </c>
      <c r="F6">
        <v>594</v>
      </c>
      <c r="H6">
        <v>1170</v>
      </c>
      <c r="I6">
        <v>1170</v>
      </c>
      <c r="M6">
        <v>4873</v>
      </c>
      <c r="N6" t="s">
        <v>76</v>
      </c>
    </row>
    <row r="7" spans="1:14" x14ac:dyDescent="0.35">
      <c r="A7" t="s">
        <v>6</v>
      </c>
      <c r="B7">
        <v>325</v>
      </c>
      <c r="C7">
        <v>240</v>
      </c>
      <c r="F7">
        <v>39</v>
      </c>
      <c r="H7">
        <v>196</v>
      </c>
      <c r="I7">
        <v>1467</v>
      </c>
      <c r="J7">
        <v>322</v>
      </c>
      <c r="L7">
        <v>194</v>
      </c>
      <c r="M7">
        <v>2783</v>
      </c>
      <c r="N7" t="s">
        <v>80</v>
      </c>
    </row>
    <row r="8" spans="1:14" x14ac:dyDescent="0.35">
      <c r="A8" t="s">
        <v>7</v>
      </c>
      <c r="B8">
        <v>800</v>
      </c>
      <c r="I8">
        <v>2660</v>
      </c>
      <c r="J8">
        <v>800</v>
      </c>
      <c r="M8">
        <v>4260</v>
      </c>
      <c r="N8" t="s">
        <v>76</v>
      </c>
    </row>
    <row r="9" spans="1:14" x14ac:dyDescent="0.35">
      <c r="A9" t="s">
        <v>60</v>
      </c>
      <c r="E9">
        <v>7</v>
      </c>
      <c r="L9">
        <v>83</v>
      </c>
      <c r="M9">
        <v>90</v>
      </c>
      <c r="N9" t="s">
        <v>76</v>
      </c>
    </row>
    <row r="10" spans="1:14" x14ac:dyDescent="0.35">
      <c r="A10" t="s">
        <v>8</v>
      </c>
      <c r="B10">
        <v>18</v>
      </c>
      <c r="M10">
        <v>18</v>
      </c>
      <c r="N10" t="s">
        <v>76</v>
      </c>
    </row>
    <row r="11" spans="1:14" x14ac:dyDescent="0.35">
      <c r="A11" t="s">
        <v>9</v>
      </c>
      <c r="B11">
        <v>330</v>
      </c>
      <c r="C11">
        <v>30</v>
      </c>
      <c r="F11">
        <v>80</v>
      </c>
      <c r="G11">
        <v>180</v>
      </c>
      <c r="H11">
        <v>2084</v>
      </c>
      <c r="I11">
        <v>2920</v>
      </c>
      <c r="J11">
        <v>220</v>
      </c>
      <c r="M11">
        <v>5844</v>
      </c>
      <c r="N11" t="s">
        <v>76</v>
      </c>
    </row>
    <row r="12" spans="1:14" x14ac:dyDescent="0.35">
      <c r="A12" t="s">
        <v>10</v>
      </c>
      <c r="H12">
        <v>29</v>
      </c>
      <c r="I12">
        <v>40</v>
      </c>
      <c r="M12">
        <v>69</v>
      </c>
      <c r="N12" t="s">
        <v>81</v>
      </c>
    </row>
    <row r="13" spans="1:14" x14ac:dyDescent="0.35">
      <c r="A13" t="s">
        <v>11</v>
      </c>
      <c r="B13">
        <v>60</v>
      </c>
      <c r="C13">
        <v>315</v>
      </c>
      <c r="E13">
        <v>10</v>
      </c>
      <c r="G13">
        <v>5</v>
      </c>
      <c r="H13">
        <v>120</v>
      </c>
      <c r="I13">
        <v>60</v>
      </c>
      <c r="K13">
        <v>50</v>
      </c>
      <c r="L13">
        <v>408</v>
      </c>
      <c r="M13">
        <v>1028</v>
      </c>
      <c r="N13" t="s">
        <v>79</v>
      </c>
    </row>
    <row r="14" spans="1:14" x14ac:dyDescent="0.35">
      <c r="A14" t="s">
        <v>12</v>
      </c>
      <c r="B14">
        <v>254</v>
      </c>
      <c r="C14">
        <v>48</v>
      </c>
      <c r="G14">
        <v>151</v>
      </c>
      <c r="I14">
        <v>1007</v>
      </c>
      <c r="J14">
        <v>1106</v>
      </c>
      <c r="L14">
        <v>450</v>
      </c>
      <c r="M14">
        <v>3016</v>
      </c>
      <c r="N14" t="s">
        <v>76</v>
      </c>
    </row>
    <row r="15" spans="1:14" x14ac:dyDescent="0.35">
      <c r="A15" t="s">
        <v>82</v>
      </c>
      <c r="B15">
        <v>6020</v>
      </c>
      <c r="D15">
        <v>66</v>
      </c>
      <c r="F15">
        <v>178</v>
      </c>
      <c r="G15">
        <v>328</v>
      </c>
      <c r="H15">
        <v>3453</v>
      </c>
      <c r="I15">
        <v>24061</v>
      </c>
      <c r="J15">
        <v>2571</v>
      </c>
      <c r="L15">
        <v>3151</v>
      </c>
      <c r="M15">
        <v>39828</v>
      </c>
      <c r="N15" t="s">
        <v>76</v>
      </c>
    </row>
    <row r="16" spans="1:14" x14ac:dyDescent="0.35">
      <c r="A16" t="s">
        <v>14</v>
      </c>
      <c r="B16">
        <v>767</v>
      </c>
      <c r="H16">
        <v>492</v>
      </c>
      <c r="I16">
        <v>962</v>
      </c>
      <c r="J16">
        <v>27</v>
      </c>
      <c r="L16">
        <v>1304</v>
      </c>
      <c r="M16">
        <v>3552</v>
      </c>
      <c r="N16" t="s">
        <v>76</v>
      </c>
    </row>
    <row r="17" spans="1:14" x14ac:dyDescent="0.35">
      <c r="A17" t="s">
        <v>15</v>
      </c>
      <c r="I17">
        <v>400</v>
      </c>
      <c r="L17">
        <v>1023</v>
      </c>
      <c r="M17">
        <v>1423</v>
      </c>
      <c r="N17" t="s">
        <v>83</v>
      </c>
    </row>
    <row r="18" spans="1:14" x14ac:dyDescent="0.35">
      <c r="A18" t="s">
        <v>16</v>
      </c>
      <c r="F18">
        <v>44</v>
      </c>
      <c r="G18">
        <v>30</v>
      </c>
      <c r="H18">
        <v>80</v>
      </c>
      <c r="I18">
        <v>160</v>
      </c>
      <c r="J18">
        <v>78</v>
      </c>
      <c r="L18">
        <v>58</v>
      </c>
      <c r="M18">
        <v>450</v>
      </c>
      <c r="N18" t="s">
        <v>76</v>
      </c>
    </row>
    <row r="19" spans="1:14" x14ac:dyDescent="0.35">
      <c r="A19" t="s">
        <v>17</v>
      </c>
      <c r="B19">
        <v>3114</v>
      </c>
      <c r="C19">
        <v>880</v>
      </c>
      <c r="D19">
        <v>189</v>
      </c>
      <c r="E19">
        <v>64</v>
      </c>
      <c r="F19">
        <v>699</v>
      </c>
      <c r="G19">
        <v>2878</v>
      </c>
      <c r="H19">
        <v>2440</v>
      </c>
      <c r="I19">
        <v>6298</v>
      </c>
      <c r="J19">
        <v>1220</v>
      </c>
      <c r="K19">
        <v>1613</v>
      </c>
      <c r="L19">
        <v>3672</v>
      </c>
      <c r="M19">
        <v>23067</v>
      </c>
      <c r="N19" t="s">
        <v>84</v>
      </c>
    </row>
    <row r="20" spans="1:14" x14ac:dyDescent="0.35">
      <c r="A20" t="s">
        <v>18</v>
      </c>
      <c r="B20">
        <v>46</v>
      </c>
      <c r="C20">
        <v>16</v>
      </c>
      <c r="F20">
        <v>2</v>
      </c>
      <c r="H20">
        <v>34</v>
      </c>
      <c r="I20">
        <v>95</v>
      </c>
      <c r="J20">
        <v>6</v>
      </c>
      <c r="M20">
        <v>199</v>
      </c>
      <c r="N20" t="s">
        <v>76</v>
      </c>
    </row>
    <row r="21" spans="1:14" x14ac:dyDescent="0.35">
      <c r="A21" t="s">
        <v>19</v>
      </c>
      <c r="B21">
        <v>23</v>
      </c>
      <c r="I21">
        <v>137</v>
      </c>
      <c r="J21">
        <v>6</v>
      </c>
      <c r="M21">
        <v>166</v>
      </c>
      <c r="N21" t="s">
        <v>76</v>
      </c>
    </row>
    <row r="22" spans="1:14" x14ac:dyDescent="0.35">
      <c r="A22" t="s">
        <v>20</v>
      </c>
      <c r="B22">
        <v>1566</v>
      </c>
      <c r="F22">
        <v>343</v>
      </c>
      <c r="H22">
        <v>4827</v>
      </c>
      <c r="I22">
        <v>21271</v>
      </c>
      <c r="J22">
        <v>396</v>
      </c>
      <c r="M22">
        <v>28403</v>
      </c>
      <c r="N22" t="s">
        <v>85</v>
      </c>
    </row>
    <row r="23" spans="1:14" x14ac:dyDescent="0.35">
      <c r="A23" t="s">
        <v>21</v>
      </c>
      <c r="B23">
        <v>767</v>
      </c>
      <c r="C23">
        <v>74</v>
      </c>
      <c r="F23">
        <v>113</v>
      </c>
      <c r="G23">
        <v>34</v>
      </c>
      <c r="H23">
        <v>492</v>
      </c>
      <c r="I23">
        <v>964</v>
      </c>
      <c r="J23">
        <v>27</v>
      </c>
      <c r="L23">
        <v>1304</v>
      </c>
      <c r="M23">
        <v>3775</v>
      </c>
      <c r="N23" t="s">
        <v>76</v>
      </c>
    </row>
    <row r="24" spans="1:14" x14ac:dyDescent="0.35">
      <c r="A24" t="s">
        <v>22</v>
      </c>
      <c r="J24">
        <v>23</v>
      </c>
      <c r="L24">
        <v>489</v>
      </c>
      <c r="M24">
        <v>512</v>
      </c>
      <c r="N24" t="s">
        <v>76</v>
      </c>
    </row>
    <row r="25" spans="1:14" x14ac:dyDescent="0.35">
      <c r="A25" t="s">
        <v>23</v>
      </c>
      <c r="B25">
        <v>558</v>
      </c>
      <c r="D25">
        <v>36</v>
      </c>
      <c r="F25">
        <v>379</v>
      </c>
      <c r="G25">
        <v>20</v>
      </c>
      <c r="I25">
        <v>1070</v>
      </c>
      <c r="J25">
        <v>519</v>
      </c>
      <c r="L25">
        <v>366</v>
      </c>
      <c r="M25">
        <v>2948</v>
      </c>
      <c r="N25" t="s">
        <v>86</v>
      </c>
    </row>
    <row r="26" spans="1:14" x14ac:dyDescent="0.35">
      <c r="A26" t="s">
        <v>24</v>
      </c>
      <c r="B26">
        <v>8</v>
      </c>
      <c r="C26">
        <v>22</v>
      </c>
      <c r="D26">
        <v>8</v>
      </c>
      <c r="F26">
        <v>33</v>
      </c>
      <c r="G26">
        <v>20</v>
      </c>
      <c r="H26">
        <v>69</v>
      </c>
      <c r="I26">
        <v>376</v>
      </c>
      <c r="J26">
        <v>20</v>
      </c>
      <c r="M26">
        <v>556</v>
      </c>
      <c r="N26" t="s">
        <v>76</v>
      </c>
    </row>
    <row r="27" spans="1:14" x14ac:dyDescent="0.35">
      <c r="A27" t="s">
        <v>25</v>
      </c>
      <c r="B27">
        <v>29</v>
      </c>
      <c r="C27">
        <v>50</v>
      </c>
      <c r="F27">
        <v>22</v>
      </c>
      <c r="I27">
        <v>63</v>
      </c>
      <c r="J27">
        <v>56</v>
      </c>
      <c r="L27">
        <v>50</v>
      </c>
      <c r="M27">
        <v>270</v>
      </c>
      <c r="N27" t="s">
        <v>76</v>
      </c>
    </row>
    <row r="28" spans="1:14" x14ac:dyDescent="0.35">
      <c r="A28" t="s">
        <v>26</v>
      </c>
      <c r="B28">
        <v>316</v>
      </c>
      <c r="C28">
        <v>156</v>
      </c>
      <c r="H28">
        <v>2473</v>
      </c>
      <c r="I28">
        <v>2540</v>
      </c>
      <c r="J28">
        <v>116</v>
      </c>
      <c r="L28">
        <v>297</v>
      </c>
      <c r="M28">
        <v>5898</v>
      </c>
      <c r="N28" t="s">
        <v>76</v>
      </c>
    </row>
    <row r="29" spans="1:14" x14ac:dyDescent="0.35">
      <c r="A29" t="s">
        <v>27</v>
      </c>
      <c r="B29">
        <v>115</v>
      </c>
      <c r="C29">
        <v>167</v>
      </c>
      <c r="F29">
        <v>110</v>
      </c>
      <c r="G29">
        <v>189</v>
      </c>
      <c r="H29">
        <v>1171</v>
      </c>
      <c r="I29">
        <v>386</v>
      </c>
      <c r="J29">
        <v>175</v>
      </c>
      <c r="L29">
        <v>616</v>
      </c>
      <c r="M29">
        <v>2929</v>
      </c>
      <c r="N29" t="s">
        <v>76</v>
      </c>
    </row>
    <row r="30" spans="1:14" x14ac:dyDescent="0.35">
      <c r="A30" t="s">
        <v>28</v>
      </c>
      <c r="M30">
        <v>0</v>
      </c>
      <c r="N30" t="s">
        <v>76</v>
      </c>
    </row>
    <row r="31" spans="1:14" x14ac:dyDescent="0.35">
      <c r="A31" t="s">
        <v>29</v>
      </c>
      <c r="C31">
        <v>76</v>
      </c>
      <c r="I31">
        <v>113</v>
      </c>
      <c r="L31">
        <v>366</v>
      </c>
      <c r="M31">
        <v>555</v>
      </c>
      <c r="N31" t="s">
        <v>76</v>
      </c>
    </row>
    <row r="32" spans="1:14" x14ac:dyDescent="0.35">
      <c r="A32" t="s">
        <v>30</v>
      </c>
      <c r="B32">
        <v>432</v>
      </c>
      <c r="H32">
        <v>40</v>
      </c>
      <c r="I32">
        <v>175</v>
      </c>
      <c r="L32">
        <v>39</v>
      </c>
      <c r="M32">
        <v>686</v>
      </c>
      <c r="N32" t="s">
        <v>87</v>
      </c>
    </row>
    <row r="33" spans="1:14" x14ac:dyDescent="0.35">
      <c r="A33" t="s">
        <v>31</v>
      </c>
      <c r="B33">
        <v>819</v>
      </c>
      <c r="C33">
        <v>146</v>
      </c>
      <c r="D33">
        <v>161</v>
      </c>
      <c r="G33">
        <v>112</v>
      </c>
      <c r="H33">
        <v>140</v>
      </c>
      <c r="I33">
        <v>580</v>
      </c>
      <c r="J33">
        <v>248</v>
      </c>
      <c r="K33">
        <v>20</v>
      </c>
      <c r="M33">
        <v>2226</v>
      </c>
      <c r="N33" t="s">
        <v>88</v>
      </c>
    </row>
    <row r="34" spans="1:14" x14ac:dyDescent="0.35">
      <c r="A34" t="s">
        <v>32</v>
      </c>
      <c r="B34">
        <v>475</v>
      </c>
      <c r="C34">
        <v>3</v>
      </c>
      <c r="F34">
        <v>247</v>
      </c>
      <c r="G34">
        <v>31</v>
      </c>
      <c r="H34">
        <v>1414</v>
      </c>
      <c r="I34">
        <v>200</v>
      </c>
      <c r="J34">
        <v>121</v>
      </c>
      <c r="L34">
        <v>175</v>
      </c>
      <c r="M34">
        <v>2666</v>
      </c>
      <c r="N34" t="s">
        <v>89</v>
      </c>
    </row>
    <row r="35" spans="1:14" x14ac:dyDescent="0.35">
      <c r="A35" t="s">
        <v>33</v>
      </c>
      <c r="B35">
        <v>370</v>
      </c>
      <c r="C35">
        <v>14</v>
      </c>
      <c r="H35">
        <v>124</v>
      </c>
      <c r="I35">
        <v>305</v>
      </c>
      <c r="J35">
        <v>45</v>
      </c>
      <c r="L35">
        <v>1891</v>
      </c>
      <c r="M35">
        <v>2749</v>
      </c>
      <c r="N35" t="s">
        <v>90</v>
      </c>
    </row>
    <row r="36" spans="1:14" x14ac:dyDescent="0.35">
      <c r="A36" t="s">
        <v>34</v>
      </c>
      <c r="B36">
        <v>4340</v>
      </c>
      <c r="D36">
        <v>459</v>
      </c>
      <c r="H36">
        <v>375</v>
      </c>
      <c r="I36">
        <v>12835</v>
      </c>
      <c r="J36">
        <v>1774</v>
      </c>
      <c r="M36">
        <v>19783</v>
      </c>
      <c r="N36" t="s">
        <v>76</v>
      </c>
    </row>
    <row r="37" spans="1:14" x14ac:dyDescent="0.35">
      <c r="A37" t="s">
        <v>35</v>
      </c>
      <c r="B37">
        <v>11</v>
      </c>
      <c r="F37">
        <v>95</v>
      </c>
      <c r="H37">
        <v>176</v>
      </c>
      <c r="I37">
        <v>355</v>
      </c>
      <c r="L37">
        <v>81</v>
      </c>
      <c r="M37">
        <v>718</v>
      </c>
      <c r="N37" t="s">
        <v>76</v>
      </c>
    </row>
    <row r="38" spans="1:14" x14ac:dyDescent="0.35">
      <c r="A38" t="s">
        <v>36</v>
      </c>
      <c r="M38">
        <v>0</v>
      </c>
      <c r="N38" t="s">
        <v>76</v>
      </c>
    </row>
    <row r="39" spans="1:14" x14ac:dyDescent="0.35">
      <c r="A39" t="s">
        <v>37</v>
      </c>
      <c r="B39">
        <v>434</v>
      </c>
      <c r="C39">
        <v>137</v>
      </c>
      <c r="D39">
        <v>67</v>
      </c>
      <c r="F39">
        <v>171</v>
      </c>
      <c r="H39">
        <v>104</v>
      </c>
      <c r="I39">
        <v>582</v>
      </c>
      <c r="J39">
        <v>36</v>
      </c>
      <c r="L39">
        <v>710</v>
      </c>
      <c r="M39">
        <v>2241</v>
      </c>
      <c r="N39" t="s">
        <v>76</v>
      </c>
    </row>
    <row r="40" spans="1:14" x14ac:dyDescent="0.35">
      <c r="A40" t="s">
        <v>38</v>
      </c>
      <c r="B40">
        <v>10</v>
      </c>
      <c r="G40">
        <v>20</v>
      </c>
      <c r="H40">
        <v>10</v>
      </c>
      <c r="I40">
        <v>40</v>
      </c>
      <c r="L40">
        <v>80</v>
      </c>
      <c r="M40">
        <v>160</v>
      </c>
      <c r="N40" t="s">
        <v>76</v>
      </c>
    </row>
    <row r="41" spans="1:14" x14ac:dyDescent="0.35">
      <c r="A41" t="s">
        <v>39</v>
      </c>
      <c r="B41">
        <v>217</v>
      </c>
      <c r="F41">
        <v>69</v>
      </c>
      <c r="G41">
        <v>51</v>
      </c>
      <c r="H41">
        <v>120</v>
      </c>
      <c r="I41">
        <v>1755</v>
      </c>
      <c r="J41">
        <v>90</v>
      </c>
      <c r="L41">
        <v>186</v>
      </c>
      <c r="M41">
        <v>2488</v>
      </c>
      <c r="N41" t="s">
        <v>76</v>
      </c>
    </row>
    <row r="42" spans="1:14" x14ac:dyDescent="0.35">
      <c r="A42" t="s">
        <v>40</v>
      </c>
      <c r="B42">
        <v>998</v>
      </c>
      <c r="D42">
        <v>805</v>
      </c>
      <c r="F42">
        <v>1291</v>
      </c>
      <c r="I42">
        <v>3154</v>
      </c>
      <c r="J42">
        <v>451</v>
      </c>
      <c r="L42">
        <v>13559</v>
      </c>
      <c r="M42">
        <v>20258</v>
      </c>
      <c r="N42" t="s">
        <v>91</v>
      </c>
    </row>
    <row r="43" spans="1:14" x14ac:dyDescent="0.35">
      <c r="A43" t="s">
        <v>41</v>
      </c>
      <c r="H43">
        <v>307</v>
      </c>
      <c r="I43">
        <v>241</v>
      </c>
      <c r="J43">
        <v>681</v>
      </c>
      <c r="L43">
        <v>484</v>
      </c>
      <c r="M43">
        <v>1713</v>
      </c>
      <c r="N43" t="s">
        <v>76</v>
      </c>
    </row>
    <row r="44" spans="1:14" x14ac:dyDescent="0.35">
      <c r="A44" t="s">
        <v>42</v>
      </c>
      <c r="B44">
        <v>891</v>
      </c>
      <c r="C44">
        <v>1597</v>
      </c>
      <c r="D44">
        <v>80</v>
      </c>
      <c r="F44">
        <v>164</v>
      </c>
      <c r="G44">
        <v>629</v>
      </c>
      <c r="I44">
        <v>4607</v>
      </c>
      <c r="J44">
        <v>428</v>
      </c>
      <c r="L44">
        <v>5457</v>
      </c>
      <c r="M44">
        <v>13853</v>
      </c>
      <c r="N44" t="s">
        <v>92</v>
      </c>
    </row>
    <row r="45" spans="1:14" x14ac:dyDescent="0.35">
      <c r="A45" t="s">
        <v>43</v>
      </c>
      <c r="B45">
        <v>77</v>
      </c>
      <c r="C45">
        <v>37</v>
      </c>
      <c r="F45">
        <v>60</v>
      </c>
      <c r="H45">
        <v>130</v>
      </c>
      <c r="I45">
        <v>240</v>
      </c>
      <c r="J45">
        <v>215</v>
      </c>
      <c r="L45">
        <v>250</v>
      </c>
      <c r="M45">
        <v>1009</v>
      </c>
      <c r="N45" t="s">
        <v>93</v>
      </c>
    </row>
    <row r="46" spans="1:14" x14ac:dyDescent="0.35">
      <c r="A46" t="s">
        <v>44</v>
      </c>
      <c r="B46">
        <v>1997</v>
      </c>
      <c r="C46">
        <v>246</v>
      </c>
      <c r="D46">
        <v>41</v>
      </c>
      <c r="E46">
        <v>220</v>
      </c>
      <c r="F46">
        <v>120</v>
      </c>
      <c r="G46">
        <v>1860</v>
      </c>
      <c r="H46">
        <v>8990</v>
      </c>
      <c r="I46">
        <v>14001</v>
      </c>
      <c r="J46">
        <v>3610</v>
      </c>
      <c r="L46">
        <v>1020</v>
      </c>
      <c r="M46">
        <v>32105</v>
      </c>
      <c r="N46" t="s">
        <v>76</v>
      </c>
    </row>
    <row r="47" spans="1:14" x14ac:dyDescent="0.35">
      <c r="A47" t="s">
        <v>45</v>
      </c>
      <c r="B47">
        <v>115</v>
      </c>
      <c r="E47">
        <v>36</v>
      </c>
      <c r="G47">
        <v>180</v>
      </c>
      <c r="H47">
        <v>1939</v>
      </c>
      <c r="I47">
        <v>5272</v>
      </c>
      <c r="J47">
        <v>282</v>
      </c>
      <c r="K47">
        <v>100</v>
      </c>
      <c r="L47">
        <v>400</v>
      </c>
      <c r="M47">
        <v>8324</v>
      </c>
      <c r="N47" t="s">
        <v>94</v>
      </c>
    </row>
    <row r="48" spans="1:14" x14ac:dyDescent="0.35">
      <c r="A48" t="s">
        <v>46</v>
      </c>
      <c r="B48">
        <v>265</v>
      </c>
      <c r="C48">
        <v>30</v>
      </c>
      <c r="D48">
        <v>80</v>
      </c>
      <c r="E48">
        <v>30</v>
      </c>
      <c r="F48">
        <v>155</v>
      </c>
      <c r="G48">
        <v>30</v>
      </c>
      <c r="H48">
        <v>270</v>
      </c>
      <c r="I48">
        <v>1100</v>
      </c>
      <c r="J48">
        <v>358</v>
      </c>
      <c r="L48">
        <v>421</v>
      </c>
      <c r="M48">
        <v>2739</v>
      </c>
      <c r="N48" t="s">
        <v>95</v>
      </c>
    </row>
    <row r="49" spans="1:13" x14ac:dyDescent="0.35">
      <c r="A49" t="s">
        <v>96</v>
      </c>
      <c r="B49">
        <v>29510</v>
      </c>
      <c r="C49">
        <v>5102</v>
      </c>
      <c r="D49">
        <v>2206</v>
      </c>
      <c r="E49">
        <v>377</v>
      </c>
      <c r="F49">
        <v>5775</v>
      </c>
      <c r="G49">
        <v>6808</v>
      </c>
      <c r="H49">
        <v>33556</v>
      </c>
      <c r="I49">
        <v>117359</v>
      </c>
      <c r="J49">
        <v>17329</v>
      </c>
      <c r="K49">
        <v>1813</v>
      </c>
      <c r="L49">
        <v>40375</v>
      </c>
      <c r="M49">
        <v>260210</v>
      </c>
    </row>
    <row r="50" spans="1:13" x14ac:dyDescent="0.35">
      <c r="A50" t="s">
        <v>59</v>
      </c>
      <c r="L50">
        <v>0.15826630289916427</v>
      </c>
      <c r="M50">
        <v>255108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D617-877D-48C8-9B6D-87EB96AC791C}">
  <dimension ref="A1:B48"/>
  <sheetViews>
    <sheetView topLeftCell="A4" workbookViewId="0">
      <selection activeCell="A18" sqref="A18"/>
    </sheetView>
  </sheetViews>
  <sheetFormatPr defaultRowHeight="14.5" x14ac:dyDescent="0.35"/>
  <cols>
    <col min="1" max="1" width="20.90625" bestFit="1" customWidth="1"/>
  </cols>
  <sheetData>
    <row r="1" spans="1:2" x14ac:dyDescent="0.35">
      <c r="A1" t="s">
        <v>0</v>
      </c>
      <c r="B1" t="s">
        <v>98</v>
      </c>
    </row>
    <row r="2" spans="1:2" x14ac:dyDescent="0.35">
      <c r="A2" t="s">
        <v>5</v>
      </c>
      <c r="B2" t="s">
        <v>99</v>
      </c>
    </row>
    <row r="3" spans="1:2" x14ac:dyDescent="0.35">
      <c r="A3" t="s">
        <v>8</v>
      </c>
      <c r="B3" t="s">
        <v>100</v>
      </c>
    </row>
    <row r="4" spans="1:2" x14ac:dyDescent="0.35">
      <c r="A4" t="s">
        <v>36</v>
      </c>
      <c r="B4" t="s">
        <v>101</v>
      </c>
    </row>
    <row r="5" spans="1:2" x14ac:dyDescent="0.35">
      <c r="A5" t="s">
        <v>13</v>
      </c>
      <c r="B5" t="s">
        <v>102</v>
      </c>
    </row>
    <row r="6" spans="1:2" x14ac:dyDescent="0.35">
      <c r="A6" t="s">
        <v>17</v>
      </c>
      <c r="B6" t="s">
        <v>103</v>
      </c>
    </row>
    <row r="7" spans="1:2" x14ac:dyDescent="0.35">
      <c r="A7" t="s">
        <v>34</v>
      </c>
      <c r="B7" t="s">
        <v>104</v>
      </c>
    </row>
    <row r="8" spans="1:2" x14ac:dyDescent="0.35">
      <c r="A8" t="s">
        <v>18</v>
      </c>
      <c r="B8" t="s">
        <v>105</v>
      </c>
    </row>
    <row r="9" spans="1:2" x14ac:dyDescent="0.35">
      <c r="A9" t="s">
        <v>29</v>
      </c>
      <c r="B9" t="s">
        <v>106</v>
      </c>
    </row>
    <row r="10" spans="1:2" x14ac:dyDescent="0.35">
      <c r="A10" t="s">
        <v>16</v>
      </c>
      <c r="B10" t="s">
        <v>107</v>
      </c>
    </row>
    <row r="11" spans="1:2" x14ac:dyDescent="0.35">
      <c r="A11" t="s">
        <v>24</v>
      </c>
      <c r="B11" t="s">
        <v>108</v>
      </c>
    </row>
    <row r="12" spans="1:2" x14ac:dyDescent="0.35">
      <c r="A12" t="s">
        <v>1</v>
      </c>
      <c r="B12" t="s">
        <v>109</v>
      </c>
    </row>
    <row r="13" spans="1:2" x14ac:dyDescent="0.35">
      <c r="A13" t="s">
        <v>2</v>
      </c>
      <c r="B13" t="s">
        <v>110</v>
      </c>
    </row>
    <row r="14" spans="1:2" x14ac:dyDescent="0.35">
      <c r="A14" t="s">
        <v>3</v>
      </c>
      <c r="B14" t="s">
        <v>111</v>
      </c>
    </row>
    <row r="15" spans="1:2" x14ac:dyDescent="0.35">
      <c r="A15" t="s">
        <v>4</v>
      </c>
      <c r="B15" t="s">
        <v>112</v>
      </c>
    </row>
    <row r="16" spans="1:2" x14ac:dyDescent="0.35">
      <c r="A16" t="s">
        <v>6</v>
      </c>
      <c r="B16" t="s">
        <v>113</v>
      </c>
    </row>
    <row r="17" spans="1:2" x14ac:dyDescent="0.35">
      <c r="A17" t="s">
        <v>12</v>
      </c>
      <c r="B17" t="s">
        <v>114</v>
      </c>
    </row>
    <row r="18" spans="1:2" x14ac:dyDescent="0.35">
      <c r="A18" t="s">
        <v>60</v>
      </c>
      <c r="B18" t="s">
        <v>115</v>
      </c>
    </row>
    <row r="19" spans="1:2" x14ac:dyDescent="0.35">
      <c r="A19" t="s">
        <v>7</v>
      </c>
      <c r="B19" t="s">
        <v>116</v>
      </c>
    </row>
    <row r="20" spans="1:2" x14ac:dyDescent="0.35">
      <c r="A20" t="s">
        <v>9</v>
      </c>
      <c r="B20" t="s">
        <v>117</v>
      </c>
    </row>
    <row r="21" spans="1:2" x14ac:dyDescent="0.35">
      <c r="A21" t="s">
        <v>14</v>
      </c>
      <c r="B21" t="s">
        <v>118</v>
      </c>
    </row>
    <row r="22" spans="1:2" x14ac:dyDescent="0.35">
      <c r="A22" t="s">
        <v>19</v>
      </c>
      <c r="B22" t="s">
        <v>119</v>
      </c>
    </row>
    <row r="23" spans="1:2" x14ac:dyDescent="0.35">
      <c r="A23" t="s">
        <v>20</v>
      </c>
      <c r="B23" t="s">
        <v>120</v>
      </c>
    </row>
    <row r="24" spans="1:2" x14ac:dyDescent="0.35">
      <c r="A24" t="s">
        <v>21</v>
      </c>
      <c r="B24" t="s">
        <v>121</v>
      </c>
    </row>
    <row r="25" spans="1:2" x14ac:dyDescent="0.35">
      <c r="A25" t="s">
        <v>22</v>
      </c>
      <c r="B25" t="s">
        <v>122</v>
      </c>
    </row>
    <row r="26" spans="1:2" x14ac:dyDescent="0.35">
      <c r="A26" t="s">
        <v>23</v>
      </c>
      <c r="B26" t="s">
        <v>123</v>
      </c>
    </row>
    <row r="27" spans="1:2" x14ac:dyDescent="0.35">
      <c r="A27" t="s">
        <v>25</v>
      </c>
      <c r="B27" t="s">
        <v>124</v>
      </c>
    </row>
    <row r="28" spans="1:2" x14ac:dyDescent="0.35">
      <c r="A28" t="s">
        <v>26</v>
      </c>
      <c r="B28" t="s">
        <v>125</v>
      </c>
    </row>
    <row r="29" spans="1:2" x14ac:dyDescent="0.35">
      <c r="A29" t="s">
        <v>27</v>
      </c>
      <c r="B29" t="s">
        <v>126</v>
      </c>
    </row>
    <row r="30" spans="1:2" x14ac:dyDescent="0.35">
      <c r="A30" t="s">
        <v>28</v>
      </c>
      <c r="B30" t="s">
        <v>127</v>
      </c>
    </row>
    <row r="31" spans="1:2" x14ac:dyDescent="0.35">
      <c r="A31" t="s">
        <v>30</v>
      </c>
      <c r="B31" t="s">
        <v>128</v>
      </c>
    </row>
    <row r="32" spans="1:2" x14ac:dyDescent="0.35">
      <c r="A32" t="s">
        <v>31</v>
      </c>
      <c r="B32" t="s">
        <v>129</v>
      </c>
    </row>
    <row r="33" spans="1:2" x14ac:dyDescent="0.35">
      <c r="A33" t="s">
        <v>32</v>
      </c>
      <c r="B33" t="s">
        <v>130</v>
      </c>
    </row>
    <row r="34" spans="1:2" x14ac:dyDescent="0.35">
      <c r="A34" t="s">
        <v>35</v>
      </c>
      <c r="B34" t="s">
        <v>131</v>
      </c>
    </row>
    <row r="35" spans="1:2" x14ac:dyDescent="0.35">
      <c r="A35" t="s">
        <v>37</v>
      </c>
      <c r="B35" t="s">
        <v>132</v>
      </c>
    </row>
    <row r="36" spans="1:2" x14ac:dyDescent="0.35">
      <c r="A36" t="s">
        <v>38</v>
      </c>
      <c r="B36" t="s">
        <v>133</v>
      </c>
    </row>
    <row r="37" spans="1:2" x14ac:dyDescent="0.35">
      <c r="A37" t="s">
        <v>39</v>
      </c>
      <c r="B37" t="s">
        <v>134</v>
      </c>
    </row>
    <row r="38" spans="1:2" x14ac:dyDescent="0.35">
      <c r="A38" t="s">
        <v>40</v>
      </c>
      <c r="B38" t="s">
        <v>135</v>
      </c>
    </row>
    <row r="39" spans="1:2" x14ac:dyDescent="0.35">
      <c r="A39" t="s">
        <v>41</v>
      </c>
      <c r="B39" t="s">
        <v>136</v>
      </c>
    </row>
    <row r="40" spans="1:2" x14ac:dyDescent="0.35">
      <c r="A40" t="s">
        <v>11</v>
      </c>
      <c r="B40" t="s">
        <v>137</v>
      </c>
    </row>
    <row r="41" spans="1:2" x14ac:dyDescent="0.35">
      <c r="A41" t="s">
        <v>33</v>
      </c>
      <c r="B41" t="s">
        <v>138</v>
      </c>
    </row>
    <row r="42" spans="1:2" x14ac:dyDescent="0.35">
      <c r="A42" t="s">
        <v>44</v>
      </c>
      <c r="B42" t="s">
        <v>139</v>
      </c>
    </row>
    <row r="43" spans="1:2" x14ac:dyDescent="0.35">
      <c r="A43" t="s">
        <v>45</v>
      </c>
      <c r="B43" t="s">
        <v>140</v>
      </c>
    </row>
    <row r="44" spans="1:2" x14ac:dyDescent="0.35">
      <c r="A44" t="s">
        <v>46</v>
      </c>
      <c r="B44" t="s">
        <v>141</v>
      </c>
    </row>
    <row r="45" spans="1:2" x14ac:dyDescent="0.35">
      <c r="A45" t="s">
        <v>15</v>
      </c>
      <c r="B45" t="s">
        <v>142</v>
      </c>
    </row>
    <row r="46" spans="1:2" x14ac:dyDescent="0.35">
      <c r="A46" t="s">
        <v>43</v>
      </c>
      <c r="B46" t="s">
        <v>143</v>
      </c>
    </row>
    <row r="47" spans="1:2" x14ac:dyDescent="0.35">
      <c r="A47" t="s">
        <v>10</v>
      </c>
      <c r="B47" t="s">
        <v>144</v>
      </c>
    </row>
    <row r="48" spans="1:2" x14ac:dyDescent="0.35">
      <c r="A48" t="s">
        <v>42</v>
      </c>
      <c r="B48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764C-CB7F-4251-AE90-E2B9AC70528E}">
  <dimension ref="A1:E48"/>
  <sheetViews>
    <sheetView topLeftCell="A30" workbookViewId="0">
      <selection sqref="A1:E48"/>
    </sheetView>
  </sheetViews>
  <sheetFormatPr defaultRowHeight="14.5" x14ac:dyDescent="0.35"/>
  <cols>
    <col min="1" max="1" width="20.90625" bestFit="1" customWidth="1"/>
  </cols>
  <sheetData>
    <row r="1" spans="1:5" x14ac:dyDescent="0.35">
      <c r="A1" t="s">
        <v>0</v>
      </c>
      <c r="B1">
        <v>2013</v>
      </c>
      <c r="C1">
        <v>2018</v>
      </c>
      <c r="D1" t="s">
        <v>62</v>
      </c>
      <c r="E1" t="s">
        <v>63</v>
      </c>
    </row>
    <row r="2" spans="1:5" x14ac:dyDescent="0.35">
      <c r="A2" t="s">
        <v>1</v>
      </c>
      <c r="B2">
        <v>0</v>
      </c>
      <c r="C2">
        <v>57705</v>
      </c>
      <c r="D2">
        <v>5043.8935155116633</v>
      </c>
      <c r="E2">
        <v>0</v>
      </c>
    </row>
    <row r="3" spans="1:5" x14ac:dyDescent="0.35">
      <c r="A3" t="s">
        <v>2</v>
      </c>
      <c r="B3">
        <v>0</v>
      </c>
      <c r="C3">
        <v>46082</v>
      </c>
      <c r="D3">
        <v>66717.353814379763</v>
      </c>
      <c r="E3">
        <v>2950</v>
      </c>
    </row>
    <row r="4" spans="1:5" x14ac:dyDescent="0.35">
      <c r="A4" t="s">
        <v>3</v>
      </c>
      <c r="B4">
        <v>4880</v>
      </c>
      <c r="C4">
        <v>3410</v>
      </c>
      <c r="D4">
        <v>5893</v>
      </c>
      <c r="E4">
        <v>257</v>
      </c>
    </row>
    <row r="5" spans="1:5" x14ac:dyDescent="0.35">
      <c r="A5" t="s">
        <v>4</v>
      </c>
      <c r="B5">
        <v>5816</v>
      </c>
      <c r="C5">
        <v>7645</v>
      </c>
      <c r="D5">
        <v>8028</v>
      </c>
      <c r="E5">
        <v>490</v>
      </c>
    </row>
    <row r="6" spans="1:5" x14ac:dyDescent="0.35">
      <c r="A6" t="s">
        <v>5</v>
      </c>
      <c r="B6">
        <v>6196</v>
      </c>
      <c r="C6">
        <v>10325</v>
      </c>
      <c r="D6">
        <v>13961</v>
      </c>
      <c r="E6">
        <v>1170</v>
      </c>
    </row>
    <row r="7" spans="1:5" x14ac:dyDescent="0.35">
      <c r="A7" t="s">
        <v>6</v>
      </c>
      <c r="B7">
        <v>6573</v>
      </c>
      <c r="C7">
        <v>9156</v>
      </c>
      <c r="D7">
        <v>9372</v>
      </c>
      <c r="E7">
        <v>1467</v>
      </c>
    </row>
    <row r="8" spans="1:5" x14ac:dyDescent="0.35">
      <c r="A8" t="s">
        <v>7</v>
      </c>
      <c r="B8">
        <v>18954</v>
      </c>
      <c r="C8">
        <v>9925</v>
      </c>
      <c r="D8">
        <v>16473</v>
      </c>
      <c r="E8">
        <v>2660</v>
      </c>
    </row>
    <row r="9" spans="1:5" x14ac:dyDescent="0.35">
      <c r="A9" t="s">
        <v>60</v>
      </c>
      <c r="B9">
        <v>403</v>
      </c>
      <c r="C9">
        <v>768</v>
      </c>
      <c r="D9">
        <v>941</v>
      </c>
      <c r="E9">
        <v>0</v>
      </c>
    </row>
    <row r="10" spans="1:5" x14ac:dyDescent="0.35">
      <c r="A10" t="s">
        <v>8</v>
      </c>
      <c r="B10">
        <v>322</v>
      </c>
      <c r="C10">
        <v>1195</v>
      </c>
      <c r="D10">
        <v>648.48014888337468</v>
      </c>
      <c r="E10">
        <v>0</v>
      </c>
    </row>
    <row r="11" spans="1:5" x14ac:dyDescent="0.35">
      <c r="A11" t="s">
        <v>9</v>
      </c>
      <c r="B11">
        <v>3606</v>
      </c>
      <c r="C11">
        <v>4799</v>
      </c>
      <c r="D11">
        <v>3387.151734852408</v>
      </c>
      <c r="E11">
        <v>2920</v>
      </c>
    </row>
    <row r="12" spans="1:5" x14ac:dyDescent="0.35">
      <c r="A12" t="s">
        <v>10</v>
      </c>
      <c r="B12">
        <v>0</v>
      </c>
      <c r="C12">
        <v>747</v>
      </c>
      <c r="D12">
        <v>784.97097407084357</v>
      </c>
      <c r="E12">
        <v>40</v>
      </c>
    </row>
    <row r="13" spans="1:5" x14ac:dyDescent="0.35">
      <c r="A13" t="s">
        <v>11</v>
      </c>
      <c r="B13">
        <v>3289</v>
      </c>
      <c r="C13">
        <v>5081</v>
      </c>
      <c r="D13">
        <v>5573</v>
      </c>
      <c r="E13">
        <v>60</v>
      </c>
    </row>
    <row r="14" spans="1:5" x14ac:dyDescent="0.35">
      <c r="A14" t="s">
        <v>12</v>
      </c>
      <c r="B14">
        <v>8780</v>
      </c>
      <c r="C14">
        <v>15163</v>
      </c>
      <c r="D14">
        <v>19225.233489577877</v>
      </c>
      <c r="E14">
        <v>1007</v>
      </c>
    </row>
    <row r="15" spans="1:5" x14ac:dyDescent="0.35">
      <c r="A15" t="s">
        <v>13</v>
      </c>
      <c r="B15">
        <v>59813</v>
      </c>
      <c r="C15">
        <v>103785</v>
      </c>
      <c r="D15">
        <v>115316</v>
      </c>
      <c r="E15">
        <v>24061</v>
      </c>
    </row>
    <row r="16" spans="1:5" x14ac:dyDescent="0.35">
      <c r="A16" t="s">
        <v>14</v>
      </c>
      <c r="B16">
        <v>0</v>
      </c>
      <c r="C16">
        <v>355</v>
      </c>
      <c r="D16">
        <v>1375</v>
      </c>
      <c r="E16">
        <v>962</v>
      </c>
    </row>
    <row r="17" spans="1:5" x14ac:dyDescent="0.35">
      <c r="A17" t="s">
        <v>15</v>
      </c>
      <c r="B17">
        <v>4262</v>
      </c>
      <c r="C17">
        <v>4971</v>
      </c>
      <c r="D17">
        <v>5007</v>
      </c>
      <c r="E17">
        <v>400</v>
      </c>
    </row>
    <row r="18" spans="1:5" x14ac:dyDescent="0.35">
      <c r="A18" t="s">
        <v>16</v>
      </c>
      <c r="B18">
        <v>3735</v>
      </c>
      <c r="C18">
        <v>4706</v>
      </c>
      <c r="D18">
        <v>5242</v>
      </c>
      <c r="E18">
        <v>160</v>
      </c>
    </row>
    <row r="19" spans="1:5" x14ac:dyDescent="0.35">
      <c r="A19" t="s">
        <v>17</v>
      </c>
      <c r="B19">
        <v>0</v>
      </c>
      <c r="C19">
        <v>61772</v>
      </c>
      <c r="D19">
        <v>131262</v>
      </c>
      <c r="E19">
        <v>6298</v>
      </c>
    </row>
    <row r="20" spans="1:5" x14ac:dyDescent="0.35">
      <c r="A20" t="s">
        <v>18</v>
      </c>
      <c r="B20">
        <v>0</v>
      </c>
      <c r="C20">
        <v>6085</v>
      </c>
      <c r="D20">
        <v>4751.5998777719578</v>
      </c>
      <c r="E20">
        <v>95</v>
      </c>
    </row>
    <row r="21" spans="1:5" x14ac:dyDescent="0.35">
      <c r="A21" t="s">
        <v>19</v>
      </c>
      <c r="B21">
        <v>2386</v>
      </c>
      <c r="C21">
        <v>1498</v>
      </c>
      <c r="D21">
        <v>1429.4036697247707</v>
      </c>
      <c r="E21">
        <v>137</v>
      </c>
    </row>
    <row r="22" spans="1:5" x14ac:dyDescent="0.35">
      <c r="A22" t="s">
        <v>20</v>
      </c>
      <c r="B22">
        <v>37404</v>
      </c>
      <c r="C22">
        <v>125024</v>
      </c>
      <c r="D22">
        <v>124204.27697797566</v>
      </c>
      <c r="E22">
        <v>21271</v>
      </c>
    </row>
    <row r="23" spans="1:5" x14ac:dyDescent="0.35">
      <c r="A23" t="s">
        <v>21</v>
      </c>
      <c r="B23">
        <v>5789</v>
      </c>
      <c r="C23">
        <v>7195</v>
      </c>
      <c r="D23">
        <v>5018.9871797472533</v>
      </c>
      <c r="E23">
        <v>964</v>
      </c>
    </row>
    <row r="24" spans="1:5" x14ac:dyDescent="0.35">
      <c r="A24" t="s">
        <v>22</v>
      </c>
      <c r="B24">
        <v>727</v>
      </c>
      <c r="C24">
        <v>1264</v>
      </c>
      <c r="D24">
        <v>1879</v>
      </c>
      <c r="E24">
        <v>0</v>
      </c>
    </row>
    <row r="25" spans="1:5" x14ac:dyDescent="0.35">
      <c r="A25" t="s">
        <v>23</v>
      </c>
      <c r="B25">
        <v>40292</v>
      </c>
      <c r="C25">
        <v>59901</v>
      </c>
      <c r="D25">
        <v>109659</v>
      </c>
      <c r="E25">
        <v>1070</v>
      </c>
    </row>
    <row r="26" spans="1:5" x14ac:dyDescent="0.35">
      <c r="A26" t="s">
        <v>24</v>
      </c>
      <c r="B26">
        <v>0</v>
      </c>
      <c r="C26">
        <v>6866</v>
      </c>
      <c r="D26">
        <v>1235.4801331049025</v>
      </c>
      <c r="E26">
        <v>376</v>
      </c>
    </row>
    <row r="27" spans="1:5" x14ac:dyDescent="0.35">
      <c r="A27" t="s">
        <v>25</v>
      </c>
      <c r="B27">
        <v>0</v>
      </c>
      <c r="C27">
        <v>8488</v>
      </c>
      <c r="D27">
        <v>4423.7952883834278</v>
      </c>
      <c r="E27">
        <v>63</v>
      </c>
    </row>
    <row r="28" spans="1:5" x14ac:dyDescent="0.35">
      <c r="A28" t="s">
        <v>26</v>
      </c>
      <c r="B28">
        <v>3438</v>
      </c>
      <c r="C28">
        <v>4560</v>
      </c>
      <c r="D28">
        <v>4560</v>
      </c>
      <c r="E28">
        <v>2540</v>
      </c>
    </row>
    <row r="29" spans="1:5" x14ac:dyDescent="0.35">
      <c r="A29" t="s">
        <v>27</v>
      </c>
      <c r="B29">
        <v>3545</v>
      </c>
      <c r="C29">
        <v>7957</v>
      </c>
      <c r="D29">
        <v>9592</v>
      </c>
      <c r="E29">
        <v>386</v>
      </c>
    </row>
    <row r="30" spans="1:5" x14ac:dyDescent="0.35">
      <c r="A30" t="s">
        <v>28</v>
      </c>
      <c r="B30">
        <v>4257</v>
      </c>
      <c r="C30">
        <v>5225</v>
      </c>
      <c r="D30">
        <v>6327</v>
      </c>
      <c r="E30">
        <v>0</v>
      </c>
    </row>
    <row r="31" spans="1:5" x14ac:dyDescent="0.35">
      <c r="A31" t="s">
        <v>29</v>
      </c>
      <c r="B31">
        <v>3846</v>
      </c>
      <c r="C31">
        <v>4066</v>
      </c>
      <c r="D31">
        <v>6503</v>
      </c>
      <c r="E31">
        <v>113</v>
      </c>
    </row>
    <row r="32" spans="1:5" x14ac:dyDescent="0.35">
      <c r="A32" t="s">
        <v>30</v>
      </c>
      <c r="B32">
        <v>3963</v>
      </c>
      <c r="C32">
        <v>4986</v>
      </c>
      <c r="D32">
        <v>4598.8787431180344</v>
      </c>
      <c r="E32">
        <v>175</v>
      </c>
    </row>
    <row r="33" spans="1:5" x14ac:dyDescent="0.35">
      <c r="A33" t="s">
        <v>31</v>
      </c>
      <c r="B33">
        <v>6432</v>
      </c>
      <c r="C33">
        <v>8153</v>
      </c>
      <c r="D33">
        <v>17168</v>
      </c>
      <c r="E33">
        <v>580</v>
      </c>
    </row>
    <row r="34" spans="1:5" x14ac:dyDescent="0.35">
      <c r="A34" t="s">
        <v>32</v>
      </c>
      <c r="B34">
        <v>4110</v>
      </c>
      <c r="C34">
        <v>12956</v>
      </c>
      <c r="D34">
        <v>15558.321723868956</v>
      </c>
      <c r="E34">
        <v>200</v>
      </c>
    </row>
    <row r="35" spans="1:5" x14ac:dyDescent="0.35">
      <c r="A35" t="s">
        <v>33</v>
      </c>
      <c r="B35">
        <v>3533</v>
      </c>
      <c r="C35">
        <v>4107</v>
      </c>
      <c r="D35">
        <v>4565</v>
      </c>
      <c r="E35">
        <v>305</v>
      </c>
    </row>
    <row r="36" spans="1:5" x14ac:dyDescent="0.35">
      <c r="A36" t="s">
        <v>34</v>
      </c>
      <c r="B36">
        <v>74920</v>
      </c>
      <c r="C36">
        <v>180709</v>
      </c>
      <c r="D36">
        <v>220681</v>
      </c>
      <c r="E36">
        <v>12835</v>
      </c>
    </row>
    <row r="37" spans="1:5" x14ac:dyDescent="0.35">
      <c r="A37" t="s">
        <v>35</v>
      </c>
      <c r="B37">
        <v>9625</v>
      </c>
      <c r="C37">
        <v>13345</v>
      </c>
      <c r="D37">
        <v>13501.239749316621</v>
      </c>
      <c r="E37">
        <v>355</v>
      </c>
    </row>
    <row r="38" spans="1:5" x14ac:dyDescent="0.35">
      <c r="A38" t="s">
        <v>36</v>
      </c>
      <c r="B38">
        <v>442</v>
      </c>
      <c r="C38">
        <v>406</v>
      </c>
      <c r="D38">
        <v>440</v>
      </c>
      <c r="E38">
        <v>0</v>
      </c>
    </row>
    <row r="39" spans="1:5" x14ac:dyDescent="0.35">
      <c r="A39" t="s">
        <v>37</v>
      </c>
      <c r="B39">
        <v>1682</v>
      </c>
      <c r="C39">
        <v>4577</v>
      </c>
      <c r="D39">
        <v>4737</v>
      </c>
      <c r="E39">
        <v>582</v>
      </c>
    </row>
    <row r="40" spans="1:5" x14ac:dyDescent="0.35">
      <c r="A40" t="s">
        <v>38</v>
      </c>
      <c r="B40">
        <v>419</v>
      </c>
      <c r="C40">
        <v>1272</v>
      </c>
      <c r="D40">
        <v>1277</v>
      </c>
      <c r="E40">
        <v>40</v>
      </c>
    </row>
    <row r="41" spans="1:5" x14ac:dyDescent="0.35">
      <c r="A41" t="s">
        <v>39</v>
      </c>
      <c r="B41">
        <v>6106</v>
      </c>
      <c r="C41">
        <v>5757</v>
      </c>
      <c r="D41">
        <v>15666</v>
      </c>
      <c r="E41">
        <v>1755</v>
      </c>
    </row>
    <row r="42" spans="1:5" x14ac:dyDescent="0.35">
      <c r="A42" t="s">
        <v>40</v>
      </c>
      <c r="B42">
        <v>58722</v>
      </c>
      <c r="C42">
        <v>287458</v>
      </c>
      <c r="D42">
        <v>397261.24962174537</v>
      </c>
      <c r="E42">
        <v>3154</v>
      </c>
    </row>
    <row r="43" spans="1:5" x14ac:dyDescent="0.35">
      <c r="A43" t="s">
        <v>41</v>
      </c>
      <c r="B43">
        <v>0</v>
      </c>
      <c r="C43">
        <v>3726</v>
      </c>
      <c r="D43">
        <v>4530</v>
      </c>
      <c r="E43">
        <v>241</v>
      </c>
    </row>
    <row r="44" spans="1:5" x14ac:dyDescent="0.35">
      <c r="A44" t="s">
        <v>42</v>
      </c>
      <c r="B44">
        <v>20800</v>
      </c>
      <c r="C44">
        <v>31940</v>
      </c>
      <c r="D44">
        <v>31940</v>
      </c>
      <c r="E44">
        <v>2920</v>
      </c>
    </row>
    <row r="45" spans="1:5" x14ac:dyDescent="0.35">
      <c r="A45" t="s">
        <v>43</v>
      </c>
      <c r="B45">
        <v>1341</v>
      </c>
      <c r="C45">
        <v>1966</v>
      </c>
      <c r="D45">
        <v>2630</v>
      </c>
      <c r="E45">
        <v>240</v>
      </c>
    </row>
    <row r="46" spans="1:5" x14ac:dyDescent="0.35">
      <c r="A46" t="s">
        <v>44</v>
      </c>
      <c r="B46">
        <v>40149</v>
      </c>
      <c r="C46">
        <v>52907</v>
      </c>
      <c r="D46">
        <v>74197</v>
      </c>
      <c r="E46">
        <v>14001</v>
      </c>
    </row>
    <row r="47" spans="1:5" x14ac:dyDescent="0.35">
      <c r="A47" t="s">
        <v>45</v>
      </c>
      <c r="B47">
        <v>0</v>
      </c>
      <c r="C47">
        <v>20746</v>
      </c>
      <c r="D47">
        <v>49975</v>
      </c>
      <c r="E47">
        <v>5272</v>
      </c>
    </row>
    <row r="48" spans="1:5" x14ac:dyDescent="0.35">
      <c r="A48" t="s">
        <v>46</v>
      </c>
      <c r="B48">
        <v>18722</v>
      </c>
      <c r="C48">
        <v>27874</v>
      </c>
      <c r="D48">
        <v>46537</v>
      </c>
      <c r="E48">
        <v>1100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8130-CC6E-4952-8B95-9178869FCE2F}">
  <dimension ref="A1:N48"/>
  <sheetViews>
    <sheetView topLeftCell="D1" workbookViewId="0">
      <selection activeCell="J2" sqref="J2"/>
    </sheetView>
  </sheetViews>
  <sheetFormatPr defaultRowHeight="14.5" x14ac:dyDescent="0.35"/>
  <cols>
    <col min="1" max="1" width="20.90625" bestFit="1" customWidth="1"/>
    <col min="2" max="2" width="20.90625" customWidth="1"/>
    <col min="3" max="3" width="16.54296875" bestFit="1" customWidth="1"/>
    <col min="4" max="4" width="16.08984375" bestFit="1" customWidth="1"/>
    <col min="5" max="5" width="15.90625" bestFit="1" customWidth="1"/>
    <col min="6" max="6" width="15.7265625" bestFit="1" customWidth="1"/>
    <col min="7" max="7" width="26.7265625" bestFit="1" customWidth="1"/>
    <col min="8" max="8" width="26.1796875" bestFit="1" customWidth="1"/>
  </cols>
  <sheetData>
    <row r="1" spans="1:14" x14ac:dyDescent="0.35">
      <c r="A1" t="s">
        <v>0</v>
      </c>
      <c r="B1" t="s">
        <v>146</v>
      </c>
      <c r="C1" t="s">
        <v>47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97</v>
      </c>
      <c r="J1" t="s">
        <v>190</v>
      </c>
      <c r="K1" t="s">
        <v>198</v>
      </c>
      <c r="L1" s="11" t="s">
        <v>199</v>
      </c>
      <c r="M1" t="s">
        <v>200</v>
      </c>
      <c r="N1" s="11" t="s">
        <v>201</v>
      </c>
    </row>
    <row r="2" spans="1:14" x14ac:dyDescent="0.35">
      <c r="A2" t="s">
        <v>1</v>
      </c>
      <c r="B2" t="s">
        <v>109</v>
      </c>
      <c r="C2" s="1">
        <v>75512</v>
      </c>
      <c r="D2" s="1">
        <v>5134.8160000000007</v>
      </c>
      <c r="E2" s="1">
        <v>104776</v>
      </c>
      <c r="F2" s="1">
        <v>4679.8755000000001</v>
      </c>
      <c r="G2" s="1">
        <f>C2+E2</f>
        <v>180288</v>
      </c>
      <c r="H2" s="1">
        <f>D2+F2</f>
        <v>9814.6915000000008</v>
      </c>
      <c r="I2" s="2">
        <f>G2/H2</f>
        <v>18.369196831097543</v>
      </c>
      <c r="J2">
        <f>VLOOKUP(B2,stockgranddensity!B$2:C$48,2,FALSE)</f>
        <v>40.15034554867718</v>
      </c>
      <c r="K2">
        <f>VLOOKUP(B2,Sheet4!A$2:B$48,2,FALSE)</f>
        <v>0.55000000000000004</v>
      </c>
      <c r="L2">
        <f>VLOOKUP(B2,Sheet4!A$2:C$48,3,FALSE)</f>
        <v>0.10730769159999999</v>
      </c>
      <c r="M2" s="2">
        <f>K2*100</f>
        <v>55.000000000000007</v>
      </c>
      <c r="N2" s="2">
        <f>L2*100</f>
        <v>10.730769159999999</v>
      </c>
    </row>
    <row r="3" spans="1:14" x14ac:dyDescent="0.35">
      <c r="A3" t="s">
        <v>2</v>
      </c>
      <c r="B3" t="s">
        <v>110</v>
      </c>
      <c r="C3" s="1">
        <v>8693</v>
      </c>
      <c r="D3" s="1">
        <v>611</v>
      </c>
      <c r="E3" s="1">
        <v>66717.353814379763</v>
      </c>
      <c r="F3" s="1">
        <v>2950</v>
      </c>
      <c r="G3" s="1">
        <f t="shared" ref="G3:G48" si="0">C3+E3</f>
        <v>75410.353814379763</v>
      </c>
      <c r="H3" s="1">
        <f t="shared" ref="H3:H48" si="1">D3+F3</f>
        <v>3561</v>
      </c>
      <c r="I3" s="2">
        <f t="shared" ref="I3:I48" si="2">G3/H3</f>
        <v>21.176735134619424</v>
      </c>
      <c r="J3">
        <f>VLOOKUP(B3,stockgranddensity!B$2:C$48,2,FALSE)</f>
        <v>21.189238630023297</v>
      </c>
      <c r="K3">
        <f>VLOOKUP(B3,Sheet4!A$2:B$48,2,FALSE)</f>
        <v>0.50045872095830901</v>
      </c>
      <c r="L3">
        <f>VLOOKUP(B3,Sheet4!A$2:C$48,3,FALSE)</f>
        <v>5.3643193200000001E-2</v>
      </c>
      <c r="M3" s="2">
        <f t="shared" ref="M3:M48" si="3">K3*100</f>
        <v>50.045872095830902</v>
      </c>
      <c r="N3" s="2">
        <f t="shared" ref="N3:N48" si="4">L3*100</f>
        <v>5.3643193199999999</v>
      </c>
    </row>
    <row r="4" spans="1:14" x14ac:dyDescent="0.35">
      <c r="A4" t="s">
        <v>3</v>
      </c>
      <c r="B4" t="s">
        <v>111</v>
      </c>
      <c r="C4" s="1">
        <v>2608</v>
      </c>
      <c r="D4" s="1">
        <v>780</v>
      </c>
      <c r="E4" s="1">
        <v>5893</v>
      </c>
      <c r="F4" s="1">
        <v>257</v>
      </c>
      <c r="G4" s="1">
        <f t="shared" si="0"/>
        <v>8501</v>
      </c>
      <c r="H4" s="1">
        <f t="shared" si="1"/>
        <v>1037</v>
      </c>
      <c r="I4" s="2">
        <f t="shared" si="2"/>
        <v>8.1976856316297013</v>
      </c>
      <c r="J4">
        <f>VLOOKUP(B4,stockgranddensity!B$2:C$48,2,FALSE)</f>
        <v>6.3664244614488705</v>
      </c>
      <c r="K4">
        <f>VLOOKUP(B4,Sheet4!A$2:B$48,2,FALSE)</f>
        <v>0.473026044369111</v>
      </c>
      <c r="L4">
        <f>VLOOKUP(B4,Sheet4!A$2:C$48,3,FALSE)</f>
        <v>4.5545940399999998E-2</v>
      </c>
      <c r="M4" s="2">
        <f t="shared" si="3"/>
        <v>47.302604436911096</v>
      </c>
      <c r="N4" s="2">
        <f t="shared" si="4"/>
        <v>4.5545940399999996</v>
      </c>
    </row>
    <row r="5" spans="1:14" x14ac:dyDescent="0.35">
      <c r="A5" t="s">
        <v>4</v>
      </c>
      <c r="B5" t="s">
        <v>112</v>
      </c>
      <c r="C5" s="1">
        <v>992</v>
      </c>
      <c r="D5" s="1">
        <v>60</v>
      </c>
      <c r="E5" s="1">
        <v>8028</v>
      </c>
      <c r="F5" s="1">
        <v>490</v>
      </c>
      <c r="G5" s="1">
        <f t="shared" si="0"/>
        <v>9020</v>
      </c>
      <c r="H5" s="1">
        <f t="shared" si="1"/>
        <v>550</v>
      </c>
      <c r="I5" s="2">
        <f t="shared" si="2"/>
        <v>16.399999999999999</v>
      </c>
      <c r="J5">
        <f>VLOOKUP(B5,stockgranddensity!B$2:C$48,2,FALSE)</f>
        <v>34.292718386067548</v>
      </c>
      <c r="K5">
        <f>VLOOKUP(B5,Sheet4!A$2:B$48,2,FALSE)</f>
        <v>0.52100000000000002</v>
      </c>
      <c r="L5">
        <f>VLOOKUP(B5,Sheet4!A$2:C$48,3,FALSE)</f>
        <v>0.12006065370000001</v>
      </c>
      <c r="M5" s="2">
        <f t="shared" si="3"/>
        <v>52.1</v>
      </c>
      <c r="N5" s="2">
        <f t="shared" si="4"/>
        <v>12.00606537</v>
      </c>
    </row>
    <row r="6" spans="1:14" x14ac:dyDescent="0.35">
      <c r="A6" t="s">
        <v>5</v>
      </c>
      <c r="B6" t="s">
        <v>99</v>
      </c>
      <c r="C6" s="1">
        <v>3323</v>
      </c>
      <c r="D6" s="1">
        <v>1492</v>
      </c>
      <c r="E6" s="1">
        <v>13961</v>
      </c>
      <c r="F6" s="1">
        <v>1170</v>
      </c>
      <c r="G6" s="1">
        <f t="shared" si="0"/>
        <v>17284</v>
      </c>
      <c r="H6" s="1">
        <f t="shared" si="1"/>
        <v>2662</v>
      </c>
      <c r="I6" s="2">
        <f t="shared" si="2"/>
        <v>6.4928625093914354</v>
      </c>
      <c r="J6">
        <f>VLOOKUP(B6,stockgranddensity!B$2:C$48,2,FALSE)</f>
        <v>7.6229079232639005</v>
      </c>
      <c r="K6">
        <f>VLOOKUP(B6,Sheet4!A$2:B$48,2,FALSE)</f>
        <v>0.32880543493854802</v>
      </c>
      <c r="L6">
        <f>VLOOKUP(B6,Sheet4!A$2:C$48,3,FALSE)</f>
        <v>0.11463944440000001</v>
      </c>
      <c r="M6" s="2">
        <f t="shared" si="3"/>
        <v>32.880543493854802</v>
      </c>
      <c r="N6" s="2">
        <f t="shared" si="4"/>
        <v>11.463944440000001</v>
      </c>
    </row>
    <row r="7" spans="1:14" x14ac:dyDescent="0.35">
      <c r="A7" t="s">
        <v>6</v>
      </c>
      <c r="B7" t="s">
        <v>113</v>
      </c>
      <c r="C7" s="1">
        <v>1014.8610394397346</v>
      </c>
      <c r="D7" s="1">
        <v>325</v>
      </c>
      <c r="E7" s="1">
        <v>9372</v>
      </c>
      <c r="F7" s="1">
        <v>1467</v>
      </c>
      <c r="G7" s="1">
        <f t="shared" si="0"/>
        <v>10386.861039439735</v>
      </c>
      <c r="H7" s="1">
        <f t="shared" si="1"/>
        <v>1792</v>
      </c>
      <c r="I7" s="2">
        <f t="shared" si="2"/>
        <v>5.7962394193302087</v>
      </c>
      <c r="J7">
        <f>VLOOKUP(B7,stockgranddensity!B$2:C$48,2,FALSE)</f>
        <v>8.0583415905400297</v>
      </c>
      <c r="K7">
        <f>VLOOKUP(B7,Sheet4!A$2:B$48,2,FALSE)</f>
        <v>0.26769999999999999</v>
      </c>
      <c r="L7">
        <f>VLOOKUP(B7,Sheet4!A$2:C$48,3,FALSE)</f>
        <v>8.3128080399999998E-2</v>
      </c>
      <c r="M7" s="2">
        <f t="shared" si="3"/>
        <v>26.77</v>
      </c>
      <c r="N7" s="2">
        <f t="shared" si="4"/>
        <v>8.3128080400000002</v>
      </c>
    </row>
    <row r="8" spans="1:14" x14ac:dyDescent="0.35">
      <c r="A8" t="s">
        <v>7</v>
      </c>
      <c r="B8" t="s">
        <v>116</v>
      </c>
      <c r="C8" s="1">
        <v>3759</v>
      </c>
      <c r="D8" s="1">
        <v>800</v>
      </c>
      <c r="E8" s="1">
        <v>16473</v>
      </c>
      <c r="F8" s="1">
        <v>2660</v>
      </c>
      <c r="G8" s="1">
        <f t="shared" si="0"/>
        <v>20232</v>
      </c>
      <c r="H8" s="1">
        <f t="shared" si="1"/>
        <v>3460</v>
      </c>
      <c r="I8" s="2">
        <f t="shared" si="2"/>
        <v>5.8473988439306357</v>
      </c>
      <c r="J8">
        <f>VLOOKUP(B8,stockgranddensity!B$2:C$48,2,FALSE)</f>
        <v>7.2478366244770029</v>
      </c>
      <c r="K8">
        <f>VLOOKUP(B8,Sheet4!A$2:B$48,2,FALSE)</f>
        <v>0.60169835832363905</v>
      </c>
      <c r="L8">
        <f>VLOOKUP(B8,Sheet4!A$2:C$48,3,FALSE)</f>
        <v>3.6992728700000005E-2</v>
      </c>
      <c r="M8" s="2">
        <f t="shared" si="3"/>
        <v>60.169835832363901</v>
      </c>
      <c r="N8" s="2">
        <f t="shared" si="4"/>
        <v>3.6992728700000006</v>
      </c>
    </row>
    <row r="9" spans="1:14" x14ac:dyDescent="0.35">
      <c r="A9" t="s">
        <v>60</v>
      </c>
      <c r="B9" t="s">
        <v>115</v>
      </c>
      <c r="C9" s="1">
        <v>2644</v>
      </c>
      <c r="D9" s="1">
        <v>179.792</v>
      </c>
      <c r="E9" s="1">
        <v>941</v>
      </c>
      <c r="F9" s="1">
        <v>76.315100000000001</v>
      </c>
      <c r="G9" s="1">
        <f t="shared" si="0"/>
        <v>3585</v>
      </c>
      <c r="H9" s="1">
        <f t="shared" si="1"/>
        <v>256.1071</v>
      </c>
      <c r="I9" s="2">
        <f t="shared" si="2"/>
        <v>13.998050034536332</v>
      </c>
      <c r="J9">
        <f>VLOOKUP(B9,stockgranddensity!B$2:C$48,2,FALSE)</f>
        <v>60.440074551188182</v>
      </c>
      <c r="K9">
        <f>VLOOKUP(B9,Sheet4!A$2:B$48,2,FALSE)</f>
        <v>0.32863412813189302</v>
      </c>
      <c r="L9">
        <f>VLOOKUP(B9,Sheet4!A$2:C$48,3,FALSE)</f>
        <v>0.10392424580000001</v>
      </c>
      <c r="M9" s="2">
        <f t="shared" si="3"/>
        <v>32.863412813189299</v>
      </c>
      <c r="N9" s="2">
        <f t="shared" si="4"/>
        <v>10.39242458</v>
      </c>
    </row>
    <row r="10" spans="1:14" x14ac:dyDescent="0.35">
      <c r="A10" t="s">
        <v>8</v>
      </c>
      <c r="B10" t="s">
        <v>100</v>
      </c>
      <c r="C10" s="1">
        <v>146.38957816377172</v>
      </c>
      <c r="D10" s="1">
        <v>18</v>
      </c>
      <c r="E10" s="1">
        <v>648.48014888337468</v>
      </c>
      <c r="F10" s="1">
        <v>105.05378411910671</v>
      </c>
      <c r="G10" s="1">
        <f t="shared" si="0"/>
        <v>794.8697270471464</v>
      </c>
      <c r="H10" s="1">
        <f t="shared" si="1"/>
        <v>123.05378411910671</v>
      </c>
      <c r="I10" s="2">
        <f t="shared" si="2"/>
        <v>6.4595309501231828</v>
      </c>
      <c r="J10">
        <f>VLOOKUP(B10,stockgranddensity!B$2:C$48,2,FALSE)</f>
        <v>1.42471640503089</v>
      </c>
      <c r="K10">
        <f>VLOOKUP(B10,Sheet4!A$2:B$48,2,FALSE)</f>
        <v>0.60169835832363905</v>
      </c>
      <c r="L10">
        <f>VLOOKUP(B10,Sheet4!A$2:C$48,3,FALSE)</f>
        <v>4.8423175799999996E-2</v>
      </c>
      <c r="M10" s="2">
        <f t="shared" si="3"/>
        <v>60.169835832363901</v>
      </c>
      <c r="N10" s="2">
        <f t="shared" si="4"/>
        <v>4.8423175799999996</v>
      </c>
    </row>
    <row r="11" spans="1:14" x14ac:dyDescent="0.35">
      <c r="A11" t="s">
        <v>9</v>
      </c>
      <c r="B11" t="s">
        <v>117</v>
      </c>
      <c r="C11" s="1">
        <v>1507</v>
      </c>
      <c r="D11" s="1">
        <v>330</v>
      </c>
      <c r="E11" s="1">
        <v>3387.151734852408</v>
      </c>
      <c r="F11" s="1">
        <v>2920</v>
      </c>
      <c r="G11" s="1">
        <f t="shared" si="0"/>
        <v>4894.1517348524085</v>
      </c>
      <c r="H11" s="1">
        <f t="shared" si="1"/>
        <v>3250</v>
      </c>
      <c r="I11" s="2">
        <f t="shared" si="2"/>
        <v>1.5058928414930488</v>
      </c>
      <c r="J11">
        <f>VLOOKUP(B11,stockgranddensity!B$2:C$48,2,FALSE)</f>
        <v>2.761420125367863</v>
      </c>
      <c r="K11">
        <f>VLOOKUP(B11,Sheet4!A$2:B$48,2,FALSE)</f>
        <v>0.35310312003413502</v>
      </c>
      <c r="L11">
        <f>VLOOKUP(B11,Sheet4!A$2:C$48,3,FALSE)</f>
        <v>4.8723001500000002E-2</v>
      </c>
      <c r="M11" s="2">
        <f t="shared" si="3"/>
        <v>35.3103120034135</v>
      </c>
      <c r="N11" s="2">
        <f t="shared" si="4"/>
        <v>4.8723001500000001</v>
      </c>
    </row>
    <row r="12" spans="1:14" x14ac:dyDescent="0.35">
      <c r="A12" t="s">
        <v>10</v>
      </c>
      <c r="B12" t="s">
        <v>144</v>
      </c>
      <c r="C12" s="1">
        <v>354</v>
      </c>
      <c r="D12" s="1">
        <v>24.072000000000003</v>
      </c>
      <c r="E12" s="1">
        <v>784.97097407084357</v>
      </c>
      <c r="F12" s="1">
        <v>40</v>
      </c>
      <c r="G12" s="1">
        <f t="shared" si="0"/>
        <v>1138.9709740708436</v>
      </c>
      <c r="H12" s="1">
        <f t="shared" si="1"/>
        <v>64.072000000000003</v>
      </c>
      <c r="I12" s="2">
        <f t="shared" si="2"/>
        <v>17.776422993988692</v>
      </c>
      <c r="J12">
        <f>VLOOKUP(B12,stockgranddensity!B$2:C$48,2,FALSE)</f>
        <v>13.611460856143795</v>
      </c>
      <c r="K12">
        <f>VLOOKUP(B12,Sheet4!A$2:B$48,2,FALSE)</f>
        <v>0.65</v>
      </c>
      <c r="L12">
        <f>VLOOKUP(B12,Sheet4!A$2:C$48,3,FALSE)</f>
        <v>4.1246685999999998E-2</v>
      </c>
      <c r="M12" s="2">
        <f t="shared" si="3"/>
        <v>65</v>
      </c>
      <c r="N12" s="2">
        <f t="shared" si="4"/>
        <v>4.1246685999999997</v>
      </c>
    </row>
    <row r="13" spans="1:14" x14ac:dyDescent="0.35">
      <c r="A13" t="s">
        <v>11</v>
      </c>
      <c r="B13" t="s">
        <v>137</v>
      </c>
      <c r="C13" s="1">
        <v>1042</v>
      </c>
      <c r="D13" s="1">
        <v>60</v>
      </c>
      <c r="E13" s="1">
        <v>5573</v>
      </c>
      <c r="F13" s="1">
        <v>60</v>
      </c>
      <c r="G13" s="1">
        <f t="shared" si="0"/>
        <v>6615</v>
      </c>
      <c r="H13" s="1">
        <f t="shared" si="1"/>
        <v>120</v>
      </c>
      <c r="I13" s="2">
        <f t="shared" si="2"/>
        <v>55.125</v>
      </c>
      <c r="J13">
        <f>VLOOKUP(B13,stockgranddensity!B$2:C$48,2,FALSE)</f>
        <v>11.079615116112354</v>
      </c>
      <c r="K13">
        <f>VLOOKUP(B13,Sheet4!A$2:B$48,2,FALSE)</f>
        <v>0.43066371754243699</v>
      </c>
      <c r="L13">
        <f>VLOOKUP(B13,Sheet4!A$2:C$48,3,FALSE)</f>
        <v>8.2168407400000004E-2</v>
      </c>
      <c r="M13" s="2">
        <f t="shared" si="3"/>
        <v>43.066371754243697</v>
      </c>
      <c r="N13" s="2">
        <f t="shared" si="4"/>
        <v>8.2168407400000003</v>
      </c>
    </row>
    <row r="14" spans="1:14" x14ac:dyDescent="0.35">
      <c r="A14" t="s">
        <v>12</v>
      </c>
      <c r="B14" t="s">
        <v>114</v>
      </c>
      <c r="C14" s="1">
        <v>6327.5519796794806</v>
      </c>
      <c r="D14" s="1">
        <v>254</v>
      </c>
      <c r="E14" s="1">
        <v>19225.233489577877</v>
      </c>
      <c r="F14" s="1">
        <v>1007</v>
      </c>
      <c r="G14" s="1">
        <f t="shared" si="0"/>
        <v>25552.785469257356</v>
      </c>
      <c r="H14" s="1">
        <f t="shared" si="1"/>
        <v>1261</v>
      </c>
      <c r="I14" s="2">
        <f t="shared" si="2"/>
        <v>20.263906002583152</v>
      </c>
      <c r="J14">
        <f>VLOOKUP(B14,stockgranddensity!B$2:C$48,2,FALSE)</f>
        <v>9.0739677579923601</v>
      </c>
      <c r="K14">
        <f>VLOOKUP(B14,Sheet4!A$2:B$48,2,FALSE)</f>
        <v>0.373</v>
      </c>
      <c r="L14">
        <f>VLOOKUP(B14,Sheet4!A$2:C$48,3,FALSE)</f>
        <v>6.6596483200000001E-2</v>
      </c>
      <c r="M14" s="2">
        <f t="shared" si="3"/>
        <v>37.299999999999997</v>
      </c>
      <c r="N14" s="2">
        <f t="shared" si="4"/>
        <v>6.6596483200000005</v>
      </c>
    </row>
    <row r="15" spans="1:14" x14ac:dyDescent="0.35">
      <c r="A15" t="s">
        <v>13</v>
      </c>
      <c r="B15" t="s">
        <v>102</v>
      </c>
      <c r="C15" s="1">
        <v>21289.958719118578</v>
      </c>
      <c r="D15" s="1">
        <v>6020</v>
      </c>
      <c r="E15" s="1">
        <v>115316</v>
      </c>
      <c r="F15" s="1">
        <v>24061</v>
      </c>
      <c r="G15" s="1">
        <f t="shared" si="0"/>
        <v>136605.95871911859</v>
      </c>
      <c r="H15" s="1">
        <f t="shared" si="1"/>
        <v>30081</v>
      </c>
      <c r="I15" s="2">
        <f t="shared" si="2"/>
        <v>4.5412705268813731</v>
      </c>
      <c r="J15">
        <f>VLOOKUP(B15,stockgranddensity!B$2:C$48,2,FALSE)</f>
        <v>13.797158490996726</v>
      </c>
      <c r="K15">
        <f>VLOOKUP(B15,Sheet4!A$2:B$48,2,FALSE)</f>
        <v>0.473026044369111</v>
      </c>
      <c r="L15">
        <f>VLOOKUP(B15,Sheet4!A$2:C$48,3,FALSE)</f>
        <v>6.2699966400000001E-2</v>
      </c>
      <c r="M15" s="2">
        <f t="shared" si="3"/>
        <v>47.302604436911096</v>
      </c>
      <c r="N15" s="2">
        <f t="shared" si="4"/>
        <v>6.2699966400000005</v>
      </c>
    </row>
    <row r="16" spans="1:14" x14ac:dyDescent="0.35">
      <c r="A16" t="s">
        <v>14</v>
      </c>
      <c r="B16" t="s">
        <v>118</v>
      </c>
      <c r="C16" s="1">
        <v>274.68237599257924</v>
      </c>
      <c r="D16" s="1">
        <v>767</v>
      </c>
      <c r="E16" s="1">
        <v>1375</v>
      </c>
      <c r="F16" s="1">
        <v>962</v>
      </c>
      <c r="G16" s="1">
        <f t="shared" si="0"/>
        <v>1649.6823759925792</v>
      </c>
      <c r="H16" s="1">
        <f t="shared" si="1"/>
        <v>1729</v>
      </c>
      <c r="I16" s="2">
        <f t="shared" si="2"/>
        <v>0.95412514516632685</v>
      </c>
      <c r="J16">
        <f>VLOOKUP(B16,stockgranddensity!B$2:C$48,2,FALSE)</f>
        <v>9.8493909874009749</v>
      </c>
      <c r="K16">
        <f>VLOOKUP(B16,Sheet4!A$2:B$48,2,FALSE)</f>
        <v>0.473026044369111</v>
      </c>
      <c r="L16">
        <f>VLOOKUP(B16,Sheet4!A$2:C$48,3,FALSE)</f>
        <v>5.2922940299999999E-2</v>
      </c>
      <c r="M16" s="2">
        <f t="shared" si="3"/>
        <v>47.302604436911096</v>
      </c>
      <c r="N16" s="2">
        <f t="shared" si="4"/>
        <v>5.2922940299999999</v>
      </c>
    </row>
    <row r="17" spans="1:14" x14ac:dyDescent="0.35">
      <c r="A17" t="s">
        <v>15</v>
      </c>
      <c r="B17" t="s">
        <v>142</v>
      </c>
      <c r="C17" s="1">
        <v>298.81764752330793</v>
      </c>
      <c r="D17" s="1">
        <v>61.556435389801429</v>
      </c>
      <c r="E17" s="1">
        <v>5007</v>
      </c>
      <c r="F17" s="1">
        <v>399.99999999999994</v>
      </c>
      <c r="G17" s="1">
        <f t="shared" si="0"/>
        <v>5305.8176475233076</v>
      </c>
      <c r="H17" s="1">
        <f t="shared" si="1"/>
        <v>461.55643538980138</v>
      </c>
      <c r="I17" s="2">
        <f t="shared" si="2"/>
        <v>11.49549056345049</v>
      </c>
      <c r="J17">
        <f>VLOOKUP(B17,stockgranddensity!B$2:C$48,2,FALSE)</f>
        <v>14.402204887562185</v>
      </c>
      <c r="K17">
        <f>VLOOKUP(B17,Sheet4!A$2:B$48,2,FALSE)</f>
        <v>0.67300000000000004</v>
      </c>
      <c r="L17">
        <f>VLOOKUP(B17,Sheet4!A$2:C$48,3,FALSE)</f>
        <v>2.3541069000000001E-2</v>
      </c>
      <c r="M17" s="2">
        <f t="shared" si="3"/>
        <v>67.300000000000011</v>
      </c>
      <c r="N17" s="2">
        <f t="shared" si="4"/>
        <v>2.3541069000000001</v>
      </c>
    </row>
    <row r="18" spans="1:14" x14ac:dyDescent="0.35">
      <c r="A18" t="s">
        <v>16</v>
      </c>
      <c r="B18" t="s">
        <v>107</v>
      </c>
      <c r="C18" s="1">
        <v>687</v>
      </c>
      <c r="D18" s="1">
        <v>46.716000000000001</v>
      </c>
      <c r="E18" s="1">
        <v>5242</v>
      </c>
      <c r="F18" s="1">
        <v>160</v>
      </c>
      <c r="G18" s="1">
        <f t="shared" si="0"/>
        <v>5929</v>
      </c>
      <c r="H18" s="1">
        <f t="shared" si="1"/>
        <v>206.71600000000001</v>
      </c>
      <c r="I18" s="2">
        <f t="shared" si="2"/>
        <v>28.681863039145494</v>
      </c>
      <c r="J18">
        <f>VLOOKUP(B18,stockgranddensity!B$2:C$48,2,FALSE)</f>
        <v>49.339648431079915</v>
      </c>
      <c r="K18">
        <f>VLOOKUP(B18,Sheet4!A$2:B$48,2,FALSE)</f>
        <v>0.3</v>
      </c>
      <c r="L18">
        <f>VLOOKUP(B18,Sheet4!A$2:C$48,3,FALSE)</f>
        <v>9.9682931900000007E-2</v>
      </c>
      <c r="M18" s="2">
        <f t="shared" si="3"/>
        <v>30</v>
      </c>
      <c r="N18" s="2">
        <f t="shared" si="4"/>
        <v>9.9682931900000007</v>
      </c>
    </row>
    <row r="19" spans="1:14" x14ac:dyDescent="0.35">
      <c r="A19" t="s">
        <v>17</v>
      </c>
      <c r="B19" t="s">
        <v>103</v>
      </c>
      <c r="C19" s="1">
        <v>23741</v>
      </c>
      <c r="D19" s="1">
        <v>3114.0000000000005</v>
      </c>
      <c r="E19" s="1">
        <v>131262</v>
      </c>
      <c r="F19" s="1">
        <v>6298</v>
      </c>
      <c r="G19" s="1">
        <f t="shared" si="0"/>
        <v>155003</v>
      </c>
      <c r="H19" s="1">
        <f t="shared" si="1"/>
        <v>9412</v>
      </c>
      <c r="I19" s="2">
        <f t="shared" si="2"/>
        <v>16.468657033574161</v>
      </c>
      <c r="J19">
        <f>VLOOKUP(B19,stockgranddensity!B$2:C$48,2,FALSE)</f>
        <v>12.563064909315935</v>
      </c>
      <c r="K19">
        <f>VLOOKUP(B19,Sheet4!A$2:B$48,2,FALSE)</f>
        <v>0.18662367321998</v>
      </c>
      <c r="L19">
        <f>VLOOKUP(B19,Sheet4!A$2:C$48,3,FALSE)</f>
        <v>6.79223251E-2</v>
      </c>
      <c r="M19" s="2">
        <f t="shared" si="3"/>
        <v>18.662367321998001</v>
      </c>
      <c r="N19" s="2">
        <f t="shared" si="4"/>
        <v>6.7922325099999998</v>
      </c>
    </row>
    <row r="20" spans="1:14" x14ac:dyDescent="0.35">
      <c r="A20" t="s">
        <v>18</v>
      </c>
      <c r="B20" t="s">
        <v>105</v>
      </c>
      <c r="C20" s="1">
        <v>1265.3898201501661</v>
      </c>
      <c r="D20" s="1">
        <v>46.000000000000007</v>
      </c>
      <c r="E20" s="1">
        <v>4751.5998777719578</v>
      </c>
      <c r="F20" s="1">
        <v>95</v>
      </c>
      <c r="G20" s="1">
        <f t="shared" si="0"/>
        <v>6016.9896979221239</v>
      </c>
      <c r="H20" s="1">
        <f t="shared" si="1"/>
        <v>141</v>
      </c>
      <c r="I20" s="2">
        <f t="shared" si="2"/>
        <v>42.673685800866124</v>
      </c>
      <c r="J20">
        <f>VLOOKUP(B20,stockgranddensity!B$2:C$48,2,FALSE)</f>
        <v>25.186306352665916</v>
      </c>
      <c r="K20">
        <f>VLOOKUP(B20,Sheet4!A$2:B$48,2,FALSE)</f>
        <v>0.487577741763977</v>
      </c>
      <c r="L20">
        <f>VLOOKUP(B20,Sheet4!A$2:C$48,3,FALSE)</f>
        <v>9.5915584600000006E-2</v>
      </c>
      <c r="M20" s="2">
        <f t="shared" si="3"/>
        <v>48.757774176397703</v>
      </c>
      <c r="N20" s="2">
        <f t="shared" si="4"/>
        <v>9.5915584599999999</v>
      </c>
    </row>
    <row r="21" spans="1:14" x14ac:dyDescent="0.35">
      <c r="A21" t="s">
        <v>19</v>
      </c>
      <c r="B21" t="s">
        <v>119</v>
      </c>
      <c r="C21" s="1">
        <v>273.86722731906218</v>
      </c>
      <c r="D21" s="1">
        <v>23</v>
      </c>
      <c r="E21" s="1">
        <v>1429.4036697247707</v>
      </c>
      <c r="F21" s="1">
        <v>137</v>
      </c>
      <c r="G21" s="1">
        <f t="shared" si="0"/>
        <v>1703.270897043833</v>
      </c>
      <c r="H21" s="1">
        <f t="shared" si="1"/>
        <v>160</v>
      </c>
      <c r="I21" s="2">
        <f t="shared" si="2"/>
        <v>10.645443106523956</v>
      </c>
      <c r="J21">
        <f>VLOOKUP(B21,stockgranddensity!B$2:C$48,2,FALSE)</f>
        <v>6.294441731697038</v>
      </c>
      <c r="K21">
        <f>VLOOKUP(B21,Sheet4!A$2:B$48,2,FALSE)</f>
        <v>0.170669454827377</v>
      </c>
      <c r="L21">
        <f>VLOOKUP(B21,Sheet4!A$2:C$48,3,FALSE)</f>
        <v>5.4796643300000003E-2</v>
      </c>
      <c r="M21" s="2">
        <f t="shared" si="3"/>
        <v>17.066945482737701</v>
      </c>
      <c r="N21" s="2">
        <f t="shared" si="4"/>
        <v>5.4796643300000003</v>
      </c>
    </row>
    <row r="22" spans="1:14" x14ac:dyDescent="0.35">
      <c r="A22" t="s">
        <v>20</v>
      </c>
      <c r="B22" t="s">
        <v>120</v>
      </c>
      <c r="C22" s="1">
        <v>4726</v>
      </c>
      <c r="D22" s="1">
        <v>1566</v>
      </c>
      <c r="E22" s="1">
        <v>124204.27697797566</v>
      </c>
      <c r="F22" s="1">
        <v>21271</v>
      </c>
      <c r="G22" s="1">
        <f t="shared" si="0"/>
        <v>128930.27697797566</v>
      </c>
      <c r="H22" s="1">
        <f t="shared" si="1"/>
        <v>22837</v>
      </c>
      <c r="I22" s="2">
        <f t="shared" si="2"/>
        <v>5.6456748687645337</v>
      </c>
      <c r="J22">
        <f>VLOOKUP(B22,stockgranddensity!B$2:C$48,2,FALSE)</f>
        <v>38.514391127775333</v>
      </c>
      <c r="K22">
        <f>VLOOKUP(B22,Sheet4!A$2:B$48,2,FALSE)</f>
        <v>0.57699999999999996</v>
      </c>
      <c r="L22">
        <f>VLOOKUP(B22,Sheet4!A$2:C$48,3,FALSE)</f>
        <v>6.8515443800000006E-2</v>
      </c>
      <c r="M22" s="2">
        <f t="shared" si="3"/>
        <v>57.699999999999996</v>
      </c>
      <c r="N22" s="2">
        <f t="shared" si="4"/>
        <v>6.8515443800000009</v>
      </c>
    </row>
    <row r="23" spans="1:14" x14ac:dyDescent="0.35">
      <c r="A23" t="s">
        <v>21</v>
      </c>
      <c r="B23" t="s">
        <v>121</v>
      </c>
      <c r="C23" s="1">
        <v>341.34169736316329</v>
      </c>
      <c r="D23" s="1">
        <v>767</v>
      </c>
      <c r="E23" s="1">
        <v>5018.9871797472533</v>
      </c>
      <c r="F23" s="1">
        <v>964</v>
      </c>
      <c r="G23" s="1">
        <f t="shared" si="0"/>
        <v>5360.3288771104162</v>
      </c>
      <c r="H23" s="1">
        <f t="shared" si="1"/>
        <v>1731</v>
      </c>
      <c r="I23" s="2">
        <f t="shared" si="2"/>
        <v>3.096666017972511</v>
      </c>
      <c r="J23">
        <f>VLOOKUP(B23,stockgranddensity!B$2:C$48,2,FALSE)</f>
        <v>3.8676651873228853</v>
      </c>
      <c r="K23">
        <f>VLOOKUP(B23,Sheet4!A$2:B$48,2,FALSE)</f>
        <v>0.391998679499238</v>
      </c>
      <c r="L23">
        <f>VLOOKUP(B23,Sheet4!A$2:C$48,3,FALSE)</f>
        <v>6.1485252399999996E-2</v>
      </c>
      <c r="M23" s="2">
        <f t="shared" si="3"/>
        <v>39.199867949923799</v>
      </c>
      <c r="N23" s="2">
        <f t="shared" si="4"/>
        <v>6.1485252399999997</v>
      </c>
    </row>
    <row r="24" spans="1:14" x14ac:dyDescent="0.35">
      <c r="A24" t="s">
        <v>22</v>
      </c>
      <c r="B24" t="s">
        <v>122</v>
      </c>
      <c r="C24" s="1">
        <v>530.87376425855507</v>
      </c>
      <c r="D24" s="1">
        <v>109.35999543726234</v>
      </c>
      <c r="E24" s="1">
        <v>1879</v>
      </c>
      <c r="F24" s="1">
        <v>304.39800000000002</v>
      </c>
      <c r="G24" s="1">
        <f t="shared" si="0"/>
        <v>2409.8737642585552</v>
      </c>
      <c r="H24" s="1">
        <f t="shared" si="1"/>
        <v>413.75799543726237</v>
      </c>
      <c r="I24" s="2">
        <f t="shared" si="2"/>
        <v>5.8243557606948082</v>
      </c>
      <c r="J24">
        <f>VLOOKUP(B24,stockgranddensity!B$2:C$48,2,FALSE)</f>
        <v>11.445256698300556</v>
      </c>
      <c r="K24">
        <f>VLOOKUP(B24,Sheet4!A$2:B$48,2,FALSE)</f>
        <v>0.473026044369111</v>
      </c>
      <c r="L24">
        <f>VLOOKUP(B24,Sheet4!A$2:C$48,3,FALSE)</f>
        <v>2.7522828600000004E-2</v>
      </c>
      <c r="M24" s="2">
        <f t="shared" si="3"/>
        <v>47.302604436911096</v>
      </c>
      <c r="N24" s="2">
        <f t="shared" si="4"/>
        <v>2.7522828600000002</v>
      </c>
    </row>
    <row r="25" spans="1:14" x14ac:dyDescent="0.35">
      <c r="A25" t="s">
        <v>23</v>
      </c>
      <c r="B25" t="s">
        <v>123</v>
      </c>
      <c r="C25" s="1">
        <v>12792</v>
      </c>
      <c r="D25" s="1">
        <v>558</v>
      </c>
      <c r="E25" s="1">
        <v>109659</v>
      </c>
      <c r="F25" s="1">
        <v>1070</v>
      </c>
      <c r="G25" s="1">
        <f t="shared" si="0"/>
        <v>122451</v>
      </c>
      <c r="H25" s="1">
        <f t="shared" si="1"/>
        <v>1628</v>
      </c>
      <c r="I25" s="2">
        <f t="shared" si="2"/>
        <v>75.215601965601962</v>
      </c>
      <c r="J25">
        <f>VLOOKUP(B25,stockgranddensity!B$2:C$48,2,FALSE)</f>
        <v>22.664574423015459</v>
      </c>
      <c r="K25">
        <f>VLOOKUP(B25,Sheet4!A$2:B$48,2,FALSE)</f>
        <v>0.437</v>
      </c>
      <c r="L25">
        <f>VLOOKUP(B25,Sheet4!A$2:C$48,3,FALSE)</f>
        <v>8.2324161500000007E-2</v>
      </c>
      <c r="M25" s="2">
        <f t="shared" si="3"/>
        <v>43.7</v>
      </c>
      <c r="N25" s="2">
        <f t="shared" si="4"/>
        <v>8.2324161500000006</v>
      </c>
    </row>
    <row r="26" spans="1:14" x14ac:dyDescent="0.35">
      <c r="A26" t="s">
        <v>24</v>
      </c>
      <c r="B26" t="s">
        <v>108</v>
      </c>
      <c r="C26" s="1">
        <v>536.60977859778598</v>
      </c>
      <c r="D26" s="1">
        <v>8</v>
      </c>
      <c r="E26" s="1">
        <v>1235.4801331049025</v>
      </c>
      <c r="F26" s="1">
        <v>376</v>
      </c>
      <c r="G26" s="1">
        <f t="shared" si="0"/>
        <v>1772.0899117026884</v>
      </c>
      <c r="H26" s="1">
        <f t="shared" si="1"/>
        <v>384</v>
      </c>
      <c r="I26" s="2">
        <f t="shared" si="2"/>
        <v>4.6148174783924176</v>
      </c>
      <c r="J26">
        <f>VLOOKUP(B26,stockgranddensity!B$2:C$48,2,FALSE)</f>
        <v>7.6852732858695818</v>
      </c>
      <c r="K26">
        <f>VLOOKUP(B26,Sheet4!A$2:B$48,2,FALSE)</f>
        <v>0.2407</v>
      </c>
      <c r="L26">
        <f>VLOOKUP(B26,Sheet4!A$2:C$48,3,FALSE)</f>
        <v>0.1107517719</v>
      </c>
      <c r="M26" s="2">
        <f t="shared" si="3"/>
        <v>24.07</v>
      </c>
      <c r="N26" s="2">
        <f t="shared" si="4"/>
        <v>11.07517719</v>
      </c>
    </row>
    <row r="27" spans="1:14" x14ac:dyDescent="0.35">
      <c r="A27" t="s">
        <v>25</v>
      </c>
      <c r="B27" t="s">
        <v>124</v>
      </c>
      <c r="C27" s="1">
        <v>954</v>
      </c>
      <c r="D27" s="1">
        <v>29</v>
      </c>
      <c r="E27" s="1">
        <v>4423.7952883834278</v>
      </c>
      <c r="F27" s="1">
        <v>62.999999999999993</v>
      </c>
      <c r="G27" s="1">
        <f t="shared" si="0"/>
        <v>5377.7952883834278</v>
      </c>
      <c r="H27" s="1">
        <f t="shared" si="1"/>
        <v>92</v>
      </c>
      <c r="I27" s="2">
        <f t="shared" si="2"/>
        <v>58.454296612863345</v>
      </c>
      <c r="J27">
        <f>VLOOKUP(B27,stockgranddensity!B$2:C$48,2,FALSE)</f>
        <v>10.141653417174114</v>
      </c>
      <c r="K27">
        <f>VLOOKUP(B27,Sheet4!A$2:B$48,2,FALSE)</f>
        <v>0.71079999999999999</v>
      </c>
      <c r="L27">
        <f>VLOOKUP(B27,Sheet4!A$2:C$48,3,FALSE)</f>
        <v>4.5191278500000001E-2</v>
      </c>
      <c r="M27" s="2">
        <f t="shared" si="3"/>
        <v>71.08</v>
      </c>
      <c r="N27" s="2">
        <f t="shared" si="4"/>
        <v>4.5191278500000003</v>
      </c>
    </row>
    <row r="28" spans="1:14" x14ac:dyDescent="0.35">
      <c r="A28" t="s">
        <v>26</v>
      </c>
      <c r="B28" t="s">
        <v>125</v>
      </c>
      <c r="C28" s="1">
        <v>5230</v>
      </c>
      <c r="D28" s="1">
        <v>316</v>
      </c>
      <c r="E28" s="1">
        <v>4560</v>
      </c>
      <c r="F28" s="1">
        <v>2540</v>
      </c>
      <c r="G28" s="1">
        <f t="shared" si="0"/>
        <v>9790</v>
      </c>
      <c r="H28" s="1">
        <f t="shared" si="1"/>
        <v>2856</v>
      </c>
      <c r="I28" s="2">
        <f t="shared" si="2"/>
        <v>3.4278711484593836</v>
      </c>
      <c r="J28">
        <f>VLOOKUP(B28,stockgranddensity!B$2:C$48,2,FALSE)</f>
        <v>3.3061240561758769</v>
      </c>
      <c r="K28">
        <f>VLOOKUP(B28,Sheet4!A$2:B$48,2,FALSE)</f>
        <v>0.45</v>
      </c>
      <c r="L28">
        <f>VLOOKUP(B28,Sheet4!A$2:C$48,3,FALSE)</f>
        <v>8.78966999E-2</v>
      </c>
      <c r="M28" s="2">
        <f t="shared" si="3"/>
        <v>45</v>
      </c>
      <c r="N28" s="2">
        <f t="shared" si="4"/>
        <v>8.7896699900000002</v>
      </c>
    </row>
    <row r="29" spans="1:14" x14ac:dyDescent="0.35">
      <c r="A29" t="s">
        <v>27</v>
      </c>
      <c r="B29" t="s">
        <v>126</v>
      </c>
      <c r="C29" s="1">
        <v>1103.5637751855782</v>
      </c>
      <c r="D29" s="1">
        <v>115</v>
      </c>
      <c r="E29" s="1">
        <v>9592</v>
      </c>
      <c r="F29" s="1">
        <v>386</v>
      </c>
      <c r="G29" s="1">
        <f t="shared" si="0"/>
        <v>10695.563775185577</v>
      </c>
      <c r="H29" s="1">
        <f t="shared" si="1"/>
        <v>501</v>
      </c>
      <c r="I29" s="2">
        <f t="shared" si="2"/>
        <v>21.348430688993169</v>
      </c>
      <c r="J29">
        <f>VLOOKUP(B29,stockgranddensity!B$2:C$48,2,FALSE)</f>
        <v>5.2415574025453457</v>
      </c>
      <c r="K29">
        <f>VLOOKUP(B29,Sheet4!A$2:B$48,2,FALSE)</f>
        <v>0.116668416553577</v>
      </c>
      <c r="L29">
        <f>VLOOKUP(B29,Sheet4!A$2:C$48,3,FALSE)</f>
        <v>8.6677389100000002E-2</v>
      </c>
      <c r="M29" s="2">
        <f t="shared" si="3"/>
        <v>11.6668416553577</v>
      </c>
      <c r="N29" s="2">
        <f t="shared" si="4"/>
        <v>8.6677389100000006</v>
      </c>
    </row>
    <row r="30" spans="1:14" x14ac:dyDescent="0.35">
      <c r="A30" t="s">
        <v>28</v>
      </c>
      <c r="B30" t="s">
        <v>127</v>
      </c>
      <c r="C30" s="1">
        <v>4402</v>
      </c>
      <c r="D30" s="1">
        <v>906.8119999999999</v>
      </c>
      <c r="E30" s="1">
        <v>6327</v>
      </c>
      <c r="F30" s="1">
        <v>1024.9739999999999</v>
      </c>
      <c r="G30" s="1">
        <f t="shared" si="0"/>
        <v>10729</v>
      </c>
      <c r="H30" s="1">
        <f t="shared" si="1"/>
        <v>1931.7859999999998</v>
      </c>
      <c r="I30" s="2">
        <f t="shared" si="2"/>
        <v>5.5539278160210301</v>
      </c>
      <c r="J30">
        <f>VLOOKUP(B30,stockgranddensity!B$2:C$48,2,FALSE)</f>
        <v>4.7486918911803722</v>
      </c>
      <c r="K30">
        <f>VLOOKUP(B30,Sheet4!A$2:B$48,2,FALSE)</f>
        <v>0.38900000000000001</v>
      </c>
      <c r="L30">
        <f>VLOOKUP(B30,Sheet4!A$2:C$48,3,FALSE)</f>
        <v>5.6687855699999998E-2</v>
      </c>
      <c r="M30" s="2">
        <f t="shared" si="3"/>
        <v>38.9</v>
      </c>
      <c r="N30" s="2">
        <f t="shared" si="4"/>
        <v>5.6687855699999998</v>
      </c>
    </row>
    <row r="31" spans="1:14" x14ac:dyDescent="0.35">
      <c r="A31" t="s">
        <v>29</v>
      </c>
      <c r="B31" t="s">
        <v>106</v>
      </c>
      <c r="C31" s="1">
        <v>1273.0346943092873</v>
      </c>
      <c r="D31" s="1">
        <v>86.566359213031546</v>
      </c>
      <c r="E31" s="1">
        <v>6503</v>
      </c>
      <c r="F31" s="1">
        <v>113</v>
      </c>
      <c r="G31" s="1">
        <f t="shared" si="0"/>
        <v>7776.0346943092873</v>
      </c>
      <c r="H31" s="1">
        <f t="shared" si="1"/>
        <v>199.56635921303155</v>
      </c>
      <c r="I31" s="2">
        <f t="shared" si="2"/>
        <v>38.96465679372637</v>
      </c>
      <c r="J31">
        <f>VLOOKUP(B31,stockgranddensity!B$2:C$48,2,FALSE)</f>
        <v>16.418510297753695</v>
      </c>
      <c r="K31">
        <f>VLOOKUP(B31,Sheet4!A$2:B$48,2,FALSE)</f>
        <v>0.35207721704356598</v>
      </c>
      <c r="L31">
        <f>VLOOKUP(B31,Sheet4!A$2:C$48,3,FALSE)</f>
        <v>6.9763922699999995E-2</v>
      </c>
      <c r="M31" s="2">
        <f t="shared" si="3"/>
        <v>35.207721704356601</v>
      </c>
      <c r="N31" s="2">
        <f t="shared" si="4"/>
        <v>6.9763922699999998</v>
      </c>
    </row>
    <row r="32" spans="1:14" x14ac:dyDescent="0.35">
      <c r="A32" t="s">
        <v>30</v>
      </c>
      <c r="B32" t="s">
        <v>128</v>
      </c>
      <c r="C32" s="1">
        <v>1833.6554988586008</v>
      </c>
      <c r="D32" s="1">
        <v>432</v>
      </c>
      <c r="E32" s="1">
        <v>4598.8787431180344</v>
      </c>
      <c r="F32" s="1">
        <v>175</v>
      </c>
      <c r="G32" s="1">
        <f t="shared" si="0"/>
        <v>6432.5342419766348</v>
      </c>
      <c r="H32" s="1">
        <f t="shared" si="1"/>
        <v>607</v>
      </c>
      <c r="I32" s="2">
        <f t="shared" si="2"/>
        <v>10.597255752844539</v>
      </c>
      <c r="J32">
        <f>VLOOKUP(B32,stockgranddensity!B$2:C$48,2,FALSE)</f>
        <v>49.501251988132395</v>
      </c>
      <c r="K32">
        <f>VLOOKUP(B32,Sheet4!A$2:B$48,2,FALSE)</f>
        <v>0.55969999999999998</v>
      </c>
      <c r="L32">
        <f>VLOOKUP(B32,Sheet4!A$2:C$48,3,FALSE)</f>
        <v>0.102022686</v>
      </c>
      <c r="M32" s="2">
        <f t="shared" si="3"/>
        <v>55.97</v>
      </c>
      <c r="N32" s="2">
        <f t="shared" si="4"/>
        <v>10.2022686</v>
      </c>
    </row>
    <row r="33" spans="1:14" x14ac:dyDescent="0.35">
      <c r="A33" t="s">
        <v>31</v>
      </c>
      <c r="B33" t="s">
        <v>129</v>
      </c>
      <c r="C33" s="1">
        <v>5719</v>
      </c>
      <c r="D33" s="1">
        <v>819.00000000000011</v>
      </c>
      <c r="E33" s="1">
        <v>17168</v>
      </c>
      <c r="F33" s="1">
        <v>580</v>
      </c>
      <c r="G33" s="1">
        <f t="shared" si="0"/>
        <v>22887</v>
      </c>
      <c r="H33" s="1">
        <f t="shared" si="1"/>
        <v>1399</v>
      </c>
      <c r="I33" s="2">
        <f t="shared" si="2"/>
        <v>16.359542530378842</v>
      </c>
      <c r="J33">
        <f>VLOOKUP(B33,stockgranddensity!B$2:C$48,2,FALSE)</f>
        <v>6.9418666214370077</v>
      </c>
      <c r="K33">
        <f>VLOOKUP(B33,Sheet4!A$2:B$48,2,FALSE)</f>
        <v>0.61</v>
      </c>
      <c r="L33">
        <f>VLOOKUP(B33,Sheet4!A$2:C$48,3,FALSE)</f>
        <v>7.2900424000000005E-2</v>
      </c>
      <c r="M33" s="2">
        <f t="shared" si="3"/>
        <v>61</v>
      </c>
      <c r="N33" s="2">
        <f t="shared" si="4"/>
        <v>7.2900424000000008</v>
      </c>
    </row>
    <row r="34" spans="1:14" x14ac:dyDescent="0.35">
      <c r="A34" t="s">
        <v>32</v>
      </c>
      <c r="B34" t="s">
        <v>130</v>
      </c>
      <c r="C34" s="1">
        <v>1597</v>
      </c>
      <c r="D34" s="1">
        <v>474.99999999999994</v>
      </c>
      <c r="E34" s="1">
        <v>15558.321723868956</v>
      </c>
      <c r="F34" s="1">
        <v>200</v>
      </c>
      <c r="G34" s="1">
        <f t="shared" si="0"/>
        <v>17155.321723868954</v>
      </c>
      <c r="H34" s="1">
        <f t="shared" si="1"/>
        <v>675</v>
      </c>
      <c r="I34" s="2">
        <f t="shared" si="2"/>
        <v>25.415291442768822</v>
      </c>
      <c r="J34">
        <f>VLOOKUP(B34,stockgranddensity!B$2:C$48,2,FALSE)</f>
        <v>66.829911127697898</v>
      </c>
      <c r="K34">
        <f>VLOOKUP(B34,Sheet4!A$2:B$48,2,FALSE)</f>
        <v>0.4869</v>
      </c>
      <c r="L34">
        <f>VLOOKUP(B34,Sheet4!A$2:C$48,3,FALSE)</f>
        <v>0.10652340890000001</v>
      </c>
      <c r="M34" s="2">
        <f t="shared" si="3"/>
        <v>48.69</v>
      </c>
      <c r="N34" s="2">
        <f t="shared" si="4"/>
        <v>10.652340890000001</v>
      </c>
    </row>
    <row r="35" spans="1:14" x14ac:dyDescent="0.35">
      <c r="A35" t="s">
        <v>33</v>
      </c>
      <c r="B35" t="s">
        <v>138</v>
      </c>
      <c r="C35" s="1">
        <v>705.66936761273496</v>
      </c>
      <c r="D35" s="1">
        <v>370</v>
      </c>
      <c r="E35" s="1">
        <v>4565</v>
      </c>
      <c r="F35" s="1">
        <v>305</v>
      </c>
      <c r="G35" s="1">
        <f t="shared" si="0"/>
        <v>5270.6693676127352</v>
      </c>
      <c r="H35" s="1">
        <f t="shared" si="1"/>
        <v>675</v>
      </c>
      <c r="I35" s="2">
        <f t="shared" si="2"/>
        <v>7.8083990631299782</v>
      </c>
      <c r="J35">
        <f>VLOOKUP(B35,stockgranddensity!B$2:C$48,2,FALSE)</f>
        <v>2.011093594964394</v>
      </c>
      <c r="K35">
        <f>VLOOKUP(B35,Sheet4!A$2:B$48,2,FALSE)</f>
        <v>0.17051779817360399</v>
      </c>
      <c r="L35">
        <f>VLOOKUP(B35,Sheet4!A$2:C$48,3,FALSE)</f>
        <v>0.1023069668</v>
      </c>
      <c r="M35" s="2">
        <f t="shared" si="3"/>
        <v>17.051779817360398</v>
      </c>
      <c r="N35" s="2">
        <f t="shared" si="4"/>
        <v>10.230696679999999</v>
      </c>
    </row>
    <row r="36" spans="1:14" x14ac:dyDescent="0.35">
      <c r="A36" t="s">
        <v>34</v>
      </c>
      <c r="B36" t="s">
        <v>104</v>
      </c>
      <c r="C36" s="1">
        <v>86181</v>
      </c>
      <c r="D36" s="1">
        <v>4340</v>
      </c>
      <c r="E36" s="1">
        <v>220681</v>
      </c>
      <c r="F36" s="1">
        <v>12835</v>
      </c>
      <c r="G36" s="1">
        <f t="shared" si="0"/>
        <v>306862</v>
      </c>
      <c r="H36" s="1">
        <f t="shared" si="1"/>
        <v>17175</v>
      </c>
      <c r="I36" s="2">
        <f t="shared" si="2"/>
        <v>17.866783114992721</v>
      </c>
      <c r="J36">
        <f>VLOOKUP(B36,stockgranddensity!B$2:C$48,2,FALSE)</f>
        <v>14.041379101625415</v>
      </c>
      <c r="K36">
        <f>VLOOKUP(B36,Sheet4!A$2:B$48,2,FALSE)</f>
        <v>0.66749999999999998</v>
      </c>
      <c r="L36">
        <f>VLOOKUP(B36,Sheet4!A$2:C$48,3,FALSE)</f>
        <v>4.2245168700000002E-2</v>
      </c>
      <c r="M36" s="2">
        <f t="shared" si="3"/>
        <v>66.75</v>
      </c>
      <c r="N36" s="2">
        <f t="shared" si="4"/>
        <v>4.2245168700000004</v>
      </c>
    </row>
    <row r="37" spans="1:14" x14ac:dyDescent="0.35">
      <c r="A37" t="s">
        <v>35</v>
      </c>
      <c r="B37" t="s">
        <v>131</v>
      </c>
      <c r="C37" s="1">
        <v>1648</v>
      </c>
      <c r="D37" s="1">
        <v>11</v>
      </c>
      <c r="E37" s="1">
        <v>13501.239749316621</v>
      </c>
      <c r="F37" s="1">
        <v>355</v>
      </c>
      <c r="G37" s="1">
        <f t="shared" si="0"/>
        <v>15149.239749316621</v>
      </c>
      <c r="H37" s="1">
        <f t="shared" si="1"/>
        <v>366</v>
      </c>
      <c r="I37" s="2">
        <f t="shared" si="2"/>
        <v>41.391365435291313</v>
      </c>
      <c r="J37">
        <f>VLOOKUP(B37,stockgranddensity!B$2:C$48,2,FALSE)</f>
        <v>10.996278135102138</v>
      </c>
      <c r="K37">
        <f>VLOOKUP(B37,Sheet4!A$2:B$48,2,FALSE)</f>
        <v>7.4999999999999997E-2</v>
      </c>
      <c r="L37">
        <f>VLOOKUP(B37,Sheet4!A$2:C$48,3,FALSE)</f>
        <v>8.8827714899999993E-2</v>
      </c>
      <c r="M37" s="2">
        <f t="shared" si="3"/>
        <v>7.5</v>
      </c>
      <c r="N37" s="2">
        <f t="shared" si="4"/>
        <v>8.8827714899999997</v>
      </c>
    </row>
    <row r="38" spans="1:14" x14ac:dyDescent="0.35">
      <c r="A38" t="s">
        <v>36</v>
      </c>
      <c r="B38" t="s">
        <v>101</v>
      </c>
      <c r="C38" s="1">
        <v>105</v>
      </c>
      <c r="D38" s="1">
        <v>7.1400000000000006</v>
      </c>
      <c r="E38" s="1">
        <v>440</v>
      </c>
      <c r="F38" s="1">
        <v>35.684000000000005</v>
      </c>
      <c r="G38" s="1">
        <f t="shared" si="0"/>
        <v>545</v>
      </c>
      <c r="H38" s="1">
        <f t="shared" si="1"/>
        <v>42.824000000000005</v>
      </c>
      <c r="I38" s="2">
        <f t="shared" si="2"/>
        <v>12.726508499906593</v>
      </c>
      <c r="J38">
        <f>VLOOKUP(B38,stockgranddensity!B$2:C$48,2,FALSE)</f>
        <v>23.968739486189389</v>
      </c>
      <c r="K38">
        <f>VLOOKUP(B38,Sheet4!A$2:B$48,2,FALSE)</f>
        <v>0.477408095311257</v>
      </c>
      <c r="L38">
        <f>VLOOKUP(B38,Sheet4!A$2:C$48,3,FALSE)</f>
        <v>0.10762632370000001</v>
      </c>
      <c r="M38" s="2">
        <f t="shared" si="3"/>
        <v>47.740809531125699</v>
      </c>
      <c r="N38" s="2">
        <f t="shared" si="4"/>
        <v>10.76263237</v>
      </c>
    </row>
    <row r="39" spans="1:14" x14ac:dyDescent="0.35">
      <c r="A39" t="s">
        <v>37</v>
      </c>
      <c r="B39" t="s">
        <v>132</v>
      </c>
      <c r="C39" s="1">
        <v>2560.8623058327948</v>
      </c>
      <c r="D39" s="1">
        <v>434.00000000000006</v>
      </c>
      <c r="E39" s="1">
        <v>4737</v>
      </c>
      <c r="F39" s="1">
        <v>582</v>
      </c>
      <c r="G39" s="1">
        <f t="shared" si="0"/>
        <v>7297.8623058327948</v>
      </c>
      <c r="H39" s="1">
        <f t="shared" si="1"/>
        <v>1016</v>
      </c>
      <c r="I39" s="2">
        <f t="shared" si="2"/>
        <v>7.1829353403866092</v>
      </c>
      <c r="J39">
        <f>VLOOKUP(B39,stockgranddensity!B$2:C$48,2,FALSE)</f>
        <v>4.2144104174203356</v>
      </c>
      <c r="K39">
        <f>VLOOKUP(B39,Sheet4!A$2:B$48,2,FALSE)</f>
        <v>0.473026044369111</v>
      </c>
      <c r="L39">
        <f>VLOOKUP(B39,Sheet4!A$2:C$48,3,FALSE)</f>
        <v>6.4810943600000004E-2</v>
      </c>
      <c r="M39" s="2">
        <f t="shared" si="3"/>
        <v>47.302604436911096</v>
      </c>
      <c r="N39" s="2">
        <f t="shared" si="4"/>
        <v>6.4810943600000002</v>
      </c>
    </row>
    <row r="40" spans="1:14" x14ac:dyDescent="0.35">
      <c r="A40" t="s">
        <v>38</v>
      </c>
      <c r="B40" t="s">
        <v>133</v>
      </c>
      <c r="C40" s="1">
        <v>828</v>
      </c>
      <c r="D40" s="1">
        <v>10</v>
      </c>
      <c r="E40" s="1">
        <v>1277</v>
      </c>
      <c r="F40" s="1">
        <v>40</v>
      </c>
      <c r="G40" s="1">
        <f t="shared" si="0"/>
        <v>2105</v>
      </c>
      <c r="H40" s="1">
        <f t="shared" si="1"/>
        <v>50</v>
      </c>
      <c r="I40" s="2">
        <f t="shared" si="2"/>
        <v>42.1</v>
      </c>
      <c r="J40">
        <f>VLOOKUP(B40,stockgranddensity!B$2:C$48,2,FALSE)</f>
        <v>196.51134024468229</v>
      </c>
      <c r="K40">
        <f>VLOOKUP(B40,Sheet4!A$2:B$48,2,FALSE)</f>
        <v>0.377</v>
      </c>
      <c r="L40">
        <f>VLOOKUP(B40,Sheet4!A$2:C$48,3,FALSE)</f>
        <v>0.10179439540000002</v>
      </c>
      <c r="M40" s="2">
        <f t="shared" si="3"/>
        <v>37.700000000000003</v>
      </c>
      <c r="N40" s="2">
        <f t="shared" si="4"/>
        <v>10.179439540000001</v>
      </c>
    </row>
    <row r="41" spans="1:14" x14ac:dyDescent="0.35">
      <c r="A41" t="s">
        <v>39</v>
      </c>
      <c r="B41" t="s">
        <v>134</v>
      </c>
      <c r="C41" s="1">
        <v>1106</v>
      </c>
      <c r="D41" s="1">
        <v>217</v>
      </c>
      <c r="E41" s="1">
        <v>15666</v>
      </c>
      <c r="F41" s="1">
        <v>1755</v>
      </c>
      <c r="G41" s="1">
        <f t="shared" si="0"/>
        <v>16772</v>
      </c>
      <c r="H41" s="1">
        <f t="shared" si="1"/>
        <v>1972</v>
      </c>
      <c r="I41" s="2">
        <f t="shared" si="2"/>
        <v>8.5050709939148081</v>
      </c>
      <c r="J41">
        <f>VLOOKUP(B41,stockgranddensity!B$2:C$48,2,FALSE)</f>
        <v>19.489367418267701</v>
      </c>
      <c r="K41">
        <f>VLOOKUP(B41,Sheet4!A$2:B$48,2,FALSE)</f>
        <v>0.33232562471434801</v>
      </c>
      <c r="L41">
        <f>VLOOKUP(B41,Sheet4!A$2:C$48,3,FALSE)</f>
        <v>5.2879381199999999E-2</v>
      </c>
      <c r="M41" s="2">
        <f t="shared" si="3"/>
        <v>33.232562471434804</v>
      </c>
      <c r="N41" s="2">
        <f t="shared" si="4"/>
        <v>5.2879381199999997</v>
      </c>
    </row>
    <row r="42" spans="1:14" x14ac:dyDescent="0.35">
      <c r="A42" t="s">
        <v>40</v>
      </c>
      <c r="B42" t="s">
        <v>135</v>
      </c>
      <c r="C42" s="1">
        <v>48021</v>
      </c>
      <c r="D42" s="1">
        <v>998</v>
      </c>
      <c r="E42" s="1">
        <v>397261.24962174537</v>
      </c>
      <c r="F42" s="1">
        <v>3153.9999999999995</v>
      </c>
      <c r="G42" s="1">
        <f t="shared" si="0"/>
        <v>445282.24962174537</v>
      </c>
      <c r="H42" s="1">
        <f t="shared" si="1"/>
        <v>4152</v>
      </c>
      <c r="I42" s="2">
        <f t="shared" si="2"/>
        <v>107.24524316516025</v>
      </c>
      <c r="J42">
        <f>VLOOKUP(B42,stockgranddensity!B$2:C$48,2,FALSE)</f>
        <v>74.345193320567816</v>
      </c>
      <c r="K42">
        <f>VLOOKUP(B42,Sheet4!A$2:B$48,2,FALSE)</f>
        <v>0.54793438602622901</v>
      </c>
      <c r="L42">
        <f>VLOOKUP(B42,Sheet4!A$2:C$48,3,FALSE)</f>
        <v>0.1528983974</v>
      </c>
      <c r="M42" s="2">
        <f t="shared" si="3"/>
        <v>54.793438602622899</v>
      </c>
      <c r="N42" s="2">
        <f t="shared" si="4"/>
        <v>15.28983974</v>
      </c>
    </row>
    <row r="43" spans="1:14" x14ac:dyDescent="0.35">
      <c r="A43" t="s">
        <v>41</v>
      </c>
      <c r="B43" t="s">
        <v>136</v>
      </c>
      <c r="C43" s="1">
        <v>456</v>
      </c>
      <c r="D43" s="1">
        <v>93.935999999999993</v>
      </c>
      <c r="E43" s="1">
        <v>4530</v>
      </c>
      <c r="F43" s="1">
        <v>241</v>
      </c>
      <c r="G43" s="1">
        <f t="shared" si="0"/>
        <v>4986</v>
      </c>
      <c r="H43" s="1">
        <f t="shared" si="1"/>
        <v>334.93599999999998</v>
      </c>
      <c r="I43" s="2">
        <f t="shared" si="2"/>
        <v>14.886426063486757</v>
      </c>
      <c r="J43">
        <f>VLOOKUP(B43,stockgranddensity!B$2:C$48,2,FALSE)</f>
        <v>4.5687943738770151</v>
      </c>
      <c r="K43">
        <f>VLOOKUP(B43,Sheet4!A$2:B$48,2,FALSE)</f>
        <v>0.24952584171475101</v>
      </c>
      <c r="L43">
        <f>VLOOKUP(B43,Sheet4!A$2:C$48,3,FALSE)</f>
        <v>2.10620522E-2</v>
      </c>
      <c r="M43" s="2">
        <f t="shared" si="3"/>
        <v>24.952584171475102</v>
      </c>
      <c r="N43" s="2">
        <f t="shared" si="4"/>
        <v>2.1062052200000001</v>
      </c>
    </row>
    <row r="44" spans="1:14" x14ac:dyDescent="0.35">
      <c r="A44" t="s">
        <v>42</v>
      </c>
      <c r="B44" t="s">
        <v>145</v>
      </c>
      <c r="C44" s="1">
        <v>8693</v>
      </c>
      <c r="D44" s="1">
        <v>891</v>
      </c>
      <c r="E44" s="1">
        <v>31940</v>
      </c>
      <c r="F44" s="1">
        <v>4607</v>
      </c>
      <c r="G44" s="1">
        <f t="shared" si="0"/>
        <v>40633</v>
      </c>
      <c r="H44" s="1">
        <f t="shared" si="1"/>
        <v>5498</v>
      </c>
      <c r="I44" s="2">
        <f t="shared" si="2"/>
        <v>7.3905056384139689</v>
      </c>
      <c r="J44">
        <f>VLOOKUP(B44,stockgranddensity!B$2:C$48,2,FALSE)</f>
        <v>6.2037247448568724</v>
      </c>
      <c r="K44">
        <f>VLOOKUP(B44,Sheet4!A$2:B$48,2,FALSE)</f>
        <v>0.56999999999999995</v>
      </c>
      <c r="L44">
        <f>VLOOKUP(B44,Sheet4!A$2:C$48,3,FALSE)</f>
        <v>9.4023561499999991E-2</v>
      </c>
      <c r="M44" s="2">
        <f t="shared" si="3"/>
        <v>56.999999999999993</v>
      </c>
      <c r="N44" s="2">
        <f t="shared" si="4"/>
        <v>9.4023561499999992</v>
      </c>
    </row>
    <row r="45" spans="1:14" x14ac:dyDescent="0.35">
      <c r="A45" t="s">
        <v>43</v>
      </c>
      <c r="B45" t="s">
        <v>143</v>
      </c>
      <c r="C45" s="1">
        <v>730</v>
      </c>
      <c r="D45" s="1">
        <v>77</v>
      </c>
      <c r="E45" s="1">
        <v>2630</v>
      </c>
      <c r="F45" s="1">
        <v>240</v>
      </c>
      <c r="G45" s="1">
        <f t="shared" si="0"/>
        <v>3360</v>
      </c>
      <c r="H45" s="1">
        <f t="shared" si="1"/>
        <v>317</v>
      </c>
      <c r="I45" s="2">
        <f t="shared" si="2"/>
        <v>10.599369085173501</v>
      </c>
      <c r="J45">
        <f>VLOOKUP(B45,stockgranddensity!B$2:C$48,2,FALSE)</f>
        <v>3.797168589256374</v>
      </c>
      <c r="K45">
        <f>VLOOKUP(B45,Sheet4!A$2:B$48,2,FALSE)</f>
        <v>0.25088889751308202</v>
      </c>
      <c r="L45">
        <f>VLOOKUP(B45,Sheet4!A$2:C$48,3,FALSE)</f>
        <v>5.3817400899999999E-2</v>
      </c>
      <c r="M45" s="2">
        <f t="shared" si="3"/>
        <v>25.088889751308201</v>
      </c>
      <c r="N45" s="2">
        <f t="shared" si="4"/>
        <v>5.3817400900000001</v>
      </c>
    </row>
    <row r="46" spans="1:14" x14ac:dyDescent="0.35">
      <c r="A46" t="s">
        <v>44</v>
      </c>
      <c r="B46" t="s">
        <v>139</v>
      </c>
      <c r="C46" s="1">
        <v>9051.7813279678066</v>
      </c>
      <c r="D46" s="1">
        <v>1997</v>
      </c>
      <c r="E46" s="1">
        <v>74197</v>
      </c>
      <c r="F46" s="1">
        <v>14001</v>
      </c>
      <c r="G46" s="1">
        <f t="shared" si="0"/>
        <v>83248.781327967808</v>
      </c>
      <c r="H46" s="1">
        <f t="shared" si="1"/>
        <v>15998</v>
      </c>
      <c r="I46" s="2">
        <f t="shared" si="2"/>
        <v>5.2036992954099146</v>
      </c>
      <c r="J46">
        <f>VLOOKUP(B46,stockgranddensity!B$2:C$48,2,FALSE)</f>
        <v>17.61894444744178</v>
      </c>
      <c r="K46">
        <f>VLOOKUP(B46,Sheet4!A$2:B$48,2,FALSE)</f>
        <v>0.56299999999999994</v>
      </c>
      <c r="L46">
        <f>VLOOKUP(B46,Sheet4!A$2:C$48,3,FALSE)</f>
        <v>3.1388299500000001E-2</v>
      </c>
      <c r="M46" s="2">
        <f t="shared" si="3"/>
        <v>56.3</v>
      </c>
      <c r="N46" s="2">
        <f t="shared" si="4"/>
        <v>3.1388299500000003</v>
      </c>
    </row>
    <row r="47" spans="1:14" x14ac:dyDescent="0.35">
      <c r="A47" t="s">
        <v>45</v>
      </c>
      <c r="B47" t="s">
        <v>140</v>
      </c>
      <c r="C47" s="1">
        <v>6531</v>
      </c>
      <c r="D47" s="1">
        <v>115.00000000000001</v>
      </c>
      <c r="E47" s="1">
        <v>49975</v>
      </c>
      <c r="F47" s="1">
        <v>5272</v>
      </c>
      <c r="G47" s="1">
        <f t="shared" si="0"/>
        <v>56506</v>
      </c>
      <c r="H47" s="1">
        <f t="shared" si="1"/>
        <v>5387</v>
      </c>
      <c r="I47" s="2">
        <f t="shared" si="2"/>
        <v>10.489326155559681</v>
      </c>
      <c r="J47">
        <f>VLOOKUP(B47,stockgranddensity!B$2:C$48,2,FALSE)</f>
        <v>28.228053457756701</v>
      </c>
      <c r="K47">
        <f>VLOOKUP(B47,Sheet4!A$2:B$48,2,FALSE)</f>
        <v>0.26773290915292702</v>
      </c>
      <c r="L47">
        <f>VLOOKUP(B47,Sheet4!A$2:C$48,3,FALSE)</f>
        <v>7.1645693799999993E-2</v>
      </c>
      <c r="M47" s="2">
        <f t="shared" si="3"/>
        <v>26.773290915292701</v>
      </c>
      <c r="N47" s="2">
        <f t="shared" si="4"/>
        <v>7.1645693799999997</v>
      </c>
    </row>
    <row r="48" spans="1:14" x14ac:dyDescent="0.35">
      <c r="A48" t="s">
        <v>46</v>
      </c>
      <c r="B48" t="s">
        <v>141</v>
      </c>
      <c r="C48" s="1">
        <v>3131.5983655333839</v>
      </c>
      <c r="D48" s="1">
        <v>265</v>
      </c>
      <c r="E48" s="1">
        <v>46537</v>
      </c>
      <c r="F48" s="1">
        <v>1100</v>
      </c>
      <c r="G48" s="1">
        <f t="shared" si="0"/>
        <v>49668.598365533384</v>
      </c>
      <c r="H48" s="1">
        <f t="shared" si="1"/>
        <v>1365</v>
      </c>
      <c r="I48" s="2">
        <f t="shared" si="2"/>
        <v>36.387251549841309</v>
      </c>
      <c r="J48">
        <f>VLOOKUP(B48,stockgranddensity!B$2:C$48,2,FALSE)</f>
        <v>30.433188788783969</v>
      </c>
      <c r="K48">
        <f>VLOOKUP(B48,Sheet4!A$2:B$48,2,FALSE)</f>
        <v>0.35</v>
      </c>
      <c r="L48">
        <f>VLOOKUP(B48,Sheet4!A$2:C$48,3,FALSE)</f>
        <v>5.1729364399999998E-2</v>
      </c>
      <c r="M48" s="2">
        <f t="shared" si="3"/>
        <v>35</v>
      </c>
      <c r="N48" s="2">
        <f t="shared" si="4"/>
        <v>5.17293644</v>
      </c>
    </row>
  </sheetData>
  <autoFilter ref="A1:I48" xr:uid="{A5378130-CC6E-4952-8B95-9178869FCE2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A50F-61E5-446A-AEED-6BD1E2E73467}">
  <dimension ref="A1:C48"/>
  <sheetViews>
    <sheetView topLeftCell="A37" workbookViewId="0">
      <selection activeCell="C1" sqref="C1"/>
    </sheetView>
  </sheetViews>
  <sheetFormatPr defaultRowHeight="14.5" x14ac:dyDescent="0.35"/>
  <sheetData>
    <row r="1" spans="1:3" x14ac:dyDescent="0.35">
      <c r="A1" s="10" t="s">
        <v>0</v>
      </c>
      <c r="B1" t="s">
        <v>198</v>
      </c>
      <c r="C1" s="11" t="s">
        <v>199</v>
      </c>
    </row>
    <row r="2" spans="1:3" x14ac:dyDescent="0.35">
      <c r="A2" s="12" t="s">
        <v>109</v>
      </c>
      <c r="B2" s="13">
        <v>0.55000000000000004</v>
      </c>
      <c r="C2" s="13">
        <v>0.10730769159999999</v>
      </c>
    </row>
    <row r="3" spans="1:3" x14ac:dyDescent="0.35">
      <c r="A3" s="12" t="s">
        <v>110</v>
      </c>
      <c r="B3" s="13">
        <v>0.50045872095830901</v>
      </c>
      <c r="C3" s="13">
        <v>5.3643193200000001E-2</v>
      </c>
    </row>
    <row r="4" spans="1:3" x14ac:dyDescent="0.35">
      <c r="A4" s="12" t="s">
        <v>111</v>
      </c>
      <c r="B4" s="13">
        <v>0.473026044369111</v>
      </c>
      <c r="C4" s="13">
        <v>4.5545940399999998E-2</v>
      </c>
    </row>
    <row r="5" spans="1:3" x14ac:dyDescent="0.35">
      <c r="A5" s="12" t="s">
        <v>112</v>
      </c>
      <c r="B5" s="13">
        <v>0.52100000000000002</v>
      </c>
      <c r="C5" s="13">
        <v>0.12006065370000001</v>
      </c>
    </row>
    <row r="6" spans="1:3" x14ac:dyDescent="0.35">
      <c r="A6" s="12" t="s">
        <v>99</v>
      </c>
      <c r="B6" s="13">
        <v>0.32880543493854802</v>
      </c>
      <c r="C6" s="13">
        <v>0.11463944440000001</v>
      </c>
    </row>
    <row r="7" spans="1:3" x14ac:dyDescent="0.35">
      <c r="A7" s="12" t="s">
        <v>113</v>
      </c>
      <c r="B7" s="13">
        <v>0.26769999999999999</v>
      </c>
      <c r="C7" s="13">
        <v>8.3128080399999998E-2</v>
      </c>
    </row>
    <row r="8" spans="1:3" x14ac:dyDescent="0.35">
      <c r="A8" s="12" t="s">
        <v>115</v>
      </c>
      <c r="B8" s="13">
        <v>0.32863412813189302</v>
      </c>
      <c r="C8" s="13">
        <v>0.10392424580000001</v>
      </c>
    </row>
    <row r="9" spans="1:3" x14ac:dyDescent="0.35">
      <c r="A9" s="12" t="s">
        <v>116</v>
      </c>
      <c r="B9" s="13">
        <v>0.60169835832363905</v>
      </c>
      <c r="C9" s="13">
        <v>3.6992728700000005E-2</v>
      </c>
    </row>
    <row r="10" spans="1:3" x14ac:dyDescent="0.35">
      <c r="A10" s="12" t="s">
        <v>100</v>
      </c>
      <c r="B10" s="13">
        <v>0.60169835832363905</v>
      </c>
      <c r="C10" s="13">
        <v>4.8423175799999996E-2</v>
      </c>
    </row>
    <row r="11" spans="1:3" x14ac:dyDescent="0.35">
      <c r="A11" s="12" t="s">
        <v>117</v>
      </c>
      <c r="B11" s="13">
        <v>0.35310312003413502</v>
      </c>
      <c r="C11" s="13">
        <v>4.8723001500000002E-2</v>
      </c>
    </row>
    <row r="12" spans="1:3" x14ac:dyDescent="0.35">
      <c r="A12" s="12" t="s">
        <v>144</v>
      </c>
      <c r="B12" s="13">
        <v>0.65</v>
      </c>
      <c r="C12" s="13">
        <v>4.1246685999999998E-2</v>
      </c>
    </row>
    <row r="13" spans="1:3" x14ac:dyDescent="0.35">
      <c r="A13" s="12" t="s">
        <v>137</v>
      </c>
      <c r="B13" s="13">
        <v>0.43066371754243699</v>
      </c>
      <c r="C13" s="13">
        <v>8.2168407400000004E-2</v>
      </c>
    </row>
    <row r="14" spans="1:3" x14ac:dyDescent="0.35">
      <c r="A14" s="12" t="s">
        <v>114</v>
      </c>
      <c r="B14" s="13">
        <v>0.373</v>
      </c>
      <c r="C14" s="13">
        <v>6.6596483200000001E-2</v>
      </c>
    </row>
    <row r="15" spans="1:3" x14ac:dyDescent="0.35">
      <c r="A15" s="12" t="s">
        <v>102</v>
      </c>
      <c r="B15" s="13">
        <v>0.473026044369111</v>
      </c>
      <c r="C15" s="13">
        <v>6.2699966400000001E-2</v>
      </c>
    </row>
    <row r="16" spans="1:3" x14ac:dyDescent="0.35">
      <c r="A16" s="12" t="s">
        <v>118</v>
      </c>
      <c r="B16" s="13">
        <v>0.473026044369111</v>
      </c>
      <c r="C16" s="13">
        <v>5.2922940299999999E-2</v>
      </c>
    </row>
    <row r="17" spans="1:3" x14ac:dyDescent="0.35">
      <c r="A17" s="12" t="s">
        <v>142</v>
      </c>
      <c r="B17" s="13">
        <v>0.67300000000000004</v>
      </c>
      <c r="C17" s="13">
        <v>2.3541069000000001E-2</v>
      </c>
    </row>
    <row r="18" spans="1:3" x14ac:dyDescent="0.35">
      <c r="A18" s="12" t="s">
        <v>107</v>
      </c>
      <c r="B18" s="13">
        <v>0.3</v>
      </c>
      <c r="C18" s="13">
        <v>9.9682931900000007E-2</v>
      </c>
    </row>
    <row r="19" spans="1:3" x14ac:dyDescent="0.35">
      <c r="A19" s="12" t="s">
        <v>103</v>
      </c>
      <c r="B19" s="13">
        <v>0.18662367321998</v>
      </c>
      <c r="C19" s="13">
        <v>6.79223251E-2</v>
      </c>
    </row>
    <row r="20" spans="1:3" x14ac:dyDescent="0.35">
      <c r="A20" s="12" t="s">
        <v>105</v>
      </c>
      <c r="B20" s="13">
        <v>0.487577741763977</v>
      </c>
      <c r="C20" s="13">
        <v>9.5915584600000006E-2</v>
      </c>
    </row>
    <row r="21" spans="1:3" x14ac:dyDescent="0.35">
      <c r="A21" s="12" t="s">
        <v>119</v>
      </c>
      <c r="B21" s="13">
        <v>0.170669454827377</v>
      </c>
      <c r="C21" s="13">
        <v>5.4796643300000003E-2</v>
      </c>
    </row>
    <row r="22" spans="1:3" x14ac:dyDescent="0.35">
      <c r="A22" s="12" t="s">
        <v>120</v>
      </c>
      <c r="B22" s="13">
        <v>0.57699999999999996</v>
      </c>
      <c r="C22" s="13">
        <v>6.8515443800000006E-2</v>
      </c>
    </row>
    <row r="23" spans="1:3" x14ac:dyDescent="0.35">
      <c r="A23" s="12" t="s">
        <v>121</v>
      </c>
      <c r="B23" s="13">
        <v>0.391998679499238</v>
      </c>
      <c r="C23" s="13">
        <v>6.1485252399999996E-2</v>
      </c>
    </row>
    <row r="24" spans="1:3" x14ac:dyDescent="0.35">
      <c r="A24" s="12" t="s">
        <v>122</v>
      </c>
      <c r="B24" s="13">
        <v>0.473026044369111</v>
      </c>
      <c r="C24" s="13">
        <v>2.7522828600000004E-2</v>
      </c>
    </row>
    <row r="25" spans="1:3" x14ac:dyDescent="0.35">
      <c r="A25" s="12" t="s">
        <v>123</v>
      </c>
      <c r="B25" s="13">
        <v>0.437</v>
      </c>
      <c r="C25" s="13">
        <v>8.2324161500000007E-2</v>
      </c>
    </row>
    <row r="26" spans="1:3" x14ac:dyDescent="0.35">
      <c r="A26" s="12" t="s">
        <v>108</v>
      </c>
      <c r="B26" s="13">
        <v>0.2407</v>
      </c>
      <c r="C26" s="13">
        <v>0.1107517719</v>
      </c>
    </row>
    <row r="27" spans="1:3" x14ac:dyDescent="0.35">
      <c r="A27" s="12" t="s">
        <v>124</v>
      </c>
      <c r="B27" s="13">
        <v>0.71079999999999999</v>
      </c>
      <c r="C27" s="13">
        <v>4.5191278500000001E-2</v>
      </c>
    </row>
    <row r="28" spans="1:3" x14ac:dyDescent="0.35">
      <c r="A28" s="12" t="s">
        <v>125</v>
      </c>
      <c r="B28" s="13">
        <v>0.45</v>
      </c>
      <c r="C28" s="13">
        <v>8.78966999E-2</v>
      </c>
    </row>
    <row r="29" spans="1:3" x14ac:dyDescent="0.35">
      <c r="A29" s="12" t="s">
        <v>126</v>
      </c>
      <c r="B29" s="13">
        <v>0.116668416553577</v>
      </c>
      <c r="C29" s="13">
        <v>8.6677389100000002E-2</v>
      </c>
    </row>
    <row r="30" spans="1:3" x14ac:dyDescent="0.35">
      <c r="A30" s="12" t="s">
        <v>127</v>
      </c>
      <c r="B30" s="13">
        <v>0.38900000000000001</v>
      </c>
      <c r="C30" s="13">
        <v>5.6687855699999998E-2</v>
      </c>
    </row>
    <row r="31" spans="1:3" x14ac:dyDescent="0.35">
      <c r="A31" s="12" t="s">
        <v>106</v>
      </c>
      <c r="B31" s="13">
        <v>0.35207721704356598</v>
      </c>
      <c r="C31" s="13">
        <v>6.9763922699999995E-2</v>
      </c>
    </row>
    <row r="32" spans="1:3" x14ac:dyDescent="0.35">
      <c r="A32" s="12" t="s">
        <v>128</v>
      </c>
      <c r="B32" s="13">
        <v>0.55969999999999998</v>
      </c>
      <c r="C32" s="13">
        <v>0.102022686</v>
      </c>
    </row>
    <row r="33" spans="1:3" x14ac:dyDescent="0.35">
      <c r="A33" s="12" t="s">
        <v>129</v>
      </c>
      <c r="B33" s="13">
        <v>0.61</v>
      </c>
      <c r="C33" s="13">
        <v>7.2900424000000005E-2</v>
      </c>
    </row>
    <row r="34" spans="1:3" x14ac:dyDescent="0.35">
      <c r="A34" s="12" t="s">
        <v>130</v>
      </c>
      <c r="B34" s="13">
        <v>0.4869</v>
      </c>
      <c r="C34" s="13">
        <v>0.10652340890000001</v>
      </c>
    </row>
    <row r="35" spans="1:3" x14ac:dyDescent="0.35">
      <c r="A35" s="12" t="s">
        <v>138</v>
      </c>
      <c r="B35" s="13">
        <v>0.17051779817360399</v>
      </c>
      <c r="C35" s="13">
        <v>0.1023069668</v>
      </c>
    </row>
    <row r="36" spans="1:3" x14ac:dyDescent="0.35">
      <c r="A36" s="12" t="s">
        <v>104</v>
      </c>
      <c r="B36" s="13">
        <v>0.66749999999999998</v>
      </c>
      <c r="C36" s="13">
        <v>4.2245168700000002E-2</v>
      </c>
    </row>
    <row r="37" spans="1:3" x14ac:dyDescent="0.35">
      <c r="A37" s="12" t="s">
        <v>131</v>
      </c>
      <c r="B37" s="13">
        <v>7.4999999999999997E-2</v>
      </c>
      <c r="C37" s="13">
        <v>8.8827714899999993E-2</v>
      </c>
    </row>
    <row r="38" spans="1:3" x14ac:dyDescent="0.35">
      <c r="A38" s="12" t="s">
        <v>101</v>
      </c>
      <c r="B38" s="13">
        <v>0.477408095311257</v>
      </c>
      <c r="C38" s="13">
        <v>0.10762632370000001</v>
      </c>
    </row>
    <row r="39" spans="1:3" x14ac:dyDescent="0.35">
      <c r="A39" s="12" t="s">
        <v>132</v>
      </c>
      <c r="B39" s="13">
        <v>0.473026044369111</v>
      </c>
      <c r="C39" s="13">
        <v>6.4810943600000004E-2</v>
      </c>
    </row>
    <row r="40" spans="1:3" x14ac:dyDescent="0.35">
      <c r="A40" s="12" t="s">
        <v>133</v>
      </c>
      <c r="B40" s="13">
        <v>0.377</v>
      </c>
      <c r="C40" s="13">
        <v>0.10179439540000002</v>
      </c>
    </row>
    <row r="41" spans="1:3" x14ac:dyDescent="0.35">
      <c r="A41" s="12" t="s">
        <v>134</v>
      </c>
      <c r="B41" s="13">
        <v>0.33232562471434801</v>
      </c>
      <c r="C41" s="13">
        <v>5.2879381199999999E-2</v>
      </c>
    </row>
    <row r="42" spans="1:3" x14ac:dyDescent="0.35">
      <c r="A42" s="12" t="s">
        <v>135</v>
      </c>
      <c r="B42" s="13">
        <v>0.54793438602622901</v>
      </c>
      <c r="C42" s="13">
        <v>0.1528983974</v>
      </c>
    </row>
    <row r="43" spans="1:3" x14ac:dyDescent="0.35">
      <c r="A43" s="12" t="s">
        <v>136</v>
      </c>
      <c r="B43" s="13">
        <v>0.24952584171475101</v>
      </c>
      <c r="C43" s="13">
        <v>2.10620522E-2</v>
      </c>
    </row>
    <row r="44" spans="1:3" x14ac:dyDescent="0.35">
      <c r="A44" s="12" t="s">
        <v>143</v>
      </c>
      <c r="B44" s="13">
        <v>0.25088889751308202</v>
      </c>
      <c r="C44" s="13">
        <v>5.3817400899999999E-2</v>
      </c>
    </row>
    <row r="45" spans="1:3" x14ac:dyDescent="0.35">
      <c r="A45" s="12" t="s">
        <v>139</v>
      </c>
      <c r="B45" s="13">
        <v>0.56299999999999994</v>
      </c>
      <c r="C45" s="13">
        <v>3.1388299500000001E-2</v>
      </c>
    </row>
    <row r="46" spans="1:3" x14ac:dyDescent="0.35">
      <c r="A46" s="12" t="s">
        <v>145</v>
      </c>
      <c r="B46" s="13">
        <v>0.56999999999999995</v>
      </c>
      <c r="C46" s="13">
        <v>9.4023561499999991E-2</v>
      </c>
    </row>
    <row r="47" spans="1:3" x14ac:dyDescent="0.35">
      <c r="A47" s="12" t="s">
        <v>140</v>
      </c>
      <c r="B47" s="13">
        <v>0.26773290915292702</v>
      </c>
      <c r="C47" s="13">
        <v>7.1645693799999993E-2</v>
      </c>
    </row>
    <row r="48" spans="1:3" x14ac:dyDescent="0.35">
      <c r="A48" s="12" t="s">
        <v>141</v>
      </c>
      <c r="B48" s="13">
        <v>0.35</v>
      </c>
      <c r="C48" s="13">
        <v>5.1729364399999998E-2</v>
      </c>
    </row>
  </sheetData>
  <conditionalFormatting sqref="B2:B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97BE-1DCC-4A3B-A8BE-9CDCB88FDCB5}">
  <dimension ref="A1:K50"/>
  <sheetViews>
    <sheetView workbookViewId="0">
      <selection activeCell="E16" sqref="E16"/>
    </sheetView>
  </sheetViews>
  <sheetFormatPr defaultRowHeight="14.5" x14ac:dyDescent="0.35"/>
  <cols>
    <col min="2" max="2" width="20.90625" bestFit="1" customWidth="1"/>
    <col min="3" max="3" width="12.36328125" bestFit="1" customWidth="1"/>
    <col min="4" max="5" width="13.453125" bestFit="1" customWidth="1"/>
    <col min="6" max="6" width="12.36328125" bestFit="1" customWidth="1"/>
    <col min="7" max="8" width="13.453125" bestFit="1" customWidth="1"/>
    <col min="9" max="11" width="13.453125" style="3" bestFit="1" customWidth="1"/>
  </cols>
  <sheetData>
    <row r="1" spans="1:11" x14ac:dyDescent="0.35">
      <c r="A1" s="4"/>
      <c r="B1" s="4"/>
      <c r="C1" s="16" t="s">
        <v>66</v>
      </c>
      <c r="D1" s="17"/>
      <c r="E1" s="18"/>
      <c r="F1" s="14" t="s">
        <v>67</v>
      </c>
      <c r="G1" s="14"/>
      <c r="H1" s="14"/>
      <c r="I1" s="15" t="s">
        <v>59</v>
      </c>
      <c r="J1" s="15"/>
      <c r="K1" s="15"/>
    </row>
    <row r="2" spans="1:11" x14ac:dyDescent="0.35">
      <c r="A2" s="4" t="s">
        <v>68</v>
      </c>
      <c r="B2" s="4" t="s">
        <v>0</v>
      </c>
      <c r="C2" s="5">
        <v>2013</v>
      </c>
      <c r="D2" s="5">
        <v>2018</v>
      </c>
      <c r="E2" s="5" t="s">
        <v>69</v>
      </c>
      <c r="F2" s="5">
        <v>2013</v>
      </c>
      <c r="G2" s="5">
        <v>2018</v>
      </c>
      <c r="H2" s="5" t="s">
        <v>69</v>
      </c>
      <c r="I2" s="6">
        <v>2013</v>
      </c>
      <c r="J2" s="6">
        <v>2018</v>
      </c>
      <c r="K2" s="6" t="s">
        <v>69</v>
      </c>
    </row>
    <row r="3" spans="1:11" x14ac:dyDescent="0.35">
      <c r="A3" s="4">
        <v>1</v>
      </c>
      <c r="B3" s="4" t="s">
        <v>1</v>
      </c>
      <c r="C3" s="5">
        <v>11139</v>
      </c>
      <c r="D3" s="5">
        <v>175647</v>
      </c>
      <c r="E3" s="5">
        <v>74186.820488385216</v>
      </c>
      <c r="F3" s="5">
        <v>200</v>
      </c>
      <c r="G3" s="5">
        <v>240105</v>
      </c>
      <c r="H3" s="5">
        <v>366963.77629941667</v>
      </c>
      <c r="I3" s="6">
        <v>11339</v>
      </c>
      <c r="J3" s="6">
        <v>415752</v>
      </c>
      <c r="K3" s="6">
        <v>441150.59678780189</v>
      </c>
    </row>
    <row r="4" spans="1:11" x14ac:dyDescent="0.35">
      <c r="A4" s="4">
        <v>2</v>
      </c>
      <c r="B4" s="4" t="s">
        <v>2</v>
      </c>
      <c r="C4" s="5">
        <v>30</v>
      </c>
      <c r="D4" s="5">
        <v>60468</v>
      </c>
      <c r="E4" s="5">
        <v>78869.768592450535</v>
      </c>
      <c r="F4" s="5">
        <v>602</v>
      </c>
      <c r="G4" s="5">
        <v>50395</v>
      </c>
      <c r="H4" s="5">
        <v>58067.470117464829</v>
      </c>
      <c r="I4" s="6">
        <v>632</v>
      </c>
      <c r="J4" s="6">
        <v>110863</v>
      </c>
      <c r="K4" s="6">
        <v>136937.23870991537</v>
      </c>
    </row>
    <row r="5" spans="1:11" x14ac:dyDescent="0.35">
      <c r="A5" s="4">
        <v>3</v>
      </c>
      <c r="B5" s="4" t="s">
        <v>3</v>
      </c>
      <c r="C5" s="5">
        <v>7923</v>
      </c>
      <c r="D5" s="5">
        <v>5769</v>
      </c>
      <c r="E5" s="5">
        <v>11051.475446848541</v>
      </c>
      <c r="F5" s="5">
        <v>15066</v>
      </c>
      <c r="G5" s="5">
        <v>11707</v>
      </c>
      <c r="H5" s="5">
        <v>13972.936782690498</v>
      </c>
      <c r="I5" s="6">
        <v>22989</v>
      </c>
      <c r="J5" s="6">
        <v>17476</v>
      </c>
      <c r="K5" s="6">
        <v>25024.412229539041</v>
      </c>
    </row>
    <row r="6" spans="1:11" x14ac:dyDescent="0.35">
      <c r="A6" s="4">
        <v>4</v>
      </c>
      <c r="B6" s="4" t="s">
        <v>4</v>
      </c>
      <c r="C6" s="5">
        <v>8191</v>
      </c>
      <c r="D6" s="5">
        <v>9284</v>
      </c>
      <c r="E6" s="5">
        <v>9739.0851814152975</v>
      </c>
      <c r="F6" s="5">
        <v>1000</v>
      </c>
      <c r="G6" s="5">
        <v>7514</v>
      </c>
      <c r="H6" s="5">
        <v>8210.3980409764026</v>
      </c>
      <c r="I6" s="6">
        <v>9191</v>
      </c>
      <c r="J6" s="6">
        <v>16798</v>
      </c>
      <c r="K6" s="6">
        <v>17949.4832223917</v>
      </c>
    </row>
    <row r="7" spans="1:11" x14ac:dyDescent="0.35">
      <c r="A7" s="4">
        <v>5</v>
      </c>
      <c r="B7" s="4" t="s">
        <v>5</v>
      </c>
      <c r="C7" s="5">
        <v>8983</v>
      </c>
      <c r="D7" s="5">
        <v>19646</v>
      </c>
      <c r="E7" s="5">
        <v>27591.374567572704</v>
      </c>
      <c r="F7" s="5">
        <v>4585</v>
      </c>
      <c r="G7" s="5">
        <v>7601</v>
      </c>
      <c r="H7" s="5">
        <v>10576.497205854401</v>
      </c>
      <c r="I7" s="6">
        <v>13568</v>
      </c>
      <c r="J7" s="6">
        <v>27247</v>
      </c>
      <c r="K7" s="6">
        <v>38167.871773427105</v>
      </c>
    </row>
    <row r="8" spans="1:11" x14ac:dyDescent="0.35">
      <c r="A8" s="4">
        <v>6</v>
      </c>
      <c r="B8" s="4" t="s">
        <v>6</v>
      </c>
      <c r="C8" s="5">
        <v>7170</v>
      </c>
      <c r="D8" s="5">
        <v>10533</v>
      </c>
      <c r="E8" s="5">
        <v>10709.319625085567</v>
      </c>
      <c r="F8" s="5">
        <v>44</v>
      </c>
      <c r="G8" s="5">
        <v>37621</v>
      </c>
      <c r="H8" s="5">
        <v>42120.333315781165</v>
      </c>
      <c r="I8" s="6">
        <v>7214</v>
      </c>
      <c r="J8" s="6">
        <v>48154</v>
      </c>
      <c r="K8" s="6">
        <v>52829.652940866734</v>
      </c>
    </row>
    <row r="9" spans="1:11" x14ac:dyDescent="0.35">
      <c r="A9" s="4">
        <v>7</v>
      </c>
      <c r="B9" s="4" t="s">
        <v>7</v>
      </c>
      <c r="C9" s="5">
        <v>22321</v>
      </c>
      <c r="D9" s="5">
        <v>14532</v>
      </c>
      <c r="E9" s="5">
        <v>23282</v>
      </c>
      <c r="F9" s="5">
        <v>0</v>
      </c>
      <c r="G9" s="5">
        <v>16843</v>
      </c>
      <c r="H9" s="5">
        <v>8354.2378107535169</v>
      </c>
      <c r="I9" s="6">
        <v>22321</v>
      </c>
      <c r="J9" s="6">
        <v>31375</v>
      </c>
      <c r="K9" s="6">
        <v>31636.237810753519</v>
      </c>
    </row>
    <row r="10" spans="1:11" x14ac:dyDescent="0.35">
      <c r="A10" s="4">
        <v>8</v>
      </c>
      <c r="B10" s="4" t="s">
        <v>70</v>
      </c>
      <c r="C10" s="5">
        <v>711</v>
      </c>
      <c r="D10" s="5">
        <v>1666</v>
      </c>
      <c r="E10" s="5">
        <v>3734.493638676845</v>
      </c>
      <c r="F10" s="5">
        <v>7662</v>
      </c>
      <c r="G10" s="5">
        <v>5297</v>
      </c>
      <c r="H10" s="5">
        <v>2475.7981340118745</v>
      </c>
      <c r="I10" s="6">
        <v>8373</v>
      </c>
      <c r="J10" s="6">
        <v>6963</v>
      </c>
      <c r="K10" s="6">
        <v>6210.291772688719</v>
      </c>
    </row>
    <row r="11" spans="1:11" x14ac:dyDescent="0.35">
      <c r="A11" s="4">
        <v>9</v>
      </c>
      <c r="B11" s="4" t="s">
        <v>8</v>
      </c>
      <c r="C11" s="5">
        <v>1180</v>
      </c>
      <c r="D11" s="5">
        <v>2027</v>
      </c>
      <c r="E11" s="5">
        <v>1344.0062034739453</v>
      </c>
      <c r="F11" s="5">
        <v>384</v>
      </c>
      <c r="G11" s="5">
        <v>1029</v>
      </c>
      <c r="H11" s="5">
        <v>4353.7071960297762</v>
      </c>
      <c r="I11" s="6">
        <v>1564</v>
      </c>
      <c r="J11" s="6">
        <v>3056</v>
      </c>
      <c r="K11" s="6">
        <v>5697.713399503722</v>
      </c>
    </row>
    <row r="12" spans="1:11" x14ac:dyDescent="0.35">
      <c r="A12" s="4">
        <v>10</v>
      </c>
      <c r="B12" s="4" t="s">
        <v>9</v>
      </c>
      <c r="C12" s="5">
        <v>4702</v>
      </c>
      <c r="D12" s="5">
        <v>6992</v>
      </c>
      <c r="E12" s="5">
        <v>6338.6323148627653</v>
      </c>
      <c r="F12" s="5">
        <v>1664</v>
      </c>
      <c r="G12" s="5">
        <v>3800</v>
      </c>
      <c r="H12" s="5">
        <v>33923.737441740035</v>
      </c>
      <c r="I12" s="6">
        <v>6366</v>
      </c>
      <c r="J12" s="6">
        <v>10792</v>
      </c>
      <c r="K12" s="6">
        <v>40262.369756602799</v>
      </c>
    </row>
    <row r="13" spans="1:11" x14ac:dyDescent="0.35">
      <c r="A13" s="4">
        <v>11</v>
      </c>
      <c r="B13" s="4" t="s">
        <v>10</v>
      </c>
      <c r="C13" s="5">
        <v>452</v>
      </c>
      <c r="D13" s="5">
        <v>1541</v>
      </c>
      <c r="E13" s="5">
        <v>1868.196426622058</v>
      </c>
      <c r="F13" s="5">
        <v>841</v>
      </c>
      <c r="G13" s="5">
        <v>1215</v>
      </c>
      <c r="H13" s="5">
        <v>753.73246610801039</v>
      </c>
      <c r="I13" s="6">
        <v>1293</v>
      </c>
      <c r="J13" s="6">
        <v>2756</v>
      </c>
      <c r="K13" s="6">
        <v>2621.9288927300686</v>
      </c>
    </row>
    <row r="14" spans="1:11" x14ac:dyDescent="0.35">
      <c r="A14" s="4">
        <v>12</v>
      </c>
      <c r="B14" s="4" t="s">
        <v>11</v>
      </c>
      <c r="C14" s="5">
        <v>4571</v>
      </c>
      <c r="D14" s="5">
        <v>6962</v>
      </c>
      <c r="E14" s="5">
        <v>7791.8818117841056</v>
      </c>
      <c r="F14" s="5">
        <v>4923</v>
      </c>
      <c r="G14" s="5">
        <v>3307</v>
      </c>
      <c r="H14" s="5">
        <v>4346</v>
      </c>
      <c r="I14" s="6">
        <v>9494</v>
      </c>
      <c r="J14" s="6">
        <v>10269</v>
      </c>
      <c r="K14" s="6">
        <v>12137.881811784106</v>
      </c>
    </row>
    <row r="15" spans="1:11" x14ac:dyDescent="0.35">
      <c r="A15" s="4">
        <v>13</v>
      </c>
      <c r="B15" s="4" t="s">
        <v>12</v>
      </c>
      <c r="C15" s="5">
        <v>23221</v>
      </c>
      <c r="D15" s="5">
        <v>29443</v>
      </c>
      <c r="E15" s="5">
        <v>35290.378273279566</v>
      </c>
      <c r="F15" s="5">
        <v>5120</v>
      </c>
      <c r="G15" s="5">
        <v>51343</v>
      </c>
      <c r="H15" s="5">
        <v>37741.054506651308</v>
      </c>
      <c r="I15" s="6">
        <v>28341</v>
      </c>
      <c r="J15" s="6">
        <v>80786</v>
      </c>
      <c r="K15" s="6">
        <v>73031.432779930881</v>
      </c>
    </row>
    <row r="16" spans="1:11" x14ac:dyDescent="0.35">
      <c r="A16" s="4">
        <v>14</v>
      </c>
      <c r="B16" s="4" t="s">
        <v>13</v>
      </c>
      <c r="C16" s="5">
        <v>68069</v>
      </c>
      <c r="D16" s="5">
        <v>141290</v>
      </c>
      <c r="E16" s="5">
        <v>141402.43390237587</v>
      </c>
      <c r="F16" s="5">
        <v>3066</v>
      </c>
      <c r="G16" s="5">
        <v>85872</v>
      </c>
      <c r="H16" s="5">
        <v>15905.456486995652</v>
      </c>
      <c r="I16" s="6">
        <v>71135</v>
      </c>
      <c r="J16" s="6">
        <v>227162</v>
      </c>
      <c r="K16" s="6">
        <v>157307.89038937152</v>
      </c>
    </row>
    <row r="17" spans="1:11" x14ac:dyDescent="0.35">
      <c r="A17" s="4">
        <v>15</v>
      </c>
      <c r="B17" s="4" t="s">
        <v>14</v>
      </c>
      <c r="C17" s="5">
        <v>0</v>
      </c>
      <c r="D17" s="5">
        <v>662</v>
      </c>
      <c r="E17" s="5">
        <v>1781.1162448119487</v>
      </c>
      <c r="F17" s="5">
        <v>6</v>
      </c>
      <c r="G17" s="5">
        <v>1994</v>
      </c>
      <c r="H17" s="5">
        <v>2902</v>
      </c>
      <c r="I17" s="6">
        <v>6</v>
      </c>
      <c r="J17" s="6">
        <v>2656</v>
      </c>
      <c r="K17" s="6">
        <v>4683.1162448119485</v>
      </c>
    </row>
    <row r="18" spans="1:11" x14ac:dyDescent="0.35">
      <c r="A18" s="4">
        <v>16</v>
      </c>
      <c r="B18" s="4" t="s">
        <v>15</v>
      </c>
      <c r="C18" s="5">
        <v>4434</v>
      </c>
      <c r="D18" s="5">
        <v>6397</v>
      </c>
      <c r="E18" s="5">
        <v>6179.6252958362393</v>
      </c>
      <c r="F18" s="5">
        <v>0</v>
      </c>
      <c r="G18" s="5">
        <v>5483</v>
      </c>
      <c r="H18" s="5">
        <v>7859.4639605140483</v>
      </c>
      <c r="I18" s="6">
        <v>4434</v>
      </c>
      <c r="J18" s="6">
        <v>11880</v>
      </c>
      <c r="K18" s="6">
        <v>14039.089256350288</v>
      </c>
    </row>
    <row r="19" spans="1:11" x14ac:dyDescent="0.35">
      <c r="A19" s="4">
        <v>17</v>
      </c>
      <c r="B19" s="4" t="s">
        <v>16</v>
      </c>
      <c r="C19" s="5">
        <v>3735</v>
      </c>
      <c r="D19" s="5">
        <v>5570</v>
      </c>
      <c r="E19" s="5">
        <v>6208.1530330247342</v>
      </c>
      <c r="F19" s="5">
        <v>4661</v>
      </c>
      <c r="G19" s="5">
        <v>12031</v>
      </c>
      <c r="H19" s="5">
        <v>10642.058449633827</v>
      </c>
      <c r="I19" s="6">
        <v>8396</v>
      </c>
      <c r="J19" s="6">
        <v>17601</v>
      </c>
      <c r="K19" s="6">
        <v>16850.21148265856</v>
      </c>
    </row>
    <row r="20" spans="1:11" x14ac:dyDescent="0.35">
      <c r="A20" s="4">
        <v>18</v>
      </c>
      <c r="B20" s="4" t="s">
        <v>17</v>
      </c>
      <c r="C20" s="5">
        <v>6925</v>
      </c>
      <c r="D20" s="5">
        <v>108826</v>
      </c>
      <c r="E20" s="5">
        <v>229225</v>
      </c>
      <c r="F20" s="5">
        <v>511</v>
      </c>
      <c r="G20" s="5">
        <v>160072</v>
      </c>
      <c r="H20" s="5">
        <v>188294.14769244258</v>
      </c>
      <c r="I20" s="6">
        <v>7436</v>
      </c>
      <c r="J20" s="6">
        <v>268898</v>
      </c>
      <c r="K20" s="6">
        <v>417519.14769244258</v>
      </c>
    </row>
    <row r="21" spans="1:11" x14ac:dyDescent="0.35">
      <c r="A21" s="4">
        <v>19</v>
      </c>
      <c r="B21" s="4" t="s">
        <v>18</v>
      </c>
      <c r="C21" s="5">
        <v>437</v>
      </c>
      <c r="D21" s="5">
        <v>8562</v>
      </c>
      <c r="E21" s="5">
        <v>7467.6319189802698</v>
      </c>
      <c r="F21" s="5">
        <v>1295</v>
      </c>
      <c r="G21" s="5">
        <v>4369</v>
      </c>
      <c r="H21" s="5">
        <v>6195.3046970490668</v>
      </c>
      <c r="I21" s="6">
        <v>1732</v>
      </c>
      <c r="J21" s="6">
        <v>12931</v>
      </c>
      <c r="K21" s="6">
        <v>13662.936616029336</v>
      </c>
    </row>
    <row r="22" spans="1:11" x14ac:dyDescent="0.35">
      <c r="A22" s="4">
        <v>20</v>
      </c>
      <c r="B22" s="4" t="s">
        <v>19</v>
      </c>
      <c r="C22" s="5">
        <v>2979</v>
      </c>
      <c r="D22" s="5">
        <v>2284</v>
      </c>
      <c r="E22" s="5">
        <v>2205.3432721712538</v>
      </c>
      <c r="F22" s="5">
        <v>1007</v>
      </c>
      <c r="G22" s="5">
        <v>2625</v>
      </c>
      <c r="H22" s="5">
        <v>7047.434250764526</v>
      </c>
      <c r="I22" s="6">
        <v>3986</v>
      </c>
      <c r="J22" s="6">
        <v>4909</v>
      </c>
      <c r="K22" s="6">
        <v>9252.7775229357794</v>
      </c>
    </row>
    <row r="23" spans="1:11" x14ac:dyDescent="0.35">
      <c r="A23" s="4">
        <v>21</v>
      </c>
      <c r="B23" s="4" t="s">
        <v>20</v>
      </c>
      <c r="C23" s="5">
        <v>51421</v>
      </c>
      <c r="D23" s="5">
        <v>143265</v>
      </c>
      <c r="E23" s="5">
        <v>160786.9969390177</v>
      </c>
      <c r="F23" s="5">
        <v>24391</v>
      </c>
      <c r="G23" s="5">
        <v>62817</v>
      </c>
      <c r="H23" s="5">
        <v>77239.612875768318</v>
      </c>
      <c r="I23" s="6">
        <v>75812</v>
      </c>
      <c r="J23" s="6">
        <v>206082</v>
      </c>
      <c r="K23" s="6">
        <v>238026.609814786</v>
      </c>
    </row>
    <row r="24" spans="1:11" x14ac:dyDescent="0.35">
      <c r="A24" s="4">
        <v>22</v>
      </c>
      <c r="B24" s="4" t="s">
        <v>21</v>
      </c>
      <c r="C24" s="5">
        <v>8275</v>
      </c>
      <c r="D24" s="5">
        <v>11176</v>
      </c>
      <c r="E24" s="5">
        <v>6597.4100776542728</v>
      </c>
      <c r="F24" s="5">
        <v>6700</v>
      </c>
      <c r="G24" s="5">
        <v>18091</v>
      </c>
      <c r="H24" s="5">
        <v>18091</v>
      </c>
      <c r="I24" s="6">
        <v>14975</v>
      </c>
      <c r="J24" s="6">
        <v>29267</v>
      </c>
      <c r="K24" s="6">
        <v>24688.410077654273</v>
      </c>
    </row>
    <row r="25" spans="1:11" x14ac:dyDescent="0.35">
      <c r="A25" s="4">
        <v>23</v>
      </c>
      <c r="B25" s="4" t="s">
        <v>22</v>
      </c>
      <c r="C25" s="5">
        <v>1234</v>
      </c>
      <c r="D25" s="5">
        <v>2097</v>
      </c>
      <c r="E25" s="5">
        <v>2711.7219264892269</v>
      </c>
      <c r="F25" s="5">
        <v>496</v>
      </c>
      <c r="G25" s="5">
        <v>6168</v>
      </c>
      <c r="H25" s="5">
        <v>6478.7930291508237</v>
      </c>
      <c r="I25" s="6">
        <v>1730</v>
      </c>
      <c r="J25" s="6">
        <v>8265</v>
      </c>
      <c r="K25" s="6">
        <v>9190.5149556400502</v>
      </c>
    </row>
    <row r="26" spans="1:11" x14ac:dyDescent="0.35">
      <c r="A26" s="4">
        <v>24</v>
      </c>
      <c r="B26" s="4" t="s">
        <v>23</v>
      </c>
      <c r="C26" s="5">
        <v>52221</v>
      </c>
      <c r="D26" s="5">
        <v>72002</v>
      </c>
      <c r="E26" s="5">
        <v>132496</v>
      </c>
      <c r="F26" s="5">
        <v>13628</v>
      </c>
      <c r="G26" s="5">
        <v>92554</v>
      </c>
      <c r="H26" s="5">
        <v>153549.56215030918</v>
      </c>
      <c r="I26" s="6">
        <v>65849</v>
      </c>
      <c r="J26" s="6">
        <v>164556</v>
      </c>
      <c r="K26" s="6">
        <v>286045.56215030921</v>
      </c>
    </row>
    <row r="27" spans="1:11" x14ac:dyDescent="0.35">
      <c r="A27" s="4">
        <v>25</v>
      </c>
      <c r="B27" s="4" t="s">
        <v>24</v>
      </c>
      <c r="C27" s="5">
        <v>0</v>
      </c>
      <c r="D27" s="5">
        <v>11621</v>
      </c>
      <c r="E27" s="5">
        <v>5301.8248879810226</v>
      </c>
      <c r="F27" s="5">
        <v>216</v>
      </c>
      <c r="G27" s="5">
        <v>25051</v>
      </c>
      <c r="H27" s="5">
        <v>23691.187434106483</v>
      </c>
      <c r="I27" s="6">
        <v>216</v>
      </c>
      <c r="J27" s="6">
        <v>36672</v>
      </c>
      <c r="K27" s="6">
        <v>28993.012322087507</v>
      </c>
    </row>
    <row r="28" spans="1:11" x14ac:dyDescent="0.35">
      <c r="A28" s="4">
        <v>26</v>
      </c>
      <c r="B28" s="4" t="s">
        <v>25</v>
      </c>
      <c r="C28" s="5">
        <v>974</v>
      </c>
      <c r="D28" s="5">
        <v>11203</v>
      </c>
      <c r="E28" s="5">
        <v>7129.2714053614945</v>
      </c>
      <c r="F28" s="5">
        <v>2036</v>
      </c>
      <c r="G28" s="5">
        <v>13864</v>
      </c>
      <c r="H28" s="5">
        <v>23098</v>
      </c>
      <c r="I28" s="6">
        <v>3010</v>
      </c>
      <c r="J28" s="6">
        <v>25067</v>
      </c>
      <c r="K28" s="6">
        <v>30227.271405361495</v>
      </c>
    </row>
    <row r="29" spans="1:11" x14ac:dyDescent="0.35">
      <c r="A29" s="4">
        <v>27</v>
      </c>
      <c r="B29" s="4" t="s">
        <v>26</v>
      </c>
      <c r="C29" s="5">
        <v>10489</v>
      </c>
      <c r="D29" s="5">
        <v>14669</v>
      </c>
      <c r="E29" s="5">
        <v>14098.287215047239</v>
      </c>
      <c r="F29" s="5">
        <v>174</v>
      </c>
      <c r="G29" s="5">
        <v>44152</v>
      </c>
      <c r="H29" s="5">
        <v>50968.375262199879</v>
      </c>
      <c r="I29" s="6">
        <v>10663</v>
      </c>
      <c r="J29" s="6">
        <v>58821</v>
      </c>
      <c r="K29" s="6">
        <v>65066.662477247119</v>
      </c>
    </row>
    <row r="30" spans="1:11" x14ac:dyDescent="0.35">
      <c r="A30" s="4">
        <v>28</v>
      </c>
      <c r="B30" s="4" t="s">
        <v>27</v>
      </c>
      <c r="C30" s="5">
        <v>3963</v>
      </c>
      <c r="D30" s="5">
        <v>11568</v>
      </c>
      <c r="E30" s="5">
        <v>12418.378918345705</v>
      </c>
      <c r="F30" s="5">
        <v>0</v>
      </c>
      <c r="G30" s="5">
        <v>14833</v>
      </c>
      <c r="H30" s="5">
        <v>26223.507613997885</v>
      </c>
      <c r="I30" s="6">
        <v>3963</v>
      </c>
      <c r="J30" s="6">
        <v>26401</v>
      </c>
      <c r="K30" s="6">
        <v>38641.886532343589</v>
      </c>
    </row>
    <row r="31" spans="1:11" x14ac:dyDescent="0.35">
      <c r="A31" s="4">
        <v>29</v>
      </c>
      <c r="B31" s="4" t="s">
        <v>28</v>
      </c>
      <c r="C31" s="5">
        <v>8189</v>
      </c>
      <c r="D31" s="5">
        <v>12833</v>
      </c>
      <c r="E31" s="5">
        <v>14537.005004448398</v>
      </c>
      <c r="F31" s="5">
        <v>0</v>
      </c>
      <c r="G31" s="5">
        <v>14277</v>
      </c>
      <c r="H31" s="5">
        <v>23767</v>
      </c>
      <c r="I31" s="6">
        <v>8189</v>
      </c>
      <c r="J31" s="6">
        <v>27110</v>
      </c>
      <c r="K31" s="6">
        <v>38304.005004448394</v>
      </c>
    </row>
    <row r="32" spans="1:11" x14ac:dyDescent="0.35">
      <c r="A32" s="4">
        <v>30</v>
      </c>
      <c r="B32" s="4" t="s">
        <v>29</v>
      </c>
      <c r="C32" s="5">
        <v>4836</v>
      </c>
      <c r="D32" s="5">
        <v>6798</v>
      </c>
      <c r="E32" s="5">
        <v>9374.9877300613498</v>
      </c>
      <c r="F32" s="5">
        <v>244</v>
      </c>
      <c r="G32" s="5">
        <v>11463</v>
      </c>
      <c r="H32" s="5">
        <v>11463</v>
      </c>
      <c r="I32" s="6">
        <v>5080</v>
      </c>
      <c r="J32" s="6">
        <v>18261</v>
      </c>
      <c r="K32" s="6">
        <v>20837.987730061352</v>
      </c>
    </row>
    <row r="33" spans="1:11" x14ac:dyDescent="0.35">
      <c r="A33" s="4">
        <v>31</v>
      </c>
      <c r="B33" s="4" t="s">
        <v>30</v>
      </c>
      <c r="C33" s="5">
        <v>6820</v>
      </c>
      <c r="D33" s="5">
        <v>9444</v>
      </c>
      <c r="E33" s="5">
        <v>7846.7053175775491</v>
      </c>
      <c r="F33" s="5">
        <v>0</v>
      </c>
      <c r="G33" s="5">
        <v>6377</v>
      </c>
      <c r="H33" s="5">
        <v>7398.441318651805</v>
      </c>
      <c r="I33" s="6">
        <v>6820</v>
      </c>
      <c r="J33" s="6">
        <v>15821</v>
      </c>
      <c r="K33" s="6">
        <v>15245.146636229354</v>
      </c>
    </row>
    <row r="34" spans="1:11" x14ac:dyDescent="0.35">
      <c r="A34" s="4">
        <v>32</v>
      </c>
      <c r="B34" s="4" t="s">
        <v>31</v>
      </c>
      <c r="C34" s="5">
        <v>14014</v>
      </c>
      <c r="D34" s="5">
        <v>19598</v>
      </c>
      <c r="E34" s="5">
        <v>40757</v>
      </c>
      <c r="F34" s="5">
        <v>5346</v>
      </c>
      <c r="G34" s="5">
        <v>76726</v>
      </c>
      <c r="H34" s="5">
        <v>139367.37244750268</v>
      </c>
      <c r="I34" s="6">
        <v>19360</v>
      </c>
      <c r="J34" s="6">
        <v>96324</v>
      </c>
      <c r="K34" s="6">
        <v>180124.37244750268</v>
      </c>
    </row>
    <row r="35" spans="1:11" x14ac:dyDescent="0.35">
      <c r="A35" s="4">
        <v>33</v>
      </c>
      <c r="B35" s="4" t="s">
        <v>32</v>
      </c>
      <c r="C35" s="5">
        <v>4178</v>
      </c>
      <c r="D35" s="5">
        <v>15602</v>
      </c>
      <c r="E35" s="5">
        <v>18610.859009360374</v>
      </c>
      <c r="F35" s="5">
        <v>0</v>
      </c>
      <c r="G35" s="5">
        <v>10043</v>
      </c>
      <c r="H35" s="5">
        <v>8448.3207878315116</v>
      </c>
      <c r="I35" s="6">
        <v>4178</v>
      </c>
      <c r="J35" s="6">
        <v>25645</v>
      </c>
      <c r="K35" s="6">
        <v>27059.179797191886</v>
      </c>
    </row>
    <row r="36" spans="1:11" x14ac:dyDescent="0.35">
      <c r="A36" s="4">
        <v>34</v>
      </c>
      <c r="B36" s="4" t="s">
        <v>33</v>
      </c>
      <c r="C36" s="5">
        <v>5477</v>
      </c>
      <c r="D36" s="5">
        <v>6168</v>
      </c>
      <c r="E36" s="5">
        <v>6176.8688034042616</v>
      </c>
      <c r="F36" s="5">
        <v>6560</v>
      </c>
      <c r="G36" s="5">
        <v>3596</v>
      </c>
      <c r="H36" s="5">
        <v>6818.3026251918564</v>
      </c>
      <c r="I36" s="6">
        <v>12037</v>
      </c>
      <c r="J36" s="6">
        <v>9764</v>
      </c>
      <c r="K36" s="6">
        <v>12995.171428596117</v>
      </c>
    </row>
    <row r="37" spans="1:11" x14ac:dyDescent="0.35">
      <c r="A37" s="4">
        <v>35</v>
      </c>
      <c r="B37" s="4" t="s">
        <v>34</v>
      </c>
      <c r="C37" s="5">
        <v>261989</v>
      </c>
      <c r="D37" s="5">
        <v>441434</v>
      </c>
      <c r="E37" s="5">
        <v>495915.88729767234</v>
      </c>
      <c r="F37" s="5">
        <v>331077</v>
      </c>
      <c r="G37" s="5">
        <v>537756</v>
      </c>
      <c r="H37" s="5">
        <v>303916.69881769194</v>
      </c>
      <c r="I37" s="6">
        <v>593066</v>
      </c>
      <c r="J37" s="6">
        <v>979190</v>
      </c>
      <c r="K37" s="6">
        <v>799832.58611536422</v>
      </c>
    </row>
    <row r="38" spans="1:11" x14ac:dyDescent="0.35">
      <c r="A38" s="4">
        <v>36</v>
      </c>
      <c r="B38" s="4" t="s">
        <v>35</v>
      </c>
      <c r="C38" s="5">
        <v>11592</v>
      </c>
      <c r="D38" s="5">
        <v>17779</v>
      </c>
      <c r="E38" s="5">
        <v>18462.239749316621</v>
      </c>
      <c r="F38" s="5">
        <v>2695</v>
      </c>
      <c r="G38" s="5">
        <v>49680</v>
      </c>
      <c r="H38" s="5">
        <v>63680</v>
      </c>
      <c r="I38" s="6">
        <v>14287</v>
      </c>
      <c r="J38" s="6">
        <v>67459</v>
      </c>
      <c r="K38" s="6">
        <v>82142.239749316621</v>
      </c>
    </row>
    <row r="39" spans="1:11" x14ac:dyDescent="0.35">
      <c r="A39" s="4">
        <v>37</v>
      </c>
      <c r="B39" s="4" t="s">
        <v>36</v>
      </c>
      <c r="C39" s="5">
        <v>536</v>
      </c>
      <c r="D39" s="5">
        <v>559</v>
      </c>
      <c r="E39" s="5">
        <v>613.28457017504911</v>
      </c>
      <c r="F39" s="5">
        <v>28</v>
      </c>
      <c r="G39" s="5">
        <v>1105</v>
      </c>
      <c r="H39" s="5">
        <v>828.14730820859995</v>
      </c>
      <c r="I39" s="6">
        <v>564</v>
      </c>
      <c r="J39" s="6">
        <v>1664</v>
      </c>
      <c r="K39" s="6">
        <v>1441.4318783836491</v>
      </c>
    </row>
    <row r="40" spans="1:11" x14ac:dyDescent="0.35">
      <c r="A40" s="4">
        <v>38</v>
      </c>
      <c r="B40" s="4" t="s">
        <v>37</v>
      </c>
      <c r="C40" s="5">
        <v>6196</v>
      </c>
      <c r="D40" s="5">
        <v>10926</v>
      </c>
      <c r="E40" s="5">
        <v>11285.434623393408</v>
      </c>
      <c r="F40" s="5">
        <v>4932</v>
      </c>
      <c r="G40" s="5">
        <v>34349</v>
      </c>
      <c r="H40" s="5">
        <v>29939.877575931641</v>
      </c>
      <c r="I40" s="6">
        <v>11128</v>
      </c>
      <c r="J40" s="6">
        <v>45275</v>
      </c>
      <c r="K40" s="6">
        <v>41225.312199325053</v>
      </c>
    </row>
    <row r="41" spans="1:11" x14ac:dyDescent="0.35">
      <c r="A41" s="4">
        <v>39</v>
      </c>
      <c r="B41" s="4" t="s">
        <v>38</v>
      </c>
      <c r="C41" s="5">
        <v>530</v>
      </c>
      <c r="D41" s="5">
        <v>2020</v>
      </c>
      <c r="E41" s="5">
        <v>2592.4178512700573</v>
      </c>
      <c r="F41" s="5">
        <v>0</v>
      </c>
      <c r="G41" s="5">
        <v>525</v>
      </c>
      <c r="H41" s="5">
        <v>594.28457017504911</v>
      </c>
      <c r="I41" s="6">
        <v>530</v>
      </c>
      <c r="J41" s="6">
        <v>2545</v>
      </c>
      <c r="K41" s="6">
        <v>3186.7024214451067</v>
      </c>
    </row>
    <row r="42" spans="1:11" x14ac:dyDescent="0.35">
      <c r="A42" s="4">
        <v>40</v>
      </c>
      <c r="B42" s="4" t="s">
        <v>39</v>
      </c>
      <c r="C42" s="5">
        <v>8293</v>
      </c>
      <c r="D42" s="5">
        <v>7320</v>
      </c>
      <c r="E42" s="5">
        <v>20252.811629184373</v>
      </c>
      <c r="F42" s="5">
        <v>4557</v>
      </c>
      <c r="G42" s="5">
        <v>2288</v>
      </c>
      <c r="H42" s="5">
        <v>18898.61224042462</v>
      </c>
      <c r="I42" s="6">
        <v>12850</v>
      </c>
      <c r="J42" s="6">
        <v>9608</v>
      </c>
      <c r="K42" s="6">
        <v>39151.423869608989</v>
      </c>
    </row>
    <row r="43" spans="1:11" x14ac:dyDescent="0.35">
      <c r="A43" s="4">
        <v>41</v>
      </c>
      <c r="B43" s="4" t="s">
        <v>40</v>
      </c>
      <c r="C43" s="5">
        <v>90079</v>
      </c>
      <c r="D43" s="5">
        <v>354250</v>
      </c>
      <c r="E43" s="5">
        <v>468293.95185969712</v>
      </c>
      <c r="F43" s="5">
        <v>23469</v>
      </c>
      <c r="G43" s="5">
        <v>214207</v>
      </c>
      <c r="H43" s="5">
        <v>191862.74170800057</v>
      </c>
      <c r="I43" s="6">
        <v>113548</v>
      </c>
      <c r="J43" s="6">
        <v>568457</v>
      </c>
      <c r="K43" s="6">
        <v>660156.69356769766</v>
      </c>
    </row>
    <row r="44" spans="1:11" x14ac:dyDescent="0.35">
      <c r="A44" s="4">
        <v>42</v>
      </c>
      <c r="B44" s="4" t="s">
        <v>41</v>
      </c>
      <c r="C44" s="5">
        <v>0</v>
      </c>
      <c r="D44" s="5">
        <v>6413</v>
      </c>
      <c r="E44" s="5">
        <v>8616.9328736015086</v>
      </c>
      <c r="F44" s="5">
        <v>0</v>
      </c>
      <c r="G44" s="5">
        <v>10147</v>
      </c>
      <c r="H44" s="5">
        <v>12908</v>
      </c>
      <c r="I44" s="6">
        <v>0</v>
      </c>
      <c r="J44" s="6">
        <v>16560</v>
      </c>
      <c r="K44" s="6">
        <v>21524.932873601509</v>
      </c>
    </row>
    <row r="45" spans="1:11" x14ac:dyDescent="0.35">
      <c r="A45" s="4">
        <v>43</v>
      </c>
      <c r="B45" s="4" t="s">
        <v>42</v>
      </c>
      <c r="C45" s="5">
        <v>23402</v>
      </c>
      <c r="D45" s="5">
        <v>39366</v>
      </c>
      <c r="E45" s="5">
        <v>49814.905399934454</v>
      </c>
      <c r="F45" s="5">
        <v>15093</v>
      </c>
      <c r="G45" s="5">
        <v>69773</v>
      </c>
      <c r="H45" s="5">
        <v>138070.13653100963</v>
      </c>
      <c r="I45" s="6">
        <v>38495</v>
      </c>
      <c r="J45" s="6">
        <v>109139</v>
      </c>
      <c r="K45" s="6">
        <v>187885.04193094408</v>
      </c>
    </row>
    <row r="46" spans="1:11" x14ac:dyDescent="0.35">
      <c r="A46" s="4">
        <v>44</v>
      </c>
      <c r="B46" s="4" t="s">
        <v>43</v>
      </c>
      <c r="C46" s="5">
        <v>2532</v>
      </c>
      <c r="D46" s="5">
        <v>4137</v>
      </c>
      <c r="E46" s="5">
        <v>5574.9682728198168</v>
      </c>
      <c r="F46" s="5">
        <v>638</v>
      </c>
      <c r="G46" s="5">
        <v>22503</v>
      </c>
      <c r="H46" s="5">
        <v>21202.2429589413</v>
      </c>
      <c r="I46" s="6">
        <v>3170</v>
      </c>
      <c r="J46" s="6">
        <v>26640</v>
      </c>
      <c r="K46" s="6">
        <v>26777.211231761117</v>
      </c>
    </row>
    <row r="47" spans="1:11" x14ac:dyDescent="0.35">
      <c r="A47" s="4">
        <v>45</v>
      </c>
      <c r="B47" s="4" t="s">
        <v>44</v>
      </c>
      <c r="C47" s="5">
        <v>51995</v>
      </c>
      <c r="D47" s="5">
        <v>77940</v>
      </c>
      <c r="E47" s="5">
        <v>121325.78132796781</v>
      </c>
      <c r="F47" s="5">
        <v>207921</v>
      </c>
      <c r="G47" s="5">
        <v>190898</v>
      </c>
      <c r="H47" s="5">
        <v>215143.86052313884</v>
      </c>
      <c r="I47" s="6">
        <v>259916</v>
      </c>
      <c r="J47" s="6">
        <v>268838</v>
      </c>
      <c r="K47" s="6">
        <v>336469.64185110666</v>
      </c>
    </row>
    <row r="48" spans="1:11" x14ac:dyDescent="0.35">
      <c r="A48" s="4">
        <v>46</v>
      </c>
      <c r="B48" s="4" t="s">
        <v>45</v>
      </c>
      <c r="C48" s="5">
        <v>4278</v>
      </c>
      <c r="D48" s="5">
        <v>30782</v>
      </c>
      <c r="E48" s="5">
        <v>69982</v>
      </c>
      <c r="F48" s="5">
        <v>5507</v>
      </c>
      <c r="G48" s="5">
        <v>32379</v>
      </c>
      <c r="H48" s="5">
        <v>42023.819684990805</v>
      </c>
      <c r="I48" s="6">
        <v>9785</v>
      </c>
      <c r="J48" s="6">
        <v>63161</v>
      </c>
      <c r="K48" s="6">
        <v>112005.8196849908</v>
      </c>
    </row>
    <row r="49" spans="1:11" x14ac:dyDescent="0.35">
      <c r="A49" s="4">
        <v>47</v>
      </c>
      <c r="B49" s="4" t="s">
        <v>46</v>
      </c>
      <c r="C49" s="5">
        <v>21148</v>
      </c>
      <c r="D49" s="5">
        <v>35628</v>
      </c>
      <c r="E49" s="5">
        <v>62258.419764351172</v>
      </c>
      <c r="F49" s="5">
        <v>15850</v>
      </c>
      <c r="G49" s="5">
        <v>36886</v>
      </c>
      <c r="H49" s="5">
        <v>42581.173443884632</v>
      </c>
      <c r="I49" s="6">
        <v>36998</v>
      </c>
      <c r="J49" s="6">
        <v>72514</v>
      </c>
      <c r="K49" s="6">
        <v>104839.5932082358</v>
      </c>
    </row>
    <row r="50" spans="1:11" x14ac:dyDescent="0.35">
      <c r="A50" s="4">
        <v>48</v>
      </c>
      <c r="B50" s="4" t="s">
        <v>71</v>
      </c>
      <c r="C50" s="5">
        <v>841834</v>
      </c>
      <c r="D50" s="5">
        <v>1994699</v>
      </c>
      <c r="E50" s="5">
        <v>2460099.0886917901</v>
      </c>
      <c r="F50" s="5">
        <v>724195</v>
      </c>
      <c r="G50" s="5">
        <v>2312731</v>
      </c>
      <c r="H50" s="5">
        <v>2488957.6157619902</v>
      </c>
      <c r="I50" s="6">
        <v>1566029</v>
      </c>
      <c r="J50" s="6">
        <v>4307430</v>
      </c>
      <c r="K50" s="6">
        <v>4949056.7044537803</v>
      </c>
    </row>
  </sheetData>
  <mergeCells count="3">
    <mergeCell ref="F1:H1"/>
    <mergeCell ref="I1:K1"/>
    <mergeCell ref="C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54A-823D-476A-8A90-467C7FD581F0}">
  <dimension ref="A1:J50"/>
  <sheetViews>
    <sheetView workbookViewId="0">
      <selection activeCell="O6" sqref="O6"/>
    </sheetView>
  </sheetViews>
  <sheetFormatPr defaultRowHeight="14.5" x14ac:dyDescent="0.35"/>
  <cols>
    <col min="1" max="1" width="20.90625" bestFit="1" customWidth="1"/>
    <col min="2" max="2" width="8.81640625" bestFit="1" customWidth="1"/>
    <col min="3" max="7" width="9.36328125" bestFit="1" customWidth="1"/>
    <col min="8" max="10" width="9.36328125" style="3" bestFit="1" customWidth="1"/>
  </cols>
  <sheetData>
    <row r="1" spans="1:10" x14ac:dyDescent="0.35">
      <c r="B1" s="19" t="s">
        <v>66</v>
      </c>
      <c r="C1" s="19"/>
      <c r="D1" s="19"/>
      <c r="E1" s="20" t="s">
        <v>67</v>
      </c>
      <c r="F1" s="20"/>
      <c r="G1" s="20"/>
      <c r="H1" s="21" t="s">
        <v>59</v>
      </c>
      <c r="I1" s="21"/>
      <c r="J1" s="21"/>
    </row>
    <row r="2" spans="1:10" s="8" customFormat="1" ht="58" x14ac:dyDescent="0.35">
      <c r="A2" s="8" t="s">
        <v>0</v>
      </c>
      <c r="B2" s="8" t="s">
        <v>72</v>
      </c>
      <c r="C2" s="8" t="s">
        <v>73</v>
      </c>
      <c r="D2" s="8" t="s">
        <v>74</v>
      </c>
      <c r="E2" s="8" t="s">
        <v>72</v>
      </c>
      <c r="F2" s="8" t="s">
        <v>73</v>
      </c>
      <c r="G2" s="8" t="s">
        <v>74</v>
      </c>
      <c r="H2" s="9" t="s">
        <v>72</v>
      </c>
      <c r="I2" s="9" t="s">
        <v>73</v>
      </c>
      <c r="J2" s="9" t="s">
        <v>74</v>
      </c>
    </row>
    <row r="3" spans="1:10" x14ac:dyDescent="0.35">
      <c r="A3" t="s">
        <v>1</v>
      </c>
      <c r="B3" s="2">
        <v>2.931267462129866</v>
      </c>
      <c r="C3" s="2">
        <v>41.893522234964195</v>
      </c>
      <c r="D3" s="2">
        <v>16.521490491693015</v>
      </c>
      <c r="E3" s="2">
        <v>5.2630711233142405E-2</v>
      </c>
      <c r="F3" s="2">
        <v>57.067989613472768</v>
      </c>
      <c r="G3" s="2">
        <v>81.537078082791723</v>
      </c>
      <c r="H3" s="7">
        <v>2.9838981733630083</v>
      </c>
      <c r="I3" s="7">
        <v>98.961511848436984</v>
      </c>
      <c r="J3" s="7">
        <v>98.058568574484738</v>
      </c>
    </row>
    <row r="4" spans="1:10" x14ac:dyDescent="0.35">
      <c r="A4" t="s">
        <v>2</v>
      </c>
      <c r="B4" s="2">
        <v>1.147359073900709E-2</v>
      </c>
      <c r="C4" s="2">
        <v>19.33519951199629</v>
      </c>
      <c r="D4" s="2">
        <v>22.16128506058643</v>
      </c>
      <c r="E4" s="2">
        <v>0.23023672082940894</v>
      </c>
      <c r="F4" s="2">
        <v>16.090283115757977</v>
      </c>
      <c r="G4" s="2">
        <v>16.295060637006831</v>
      </c>
      <c r="H4" s="7">
        <v>0.24171031156841602</v>
      </c>
      <c r="I4" s="7">
        <v>35.425482627754263</v>
      </c>
      <c r="J4" s="7">
        <v>38.456345697593264</v>
      </c>
    </row>
    <row r="5" spans="1:10" x14ac:dyDescent="0.35">
      <c r="A5" t="s">
        <v>3</v>
      </c>
      <c r="B5" s="2">
        <v>7.6857184306059843</v>
      </c>
      <c r="C5" s="2">
        <v>4.8313817211552434</v>
      </c>
      <c r="D5" s="2">
        <v>8.2764831925559506</v>
      </c>
      <c r="E5" s="2">
        <v>14.614796652216302</v>
      </c>
      <c r="F5" s="2">
        <v>9.7917342838875214</v>
      </c>
      <c r="G5" s="2">
        <v>10.453140826335456</v>
      </c>
      <c r="H5" s="7">
        <v>22.300515082822283</v>
      </c>
      <c r="I5" s="7">
        <v>14.623116005042766</v>
      </c>
      <c r="J5" s="7">
        <v>18.729624018891407</v>
      </c>
    </row>
    <row r="6" spans="1:10" x14ac:dyDescent="0.35">
      <c r="A6" t="s">
        <v>4</v>
      </c>
      <c r="B6" s="2">
        <v>36.941691569573123</v>
      </c>
      <c r="C6" s="2">
        <v>37.8721049551717</v>
      </c>
      <c r="D6" s="2">
        <v>37.02657488516612</v>
      </c>
      <c r="E6" s="2">
        <v>4.5100343754820074</v>
      </c>
      <c r="F6" s="2">
        <v>30.541625355382433</v>
      </c>
      <c r="G6" s="2">
        <v>31.089269196228852</v>
      </c>
      <c r="H6" s="7">
        <v>41.451725945055138</v>
      </c>
      <c r="I6" s="7">
        <v>68.413730310554129</v>
      </c>
      <c r="J6" s="7">
        <v>68.115844081394968</v>
      </c>
    </row>
    <row r="7" spans="1:10" x14ac:dyDescent="0.35">
      <c r="A7" t="s">
        <v>5</v>
      </c>
      <c r="B7" s="2">
        <v>5.0934409402821972</v>
      </c>
      <c r="C7" s="2">
        <v>9.6338286946770175</v>
      </c>
      <c r="D7" s="2">
        <v>12.168856040551496</v>
      </c>
      <c r="E7" s="2">
        <v>2.5997358022034818</v>
      </c>
      <c r="F7" s="2">
        <v>3.7258388690907043</v>
      </c>
      <c r="G7" s="2">
        <v>4.6584670006919868</v>
      </c>
      <c r="H7" s="7">
        <v>7.6931767424856785</v>
      </c>
      <c r="I7" s="7">
        <v>13.35966756376772</v>
      </c>
      <c r="J7" s="7">
        <v>16.827323041243478</v>
      </c>
    </row>
    <row r="8" spans="1:10" x14ac:dyDescent="0.35">
      <c r="A8" t="s">
        <v>6</v>
      </c>
      <c r="B8" s="2">
        <v>7.0643334660974784</v>
      </c>
      <c r="C8" s="2">
        <v>9.1643321894231757</v>
      </c>
      <c r="D8" s="2">
        <v>8.3085116295989803</v>
      </c>
      <c r="E8" s="2">
        <v>4.33515582298869E-2</v>
      </c>
      <c r="F8" s="2">
        <v>32.732492290732871</v>
      </c>
      <c r="G8" s="2">
        <v>32.677825618073008</v>
      </c>
      <c r="H8" s="7">
        <v>7.107685024327365</v>
      </c>
      <c r="I8" s="7">
        <v>41.896824480156049</v>
      </c>
      <c r="J8" s="7">
        <v>40.986337247671983</v>
      </c>
    </row>
    <row r="9" spans="1:10" x14ac:dyDescent="0.35">
      <c r="A9" t="s">
        <v>7</v>
      </c>
      <c r="B9" s="2">
        <v>10.318104179523269</v>
      </c>
      <c r="C9" s="2">
        <v>5.7950101302016952</v>
      </c>
      <c r="D9" s="2">
        <v>8.340457309760458</v>
      </c>
      <c r="E9" s="2">
        <v>0</v>
      </c>
      <c r="F9" s="2">
        <v>6.7165810365391669</v>
      </c>
      <c r="G9" s="2">
        <v>2.9859846717331378</v>
      </c>
      <c r="H9" s="7">
        <v>10.318104179523267</v>
      </c>
      <c r="I9" s="7">
        <v>12.511591166740862</v>
      </c>
      <c r="J9" s="7">
        <v>11.326441981493597</v>
      </c>
    </row>
    <row r="10" spans="1:10" x14ac:dyDescent="0.35">
      <c r="A10" t="s">
        <v>70</v>
      </c>
      <c r="B10" s="2">
        <v>13.168129792199135</v>
      </c>
      <c r="C10" s="2">
        <v>29.16659007373055</v>
      </c>
      <c r="D10" s="2">
        <v>62.960411138791216</v>
      </c>
      <c r="E10" s="2">
        <v>141.90465607289701</v>
      </c>
      <c r="F10" s="2">
        <v>92.384211175916022</v>
      </c>
      <c r="G10" s="2">
        <v>41.402684045284943</v>
      </c>
      <c r="H10" s="7">
        <v>155.07278586509614</v>
      </c>
      <c r="I10" s="7">
        <v>121.55080124964657</v>
      </c>
      <c r="J10" s="7">
        <v>104.36309518407614</v>
      </c>
    </row>
    <row r="11" spans="1:10" x14ac:dyDescent="0.35">
      <c r="A11" t="s">
        <v>8</v>
      </c>
      <c r="B11" s="2">
        <v>2.4570901992606395</v>
      </c>
      <c r="C11" s="2">
        <v>3.9785819996152929</v>
      </c>
      <c r="D11" s="2">
        <v>2.4089830338186218</v>
      </c>
      <c r="E11" s="2">
        <v>0.79959545467464954</v>
      </c>
      <c r="F11" s="2">
        <v>2.017751502518264</v>
      </c>
      <c r="G11" s="2">
        <v>7.8017480569011566</v>
      </c>
      <c r="H11" s="7">
        <v>3.2566856539352891</v>
      </c>
      <c r="I11" s="7">
        <v>5.9963335021335578</v>
      </c>
      <c r="J11" s="7">
        <v>10.210731090719779</v>
      </c>
    </row>
    <row r="12" spans="1:10" x14ac:dyDescent="0.35">
      <c r="A12" t="s">
        <v>9</v>
      </c>
      <c r="B12" s="2">
        <v>3.557602383306083</v>
      </c>
      <c r="C12" s="2">
        <v>4.4808420291703328</v>
      </c>
      <c r="D12" s="2">
        <v>3.5764373051455833</v>
      </c>
      <c r="E12" s="2">
        <v>1.2590068834158492</v>
      </c>
      <c r="F12" s="2">
        <v>2.4352402332447465</v>
      </c>
      <c r="G12" s="2">
        <v>19.134534593819922</v>
      </c>
      <c r="H12" s="7">
        <v>4.8166092667219331</v>
      </c>
      <c r="I12" s="7">
        <v>6.9160822624150784</v>
      </c>
      <c r="J12" s="7">
        <v>22.710971898965504</v>
      </c>
    </row>
    <row r="13" spans="1:10" x14ac:dyDescent="0.35">
      <c r="A13" t="s">
        <v>10</v>
      </c>
      <c r="B13" s="2">
        <v>6.4627516022834079</v>
      </c>
      <c r="C13" s="2">
        <v>19.850228032875876</v>
      </c>
      <c r="D13" s="2">
        <v>22.326190141323295</v>
      </c>
      <c r="E13" s="2">
        <v>12.024721454691029</v>
      </c>
      <c r="F13" s="2">
        <v>15.650893614499799</v>
      </c>
      <c r="G13" s="2">
        <v>9.0076044008087113</v>
      </c>
      <c r="H13" s="7">
        <v>18.487473056974441</v>
      </c>
      <c r="I13" s="7">
        <v>35.501121647375662</v>
      </c>
      <c r="J13" s="7">
        <v>31.333794542132008</v>
      </c>
    </row>
    <row r="14" spans="1:10" x14ac:dyDescent="0.35">
      <c r="A14" t="s">
        <v>11</v>
      </c>
      <c r="B14" s="2">
        <v>9.4675580794092156</v>
      </c>
      <c r="C14" s="2">
        <v>12.795296212393836</v>
      </c>
      <c r="D14" s="2">
        <v>13.050801436856251</v>
      </c>
      <c r="E14" s="2">
        <v>10.196628401866455</v>
      </c>
      <c r="F14" s="2">
        <v>6.0778575947122118</v>
      </c>
      <c r="G14" s="2">
        <v>7.2792150105252142</v>
      </c>
      <c r="H14" s="7">
        <v>19.664186481275671</v>
      </c>
      <c r="I14" s="7">
        <v>18.873153807106046</v>
      </c>
      <c r="J14" s="7">
        <v>20.330016447381468</v>
      </c>
    </row>
    <row r="15" spans="1:10" x14ac:dyDescent="0.35">
      <c r="A15" t="s">
        <v>12</v>
      </c>
      <c r="B15" s="2">
        <v>10.33456030553733</v>
      </c>
      <c r="C15" s="2">
        <v>11.548997129264416</v>
      </c>
      <c r="D15" s="2">
        <v>12.531853132190035</v>
      </c>
      <c r="E15" s="2">
        <v>2.1941080188751148</v>
      </c>
      <c r="F15" s="2">
        <v>20.123567561819524</v>
      </c>
      <c r="G15" s="2">
        <v>13.387900643835712</v>
      </c>
      <c r="H15" s="7">
        <v>12.528668324412447</v>
      </c>
      <c r="I15" s="7">
        <v>31.672564691083934</v>
      </c>
      <c r="J15" s="7">
        <v>25.91975377602575</v>
      </c>
    </row>
    <row r="16" spans="1:10" x14ac:dyDescent="0.35">
      <c r="A16" t="s">
        <v>13</v>
      </c>
      <c r="B16" s="2">
        <v>9.2661285789722267</v>
      </c>
      <c r="C16" s="2">
        <v>16.223939744179855</v>
      </c>
      <c r="D16" s="2">
        <v>14.28160096277502</v>
      </c>
      <c r="E16" s="2">
        <v>0.41736987796396086</v>
      </c>
      <c r="F16" s="2">
        <v>9.8604441482922525</v>
      </c>
      <c r="G16" s="2">
        <v>1.6064460590182004</v>
      </c>
      <c r="H16" s="7">
        <v>9.6834984569361886</v>
      </c>
      <c r="I16" s="7">
        <v>26.084383892472108</v>
      </c>
      <c r="J16" s="7">
        <v>15.888047021793218</v>
      </c>
    </row>
    <row r="17" spans="1:10" x14ac:dyDescent="0.35">
      <c r="A17" t="s">
        <v>14</v>
      </c>
      <c r="B17" s="2">
        <v>0</v>
      </c>
      <c r="C17" s="2">
        <v>4.4071882438586458</v>
      </c>
      <c r="D17" s="2">
        <v>10.634113902446874</v>
      </c>
      <c r="E17" s="2">
        <v>4.8233798869882084E-2</v>
      </c>
      <c r="F17" s="2">
        <v>13.241536883738439</v>
      </c>
      <c r="G17" s="2">
        <v>17.296472403260356</v>
      </c>
      <c r="H17" s="7">
        <v>4.8233798869882084E-2</v>
      </c>
      <c r="I17" s="7">
        <v>17.648725127597086</v>
      </c>
      <c r="J17" s="7">
        <v>27.930586305707227</v>
      </c>
    </row>
    <row r="18" spans="1:10" x14ac:dyDescent="0.35">
      <c r="A18" t="s">
        <v>15</v>
      </c>
      <c r="B18" s="2">
        <v>13.451172154071436</v>
      </c>
      <c r="C18" s="2">
        <v>18.566922115433325</v>
      </c>
      <c r="D18" s="2">
        <v>16.774083760782815</v>
      </c>
      <c r="E18" s="2">
        <v>0</v>
      </c>
      <c r="F18" s="2">
        <v>15.914090035785666</v>
      </c>
      <c r="G18" s="2">
        <v>21.333867423538706</v>
      </c>
      <c r="H18" s="7">
        <v>13.451172154071436</v>
      </c>
      <c r="I18" s="7">
        <v>34.481012151218984</v>
      </c>
      <c r="J18" s="7">
        <v>38.107951184321514</v>
      </c>
    </row>
    <row r="19" spans="1:10" x14ac:dyDescent="0.35">
      <c r="A19" t="s">
        <v>16</v>
      </c>
      <c r="B19" s="2">
        <v>33.398341618089297</v>
      </c>
      <c r="C19" s="2">
        <v>47.999551889282181</v>
      </c>
      <c r="D19" s="2">
        <v>51.66268983905934</v>
      </c>
      <c r="E19" s="2">
        <v>41.678626581503138</v>
      </c>
      <c r="F19" s="2">
        <v>103.65145603667615</v>
      </c>
      <c r="G19" s="2">
        <v>88.53557152009499</v>
      </c>
      <c r="H19" s="7">
        <v>75.076968199592443</v>
      </c>
      <c r="I19" s="7">
        <v>151.65100792595834</v>
      </c>
      <c r="J19" s="7">
        <v>140.19826135915432</v>
      </c>
    </row>
    <row r="20" spans="1:10" x14ac:dyDescent="0.35">
      <c r="A20" t="s">
        <v>17</v>
      </c>
      <c r="B20" s="2">
        <v>0.71329713375271953</v>
      </c>
      <c r="C20" s="2">
        <v>9.7927247683912508</v>
      </c>
      <c r="D20" s="2">
        <v>18.578792370715053</v>
      </c>
      <c r="E20" s="2">
        <v>5.2634633263197068E-2</v>
      </c>
      <c r="F20" s="2">
        <v>14.399424930053186</v>
      </c>
      <c r="G20" s="2">
        <v>15.250791281886587</v>
      </c>
      <c r="H20" s="7">
        <v>0.76593176701591659</v>
      </c>
      <c r="I20" s="7">
        <v>24.192149698444432</v>
      </c>
      <c r="J20" s="7">
        <v>33.829583652601642</v>
      </c>
    </row>
    <row r="21" spans="1:10" x14ac:dyDescent="0.35">
      <c r="A21" t="s">
        <v>18</v>
      </c>
      <c r="B21" s="2">
        <v>2.2973079178531046</v>
      </c>
      <c r="C21" s="2">
        <v>39.060014055583196</v>
      </c>
      <c r="D21" s="2">
        <v>31.25849879805093</v>
      </c>
      <c r="E21" s="2">
        <v>6.8078117931802522</v>
      </c>
      <c r="F21" s="2">
        <v>19.721611861981561</v>
      </c>
      <c r="G21" s="2">
        <v>25.853652875942235</v>
      </c>
      <c r="H21" s="7">
        <v>9.1051197110333568</v>
      </c>
      <c r="I21" s="7">
        <v>58.781625917564746</v>
      </c>
      <c r="J21" s="7">
        <v>57.112151673993168</v>
      </c>
    </row>
    <row r="22" spans="1:10" x14ac:dyDescent="0.35">
      <c r="A22" t="s">
        <v>19</v>
      </c>
      <c r="B22" s="2">
        <v>14.019684502977714</v>
      </c>
      <c r="C22" s="2">
        <v>9.341836149347488</v>
      </c>
      <c r="D22" s="2">
        <v>8.1498514118713352</v>
      </c>
      <c r="E22" s="2">
        <v>4.7249960526987653</v>
      </c>
      <c r="F22" s="2">
        <v>10.707936531957847</v>
      </c>
      <c r="G22" s="2">
        <v>26.021236160614649</v>
      </c>
      <c r="H22" s="7">
        <v>18.744680555676478</v>
      </c>
      <c r="I22" s="7">
        <v>20.049772681305335</v>
      </c>
      <c r="J22" s="7">
        <v>34.171087572485987</v>
      </c>
    </row>
    <row r="23" spans="1:10" x14ac:dyDescent="0.35">
      <c r="A23" t="s">
        <v>20</v>
      </c>
      <c r="B23" s="2">
        <v>18.681157033578607</v>
      </c>
      <c r="C23" s="2">
        <v>46.40817219195695</v>
      </c>
      <c r="D23" s="2">
        <v>48.030714224150685</v>
      </c>
      <c r="E23" s="2">
        <v>8.8612065344123181</v>
      </c>
      <c r="F23" s="2">
        <v>20.294363506970317</v>
      </c>
      <c r="G23" s="2">
        <v>22.610200047155839</v>
      </c>
      <c r="H23" s="7">
        <v>27.542363567990925</v>
      </c>
      <c r="I23" s="7">
        <v>66.70253569892725</v>
      </c>
      <c r="J23" s="7">
        <v>70.640914271306528</v>
      </c>
    </row>
    <row r="24" spans="1:10" x14ac:dyDescent="0.35">
      <c r="A24" t="s">
        <v>21</v>
      </c>
      <c r="B24" s="2">
        <v>7.4850096287525645</v>
      </c>
      <c r="C24" s="2">
        <v>8.9017288876355476</v>
      </c>
      <c r="D24" s="2">
        <v>4.7602626385103033</v>
      </c>
      <c r="E24" s="2">
        <v>6.0603703338540411</v>
      </c>
      <c r="F24" s="2">
        <v>14.409554161257576</v>
      </c>
      <c r="G24" s="2">
        <v>13.053290667041477</v>
      </c>
      <c r="H24" s="7">
        <v>13.545379962606606</v>
      </c>
      <c r="I24" s="7">
        <v>23.311283048893124</v>
      </c>
      <c r="J24" s="7">
        <v>17.813553305551778</v>
      </c>
    </row>
    <row r="25" spans="1:10" x14ac:dyDescent="0.35">
      <c r="A25" t="s">
        <v>22</v>
      </c>
      <c r="B25" s="2">
        <v>7.2684328251615025</v>
      </c>
      <c r="C25" s="2">
        <v>10.893763982473359</v>
      </c>
      <c r="D25" s="2">
        <v>12.878829589909351</v>
      </c>
      <c r="E25" s="2">
        <v>2.921509466191333</v>
      </c>
      <c r="F25" s="2">
        <v>32.016341165466521</v>
      </c>
      <c r="G25" s="2">
        <v>30.758335221751548</v>
      </c>
      <c r="H25" s="7">
        <v>10.189942291352835</v>
      </c>
      <c r="I25" s="7">
        <v>42.910105147939873</v>
      </c>
      <c r="J25" s="7">
        <v>43.637164811660909</v>
      </c>
    </row>
    <row r="26" spans="1:10" x14ac:dyDescent="0.35">
      <c r="A26" t="s">
        <v>23</v>
      </c>
      <c r="B26" s="2">
        <v>11.658459316104921</v>
      </c>
      <c r="C26" s="2">
        <v>14.413861393432555</v>
      </c>
      <c r="D26" s="2">
        <v>24.523813221222014</v>
      </c>
      <c r="E26" s="2">
        <v>3.0424825943562523</v>
      </c>
      <c r="F26" s="2">
        <v>18.43441627004292</v>
      </c>
      <c r="G26" s="2">
        <v>28.237952683290491</v>
      </c>
      <c r="H26" s="7">
        <v>14.700941910461173</v>
      </c>
      <c r="I26" s="7">
        <v>32.848277663475471</v>
      </c>
      <c r="J26" s="7">
        <v>52.761765904512501</v>
      </c>
    </row>
    <row r="27" spans="1:10" x14ac:dyDescent="0.35">
      <c r="A27" t="s">
        <v>24</v>
      </c>
      <c r="B27" s="2">
        <v>0</v>
      </c>
      <c r="C27" s="2">
        <v>52.870382713145531</v>
      </c>
      <c r="D27" s="2">
        <v>22.993174843373964</v>
      </c>
      <c r="E27" s="2">
        <v>1.0414966499729863</v>
      </c>
      <c r="F27" s="2">
        <v>113.92541549951613</v>
      </c>
      <c r="G27" s="2">
        <v>102.68854878266576</v>
      </c>
      <c r="H27" s="7">
        <v>1.0414966499729863</v>
      </c>
      <c r="I27" s="7">
        <v>166.79579821266168</v>
      </c>
      <c r="J27" s="7">
        <v>125.68172362603974</v>
      </c>
    </row>
    <row r="28" spans="1:10" x14ac:dyDescent="0.35">
      <c r="A28" t="s">
        <v>25</v>
      </c>
      <c r="B28" s="2">
        <v>2.1999802363171792</v>
      </c>
      <c r="C28" s="2">
        <v>22.91287401641636</v>
      </c>
      <c r="D28" s="2">
        <v>13.444654516010845</v>
      </c>
      <c r="E28" s="2">
        <v>4.5987266541496687</v>
      </c>
      <c r="F28" s="2">
        <v>28.355269603105992</v>
      </c>
      <c r="G28" s="2">
        <v>43.559097746969861</v>
      </c>
      <c r="H28" s="7">
        <v>6.798706890466848</v>
      </c>
      <c r="I28" s="7">
        <v>51.268143619522348</v>
      </c>
      <c r="J28" s="7">
        <v>57.003752262980719</v>
      </c>
    </row>
    <row r="29" spans="1:10" x14ac:dyDescent="0.35">
      <c r="A29" t="s">
        <v>26</v>
      </c>
      <c r="B29" s="2">
        <v>4.4467387300620373</v>
      </c>
      <c r="C29" s="2">
        <v>5.4640186234792782</v>
      </c>
      <c r="D29" s="2">
        <v>4.761050716296678</v>
      </c>
      <c r="E29" s="2">
        <v>7.376609200407995E-2</v>
      </c>
      <c r="F29" s="2">
        <v>16.426697204678998</v>
      </c>
      <c r="G29" s="2">
        <v>17.207717189217753</v>
      </c>
      <c r="H29" s="7">
        <v>4.5205048220661173</v>
      </c>
      <c r="I29" s="7">
        <v>21.890715828158275</v>
      </c>
      <c r="J29" s="7">
        <v>21.968767905514429</v>
      </c>
    </row>
    <row r="30" spans="1:10" x14ac:dyDescent="0.35">
      <c r="A30" t="s">
        <v>27</v>
      </c>
      <c r="B30" s="2">
        <v>2.4730455662233775</v>
      </c>
      <c r="C30" s="2">
        <v>6.2979495241776151</v>
      </c>
      <c r="D30" s="2">
        <v>6.0858545949756246</v>
      </c>
      <c r="E30" s="2">
        <v>0</v>
      </c>
      <c r="F30" s="2">
        <v>8.0755087562350063</v>
      </c>
      <c r="G30" s="2">
        <v>12.845430559235803</v>
      </c>
      <c r="H30" s="7">
        <v>2.4730455662233775</v>
      </c>
      <c r="I30" s="7">
        <v>14.373458280412622</v>
      </c>
      <c r="J30" s="7">
        <v>18.931285154211427</v>
      </c>
    </row>
    <row r="31" spans="1:10" x14ac:dyDescent="0.35">
      <c r="A31" t="s">
        <v>28</v>
      </c>
      <c r="B31" s="2">
        <v>4.8159164598162238</v>
      </c>
      <c r="C31" s="2">
        <v>6.4376483184910729</v>
      </c>
      <c r="D31" s="2">
        <v>6.4341278578313545</v>
      </c>
      <c r="E31" s="2">
        <v>0</v>
      </c>
      <c r="F31" s="2">
        <v>7.1545032586550068</v>
      </c>
      <c r="G31" s="2">
        <v>10.512715984650592</v>
      </c>
      <c r="H31" s="7">
        <v>4.8159164598162238</v>
      </c>
      <c r="I31" s="7">
        <v>13.592151577146081</v>
      </c>
      <c r="J31" s="7">
        <v>16.946843842481947</v>
      </c>
    </row>
    <row r="32" spans="1:10" x14ac:dyDescent="0.35">
      <c r="A32" t="s">
        <v>29</v>
      </c>
      <c r="B32" s="2">
        <v>12.920259078445698</v>
      </c>
      <c r="C32" s="2">
        <v>15.917722374831463</v>
      </c>
      <c r="D32" s="2">
        <v>19.794578938796668</v>
      </c>
      <c r="E32" s="2">
        <v>0.65189065656343048</v>
      </c>
      <c r="F32" s="2">
        <v>26.819887037558036</v>
      </c>
      <c r="G32" s="2">
        <v>24.184256416460755</v>
      </c>
      <c r="H32" s="7">
        <v>13.572149735009129</v>
      </c>
      <c r="I32" s="7">
        <v>42.737609412389503</v>
      </c>
      <c r="J32" s="7">
        <v>43.978835355257424</v>
      </c>
    </row>
    <row r="33" spans="1:10" x14ac:dyDescent="0.35">
      <c r="A33" t="s">
        <v>30</v>
      </c>
      <c r="B33" s="2">
        <v>52.839892414260113</v>
      </c>
      <c r="C33" s="2">
        <v>72.905163459567675</v>
      </c>
      <c r="D33" s="2">
        <v>60.383936189147697</v>
      </c>
      <c r="E33" s="2">
        <v>0</v>
      </c>
      <c r="F33" s="2">
        <v>49.136103919964881</v>
      </c>
      <c r="G33" s="2">
        <v>56.818910790883159</v>
      </c>
      <c r="H33" s="7">
        <v>52.839892414260113</v>
      </c>
      <c r="I33" s="7">
        <v>122.04126737953257</v>
      </c>
      <c r="J33" s="7">
        <v>117.20284698003086</v>
      </c>
    </row>
    <row r="34" spans="1:10" x14ac:dyDescent="0.35">
      <c r="A34" t="s">
        <v>31</v>
      </c>
      <c r="B34" s="2">
        <v>5.5497185519677856</v>
      </c>
      <c r="C34" s="2">
        <v>6.6605767149290012</v>
      </c>
      <c r="D34" s="2">
        <v>12.362024638000094</v>
      </c>
      <c r="E34" s="2">
        <v>2.099658039284515</v>
      </c>
      <c r="F34" s="2">
        <v>25.972782615996739</v>
      </c>
      <c r="G34" s="2">
        <v>42.24648380749376</v>
      </c>
      <c r="H34" s="7">
        <v>7.6493765912523006</v>
      </c>
      <c r="I34" s="7">
        <v>32.633359330925742</v>
      </c>
      <c r="J34" s="7">
        <v>54.608508445493854</v>
      </c>
    </row>
    <row r="35" spans="1:10" x14ac:dyDescent="0.35">
      <c r="A35" t="s">
        <v>32</v>
      </c>
      <c r="B35" s="2">
        <v>18.952057373293837</v>
      </c>
      <c r="C35" s="2">
        <v>64.854830057441106</v>
      </c>
      <c r="D35" s="2">
        <v>72.50007161772831</v>
      </c>
      <c r="E35" s="2">
        <v>0</v>
      </c>
      <c r="F35" s="2">
        <v>39.793314199454151</v>
      </c>
      <c r="G35" s="2">
        <v>32.852091573059646</v>
      </c>
      <c r="H35" s="7">
        <v>18.952057373293837</v>
      </c>
      <c r="I35" s="7">
        <v>104.64814425689526</v>
      </c>
      <c r="J35" s="7">
        <v>105.35216319078796</v>
      </c>
    </row>
    <row r="36" spans="1:10" x14ac:dyDescent="0.35">
      <c r="A36" t="s">
        <v>33</v>
      </c>
      <c r="B36" s="2">
        <v>2.9362255771784778</v>
      </c>
      <c r="C36" s="2">
        <v>2.731976858986676</v>
      </c>
      <c r="D36" s="2">
        <v>2.3568659730003425</v>
      </c>
      <c r="E36" s="2">
        <v>3.5168230393081639</v>
      </c>
      <c r="F36" s="2">
        <v>1.5878951101600574</v>
      </c>
      <c r="G36" s="2">
        <v>2.5989823492576525</v>
      </c>
      <c r="H36" s="7">
        <v>6.4530486164866421</v>
      </c>
      <c r="I36" s="7">
        <v>4.3198719691467335</v>
      </c>
      <c r="J36" s="7">
        <v>4.955848322257995</v>
      </c>
    </row>
    <row r="37" spans="1:10" x14ac:dyDescent="0.35">
      <c r="A37" t="s">
        <v>34</v>
      </c>
      <c r="B37" s="2">
        <v>14.994266155054937</v>
      </c>
      <c r="C37" s="2">
        <v>22.251085637910265</v>
      </c>
      <c r="D37" s="2">
        <v>22.692099302180001</v>
      </c>
      <c r="E37" s="2">
        <v>18.948340028845195</v>
      </c>
      <c r="F37" s="2">
        <v>26.795572759104093</v>
      </c>
      <c r="G37" s="2">
        <v>13.891883050958661</v>
      </c>
      <c r="H37" s="7">
        <v>33.942606183900139</v>
      </c>
      <c r="I37" s="7">
        <v>49.046658397014362</v>
      </c>
      <c r="J37" s="7">
        <v>36.583982353138666</v>
      </c>
    </row>
    <row r="38" spans="1:10" x14ac:dyDescent="0.35">
      <c r="A38" t="s">
        <v>35</v>
      </c>
      <c r="B38" s="2">
        <v>10.441973743822771</v>
      </c>
      <c r="C38" s="2">
        <v>14.187099506595519</v>
      </c>
      <c r="D38" s="2">
        <v>13.401063461919398</v>
      </c>
      <c r="E38" s="2">
        <v>2.4069145827721221</v>
      </c>
      <c r="F38" s="2">
        <v>39.643124106398872</v>
      </c>
      <c r="G38" s="2">
        <v>46.22297905575703</v>
      </c>
      <c r="H38" s="7">
        <v>12.848888326594892</v>
      </c>
      <c r="I38" s="7">
        <v>53.830223612994395</v>
      </c>
      <c r="J38" s="7">
        <v>59.624042517676429</v>
      </c>
    </row>
    <row r="39" spans="1:10" x14ac:dyDescent="0.35">
      <c r="A39" t="s">
        <v>36</v>
      </c>
      <c r="B39" s="2">
        <v>27.663516672946013</v>
      </c>
      <c r="C39" s="2">
        <v>26.449769096827922</v>
      </c>
      <c r="D39" s="2">
        <v>26.971849712707133</v>
      </c>
      <c r="E39" s="2">
        <v>1.4451090799300157</v>
      </c>
      <c r="F39" s="2">
        <v>52.284427284427281</v>
      </c>
      <c r="G39" s="2">
        <v>36.42137080117601</v>
      </c>
      <c r="H39" s="7">
        <v>29.10862575287603</v>
      </c>
      <c r="I39" s="7">
        <v>78.734196381255202</v>
      </c>
      <c r="J39" s="7">
        <v>63.393220513883151</v>
      </c>
    </row>
    <row r="40" spans="1:10" x14ac:dyDescent="0.35">
      <c r="A40" t="s">
        <v>37</v>
      </c>
      <c r="B40" s="2">
        <v>4.5573683566159886</v>
      </c>
      <c r="C40" s="2">
        <v>7.0151292697761525</v>
      </c>
      <c r="D40" s="2">
        <v>6.5171760234407232</v>
      </c>
      <c r="E40" s="2">
        <v>3.62765344332312</v>
      </c>
      <c r="F40" s="2">
        <v>21.98985560686101</v>
      </c>
      <c r="G40" s="2">
        <v>17.279709823939974</v>
      </c>
      <c r="H40" s="7">
        <v>8.1850217999391077</v>
      </c>
      <c r="I40" s="7">
        <v>29.00498487663717</v>
      </c>
      <c r="J40" s="7">
        <v>23.796885847380697</v>
      </c>
    </row>
    <row r="41" spans="1:10" x14ac:dyDescent="0.35">
      <c r="A41" t="s">
        <v>38</v>
      </c>
      <c r="B41" s="2">
        <v>54.800752734867757</v>
      </c>
      <c r="C41" s="2">
        <v>195.92438482652926</v>
      </c>
      <c r="D41" s="2">
        <v>242.01401730513936</v>
      </c>
      <c r="E41" s="2">
        <v>0</v>
      </c>
      <c r="F41" s="2">
        <v>50.726957061522185</v>
      </c>
      <c r="G41" s="2">
        <v>54.452272032846714</v>
      </c>
      <c r="H41" s="7">
        <v>54.800752734867757</v>
      </c>
      <c r="I41" s="7">
        <v>246.65134188805143</v>
      </c>
      <c r="J41" s="7">
        <v>296.4662893379861</v>
      </c>
    </row>
    <row r="42" spans="1:10" x14ac:dyDescent="0.35">
      <c r="A42" t="s">
        <v>39</v>
      </c>
      <c r="B42" s="2">
        <v>11.906918137676456</v>
      </c>
      <c r="C42" s="2">
        <v>9.3114595445704076</v>
      </c>
      <c r="D42" s="2">
        <v>23.534133501916237</v>
      </c>
      <c r="E42" s="2">
        <v>6.5428464914254931</v>
      </c>
      <c r="F42" s="2">
        <v>2.747643800037169</v>
      </c>
      <c r="G42" s="2">
        <v>21.943167738064904</v>
      </c>
      <c r="H42" s="7">
        <v>18.449764629101949</v>
      </c>
      <c r="I42" s="7">
        <v>12.059103344607577</v>
      </c>
      <c r="J42" s="7">
        <v>45.477301239981145</v>
      </c>
    </row>
    <row r="43" spans="1:10" x14ac:dyDescent="0.35">
      <c r="A43" t="s">
        <v>40</v>
      </c>
      <c r="B43" s="2">
        <v>16.720429532704841</v>
      </c>
      <c r="C43" s="2">
        <v>61.781000175533016</v>
      </c>
      <c r="D43" s="2">
        <v>78.187272031248852</v>
      </c>
      <c r="E43" s="2">
        <v>4.3563068051715703</v>
      </c>
      <c r="F43" s="2">
        <v>36.776829849021532</v>
      </c>
      <c r="G43" s="2">
        <v>31.953268649492806</v>
      </c>
      <c r="H43" s="7">
        <v>21.076736337876412</v>
      </c>
      <c r="I43" s="7">
        <v>98.557830024554548</v>
      </c>
      <c r="J43" s="7">
        <v>110.14054068074168</v>
      </c>
    </row>
    <row r="44" spans="1:10" x14ac:dyDescent="0.35">
      <c r="A44" t="s">
        <v>41</v>
      </c>
      <c r="B44" s="2">
        <v>0</v>
      </c>
      <c r="C44" s="2">
        <v>6.1691166210748785</v>
      </c>
      <c r="D44" s="2">
        <v>7.8959074273939986</v>
      </c>
      <c r="E44" s="2">
        <v>0</v>
      </c>
      <c r="F44" s="2">
        <v>9.7409129744276033</v>
      </c>
      <c r="G44" s="2">
        <v>11.808674908975751</v>
      </c>
      <c r="H44" s="7">
        <v>0</v>
      </c>
      <c r="I44" s="7">
        <v>15.910029595502481</v>
      </c>
      <c r="J44" s="7">
        <v>19.70458233636975</v>
      </c>
    </row>
    <row r="45" spans="1:10" x14ac:dyDescent="0.35">
      <c r="A45" t="s">
        <v>42</v>
      </c>
      <c r="B45" s="2">
        <v>4.7513236254288476</v>
      </c>
      <c r="C45" s="2">
        <v>6.7766740907794407</v>
      </c>
      <c r="D45" s="2">
        <v>7.605590561668536</v>
      </c>
      <c r="E45" s="2">
        <v>3.0521599889356406</v>
      </c>
      <c r="F45" s="2">
        <v>11.995776998980709</v>
      </c>
      <c r="G45" s="2">
        <v>21.077761406905779</v>
      </c>
      <c r="H45" s="7">
        <v>7.8034836143644881</v>
      </c>
      <c r="I45" s="7">
        <v>18.77245108976015</v>
      </c>
      <c r="J45" s="7">
        <v>28.683351968574311</v>
      </c>
    </row>
    <row r="46" spans="1:10" x14ac:dyDescent="0.35">
      <c r="A46" t="s">
        <v>43</v>
      </c>
      <c r="B46" s="2">
        <v>3.5630712154083408</v>
      </c>
      <c r="C46" s="2">
        <v>5.1412514405011063</v>
      </c>
      <c r="D46" s="2">
        <v>6.3003257177536511</v>
      </c>
      <c r="E46" s="2">
        <v>0.89780388445123283</v>
      </c>
      <c r="F46" s="2">
        <v>27.897223189840187</v>
      </c>
      <c r="G46" s="2">
        <v>23.934903744456289</v>
      </c>
      <c r="H46" s="7">
        <v>4.4608750998595736</v>
      </c>
      <c r="I46" s="7">
        <v>33.038474630341284</v>
      </c>
      <c r="J46" s="7">
        <v>30.235229462209936</v>
      </c>
    </row>
    <row r="47" spans="1:10" x14ac:dyDescent="0.35">
      <c r="A47" t="s">
        <v>44</v>
      </c>
      <c r="B47" s="2">
        <v>14.740498339124736</v>
      </c>
      <c r="C47" s="2">
        <v>18.773758505730214</v>
      </c>
      <c r="D47" s="2">
        <v>25.677639566139653</v>
      </c>
      <c r="E47" s="2">
        <v>58.880912819428268</v>
      </c>
      <c r="F47" s="2">
        <v>45.975234006565493</v>
      </c>
      <c r="G47" s="2">
        <v>45.262166963612259</v>
      </c>
      <c r="H47" s="7">
        <v>73.621411158553016</v>
      </c>
      <c r="I47" s="7">
        <v>64.7489925122957</v>
      </c>
      <c r="J47" s="7">
        <v>70.939806529751905</v>
      </c>
    </row>
    <row r="48" spans="1:10" x14ac:dyDescent="0.35">
      <c r="A48" t="s">
        <v>45</v>
      </c>
      <c r="B48" s="2">
        <v>2.8080123001178361</v>
      </c>
      <c r="C48" s="2">
        <v>17.258457426269619</v>
      </c>
      <c r="D48" s="2">
        <v>34.960104008082851</v>
      </c>
      <c r="E48" s="2">
        <v>3.5799203096873948</v>
      </c>
      <c r="F48" s="2">
        <v>18.153842927853422</v>
      </c>
      <c r="G48" s="2">
        <v>20.979369324854559</v>
      </c>
      <c r="H48" s="7">
        <v>6.3879326098052314</v>
      </c>
      <c r="I48" s="7">
        <v>35.412300354123047</v>
      </c>
      <c r="J48" s="7">
        <v>55.939473332937403</v>
      </c>
    </row>
    <row r="49" spans="1:10" x14ac:dyDescent="0.35">
      <c r="A49" t="s">
        <v>46</v>
      </c>
      <c r="B49" s="2">
        <v>15.601137891580859</v>
      </c>
      <c r="C49" s="2">
        <v>23.66965484875815</v>
      </c>
      <c r="D49" s="2">
        <v>38.14728630825762</v>
      </c>
      <c r="E49" s="2">
        <v>11.673558066785303</v>
      </c>
      <c r="F49" s="2">
        <v>24.478839748437824</v>
      </c>
      <c r="G49" s="2">
        <v>25.895700272536768</v>
      </c>
      <c r="H49" s="7">
        <v>27.274695958366152</v>
      </c>
      <c r="I49" s="7">
        <v>48.14849459719597</v>
      </c>
      <c r="J49" s="7">
        <v>64.042986580794391</v>
      </c>
    </row>
    <row r="50" spans="1:10" x14ac:dyDescent="0.35">
      <c r="A50" t="s">
        <v>71</v>
      </c>
      <c r="B50" s="2">
        <v>11.13650671070585</v>
      </c>
      <c r="C50" s="2">
        <v>23.576970255075228</v>
      </c>
      <c r="D50" s="2">
        <v>26.089625326181718</v>
      </c>
      <c r="E50" s="2">
        <v>8.3497580937222491</v>
      </c>
      <c r="F50" s="2">
        <v>26.690656580821251</v>
      </c>
      <c r="G50" s="2">
        <v>27.338421108534128</v>
      </c>
      <c r="H50" s="7">
        <v>19.486264804428103</v>
      </c>
      <c r="I50" s="7">
        <v>50.267626835896493</v>
      </c>
      <c r="J50" s="7">
        <v>53.428046434715839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D5D8-96CC-4F52-8F00-C58F17FE36DA}">
  <dimension ref="A1:AE48"/>
  <sheetViews>
    <sheetView topLeftCell="N1" workbookViewId="0">
      <selection activeCell="F2" sqref="F2:F48"/>
    </sheetView>
  </sheetViews>
  <sheetFormatPr defaultRowHeight="14.5" x14ac:dyDescent="0.35"/>
  <sheetData>
    <row r="1" spans="1:31" x14ac:dyDescent="0.35">
      <c r="A1" t="s">
        <v>0</v>
      </c>
      <c r="B1" t="s">
        <v>146</v>
      </c>
      <c r="C1" t="s">
        <v>147</v>
      </c>
      <c r="D1">
        <v>2013</v>
      </c>
      <c r="E1">
        <v>2018</v>
      </c>
      <c r="F1" t="s">
        <v>69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148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  <c r="AD1" t="s">
        <v>170</v>
      </c>
      <c r="AE1" t="s">
        <v>171</v>
      </c>
    </row>
    <row r="2" spans="1:31" x14ac:dyDescent="0.35">
      <c r="A2" t="s">
        <v>1</v>
      </c>
      <c r="B2" t="s">
        <v>109</v>
      </c>
      <c r="C2" t="s">
        <v>172</v>
      </c>
      <c r="D2">
        <v>0</v>
      </c>
      <c r="E2">
        <v>73168</v>
      </c>
      <c r="F2" s="1">
        <v>75512</v>
      </c>
      <c r="G2">
        <v>8.2034047710869931E-2</v>
      </c>
      <c r="H2">
        <v>0.29430885350669383</v>
      </c>
      <c r="I2">
        <v>0.20861109580739354</v>
      </c>
      <c r="J2">
        <v>0.13796760509062861</v>
      </c>
      <c r="K2">
        <v>0.17288303674728664</v>
      </c>
      <c r="L2">
        <v>0.10419536113712743</v>
      </c>
      <c r="M2">
        <v>6194.55501074321</v>
      </c>
      <c r="N2">
        <v>22223.850145997465</v>
      </c>
      <c r="O2">
        <v>15752.641066607901</v>
      </c>
      <c r="P2">
        <v>10418.209795603547</v>
      </c>
      <c r="Q2">
        <v>13054.743870861108</v>
      </c>
      <c r="R2">
        <v>7868.0001101867665</v>
      </c>
      <c r="S2">
        <v>0</v>
      </c>
      <c r="T2">
        <v>0</v>
      </c>
      <c r="U2">
        <v>70913.67108981323</v>
      </c>
      <c r="V2">
        <v>72957.365209322714</v>
      </c>
      <c r="W2">
        <v>74965.727324275853</v>
      </c>
      <c r="X2">
        <v>76939.368265096869</v>
      </c>
      <c r="Y2">
        <v>78878.888301988089</v>
      </c>
      <c r="Z2">
        <v>80784.87732749831</v>
      </c>
      <c r="AA2">
        <v>82657.915035934813</v>
      </c>
      <c r="AB2">
        <v>84498.571099673645</v>
      </c>
      <c r="AC2">
        <v>0.1</v>
      </c>
      <c r="AD2">
        <v>6.8000000000000005E-2</v>
      </c>
      <c r="AE2" s="1">
        <v>5134.8160000000007</v>
      </c>
    </row>
    <row r="3" spans="1:31" x14ac:dyDescent="0.35">
      <c r="A3" t="s">
        <v>2</v>
      </c>
      <c r="B3" t="s">
        <v>110</v>
      </c>
      <c r="C3" t="s">
        <v>172</v>
      </c>
      <c r="D3">
        <v>0</v>
      </c>
      <c r="E3">
        <v>6593</v>
      </c>
      <c r="F3" s="1">
        <v>8693</v>
      </c>
      <c r="G3">
        <v>9.6273049759095664E-3</v>
      </c>
      <c r="H3">
        <v>0.3275992964925577</v>
      </c>
      <c r="I3">
        <v>0.38621639847768657</v>
      </c>
      <c r="J3">
        <v>0.17590959830524627</v>
      </c>
      <c r="K3">
        <v>8.0800436018606592E-2</v>
      </c>
      <c r="L3">
        <v>1.9846965729993234E-2</v>
      </c>
      <c r="M3">
        <v>83.690162155581859</v>
      </c>
      <c r="N3">
        <v>2847.820684409804</v>
      </c>
      <c r="O3">
        <v>3357.3791519665292</v>
      </c>
      <c r="P3">
        <v>1529.1821380675058</v>
      </c>
      <c r="Q3">
        <v>702.39819030974706</v>
      </c>
      <c r="R3">
        <v>172.52967309083118</v>
      </c>
      <c r="S3">
        <v>0</v>
      </c>
      <c r="T3">
        <v>611</v>
      </c>
      <c r="U3">
        <v>8932.07032690917</v>
      </c>
      <c r="V3">
        <v>9271.4988092128588</v>
      </c>
      <c r="W3">
        <v>9608.1846945798206</v>
      </c>
      <c r="X3">
        <v>9942.1501433128851</v>
      </c>
      <c r="Y3">
        <v>10273.417136658672</v>
      </c>
      <c r="Z3">
        <v>10602.007478254369</v>
      </c>
      <c r="AA3">
        <v>10927.942795562822</v>
      </c>
      <c r="AB3">
        <v>11251.244541296035</v>
      </c>
      <c r="AC3">
        <v>0.1</v>
      </c>
      <c r="AD3">
        <v>7.0286437363395834E-2</v>
      </c>
      <c r="AE3" s="1">
        <v>611</v>
      </c>
    </row>
    <row r="4" spans="1:31" x14ac:dyDescent="0.35">
      <c r="A4" t="s">
        <v>3</v>
      </c>
      <c r="B4" t="s">
        <v>111</v>
      </c>
      <c r="C4" t="s">
        <v>172</v>
      </c>
      <c r="D4">
        <v>0</v>
      </c>
      <c r="E4">
        <v>908</v>
      </c>
      <c r="F4" s="1">
        <v>2608</v>
      </c>
      <c r="G4">
        <v>1.2341197822141561E-2</v>
      </c>
      <c r="H4">
        <v>0.40471869328493648</v>
      </c>
      <c r="I4">
        <v>0.33248638838475497</v>
      </c>
      <c r="J4">
        <v>0.16624319419237749</v>
      </c>
      <c r="K4">
        <v>8.0217785843920142E-2</v>
      </c>
      <c r="L4">
        <v>3.9927404718693282E-3</v>
      </c>
      <c r="M4">
        <v>32.185843920145189</v>
      </c>
      <c r="N4">
        <v>1055.5063520871142</v>
      </c>
      <c r="O4">
        <v>867.12450090744096</v>
      </c>
      <c r="P4">
        <v>433.56225045372048</v>
      </c>
      <c r="Q4">
        <v>209.20798548094373</v>
      </c>
      <c r="R4">
        <v>10.413067150635207</v>
      </c>
      <c r="S4">
        <v>291</v>
      </c>
      <c r="T4">
        <v>780</v>
      </c>
      <c r="U4">
        <v>3134.9369328493644</v>
      </c>
      <c r="V4">
        <v>3647.1391628980136</v>
      </c>
      <c r="W4">
        <v>4155.2326200667812</v>
      </c>
      <c r="X4">
        <v>4659.2502640219627</v>
      </c>
      <c r="Y4">
        <v>5159.2247900347093</v>
      </c>
      <c r="Z4">
        <v>5655.1886311019452</v>
      </c>
      <c r="AA4">
        <v>6147.1739600502751</v>
      </c>
      <c r="AB4">
        <v>6635.2126916230118</v>
      </c>
      <c r="AC4">
        <v>0.1</v>
      </c>
      <c r="AD4">
        <v>0.29907975460122699</v>
      </c>
      <c r="AE4" s="1">
        <v>780</v>
      </c>
    </row>
    <row r="5" spans="1:31" x14ac:dyDescent="0.35">
      <c r="A5" t="s">
        <v>4</v>
      </c>
      <c r="B5" t="s">
        <v>112</v>
      </c>
      <c r="C5" t="s">
        <v>173</v>
      </c>
      <c r="D5">
        <v>819</v>
      </c>
      <c r="E5">
        <v>925</v>
      </c>
      <c r="F5" s="1">
        <v>992</v>
      </c>
      <c r="G5">
        <v>0</v>
      </c>
      <c r="H5">
        <v>0.48640483383685801</v>
      </c>
      <c r="I5">
        <v>0.3252769385699899</v>
      </c>
      <c r="J5">
        <v>0.12185297079556898</v>
      </c>
      <c r="K5">
        <v>5.2366565961732128E-2</v>
      </c>
      <c r="L5">
        <v>1.4098690835850957E-2</v>
      </c>
      <c r="M5">
        <v>0</v>
      </c>
      <c r="N5">
        <v>482.51359516616316</v>
      </c>
      <c r="O5">
        <v>322.67472306142997</v>
      </c>
      <c r="P5">
        <v>120.87814702920443</v>
      </c>
      <c r="Q5">
        <v>51.947633434038273</v>
      </c>
      <c r="R5">
        <v>13.985901309164149</v>
      </c>
      <c r="S5">
        <v>8</v>
      </c>
      <c r="T5">
        <v>60</v>
      </c>
      <c r="U5">
        <v>1019.0640986908359</v>
      </c>
      <c r="V5">
        <v>1054.7776099565033</v>
      </c>
      <c r="W5">
        <v>1090.3041018278286</v>
      </c>
      <c r="X5">
        <v>1125.644553661157</v>
      </c>
      <c r="Y5">
        <v>1160.7999396842808</v>
      </c>
      <c r="Z5">
        <v>1195.7712290232955</v>
      </c>
      <c r="AA5">
        <v>1230.5593857293165</v>
      </c>
      <c r="AB5">
        <v>1265.1653688050542</v>
      </c>
      <c r="AC5">
        <v>0.1</v>
      </c>
      <c r="AD5">
        <v>6.0483870967741937E-2</v>
      </c>
      <c r="AE5" s="1">
        <v>60</v>
      </c>
    </row>
    <row r="6" spans="1:31" x14ac:dyDescent="0.35">
      <c r="A6" t="s">
        <v>5</v>
      </c>
      <c r="B6" t="s">
        <v>99</v>
      </c>
      <c r="C6" t="s">
        <v>174</v>
      </c>
      <c r="D6">
        <v>803</v>
      </c>
      <c r="E6">
        <v>1684</v>
      </c>
      <c r="F6" s="1">
        <v>3323</v>
      </c>
      <c r="G6">
        <v>0</v>
      </c>
      <c r="H6">
        <v>0.4797639123102867</v>
      </c>
      <c r="I6">
        <v>0.45868465430016864</v>
      </c>
      <c r="J6">
        <v>4.7217537942664416E-2</v>
      </c>
      <c r="K6">
        <v>1.3912310286677909E-2</v>
      </c>
      <c r="L6">
        <v>4.2158516020236085E-4</v>
      </c>
      <c r="M6">
        <v>0</v>
      </c>
      <c r="N6">
        <v>1594.2554806070827</v>
      </c>
      <c r="O6">
        <v>1524.2091062394604</v>
      </c>
      <c r="P6">
        <v>156.90387858347384</v>
      </c>
      <c r="Q6">
        <v>46.230607082630691</v>
      </c>
      <c r="R6">
        <v>1.4009274873524451</v>
      </c>
      <c r="S6">
        <v>578</v>
      </c>
      <c r="T6">
        <v>1492</v>
      </c>
      <c r="U6">
        <v>4363.2490725126472</v>
      </c>
      <c r="V6">
        <v>5398.828785017161</v>
      </c>
      <c r="W6">
        <v>6432.9677668929799</v>
      </c>
      <c r="X6">
        <v>7465.6680225292585</v>
      </c>
      <c r="Y6">
        <v>8496.9315535265832</v>
      </c>
      <c r="Z6">
        <v>9526.7603587008507</v>
      </c>
      <c r="AA6">
        <v>10555.156434087143</v>
      </c>
      <c r="AB6">
        <v>11582.121772943598</v>
      </c>
      <c r="AC6">
        <v>0.1</v>
      </c>
      <c r="AD6">
        <v>0.44899187481191694</v>
      </c>
      <c r="AE6" s="1">
        <v>1492</v>
      </c>
    </row>
    <row r="7" spans="1:31" x14ac:dyDescent="0.35">
      <c r="A7" t="s">
        <v>6</v>
      </c>
      <c r="B7" t="s">
        <v>113</v>
      </c>
      <c r="C7" t="s">
        <v>174</v>
      </c>
      <c r="D7">
        <v>554</v>
      </c>
      <c r="E7">
        <v>1084</v>
      </c>
      <c r="F7" s="1">
        <v>1014.8610394397346</v>
      </c>
      <c r="G7">
        <v>0</v>
      </c>
      <c r="H7">
        <v>0.23688394276629571</v>
      </c>
      <c r="I7">
        <v>0.62957074721780604</v>
      </c>
      <c r="J7">
        <v>9.6979332273449917E-2</v>
      </c>
      <c r="K7">
        <v>3.0206677265500796E-2</v>
      </c>
      <c r="L7">
        <v>6.3593004769475362E-3</v>
      </c>
      <c r="M7">
        <v>0</v>
      </c>
      <c r="N7">
        <v>240.40428438238544</v>
      </c>
      <c r="O7">
        <v>638.92682292231302</v>
      </c>
      <c r="P7">
        <v>98.420545955204773</v>
      </c>
      <c r="Q7">
        <v>30.655579887686738</v>
      </c>
      <c r="R7">
        <v>6.4538062921445762</v>
      </c>
      <c r="S7">
        <v>319</v>
      </c>
      <c r="T7">
        <v>325</v>
      </c>
      <c r="U7">
        <v>1229.3072331475901</v>
      </c>
      <c r="V7">
        <v>1446.4939044624066</v>
      </c>
      <c r="W7">
        <v>1663.0245270085456</v>
      </c>
      <c r="X7">
        <v>1878.9010824913498</v>
      </c>
      <c r="Y7">
        <v>2094.1255466300881</v>
      </c>
      <c r="Z7">
        <v>2308.6998891760386</v>
      </c>
      <c r="AA7">
        <v>2522.6260739305148</v>
      </c>
      <c r="AB7">
        <v>2735.9060587628392</v>
      </c>
      <c r="AC7">
        <v>0.1</v>
      </c>
      <c r="AD7">
        <v>0.3202408875400517</v>
      </c>
      <c r="AE7" s="1">
        <v>325</v>
      </c>
    </row>
    <row r="8" spans="1:31" x14ac:dyDescent="0.35">
      <c r="A8" t="s">
        <v>7</v>
      </c>
      <c r="B8" t="s">
        <v>116</v>
      </c>
      <c r="C8" t="s">
        <v>172</v>
      </c>
      <c r="D8">
        <v>1842</v>
      </c>
      <c r="E8">
        <v>3259</v>
      </c>
      <c r="F8" s="1">
        <v>3759</v>
      </c>
      <c r="G8">
        <v>3.9872408293460922E-3</v>
      </c>
      <c r="H8">
        <v>0.50212652844231787</v>
      </c>
      <c r="I8">
        <v>0.32961190855927697</v>
      </c>
      <c r="J8">
        <v>0.12068048910154174</v>
      </c>
      <c r="K8">
        <v>4.1467304625199361E-2</v>
      </c>
      <c r="L8">
        <v>2.1265284423179162E-3</v>
      </c>
      <c r="M8">
        <v>14.988038277511961</v>
      </c>
      <c r="N8">
        <v>1887.4936204146729</v>
      </c>
      <c r="O8">
        <v>1239.011164274322</v>
      </c>
      <c r="P8">
        <v>453.63795853269539</v>
      </c>
      <c r="Q8">
        <v>155.8755980861244</v>
      </c>
      <c r="R8">
        <v>7.993620414673047</v>
      </c>
      <c r="S8">
        <v>0</v>
      </c>
      <c r="T8">
        <v>800</v>
      </c>
      <c r="U8">
        <v>4289.0563795853277</v>
      </c>
      <c r="V8">
        <v>4809.3208188406361</v>
      </c>
      <c r="W8">
        <v>5327.4278616971187</v>
      </c>
      <c r="X8">
        <v>5843.3864542961419</v>
      </c>
      <c r="Y8">
        <v>6357.2055056818363</v>
      </c>
      <c r="Z8">
        <v>6868.893887954926</v>
      </c>
      <c r="AA8">
        <v>7378.4604364259267</v>
      </c>
      <c r="AB8">
        <v>7885.9139497677015</v>
      </c>
      <c r="AC8">
        <v>0.1</v>
      </c>
      <c r="AD8">
        <v>0.21282255919127427</v>
      </c>
      <c r="AE8" s="1">
        <v>800</v>
      </c>
    </row>
    <row r="9" spans="1:31" x14ac:dyDescent="0.35">
      <c r="A9" t="s">
        <v>70</v>
      </c>
      <c r="B9" t="s">
        <v>115</v>
      </c>
      <c r="C9" t="s">
        <v>172</v>
      </c>
      <c r="D9">
        <v>308</v>
      </c>
      <c r="E9">
        <v>452</v>
      </c>
      <c r="F9" s="1">
        <v>2644</v>
      </c>
      <c r="G9">
        <v>4.1603630862329802E-3</v>
      </c>
      <c r="H9">
        <v>0.20385779122541603</v>
      </c>
      <c r="I9">
        <v>0.30295007564296522</v>
      </c>
      <c r="J9">
        <v>0.26966717095310139</v>
      </c>
      <c r="K9">
        <v>0.17095310136157338</v>
      </c>
      <c r="L9">
        <v>4.8411497730711045E-2</v>
      </c>
      <c r="M9">
        <v>11</v>
      </c>
      <c r="N9">
        <v>539</v>
      </c>
      <c r="O9">
        <v>801</v>
      </c>
      <c r="P9">
        <v>713.00000000000011</v>
      </c>
      <c r="Q9">
        <v>452</v>
      </c>
      <c r="R9">
        <v>128</v>
      </c>
      <c r="S9">
        <v>0</v>
      </c>
      <c r="T9">
        <v>0</v>
      </c>
      <c r="U9">
        <v>2638.8544000000002</v>
      </c>
      <c r="V9">
        <v>2716.5967656278372</v>
      </c>
      <c r="W9">
        <v>2793.0101014045476</v>
      </c>
      <c r="X9">
        <v>2868.1171275076172</v>
      </c>
      <c r="Y9">
        <v>2941.94017570605</v>
      </c>
      <c r="Z9">
        <v>3014.5011960003344</v>
      </c>
      <c r="AA9">
        <v>3085.8217631488919</v>
      </c>
      <c r="AB9">
        <v>3155.9230830829583</v>
      </c>
      <c r="AC9">
        <v>0.1</v>
      </c>
      <c r="AD9">
        <v>6.8000000000000005E-2</v>
      </c>
      <c r="AE9" s="1">
        <v>179.792</v>
      </c>
    </row>
    <row r="10" spans="1:31" x14ac:dyDescent="0.35">
      <c r="A10" t="s">
        <v>8</v>
      </c>
      <c r="B10" t="s">
        <v>100</v>
      </c>
      <c r="C10" t="s">
        <v>174</v>
      </c>
      <c r="D10">
        <v>324</v>
      </c>
      <c r="E10">
        <v>335</v>
      </c>
      <c r="F10" s="1">
        <v>146.38957816377172</v>
      </c>
      <c r="G10">
        <v>8.4136314403189787E-3</v>
      </c>
      <c r="H10">
        <v>0.4783415903533122</v>
      </c>
      <c r="I10">
        <v>0.34535536267218658</v>
      </c>
      <c r="J10">
        <v>0.1147456275792092</v>
      </c>
      <c r="K10">
        <v>4.184484163081776E-2</v>
      </c>
      <c r="L10">
        <v>1.1298946324155327E-2</v>
      </c>
      <c r="M10">
        <v>1.2316679573737424</v>
      </c>
      <c r="N10">
        <v>70.024223630009061</v>
      </c>
      <c r="O10">
        <v>50.556425858177789</v>
      </c>
      <c r="P10">
        <v>16.797564017457685</v>
      </c>
      <c r="Q10">
        <v>6.1256487146652452</v>
      </c>
      <c r="R10">
        <v>1.6540479860881974</v>
      </c>
      <c r="S10">
        <v>0</v>
      </c>
      <c r="T10">
        <v>18</v>
      </c>
      <c r="U10">
        <v>156.28553017768351</v>
      </c>
      <c r="V10">
        <v>167.18155585173614</v>
      </c>
      <c r="W10">
        <v>178.03198727891515</v>
      </c>
      <c r="X10">
        <v>188.83701524762452</v>
      </c>
      <c r="Y10">
        <v>199.59682974791718</v>
      </c>
      <c r="Z10">
        <v>210.31161997483568</v>
      </c>
      <c r="AA10">
        <v>220.98157433173887</v>
      </c>
      <c r="AB10">
        <v>231.6068804336148</v>
      </c>
      <c r="AC10">
        <v>0.1</v>
      </c>
      <c r="AD10">
        <v>0.12295957284515636</v>
      </c>
      <c r="AE10" s="1">
        <v>18</v>
      </c>
    </row>
    <row r="11" spans="1:31" x14ac:dyDescent="0.35">
      <c r="A11" t="s">
        <v>9</v>
      </c>
      <c r="B11" t="s">
        <v>117</v>
      </c>
      <c r="C11" t="s">
        <v>174</v>
      </c>
      <c r="D11">
        <v>573</v>
      </c>
      <c r="E11">
        <v>803</v>
      </c>
      <c r="F11" s="1">
        <v>1507</v>
      </c>
      <c r="G11">
        <v>1.9880715705765406E-3</v>
      </c>
      <c r="H11">
        <v>0.58316766070245196</v>
      </c>
      <c r="I11">
        <v>0.28098078197481774</v>
      </c>
      <c r="J11">
        <v>8.5487077534791248E-2</v>
      </c>
      <c r="K11">
        <v>4.8376408217362492E-2</v>
      </c>
      <c r="L11">
        <v>0</v>
      </c>
      <c r="M11">
        <v>2.9960238568588466</v>
      </c>
      <c r="N11">
        <v>878.83366467859514</v>
      </c>
      <c r="O11">
        <v>423.43803843605031</v>
      </c>
      <c r="P11">
        <v>128.82902584493041</v>
      </c>
      <c r="Q11">
        <v>72.90324718356527</v>
      </c>
      <c r="R11">
        <v>0</v>
      </c>
      <c r="S11">
        <v>113</v>
      </c>
      <c r="T11">
        <v>330</v>
      </c>
      <c r="U11">
        <v>1737.3</v>
      </c>
      <c r="V11">
        <v>1959.1955666003976</v>
      </c>
      <c r="W11">
        <v>2180.017682149647</v>
      </c>
      <c r="X11">
        <v>2399.7715396183735</v>
      </c>
      <c r="Y11">
        <v>2618.4623068554752</v>
      </c>
      <c r="Z11">
        <v>2836.0951267096539</v>
      </c>
      <c r="AA11">
        <v>3052.6751171503561</v>
      </c>
      <c r="AB11">
        <v>3268.2073713881314</v>
      </c>
      <c r="AC11">
        <v>0.1</v>
      </c>
      <c r="AD11">
        <v>0.21897810218978103</v>
      </c>
      <c r="AE11" s="1">
        <v>330</v>
      </c>
    </row>
    <row r="12" spans="1:31" x14ac:dyDescent="0.35">
      <c r="A12" t="s">
        <v>10</v>
      </c>
      <c r="B12" t="s">
        <v>144</v>
      </c>
      <c r="C12" t="s">
        <v>172</v>
      </c>
      <c r="D12">
        <v>123</v>
      </c>
      <c r="E12">
        <v>220</v>
      </c>
      <c r="F12" s="1">
        <v>354</v>
      </c>
      <c r="G12">
        <v>9.6273049759095664E-3</v>
      </c>
      <c r="H12">
        <v>0.3275992964925577</v>
      </c>
      <c r="I12">
        <v>0.38621639847768657</v>
      </c>
      <c r="J12">
        <v>0.17590959830524627</v>
      </c>
      <c r="K12">
        <v>8.0800436018606592E-2</v>
      </c>
      <c r="L12">
        <v>1.9846965729993234E-2</v>
      </c>
      <c r="M12">
        <v>3.4080659614719866</v>
      </c>
      <c r="N12">
        <v>115.97015095836542</v>
      </c>
      <c r="O12">
        <v>136.72060506110105</v>
      </c>
      <c r="P12">
        <v>62.271997800057179</v>
      </c>
      <c r="Q12">
        <v>28.603354350586734</v>
      </c>
      <c r="R12">
        <v>7.0258258684176047</v>
      </c>
      <c r="S12">
        <v>0</v>
      </c>
      <c r="T12">
        <v>0</v>
      </c>
      <c r="U12">
        <v>363.62457413158239</v>
      </c>
      <c r="V12">
        <v>377.3368717178912</v>
      </c>
      <c r="W12">
        <v>390.93837334182092</v>
      </c>
      <c r="X12">
        <v>404.42997423957854</v>
      </c>
      <c r="Y12">
        <v>417.81256241382334</v>
      </c>
      <c r="Z12">
        <v>431.0870186921145</v>
      </c>
      <c r="AA12">
        <v>444.25421678488607</v>
      </c>
      <c r="AB12">
        <v>457.31502334295374</v>
      </c>
      <c r="AC12">
        <v>0.1</v>
      </c>
      <c r="AD12">
        <v>6.8000000000000005E-2</v>
      </c>
      <c r="AE12" s="1">
        <v>24.072000000000003</v>
      </c>
    </row>
    <row r="13" spans="1:31" x14ac:dyDescent="0.35">
      <c r="A13" t="s">
        <v>11</v>
      </c>
      <c r="B13" t="s">
        <v>137</v>
      </c>
      <c r="C13" t="s">
        <v>172</v>
      </c>
      <c r="D13">
        <v>0</v>
      </c>
      <c r="E13">
        <v>544</v>
      </c>
      <c r="F13" s="1">
        <v>1042</v>
      </c>
      <c r="G13">
        <v>0</v>
      </c>
      <c r="H13">
        <v>0.44529750479846447</v>
      </c>
      <c r="I13">
        <v>0.29942418426103645</v>
      </c>
      <c r="J13">
        <v>0.11612284069097889</v>
      </c>
      <c r="K13">
        <v>0.13147792706333974</v>
      </c>
      <c r="L13">
        <v>7.677543186180422E-3</v>
      </c>
      <c r="M13">
        <v>0</v>
      </c>
      <c r="N13">
        <v>464</v>
      </c>
      <c r="O13">
        <v>312</v>
      </c>
      <c r="P13">
        <v>121</v>
      </c>
      <c r="Q13">
        <v>137</v>
      </c>
      <c r="R13">
        <v>8</v>
      </c>
      <c r="S13">
        <v>39</v>
      </c>
      <c r="T13">
        <v>60</v>
      </c>
      <c r="U13">
        <v>1063.4000000000001</v>
      </c>
      <c r="V13">
        <v>1078.8186372360847</v>
      </c>
      <c r="W13">
        <v>1094.034553425975</v>
      </c>
      <c r="X13">
        <v>1109.0504139039638</v>
      </c>
      <c r="Y13">
        <v>1123.8688489610806</v>
      </c>
      <c r="Z13">
        <v>1138.4924543058344</v>
      </c>
      <c r="AA13">
        <v>1152.923791518896</v>
      </c>
      <c r="AB13">
        <v>1167.1653885018052</v>
      </c>
      <c r="AC13">
        <v>0.1</v>
      </c>
      <c r="AD13">
        <v>5.7581573896353169E-2</v>
      </c>
      <c r="AE13" s="1">
        <v>60</v>
      </c>
    </row>
    <row r="14" spans="1:31" x14ac:dyDescent="0.35">
      <c r="A14" t="s">
        <v>12</v>
      </c>
      <c r="B14" t="s">
        <v>114</v>
      </c>
      <c r="C14" t="s">
        <v>172</v>
      </c>
      <c r="D14">
        <v>5240</v>
      </c>
      <c r="E14">
        <v>5602</v>
      </c>
      <c r="F14" s="1">
        <v>6327.5519796794806</v>
      </c>
      <c r="G14">
        <v>0</v>
      </c>
      <c r="H14">
        <v>0.18665043619395416</v>
      </c>
      <c r="I14">
        <v>0.3564617569486711</v>
      </c>
      <c r="J14">
        <v>0.32116047879894499</v>
      </c>
      <c r="K14">
        <v>0.12984378170014202</v>
      </c>
      <c r="L14">
        <v>5.883546358287685E-3</v>
      </c>
      <c r="M14">
        <v>0</v>
      </c>
      <c r="N14">
        <v>1181.0403370470933</v>
      </c>
      <c r="O14">
        <v>2255.5302958605898</v>
      </c>
      <c r="P14">
        <v>2032.1596234190743</v>
      </c>
      <c r="Q14">
        <v>821.59327794580395</v>
      </c>
      <c r="R14">
        <v>37.228445406919242</v>
      </c>
      <c r="S14">
        <v>265</v>
      </c>
      <c r="T14">
        <v>254</v>
      </c>
      <c r="U14">
        <v>6457.0235342725609</v>
      </c>
      <c r="V14">
        <v>6539.8830988508844</v>
      </c>
      <c r="W14">
        <v>6621.6667835077196</v>
      </c>
      <c r="X14">
        <v>6702.3885578748341</v>
      </c>
      <c r="Y14">
        <v>6782.0622101970112</v>
      </c>
      <c r="Z14">
        <v>6860.7013496872505</v>
      </c>
      <c r="AA14">
        <v>6938.3194088513847</v>
      </c>
      <c r="AB14">
        <v>7014.9296457825085</v>
      </c>
      <c r="AC14">
        <v>0.1</v>
      </c>
      <c r="AD14">
        <v>4.0141906509137244E-2</v>
      </c>
      <c r="AE14" s="1">
        <v>254</v>
      </c>
    </row>
    <row r="15" spans="1:31" x14ac:dyDescent="0.35">
      <c r="A15" t="s">
        <v>13</v>
      </c>
      <c r="B15" t="s">
        <v>102</v>
      </c>
      <c r="C15" t="s">
        <v>174</v>
      </c>
      <c r="D15">
        <v>6418</v>
      </c>
      <c r="E15">
        <v>31546</v>
      </c>
      <c r="F15" s="1">
        <v>21289.958719118578</v>
      </c>
      <c r="G15">
        <v>8.4136314403189787E-3</v>
      </c>
      <c r="H15">
        <v>0.4783415903533122</v>
      </c>
      <c r="I15">
        <v>0.34535536267218658</v>
      </c>
      <c r="J15">
        <v>0.1147456275792092</v>
      </c>
      <c r="K15">
        <v>4.184484163081776E-2</v>
      </c>
      <c r="L15">
        <v>1.1298946324155327E-2</v>
      </c>
      <c r="M15">
        <v>179.12586604226925</v>
      </c>
      <c r="N15">
        <v>10183.872712259546</v>
      </c>
      <c r="O15">
        <v>7352.6014147170772</v>
      </c>
      <c r="P15">
        <v>2442.9296743607179</v>
      </c>
      <c r="Q15">
        <v>890.87495092816459</v>
      </c>
      <c r="R15">
        <v>240.5541008108035</v>
      </c>
      <c r="S15">
        <v>27</v>
      </c>
      <c r="T15">
        <v>6020</v>
      </c>
      <c r="U15">
        <v>25247.954618307776</v>
      </c>
      <c r="V15">
        <v>29340.85495205726</v>
      </c>
      <c r="W15">
        <v>33416.628609179097</v>
      </c>
      <c r="X15">
        <v>37475.347255980407</v>
      </c>
      <c r="Y15">
        <v>41517.082258881768</v>
      </c>
      <c r="Z15">
        <v>45541.904685672118</v>
      </c>
      <c r="AA15">
        <v>49549.885306758348</v>
      </c>
      <c r="AB15">
        <v>53541.094596409697</v>
      </c>
      <c r="AC15">
        <v>0.1</v>
      </c>
      <c r="AD15">
        <v>0.28276240829879978</v>
      </c>
      <c r="AE15" s="1">
        <v>6020</v>
      </c>
    </row>
    <row r="16" spans="1:31" x14ac:dyDescent="0.35">
      <c r="A16" t="s">
        <v>14</v>
      </c>
      <c r="B16" t="s">
        <v>118</v>
      </c>
      <c r="C16" t="s">
        <v>173</v>
      </c>
      <c r="D16">
        <v>0</v>
      </c>
      <c r="E16">
        <v>246</v>
      </c>
      <c r="F16" s="1">
        <v>274.68237599257924</v>
      </c>
      <c r="G16">
        <v>0</v>
      </c>
      <c r="H16">
        <v>0.28747247489357414</v>
      </c>
      <c r="I16">
        <v>0.27178258735557548</v>
      </c>
      <c r="J16">
        <v>0.25114397272132999</v>
      </c>
      <c r="K16">
        <v>0.13575699246202377</v>
      </c>
      <c r="L16">
        <v>5.3843972567496616E-2</v>
      </c>
      <c r="M16">
        <v>0</v>
      </c>
      <c r="N16">
        <v>78.963622436234033</v>
      </c>
      <c r="O16">
        <v>74.653886848240191</v>
      </c>
      <c r="P16">
        <v>68.984823143310422</v>
      </c>
      <c r="Q16">
        <v>37.290053247075356</v>
      </c>
      <c r="R16">
        <v>14.789990317719228</v>
      </c>
      <c r="S16">
        <v>0</v>
      </c>
      <c r="T16">
        <v>767</v>
      </c>
      <c r="U16">
        <v>796.74238567486009</v>
      </c>
      <c r="V16">
        <v>1322.7760506702364</v>
      </c>
      <c r="W16">
        <v>1841.6684408362578</v>
      </c>
      <c r="X16">
        <v>2353.5165039722419</v>
      </c>
      <c r="Y16">
        <v>2858.4158717433411</v>
      </c>
      <c r="Z16">
        <v>3356.4608775479819</v>
      </c>
      <c r="AA16">
        <v>3847.7445741427459</v>
      </c>
      <c r="AB16">
        <v>4332.3587510279767</v>
      </c>
      <c r="AC16">
        <v>0.1</v>
      </c>
      <c r="AD16">
        <v>2.7923160240201255</v>
      </c>
      <c r="AE16" s="1">
        <v>767</v>
      </c>
    </row>
    <row r="17" spans="1:31" x14ac:dyDescent="0.35">
      <c r="A17" t="s">
        <v>15</v>
      </c>
      <c r="B17" t="s">
        <v>142</v>
      </c>
      <c r="C17" t="s">
        <v>174</v>
      </c>
      <c r="D17">
        <v>172</v>
      </c>
      <c r="E17">
        <v>280</v>
      </c>
      <c r="F17" s="1">
        <v>298.81764752330793</v>
      </c>
      <c r="G17">
        <v>8.4136314403189787E-3</v>
      </c>
      <c r="H17">
        <v>0.4783415903533122</v>
      </c>
      <c r="I17">
        <v>0.34535536267218658</v>
      </c>
      <c r="J17">
        <v>0.1147456275792092</v>
      </c>
      <c r="K17">
        <v>4.184484163081776E-2</v>
      </c>
      <c r="L17">
        <v>0</v>
      </c>
      <c r="M17">
        <v>2.514141554124258</v>
      </c>
      <c r="N17">
        <v>142.93690874193459</v>
      </c>
      <c r="O17">
        <v>103.19827703326163</v>
      </c>
      <c r="P17">
        <v>34.288018496804895</v>
      </c>
      <c r="Q17">
        <v>12.503977137106343</v>
      </c>
      <c r="R17">
        <v>0</v>
      </c>
      <c r="S17">
        <v>45</v>
      </c>
      <c r="T17">
        <v>0</v>
      </c>
      <c r="U17">
        <v>341.60715229616892</v>
      </c>
      <c r="V17">
        <v>382.9672073502511</v>
      </c>
      <c r="W17">
        <v>424.15419190897529</v>
      </c>
      <c r="X17">
        <v>465.1688301830884</v>
      </c>
      <c r="Y17">
        <v>506.01184335288895</v>
      </c>
      <c r="Z17">
        <v>546.68394958090801</v>
      </c>
      <c r="AA17">
        <v>587.18586402453673</v>
      </c>
      <c r="AB17">
        <v>627.5182988486016</v>
      </c>
      <c r="AC17">
        <v>0.1</v>
      </c>
      <c r="AD17">
        <v>0.20599999999999999</v>
      </c>
      <c r="AE17" s="1">
        <v>61.556435389801429</v>
      </c>
    </row>
    <row r="18" spans="1:31" x14ac:dyDescent="0.35">
      <c r="A18" t="s">
        <v>16</v>
      </c>
      <c r="B18" t="s">
        <v>107</v>
      </c>
      <c r="C18" t="s">
        <v>172</v>
      </c>
      <c r="D18">
        <v>0</v>
      </c>
      <c r="E18">
        <v>278</v>
      </c>
      <c r="F18" s="1">
        <v>687</v>
      </c>
      <c r="G18">
        <v>0</v>
      </c>
      <c r="H18">
        <v>0.14374225526641884</v>
      </c>
      <c r="I18">
        <v>0.85625774473358118</v>
      </c>
      <c r="J18">
        <v>0</v>
      </c>
      <c r="K18">
        <v>0</v>
      </c>
      <c r="L18">
        <v>0</v>
      </c>
      <c r="M18">
        <v>0</v>
      </c>
      <c r="N18">
        <v>98.750929368029745</v>
      </c>
      <c r="O18">
        <v>588.24907063197031</v>
      </c>
      <c r="P18">
        <v>0</v>
      </c>
      <c r="Q18">
        <v>0</v>
      </c>
      <c r="R18">
        <v>0</v>
      </c>
      <c r="S18">
        <v>0</v>
      </c>
      <c r="T18">
        <v>0</v>
      </c>
      <c r="U18">
        <v>719.10119999999995</v>
      </c>
      <c r="V18">
        <v>751.2023999999999</v>
      </c>
      <c r="W18">
        <v>783.30359999999985</v>
      </c>
      <c r="X18">
        <v>815.4047999999998</v>
      </c>
      <c r="Y18">
        <v>847.50599999999974</v>
      </c>
      <c r="Z18">
        <v>879.60719999999969</v>
      </c>
      <c r="AA18">
        <v>911.70839999999964</v>
      </c>
      <c r="AB18">
        <v>943.80959999999959</v>
      </c>
      <c r="AC18">
        <v>0.1</v>
      </c>
      <c r="AD18">
        <v>6.8000000000000005E-2</v>
      </c>
      <c r="AE18" s="1">
        <v>46.716000000000001</v>
      </c>
    </row>
    <row r="19" spans="1:31" x14ac:dyDescent="0.35">
      <c r="A19" t="s">
        <v>17</v>
      </c>
      <c r="B19" t="s">
        <v>103</v>
      </c>
      <c r="C19" t="s">
        <v>174</v>
      </c>
      <c r="D19">
        <v>0</v>
      </c>
      <c r="E19">
        <v>11263</v>
      </c>
      <c r="F19" s="1">
        <v>23741</v>
      </c>
      <c r="G19">
        <v>8.4136314403189787E-3</v>
      </c>
      <c r="H19">
        <v>0.4783415903533122</v>
      </c>
      <c r="I19">
        <v>0.34535536267218658</v>
      </c>
      <c r="J19">
        <v>0.1147456275792092</v>
      </c>
      <c r="K19">
        <v>4.184484163081776E-2</v>
      </c>
      <c r="L19">
        <v>1.1298946324155327E-2</v>
      </c>
      <c r="M19">
        <v>199.74802402461287</v>
      </c>
      <c r="N19">
        <v>11356.307696577986</v>
      </c>
      <c r="O19">
        <v>8199.0816652003814</v>
      </c>
      <c r="P19">
        <v>2724.1759443580054</v>
      </c>
      <c r="Q19">
        <v>993.4383851572444</v>
      </c>
      <c r="R19">
        <v>268.24828468177162</v>
      </c>
      <c r="S19">
        <v>2936</v>
      </c>
      <c r="T19">
        <v>3114</v>
      </c>
      <c r="U19">
        <v>25611.30171531823</v>
      </c>
      <c r="V19">
        <v>27642.68162889457</v>
      </c>
      <c r="W19">
        <v>29665.561265393346</v>
      </c>
      <c r="X19">
        <v>31679.976194089373</v>
      </c>
      <c r="Y19">
        <v>33685.961835418399</v>
      </c>
      <c r="Z19">
        <v>35683.553461599913</v>
      </c>
      <c r="AA19">
        <v>37672.786197257366</v>
      </c>
      <c r="AB19">
        <v>39653.695020035782</v>
      </c>
      <c r="AC19">
        <v>0.1</v>
      </c>
      <c r="AD19">
        <v>0.13116549429257404</v>
      </c>
      <c r="AE19" s="1">
        <v>3114.0000000000005</v>
      </c>
    </row>
    <row r="20" spans="1:31" x14ac:dyDescent="0.35">
      <c r="A20" t="s">
        <v>18</v>
      </c>
      <c r="B20" t="s">
        <v>105</v>
      </c>
      <c r="C20" t="s">
        <v>173</v>
      </c>
      <c r="D20">
        <v>0</v>
      </c>
      <c r="E20">
        <v>1368</v>
      </c>
      <c r="F20" s="1">
        <v>1265.3898201501661</v>
      </c>
      <c r="G20">
        <v>0</v>
      </c>
      <c r="H20">
        <v>0.21811785400175901</v>
      </c>
      <c r="I20">
        <v>0.22691292875989447</v>
      </c>
      <c r="J20">
        <v>0.33333333333333331</v>
      </c>
      <c r="K20">
        <v>0.19700967458223395</v>
      </c>
      <c r="L20">
        <v>2.4626209322779244E-2</v>
      </c>
      <c r="M20">
        <v>0</v>
      </c>
      <c r="N20">
        <v>276.00411204682604</v>
      </c>
      <c r="O20">
        <v>287.13331011323032</v>
      </c>
      <c r="P20">
        <v>421.79660671672201</v>
      </c>
      <c r="Q20">
        <v>249.29403668745576</v>
      </c>
      <c r="R20">
        <v>31.16175458593197</v>
      </c>
      <c r="S20">
        <v>62</v>
      </c>
      <c r="T20">
        <v>46</v>
      </c>
      <c r="U20">
        <v>1242.2780655642341</v>
      </c>
      <c r="V20">
        <v>1225.8539858204883</v>
      </c>
      <c r="W20">
        <v>1209.7534763373055</v>
      </c>
      <c r="X20">
        <v>1193.9701624675117</v>
      </c>
      <c r="Y20">
        <v>1178.4977951506496</v>
      </c>
      <c r="Z20">
        <v>1163.3302484387987</v>
      </c>
      <c r="AA20">
        <v>1148.461517071139</v>
      </c>
      <c r="AB20">
        <v>1133.8857140962987</v>
      </c>
      <c r="AC20">
        <v>0.1</v>
      </c>
      <c r="AD20">
        <v>3.6352434062209463E-2</v>
      </c>
      <c r="AE20" s="1">
        <v>46.000000000000007</v>
      </c>
    </row>
    <row r="21" spans="1:31" x14ac:dyDescent="0.35">
      <c r="A21" t="s">
        <v>19</v>
      </c>
      <c r="B21" t="s">
        <v>119</v>
      </c>
      <c r="C21" t="s">
        <v>174</v>
      </c>
      <c r="D21">
        <v>213</v>
      </c>
      <c r="E21">
        <v>298</v>
      </c>
      <c r="F21" s="1">
        <v>273.86722731906218</v>
      </c>
      <c r="G21">
        <v>8.4136314403189787E-3</v>
      </c>
      <c r="H21">
        <v>0.4783415903533122</v>
      </c>
      <c r="I21">
        <v>0.34535536267218658</v>
      </c>
      <c r="J21">
        <v>0.1147456275792092</v>
      </c>
      <c r="K21">
        <v>4.184484163081776E-2</v>
      </c>
      <c r="L21">
        <v>1.1298946324155327E-2</v>
      </c>
      <c r="M21">
        <v>2.3042179142446462</v>
      </c>
      <c r="N21">
        <v>131.00208506145228</v>
      </c>
      <c r="O21">
        <v>94.581515614800878</v>
      </c>
      <c r="P21">
        <v>31.425066872103734</v>
      </c>
      <c r="Q21">
        <v>11.459930755037323</v>
      </c>
      <c r="R21">
        <v>3.0944111014233289</v>
      </c>
      <c r="S21">
        <v>0</v>
      </c>
      <c r="T21">
        <v>23</v>
      </c>
      <c r="U21">
        <v>286.22281621763892</v>
      </c>
      <c r="V21">
        <v>300.47512137606356</v>
      </c>
      <c r="W21">
        <v>314.66778798926538</v>
      </c>
      <c r="X21">
        <v>328.80106561379233</v>
      </c>
      <c r="Y21">
        <v>342.87520276192703</v>
      </c>
      <c r="Z21">
        <v>356.8904469060563</v>
      </c>
      <c r="AA21">
        <v>370.84704448302278</v>
      </c>
      <c r="AB21">
        <v>384.74524089845795</v>
      </c>
      <c r="AC21">
        <v>0.1</v>
      </c>
      <c r="AD21">
        <v>8.3982301296695219E-2</v>
      </c>
      <c r="AE21" s="1">
        <v>23</v>
      </c>
    </row>
    <row r="22" spans="1:31" x14ac:dyDescent="0.35">
      <c r="A22" t="s">
        <v>20</v>
      </c>
      <c r="B22" t="s">
        <v>120</v>
      </c>
      <c r="C22" t="s">
        <v>172</v>
      </c>
      <c r="D22">
        <v>2730</v>
      </c>
      <c r="E22">
        <v>4406</v>
      </c>
      <c r="F22" s="1">
        <v>4726</v>
      </c>
      <c r="G22">
        <v>4.5892611289582378E-4</v>
      </c>
      <c r="H22">
        <v>0.39352914180816889</v>
      </c>
      <c r="I22">
        <v>0.4456172556218449</v>
      </c>
      <c r="J22">
        <v>0.11748508490133089</v>
      </c>
      <c r="K22">
        <v>4.2221202386415788E-2</v>
      </c>
      <c r="L22">
        <v>6.8838916934373562E-4</v>
      </c>
      <c r="M22">
        <v>2.1688848095456632</v>
      </c>
      <c r="N22">
        <v>1859.8187241854062</v>
      </c>
      <c r="O22">
        <v>2105.9871500688391</v>
      </c>
      <c r="P22">
        <v>555.23451124368978</v>
      </c>
      <c r="Q22">
        <v>199.53740247820102</v>
      </c>
      <c r="R22">
        <v>3.2533272143184946</v>
      </c>
      <c r="S22">
        <v>0</v>
      </c>
      <c r="T22">
        <v>1566</v>
      </c>
      <c r="U22">
        <v>5728.2966727856819</v>
      </c>
      <c r="V22">
        <v>6709.6611154705706</v>
      </c>
      <c r="W22">
        <v>7686.8821194805159</v>
      </c>
      <c r="X22">
        <v>8659.9771789118058</v>
      </c>
      <c r="Y22">
        <v>9628.963713998548</v>
      </c>
      <c r="Z22">
        <v>10593.859071424531</v>
      </c>
      <c r="AA22">
        <v>11554.680524633752</v>
      </c>
      <c r="AB22">
        <v>12511.445274139658</v>
      </c>
      <c r="AC22">
        <v>0.1</v>
      </c>
      <c r="AD22">
        <v>0.33135844265763859</v>
      </c>
      <c r="AE22" s="1">
        <v>1566</v>
      </c>
    </row>
    <row r="23" spans="1:31" x14ac:dyDescent="0.35">
      <c r="A23" t="s">
        <v>21</v>
      </c>
      <c r="B23" t="s">
        <v>121</v>
      </c>
      <c r="C23" t="s">
        <v>174</v>
      </c>
      <c r="D23">
        <v>1844</v>
      </c>
      <c r="E23">
        <v>2787</v>
      </c>
      <c r="F23" s="1">
        <v>341.34169736316329</v>
      </c>
      <c r="G23">
        <v>8.4136314403189787E-3</v>
      </c>
      <c r="H23">
        <v>0.4783415903533122</v>
      </c>
      <c r="I23">
        <v>0.34535536267218658</v>
      </c>
      <c r="J23">
        <v>0.1147456275792092</v>
      </c>
      <c r="K23">
        <v>4.184484163081776E-2</v>
      </c>
      <c r="L23">
        <v>1.1298946324155327E-2</v>
      </c>
      <c r="M23">
        <v>2.8719232368265564</v>
      </c>
      <c r="N23">
        <v>163.27793037059453</v>
      </c>
      <c r="O23">
        <v>117.88418568799501</v>
      </c>
      <c r="P23">
        <v>39.167467282888666</v>
      </c>
      <c r="Q23">
        <v>14.283389268156093</v>
      </c>
      <c r="R23">
        <v>3.8568015167024536</v>
      </c>
      <c r="S23">
        <v>841</v>
      </c>
      <c r="T23">
        <v>767</v>
      </c>
      <c r="U23">
        <v>867.78489584646081</v>
      </c>
      <c r="V23">
        <v>1394.4536636928297</v>
      </c>
      <c r="W23">
        <v>1918.9185944209557</v>
      </c>
      <c r="X23">
        <v>2441.1889099523582</v>
      </c>
      <c r="Y23">
        <v>2961.2737936195717</v>
      </c>
      <c r="Z23">
        <v>3479.1823903276218</v>
      </c>
      <c r="AA23">
        <v>3994.9238067148231</v>
      </c>
      <c r="AB23">
        <v>4508.5071113129061</v>
      </c>
      <c r="AC23">
        <v>0.1</v>
      </c>
      <c r="AD23">
        <v>2.247015251652559</v>
      </c>
      <c r="AE23" s="1">
        <v>767</v>
      </c>
    </row>
    <row r="24" spans="1:31" x14ac:dyDescent="0.35">
      <c r="A24" t="s">
        <v>22</v>
      </c>
      <c r="B24" t="s">
        <v>122</v>
      </c>
      <c r="C24" t="s">
        <v>174</v>
      </c>
      <c r="D24">
        <v>354</v>
      </c>
      <c r="E24">
        <v>578</v>
      </c>
      <c r="F24" s="1">
        <v>530.87376425855507</v>
      </c>
      <c r="G24">
        <v>0</v>
      </c>
      <c r="H24">
        <v>0.52402745995423339</v>
      </c>
      <c r="I24">
        <v>0.32723112128146453</v>
      </c>
      <c r="J24">
        <v>9.3821510297482841E-2</v>
      </c>
      <c r="K24">
        <v>4.3478260869565216E-2</v>
      </c>
      <c r="L24">
        <v>1.1441647597254004E-2</v>
      </c>
      <c r="M24">
        <v>0</v>
      </c>
      <c r="N24">
        <v>278.19243024075308</v>
      </c>
      <c r="O24">
        <v>173.71841713723884</v>
      </c>
      <c r="P24">
        <v>49.807378340047499</v>
      </c>
      <c r="Q24">
        <v>23.081468011241522</v>
      </c>
      <c r="R24">
        <v>6.0740705292740849</v>
      </c>
      <c r="S24">
        <v>69</v>
      </c>
      <c r="T24">
        <v>0</v>
      </c>
      <c r="U24">
        <v>601.20169053536461</v>
      </c>
      <c r="V24">
        <v>674.98976694781618</v>
      </c>
      <c r="W24">
        <v>748.45702563673535</v>
      </c>
      <c r="X24">
        <v>821.60486146178971</v>
      </c>
      <c r="Y24">
        <v>894.43466321803953</v>
      </c>
      <c r="Z24">
        <v>966.94781366230563</v>
      </c>
      <c r="AA24">
        <v>1039.1456895394226</v>
      </c>
      <c r="AB24">
        <v>1111.0296616083783</v>
      </c>
      <c r="AC24">
        <v>0.1</v>
      </c>
      <c r="AD24">
        <v>0.20599999999999999</v>
      </c>
      <c r="AE24" s="1">
        <v>109.35999543726234</v>
      </c>
    </row>
    <row r="25" spans="1:31" x14ac:dyDescent="0.35">
      <c r="A25" t="s">
        <v>23</v>
      </c>
      <c r="B25" t="s">
        <v>123</v>
      </c>
      <c r="C25" t="s">
        <v>172</v>
      </c>
      <c r="D25">
        <v>8682</v>
      </c>
      <c r="E25">
        <v>8042</v>
      </c>
      <c r="F25" s="1">
        <v>12792</v>
      </c>
      <c r="G25">
        <v>9.1008372770294869E-4</v>
      </c>
      <c r="H25">
        <v>0.29122679286494357</v>
      </c>
      <c r="I25">
        <v>0.49126319621405168</v>
      </c>
      <c r="J25">
        <v>0.17127775755369495</v>
      </c>
      <c r="K25">
        <v>4.4230069166363309E-2</v>
      </c>
      <c r="L25">
        <v>1.0921004732435385E-3</v>
      </c>
      <c r="M25">
        <v>11.64179104477612</v>
      </c>
      <c r="N25">
        <v>3725.373134328358</v>
      </c>
      <c r="O25">
        <v>6284.2388059701489</v>
      </c>
      <c r="P25">
        <v>2190.9850746268658</v>
      </c>
      <c r="Q25">
        <v>565.79104477611941</v>
      </c>
      <c r="R25">
        <v>13.970149253731345</v>
      </c>
      <c r="S25">
        <v>0</v>
      </c>
      <c r="T25">
        <v>558</v>
      </c>
      <c r="U25">
        <v>13148.179850746268</v>
      </c>
      <c r="V25">
        <v>13460.175360325238</v>
      </c>
      <c r="W25">
        <v>13770.790911607381</v>
      </c>
      <c r="X25">
        <v>14080.032608157788</v>
      </c>
      <c r="Y25">
        <v>14387.906526545441</v>
      </c>
      <c r="Z25">
        <v>14694.418716462613</v>
      </c>
      <c r="AA25">
        <v>14999.575200843748</v>
      </c>
      <c r="AB25">
        <v>15303.38197598381</v>
      </c>
      <c r="AC25">
        <v>0.1</v>
      </c>
      <c r="AD25">
        <v>4.3621013133208257E-2</v>
      </c>
      <c r="AE25" s="1">
        <v>558</v>
      </c>
    </row>
    <row r="26" spans="1:31" x14ac:dyDescent="0.35">
      <c r="A26" t="s">
        <v>24</v>
      </c>
      <c r="B26" t="s">
        <v>108</v>
      </c>
      <c r="C26" t="s">
        <v>172</v>
      </c>
      <c r="D26">
        <v>0</v>
      </c>
      <c r="E26">
        <v>998</v>
      </c>
      <c r="F26" s="1">
        <v>536.60977859778598</v>
      </c>
      <c r="G26">
        <v>9.6273049759095664E-3</v>
      </c>
      <c r="H26">
        <v>0.3275992964925577</v>
      </c>
      <c r="I26">
        <v>0.38621639847768657</v>
      </c>
      <c r="J26">
        <v>0.17590959830524627</v>
      </c>
      <c r="K26">
        <v>8.0800436018606592E-2</v>
      </c>
      <c r="L26">
        <v>1.9846965729993234E-2</v>
      </c>
      <c r="M26">
        <v>5.1661059916161953</v>
      </c>
      <c r="N26">
        <v>175.79298595966182</v>
      </c>
      <c r="O26">
        <v>207.24749607794567</v>
      </c>
      <c r="P26">
        <v>94.394810599803677</v>
      </c>
      <c r="Q26">
        <v>43.358304082549054</v>
      </c>
      <c r="R26">
        <v>10.650075886209514</v>
      </c>
      <c r="S26">
        <v>0</v>
      </c>
      <c r="T26">
        <v>8</v>
      </c>
      <c r="U26">
        <v>531.45970271157648</v>
      </c>
      <c r="V26">
        <v>532.66548514103499</v>
      </c>
      <c r="W26">
        <v>533.86152479588918</v>
      </c>
      <c r="X26">
        <v>535.04790039818261</v>
      </c>
      <c r="Y26">
        <v>536.2246900338813</v>
      </c>
      <c r="Z26">
        <v>537.39197115801335</v>
      </c>
      <c r="AA26">
        <v>538.5498205997668</v>
      </c>
      <c r="AB26">
        <v>539.6983145675465</v>
      </c>
      <c r="AC26">
        <v>0.1</v>
      </c>
      <c r="AD26">
        <v>1.4908412628828319E-2</v>
      </c>
      <c r="AE26" s="1">
        <v>8</v>
      </c>
    </row>
    <row r="27" spans="1:31" x14ac:dyDescent="0.35">
      <c r="A27" t="s">
        <v>25</v>
      </c>
      <c r="B27" t="s">
        <v>124</v>
      </c>
      <c r="C27" t="s">
        <v>174</v>
      </c>
      <c r="D27">
        <v>168</v>
      </c>
      <c r="E27">
        <v>693</v>
      </c>
      <c r="F27" s="1">
        <v>954</v>
      </c>
      <c r="G27">
        <v>8.4136314403189787E-3</v>
      </c>
      <c r="H27">
        <v>0.4783415903533122</v>
      </c>
      <c r="I27">
        <v>0.34535536267218658</v>
      </c>
      <c r="J27">
        <v>0.1147456275792092</v>
      </c>
      <c r="K27">
        <v>4.184484163081776E-2</v>
      </c>
      <c r="L27">
        <v>1.1298946324155327E-2</v>
      </c>
      <c r="M27">
        <v>8.0266043940643055</v>
      </c>
      <c r="N27">
        <v>456.33787719705981</v>
      </c>
      <c r="O27">
        <v>329.46901598926598</v>
      </c>
      <c r="P27">
        <v>109.46732871056557</v>
      </c>
      <c r="Q27">
        <v>39.919978915800144</v>
      </c>
      <c r="R27">
        <v>10.779194793244182</v>
      </c>
      <c r="S27">
        <v>62</v>
      </c>
      <c r="T27">
        <v>29</v>
      </c>
      <c r="U27">
        <v>960.47080520675581</v>
      </c>
      <c r="V27">
        <v>973.70173033326569</v>
      </c>
      <c r="W27">
        <v>986.87729086312083</v>
      </c>
      <c r="X27">
        <v>999.99771846859903</v>
      </c>
      <c r="Y27">
        <v>1013.0632438525492</v>
      </c>
      <c r="Z27">
        <v>1026.074096752448</v>
      </c>
      <c r="AA27">
        <v>1039.030505944439</v>
      </c>
      <c r="AB27">
        <v>1051.9326992473557</v>
      </c>
      <c r="AC27">
        <v>0.1</v>
      </c>
      <c r="AD27">
        <v>3.0398322851153039E-2</v>
      </c>
      <c r="AE27" s="1">
        <v>29</v>
      </c>
    </row>
    <row r="28" spans="1:31" x14ac:dyDescent="0.35">
      <c r="A28" t="s">
        <v>26</v>
      </c>
      <c r="B28" t="s">
        <v>125</v>
      </c>
      <c r="C28" t="s">
        <v>174</v>
      </c>
      <c r="D28">
        <v>3523</v>
      </c>
      <c r="E28">
        <v>5230</v>
      </c>
      <c r="F28" s="1">
        <v>5230</v>
      </c>
      <c r="G28">
        <v>8.4136314403189787E-3</v>
      </c>
      <c r="H28">
        <v>0.4783415903533122</v>
      </c>
      <c r="I28">
        <v>0.34535536267218658</v>
      </c>
      <c r="J28">
        <v>0.1147456275792092</v>
      </c>
      <c r="K28">
        <v>4.184484163081776E-2</v>
      </c>
      <c r="L28">
        <v>1.1298946324155327E-2</v>
      </c>
      <c r="M28">
        <v>44.003292432868257</v>
      </c>
      <c r="N28">
        <v>2501.7265175478228</v>
      </c>
      <c r="O28">
        <v>1806.2085467755358</v>
      </c>
      <c r="P28">
        <v>600.11963223926409</v>
      </c>
      <c r="Q28">
        <v>218.84852172917689</v>
      </c>
      <c r="R28">
        <v>59.09348927533236</v>
      </c>
      <c r="S28">
        <v>404</v>
      </c>
      <c r="T28">
        <v>316</v>
      </c>
      <c r="U28">
        <v>5361.9065107246679</v>
      </c>
      <c r="V28">
        <v>5530.4696978466154</v>
      </c>
      <c r="W28">
        <v>5698.3275349815722</v>
      </c>
      <c r="X28">
        <v>5865.4829736553884</v>
      </c>
      <c r="Y28">
        <v>6031.9389530433018</v>
      </c>
      <c r="Z28">
        <v>6197.6984000216162</v>
      </c>
      <c r="AA28">
        <v>6362.7642292191686</v>
      </c>
      <c r="AB28">
        <v>6527.1393430685775</v>
      </c>
      <c r="AC28">
        <v>0.1</v>
      </c>
      <c r="AD28">
        <v>6.0420650095602296E-2</v>
      </c>
      <c r="AE28" s="1">
        <v>316</v>
      </c>
    </row>
    <row r="29" spans="1:31" x14ac:dyDescent="0.35">
      <c r="A29" t="s">
        <v>27</v>
      </c>
      <c r="B29" t="s">
        <v>126</v>
      </c>
      <c r="C29" t="s">
        <v>174</v>
      </c>
      <c r="D29">
        <v>200</v>
      </c>
      <c r="E29">
        <v>2760</v>
      </c>
      <c r="F29" s="1">
        <v>1103.5637751855782</v>
      </c>
      <c r="G29">
        <v>5.8653846153846154E-2</v>
      </c>
      <c r="H29">
        <v>0.37692307692307692</v>
      </c>
      <c r="I29">
        <v>0.31826923076923075</v>
      </c>
      <c r="J29">
        <v>0.2048076923076923</v>
      </c>
      <c r="K29">
        <v>2.8846153846153848E-2</v>
      </c>
      <c r="L29">
        <v>1.2500000000000001E-2</v>
      </c>
      <c r="M29">
        <v>64.72825989069257</v>
      </c>
      <c r="N29">
        <v>415.95865372379484</v>
      </c>
      <c r="O29">
        <v>351.23039383310226</v>
      </c>
      <c r="P29">
        <v>226.01835011012321</v>
      </c>
      <c r="Q29">
        <v>31.833570438045527</v>
      </c>
      <c r="R29">
        <v>13.794547189819728</v>
      </c>
      <c r="S29">
        <v>101</v>
      </c>
      <c r="T29">
        <v>115</v>
      </c>
      <c r="U29">
        <v>1167.8692279957584</v>
      </c>
      <c r="V29">
        <v>1242.6003744534628</v>
      </c>
      <c r="W29">
        <v>1317.1159502963853</v>
      </c>
      <c r="X29">
        <v>1391.4165773628381</v>
      </c>
      <c r="Y29">
        <v>1465.5028756973684</v>
      </c>
      <c r="Z29">
        <v>1539.3754635559335</v>
      </c>
      <c r="AA29">
        <v>1613.0349574110605</v>
      </c>
      <c r="AB29">
        <v>1686.48197195699</v>
      </c>
      <c r="AC29">
        <v>0.1</v>
      </c>
      <c r="AD29">
        <v>0.10420784243362945</v>
      </c>
      <c r="AE29" s="1">
        <v>115</v>
      </c>
    </row>
    <row r="30" spans="1:31" x14ac:dyDescent="0.35">
      <c r="A30" t="s">
        <v>28</v>
      </c>
      <c r="B30" t="s">
        <v>127</v>
      </c>
      <c r="C30" t="s">
        <v>174</v>
      </c>
      <c r="D30">
        <v>1971</v>
      </c>
      <c r="E30">
        <v>2866</v>
      </c>
      <c r="F30" s="1">
        <v>4402</v>
      </c>
      <c r="G30">
        <v>8.4136314403189787E-3</v>
      </c>
      <c r="H30">
        <v>0.4783415903533122</v>
      </c>
      <c r="I30">
        <v>0.34535536267218658</v>
      </c>
      <c r="J30">
        <v>0.1147456275792092</v>
      </c>
      <c r="K30">
        <v>4.184484163081776E-2</v>
      </c>
      <c r="L30">
        <v>1.1298946324155327E-2</v>
      </c>
      <c r="M30">
        <v>37.036805600284147</v>
      </c>
      <c r="N30">
        <v>2105.6596807352803</v>
      </c>
      <c r="O30">
        <v>1520.2543064829654</v>
      </c>
      <c r="P30">
        <v>505.11025260367887</v>
      </c>
      <c r="Q30">
        <v>184.20099285885979</v>
      </c>
      <c r="R30">
        <v>49.73796171893175</v>
      </c>
      <c r="S30">
        <v>0</v>
      </c>
      <c r="T30">
        <v>0</v>
      </c>
      <c r="U30">
        <v>4977.3804382810686</v>
      </c>
      <c r="V30">
        <v>5581.6710686634488</v>
      </c>
      <c r="W30">
        <v>6183.4330544730947</v>
      </c>
      <c r="X30">
        <v>6782.6769767831756</v>
      </c>
      <c r="Y30">
        <v>7379.413372390527</v>
      </c>
      <c r="Z30">
        <v>7973.6527340009252</v>
      </c>
      <c r="AA30">
        <v>8565.4055104135859</v>
      </c>
      <c r="AB30">
        <v>9154.6821067048859</v>
      </c>
      <c r="AC30">
        <v>0.1</v>
      </c>
      <c r="AD30">
        <v>0.20599999999999999</v>
      </c>
      <c r="AE30" s="1">
        <v>906.8119999999999</v>
      </c>
    </row>
    <row r="31" spans="1:31" x14ac:dyDescent="0.35">
      <c r="A31" t="s">
        <v>29</v>
      </c>
      <c r="B31" t="s">
        <v>106</v>
      </c>
      <c r="C31" t="s">
        <v>172</v>
      </c>
      <c r="D31">
        <v>622</v>
      </c>
      <c r="E31">
        <v>1626</v>
      </c>
      <c r="F31" s="1">
        <v>1273.0346943092873</v>
      </c>
      <c r="G31">
        <v>9.6273049759095664E-3</v>
      </c>
      <c r="H31">
        <v>0.3275992964925577</v>
      </c>
      <c r="I31">
        <v>0.38621639847768657</v>
      </c>
      <c r="J31">
        <v>0.17590959830524627</v>
      </c>
      <c r="K31">
        <v>8.0800436018606592E-2</v>
      </c>
      <c r="L31">
        <v>1.9846965729993234E-2</v>
      </c>
      <c r="M31">
        <v>12.255893247029315</v>
      </c>
      <c r="N31">
        <v>417.04527026634076</v>
      </c>
      <c r="O31">
        <v>491.66687477327559</v>
      </c>
      <c r="P31">
        <v>223.9390217045887</v>
      </c>
      <c r="Q31">
        <v>102.86175836700397</v>
      </c>
      <c r="R31">
        <v>25.265875951048837</v>
      </c>
      <c r="S31">
        <v>87</v>
      </c>
      <c r="T31">
        <v>0</v>
      </c>
      <c r="U31">
        <v>1308.2652698073605</v>
      </c>
      <c r="V31">
        <v>1358.1908808336391</v>
      </c>
      <c r="W31">
        <v>1407.7130907459759</v>
      </c>
      <c r="X31">
        <v>1456.8351590429606</v>
      </c>
      <c r="Y31">
        <v>1505.560318886292</v>
      </c>
      <c r="Z31">
        <v>1553.8917773135815</v>
      </c>
      <c r="AA31">
        <v>1601.8327154494373</v>
      </c>
      <c r="AB31">
        <v>1649.3862887148412</v>
      </c>
      <c r="AC31">
        <v>0.1</v>
      </c>
      <c r="AD31">
        <v>6.8000000000000005E-2</v>
      </c>
      <c r="AE31" s="1">
        <v>86.566359213031546</v>
      </c>
    </row>
    <row r="32" spans="1:31" x14ac:dyDescent="0.35">
      <c r="A32" t="s">
        <v>30</v>
      </c>
      <c r="B32" t="s">
        <v>128</v>
      </c>
      <c r="C32" t="s">
        <v>173</v>
      </c>
      <c r="D32">
        <v>2046</v>
      </c>
      <c r="E32">
        <v>2395</v>
      </c>
      <c r="F32" s="1">
        <v>1833.6554988586008</v>
      </c>
      <c r="G32">
        <v>0</v>
      </c>
      <c r="H32">
        <v>0.28747247489357414</v>
      </c>
      <c r="I32">
        <v>0.27178258735557548</v>
      </c>
      <c r="J32">
        <v>0.25114397272132999</v>
      </c>
      <c r="K32">
        <v>0.13575699246202377</v>
      </c>
      <c r="L32">
        <v>5.3843972567496616E-2</v>
      </c>
      <c r="M32">
        <v>0</v>
      </c>
      <c r="N32">
        <v>527.12548435909332</v>
      </c>
      <c r="O32">
        <v>498.35563579856898</v>
      </c>
      <c r="P32">
        <v>460.51152658566116</v>
      </c>
      <c r="Q32">
        <v>248.93155573649551</v>
      </c>
      <c r="R32">
        <v>98.731296378781821</v>
      </c>
      <c r="S32">
        <v>0</v>
      </c>
      <c r="T32">
        <v>432</v>
      </c>
      <c r="U32">
        <v>2030.9242024798191</v>
      </c>
      <c r="V32">
        <v>2299.3529863151193</v>
      </c>
      <c r="W32">
        <v>2564.1376617120482</v>
      </c>
      <c r="X32">
        <v>2825.3276999907848</v>
      </c>
      <c r="Y32">
        <v>3082.9719008637453</v>
      </c>
      <c r="Z32">
        <v>3337.1184015531262</v>
      </c>
      <c r="AA32">
        <v>3587.8146857846732</v>
      </c>
      <c r="AB32">
        <v>3835.1075926593526</v>
      </c>
      <c r="AC32">
        <v>0.1</v>
      </c>
      <c r="AD32">
        <v>0.23559496332266769</v>
      </c>
      <c r="AE32" s="1">
        <v>432</v>
      </c>
    </row>
    <row r="33" spans="1:31" x14ac:dyDescent="0.35">
      <c r="A33" t="s">
        <v>31</v>
      </c>
      <c r="B33" t="s">
        <v>129</v>
      </c>
      <c r="C33" t="s">
        <v>174</v>
      </c>
      <c r="D33">
        <v>1452</v>
      </c>
      <c r="E33">
        <v>2473</v>
      </c>
      <c r="F33" s="1">
        <v>5719</v>
      </c>
      <c r="G33">
        <v>2.5575447570332483E-3</v>
      </c>
      <c r="H33">
        <v>0.33418584825234443</v>
      </c>
      <c r="I33">
        <v>0.38235294117647056</v>
      </c>
      <c r="J33">
        <v>0.17732310315430519</v>
      </c>
      <c r="K33">
        <v>8.2267689684569476E-2</v>
      </c>
      <c r="L33">
        <v>2.1312872975277068E-2</v>
      </c>
      <c r="M33">
        <v>14.626598465473148</v>
      </c>
      <c r="N33">
        <v>1911.2088661551577</v>
      </c>
      <c r="O33">
        <v>2186.6764705882351</v>
      </c>
      <c r="P33">
        <v>1014.1108269394714</v>
      </c>
      <c r="Q33">
        <v>470.48891730605283</v>
      </c>
      <c r="R33">
        <v>121.88832054560955</v>
      </c>
      <c r="S33">
        <v>819</v>
      </c>
      <c r="T33">
        <v>819</v>
      </c>
      <c r="U33">
        <v>6166.8116794543903</v>
      </c>
      <c r="V33">
        <v>6685.7787444955366</v>
      </c>
      <c r="W33">
        <v>7200.4763873903512</v>
      </c>
      <c r="X33">
        <v>7710.9397316884606</v>
      </c>
      <c r="Y33">
        <v>8217.2036119861641</v>
      </c>
      <c r="Z33">
        <v>8719.3025763035839</v>
      </c>
      <c r="AA33">
        <v>9217.2708884422609</v>
      </c>
      <c r="AB33">
        <v>9711.1425303233609</v>
      </c>
      <c r="AC33">
        <v>0.1</v>
      </c>
      <c r="AD33">
        <v>0.14320685434516525</v>
      </c>
      <c r="AE33" s="1">
        <v>819.00000000000011</v>
      </c>
    </row>
    <row r="34" spans="1:31" x14ac:dyDescent="0.35">
      <c r="A34" t="s">
        <v>32</v>
      </c>
      <c r="B34" t="s">
        <v>130</v>
      </c>
      <c r="C34" t="s">
        <v>173</v>
      </c>
      <c r="D34">
        <v>0</v>
      </c>
      <c r="E34">
        <v>1445</v>
      </c>
      <c r="F34" s="1">
        <v>1597</v>
      </c>
      <c r="G34">
        <v>0</v>
      </c>
      <c r="H34">
        <v>0.28747247489357414</v>
      </c>
      <c r="I34">
        <v>0.27178258735557548</v>
      </c>
      <c r="J34">
        <v>0.25114397272132999</v>
      </c>
      <c r="K34">
        <v>0.13575699246202377</v>
      </c>
      <c r="L34">
        <v>5.3843972567496616E-2</v>
      </c>
      <c r="M34">
        <v>0</v>
      </c>
      <c r="N34">
        <v>459.09354240503791</v>
      </c>
      <c r="O34">
        <v>434.03679200685406</v>
      </c>
      <c r="P34">
        <v>401.07692443596397</v>
      </c>
      <c r="Q34">
        <v>216.80391696185197</v>
      </c>
      <c r="R34">
        <v>85.988824190292092</v>
      </c>
      <c r="S34">
        <v>73</v>
      </c>
      <c r="T34">
        <v>475</v>
      </c>
      <c r="U34">
        <v>1843.1611758097081</v>
      </c>
      <c r="V34">
        <v>2150.2889740246387</v>
      </c>
      <c r="W34">
        <v>2453.2472976208551</v>
      </c>
      <c r="X34">
        <v>2752.0927501317956</v>
      </c>
      <c r="Y34">
        <v>3046.8811666583524</v>
      </c>
      <c r="Z34">
        <v>3337.6676243008806</v>
      </c>
      <c r="AA34">
        <v>3624.5064524495851</v>
      </c>
      <c r="AB34">
        <v>3907.4512429352098</v>
      </c>
      <c r="AC34">
        <v>0.1</v>
      </c>
      <c r="AD34">
        <v>0.29743268628678771</v>
      </c>
      <c r="AE34" s="1">
        <v>474.99999999999994</v>
      </c>
    </row>
    <row r="35" spans="1:31" x14ac:dyDescent="0.35">
      <c r="A35" t="s">
        <v>33</v>
      </c>
      <c r="B35" t="s">
        <v>138</v>
      </c>
      <c r="C35" t="s">
        <v>174</v>
      </c>
      <c r="D35">
        <v>946</v>
      </c>
      <c r="E35">
        <v>1065</v>
      </c>
      <c r="F35" s="1">
        <v>705.66936761273496</v>
      </c>
      <c r="G35">
        <v>8.4136314403189787E-3</v>
      </c>
      <c r="H35">
        <v>0.4783415903533122</v>
      </c>
      <c r="I35">
        <v>0.34535536267218658</v>
      </c>
      <c r="J35">
        <v>0.1147456275792092</v>
      </c>
      <c r="K35">
        <v>4.184484163081776E-2</v>
      </c>
      <c r="L35">
        <v>1.1298946324155327E-2</v>
      </c>
      <c r="M35">
        <v>5.9372419778165177</v>
      </c>
      <c r="N35">
        <v>337.55100756749175</v>
      </c>
      <c r="O35">
        <v>243.70670037854865</v>
      </c>
      <c r="P35">
        <v>80.972474450146947</v>
      </c>
      <c r="Q35">
        <v>29.528622931474214</v>
      </c>
      <c r="R35">
        <v>7.9733203072569259</v>
      </c>
      <c r="S35">
        <v>196</v>
      </c>
      <c r="T35">
        <v>370</v>
      </c>
      <c r="U35">
        <v>953.49604730547799</v>
      </c>
      <c r="V35">
        <v>1205.3061581959671</v>
      </c>
      <c r="W35">
        <v>1456.062573665331</v>
      </c>
      <c r="X35">
        <v>1705.7697028853722</v>
      </c>
      <c r="Y35">
        <v>1954.4319365777835</v>
      </c>
      <c r="Z35">
        <v>2202.0536470913526</v>
      </c>
      <c r="AA35">
        <v>2448.6391884788422</v>
      </c>
      <c r="AB35">
        <v>2694.192896573551</v>
      </c>
      <c r="AC35">
        <v>0.1</v>
      </c>
      <c r="AD35">
        <v>0.52432487079849088</v>
      </c>
      <c r="AE35" s="1">
        <v>370</v>
      </c>
    </row>
    <row r="36" spans="1:31" x14ac:dyDescent="0.35">
      <c r="A36" t="s">
        <v>34</v>
      </c>
      <c r="B36" t="s">
        <v>104</v>
      </c>
      <c r="C36" t="s">
        <v>172</v>
      </c>
      <c r="D36">
        <v>65759</v>
      </c>
      <c r="E36">
        <v>83907</v>
      </c>
      <c r="F36" s="1">
        <v>86181</v>
      </c>
      <c r="G36">
        <v>1.5643758867828428E-2</v>
      </c>
      <c r="H36">
        <v>0.38865645577909558</v>
      </c>
      <c r="I36">
        <v>0.35225743078546223</v>
      </c>
      <c r="J36">
        <v>0.16069414632371667</v>
      </c>
      <c r="K36">
        <v>6.2957034234365342E-2</v>
      </c>
      <c r="L36">
        <v>1.979117400953178E-2</v>
      </c>
      <c r="M36">
        <v>1348.1947829883218</v>
      </c>
      <c r="N36">
        <v>33494.802015498237</v>
      </c>
      <c r="O36">
        <v>30357.897642521923</v>
      </c>
      <c r="P36">
        <v>13848.782224324226</v>
      </c>
      <c r="Q36">
        <v>5425.7001673518398</v>
      </c>
      <c r="R36">
        <v>1705.6231673154582</v>
      </c>
      <c r="S36">
        <v>3766</v>
      </c>
      <c r="T36">
        <v>4340</v>
      </c>
      <c r="U36">
        <v>87017.326832684543</v>
      </c>
      <c r="V36">
        <v>89011.441550245712</v>
      </c>
      <c r="W36">
        <v>90993.001912952808</v>
      </c>
      <c r="X36">
        <v>92962.086959300665</v>
      </c>
      <c r="Y36">
        <v>94918.775230181185</v>
      </c>
      <c r="Z36">
        <v>96863.144772016123</v>
      </c>
      <c r="AA36">
        <v>98795.273139870114</v>
      </c>
      <c r="AB36">
        <v>100715.23740054408</v>
      </c>
      <c r="AC36">
        <v>0.1</v>
      </c>
      <c r="AD36">
        <v>5.0359127882015756E-2</v>
      </c>
      <c r="AE36" s="1">
        <v>4340</v>
      </c>
    </row>
    <row r="37" spans="1:31" x14ac:dyDescent="0.35">
      <c r="A37" t="s">
        <v>35</v>
      </c>
      <c r="B37" t="s">
        <v>131</v>
      </c>
      <c r="C37" t="s">
        <v>174</v>
      </c>
      <c r="D37">
        <v>1104</v>
      </c>
      <c r="E37">
        <v>1648</v>
      </c>
      <c r="F37" s="1">
        <v>1648</v>
      </c>
      <c r="G37">
        <v>8.4136314403189787E-3</v>
      </c>
      <c r="H37">
        <v>0.4783415903533122</v>
      </c>
      <c r="I37">
        <v>0.34535536267218658</v>
      </c>
      <c r="J37">
        <v>0.1147456275792092</v>
      </c>
      <c r="K37">
        <v>4.184484163081776E-2</v>
      </c>
      <c r="L37">
        <v>1.1298946324155327E-2</v>
      </c>
      <c r="M37">
        <v>13.865664613645677</v>
      </c>
      <c r="N37">
        <v>788.30694090225848</v>
      </c>
      <c r="O37">
        <v>569.14563768376354</v>
      </c>
      <c r="P37">
        <v>189.10079425053675</v>
      </c>
      <c r="Q37">
        <v>68.960299007587665</v>
      </c>
      <c r="R37">
        <v>18.620663542207978</v>
      </c>
      <c r="S37">
        <v>11</v>
      </c>
      <c r="T37">
        <v>11</v>
      </c>
      <c r="U37">
        <v>1519.179336457792</v>
      </c>
      <c r="V37">
        <v>1402.6223545835032</v>
      </c>
      <c r="W37">
        <v>1286.5531035539641</v>
      </c>
      <c r="X37">
        <v>1170.9695424671788</v>
      </c>
      <c r="Y37">
        <v>1055.8696389612737</v>
      </c>
      <c r="Z37">
        <v>941.25136917876137</v>
      </c>
      <c r="AA37">
        <v>827.11271773095382</v>
      </c>
      <c r="AB37">
        <v>713.45167766252519</v>
      </c>
      <c r="AC37">
        <v>0.1</v>
      </c>
      <c r="AD37">
        <v>6.6747572815533977E-3</v>
      </c>
      <c r="AE37" s="1">
        <v>11</v>
      </c>
    </row>
    <row r="38" spans="1:31" x14ac:dyDescent="0.35">
      <c r="A38" t="s">
        <v>36</v>
      </c>
      <c r="B38" t="s">
        <v>101</v>
      </c>
      <c r="C38" t="s">
        <v>172</v>
      </c>
      <c r="D38">
        <v>63</v>
      </c>
      <c r="E38">
        <v>60</v>
      </c>
      <c r="F38" s="1">
        <v>105</v>
      </c>
      <c r="G38">
        <v>9.6273049759095664E-3</v>
      </c>
      <c r="H38">
        <v>0.3275992964925577</v>
      </c>
      <c r="I38">
        <v>0.38621639847768657</v>
      </c>
      <c r="J38">
        <v>0.17590959830524627</v>
      </c>
      <c r="K38">
        <v>8.0800436018606592E-2</v>
      </c>
      <c r="L38">
        <v>1.9846965729993234E-2</v>
      </c>
      <c r="M38">
        <v>1.0108670224705045</v>
      </c>
      <c r="N38">
        <v>34.397926131718556</v>
      </c>
      <c r="O38">
        <v>40.552721840157091</v>
      </c>
      <c r="P38">
        <v>18.470507822050859</v>
      </c>
      <c r="Q38">
        <v>8.484045781953693</v>
      </c>
      <c r="R38">
        <v>2.0839314016492896</v>
      </c>
      <c r="S38">
        <v>0</v>
      </c>
      <c r="T38">
        <v>0</v>
      </c>
      <c r="U38">
        <v>107.7640685983507</v>
      </c>
      <c r="V38">
        <v>111.74133022536213</v>
      </c>
      <c r="W38">
        <v>115.6864554050113</v>
      </c>
      <c r="X38">
        <v>119.5997038011941</v>
      </c>
      <c r="Y38">
        <v>123.48133297971083</v>
      </c>
      <c r="Z38">
        <v>127.33159842521889</v>
      </c>
      <c r="AA38">
        <v>131.15075355804851</v>
      </c>
      <c r="AB38">
        <v>134.93904975088259</v>
      </c>
      <c r="AC38">
        <v>0.1</v>
      </c>
      <c r="AD38">
        <v>6.8000000000000005E-2</v>
      </c>
      <c r="AE38" s="1">
        <v>7.1400000000000006</v>
      </c>
    </row>
    <row r="39" spans="1:31" x14ac:dyDescent="0.35">
      <c r="A39" t="s">
        <v>37</v>
      </c>
      <c r="B39" t="s">
        <v>132</v>
      </c>
      <c r="C39" t="s">
        <v>172</v>
      </c>
      <c r="D39">
        <v>0</v>
      </c>
      <c r="E39">
        <v>2883</v>
      </c>
      <c r="F39" s="1">
        <v>2560.8623058327948</v>
      </c>
      <c r="G39">
        <v>1.4224751066856331E-3</v>
      </c>
      <c r="H39">
        <v>0.48079658605974396</v>
      </c>
      <c r="I39">
        <v>0.35135135135135137</v>
      </c>
      <c r="J39">
        <v>9.1038406827880516E-2</v>
      </c>
      <c r="K39">
        <v>6.8278805120910391E-2</v>
      </c>
      <c r="L39">
        <v>7.1123755334281651E-3</v>
      </c>
      <c r="M39">
        <v>3.6427628816967212</v>
      </c>
      <c r="N39">
        <v>1231.2538540134917</v>
      </c>
      <c r="O39">
        <v>899.76243177909009</v>
      </c>
      <c r="P39">
        <v>233.13682442859016</v>
      </c>
      <c r="Q39">
        <v>174.85261832144263</v>
      </c>
      <c r="R39">
        <v>18.213814408483604</v>
      </c>
      <c r="S39">
        <v>0</v>
      </c>
      <c r="T39">
        <v>434</v>
      </c>
      <c r="U39">
        <v>2828.7984914243116</v>
      </c>
      <c r="V39">
        <v>3095.6337933320829</v>
      </c>
      <c r="W39">
        <v>3360.6471756820201</v>
      </c>
      <c r="X39">
        <v>3623.8510783231673</v>
      </c>
      <c r="Y39">
        <v>3885.2578561667647</v>
      </c>
      <c r="Z39">
        <v>4144.8797797661955</v>
      </c>
      <c r="AA39">
        <v>4402.7290358929704</v>
      </c>
      <c r="AB39">
        <v>4658.8177281087801</v>
      </c>
      <c r="AC39">
        <v>0.1</v>
      </c>
      <c r="AD39">
        <v>0.16947416462474066</v>
      </c>
      <c r="AE39" s="1">
        <v>434.00000000000006</v>
      </c>
    </row>
    <row r="40" spans="1:31" x14ac:dyDescent="0.35">
      <c r="A40" t="s">
        <v>38</v>
      </c>
      <c r="B40" t="s">
        <v>133</v>
      </c>
      <c r="C40" t="s">
        <v>173</v>
      </c>
      <c r="D40">
        <v>93</v>
      </c>
      <c r="E40">
        <v>240</v>
      </c>
      <c r="F40" s="1">
        <v>828</v>
      </c>
      <c r="G40">
        <v>0</v>
      </c>
      <c r="H40">
        <v>0.15789473684210525</v>
      </c>
      <c r="I40">
        <v>0.26315789473684209</v>
      </c>
      <c r="J40">
        <v>0.2982456140350877</v>
      </c>
      <c r="K40">
        <v>0.15789473684210525</v>
      </c>
      <c r="L40">
        <v>0.12280701754385964</v>
      </c>
      <c r="M40">
        <v>0</v>
      </c>
      <c r="N40">
        <v>130.73684210526315</v>
      </c>
      <c r="O40">
        <v>217.89473684210526</v>
      </c>
      <c r="P40">
        <v>246.94736842105263</v>
      </c>
      <c r="Q40">
        <v>130.73684210526315</v>
      </c>
      <c r="R40">
        <v>101.68421052631578</v>
      </c>
      <c r="S40">
        <v>0</v>
      </c>
      <c r="T40">
        <v>10</v>
      </c>
      <c r="U40">
        <v>732.76578947368432</v>
      </c>
      <c r="V40">
        <v>727.6458033240998</v>
      </c>
      <c r="W40">
        <v>722.60665906108773</v>
      </c>
      <c r="X40">
        <v>717.6470802338074</v>
      </c>
      <c r="Y40">
        <v>712.7658105459052</v>
      </c>
      <c r="Z40">
        <v>707.96161353728564</v>
      </c>
      <c r="AA40">
        <v>703.23327227090749</v>
      </c>
      <c r="AB40">
        <v>698.57958902452481</v>
      </c>
      <c r="AC40">
        <v>0.1</v>
      </c>
      <c r="AD40">
        <v>1.2077294685990338E-2</v>
      </c>
      <c r="AE40" s="1">
        <v>10</v>
      </c>
    </row>
    <row r="41" spans="1:31" x14ac:dyDescent="0.35">
      <c r="A41" t="s">
        <v>39</v>
      </c>
      <c r="B41" t="s">
        <v>134</v>
      </c>
      <c r="C41" t="s">
        <v>174</v>
      </c>
      <c r="D41">
        <v>0</v>
      </c>
      <c r="E41">
        <v>566</v>
      </c>
      <c r="F41" s="1">
        <v>1106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1106</v>
      </c>
      <c r="O41">
        <v>0</v>
      </c>
      <c r="P41">
        <v>0</v>
      </c>
      <c r="Q41">
        <v>0</v>
      </c>
      <c r="R41">
        <v>0</v>
      </c>
      <c r="S41">
        <v>39</v>
      </c>
      <c r="T41">
        <v>217</v>
      </c>
      <c r="U41">
        <v>1255.5500000000002</v>
      </c>
      <c r="V41">
        <v>1405.1000000000004</v>
      </c>
      <c r="W41">
        <v>1554.6500000000005</v>
      </c>
      <c r="X41">
        <v>1704.2000000000007</v>
      </c>
      <c r="Y41">
        <v>1853.7500000000009</v>
      </c>
      <c r="Z41">
        <v>2003.3000000000011</v>
      </c>
      <c r="AA41">
        <v>2152.8500000000013</v>
      </c>
      <c r="AB41">
        <v>2302.4000000000015</v>
      </c>
      <c r="AC41">
        <v>0.1</v>
      </c>
      <c r="AD41">
        <v>0.19620253164556961</v>
      </c>
      <c r="AE41" s="1">
        <v>217</v>
      </c>
    </row>
    <row r="42" spans="1:31" x14ac:dyDescent="0.35">
      <c r="A42" t="s">
        <v>40</v>
      </c>
      <c r="B42" t="s">
        <v>135</v>
      </c>
      <c r="C42" t="s">
        <v>173</v>
      </c>
      <c r="D42">
        <v>0</v>
      </c>
      <c r="E42">
        <v>43503</v>
      </c>
      <c r="F42" s="1">
        <v>48021</v>
      </c>
      <c r="G42">
        <v>0</v>
      </c>
      <c r="H42">
        <v>0.28747247489357414</v>
      </c>
      <c r="I42">
        <v>0.27178258735557548</v>
      </c>
      <c r="J42">
        <v>0.25114397272132999</v>
      </c>
      <c r="K42">
        <v>0.13575699246202377</v>
      </c>
      <c r="L42">
        <v>5.3843972567496616E-2</v>
      </c>
      <c r="M42">
        <v>0</v>
      </c>
      <c r="N42">
        <v>13804.715716864324</v>
      </c>
      <c r="O42">
        <v>13051.27162740209</v>
      </c>
      <c r="P42">
        <v>12060.184714050987</v>
      </c>
      <c r="Q42">
        <v>6519.1865350188436</v>
      </c>
      <c r="R42">
        <v>2585.6414066637549</v>
      </c>
      <c r="S42">
        <v>0</v>
      </c>
      <c r="T42">
        <v>998</v>
      </c>
      <c r="U42">
        <v>45688.608593336248</v>
      </c>
      <c r="V42">
        <v>45321.603784095656</v>
      </c>
      <c r="W42">
        <v>44959.581321767226</v>
      </c>
      <c r="X42">
        <v>44602.473567507739</v>
      </c>
      <c r="Y42">
        <v>44250.213800718564</v>
      </c>
      <c r="Z42">
        <v>43902.736206579852</v>
      </c>
      <c r="AA42">
        <v>43559.975863753963</v>
      </c>
      <c r="AB42">
        <v>43221.868732255803</v>
      </c>
      <c r="AC42">
        <v>0.1</v>
      </c>
      <c r="AD42">
        <v>2.0782574290414611E-2</v>
      </c>
      <c r="AE42" s="1">
        <v>998</v>
      </c>
    </row>
    <row r="43" spans="1:31" x14ac:dyDescent="0.35">
      <c r="A43" t="s">
        <v>41</v>
      </c>
      <c r="B43" t="s">
        <v>136</v>
      </c>
      <c r="C43" t="s">
        <v>174</v>
      </c>
      <c r="D43">
        <v>0</v>
      </c>
      <c r="E43">
        <v>411</v>
      </c>
      <c r="F43" s="1">
        <v>456</v>
      </c>
      <c r="G43">
        <v>8.4136314403189787E-3</v>
      </c>
      <c r="H43">
        <v>0.4783415903533122</v>
      </c>
      <c r="I43">
        <v>0.34535536267218658</v>
      </c>
      <c r="J43">
        <v>0.1147456275792092</v>
      </c>
      <c r="K43">
        <v>4.184484163081776E-2</v>
      </c>
      <c r="L43">
        <v>1.1298946324155327E-2</v>
      </c>
      <c r="M43">
        <v>3.8366159367854542</v>
      </c>
      <c r="N43">
        <v>218.12376520111036</v>
      </c>
      <c r="O43">
        <v>157.48204537851709</v>
      </c>
      <c r="P43">
        <v>52.324006176119397</v>
      </c>
      <c r="Q43">
        <v>19.081247783652898</v>
      </c>
      <c r="R43">
        <v>5.1523195238148292</v>
      </c>
      <c r="S43">
        <v>0</v>
      </c>
      <c r="T43">
        <v>0</v>
      </c>
      <c r="U43">
        <v>516.30288047618524</v>
      </c>
      <c r="V43">
        <v>579.59761924947907</v>
      </c>
      <c r="W43">
        <v>642.62750219076963</v>
      </c>
      <c r="X43">
        <v>705.39363758509148</v>
      </c>
      <c r="Y43">
        <v>767.89712907987803</v>
      </c>
      <c r="Z43">
        <v>830.13907570436731</v>
      </c>
      <c r="AA43">
        <v>892.12057188892697</v>
      </c>
      <c r="AB43">
        <v>953.84270748429822</v>
      </c>
      <c r="AC43">
        <v>0.1</v>
      </c>
      <c r="AD43">
        <v>0.20599999999999999</v>
      </c>
      <c r="AE43" s="1">
        <v>93.935999999999993</v>
      </c>
    </row>
    <row r="44" spans="1:31" x14ac:dyDescent="0.35">
      <c r="A44" t="s">
        <v>42</v>
      </c>
      <c r="B44" t="s">
        <v>145</v>
      </c>
      <c r="C44" t="s">
        <v>172</v>
      </c>
      <c r="D44">
        <v>1481</v>
      </c>
      <c r="E44">
        <v>2885</v>
      </c>
      <c r="F44" s="1">
        <v>8693</v>
      </c>
      <c r="G44">
        <v>9.6273049759095664E-3</v>
      </c>
      <c r="H44">
        <v>0.3275992964925577</v>
      </c>
      <c r="I44">
        <v>0.38621639847768657</v>
      </c>
      <c r="J44">
        <v>0.17590959830524627</v>
      </c>
      <c r="K44">
        <v>8.0800436018606592E-2</v>
      </c>
      <c r="L44">
        <v>1.9846965729993234E-2</v>
      </c>
      <c r="M44">
        <v>83.690162155581859</v>
      </c>
      <c r="N44">
        <v>2847.820684409804</v>
      </c>
      <c r="O44">
        <v>3357.3791519665292</v>
      </c>
      <c r="P44">
        <v>1529.1821380675058</v>
      </c>
      <c r="Q44">
        <v>702.39819030974706</v>
      </c>
      <c r="R44">
        <v>172.52967309083118</v>
      </c>
      <c r="S44">
        <v>1380</v>
      </c>
      <c r="T44">
        <v>891</v>
      </c>
      <c r="U44">
        <v>9137.4203269091704</v>
      </c>
      <c r="V44">
        <v>9680.5395722592166</v>
      </c>
      <c r="W44">
        <v>10219.270390425825</v>
      </c>
      <c r="X44">
        <v>10753.648240091981</v>
      </c>
      <c r="Y44">
        <v>11283.708293432966</v>
      </c>
      <c r="Z44">
        <v>11809.485438431353</v>
      </c>
      <c r="AA44">
        <v>12331.014281173289</v>
      </c>
      <c r="AB44">
        <v>12848.329148126244</v>
      </c>
      <c r="AC44">
        <v>0.1</v>
      </c>
      <c r="AD44">
        <v>0.10249626135971471</v>
      </c>
      <c r="AE44" s="1">
        <v>891</v>
      </c>
    </row>
    <row r="45" spans="1:31" x14ac:dyDescent="0.35">
      <c r="A45" t="s">
        <v>43</v>
      </c>
      <c r="B45" t="s">
        <v>143</v>
      </c>
      <c r="C45" t="s">
        <v>174</v>
      </c>
      <c r="D45">
        <v>361</v>
      </c>
      <c r="E45">
        <v>611</v>
      </c>
      <c r="F45" s="1">
        <v>730</v>
      </c>
      <c r="G45">
        <v>4.10958904109589E-3</v>
      </c>
      <c r="H45">
        <v>0.29178082191780824</v>
      </c>
      <c r="I45">
        <v>0.36575342465753424</v>
      </c>
      <c r="J45">
        <v>0.21232876712328766</v>
      </c>
      <c r="K45">
        <v>8.7671232876712329E-2</v>
      </c>
      <c r="L45">
        <v>3.8356164383561646E-2</v>
      </c>
      <c r="M45">
        <v>2.9999999999999996</v>
      </c>
      <c r="N45">
        <v>213.00000000000003</v>
      </c>
      <c r="O45">
        <v>267</v>
      </c>
      <c r="P45">
        <v>155</v>
      </c>
      <c r="Q45">
        <v>64</v>
      </c>
      <c r="R45">
        <v>28</v>
      </c>
      <c r="S45">
        <v>91</v>
      </c>
      <c r="T45">
        <v>77</v>
      </c>
      <c r="U45">
        <v>743.15</v>
      </c>
      <c r="V45">
        <v>777.784712328767</v>
      </c>
      <c r="W45">
        <v>812.11577786451471</v>
      </c>
      <c r="X45">
        <v>846.14585871611348</v>
      </c>
      <c r="Y45">
        <v>879.87759365339684</v>
      </c>
      <c r="Z45">
        <v>913.31359831177792</v>
      </c>
      <c r="AA45">
        <v>946.45646539507186</v>
      </c>
      <c r="AB45">
        <v>979.30876487653973</v>
      </c>
      <c r="AC45">
        <v>0.1</v>
      </c>
      <c r="AD45">
        <v>0.10547945205479452</v>
      </c>
      <c r="AE45" s="1">
        <v>77</v>
      </c>
    </row>
    <row r="46" spans="1:31" x14ac:dyDescent="0.35">
      <c r="A46" t="s">
        <v>44</v>
      </c>
      <c r="B46" t="s">
        <v>139</v>
      </c>
      <c r="C46" t="s">
        <v>174</v>
      </c>
      <c r="D46">
        <v>3370</v>
      </c>
      <c r="E46">
        <v>17186</v>
      </c>
      <c r="F46" s="1">
        <v>9051.7813279678066</v>
      </c>
      <c r="G46">
        <v>8.4136314403189787E-3</v>
      </c>
      <c r="H46">
        <v>0.4783415903533122</v>
      </c>
      <c r="I46">
        <v>0.34535536267218658</v>
      </c>
      <c r="J46">
        <v>0.1147456275792092</v>
      </c>
      <c r="K46">
        <v>4.184484163081776E-2</v>
      </c>
      <c r="L46">
        <v>1.1298946324155327E-2</v>
      </c>
      <c r="M46">
        <v>76.158351971882212</v>
      </c>
      <c r="N46">
        <v>4329.8434759505371</v>
      </c>
      <c r="O46">
        <v>3126.0812233496486</v>
      </c>
      <c r="P46">
        <v>1038.6523291874337</v>
      </c>
      <c r="Q46">
        <v>378.77035614560612</v>
      </c>
      <c r="R46">
        <v>102.27559136269967</v>
      </c>
      <c r="S46">
        <v>390</v>
      </c>
      <c r="T46">
        <v>1997</v>
      </c>
      <c r="U46">
        <v>10328.905736605107</v>
      </c>
      <c r="V46">
        <v>11665.084594128319</v>
      </c>
      <c r="W46">
        <v>12995.672232383178</v>
      </c>
      <c r="X46">
        <v>14320.692047738168</v>
      </c>
      <c r="Y46">
        <v>15640.167338660036</v>
      </c>
      <c r="Z46">
        <v>16954.121306123463</v>
      </c>
      <c r="AA46">
        <v>18262.577054019024</v>
      </c>
      <c r="AB46">
        <v>19565.557589559423</v>
      </c>
      <c r="AC46">
        <v>0.1</v>
      </c>
      <c r="AD46">
        <v>0.22061955847626974</v>
      </c>
      <c r="AE46" s="1">
        <v>1997</v>
      </c>
    </row>
    <row r="47" spans="1:31" x14ac:dyDescent="0.35">
      <c r="A47" t="s">
        <v>45</v>
      </c>
      <c r="B47" t="s">
        <v>140</v>
      </c>
      <c r="C47" t="s">
        <v>172</v>
      </c>
      <c r="D47">
        <v>0</v>
      </c>
      <c r="E47">
        <v>4021</v>
      </c>
      <c r="F47" s="1">
        <v>6531</v>
      </c>
      <c r="G47">
        <v>4.1968714231209459E-3</v>
      </c>
      <c r="H47">
        <v>0.36398321251430754</v>
      </c>
      <c r="I47">
        <v>0.28462418924074778</v>
      </c>
      <c r="J47">
        <v>0.18428080885158338</v>
      </c>
      <c r="K47">
        <v>0.10587561999236933</v>
      </c>
      <c r="L47">
        <v>5.7039297977871044E-2</v>
      </c>
      <c r="M47">
        <v>27.409767264402898</v>
      </c>
      <c r="N47">
        <v>2377.1743609309424</v>
      </c>
      <c r="O47">
        <v>1858.8805799313238</v>
      </c>
      <c r="P47">
        <v>1203.537962609691</v>
      </c>
      <c r="Q47">
        <v>691.47367417016414</v>
      </c>
      <c r="R47">
        <v>372.52365509347578</v>
      </c>
      <c r="S47">
        <v>0</v>
      </c>
      <c r="T47">
        <v>115</v>
      </c>
      <c r="U47">
        <v>6230.9263449065247</v>
      </c>
      <c r="V47">
        <v>6237.4060259171483</v>
      </c>
      <c r="W47">
        <v>6243.8171029033365</v>
      </c>
      <c r="X47">
        <v>6250.1603022144509</v>
      </c>
      <c r="Y47">
        <v>6256.4363425095853</v>
      </c>
      <c r="Z47">
        <v>6262.6459348389853</v>
      </c>
      <c r="AA47">
        <v>6268.7897827246079</v>
      </c>
      <c r="AB47">
        <v>6274.8685822398274</v>
      </c>
      <c r="AC47">
        <v>0.1</v>
      </c>
      <c r="AD47">
        <v>1.7608329505435616E-2</v>
      </c>
      <c r="AE47" s="1">
        <v>115.00000000000001</v>
      </c>
    </row>
    <row r="48" spans="1:31" x14ac:dyDescent="0.35">
      <c r="A48" t="s">
        <v>46</v>
      </c>
      <c r="B48" t="s">
        <v>141</v>
      </c>
      <c r="C48" t="s">
        <v>172</v>
      </c>
      <c r="D48">
        <v>1114</v>
      </c>
      <c r="E48">
        <v>3026</v>
      </c>
      <c r="F48" s="1">
        <v>3131.5983655333839</v>
      </c>
      <c r="G48">
        <v>0</v>
      </c>
      <c r="H48">
        <v>0.15989660265878877</v>
      </c>
      <c r="I48">
        <v>0.4098966026587888</v>
      </c>
      <c r="J48">
        <v>0.43020679468242246</v>
      </c>
      <c r="K48">
        <v>0</v>
      </c>
      <c r="L48">
        <v>0</v>
      </c>
      <c r="M48">
        <v>0</v>
      </c>
      <c r="N48">
        <v>500.73193954060383</v>
      </c>
      <c r="O48">
        <v>1283.6315309239499</v>
      </c>
      <c r="P48">
        <v>1347.2348950688302</v>
      </c>
      <c r="Q48">
        <v>0</v>
      </c>
      <c r="R48">
        <v>0</v>
      </c>
      <c r="S48">
        <v>212</v>
      </c>
      <c r="T48">
        <v>265</v>
      </c>
      <c r="U48">
        <v>3285.7983655333837</v>
      </c>
      <c r="V48">
        <v>3439.9983655333835</v>
      </c>
      <c r="W48">
        <v>3594.1983655333834</v>
      </c>
      <c r="X48">
        <v>3748.3983655333832</v>
      </c>
      <c r="Y48">
        <v>3902.598365533383</v>
      </c>
      <c r="Z48">
        <v>4056.7983655333828</v>
      </c>
      <c r="AA48">
        <v>4210.9983655333826</v>
      </c>
      <c r="AB48">
        <v>4365.1983655333825</v>
      </c>
      <c r="AC48">
        <v>0.1</v>
      </c>
      <c r="AD48">
        <v>8.4621324023096536E-2</v>
      </c>
      <c r="AE48" s="1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373-ADEF-43F2-8FA0-A9306150F726}">
  <dimension ref="A1:AC49"/>
  <sheetViews>
    <sheetView topLeftCell="K1" workbookViewId="0">
      <selection activeCell="K17" sqref="K17"/>
    </sheetView>
  </sheetViews>
  <sheetFormatPr defaultRowHeight="14.5" x14ac:dyDescent="0.35"/>
  <sheetData>
    <row r="1" spans="1:29" x14ac:dyDescent="0.35">
      <c r="A1" t="s">
        <v>0</v>
      </c>
      <c r="B1" t="s">
        <v>146</v>
      </c>
      <c r="C1" t="s">
        <v>147</v>
      </c>
      <c r="D1">
        <v>2013</v>
      </c>
      <c r="E1">
        <v>2018</v>
      </c>
      <c r="F1" t="s">
        <v>69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  <c r="AA1" t="s">
        <v>166</v>
      </c>
      <c r="AB1" t="s">
        <v>167</v>
      </c>
      <c r="AC1" t="s">
        <v>168</v>
      </c>
    </row>
    <row r="2" spans="1:29" x14ac:dyDescent="0.35">
      <c r="A2" t="s">
        <v>1</v>
      </c>
      <c r="B2" t="s">
        <v>109</v>
      </c>
      <c r="C2" t="s">
        <v>172</v>
      </c>
      <c r="D2">
        <v>0</v>
      </c>
      <c r="E2">
        <v>57705</v>
      </c>
      <c r="F2">
        <v>104776</v>
      </c>
      <c r="G2">
        <v>9.3988761057240605E-2</v>
      </c>
      <c r="H2">
        <v>0.30100512311428623</v>
      </c>
      <c r="I2">
        <v>0.16025243303610998</v>
      </c>
      <c r="J2">
        <v>0.35528531669355268</v>
      </c>
      <c r="K2">
        <v>8.4114800304905077E-2</v>
      </c>
      <c r="L2">
        <v>5.3535657939054442E-3</v>
      </c>
      <c r="M2">
        <v>5423.6214568080695</v>
      </c>
      <c r="N2">
        <v>17369.500629309889</v>
      </c>
      <c r="O2">
        <v>9247.3666483487268</v>
      </c>
      <c r="P2">
        <v>20501.739199801457</v>
      </c>
      <c r="Q2">
        <v>4853.8445515945477</v>
      </c>
      <c r="R2">
        <v>308.92751413731366</v>
      </c>
      <c r="S2">
        <v>0</v>
      </c>
      <c r="T2">
        <v>8.1100000000000005E-2</v>
      </c>
      <c r="U2">
        <v>4679.8755000000001</v>
      </c>
      <c r="V2">
        <v>107436.98764037776</v>
      </c>
      <c r="W2">
        <v>109755.19641430466</v>
      </c>
      <c r="X2">
        <v>112053.90562142317</v>
      </c>
      <c r="Y2">
        <v>114333.27928195009</v>
      </c>
      <c r="Z2">
        <v>116593.48003644946</v>
      </c>
      <c r="AA2">
        <v>118834.66915743746</v>
      </c>
      <c r="AB2">
        <v>121057.00656088971</v>
      </c>
      <c r="AC2">
        <v>123260.65081765183</v>
      </c>
    </row>
    <row r="3" spans="1:29" x14ac:dyDescent="0.35">
      <c r="A3" t="s">
        <v>2</v>
      </c>
      <c r="B3" t="s">
        <v>110</v>
      </c>
      <c r="C3" t="s">
        <v>172</v>
      </c>
      <c r="D3">
        <v>0</v>
      </c>
      <c r="E3">
        <v>46082</v>
      </c>
      <c r="F3">
        <v>66717.353814379763</v>
      </c>
      <c r="G3">
        <v>3.1079803713894617E-2</v>
      </c>
      <c r="H3">
        <v>0.33653962637948021</v>
      </c>
      <c r="I3">
        <v>0.34941395631522804</v>
      </c>
      <c r="J3">
        <v>0.20169962632044125</v>
      </c>
      <c r="K3">
        <v>7.3507084647192453E-2</v>
      </c>
      <c r="L3">
        <v>7.7599026237634297E-3</v>
      </c>
      <c r="M3">
        <v>2073.5622608613812</v>
      </c>
      <c r="N3">
        <v>22453.033325718956</v>
      </c>
      <c r="O3">
        <v>23311.974551165302</v>
      </c>
      <c r="P3">
        <v>13456.865333449065</v>
      </c>
      <c r="Q3">
        <v>4904.1981742703019</v>
      </c>
      <c r="R3">
        <v>517.72016891475857</v>
      </c>
      <c r="S3">
        <v>2950</v>
      </c>
      <c r="T3">
        <v>4.421638196573946E-2</v>
      </c>
      <c r="U3">
        <v>2950</v>
      </c>
      <c r="V3">
        <v>68260.683645465004</v>
      </c>
      <c r="W3">
        <v>69819.969260384765</v>
      </c>
      <c r="X3">
        <v>71367.793021336023</v>
      </c>
      <c r="Y3">
        <v>72904.239181065757</v>
      </c>
      <c r="Z3">
        <v>74429.391373003586</v>
      </c>
      <c r="AA3">
        <v>75943.332615814157</v>
      </c>
      <c r="AB3">
        <v>77446.145317916104</v>
      </c>
      <c r="AC3">
        <v>78937.911281967827</v>
      </c>
    </row>
    <row r="4" spans="1:29" x14ac:dyDescent="0.35">
      <c r="A4" t="s">
        <v>3</v>
      </c>
      <c r="B4" t="s">
        <v>111</v>
      </c>
      <c r="C4" t="s">
        <v>172</v>
      </c>
      <c r="D4">
        <v>4880</v>
      </c>
      <c r="E4">
        <v>3410</v>
      </c>
      <c r="F4">
        <v>5893</v>
      </c>
      <c r="G4">
        <v>3.7563822027716992E-2</v>
      </c>
      <c r="H4">
        <v>0.15973741794310722</v>
      </c>
      <c r="I4">
        <v>0.44164843180160468</v>
      </c>
      <c r="J4">
        <v>0.30069292487235594</v>
      </c>
      <c r="K4">
        <v>5.2698760029175784E-2</v>
      </c>
      <c r="L4">
        <v>7.658643326039387E-3</v>
      </c>
      <c r="M4">
        <v>2506.1588048435869</v>
      </c>
      <c r="N4">
        <v>10657.25783030574</v>
      </c>
      <c r="O4">
        <v>29465.61468607363</v>
      </c>
      <c r="P4">
        <v>20061.436258189686</v>
      </c>
      <c r="Q4">
        <v>3515.9218184456149</v>
      </c>
      <c r="R4">
        <v>510.96441652150804</v>
      </c>
      <c r="S4">
        <v>257</v>
      </c>
      <c r="T4">
        <v>4.3611063974206686E-2</v>
      </c>
      <c r="U4">
        <v>257</v>
      </c>
      <c r="V4">
        <v>6027.4676148796498</v>
      </c>
      <c r="W4">
        <v>6175.3036079376316</v>
      </c>
      <c r="X4">
        <v>6322.3605236434296</v>
      </c>
      <c r="Y4">
        <v>6468.6424676380866</v>
      </c>
      <c r="Z4">
        <v>6614.1535239264267</v>
      </c>
      <c r="AA4">
        <v>6758.8977549910733</v>
      </c>
      <c r="AB4">
        <v>6902.8792019058719</v>
      </c>
      <c r="AC4">
        <v>7046.1018844487089</v>
      </c>
    </row>
    <row r="5" spans="1:29" x14ac:dyDescent="0.35">
      <c r="A5" t="s">
        <v>4</v>
      </c>
      <c r="B5" t="s">
        <v>112</v>
      </c>
      <c r="C5" t="s">
        <v>173</v>
      </c>
      <c r="D5">
        <v>5816</v>
      </c>
      <c r="E5">
        <v>7645</v>
      </c>
      <c r="F5">
        <v>8028</v>
      </c>
      <c r="G5">
        <v>2.8276033881415048E-2</v>
      </c>
      <c r="H5">
        <v>0.36858495266567015</v>
      </c>
      <c r="I5">
        <v>0.33096661684105633</v>
      </c>
      <c r="J5">
        <v>0.18709516691579473</v>
      </c>
      <c r="K5">
        <v>8.0468360737419031E-2</v>
      </c>
      <c r="L5">
        <v>4.6088689586447438E-3</v>
      </c>
      <c r="M5">
        <v>1886.5021569337578</v>
      </c>
      <c r="N5">
        <v>24591.012697651931</v>
      </c>
      <c r="O5">
        <v>22081.216876533013</v>
      </c>
      <c r="P5">
        <v>12482.494448081516</v>
      </c>
      <c r="Q5">
        <v>5368.6360941815301</v>
      </c>
      <c r="R5">
        <v>307.49154099801336</v>
      </c>
      <c r="S5">
        <v>490</v>
      </c>
      <c r="T5">
        <v>6.103637269556552E-2</v>
      </c>
      <c r="U5">
        <v>490</v>
      </c>
      <c r="V5">
        <v>8319.9</v>
      </c>
      <c r="W5">
        <v>8581.8511285500736</v>
      </c>
      <c r="X5">
        <v>8841.6943793093742</v>
      </c>
      <c r="Y5">
        <v>9099.4467140249453</v>
      </c>
      <c r="Z5">
        <v>9355.1249579554369</v>
      </c>
      <c r="AA5">
        <v>9608.7458009693983</v>
      </c>
      <c r="AB5">
        <v>9860.3257986347417</v>
      </c>
      <c r="AC5">
        <v>10109.881373299439</v>
      </c>
    </row>
    <row r="6" spans="1:29" x14ac:dyDescent="0.35">
      <c r="A6" t="s">
        <v>5</v>
      </c>
      <c r="B6" t="s">
        <v>99</v>
      </c>
      <c r="C6" t="s">
        <v>174</v>
      </c>
      <c r="D6">
        <v>6196</v>
      </c>
      <c r="E6">
        <v>10325</v>
      </c>
      <c r="F6">
        <v>13961</v>
      </c>
      <c r="G6">
        <v>0.16765299086895941</v>
      </c>
      <c r="H6">
        <v>0.35339731243898659</v>
      </c>
      <c r="I6">
        <v>0.29951984150713429</v>
      </c>
      <c r="J6">
        <v>0.1336555241914486</v>
      </c>
      <c r="K6">
        <v>4.3048783589516915E-2</v>
      </c>
      <c r="L6">
        <v>2.7255474039542516E-3</v>
      </c>
      <c r="M6">
        <v>11185.363909843345</v>
      </c>
      <c r="N6">
        <v>23577.733531042777</v>
      </c>
      <c r="O6">
        <v>19983.171240258427</v>
      </c>
      <c r="P6">
        <v>8917.1428967272695</v>
      </c>
      <c r="Q6">
        <v>2872.1009260204651</v>
      </c>
      <c r="R6">
        <v>181.84131048748006</v>
      </c>
      <c r="S6">
        <v>1170</v>
      </c>
      <c r="T6">
        <v>8.3804885036888474E-2</v>
      </c>
      <c r="U6">
        <v>1170</v>
      </c>
      <c r="V6">
        <v>14738.298632693395</v>
      </c>
      <c r="W6">
        <v>15490.202049861748</v>
      </c>
      <c r="X6">
        <v>16238.86861428151</v>
      </c>
      <c r="Y6">
        <v>16984.312260210027</v>
      </c>
      <c r="Z6">
        <v>17726.546861919371</v>
      </c>
      <c r="AA6">
        <v>18465.586233954549</v>
      </c>
      <c r="AB6">
        <v>19201.444131390643</v>
      </c>
      <c r="AC6">
        <v>19934.134250088799</v>
      </c>
    </row>
    <row r="7" spans="1:29" x14ac:dyDescent="0.35">
      <c r="A7" t="s">
        <v>6</v>
      </c>
      <c r="B7" t="s">
        <v>113</v>
      </c>
      <c r="C7" t="s">
        <v>174</v>
      </c>
      <c r="D7">
        <v>6573</v>
      </c>
      <c r="E7">
        <v>9156</v>
      </c>
      <c r="F7">
        <v>9372</v>
      </c>
      <c r="G7">
        <v>2.261239691407289E-3</v>
      </c>
      <c r="H7">
        <v>0.32016493748337321</v>
      </c>
      <c r="I7">
        <v>0.4684756584197925</v>
      </c>
      <c r="J7">
        <v>0.16440542697525937</v>
      </c>
      <c r="K7">
        <v>3.8840117052407558E-2</v>
      </c>
      <c r="L7">
        <v>5.8526203777600422E-3</v>
      </c>
      <c r="M7">
        <v>150.86392855073902</v>
      </c>
      <c r="N7">
        <v>21360.55741303699</v>
      </c>
      <c r="O7">
        <v>31255.456256217814</v>
      </c>
      <c r="P7">
        <v>10968.695040512554</v>
      </c>
      <c r="Q7">
        <v>2591.3098315774</v>
      </c>
      <c r="R7">
        <v>390.47134448426567</v>
      </c>
      <c r="S7">
        <v>1467</v>
      </c>
      <c r="T7">
        <v>0.15653008962868117</v>
      </c>
      <c r="U7">
        <v>1467</v>
      </c>
      <c r="V7">
        <v>10343.399241819634</v>
      </c>
      <c r="W7">
        <v>11329.475358092428</v>
      </c>
      <c r="X7">
        <v>12311.721543187359</v>
      </c>
      <c r="Y7">
        <v>13290.152672601955</v>
      </c>
      <c r="Z7">
        <v>14264.783564057132</v>
      </c>
      <c r="AA7">
        <v>15235.628977721608</v>
      </c>
      <c r="AB7">
        <v>16202.703616435432</v>
      </c>
      <c r="AC7">
        <v>17166.02212593265</v>
      </c>
    </row>
    <row r="8" spans="1:29" x14ac:dyDescent="0.35">
      <c r="A8" t="s">
        <v>7</v>
      </c>
      <c r="B8" t="s">
        <v>116</v>
      </c>
      <c r="C8" t="s">
        <v>172</v>
      </c>
      <c r="D8">
        <v>18954</v>
      </c>
      <c r="E8">
        <v>9925</v>
      </c>
      <c r="F8">
        <v>16473</v>
      </c>
      <c r="G8">
        <v>1.7974253096915228E-2</v>
      </c>
      <c r="H8">
        <v>0.39561573961622543</v>
      </c>
      <c r="I8">
        <v>0.37776293417537044</v>
      </c>
      <c r="J8">
        <v>0.17585620597522467</v>
      </c>
      <c r="K8">
        <v>3.1637114403692011E-2</v>
      </c>
      <c r="L8">
        <v>1.1537527325722614E-3</v>
      </c>
      <c r="M8">
        <v>1199.1946034161044</v>
      </c>
      <c r="N8">
        <v>26394.435274513249</v>
      </c>
      <c r="O8">
        <v>25203.343337336442</v>
      </c>
      <c r="P8">
        <v>11732.660714503509</v>
      </c>
      <c r="Q8">
        <v>2110.7445553371304</v>
      </c>
      <c r="R8">
        <v>76.975329273331042</v>
      </c>
      <c r="S8">
        <v>2660</v>
      </c>
      <c r="T8">
        <v>0.16147635524798154</v>
      </c>
      <c r="U8">
        <v>2660</v>
      </c>
      <c r="V8">
        <v>17904.544231236338</v>
      </c>
      <c r="W8">
        <v>19298.449419817378</v>
      </c>
      <c r="X8">
        <v>20687.944694606515</v>
      </c>
      <c r="Y8">
        <v>22073.04400729846</v>
      </c>
      <c r="Z8">
        <v>23453.761265448797</v>
      </c>
      <c r="AA8">
        <v>24830.110332613607</v>
      </c>
      <c r="AB8">
        <v>26202.105028488688</v>
      </c>
      <c r="AC8">
        <v>27569.759129048303</v>
      </c>
    </row>
    <row r="9" spans="1:29" x14ac:dyDescent="0.35">
      <c r="A9" t="s">
        <v>70</v>
      </c>
      <c r="B9" t="s">
        <v>115</v>
      </c>
      <c r="C9" t="s">
        <v>172</v>
      </c>
      <c r="D9">
        <v>403</v>
      </c>
      <c r="E9">
        <v>768</v>
      </c>
      <c r="F9">
        <v>941</v>
      </c>
      <c r="G9">
        <v>0</v>
      </c>
      <c r="H9">
        <v>0.26886291179596172</v>
      </c>
      <c r="I9">
        <v>0.26461211477151964</v>
      </c>
      <c r="J9">
        <v>0.27842720510095642</v>
      </c>
      <c r="K9">
        <v>0.13602550478214664</v>
      </c>
      <c r="L9">
        <v>5.2072263549415514E-2</v>
      </c>
      <c r="M9">
        <v>0</v>
      </c>
      <c r="N9">
        <v>17937.822013855555</v>
      </c>
      <c r="O9">
        <v>17654.220084782741</v>
      </c>
      <c r="P9">
        <v>18575.926354269392</v>
      </c>
      <c r="Q9">
        <v>9075.2617303300849</v>
      </c>
      <c r="R9">
        <v>3474.1236311419852</v>
      </c>
      <c r="S9">
        <v>0</v>
      </c>
      <c r="T9">
        <v>8.1100000000000005E-2</v>
      </c>
      <c r="U9">
        <v>76.315100000000001</v>
      </c>
      <c r="V9">
        <v>931.72056999999995</v>
      </c>
      <c r="W9">
        <v>958.767363914984</v>
      </c>
      <c r="X9">
        <v>985.44625245046552</v>
      </c>
      <c r="Y9">
        <v>1011.7622400579405</v>
      </c>
      <c r="Z9">
        <v>1037.7202631156008</v>
      </c>
      <c r="AA9">
        <v>1063.3251908543045</v>
      </c>
      <c r="AB9">
        <v>1088.5818262709515</v>
      </c>
      <c r="AC9">
        <v>1113.4949070294338</v>
      </c>
    </row>
    <row r="10" spans="1:29" x14ac:dyDescent="0.35">
      <c r="A10" t="s">
        <v>8</v>
      </c>
      <c r="B10" t="s">
        <v>100</v>
      </c>
      <c r="C10" t="s">
        <v>174</v>
      </c>
      <c r="D10">
        <v>322</v>
      </c>
      <c r="E10">
        <v>1195</v>
      </c>
      <c r="F10">
        <v>648.48014888337468</v>
      </c>
      <c r="G10">
        <v>0.16765299086895941</v>
      </c>
      <c r="H10">
        <v>0.35339731243898659</v>
      </c>
      <c r="I10">
        <v>0.29951984150713429</v>
      </c>
      <c r="J10">
        <v>0.1336555241914486</v>
      </c>
      <c r="K10">
        <v>4.3048783589516915E-2</v>
      </c>
      <c r="L10">
        <v>2.7255474039542516E-3</v>
      </c>
      <c r="M10">
        <v>11185.363909843345</v>
      </c>
      <c r="N10">
        <v>23577.733531042777</v>
      </c>
      <c r="O10">
        <v>19983.171240258427</v>
      </c>
      <c r="P10">
        <v>8917.1428967272695</v>
      </c>
      <c r="Q10">
        <v>2872.1009260204651</v>
      </c>
      <c r="R10">
        <v>181.84131048748006</v>
      </c>
      <c r="S10">
        <v>0</v>
      </c>
      <c r="T10">
        <v>0.16200000000000001</v>
      </c>
      <c r="U10">
        <v>105.05378411910671</v>
      </c>
      <c r="V10">
        <v>720.20033438044447</v>
      </c>
      <c r="W10">
        <v>790.58760843023504</v>
      </c>
      <c r="X10">
        <v>860.67187382722307</v>
      </c>
      <c r="Y10">
        <v>930.45443498680061</v>
      </c>
      <c r="Z10">
        <v>999.93659070901003</v>
      </c>
      <c r="AA10">
        <v>1069.1196342027176</v>
      </c>
      <c r="AB10">
        <v>1138.0048531096827</v>
      </c>
      <c r="AC10">
        <v>1206.5935295285235</v>
      </c>
    </row>
    <row r="11" spans="1:29" x14ac:dyDescent="0.35">
      <c r="A11" t="s">
        <v>9</v>
      </c>
      <c r="B11" t="s">
        <v>117</v>
      </c>
      <c r="C11" t="s">
        <v>174</v>
      </c>
      <c r="D11">
        <v>3606</v>
      </c>
      <c r="E11">
        <v>4799</v>
      </c>
      <c r="F11">
        <v>3387.151734852408</v>
      </c>
      <c r="G11">
        <v>3.653103653103653E-2</v>
      </c>
      <c r="H11">
        <v>0.44371844371844371</v>
      </c>
      <c r="I11">
        <v>0.31006831006831009</v>
      </c>
      <c r="J11">
        <v>0.14582714582714582</v>
      </c>
      <c r="K11">
        <v>6.3855063855063857E-2</v>
      </c>
      <c r="L11">
        <v>0</v>
      </c>
      <c r="M11">
        <v>2437.2540894471963</v>
      </c>
      <c r="N11">
        <v>29603.720403529362</v>
      </c>
      <c r="O11">
        <v>20686.937149454254</v>
      </c>
      <c r="P11">
        <v>9729.2012838908413</v>
      </c>
      <c r="Q11">
        <v>4260.2408880581079</v>
      </c>
      <c r="R11">
        <v>0</v>
      </c>
      <c r="S11">
        <v>2920</v>
      </c>
      <c r="T11">
        <v>0.8620812495508815</v>
      </c>
      <c r="U11">
        <v>2920</v>
      </c>
      <c r="V11">
        <v>5427.8017348524072</v>
      </c>
      <c r="W11">
        <v>7433.7924722152438</v>
      </c>
      <c r="X11">
        <v>9426.9739429153833</v>
      </c>
      <c r="Y11">
        <v>11407.427940606894</v>
      </c>
      <c r="Z11">
        <v>13375.235736649945</v>
      </c>
      <c r="AA11">
        <v>15330.478083445914</v>
      </c>
      <c r="AB11">
        <v>17273.235217751204</v>
      </c>
      <c r="AC11">
        <v>19203.5868639699</v>
      </c>
    </row>
    <row r="12" spans="1:29" x14ac:dyDescent="0.35">
      <c r="A12" t="s">
        <v>10</v>
      </c>
      <c r="B12" t="s">
        <v>144</v>
      </c>
      <c r="C12" t="s">
        <v>172</v>
      </c>
      <c r="D12">
        <v>0</v>
      </c>
      <c r="E12">
        <v>747</v>
      </c>
      <c r="F12">
        <v>784.97097407084357</v>
      </c>
      <c r="G12">
        <v>3.1079803713894617E-2</v>
      </c>
      <c r="H12">
        <v>0.33653962637948021</v>
      </c>
      <c r="I12">
        <v>0.34941395631522804</v>
      </c>
      <c r="J12">
        <v>0.20169962632044125</v>
      </c>
      <c r="K12">
        <v>7.3507084647192453E-2</v>
      </c>
      <c r="L12">
        <v>7.7599026237634297E-3</v>
      </c>
      <c r="M12">
        <v>2073.5622608613812</v>
      </c>
      <c r="N12">
        <v>22453.033325718956</v>
      </c>
      <c r="O12">
        <v>23311.974551165302</v>
      </c>
      <c r="P12">
        <v>13456.865333449065</v>
      </c>
      <c r="Q12">
        <v>4904.1981742703019</v>
      </c>
      <c r="R12">
        <v>517.72016891475857</v>
      </c>
      <c r="S12">
        <v>40</v>
      </c>
      <c r="T12">
        <v>5.0957298194811984E-2</v>
      </c>
      <c r="U12">
        <v>40</v>
      </c>
      <c r="V12">
        <v>806.87967574957304</v>
      </c>
      <c r="W12">
        <v>828.94853848703076</v>
      </c>
      <c r="X12">
        <v>850.85517944835749</v>
      </c>
      <c r="Y12">
        <v>872.6007910785363</v>
      </c>
      <c r="Z12">
        <v>894.18655705723461</v>
      </c>
      <c r="AA12">
        <v>915.61365236323593</v>
      </c>
      <c r="AB12">
        <v>936.88324333839705</v>
      </c>
      <c r="AC12">
        <v>957.99648775113587</v>
      </c>
    </row>
    <row r="13" spans="1:29" x14ac:dyDescent="0.35">
      <c r="A13" t="s">
        <v>11</v>
      </c>
      <c r="B13" t="s">
        <v>137</v>
      </c>
      <c r="C13" t="s">
        <v>172</v>
      </c>
      <c r="D13">
        <v>3289</v>
      </c>
      <c r="E13">
        <v>5081</v>
      </c>
      <c r="F13">
        <v>5573</v>
      </c>
      <c r="G13">
        <v>1.3457742687959805E-2</v>
      </c>
      <c r="H13">
        <v>0.12739996411268617</v>
      </c>
      <c r="I13">
        <v>0.46438184101919971</v>
      </c>
      <c r="J13">
        <v>0.27310245828099766</v>
      </c>
      <c r="K13">
        <v>0.12111968419163825</v>
      </c>
      <c r="L13">
        <v>5.3830970751839223E-4</v>
      </c>
      <c r="M13">
        <v>897.86498045549649</v>
      </c>
      <c r="N13">
        <v>8499.7884816453679</v>
      </c>
      <c r="O13">
        <v>30982.327592251</v>
      </c>
      <c r="P13">
        <v>18220.67333671021</v>
      </c>
      <c r="Q13">
        <v>8080.784824099469</v>
      </c>
      <c r="R13">
        <v>35.914599218219863</v>
      </c>
      <c r="S13">
        <v>60</v>
      </c>
      <c r="T13">
        <v>1.0766194150367845E-2</v>
      </c>
      <c r="U13">
        <v>60</v>
      </c>
      <c r="V13">
        <v>5597.6</v>
      </c>
      <c r="W13">
        <v>5557.4020455768896</v>
      </c>
      <c r="X13">
        <v>5517.6909675082661</v>
      </c>
      <c r="Y13">
        <v>5478.4608687631007</v>
      </c>
      <c r="Z13">
        <v>5439.7059237350177</v>
      </c>
      <c r="AA13">
        <v>5401.4203773772015</v>
      </c>
      <c r="AB13">
        <v>5363.5985443477812</v>
      </c>
      <c r="AC13">
        <v>5326.2348081655682</v>
      </c>
    </row>
    <row r="14" spans="1:29" x14ac:dyDescent="0.35">
      <c r="A14" t="s">
        <v>12</v>
      </c>
      <c r="B14" t="s">
        <v>114</v>
      </c>
      <c r="C14" t="s">
        <v>172</v>
      </c>
      <c r="D14">
        <v>8780</v>
      </c>
      <c r="E14">
        <v>15163</v>
      </c>
      <c r="F14">
        <v>19225.233489577877</v>
      </c>
      <c r="G14">
        <v>2.3366045797449764E-3</v>
      </c>
      <c r="H14">
        <v>0.25175245343480873</v>
      </c>
      <c r="I14">
        <v>0.45316776820882571</v>
      </c>
      <c r="J14">
        <v>0.20134855464316709</v>
      </c>
      <c r="K14">
        <v>9.1194338740903935E-2</v>
      </c>
      <c r="L14">
        <v>2.002803925495694E-4</v>
      </c>
      <c r="M14">
        <v>155.89207447114572</v>
      </c>
      <c r="N14">
        <v>16796.2575094483</v>
      </c>
      <c r="O14">
        <v>30234.154328861063</v>
      </c>
      <c r="P14">
        <v>13433.442760142156</v>
      </c>
      <c r="Q14">
        <v>6084.2449636452875</v>
      </c>
      <c r="R14">
        <v>13.36217781181249</v>
      </c>
      <c r="S14">
        <v>1007</v>
      </c>
      <c r="T14">
        <v>5.2379077764954124E-2</v>
      </c>
      <c r="U14">
        <v>1007</v>
      </c>
      <c r="V14">
        <v>19907.283052267729</v>
      </c>
      <c r="W14">
        <v>20411.639900859773</v>
      </c>
      <c r="X14">
        <v>20911.397300522138</v>
      </c>
      <c r="Y14">
        <v>21406.597195625196</v>
      </c>
      <c r="Z14">
        <v>21897.281148030404</v>
      </c>
      <c r="AA14">
        <v>22383.490340578577</v>
      </c>
      <c r="AB14">
        <v>22865.265580546329</v>
      </c>
      <c r="AC14">
        <v>23342.647303071022</v>
      </c>
    </row>
    <row r="15" spans="1:29" x14ac:dyDescent="0.35">
      <c r="A15" t="s">
        <v>13</v>
      </c>
      <c r="B15" t="s">
        <v>102</v>
      </c>
      <c r="C15" t="s">
        <v>174</v>
      </c>
      <c r="D15">
        <v>59813</v>
      </c>
      <c r="E15">
        <v>103785</v>
      </c>
      <c r="F15">
        <v>115316</v>
      </c>
      <c r="G15">
        <v>0.16765299086895941</v>
      </c>
      <c r="H15">
        <v>0.35339731243898659</v>
      </c>
      <c r="I15">
        <v>0.29951984150713429</v>
      </c>
      <c r="J15">
        <v>0.1336555241914486</v>
      </c>
      <c r="K15">
        <v>4.3048783589516915E-2</v>
      </c>
      <c r="L15">
        <v>2.7255474039542516E-3</v>
      </c>
      <c r="M15">
        <v>11185.363909843345</v>
      </c>
      <c r="N15">
        <v>23577.733531042777</v>
      </c>
      <c r="O15">
        <v>19983.171240258427</v>
      </c>
      <c r="P15">
        <v>8917.1428967272695</v>
      </c>
      <c r="Q15">
        <v>2872.1009260204651</v>
      </c>
      <c r="R15">
        <v>181.84131048748006</v>
      </c>
      <c r="S15">
        <v>24061</v>
      </c>
      <c r="T15">
        <v>0.20865274549932361</v>
      </c>
      <c r="U15">
        <v>24061</v>
      </c>
      <c r="V15">
        <v>131840.90077556562</v>
      </c>
      <c r="W15">
        <v>148112.54173499221</v>
      </c>
      <c r="X15">
        <v>164314.13525938793</v>
      </c>
      <c r="Y15">
        <v>180445.98289443995</v>
      </c>
      <c r="Z15">
        <v>196508.38488771793</v>
      </c>
      <c r="AA15">
        <v>212501.64019426226</v>
      </c>
      <c r="AB15">
        <v>228426.04648214826</v>
      </c>
      <c r="AC15">
        <v>244281.90013802639</v>
      </c>
    </row>
    <row r="16" spans="1:29" x14ac:dyDescent="0.35">
      <c r="A16" t="s">
        <v>14</v>
      </c>
      <c r="B16" t="s">
        <v>118</v>
      </c>
      <c r="C16" t="s">
        <v>173</v>
      </c>
      <c r="D16">
        <v>0</v>
      </c>
      <c r="E16">
        <v>355</v>
      </c>
      <c r="F16">
        <v>1375</v>
      </c>
      <c r="G16">
        <v>1.8679111475270328E-2</v>
      </c>
      <c r="H16">
        <v>0.24613491771786639</v>
      </c>
      <c r="I16">
        <v>0.31712615934178301</v>
      </c>
      <c r="J16">
        <v>0.24329284860264971</v>
      </c>
      <c r="K16">
        <v>0.13924057054727651</v>
      </c>
      <c r="L16">
        <v>3.5526392315154053E-2</v>
      </c>
      <c r="M16">
        <v>1246.2208892338517</v>
      </c>
      <c r="N16">
        <v>16421.470391456143</v>
      </c>
      <c r="O16">
        <v>21157.818176601111</v>
      </c>
      <c r="P16">
        <v>16231.85506073131</v>
      </c>
      <c r="Q16">
        <v>9289.7624105187533</v>
      </c>
      <c r="R16">
        <v>2370.2268858385951</v>
      </c>
      <c r="S16">
        <v>962</v>
      </c>
      <c r="T16">
        <v>0.69963636363636361</v>
      </c>
      <c r="U16">
        <v>962</v>
      </c>
      <c r="V16">
        <v>1999.051210566663</v>
      </c>
      <c r="W16">
        <v>2644.1163074554106</v>
      </c>
      <c r="X16">
        <v>3280.1994811310656</v>
      </c>
      <c r="Y16">
        <v>3907.4257964049089</v>
      </c>
      <c r="Z16">
        <v>4525.9185766786522</v>
      </c>
      <c r="AA16">
        <v>5135.7994281919264</v>
      </c>
      <c r="AB16">
        <v>5737.1882639321439</v>
      </c>
      <c r="AC16">
        <v>6330.2033272114386</v>
      </c>
    </row>
    <row r="17" spans="1:29" x14ac:dyDescent="0.35">
      <c r="A17" t="s">
        <v>15</v>
      </c>
      <c r="B17" t="s">
        <v>142</v>
      </c>
      <c r="C17" t="s">
        <v>174</v>
      </c>
      <c r="D17">
        <v>4262</v>
      </c>
      <c r="E17">
        <v>4971</v>
      </c>
      <c r="F17">
        <v>5007</v>
      </c>
      <c r="G17">
        <v>0.17155981625723987</v>
      </c>
      <c r="H17">
        <v>0.41601757539444778</v>
      </c>
      <c r="I17">
        <v>0.18773716796484921</v>
      </c>
      <c r="J17">
        <v>0.18294387857000199</v>
      </c>
      <c r="K17">
        <v>4.1741561813461156E-2</v>
      </c>
      <c r="L17">
        <v>0</v>
      </c>
      <c r="M17">
        <v>11446.016961564254</v>
      </c>
      <c r="N17">
        <v>27755.591770591782</v>
      </c>
      <c r="O17">
        <v>12525.327059220486</v>
      </c>
      <c r="P17">
        <v>12205.531474729751</v>
      </c>
      <c r="Q17">
        <v>2784.8865482734914</v>
      </c>
      <c r="R17">
        <v>0</v>
      </c>
      <c r="S17">
        <v>400</v>
      </c>
      <c r="T17">
        <v>7.9888156580786893E-2</v>
      </c>
      <c r="U17">
        <v>399.99999999999994</v>
      </c>
      <c r="V17">
        <v>5198.7</v>
      </c>
      <c r="W17">
        <v>5368.699814260036</v>
      </c>
      <c r="X17">
        <v>5537.9900227445505</v>
      </c>
      <c r="Y17">
        <v>5706.5735874588781</v>
      </c>
      <c r="Z17">
        <v>5874.4534580444797</v>
      </c>
      <c r="AA17">
        <v>6041.6325718305534</v>
      </c>
      <c r="AB17">
        <v>6208.1138538854248</v>
      </c>
      <c r="AC17">
        <v>6373.9002170677286</v>
      </c>
    </row>
    <row r="18" spans="1:29" x14ac:dyDescent="0.35">
      <c r="A18" t="s">
        <v>16</v>
      </c>
      <c r="B18" t="s">
        <v>107</v>
      </c>
      <c r="C18" t="s">
        <v>172</v>
      </c>
      <c r="D18">
        <v>3735</v>
      </c>
      <c r="E18">
        <v>4706</v>
      </c>
      <c r="F18">
        <v>5242</v>
      </c>
      <c r="G18">
        <v>2.8271112722000724E-2</v>
      </c>
      <c r="H18">
        <v>0.38963392533526642</v>
      </c>
      <c r="I18">
        <v>0.30518303733236679</v>
      </c>
      <c r="J18">
        <v>0.18412468285610728</v>
      </c>
      <c r="K18">
        <v>8.6625588981515039E-2</v>
      </c>
      <c r="L18">
        <v>6.1616527727437476E-3</v>
      </c>
      <c r="M18">
        <v>1886.1738301999353</v>
      </c>
      <c r="N18">
        <v>25995.344454678598</v>
      </c>
      <c r="O18">
        <v>20361.004679850583</v>
      </c>
      <c r="P18">
        <v>12284.311612071373</v>
      </c>
      <c r="Q18">
        <v>5779.4300694587764</v>
      </c>
      <c r="R18">
        <v>411.0891681204987</v>
      </c>
      <c r="S18">
        <v>160</v>
      </c>
      <c r="T18">
        <v>3.0522701259061428E-2</v>
      </c>
      <c r="U18">
        <v>160</v>
      </c>
      <c r="V18">
        <v>5315.6006161652767</v>
      </c>
      <c r="W18">
        <v>5375.4539127486942</v>
      </c>
      <c r="X18">
        <v>5434.7887266252092</v>
      </c>
      <c r="Y18">
        <v>5493.6095491818078</v>
      </c>
      <c r="Z18">
        <v>5551.9208328985724</v>
      </c>
      <c r="AA18">
        <v>5609.726991685714</v>
      </c>
      <c r="AB18">
        <v>5667.0324012176861</v>
      </c>
      <c r="AC18">
        <v>5723.8413992644046</v>
      </c>
    </row>
    <row r="19" spans="1:29" x14ac:dyDescent="0.35">
      <c r="A19" t="s">
        <v>17</v>
      </c>
      <c r="B19" t="s">
        <v>103</v>
      </c>
      <c r="C19" t="s">
        <v>174</v>
      </c>
      <c r="D19">
        <v>0</v>
      </c>
      <c r="E19">
        <v>61772</v>
      </c>
      <c r="F19">
        <v>131262</v>
      </c>
      <c r="G19">
        <v>0.16765299086895941</v>
      </c>
      <c r="H19">
        <v>0.35339731243898659</v>
      </c>
      <c r="I19">
        <v>0.29951984150713429</v>
      </c>
      <c r="J19">
        <v>0.1336555241914486</v>
      </c>
      <c r="K19">
        <v>4.3048783589516915E-2</v>
      </c>
      <c r="L19">
        <v>2.7255474039542516E-3</v>
      </c>
      <c r="M19">
        <v>11185.363909843345</v>
      </c>
      <c r="N19">
        <v>23577.733531042777</v>
      </c>
      <c r="O19">
        <v>19983.171240258427</v>
      </c>
      <c r="P19">
        <v>8917.1428967272695</v>
      </c>
      <c r="Q19">
        <v>2872.1009260204651</v>
      </c>
      <c r="R19">
        <v>181.84131048748006</v>
      </c>
      <c r="S19">
        <v>6298</v>
      </c>
      <c r="T19">
        <v>4.7980375127607382E-2</v>
      </c>
      <c r="U19">
        <v>6298</v>
      </c>
      <c r="V19">
        <v>134997.13919666214</v>
      </c>
      <c r="W19">
        <v>138508.89293361406</v>
      </c>
      <c r="X19">
        <v>142005.5289979018</v>
      </c>
      <c r="Y19">
        <v>145487.11246926725</v>
      </c>
      <c r="Z19">
        <v>148953.70814729194</v>
      </c>
      <c r="AA19">
        <v>152405.38055260305</v>
      </c>
      <c r="AB19">
        <v>155842.19392807435</v>
      </c>
      <c r="AC19">
        <v>159264.21224002182</v>
      </c>
    </row>
    <row r="20" spans="1:29" x14ac:dyDescent="0.35">
      <c r="A20" t="s">
        <v>18</v>
      </c>
      <c r="B20" t="s">
        <v>105</v>
      </c>
      <c r="C20" t="s">
        <v>173</v>
      </c>
      <c r="D20">
        <v>0</v>
      </c>
      <c r="E20">
        <v>6085</v>
      </c>
      <c r="F20">
        <v>4751.5998777719578</v>
      </c>
      <c r="G20">
        <v>0</v>
      </c>
      <c r="H20">
        <v>0.14379237783493104</v>
      </c>
      <c r="I20">
        <v>0.38812251578209023</v>
      </c>
      <c r="J20">
        <v>0.35819499649286884</v>
      </c>
      <c r="K20">
        <v>0.10989010989010989</v>
      </c>
      <c r="L20">
        <v>0</v>
      </c>
      <c r="M20">
        <v>0</v>
      </c>
      <c r="N20">
        <v>9593.4469478240717</v>
      </c>
      <c r="O20">
        <v>25894.507208760908</v>
      </c>
      <c r="P20">
        <v>23897.822315555248</v>
      </c>
      <c r="Q20">
        <v>7331.5773422395341</v>
      </c>
      <c r="R20">
        <v>0</v>
      </c>
      <c r="S20">
        <v>95</v>
      </c>
      <c r="T20">
        <v>1.9993265940680561E-2</v>
      </c>
      <c r="U20">
        <v>95</v>
      </c>
      <c r="V20">
        <v>4812.7998777719577</v>
      </c>
      <c r="W20">
        <v>4821.111967027211</v>
      </c>
      <c r="X20">
        <v>4829.3327146422962</v>
      </c>
      <c r="Y20">
        <v>4837.4631243715021</v>
      </c>
      <c r="Z20">
        <v>4845.5041889388485</v>
      </c>
      <c r="AA20">
        <v>4853.4568901593011</v>
      </c>
      <c r="AB20">
        <v>4861.3221990586499</v>
      </c>
      <c r="AC20">
        <v>4869.1010759920709</v>
      </c>
    </row>
    <row r="21" spans="1:29" x14ac:dyDescent="0.35">
      <c r="A21" t="s">
        <v>19</v>
      </c>
      <c r="B21" t="s">
        <v>119</v>
      </c>
      <c r="C21" t="s">
        <v>174</v>
      </c>
      <c r="D21">
        <v>2386</v>
      </c>
      <c r="E21">
        <v>1498</v>
      </c>
      <c r="F21">
        <v>1429.4036697247707</v>
      </c>
      <c r="G21">
        <v>0.16765299086895941</v>
      </c>
      <c r="H21">
        <v>0.35339731243898659</v>
      </c>
      <c r="I21">
        <v>0.29951984150713429</v>
      </c>
      <c r="J21">
        <v>0.1336555241914486</v>
      </c>
      <c r="K21">
        <v>4.3048783589516915E-2</v>
      </c>
      <c r="L21">
        <v>2.7255474039542516E-3</v>
      </c>
      <c r="M21">
        <v>11185.363909843345</v>
      </c>
      <c r="N21">
        <v>23577.733531042777</v>
      </c>
      <c r="O21">
        <v>19983.171240258427</v>
      </c>
      <c r="P21">
        <v>8917.1428967272695</v>
      </c>
      <c r="Q21">
        <v>2872.1009260204651</v>
      </c>
      <c r="R21">
        <v>181.84131048748006</v>
      </c>
      <c r="S21">
        <v>137</v>
      </c>
      <c r="T21">
        <v>9.5844164179583455E-2</v>
      </c>
      <c r="U21">
        <v>137</v>
      </c>
      <c r="V21">
        <v>1501.1577622635498</v>
      </c>
      <c r="W21">
        <v>1570.3454606994092</v>
      </c>
      <c r="X21">
        <v>1639.2353145095665</v>
      </c>
      <c r="Y21">
        <v>1707.8286058789049</v>
      </c>
      <c r="Z21">
        <v>1776.1266114726584</v>
      </c>
      <c r="AA21">
        <v>1844.1306024601718</v>
      </c>
      <c r="AB21">
        <v>1911.8418445385605</v>
      </c>
      <c r="AC21">
        <v>1979.2615979562684</v>
      </c>
    </row>
    <row r="22" spans="1:29" x14ac:dyDescent="0.35">
      <c r="A22" t="s">
        <v>20</v>
      </c>
      <c r="B22" t="s">
        <v>120</v>
      </c>
      <c r="C22" t="s">
        <v>172</v>
      </c>
      <c r="D22">
        <v>37404</v>
      </c>
      <c r="E22">
        <v>125024</v>
      </c>
      <c r="F22">
        <v>124204.27697797566</v>
      </c>
      <c r="G22">
        <v>3.9127948391239352E-4</v>
      </c>
      <c r="H22">
        <v>0.66800437430397397</v>
      </c>
      <c r="I22">
        <v>0.30801721629729212</v>
      </c>
      <c r="J22">
        <v>1.5661212163775546E-2</v>
      </c>
      <c r="K22">
        <v>7.925917751045921E-3</v>
      </c>
      <c r="L22">
        <v>0</v>
      </c>
      <c r="M22">
        <v>26.105131768491074</v>
      </c>
      <c r="N22">
        <v>44567.484189991606</v>
      </c>
      <c r="O22">
        <v>20550.09360062678</v>
      </c>
      <c r="P22">
        <v>1044.8746330926813</v>
      </c>
      <c r="Q22">
        <v>528.79625890020384</v>
      </c>
      <c r="R22">
        <v>0</v>
      </c>
      <c r="S22">
        <v>21271</v>
      </c>
      <c r="T22">
        <v>0.17125819269308937</v>
      </c>
      <c r="U22">
        <v>21271</v>
      </c>
      <c r="V22">
        <v>138466.27697797565</v>
      </c>
      <c r="W22">
        <v>152618.52974571355</v>
      </c>
      <c r="X22">
        <v>166759.56555430853</v>
      </c>
      <c r="Y22">
        <v>180889.39329423016</v>
      </c>
      <c r="Z22">
        <v>195008.0218489015</v>
      </c>
      <c r="AA22">
        <v>209115.46009470464</v>
      </c>
      <c r="AB22">
        <v>223211.71690098636</v>
      </c>
      <c r="AC22">
        <v>237296.80113006366</v>
      </c>
    </row>
    <row r="23" spans="1:29" x14ac:dyDescent="0.35">
      <c r="A23" t="s">
        <v>21</v>
      </c>
      <c r="B23" t="s">
        <v>121</v>
      </c>
      <c r="C23" t="s">
        <v>174</v>
      </c>
      <c r="D23">
        <v>5789</v>
      </c>
      <c r="E23">
        <v>7195</v>
      </c>
      <c r="F23">
        <v>5018.9871797472533</v>
      </c>
      <c r="G23">
        <v>0.16765299086895941</v>
      </c>
      <c r="H23">
        <v>0.35339731243898659</v>
      </c>
      <c r="I23">
        <v>0.29951984150713429</v>
      </c>
      <c r="J23">
        <v>0.1336555241914486</v>
      </c>
      <c r="K23">
        <v>4.3048783589516915E-2</v>
      </c>
      <c r="L23">
        <v>2.7255474039542516E-3</v>
      </c>
      <c r="M23">
        <v>11185.363909843345</v>
      </c>
      <c r="N23">
        <v>23577.733531042777</v>
      </c>
      <c r="O23">
        <v>19983.171240258427</v>
      </c>
      <c r="P23">
        <v>8917.1428967272695</v>
      </c>
      <c r="Q23">
        <v>2872.1009260204651</v>
      </c>
      <c r="R23">
        <v>181.84131048748006</v>
      </c>
      <c r="S23">
        <v>964</v>
      </c>
      <c r="T23">
        <v>0.19207062410718195</v>
      </c>
      <c r="U23">
        <v>964</v>
      </c>
      <c r="V23">
        <v>5663.8576922690136</v>
      </c>
      <c r="W23">
        <v>6298.025473861383</v>
      </c>
      <c r="X23">
        <v>6929.4632402948309</v>
      </c>
      <c r="Y23">
        <v>7558.182743952535</v>
      </c>
      <c r="Z23">
        <v>8184.1956866250912</v>
      </c>
      <c r="AA23">
        <v>8807.5137197283129</v>
      </c>
      <c r="AB23">
        <v>9428.148444520084</v>
      </c>
      <c r="AC23">
        <v>10046.111412316284</v>
      </c>
    </row>
    <row r="24" spans="1:29" x14ac:dyDescent="0.35">
      <c r="A24" t="s">
        <v>22</v>
      </c>
      <c r="B24" t="s">
        <v>122</v>
      </c>
      <c r="C24" t="s">
        <v>174</v>
      </c>
      <c r="D24">
        <v>727</v>
      </c>
      <c r="E24">
        <v>1264</v>
      </c>
      <c r="F24">
        <v>1879</v>
      </c>
      <c r="G24">
        <v>0</v>
      </c>
      <c r="H24">
        <v>0.35071846726982436</v>
      </c>
      <c r="I24">
        <v>0.45928685470995212</v>
      </c>
      <c r="J24">
        <v>0.11122937732836616</v>
      </c>
      <c r="K24">
        <v>7.1314529004789781E-2</v>
      </c>
      <c r="L24">
        <v>7.4507716870675887E-3</v>
      </c>
      <c r="M24">
        <v>0</v>
      </c>
      <c r="N24">
        <v>23399.008070077842</v>
      </c>
      <c r="O24">
        <v>30642.403587977507</v>
      </c>
      <c r="P24">
        <v>7420.9297217697558</v>
      </c>
      <c r="Q24">
        <v>4757.916663718408</v>
      </c>
      <c r="R24">
        <v>497.09577083625152</v>
      </c>
      <c r="S24">
        <v>0</v>
      </c>
      <c r="T24">
        <v>0.16200000000000001</v>
      </c>
      <c r="U24">
        <v>304.39800000000002</v>
      </c>
      <c r="V24">
        <v>2075.4785999999999</v>
      </c>
      <c r="W24">
        <v>2271.1560221181476</v>
      </c>
      <c r="X24">
        <v>2465.4379799167727</v>
      </c>
      <c r="Y24">
        <v>2658.3344250839441</v>
      </c>
      <c r="Z24">
        <v>2849.855238337736</v>
      </c>
      <c r="AA24">
        <v>3040.0102299323471</v>
      </c>
      <c r="AB24">
        <v>3228.8091401606102</v>
      </c>
      <c r="AC24">
        <v>3416.2616398529185</v>
      </c>
    </row>
    <row r="25" spans="1:29" x14ac:dyDescent="0.35">
      <c r="A25" t="s">
        <v>23</v>
      </c>
      <c r="B25" t="s">
        <v>123</v>
      </c>
      <c r="C25" t="s">
        <v>172</v>
      </c>
      <c r="D25">
        <v>40292</v>
      </c>
      <c r="E25">
        <v>59901</v>
      </c>
      <c r="F25">
        <v>109659</v>
      </c>
      <c r="G25">
        <v>1.0398757695080694E-2</v>
      </c>
      <c r="H25">
        <v>0.30655537685097889</v>
      </c>
      <c r="I25">
        <v>0.33922134102379237</v>
      </c>
      <c r="J25">
        <v>0.24025289778714437</v>
      </c>
      <c r="K25">
        <v>0.10199101547335145</v>
      </c>
      <c r="L25">
        <v>1.5806111696522655E-3</v>
      </c>
      <c r="M25">
        <v>693.77759637270287</v>
      </c>
      <c r="N25">
        <v>20452.563541067284</v>
      </c>
      <c r="O25">
        <v>22631.950230472732</v>
      </c>
      <c r="P25">
        <v>16029.037586594928</v>
      </c>
      <c r="Q25">
        <v>6804.5706652234694</v>
      </c>
      <c r="R25">
        <v>105.45419464865084</v>
      </c>
      <c r="S25">
        <v>1070</v>
      </c>
      <c r="T25">
        <v>9.7575210425044911E-3</v>
      </c>
      <c r="U25">
        <v>1070</v>
      </c>
      <c r="V25">
        <v>109501.27175974711</v>
      </c>
      <c r="W25">
        <v>108400.05716950711</v>
      </c>
      <c r="X25">
        <v>107310.07397869838</v>
      </c>
      <c r="Y25">
        <v>106231.20763713759</v>
      </c>
      <c r="Z25">
        <v>105163.34476295038</v>
      </c>
      <c r="AA25">
        <v>104106.37313065563</v>
      </c>
      <c r="AB25">
        <v>103060.18165937132</v>
      </c>
      <c r="AC25">
        <v>102024.66040114059</v>
      </c>
    </row>
    <row r="26" spans="1:29" x14ac:dyDescent="0.35">
      <c r="A26" t="s">
        <v>24</v>
      </c>
      <c r="B26" t="s">
        <v>108</v>
      </c>
      <c r="C26" t="s">
        <v>172</v>
      </c>
      <c r="D26">
        <v>0</v>
      </c>
      <c r="E26">
        <v>6866</v>
      </c>
      <c r="F26">
        <v>1235.4801331049025</v>
      </c>
      <c r="G26">
        <v>3.1079803713894617E-2</v>
      </c>
      <c r="H26">
        <v>0.33653962637948021</v>
      </c>
      <c r="I26">
        <v>0.34941395631522804</v>
      </c>
      <c r="J26">
        <v>0.20169962632044125</v>
      </c>
      <c r="K26">
        <v>7.3507084647192453E-2</v>
      </c>
      <c r="L26">
        <v>7.7599026237634297E-3</v>
      </c>
      <c r="M26">
        <v>2073.5622608613812</v>
      </c>
      <c r="N26">
        <v>22453.033325718956</v>
      </c>
      <c r="O26">
        <v>23311.974551165302</v>
      </c>
      <c r="P26">
        <v>13456.865333449065</v>
      </c>
      <c r="Q26">
        <v>4904.1981742703019</v>
      </c>
      <c r="R26">
        <v>517.72016891475857</v>
      </c>
      <c r="S26">
        <v>376</v>
      </c>
      <c r="T26">
        <v>0.30433512439821198</v>
      </c>
      <c r="U26">
        <v>376</v>
      </c>
      <c r="V26">
        <v>1484.5429275784143</v>
      </c>
      <c r="W26">
        <v>1732.2804853144246</v>
      </c>
      <c r="X26">
        <v>1978.196996487756</v>
      </c>
      <c r="Y26">
        <v>2222.305847080791</v>
      </c>
      <c r="Z26">
        <v>2464.6203246794589</v>
      </c>
      <c r="AA26">
        <v>2705.1536191965183</v>
      </c>
      <c r="AB26">
        <v>2943.9188235895244</v>
      </c>
      <c r="AC26">
        <v>3180.9289345735183</v>
      </c>
    </row>
    <row r="27" spans="1:29" x14ac:dyDescent="0.35">
      <c r="A27" t="s">
        <v>25</v>
      </c>
      <c r="B27" t="s">
        <v>124</v>
      </c>
      <c r="C27" t="s">
        <v>174</v>
      </c>
      <c r="D27">
        <v>0</v>
      </c>
      <c r="E27">
        <v>8488</v>
      </c>
      <c r="F27">
        <v>4423.7952883834278</v>
      </c>
      <c r="G27">
        <v>0.16765299086895941</v>
      </c>
      <c r="H27">
        <v>0.35339731243898659</v>
      </c>
      <c r="I27">
        <v>0.29951984150713429</v>
      </c>
      <c r="J27">
        <v>0.1336555241914486</v>
      </c>
      <c r="K27">
        <v>4.3048783589516915E-2</v>
      </c>
      <c r="L27">
        <v>2.7255474039542516E-3</v>
      </c>
      <c r="M27">
        <v>11185.363909843345</v>
      </c>
      <c r="N27">
        <v>23577.733531042777</v>
      </c>
      <c r="O27">
        <v>19983.171240258427</v>
      </c>
      <c r="P27">
        <v>8917.1428967272695</v>
      </c>
      <c r="Q27">
        <v>2872.1009260204651</v>
      </c>
      <c r="R27">
        <v>181.84131048748006</v>
      </c>
      <c r="S27">
        <v>63</v>
      </c>
      <c r="T27">
        <v>1.4241165310120367E-2</v>
      </c>
      <c r="U27">
        <v>62.999999999999993</v>
      </c>
      <c r="V27">
        <v>4171.1380246195495</v>
      </c>
      <c r="W27">
        <v>3912.5817828051649</v>
      </c>
      <c r="X27">
        <v>3655.1385941607386</v>
      </c>
      <c r="Y27">
        <v>3398.8036671277673</v>
      </c>
      <c r="Z27">
        <v>3143.5722307748238</v>
      </c>
      <c r="AA27">
        <v>2889.4395347087598</v>
      </c>
      <c r="AB27">
        <v>2636.4008489862927</v>
      </c>
      <c r="AC27">
        <v>2384.4514640259699</v>
      </c>
    </row>
    <row r="28" spans="1:29" x14ac:dyDescent="0.35">
      <c r="A28" t="s">
        <v>26</v>
      </c>
      <c r="B28" t="s">
        <v>125</v>
      </c>
      <c r="C28" t="s">
        <v>174</v>
      </c>
      <c r="D28">
        <v>3438</v>
      </c>
      <c r="E28">
        <v>4560</v>
      </c>
      <c r="F28">
        <v>4560</v>
      </c>
      <c r="G28">
        <v>0.16765299086895941</v>
      </c>
      <c r="H28">
        <v>0.35339731243898659</v>
      </c>
      <c r="I28">
        <v>0.29951984150713429</v>
      </c>
      <c r="J28">
        <v>0.1336555241914486</v>
      </c>
      <c r="K28">
        <v>4.3048783589516915E-2</v>
      </c>
      <c r="L28">
        <v>2.7255474039542516E-3</v>
      </c>
      <c r="M28">
        <v>11185.363909843345</v>
      </c>
      <c r="N28">
        <v>23577.733531042777</v>
      </c>
      <c r="O28">
        <v>19983.171240258427</v>
      </c>
      <c r="P28">
        <v>8917.1428967272695</v>
      </c>
      <c r="Q28">
        <v>2872.1009260204651</v>
      </c>
      <c r="R28">
        <v>181.84131048748006</v>
      </c>
      <c r="S28">
        <v>2540</v>
      </c>
      <c r="T28">
        <v>0.55701754385964908</v>
      </c>
      <c r="U28">
        <v>2540</v>
      </c>
      <c r="V28">
        <v>6325.4215038379689</v>
      </c>
      <c r="W28">
        <v>8076.0413336948495</v>
      </c>
      <c r="X28">
        <v>9819.1249581314278</v>
      </c>
      <c r="Y28">
        <v>11554.704819595327</v>
      </c>
      <c r="Z28">
        <v>13282.813220873377</v>
      </c>
      <c r="AA28">
        <v>15003.482325692843</v>
      </c>
      <c r="AB28">
        <v>16716.744159320053</v>
      </c>
      <c r="AC28">
        <v>18422.630609156462</v>
      </c>
    </row>
    <row r="29" spans="1:29" x14ac:dyDescent="0.35">
      <c r="A29" t="s">
        <v>27</v>
      </c>
      <c r="B29" t="s">
        <v>126</v>
      </c>
      <c r="C29" t="s">
        <v>174</v>
      </c>
      <c r="D29">
        <v>3545</v>
      </c>
      <c r="E29">
        <v>7957</v>
      </c>
      <c r="F29">
        <v>9592</v>
      </c>
      <c r="G29">
        <v>3.2318598832360303E-2</v>
      </c>
      <c r="H29">
        <v>0.493744787322769</v>
      </c>
      <c r="I29">
        <v>0.28377814845704752</v>
      </c>
      <c r="J29">
        <v>0.16816096747289408</v>
      </c>
      <c r="K29">
        <v>2.1997497914929106E-2</v>
      </c>
      <c r="L29">
        <v>0</v>
      </c>
      <c r="M29">
        <v>2156.2113930835831</v>
      </c>
      <c r="N29">
        <v>32941.345669818867</v>
      </c>
      <c r="O29">
        <v>18932.927135398426</v>
      </c>
      <c r="P29">
        <v>11219.25476465748</v>
      </c>
      <c r="Q29">
        <v>1467.6148514214062</v>
      </c>
      <c r="R29">
        <v>0</v>
      </c>
      <c r="S29">
        <v>386</v>
      </c>
      <c r="T29">
        <v>4.0241868223519599E-2</v>
      </c>
      <c r="U29">
        <v>386</v>
      </c>
      <c r="V29">
        <v>9852.2000000000007</v>
      </c>
      <c r="W29">
        <v>10090.727625104255</v>
      </c>
      <c r="X29">
        <v>10328.73054911492</v>
      </c>
      <c r="Y29">
        <v>10566.209926243118</v>
      </c>
      <c r="Z29">
        <v>10803.166908160994</v>
      </c>
      <c r="AA29">
        <v>11039.602644007304</v>
      </c>
      <c r="AB29">
        <v>11275.518280392984</v>
      </c>
      <c r="AC29">
        <v>11510.914961406716</v>
      </c>
    </row>
    <row r="30" spans="1:29" x14ac:dyDescent="0.35">
      <c r="A30" t="s">
        <v>28</v>
      </c>
      <c r="B30" t="s">
        <v>127</v>
      </c>
      <c r="C30" t="s">
        <v>174</v>
      </c>
      <c r="D30">
        <v>4257</v>
      </c>
      <c r="E30">
        <v>5225</v>
      </c>
      <c r="F30">
        <v>6327</v>
      </c>
      <c r="G30">
        <v>0.16765299086895941</v>
      </c>
      <c r="H30">
        <v>0.35339731243898659</v>
      </c>
      <c r="I30">
        <v>0.29951984150713429</v>
      </c>
      <c r="J30">
        <v>0.1336555241914486</v>
      </c>
      <c r="K30">
        <v>4.3048783589516915E-2</v>
      </c>
      <c r="L30">
        <v>2.7255474039542516E-3</v>
      </c>
      <c r="M30">
        <v>11185.363909843345</v>
      </c>
      <c r="N30">
        <v>23577.733531042777</v>
      </c>
      <c r="O30">
        <v>19983.171240258427</v>
      </c>
      <c r="P30">
        <v>8917.1428967272695</v>
      </c>
      <c r="Q30">
        <v>2872.1009260204651</v>
      </c>
      <c r="R30">
        <v>181.84131048748006</v>
      </c>
      <c r="S30">
        <v>0</v>
      </c>
      <c r="T30">
        <v>0.16200000000000001</v>
      </c>
      <c r="U30">
        <v>1024.9739999999999</v>
      </c>
      <c r="V30">
        <v>7024.6372615751807</v>
      </c>
      <c r="W30">
        <v>7709.2788526483391</v>
      </c>
      <c r="X30">
        <v>8390.9731449524497</v>
      </c>
      <c r="Y30">
        <v>9069.7328262501978</v>
      </c>
      <c r="Z30">
        <v>9745.5705296849992</v>
      </c>
      <c r="AA30">
        <v>10418.49883401612</v>
      </c>
      <c r="AB30">
        <v>11088.530263852799</v>
      </c>
      <c r="AC30">
        <v>11755.677289887359</v>
      </c>
    </row>
    <row r="31" spans="1:29" x14ac:dyDescent="0.35">
      <c r="A31" t="s">
        <v>29</v>
      </c>
      <c r="B31" t="s">
        <v>106</v>
      </c>
      <c r="C31" t="s">
        <v>172</v>
      </c>
      <c r="D31">
        <v>3846</v>
      </c>
      <c r="E31">
        <v>4066</v>
      </c>
      <c r="F31">
        <v>6503</v>
      </c>
      <c r="G31">
        <v>3.1079803713894617E-2</v>
      </c>
      <c r="H31">
        <v>0.33653962637948021</v>
      </c>
      <c r="I31">
        <v>0.34941395631522804</v>
      </c>
      <c r="J31">
        <v>0.20169962632044125</v>
      </c>
      <c r="K31">
        <v>7.3507084647192453E-2</v>
      </c>
      <c r="L31">
        <v>7.7599026237634297E-3</v>
      </c>
      <c r="M31">
        <v>2073.5622608613812</v>
      </c>
      <c r="N31">
        <v>22453.033325718956</v>
      </c>
      <c r="O31">
        <v>23311.974551165302</v>
      </c>
      <c r="P31">
        <v>13456.865333449065</v>
      </c>
      <c r="Q31">
        <v>4904.1981742703019</v>
      </c>
      <c r="R31">
        <v>517.72016891475857</v>
      </c>
      <c r="S31">
        <v>113</v>
      </c>
      <c r="T31">
        <v>1.7376595417499616E-2</v>
      </c>
      <c r="U31">
        <v>113</v>
      </c>
      <c r="V31">
        <v>6531.0373532376661</v>
      </c>
      <c r="W31">
        <v>6561.5296016818247</v>
      </c>
      <c r="X31">
        <v>6591.7977104972369</v>
      </c>
      <c r="Y31">
        <v>6621.8433272689681</v>
      </c>
      <c r="Z31">
        <v>6651.6680874711674</v>
      </c>
      <c r="AA31">
        <v>6681.2736145560903</v>
      </c>
      <c r="AB31">
        <v>6710.6615200424676</v>
      </c>
      <c r="AC31">
        <v>6739.8334036032256</v>
      </c>
    </row>
    <row r="32" spans="1:29" x14ac:dyDescent="0.35">
      <c r="A32" t="s">
        <v>30</v>
      </c>
      <c r="B32" t="s">
        <v>128</v>
      </c>
      <c r="C32" t="s">
        <v>173</v>
      </c>
      <c r="D32">
        <v>3963</v>
      </c>
      <c r="E32">
        <v>4986</v>
      </c>
      <c r="F32">
        <v>4598.8787431180344</v>
      </c>
      <c r="G32">
        <v>1.8679111475270328E-2</v>
      </c>
      <c r="H32">
        <v>0.24613491771786639</v>
      </c>
      <c r="I32">
        <v>0.31712615934178301</v>
      </c>
      <c r="J32">
        <v>0.24329284860264971</v>
      </c>
      <c r="K32">
        <v>0.13924057054727651</v>
      </c>
      <c r="L32">
        <v>3.5526392315154053E-2</v>
      </c>
      <c r="M32">
        <v>1246.2208892338517</v>
      </c>
      <c r="N32">
        <v>16421.470391456143</v>
      </c>
      <c r="O32">
        <v>21157.818176601111</v>
      </c>
      <c r="P32">
        <v>16231.85506073131</v>
      </c>
      <c r="Q32">
        <v>9289.7624105187533</v>
      </c>
      <c r="R32">
        <v>2370.2268858385951</v>
      </c>
      <c r="S32">
        <v>175</v>
      </c>
      <c r="T32">
        <v>3.8052753676508157E-2</v>
      </c>
      <c r="U32">
        <v>175</v>
      </c>
      <c r="V32">
        <v>4534.2471726802005</v>
      </c>
      <c r="W32">
        <v>4569.8620563475642</v>
      </c>
      <c r="X32">
        <v>4604.9810363427459</v>
      </c>
      <c r="Y32">
        <v>4639.6110176567709</v>
      </c>
      <c r="Z32">
        <v>4673.7588091351745</v>
      </c>
      <c r="AA32">
        <v>4707.4311248167405</v>
      </c>
      <c r="AB32">
        <v>4740.6345852535915</v>
      </c>
      <c r="AC32">
        <v>4773.3757188129057</v>
      </c>
    </row>
    <row r="33" spans="1:29" x14ac:dyDescent="0.35">
      <c r="A33" t="s">
        <v>31</v>
      </c>
      <c r="B33" t="s">
        <v>129</v>
      </c>
      <c r="C33" t="s">
        <v>174</v>
      </c>
      <c r="D33">
        <v>6432</v>
      </c>
      <c r="E33">
        <v>8153</v>
      </c>
      <c r="F33">
        <v>17168</v>
      </c>
      <c r="G33">
        <v>0.16765299086895941</v>
      </c>
      <c r="H33">
        <v>0.35339731243898659</v>
      </c>
      <c r="I33">
        <v>0.29951984150713429</v>
      </c>
      <c r="J33">
        <v>0.1336555241914486</v>
      </c>
      <c r="K33">
        <v>4.3048783589516915E-2</v>
      </c>
      <c r="L33">
        <v>2.7255474039542516E-3</v>
      </c>
      <c r="M33">
        <v>11185.363909843345</v>
      </c>
      <c r="N33">
        <v>23577.733531042777</v>
      </c>
      <c r="O33">
        <v>19983.171240258427</v>
      </c>
      <c r="P33">
        <v>8917.1428967272695</v>
      </c>
      <c r="Q33">
        <v>2872.1009260204651</v>
      </c>
      <c r="R33">
        <v>181.84131048748006</v>
      </c>
      <c r="S33">
        <v>580</v>
      </c>
      <c r="T33">
        <v>3.3783783783783786E-2</v>
      </c>
      <c r="U33">
        <v>580</v>
      </c>
      <c r="V33">
        <v>17525.707802168912</v>
      </c>
      <c r="W33">
        <v>17854.761761926045</v>
      </c>
      <c r="X33">
        <v>18182.399184412894</v>
      </c>
      <c r="Y33">
        <v>18508.626167650094</v>
      </c>
      <c r="Z33">
        <v>18833.44878340705</v>
      </c>
      <c r="AA33">
        <v>19156.873077314936</v>
      </c>
      <c r="AB33">
        <v>19478.90506897922</v>
      </c>
      <c r="AC33">
        <v>19799.550752091698</v>
      </c>
    </row>
    <row r="34" spans="1:29" x14ac:dyDescent="0.35">
      <c r="A34" t="s">
        <v>32</v>
      </c>
      <c r="B34" t="s">
        <v>130</v>
      </c>
      <c r="C34" t="s">
        <v>173</v>
      </c>
      <c r="D34">
        <v>4110</v>
      </c>
      <c r="E34">
        <v>12956</v>
      </c>
      <c r="F34">
        <v>15558.321723868956</v>
      </c>
      <c r="G34">
        <v>1.8679111475270328E-2</v>
      </c>
      <c r="H34">
        <v>0.24613491771786639</v>
      </c>
      <c r="I34">
        <v>0.31712615934178301</v>
      </c>
      <c r="J34">
        <v>0.24329284860264971</v>
      </c>
      <c r="K34">
        <v>0.13924057054727651</v>
      </c>
      <c r="L34">
        <v>3.5526392315154053E-2</v>
      </c>
      <c r="M34">
        <v>1246.2208892338517</v>
      </c>
      <c r="N34">
        <v>16421.470391456143</v>
      </c>
      <c r="O34">
        <v>21157.818176601111</v>
      </c>
      <c r="P34">
        <v>16231.85506073131</v>
      </c>
      <c r="Q34">
        <v>9289.7624105187533</v>
      </c>
      <c r="R34">
        <v>2370.2268858385951</v>
      </c>
      <c r="S34">
        <v>200</v>
      </c>
      <c r="T34">
        <v>1.2854856940846517E-2</v>
      </c>
      <c r="U34">
        <v>200</v>
      </c>
      <c r="V34">
        <v>15142.090682541402</v>
      </c>
      <c r="W34">
        <v>15067.751347949836</v>
      </c>
      <c r="X34">
        <v>14994.447118494532</v>
      </c>
      <c r="Y34">
        <v>14922.163581312518</v>
      </c>
      <c r="Z34">
        <v>14850.886524226344</v>
      </c>
      <c r="AA34">
        <v>14780.60193294973</v>
      </c>
      <c r="AB34">
        <v>14711.29598833212</v>
      </c>
      <c r="AC34">
        <v>14642.955063641597</v>
      </c>
    </row>
    <row r="35" spans="1:29" x14ac:dyDescent="0.35">
      <c r="A35" t="s">
        <v>33</v>
      </c>
      <c r="B35" t="s">
        <v>138</v>
      </c>
      <c r="C35" t="s">
        <v>174</v>
      </c>
      <c r="D35">
        <v>3533</v>
      </c>
      <c r="E35">
        <v>4107</v>
      </c>
      <c r="F35">
        <v>4565</v>
      </c>
      <c r="G35">
        <v>0.16765299086895941</v>
      </c>
      <c r="H35">
        <v>0.35339731243898659</v>
      </c>
      <c r="I35">
        <v>0.29951984150713429</v>
      </c>
      <c r="J35">
        <v>0.1336555241914486</v>
      </c>
      <c r="K35">
        <v>4.3048783589516915E-2</v>
      </c>
      <c r="L35">
        <v>2.7255474039542516E-3</v>
      </c>
      <c r="M35">
        <v>11185.363909843345</v>
      </c>
      <c r="N35">
        <v>23577.733531042777</v>
      </c>
      <c r="O35">
        <v>19983.171240258427</v>
      </c>
      <c r="P35">
        <v>8917.1428967272695</v>
      </c>
      <c r="Q35">
        <v>2872.1009260204651</v>
      </c>
      <c r="R35">
        <v>181.84131048748006</v>
      </c>
      <c r="S35">
        <v>305</v>
      </c>
      <c r="T35">
        <v>6.6812705366922229E-2</v>
      </c>
      <c r="U35">
        <v>305</v>
      </c>
      <c r="V35">
        <v>4762.4578761009489</v>
      </c>
      <c r="W35">
        <v>4951.8560742547024</v>
      </c>
      <c r="X35">
        <v>5140.4389362040001</v>
      </c>
      <c r="Y35">
        <v>5328.2099718720228</v>
      </c>
      <c r="Z35">
        <v>5515.1726760721604</v>
      </c>
      <c r="AA35">
        <v>5701.3305285730557</v>
      </c>
      <c r="AB35">
        <v>5886.6869941633704</v>
      </c>
      <c r="AC35">
        <v>6071.2455227162736</v>
      </c>
    </row>
    <row r="36" spans="1:29" x14ac:dyDescent="0.35">
      <c r="A36" t="s">
        <v>34</v>
      </c>
      <c r="B36" t="s">
        <v>104</v>
      </c>
      <c r="C36" t="s">
        <v>172</v>
      </c>
      <c r="D36">
        <v>74920</v>
      </c>
      <c r="E36">
        <v>180709</v>
      </c>
      <c r="F36">
        <v>220681</v>
      </c>
      <c r="G36">
        <v>3.085769767251046E-2</v>
      </c>
      <c r="H36">
        <v>0.36394374094029486</v>
      </c>
      <c r="I36">
        <v>0.30764365615512951</v>
      </c>
      <c r="J36">
        <v>0.18093085906517517</v>
      </c>
      <c r="K36">
        <v>0.10857971173043787</v>
      </c>
      <c r="L36">
        <v>8.0443344364521507E-3</v>
      </c>
      <c r="M36">
        <v>2058.7439335140434</v>
      </c>
      <c r="N36">
        <v>24281.363332842622</v>
      </c>
      <c r="O36">
        <v>20525.170656451166</v>
      </c>
      <c r="P36">
        <v>12071.228140190971</v>
      </c>
      <c r="Q36">
        <v>7244.1510445829845</v>
      </c>
      <c r="R36">
        <v>536.69670679797741</v>
      </c>
      <c r="S36">
        <v>12835</v>
      </c>
      <c r="T36">
        <v>5.8160874746806479E-2</v>
      </c>
      <c r="U36">
        <v>12835</v>
      </c>
      <c r="V36">
        <v>225845.26823222931</v>
      </c>
      <c r="W36">
        <v>230332.54682019542</v>
      </c>
      <c r="X36">
        <v>234771.10266660797</v>
      </c>
      <c r="Y36">
        <v>239161.46480159025</v>
      </c>
      <c r="Z36">
        <v>243504.15651107166</v>
      </c>
      <c r="AA36">
        <v>247799.69539915811</v>
      </c>
      <c r="AB36">
        <v>252048.59344982501</v>
      </c>
      <c r="AC36">
        <v>256251.35708794059</v>
      </c>
    </row>
    <row r="37" spans="1:29" x14ac:dyDescent="0.35">
      <c r="A37" t="s">
        <v>35</v>
      </c>
      <c r="B37" t="s">
        <v>131</v>
      </c>
      <c r="C37" t="s">
        <v>174</v>
      </c>
      <c r="D37">
        <v>9625</v>
      </c>
      <c r="E37">
        <v>13345</v>
      </c>
      <c r="F37">
        <v>13501.239749316621</v>
      </c>
      <c r="G37">
        <v>0.16765299086895941</v>
      </c>
      <c r="H37">
        <v>0.35339731243898659</v>
      </c>
      <c r="I37">
        <v>0.29951984150713429</v>
      </c>
      <c r="J37">
        <v>0.1336555241914486</v>
      </c>
      <c r="K37">
        <v>4.3048783589516915E-2</v>
      </c>
      <c r="L37">
        <v>2.7255474039542516E-3</v>
      </c>
      <c r="M37">
        <v>11185.363909843345</v>
      </c>
      <c r="N37">
        <v>23577.733531042777</v>
      </c>
      <c r="O37">
        <v>19983.171240258427</v>
      </c>
      <c r="P37">
        <v>8917.1428967272695</v>
      </c>
      <c r="Q37">
        <v>2872.1009260204651</v>
      </c>
      <c r="R37">
        <v>181.84131048748006</v>
      </c>
      <c r="S37">
        <v>355</v>
      </c>
      <c r="T37">
        <v>2.6293881642829777E-2</v>
      </c>
      <c r="U37">
        <v>355</v>
      </c>
      <c r="V37">
        <v>13708.741480367706</v>
      </c>
      <c r="W37">
        <v>13894.027015840407</v>
      </c>
      <c r="X37">
        <v>14078.514919621226</v>
      </c>
      <c r="Y37">
        <v>14262.20862541757</v>
      </c>
      <c r="Z37">
        <v>14445.111552155156</v>
      </c>
      <c r="AA37">
        <v>14627.22710404164</v>
      </c>
      <c r="AB37">
        <v>14808.55867062998</v>
      </c>
      <c r="AC37">
        <v>14989.109626881518</v>
      </c>
    </row>
    <row r="38" spans="1:29" x14ac:dyDescent="0.35">
      <c r="A38" t="s">
        <v>36</v>
      </c>
      <c r="B38" t="s">
        <v>101</v>
      </c>
      <c r="C38" t="s">
        <v>172</v>
      </c>
      <c r="D38">
        <v>442</v>
      </c>
      <c r="E38">
        <v>406</v>
      </c>
      <c r="F38">
        <v>440</v>
      </c>
      <c r="G38">
        <v>3.1079803713894617E-2</v>
      </c>
      <c r="H38">
        <v>0.33653962637948021</v>
      </c>
      <c r="I38">
        <v>0.34941395631522804</v>
      </c>
      <c r="J38">
        <v>0.20169962632044125</v>
      </c>
      <c r="K38">
        <v>7.3507084647192453E-2</v>
      </c>
      <c r="L38">
        <v>7.7599026237634297E-3</v>
      </c>
      <c r="M38">
        <v>2073.5622608613812</v>
      </c>
      <c r="N38">
        <v>22453.033325718956</v>
      </c>
      <c r="O38">
        <v>23311.974551165302</v>
      </c>
      <c r="P38">
        <v>13456.865333449065</v>
      </c>
      <c r="Q38">
        <v>4904.1981742703019</v>
      </c>
      <c r="R38">
        <v>517.72016891475857</v>
      </c>
      <c r="S38">
        <v>0</v>
      </c>
      <c r="T38">
        <v>8.1100000000000005E-2</v>
      </c>
      <c r="U38">
        <v>35.684000000000005</v>
      </c>
      <c r="V38">
        <v>461.51444284554407</v>
      </c>
      <c r="W38">
        <v>483.05078472392916</v>
      </c>
      <c r="X38">
        <v>504.42881923176969</v>
      </c>
      <c r="Y38">
        <v>525.64971004039444</v>
      </c>
      <c r="Z38">
        <v>546.71461226732333</v>
      </c>
      <c r="AA38">
        <v>567.62467253914429</v>
      </c>
      <c r="AB38">
        <v>588.38102905392736</v>
      </c>
      <c r="AC38">
        <v>608.98481164318048</v>
      </c>
    </row>
    <row r="39" spans="1:29" x14ac:dyDescent="0.35">
      <c r="A39" t="s">
        <v>37</v>
      </c>
      <c r="B39" t="s">
        <v>132</v>
      </c>
      <c r="C39" t="s">
        <v>172</v>
      </c>
      <c r="D39">
        <v>1682</v>
      </c>
      <c r="E39">
        <v>4577</v>
      </c>
      <c r="F39">
        <v>4737</v>
      </c>
      <c r="G39">
        <v>3.1665611146295125E-3</v>
      </c>
      <c r="H39">
        <v>0.23495883470550982</v>
      </c>
      <c r="I39">
        <v>0.56322567025543591</v>
      </c>
      <c r="J39">
        <v>0.14967278868482162</v>
      </c>
      <c r="K39">
        <v>4.2854127084652735E-2</v>
      </c>
      <c r="L39">
        <v>6.122018154950391E-3</v>
      </c>
      <c r="M39">
        <v>211.26457825959395</v>
      </c>
      <c r="N39">
        <v>15675.831706861871</v>
      </c>
      <c r="O39">
        <v>37576.926319773105</v>
      </c>
      <c r="P39">
        <v>9985.7723990701397</v>
      </c>
      <c r="Q39">
        <v>2859.1139591131714</v>
      </c>
      <c r="R39">
        <v>408.44485130188161</v>
      </c>
      <c r="S39">
        <v>582</v>
      </c>
      <c r="T39">
        <v>0.12286257124762508</v>
      </c>
      <c r="U39">
        <v>582</v>
      </c>
      <c r="V39">
        <v>5090.45</v>
      </c>
      <c r="W39">
        <v>5451.0853208781928</v>
      </c>
      <c r="X39">
        <v>5810.1751705691722</v>
      </c>
      <c r="Y39">
        <v>6167.7261720548058</v>
      </c>
      <c r="Z39">
        <v>6523.7449199347484</v>
      </c>
      <c r="AA39">
        <v>6878.2379805480741</v>
      </c>
      <c r="AB39">
        <v>7231.2118920943849</v>
      </c>
      <c r="AC39">
        <v>7582.6731647543984</v>
      </c>
    </row>
    <row r="40" spans="1:29" x14ac:dyDescent="0.35">
      <c r="A40" t="s">
        <v>38</v>
      </c>
      <c r="B40" t="s">
        <v>133</v>
      </c>
      <c r="C40" t="s">
        <v>173</v>
      </c>
      <c r="D40">
        <v>419</v>
      </c>
      <c r="E40">
        <v>1272</v>
      </c>
      <c r="F40">
        <v>1277</v>
      </c>
      <c r="G40">
        <v>4.4350580781414996E-2</v>
      </c>
      <c r="H40">
        <v>0.27032734952481519</v>
      </c>
      <c r="I40">
        <v>0.25237592397043296</v>
      </c>
      <c r="J40">
        <v>0.17106652587117213</v>
      </c>
      <c r="K40">
        <v>0.17740232312565998</v>
      </c>
      <c r="L40">
        <v>8.4477296726504753E-2</v>
      </c>
      <c r="M40">
        <v>2958.9533898668956</v>
      </c>
      <c r="N40">
        <v>18035.525423950599</v>
      </c>
      <c r="O40">
        <v>16837.853813766382</v>
      </c>
      <c r="P40">
        <v>11413.10593234374</v>
      </c>
      <c r="Q40">
        <v>11835.813559467582</v>
      </c>
      <c r="R40">
        <v>5636.1016949845625</v>
      </c>
      <c r="S40">
        <v>40</v>
      </c>
      <c r="T40">
        <v>3.1323414252153486E-2</v>
      </c>
      <c r="U40">
        <v>40</v>
      </c>
      <c r="V40">
        <v>1193.9224920802535</v>
      </c>
      <c r="W40">
        <v>1197.542029707552</v>
      </c>
      <c r="X40">
        <v>1201.0973558964781</v>
      </c>
      <c r="Y40">
        <v>1204.5896097728657</v>
      </c>
      <c r="Z40">
        <v>1208.0199102541917</v>
      </c>
      <c r="AA40">
        <v>1211.389356408077</v>
      </c>
      <c r="AB40">
        <v>1214.6990278044277</v>
      </c>
      <c r="AC40">
        <v>1217.9499848613291</v>
      </c>
    </row>
    <row r="41" spans="1:29" x14ac:dyDescent="0.35">
      <c r="A41" t="s">
        <v>39</v>
      </c>
      <c r="B41" t="s">
        <v>134</v>
      </c>
      <c r="C41" t="s">
        <v>174</v>
      </c>
      <c r="D41">
        <v>6106</v>
      </c>
      <c r="E41">
        <v>5757</v>
      </c>
      <c r="F41">
        <v>15666</v>
      </c>
      <c r="G41">
        <v>0.16765299086895941</v>
      </c>
      <c r="H41">
        <v>0.35339731243898659</v>
      </c>
      <c r="I41">
        <v>0.29951984150713429</v>
      </c>
      <c r="J41">
        <v>0.1336555241914486</v>
      </c>
      <c r="K41">
        <v>4.3048783589516915E-2</v>
      </c>
      <c r="L41">
        <v>2.7255474039542516E-3</v>
      </c>
      <c r="M41">
        <v>11185.363909843345</v>
      </c>
      <c r="N41">
        <v>23577.733531042777</v>
      </c>
      <c r="O41">
        <v>19983.171240258427</v>
      </c>
      <c r="P41">
        <v>8917.1428967272695</v>
      </c>
      <c r="Q41">
        <v>2872.1009260204651</v>
      </c>
      <c r="R41">
        <v>181.84131048748006</v>
      </c>
      <c r="S41">
        <v>1755</v>
      </c>
      <c r="T41">
        <v>0.1120260436614324</v>
      </c>
      <c r="U41">
        <v>1755</v>
      </c>
      <c r="V41">
        <v>16554.451574369654</v>
      </c>
      <c r="W41">
        <v>17414.336674042839</v>
      </c>
      <c r="X41">
        <v>18270.520072959254</v>
      </c>
      <c r="Y41">
        <v>19123.01770649038</v>
      </c>
      <c r="Z41">
        <v>19971.845441407862</v>
      </c>
      <c r="AA41">
        <v>20817.019076178818</v>
      </c>
      <c r="AB41">
        <v>21658.554341259893</v>
      </c>
      <c r="AC41">
        <v>22496.466899390027</v>
      </c>
    </row>
    <row r="42" spans="1:29" x14ac:dyDescent="0.35">
      <c r="A42" t="s">
        <v>40</v>
      </c>
      <c r="B42" t="s">
        <v>135</v>
      </c>
      <c r="C42" t="s">
        <v>173</v>
      </c>
      <c r="D42">
        <v>58722</v>
      </c>
      <c r="E42">
        <v>287458</v>
      </c>
      <c r="F42">
        <v>397261.24962174537</v>
      </c>
      <c r="G42">
        <v>2.0898312382512628E-3</v>
      </c>
      <c r="H42">
        <v>0.20183499084604911</v>
      </c>
      <c r="I42">
        <v>0.29703958077355258</v>
      </c>
      <c r="J42">
        <v>0.25681470513076321</v>
      </c>
      <c r="K42">
        <v>0.18920148843591708</v>
      </c>
      <c r="L42">
        <v>5.3019403575466709E-2</v>
      </c>
      <c r="M42">
        <v>139.42801013475287</v>
      </c>
      <c r="N42">
        <v>13465.89649639796</v>
      </c>
      <c r="O42">
        <v>19817.694807344145</v>
      </c>
      <c r="P42">
        <v>17133.997546944738</v>
      </c>
      <c r="Q42">
        <v>12623.02264618636</v>
      </c>
      <c r="R42">
        <v>3537.3143073718038</v>
      </c>
      <c r="S42">
        <v>3154</v>
      </c>
      <c r="T42">
        <v>7.939359811718609E-3</v>
      </c>
      <c r="U42">
        <v>3153.9999999999995</v>
      </c>
      <c r="V42">
        <v>377948.74510315579</v>
      </c>
      <c r="W42">
        <v>372547.94859055534</v>
      </c>
      <c r="X42">
        <v>367249.33595184726</v>
      </c>
      <c r="Y42">
        <v>362050.97385292809</v>
      </c>
      <c r="Z42">
        <v>356950.96553866332</v>
      </c>
      <c r="AA42">
        <v>351947.45014080801</v>
      </c>
      <c r="AB42">
        <v>347038.60199902131</v>
      </c>
      <c r="AC42">
        <v>342222.62999472785</v>
      </c>
    </row>
    <row r="43" spans="1:29" x14ac:dyDescent="0.35">
      <c r="A43" t="s">
        <v>41</v>
      </c>
      <c r="B43" t="s">
        <v>136</v>
      </c>
      <c r="C43" t="s">
        <v>174</v>
      </c>
      <c r="D43">
        <v>0</v>
      </c>
      <c r="E43">
        <v>3726</v>
      </c>
      <c r="F43">
        <v>4530</v>
      </c>
      <c r="G43">
        <v>0.16765299086895941</v>
      </c>
      <c r="H43">
        <v>0.35339731243898659</v>
      </c>
      <c r="I43">
        <v>0.29951984150713429</v>
      </c>
      <c r="J43">
        <v>0.1336555241914486</v>
      </c>
      <c r="K43">
        <v>4.3048783589516915E-2</v>
      </c>
      <c r="L43">
        <v>2.7255474039542516E-3</v>
      </c>
      <c r="M43">
        <v>11185.363909843345</v>
      </c>
      <c r="N43">
        <v>23577.733531042777</v>
      </c>
      <c r="O43">
        <v>19983.171240258427</v>
      </c>
      <c r="P43">
        <v>8917.1428967272695</v>
      </c>
      <c r="Q43">
        <v>2872.1009260204651</v>
      </c>
      <c r="R43">
        <v>181.84131048748006</v>
      </c>
      <c r="S43">
        <v>241</v>
      </c>
      <c r="T43">
        <v>5.3200883002207502E-2</v>
      </c>
      <c r="U43">
        <v>241</v>
      </c>
      <c r="V43">
        <v>4679.8532702600869</v>
      </c>
      <c r="W43">
        <v>4821.9070711938748</v>
      </c>
      <c r="X43">
        <v>4963.3493477942166</v>
      </c>
      <c r="Y43">
        <v>5104.1827325989798</v>
      </c>
      <c r="Z43">
        <v>5244.4098468132797</v>
      </c>
      <c r="AA43">
        <v>5384.03330035826</v>
      </c>
      <c r="AB43">
        <v>5523.0556919196724</v>
      </c>
      <c r="AC43">
        <v>5661.4796089962429</v>
      </c>
    </row>
    <row r="44" spans="1:29" x14ac:dyDescent="0.35">
      <c r="A44" t="s">
        <v>42</v>
      </c>
      <c r="B44" t="s">
        <v>145</v>
      </c>
      <c r="C44" t="s">
        <v>172</v>
      </c>
      <c r="D44">
        <v>20800</v>
      </c>
      <c r="E44">
        <v>31940</v>
      </c>
      <c r="F44">
        <v>31940</v>
      </c>
      <c r="G44">
        <v>3.1079803713894617E-2</v>
      </c>
      <c r="H44">
        <v>0.33653962637948021</v>
      </c>
      <c r="I44">
        <v>0.34941395631522804</v>
      </c>
      <c r="J44">
        <v>0.20169962632044125</v>
      </c>
      <c r="K44">
        <v>7.3507084647192453E-2</v>
      </c>
      <c r="L44">
        <v>7.7599026237634297E-3</v>
      </c>
      <c r="M44">
        <v>2073.5622608613812</v>
      </c>
      <c r="N44">
        <v>22453.033325718956</v>
      </c>
      <c r="O44">
        <v>23311.974551165302</v>
      </c>
      <c r="P44">
        <v>13456.865333449065</v>
      </c>
      <c r="Q44">
        <v>4904.1981742703019</v>
      </c>
      <c r="R44">
        <v>517.72016891475857</v>
      </c>
      <c r="S44">
        <v>4607</v>
      </c>
      <c r="T44">
        <v>0.14423919849718222</v>
      </c>
      <c r="U44">
        <v>4607</v>
      </c>
      <c r="V44">
        <v>34866.098710196995</v>
      </c>
      <c r="W44">
        <v>37783.758183276223</v>
      </c>
      <c r="X44">
        <v>40679.970792169515</v>
      </c>
      <c r="Y44">
        <v>43554.894186522986</v>
      </c>
      <c r="Z44">
        <v>46408.684857146167</v>
      </c>
      <c r="AA44">
        <v>49241.498144530262</v>
      </c>
      <c r="AB44">
        <v>52053.488247303816</v>
      </c>
      <c r="AC44">
        <v>54844.8082306262</v>
      </c>
    </row>
    <row r="45" spans="1:29" x14ac:dyDescent="0.35">
      <c r="A45" t="s">
        <v>43</v>
      </c>
      <c r="B45" t="s">
        <v>143</v>
      </c>
      <c r="C45" t="s">
        <v>174</v>
      </c>
      <c r="D45">
        <v>1341</v>
      </c>
      <c r="E45">
        <v>1966</v>
      </c>
      <c r="F45">
        <v>2630</v>
      </c>
      <c r="G45">
        <v>4.5318352059925092E-2</v>
      </c>
      <c r="H45">
        <v>0.36966292134831463</v>
      </c>
      <c r="I45">
        <v>0.37490636704119851</v>
      </c>
      <c r="J45">
        <v>0.15393258426966291</v>
      </c>
      <c r="K45">
        <v>5.4681647940074907E-2</v>
      </c>
      <c r="L45">
        <v>1.4981273408239701E-3</v>
      </c>
      <c r="M45">
        <v>3023.5205286666483</v>
      </c>
      <c r="N45">
        <v>24662.931915652745</v>
      </c>
      <c r="O45">
        <v>25012.760737151366</v>
      </c>
      <c r="P45">
        <v>10269.974688280929</v>
      </c>
      <c r="Q45">
        <v>3648.214852771328</v>
      </c>
      <c r="R45">
        <v>99.951091856748718</v>
      </c>
      <c r="S45">
        <v>240</v>
      </c>
      <c r="T45">
        <v>9.125475285171103E-2</v>
      </c>
      <c r="U45">
        <v>240</v>
      </c>
      <c r="V45">
        <v>2738.2599250936328</v>
      </c>
      <c r="W45">
        <v>2835.4866685743941</v>
      </c>
      <c r="X45">
        <v>2932.181760199418</v>
      </c>
      <c r="Y45">
        <v>3028.3481071286647</v>
      </c>
      <c r="Z45">
        <v>3123.9886006252646</v>
      </c>
      <c r="AA45">
        <v>3219.1061161424445</v>
      </c>
      <c r="AB45">
        <v>3313.7035134099801</v>
      </c>
      <c r="AC45">
        <v>3407.7836365201724</v>
      </c>
    </row>
    <row r="46" spans="1:29" x14ac:dyDescent="0.35">
      <c r="A46" t="s">
        <v>44</v>
      </c>
      <c r="B46" t="s">
        <v>139</v>
      </c>
      <c r="C46" t="s">
        <v>174</v>
      </c>
      <c r="D46">
        <v>40149</v>
      </c>
      <c r="E46">
        <v>52907</v>
      </c>
      <c r="F46">
        <v>74197</v>
      </c>
      <c r="G46">
        <v>0.88558189271074672</v>
      </c>
      <c r="H46">
        <v>7.9754054535733379E-2</v>
      </c>
      <c r="I46">
        <v>1.2386383888789878E-2</v>
      </c>
      <c r="J46">
        <v>9.0892888968098374E-3</v>
      </c>
      <c r="K46">
        <v>8.9110675458919982E-3</v>
      </c>
      <c r="L46">
        <v>4.2773124220281591E-3</v>
      </c>
      <c r="M46">
        <v>59083.680467590988</v>
      </c>
      <c r="N46">
        <v>5320.9794745918634</v>
      </c>
      <c r="O46">
        <v>826.38675638912741</v>
      </c>
      <c r="P46">
        <v>606.41330324957539</v>
      </c>
      <c r="Q46">
        <v>594.52284632311319</v>
      </c>
      <c r="R46">
        <v>285.37096623509433</v>
      </c>
      <c r="S46">
        <v>14001</v>
      </c>
      <c r="T46">
        <v>0.18870035176624392</v>
      </c>
      <c r="U46">
        <v>14001</v>
      </c>
      <c r="V46">
        <v>83645.686250222789</v>
      </c>
      <c r="W46">
        <v>93337.199014212965</v>
      </c>
      <c r="X46">
        <v>103020.07560571696</v>
      </c>
      <c r="Y46">
        <v>112694.32372048641</v>
      </c>
      <c r="Z46">
        <v>122359.95104741522</v>
      </c>
      <c r="AA46">
        <v>132016.96526854567</v>
      </c>
      <c r="AB46">
        <v>141665.3740590745</v>
      </c>
      <c r="AC46">
        <v>151305.18508735907</v>
      </c>
    </row>
    <row r="47" spans="1:29" x14ac:dyDescent="0.35">
      <c r="A47" t="s">
        <v>45</v>
      </c>
      <c r="B47" t="s">
        <v>140</v>
      </c>
      <c r="C47" t="s">
        <v>172</v>
      </c>
      <c r="D47">
        <v>0</v>
      </c>
      <c r="E47">
        <v>20746</v>
      </c>
      <c r="F47">
        <v>49975</v>
      </c>
      <c r="G47">
        <v>0.13455105242902396</v>
      </c>
      <c r="H47">
        <v>0.57100565440066309</v>
      </c>
      <c r="I47">
        <v>0.2078510317060896</v>
      </c>
      <c r="J47">
        <v>6.5040409722016634E-2</v>
      </c>
      <c r="K47">
        <v>1.7318452292844667E-2</v>
      </c>
      <c r="L47">
        <v>4.2333994493620299E-3</v>
      </c>
      <c r="M47">
        <v>8976.8901710043538</v>
      </c>
      <c r="N47">
        <v>38095.986274660492</v>
      </c>
      <c r="O47">
        <v>13867.270823019046</v>
      </c>
      <c r="P47">
        <v>4339.3240276560091</v>
      </c>
      <c r="Q47">
        <v>1155.4413091391741</v>
      </c>
      <c r="R47">
        <v>282.441208900687</v>
      </c>
      <c r="S47">
        <v>5272</v>
      </c>
      <c r="T47">
        <v>0.10549274637318659</v>
      </c>
      <c r="U47">
        <v>5272</v>
      </c>
      <c r="V47">
        <v>53363.485862518137</v>
      </c>
      <c r="W47">
        <v>56871.118564109151</v>
      </c>
      <c r="X47">
        <v>60372.676588739829</v>
      </c>
      <c r="Y47">
        <v>63868.170456810491</v>
      </c>
      <c r="Z47">
        <v>67357.61067050173</v>
      </c>
      <c r="AA47">
        <v>70841.007713806015</v>
      </c>
      <c r="AB47">
        <v>74318.372052559149</v>
      </c>
      <c r="AC47">
        <v>77789.714134471724</v>
      </c>
    </row>
    <row r="48" spans="1:29" x14ac:dyDescent="0.35">
      <c r="A48" t="s">
        <v>46</v>
      </c>
      <c r="B48" t="s">
        <v>141</v>
      </c>
      <c r="C48" t="s">
        <v>172</v>
      </c>
      <c r="D48">
        <v>18722</v>
      </c>
      <c r="E48">
        <v>27874</v>
      </c>
      <c r="F48">
        <v>46537</v>
      </c>
      <c r="G48">
        <v>3.1079803713894617E-2</v>
      </c>
      <c r="H48">
        <v>0.33653962637948021</v>
      </c>
      <c r="I48">
        <v>0.34941395631522804</v>
      </c>
      <c r="J48">
        <v>0.20169962632044125</v>
      </c>
      <c r="K48">
        <v>7.3507084647192453E-2</v>
      </c>
      <c r="L48">
        <v>7.7599026237634297E-3</v>
      </c>
      <c r="M48">
        <v>2073.5622608613812</v>
      </c>
      <c r="N48">
        <v>22453.033325718956</v>
      </c>
      <c r="O48">
        <v>23311.974551165302</v>
      </c>
      <c r="P48">
        <v>13456.865333449065</v>
      </c>
      <c r="Q48">
        <v>4904.1981742703019</v>
      </c>
      <c r="R48">
        <v>517.72016891475857</v>
      </c>
      <c r="S48">
        <v>1100</v>
      </c>
      <c r="T48">
        <v>2.3637105958699528E-2</v>
      </c>
      <c r="U48">
        <v>1100</v>
      </c>
      <c r="V48">
        <v>46568.527411597919</v>
      </c>
      <c r="W48">
        <v>46618.865742963979</v>
      </c>
      <c r="X48">
        <v>46668.834051931568</v>
      </c>
      <c r="Y48">
        <v>46718.435058427458</v>
      </c>
      <c r="Z48">
        <v>46767.671462385042</v>
      </c>
      <c r="AA48">
        <v>46816.54594389128</v>
      </c>
      <c r="AB48">
        <v>46865.061163332604</v>
      </c>
      <c r="AC48">
        <v>46913.219761539716</v>
      </c>
    </row>
    <row r="49" spans="1:29" x14ac:dyDescent="0.35">
      <c r="A49" t="s">
        <v>71</v>
      </c>
      <c r="B49" t="s">
        <v>71</v>
      </c>
      <c r="C49" t="s">
        <v>71</v>
      </c>
      <c r="D49">
        <v>479279</v>
      </c>
      <c r="E49">
        <v>1248604</v>
      </c>
      <c r="F49">
        <v>1698828.4231265213</v>
      </c>
      <c r="G49">
        <v>2.8094911126753986E-2</v>
      </c>
      <c r="H49">
        <v>0.42408199480095404</v>
      </c>
      <c r="I49">
        <v>0.32237544168541793</v>
      </c>
      <c r="J49">
        <v>0.14725787510182761</v>
      </c>
      <c r="K49">
        <v>7.3303780982837616E-2</v>
      </c>
      <c r="L49">
        <v>4.8859963022088162E-3</v>
      </c>
      <c r="M49">
        <v>1874.4181260272005</v>
      </c>
      <c r="N49">
        <v>28293.628493443211</v>
      </c>
      <c r="O49">
        <v>21508.036403992977</v>
      </c>
      <c r="P49">
        <v>9824.6557551223777</v>
      </c>
      <c r="Q49">
        <v>4890.6342917637803</v>
      </c>
      <c r="R49">
        <v>325.98074403021678</v>
      </c>
      <c r="T49">
        <v>4.2900000000000001E-2</v>
      </c>
      <c r="U49">
        <v>72879.73935212777</v>
      </c>
      <c r="V49">
        <v>1751813.4862019871</v>
      </c>
      <c r="W49">
        <v>1816536.0591124315</v>
      </c>
      <c r="X49">
        <v>1881091.5665167032</v>
      </c>
      <c r="Y49">
        <v>1945479.730075642</v>
      </c>
      <c r="Z49">
        <v>2009700.2951070415</v>
      </c>
      <c r="AA49">
        <v>2073753.0300113256</v>
      </c>
      <c r="AB49">
        <v>2137637.7257091203</v>
      </c>
      <c r="AC49">
        <v>2201354.1950904946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57D0-8B48-4D51-8F33-F1DB9E6C850C}">
  <dimension ref="A1:F48"/>
  <sheetViews>
    <sheetView tabSelected="1" workbookViewId="0">
      <selection activeCell="E19" sqref="E19"/>
    </sheetView>
  </sheetViews>
  <sheetFormatPr defaultRowHeight="14.5" x14ac:dyDescent="0.35"/>
  <cols>
    <col min="1" max="1" width="29.36328125" bestFit="1" customWidth="1"/>
    <col min="2" max="2" width="12.36328125" bestFit="1" customWidth="1"/>
    <col min="3" max="3" width="39.26953125" bestFit="1" customWidth="1"/>
    <col min="4" max="4" width="20.90625" bestFit="1" customWidth="1"/>
    <col min="6" max="6" width="35.90625" bestFit="1" customWidth="1"/>
  </cols>
  <sheetData>
    <row r="1" spans="1:6" x14ac:dyDescent="0.35">
      <c r="A1" t="s">
        <v>0</v>
      </c>
      <c r="B1" t="s">
        <v>0</v>
      </c>
      <c r="C1" t="s">
        <v>191</v>
      </c>
      <c r="D1" t="s">
        <v>192</v>
      </c>
      <c r="E1" t="s">
        <v>193</v>
      </c>
      <c r="F1" t="s">
        <v>202</v>
      </c>
    </row>
    <row r="2" spans="1:6" x14ac:dyDescent="0.35">
      <c r="A2" t="s">
        <v>38</v>
      </c>
      <c r="B2" t="s">
        <v>133</v>
      </c>
      <c r="C2">
        <v>196.51134024468229</v>
      </c>
      <c r="D2">
        <v>42.1</v>
      </c>
      <c r="E2">
        <v>107118.5</v>
      </c>
      <c r="F2">
        <f>C2/D2</f>
        <v>4.667727796785802</v>
      </c>
    </row>
    <row r="3" spans="1:6" x14ac:dyDescent="0.35">
      <c r="A3" t="s">
        <v>40</v>
      </c>
      <c r="B3" t="s">
        <v>135</v>
      </c>
      <c r="C3">
        <v>74.345193320567816</v>
      </c>
      <c r="D3">
        <v>107.24524316516025</v>
      </c>
      <c r="E3">
        <v>59893885.5</v>
      </c>
      <c r="F3">
        <f t="shared" ref="F3:F48" si="0">C3/D3</f>
        <v>0.69322602221223406</v>
      </c>
    </row>
    <row r="4" spans="1:6" x14ac:dyDescent="0.35">
      <c r="A4" t="s">
        <v>32</v>
      </c>
      <c r="B4" t="s">
        <v>130</v>
      </c>
      <c r="C4">
        <v>66.829911127697898</v>
      </c>
      <c r="D4">
        <v>25.415291442768822</v>
      </c>
      <c r="E4">
        <v>2567012.4999999995</v>
      </c>
      <c r="F4">
        <f t="shared" si="0"/>
        <v>2.6295158282244446</v>
      </c>
    </row>
    <row r="5" spans="1:6" x14ac:dyDescent="0.35">
      <c r="A5" t="s">
        <v>60</v>
      </c>
      <c r="B5" t="s">
        <v>115</v>
      </c>
      <c r="C5">
        <v>60.440074551188182</v>
      </c>
      <c r="D5">
        <v>13.998050034536332</v>
      </c>
      <c r="E5">
        <v>593149.50000000012</v>
      </c>
      <c r="F5">
        <f t="shared" si="0"/>
        <v>4.3177495724096531</v>
      </c>
    </row>
    <row r="6" spans="1:6" x14ac:dyDescent="0.35">
      <c r="A6" t="s">
        <v>30</v>
      </c>
      <c r="B6" t="s">
        <v>128</v>
      </c>
      <c r="C6">
        <v>49.501251988132395</v>
      </c>
      <c r="D6">
        <v>10.597255752844539</v>
      </c>
      <c r="E6">
        <v>1299468.9999999986</v>
      </c>
      <c r="F6">
        <f t="shared" si="0"/>
        <v>4.6711387497508641</v>
      </c>
    </row>
    <row r="7" spans="1:6" x14ac:dyDescent="0.35">
      <c r="A7" t="s">
        <v>16</v>
      </c>
      <c r="B7" t="s">
        <v>107</v>
      </c>
      <c r="C7">
        <v>49.339648431079915</v>
      </c>
      <c r="D7">
        <v>28.681863039145494</v>
      </c>
      <c r="E7">
        <v>1201670.4999999995</v>
      </c>
      <c r="F7">
        <f t="shared" si="0"/>
        <v>1.7202386178241045</v>
      </c>
    </row>
    <row r="8" spans="1:6" x14ac:dyDescent="0.35">
      <c r="A8" t="s">
        <v>20</v>
      </c>
      <c r="B8" t="s">
        <v>120</v>
      </c>
      <c r="C8">
        <v>38.514391127775333</v>
      </c>
      <c r="D8">
        <v>5.6456748687645337</v>
      </c>
      <c r="E8">
        <v>33475870.500000011</v>
      </c>
      <c r="F8">
        <f t="shared" si="0"/>
        <v>6.821928648576888</v>
      </c>
    </row>
    <row r="9" spans="1:6" x14ac:dyDescent="0.35">
      <c r="A9" t="s">
        <v>1</v>
      </c>
      <c r="B9" t="s">
        <v>109</v>
      </c>
      <c r="C9">
        <v>40.15034554867718</v>
      </c>
      <c r="D9">
        <v>18.369196831097543</v>
      </c>
      <c r="E9">
        <v>44903225.000000007</v>
      </c>
      <c r="F9">
        <f t="shared" si="0"/>
        <v>2.1857431175600417</v>
      </c>
    </row>
    <row r="10" spans="1:6" x14ac:dyDescent="0.35">
      <c r="A10" t="s">
        <v>46</v>
      </c>
      <c r="B10" t="s">
        <v>141</v>
      </c>
      <c r="C10">
        <v>30.433188788783969</v>
      </c>
      <c r="D10">
        <v>36.387251549841309</v>
      </c>
      <c r="E10">
        <v>16320536.999999996</v>
      </c>
      <c r="F10">
        <f t="shared" si="0"/>
        <v>0.83636953857584484</v>
      </c>
    </row>
    <row r="11" spans="1:6" x14ac:dyDescent="0.35">
      <c r="A11" t="s">
        <v>4</v>
      </c>
      <c r="B11" t="s">
        <v>112</v>
      </c>
      <c r="C11">
        <v>34.292718386067548</v>
      </c>
      <c r="D11">
        <v>16.399999999999999</v>
      </c>
      <c r="E11">
        <v>2630296.0000000019</v>
      </c>
      <c r="F11">
        <f t="shared" si="0"/>
        <v>2.0910194137846068</v>
      </c>
    </row>
    <row r="12" spans="1:6" x14ac:dyDescent="0.35">
      <c r="A12" t="s">
        <v>45</v>
      </c>
      <c r="B12" t="s">
        <v>140</v>
      </c>
      <c r="C12">
        <v>28.228053457756701</v>
      </c>
      <c r="D12">
        <v>10.489326155559681</v>
      </c>
      <c r="E12">
        <v>20017675.000000004</v>
      </c>
      <c r="F12">
        <f t="shared" si="0"/>
        <v>2.6911217211789076</v>
      </c>
    </row>
    <row r="13" spans="1:6" x14ac:dyDescent="0.35">
      <c r="A13" t="s">
        <v>18</v>
      </c>
      <c r="B13" t="s">
        <v>105</v>
      </c>
      <c r="C13">
        <v>25.186306352665916</v>
      </c>
      <c r="D13">
        <v>42.673685800866124</v>
      </c>
      <c r="E13">
        <v>2388992.5000000005</v>
      </c>
      <c r="F13">
        <f t="shared" si="0"/>
        <v>0.59020695962837888</v>
      </c>
    </row>
    <row r="14" spans="1:6" x14ac:dyDescent="0.35">
      <c r="A14" t="s">
        <v>194</v>
      </c>
      <c r="B14" t="s">
        <v>101</v>
      </c>
      <c r="C14">
        <v>23.968739486189389</v>
      </c>
      <c r="D14">
        <v>12.726508499906593</v>
      </c>
      <c r="E14">
        <v>227379.5</v>
      </c>
      <c r="F14">
        <f t="shared" si="0"/>
        <v>1.883371192213898</v>
      </c>
    </row>
    <row r="15" spans="1:6" x14ac:dyDescent="0.35">
      <c r="A15" t="s">
        <v>44</v>
      </c>
      <c r="B15" t="s">
        <v>139</v>
      </c>
      <c r="C15">
        <v>17.61894444744178</v>
      </c>
      <c r="D15">
        <v>5.2036992954099146</v>
      </c>
      <c r="E15">
        <v>47249584.999999978</v>
      </c>
      <c r="F15">
        <f t="shared" si="0"/>
        <v>3.3858498439721756</v>
      </c>
    </row>
    <row r="16" spans="1:6" x14ac:dyDescent="0.35">
      <c r="A16" t="s">
        <v>23</v>
      </c>
      <c r="B16" t="s">
        <v>123</v>
      </c>
      <c r="C16">
        <v>22.664574423015459</v>
      </c>
      <c r="D16">
        <v>75.215601965601962</v>
      </c>
      <c r="E16">
        <v>54027486.999999985</v>
      </c>
      <c r="F16">
        <f t="shared" si="0"/>
        <v>0.30132809989848325</v>
      </c>
    </row>
    <row r="17" spans="1:6" x14ac:dyDescent="0.35">
      <c r="A17" t="s">
        <v>39</v>
      </c>
      <c r="B17" t="s">
        <v>134</v>
      </c>
      <c r="C17">
        <v>19.489367418267701</v>
      </c>
      <c r="D17">
        <v>8.5050709939148081</v>
      </c>
      <c r="E17">
        <v>8605718.0000000056</v>
      </c>
      <c r="F17">
        <f t="shared" si="0"/>
        <v>2.2914996749835383</v>
      </c>
    </row>
    <row r="18" spans="1:6" x14ac:dyDescent="0.35">
      <c r="A18" t="s">
        <v>2</v>
      </c>
      <c r="B18" t="s">
        <v>110</v>
      </c>
      <c r="C18">
        <v>21.189238630023297</v>
      </c>
      <c r="D18">
        <v>21.176735134619424</v>
      </c>
      <c r="E18">
        <v>35588987.00000003</v>
      </c>
      <c r="F18">
        <f t="shared" si="0"/>
        <v>1.0005904354625201</v>
      </c>
    </row>
    <row r="19" spans="1:6" x14ac:dyDescent="0.35">
      <c r="A19" t="s">
        <v>34</v>
      </c>
      <c r="B19" t="s">
        <v>104</v>
      </c>
      <c r="C19">
        <v>14.041379101625415</v>
      </c>
      <c r="D19">
        <v>17.866783114992721</v>
      </c>
      <c r="E19">
        <v>218541211.50000003</v>
      </c>
      <c r="F19">
        <f t="shared" si="0"/>
        <v>0.78589296188650437</v>
      </c>
    </row>
    <row r="20" spans="1:6" x14ac:dyDescent="0.35">
      <c r="A20" t="s">
        <v>10</v>
      </c>
      <c r="B20" t="s">
        <v>144</v>
      </c>
      <c r="C20">
        <v>13.611460856143795</v>
      </c>
      <c r="D20">
        <v>17.776422993988692</v>
      </c>
      <c r="E20">
        <v>836773.49999999977</v>
      </c>
      <c r="F20">
        <f t="shared" si="0"/>
        <v>0.7657030247731319</v>
      </c>
    </row>
    <row r="21" spans="1:6" x14ac:dyDescent="0.35">
      <c r="A21" t="s">
        <v>24</v>
      </c>
      <c r="B21" t="s">
        <v>108</v>
      </c>
      <c r="C21">
        <v>7.6852732858695818</v>
      </c>
      <c r="D21">
        <v>4.6148174783924176</v>
      </c>
      <c r="E21">
        <v>2305825.5000000019</v>
      </c>
      <c r="F21">
        <f t="shared" si="0"/>
        <v>1.6653471826033659</v>
      </c>
    </row>
    <row r="22" spans="1:6" x14ac:dyDescent="0.35">
      <c r="A22" t="s">
        <v>29</v>
      </c>
      <c r="B22" t="s">
        <v>106</v>
      </c>
      <c r="C22">
        <v>16.418510297753695</v>
      </c>
      <c r="D22">
        <v>38.96465679372637</v>
      </c>
      <c r="E22">
        <v>4736138.9999999991</v>
      </c>
      <c r="F22">
        <f t="shared" si="0"/>
        <v>0.42136930358891833</v>
      </c>
    </row>
    <row r="23" spans="1:6" x14ac:dyDescent="0.35">
      <c r="A23" t="s">
        <v>17</v>
      </c>
      <c r="B23" t="s">
        <v>103</v>
      </c>
      <c r="C23">
        <v>12.563064909315935</v>
      </c>
      <c r="D23">
        <v>16.468657033574161</v>
      </c>
      <c r="E23">
        <v>123379924.50000004</v>
      </c>
      <c r="F23">
        <f t="shared" si="0"/>
        <v>0.76284695732651353</v>
      </c>
    </row>
    <row r="24" spans="1:6" x14ac:dyDescent="0.35">
      <c r="A24" t="s">
        <v>15</v>
      </c>
      <c r="B24" t="s">
        <v>142</v>
      </c>
      <c r="C24">
        <v>14.402204887562185</v>
      </c>
      <c r="D24">
        <v>11.49549056345049</v>
      </c>
      <c r="E24">
        <v>3684031.5000000019</v>
      </c>
      <c r="F24">
        <f t="shared" si="0"/>
        <v>1.2528569188124508</v>
      </c>
    </row>
    <row r="25" spans="1:6" x14ac:dyDescent="0.35">
      <c r="A25" t="s">
        <v>82</v>
      </c>
      <c r="B25" t="s">
        <v>102</v>
      </c>
      <c r="C25">
        <v>13.797158490996726</v>
      </c>
      <c r="D25">
        <v>4.5412705268813731</v>
      </c>
      <c r="E25">
        <v>99010212</v>
      </c>
      <c r="F25">
        <f t="shared" si="0"/>
        <v>3.0381714564958209</v>
      </c>
    </row>
    <row r="26" spans="1:6" x14ac:dyDescent="0.35">
      <c r="A26" t="s">
        <v>195</v>
      </c>
      <c r="B26" t="s">
        <v>137</v>
      </c>
      <c r="C26">
        <v>11.079615116112354</v>
      </c>
      <c r="D26">
        <v>55.125</v>
      </c>
      <c r="E26">
        <v>5970424.0000000009</v>
      </c>
      <c r="F26">
        <f t="shared" si="0"/>
        <v>0.20099075040566627</v>
      </c>
    </row>
    <row r="27" spans="1:6" x14ac:dyDescent="0.35">
      <c r="A27" t="s">
        <v>35</v>
      </c>
      <c r="B27" t="s">
        <v>131</v>
      </c>
      <c r="C27">
        <v>10.996278135102138</v>
      </c>
      <c r="D27">
        <v>41.391365435291313</v>
      </c>
      <c r="E27">
        <v>13776697.499999994</v>
      </c>
      <c r="F27">
        <f t="shared" si="0"/>
        <v>0.26566599143227193</v>
      </c>
    </row>
    <row r="28" spans="1:6" x14ac:dyDescent="0.35">
      <c r="A28" t="s">
        <v>22</v>
      </c>
      <c r="B28" t="s">
        <v>122</v>
      </c>
      <c r="C28">
        <v>11.445256698300556</v>
      </c>
      <c r="D28">
        <v>5.8243557606948082</v>
      </c>
      <c r="E28">
        <v>2105565.4999999991</v>
      </c>
      <c r="F28">
        <f t="shared" si="0"/>
        <v>1.9650682699600772</v>
      </c>
    </row>
    <row r="29" spans="1:6" x14ac:dyDescent="0.35">
      <c r="A29" t="s">
        <v>25</v>
      </c>
      <c r="B29" t="s">
        <v>124</v>
      </c>
      <c r="C29">
        <v>10.141653417174114</v>
      </c>
      <c r="D29">
        <v>58.454296612863345</v>
      </c>
      <c r="E29">
        <v>5302681.0000000028</v>
      </c>
      <c r="F29">
        <f t="shared" si="0"/>
        <v>0.17349714229462407</v>
      </c>
    </row>
    <row r="30" spans="1:6" x14ac:dyDescent="0.35">
      <c r="A30" t="s">
        <v>5</v>
      </c>
      <c r="B30" t="s">
        <v>99</v>
      </c>
      <c r="C30">
        <v>7.6229079232639005</v>
      </c>
      <c r="D30">
        <v>6.4928625093914354</v>
      </c>
      <c r="E30">
        <v>22673762.000000007</v>
      </c>
      <c r="F30">
        <f t="shared" si="0"/>
        <v>1.1740442543235652</v>
      </c>
    </row>
    <row r="31" spans="1:6" x14ac:dyDescent="0.35">
      <c r="A31" t="s">
        <v>196</v>
      </c>
      <c r="B31" t="s">
        <v>114</v>
      </c>
      <c r="C31">
        <v>9.0739677579923601</v>
      </c>
      <c r="D31">
        <v>20.263906002583152</v>
      </c>
      <c r="E31">
        <v>28160542.500000004</v>
      </c>
      <c r="F31">
        <f t="shared" si="0"/>
        <v>0.44778966882473947</v>
      </c>
    </row>
    <row r="32" spans="1:6" x14ac:dyDescent="0.35">
      <c r="A32" t="s">
        <v>31</v>
      </c>
      <c r="B32" t="s">
        <v>129</v>
      </c>
      <c r="C32">
        <v>6.9418666214370077</v>
      </c>
      <c r="D32">
        <v>16.359542530378842</v>
      </c>
      <c r="E32">
        <v>32969518.500000007</v>
      </c>
      <c r="F32">
        <f t="shared" si="0"/>
        <v>0.42433134108403781</v>
      </c>
    </row>
    <row r="33" spans="1:6" x14ac:dyDescent="0.35">
      <c r="A33" t="s">
        <v>14</v>
      </c>
      <c r="B33" t="s">
        <v>118</v>
      </c>
      <c r="C33">
        <v>9.8493909874009749</v>
      </c>
      <c r="D33">
        <v>0.95412514516632685</v>
      </c>
      <c r="E33">
        <v>1674908</v>
      </c>
      <c r="F33">
        <f t="shared" si="0"/>
        <v>10.322955051859566</v>
      </c>
    </row>
    <row r="34" spans="1:6" x14ac:dyDescent="0.35">
      <c r="A34" t="s">
        <v>6</v>
      </c>
      <c r="B34" t="s">
        <v>113</v>
      </c>
      <c r="C34">
        <v>8.0583415905400297</v>
      </c>
      <c r="D34">
        <v>5.7962394193302087</v>
      </c>
      <c r="E34">
        <v>12889576.499999994</v>
      </c>
      <c r="F34">
        <f t="shared" si="0"/>
        <v>1.3902706578451207</v>
      </c>
    </row>
    <row r="35" spans="1:6" x14ac:dyDescent="0.35">
      <c r="A35" t="s">
        <v>3</v>
      </c>
      <c r="B35" t="s">
        <v>111</v>
      </c>
      <c r="C35">
        <v>6.3664244614488705</v>
      </c>
      <c r="D35">
        <v>8.1976856316297013</v>
      </c>
      <c r="E35">
        <v>13352864</v>
      </c>
      <c r="F35">
        <f t="shared" si="0"/>
        <v>0.77661241812992332</v>
      </c>
    </row>
    <row r="36" spans="1:6" x14ac:dyDescent="0.35">
      <c r="A36" t="s">
        <v>7</v>
      </c>
      <c r="B36" t="s">
        <v>116</v>
      </c>
      <c r="C36">
        <v>7.2478366244770029</v>
      </c>
      <c r="D36">
        <v>5.8473988439306357</v>
      </c>
      <c r="E36">
        <v>27914536.499999989</v>
      </c>
      <c r="F36">
        <f t="shared" si="0"/>
        <v>1.2394975642887718</v>
      </c>
    </row>
    <row r="37" spans="1:6" x14ac:dyDescent="0.35">
      <c r="A37" t="s">
        <v>197</v>
      </c>
      <c r="B37" t="s">
        <v>119</v>
      </c>
      <c r="C37">
        <v>6.294441731697038</v>
      </c>
      <c r="D37">
        <v>10.645443106523956</v>
      </c>
      <c r="E37">
        <v>2705991.9999999995</v>
      </c>
      <c r="F37">
        <f t="shared" si="0"/>
        <v>0.59128038811644679</v>
      </c>
    </row>
    <row r="38" spans="1:6" x14ac:dyDescent="0.35">
      <c r="A38" t="s">
        <v>41</v>
      </c>
      <c r="B38" t="s">
        <v>136</v>
      </c>
      <c r="C38">
        <v>4.5687943738770151</v>
      </c>
      <c r="D38">
        <v>14.886426063486757</v>
      </c>
      <c r="E38">
        <v>10913163.5</v>
      </c>
      <c r="F38">
        <f t="shared" si="0"/>
        <v>0.3069100907358347</v>
      </c>
    </row>
    <row r="39" spans="1:6" x14ac:dyDescent="0.35">
      <c r="A39" t="s">
        <v>42</v>
      </c>
      <c r="B39" t="s">
        <v>145</v>
      </c>
      <c r="C39">
        <v>6.2037247448568724</v>
      </c>
      <c r="D39">
        <v>7.3905056384139689</v>
      </c>
      <c r="E39">
        <v>65497748.000000045</v>
      </c>
      <c r="F39">
        <f t="shared" si="0"/>
        <v>0.83941817358361637</v>
      </c>
    </row>
    <row r="40" spans="1:6" x14ac:dyDescent="0.35">
      <c r="A40" t="s">
        <v>37</v>
      </c>
      <c r="B40" t="s">
        <v>132</v>
      </c>
      <c r="C40">
        <v>4.2144104174203356</v>
      </c>
      <c r="D40">
        <v>7.1829353403866092</v>
      </c>
      <c r="E40">
        <v>17316449</v>
      </c>
      <c r="F40">
        <f t="shared" si="0"/>
        <v>0.58672537308313044</v>
      </c>
    </row>
    <row r="41" spans="1:6" x14ac:dyDescent="0.35">
      <c r="A41" t="s">
        <v>43</v>
      </c>
      <c r="B41" t="s">
        <v>143</v>
      </c>
      <c r="C41">
        <v>3.797168589256374</v>
      </c>
      <c r="D41">
        <v>10.599369085173501</v>
      </c>
      <c r="E41">
        <v>8848698.5000000019</v>
      </c>
      <c r="F41">
        <f t="shared" si="0"/>
        <v>0.35824477464115195</v>
      </c>
    </row>
    <row r="42" spans="1:6" x14ac:dyDescent="0.35">
      <c r="A42" t="s">
        <v>28</v>
      </c>
      <c r="B42" t="s">
        <v>127</v>
      </c>
      <c r="C42">
        <v>4.7486918911803722</v>
      </c>
      <c r="D42">
        <v>5.5539278160210301</v>
      </c>
      <c r="E42">
        <v>22593590.500000022</v>
      </c>
      <c r="F42">
        <f t="shared" si="0"/>
        <v>0.85501505393753052</v>
      </c>
    </row>
    <row r="43" spans="1:6" x14ac:dyDescent="0.35">
      <c r="A43" t="s">
        <v>27</v>
      </c>
      <c r="B43" t="s">
        <v>126</v>
      </c>
      <c r="C43">
        <v>5.2415574025453457</v>
      </c>
      <c r="D43">
        <v>21.348430688993169</v>
      </c>
      <c r="E43">
        <v>20405316.500000019</v>
      </c>
      <c r="F43">
        <f t="shared" si="0"/>
        <v>0.24552424854571581</v>
      </c>
    </row>
    <row r="44" spans="1:6" x14ac:dyDescent="0.35">
      <c r="A44" t="s">
        <v>26</v>
      </c>
      <c r="B44" t="s">
        <v>125</v>
      </c>
      <c r="C44">
        <v>3.3061240561758769</v>
      </c>
      <c r="D44">
        <v>3.4278711484593836</v>
      </c>
      <c r="E44">
        <v>29611714.000000004</v>
      </c>
      <c r="F44">
        <f t="shared" si="0"/>
        <v>0.96448317716428034</v>
      </c>
    </row>
    <row r="45" spans="1:6" x14ac:dyDescent="0.35">
      <c r="A45" t="s">
        <v>21</v>
      </c>
      <c r="B45" t="s">
        <v>121</v>
      </c>
      <c r="C45">
        <v>3.8676651873228853</v>
      </c>
      <c r="D45">
        <v>3.096666017972511</v>
      </c>
      <c r="E45">
        <v>13859340.500000006</v>
      </c>
      <c r="F45">
        <f t="shared" si="0"/>
        <v>1.248977178964612</v>
      </c>
    </row>
    <row r="46" spans="1:6" x14ac:dyDescent="0.35">
      <c r="A46" t="s">
        <v>9</v>
      </c>
      <c r="B46" t="s">
        <v>117</v>
      </c>
      <c r="C46">
        <v>2.761420125367863</v>
      </c>
      <c r="D46">
        <v>1.5058928414930488</v>
      </c>
      <c r="E46">
        <v>17723314.500000004</v>
      </c>
      <c r="F46">
        <f t="shared" si="0"/>
        <v>1.8337427798846533</v>
      </c>
    </row>
    <row r="47" spans="1:6" x14ac:dyDescent="0.35">
      <c r="A47" t="s">
        <v>8</v>
      </c>
      <c r="B47" t="s">
        <v>100</v>
      </c>
      <c r="C47">
        <v>1.42471640503089</v>
      </c>
      <c r="D47">
        <v>6.4595309501231828</v>
      </c>
      <c r="E47">
        <v>5579143.5000000047</v>
      </c>
      <c r="F47">
        <f t="shared" si="0"/>
        <v>0.22056034966497387</v>
      </c>
    </row>
    <row r="48" spans="1:6" x14ac:dyDescent="0.35">
      <c r="A48" t="s">
        <v>33</v>
      </c>
      <c r="B48" t="s">
        <v>138</v>
      </c>
      <c r="C48">
        <v>2.011093594964394</v>
      </c>
      <c r="D48">
        <v>7.8083990631299782</v>
      </c>
      <c r="E48">
        <v>26207976.5</v>
      </c>
      <c r="F48">
        <f t="shared" si="0"/>
        <v>0.25755517599765859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Stock grad Doctors</vt:lpstr>
      <vt:lpstr>Sheet2</vt:lpstr>
      <vt:lpstr>Sheet1</vt:lpstr>
      <vt:lpstr>Nurses</vt:lpstr>
      <vt:lpstr>DoctNurses</vt:lpstr>
      <vt:lpstr>Sheet4</vt:lpstr>
      <vt:lpstr>All workforce stock</vt:lpstr>
      <vt:lpstr>All workforce density </vt:lpstr>
      <vt:lpstr>Doctors education</vt:lpstr>
      <vt:lpstr>Nurses education</vt:lpstr>
      <vt:lpstr>stockgranddensity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2024-03-05T16:05:31Z</dcterms:created>
  <dcterms:modified xsi:type="dcterms:W3CDTF">2024-09-05T09:45:38Z</dcterms:modified>
</cp:coreProperties>
</file>