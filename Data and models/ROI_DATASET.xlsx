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mungatuj_who_int/Documents/OMS/HRH Sandon input July 25/"/>
    </mc:Choice>
  </mc:AlternateContent>
  <xr:revisionPtr revIDLastSave="0" documentId="8_{996B6902-BA84-40D5-AC12-CFD13077F7F5}" xr6:coauthVersionLast="47" xr6:coauthVersionMax="47" xr10:uidLastSave="{00000000-0000-0000-0000-000000000000}"/>
  <bookViews>
    <workbookView xWindow="-110" yWindow="-110" windowWidth="19420" windowHeight="10300" tabRatio="737" xr2:uid="{123A028B-70F3-428A-B189-3D2F083D75F5}"/>
  </bookViews>
  <sheets>
    <sheet name="HAQ" sheetId="1" r:id="rId1"/>
    <sheet name="Productivité_ILO" sheetId="7" r:id="rId2"/>
    <sheet name="GINI_Index" sheetId="8" r:id="rId3"/>
    <sheet name="Density" sheetId="9" r:id="rId4"/>
    <sheet name="GDP_PPP" sheetId="2" r:id="rId5"/>
    <sheet name="HALE_2021" sheetId="3" r:id="rId6"/>
    <sheet name="SCI_2021" sheetId="4" r:id="rId7"/>
    <sheet name="DALYS_2021" sheetId="5" r:id="rId8"/>
    <sheet name="HSI" sheetId="6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3" i="2"/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3" i="4"/>
</calcChain>
</file>

<file path=xl/sharedStrings.xml><?xml version="1.0" encoding="utf-8"?>
<sst xmlns="http://schemas.openxmlformats.org/spreadsheetml/2006/main" count="885" uniqueCount="117">
  <si>
    <t>Country</t>
  </si>
  <si>
    <t>ISO</t>
  </si>
  <si>
    <t>Algeria</t>
  </si>
  <si>
    <t>DZA</t>
  </si>
  <si>
    <t>Angola</t>
  </si>
  <si>
    <t>AGO</t>
  </si>
  <si>
    <t>Burundi</t>
  </si>
  <si>
    <t>BDI</t>
  </si>
  <si>
    <t>Benin</t>
  </si>
  <si>
    <t>BEN</t>
  </si>
  <si>
    <t>Burkina Faso</t>
  </si>
  <si>
    <t>BFA</t>
  </si>
  <si>
    <t>Botswana</t>
  </si>
  <si>
    <t>BWA</t>
  </si>
  <si>
    <t>Central African Republic</t>
  </si>
  <si>
    <t>CAF</t>
  </si>
  <si>
    <t>CIV</t>
  </si>
  <si>
    <t>Cameroon</t>
  </si>
  <si>
    <t>CMR</t>
  </si>
  <si>
    <t>COD</t>
  </si>
  <si>
    <t>COG</t>
  </si>
  <si>
    <t>Comoros</t>
  </si>
  <si>
    <t>COM</t>
  </si>
  <si>
    <t>Cabo Verde</t>
  </si>
  <si>
    <t>CPV</t>
  </si>
  <si>
    <t>Eritrea</t>
  </si>
  <si>
    <t>ERI</t>
  </si>
  <si>
    <t>Ethiopia</t>
  </si>
  <si>
    <t>ETH</t>
  </si>
  <si>
    <t>Gabon</t>
  </si>
  <si>
    <t>GAB</t>
  </si>
  <si>
    <t>Ghana</t>
  </si>
  <si>
    <t>GHA</t>
  </si>
  <si>
    <t>Guinea</t>
  </si>
  <si>
    <t>GIN</t>
  </si>
  <si>
    <t>GMB</t>
  </si>
  <si>
    <t>Guinea-Bissau</t>
  </si>
  <si>
    <t>GNB</t>
  </si>
  <si>
    <t>Equatorial Guinea</t>
  </si>
  <si>
    <t>GNQ</t>
  </si>
  <si>
    <t>Kenya</t>
  </si>
  <si>
    <t>KEN</t>
  </si>
  <si>
    <t>Liberia</t>
  </si>
  <si>
    <t>LBR</t>
  </si>
  <si>
    <t>Lesotho</t>
  </si>
  <si>
    <t>LSO</t>
  </si>
  <si>
    <t>Madagascar</t>
  </si>
  <si>
    <t>MDG</t>
  </si>
  <si>
    <t>Mali</t>
  </si>
  <si>
    <t>MLI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</si>
  <si>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</si>
  <si>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</si>
  <si>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</si>
  <si>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</si>
  <si>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</si>
  <si>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</si>
  <si>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</si>
  <si>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</si>
  <si>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</si>
  <si>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</si>
  <si>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</si>
  <si>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</si>
  <si>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</si>
  <si>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</si>
  <si>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</si>
  <si>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</si>
  <si>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Senegal</t>
  </si>
  <si>
    <t>SEN</t>
  </si>
  <si>
    <t>Sierra Leone</t>
  </si>
  <si>
    <t>SLE</t>
  </si>
  <si>
    <t>South Sudan</t>
  </si>
  <si>
    <t>SSD</t>
  </si>
  <si>
    <t>Sao Tome and Principe</t>
  </si>
  <si>
    <t>STP</t>
  </si>
  <si>
    <t>Eswatini</t>
  </si>
  <si>
    <t>SWZ</t>
  </si>
  <si>
    <t>Chad</t>
  </si>
  <si>
    <t>TCD</t>
  </si>
  <si>
    <t>Togo</t>
  </si>
  <si>
    <t>TGO</t>
  </si>
  <si>
    <t>TZA</t>
  </si>
  <si>
    <t>Uganda</t>
  </si>
  <si>
    <t>UGA</t>
  </si>
  <si>
    <t>South Africa</t>
  </si>
  <si>
    <t>ZAF</t>
  </si>
  <si>
    <t>Zambia</t>
  </si>
  <si>
    <t>ZMB</t>
  </si>
  <si>
    <t>Zimbabwe</t>
  </si>
  <si>
    <t>ZWE</t>
  </si>
  <si>
    <t>III. Injuries per capita 2021</t>
  </si>
  <si>
    <t>Côte d'Ivoire</t>
  </si>
  <si>
    <t>Congo</t>
  </si>
  <si>
    <t>Gambia</t>
  </si>
  <si>
    <t>Seychelles</t>
  </si>
  <si>
    <t>Capacity and Access</t>
  </si>
  <si>
    <t>Infectious diseases</t>
  </si>
  <si>
    <t>NCD</t>
  </si>
  <si>
    <t>RMNCH</t>
  </si>
  <si>
    <t>Democratic Republic of the Congo</t>
  </si>
  <si>
    <t>United Republic of Tanzania</t>
  </si>
  <si>
    <t>SYC</t>
  </si>
  <si>
    <t>SCI</t>
  </si>
  <si>
    <t>All Causes per capita 2021</t>
  </si>
  <si>
    <t>I. Communicable, maternal, perinatal and nutritional conditions per capita 2021</t>
  </si>
  <si>
    <t>II. Noncommunicable diseases per capita (2021)</t>
  </si>
  <si>
    <t>HALE</t>
  </si>
  <si>
    <t>Source: WEO, April 2025</t>
  </si>
  <si>
    <t>HAQ</t>
  </si>
  <si>
    <t>GDP per hour worked (GDP constant 2021 international $ at PPP) in 2025</t>
  </si>
  <si>
    <t>GINI INDEX</t>
  </si>
  <si>
    <t>Medical Doctors</t>
  </si>
  <si>
    <t>Nursing Personnel</t>
  </si>
  <si>
    <t>Midwifery Personnel</t>
  </si>
  <si>
    <t>Pharmacists</t>
  </si>
  <si>
    <t>Dentists</t>
  </si>
  <si>
    <t>Medical and Pathology Laboratory Scientists</t>
  </si>
  <si>
    <t>Medical and Pathology Laboratory Technicians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</si>
</sst>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rldhealthorg-my.sharepoint.com/personal/kbediakon_who_int/Documents/AFRO%20HWF%20UNIT/WDI_EXCEL%20(World%20Development%20Indicators%20-%202023)/WEOApr2025all.xls" TargetMode="External"/><Relationship Id="rId1" Type="http://schemas.openxmlformats.org/officeDocument/2006/relationships/externalLinkPath" Target="/personal/kbediakon_who_int/Documents/AFRO%20HWF%20UNIT/WDI_EXCEL%20(World%20Development%20Indicators%20-%202023)/WEOApr2025a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OApr2025all"/>
      <sheetName val="Sheet1"/>
    </sheetNames>
    <sheetDataSet>
      <sheetData sheetId="0" refreshError="1"/>
      <sheetData sheetId="1">
        <row r="1">
          <cell r="B1" t="str">
            <v>ISO</v>
          </cell>
          <cell r="BA1">
            <v>2023</v>
          </cell>
          <cell r="BB1">
            <v>2024</v>
          </cell>
        </row>
        <row r="2">
          <cell r="B2" t="str">
            <v>AFG</v>
          </cell>
          <cell r="BA2">
            <v>1950.136</v>
          </cell>
          <cell r="BB2" t="str">
            <v>n/a</v>
          </cell>
        </row>
        <row r="3">
          <cell r="B3" t="str">
            <v>ALB</v>
          </cell>
          <cell r="BA3">
            <v>18219.04</v>
          </cell>
          <cell r="BB3">
            <v>19132.149000000001</v>
          </cell>
        </row>
        <row r="4">
          <cell r="B4" t="str">
            <v>DZA</v>
          </cell>
          <cell r="BA4">
            <v>15227.463</v>
          </cell>
          <cell r="BB4">
            <v>15545.11</v>
          </cell>
        </row>
        <row r="5">
          <cell r="B5" t="str">
            <v>AND</v>
          </cell>
          <cell r="BA5">
            <v>61407.364000000001</v>
          </cell>
          <cell r="BB5">
            <v>62023.811000000002</v>
          </cell>
        </row>
        <row r="6">
          <cell r="B6" t="str">
            <v>AGO</v>
          </cell>
          <cell r="BA6">
            <v>8781.5580000000009</v>
          </cell>
          <cell r="BB6">
            <v>8866.6910000000007</v>
          </cell>
        </row>
        <row r="7">
          <cell r="B7" t="str">
            <v>ATG</v>
          </cell>
          <cell r="BA7">
            <v>26000.135999999999</v>
          </cell>
          <cell r="BB7">
            <v>26773.525000000001</v>
          </cell>
        </row>
        <row r="8">
          <cell r="B8" t="str">
            <v>ARG</v>
          </cell>
          <cell r="BA8">
            <v>26456.510999999999</v>
          </cell>
          <cell r="BB8">
            <v>25744.254000000001</v>
          </cell>
        </row>
        <row r="9">
          <cell r="B9" t="str">
            <v>ARM</v>
          </cell>
          <cell r="BA9">
            <v>19401.001</v>
          </cell>
          <cell r="BB9">
            <v>20551.895</v>
          </cell>
        </row>
        <row r="10">
          <cell r="B10" t="str">
            <v>ABW</v>
          </cell>
          <cell r="BA10">
            <v>40035.749000000003</v>
          </cell>
          <cell r="BB10">
            <v>42649.377999999997</v>
          </cell>
        </row>
        <row r="11">
          <cell r="B11" t="str">
            <v>AUS</v>
          </cell>
          <cell r="BA11">
            <v>61311.141000000003</v>
          </cell>
          <cell r="BB11">
            <v>61556.921999999999</v>
          </cell>
        </row>
        <row r="12">
          <cell r="B12" t="str">
            <v>AUT</v>
          </cell>
          <cell r="BA12">
            <v>65207.843999999997</v>
          </cell>
          <cell r="BB12">
            <v>64062.462</v>
          </cell>
        </row>
        <row r="13">
          <cell r="B13" t="str">
            <v>AZE</v>
          </cell>
          <cell r="BA13">
            <v>21367.257000000001</v>
          </cell>
          <cell r="BB13">
            <v>21979.56</v>
          </cell>
        </row>
        <row r="14">
          <cell r="B14" t="str">
            <v>BHS</v>
          </cell>
          <cell r="BA14">
            <v>32755.823</v>
          </cell>
          <cell r="BB14">
            <v>33047.417999999998</v>
          </cell>
        </row>
        <row r="15">
          <cell r="B15" t="str">
            <v>BHR</v>
          </cell>
          <cell r="BA15">
            <v>57819.866000000002</v>
          </cell>
          <cell r="BB15">
            <v>57966.036</v>
          </cell>
        </row>
        <row r="16">
          <cell r="B16" t="str">
            <v>BGD</v>
          </cell>
          <cell r="BA16">
            <v>8299.9240000000009</v>
          </cell>
          <cell r="BB16">
            <v>8562.9509999999991</v>
          </cell>
        </row>
        <row r="17">
          <cell r="B17" t="str">
            <v>BRB</v>
          </cell>
          <cell r="BA17">
            <v>18710.233</v>
          </cell>
          <cell r="BB17">
            <v>19409.402999999998</v>
          </cell>
        </row>
        <row r="18">
          <cell r="B18" t="str">
            <v>BLR</v>
          </cell>
          <cell r="BA18">
            <v>27241.297999999999</v>
          </cell>
          <cell r="BB18">
            <v>28473.316999999999</v>
          </cell>
        </row>
        <row r="19">
          <cell r="B19" t="str">
            <v>BEL</v>
          </cell>
          <cell r="BA19">
            <v>64429.777000000002</v>
          </cell>
          <cell r="BB19">
            <v>64662.222999999998</v>
          </cell>
        </row>
        <row r="20">
          <cell r="B20" t="str">
            <v>BLZ</v>
          </cell>
          <cell r="BA20">
            <v>12668.179</v>
          </cell>
          <cell r="BB20">
            <v>13481.516</v>
          </cell>
        </row>
        <row r="21">
          <cell r="B21" t="str">
            <v>BEN</v>
          </cell>
          <cell r="BA21">
            <v>3829.2849999999999</v>
          </cell>
          <cell r="BB21">
            <v>3966.8029999999999</v>
          </cell>
        </row>
        <row r="22">
          <cell r="B22" t="str">
            <v>BTN</v>
          </cell>
          <cell r="BA22">
            <v>13830.664000000001</v>
          </cell>
          <cell r="BB22">
            <v>14296.921</v>
          </cell>
        </row>
        <row r="23">
          <cell r="B23" t="str">
            <v>BOL</v>
          </cell>
          <cell r="BA23">
            <v>9936.6149999999998</v>
          </cell>
          <cell r="BB23">
            <v>9934.7469999999994</v>
          </cell>
        </row>
        <row r="24">
          <cell r="B24" t="str">
            <v>BIH</v>
          </cell>
          <cell r="BA24">
            <v>18467.034</v>
          </cell>
          <cell r="BB24">
            <v>18977.861000000001</v>
          </cell>
        </row>
        <row r="25">
          <cell r="B25" t="str">
            <v>BWA</v>
          </cell>
          <cell r="BA25">
            <v>17551.773000000001</v>
          </cell>
          <cell r="BB25">
            <v>16749.388999999999</v>
          </cell>
        </row>
        <row r="26">
          <cell r="B26" t="str">
            <v>BRA</v>
          </cell>
          <cell r="BA26">
            <v>19029.817999999999</v>
          </cell>
          <cell r="BB26">
            <v>19593.807000000001</v>
          </cell>
        </row>
        <row r="27">
          <cell r="B27" t="str">
            <v>BRN</v>
          </cell>
          <cell r="BA27">
            <v>78273.100000000006</v>
          </cell>
          <cell r="BB27">
            <v>80668.991999999998</v>
          </cell>
        </row>
        <row r="28">
          <cell r="B28" t="str">
            <v>BGR</v>
          </cell>
          <cell r="BA28">
            <v>33410.78</v>
          </cell>
          <cell r="BB28">
            <v>34696.868000000002</v>
          </cell>
        </row>
        <row r="29">
          <cell r="B29" t="str">
            <v>BFA</v>
          </cell>
          <cell r="BA29">
            <v>2462.8519999999999</v>
          </cell>
          <cell r="BB29">
            <v>2508.5279999999998</v>
          </cell>
        </row>
        <row r="30">
          <cell r="B30" t="str">
            <v>BDI</v>
          </cell>
          <cell r="BA30">
            <v>875.15700000000004</v>
          </cell>
          <cell r="BB30">
            <v>879.67</v>
          </cell>
        </row>
        <row r="31">
          <cell r="B31" t="str">
            <v>CPV</v>
          </cell>
          <cell r="BA31">
            <v>9530.2099999999991</v>
          </cell>
          <cell r="BB31">
            <v>10052.799000000001</v>
          </cell>
        </row>
        <row r="32">
          <cell r="B32" t="str">
            <v>KHM</v>
          </cell>
          <cell r="BA32">
            <v>6855.1480000000001</v>
          </cell>
          <cell r="BB32">
            <v>7195.7150000000001</v>
          </cell>
        </row>
        <row r="33">
          <cell r="B33" t="str">
            <v>CMR</v>
          </cell>
          <cell r="BA33">
            <v>4829.0240000000003</v>
          </cell>
          <cell r="BB33">
            <v>4880.5190000000002</v>
          </cell>
        </row>
        <row r="34">
          <cell r="B34" t="str">
            <v>CAN</v>
          </cell>
          <cell r="BA34">
            <v>56874.101000000002</v>
          </cell>
          <cell r="BB34">
            <v>56093.271000000001</v>
          </cell>
        </row>
        <row r="35">
          <cell r="B35" t="str">
            <v>CAF</v>
          </cell>
          <cell r="BA35">
            <v>1163.4580000000001</v>
          </cell>
          <cell r="BB35">
            <v>1145.1610000000001</v>
          </cell>
        </row>
        <row r="36">
          <cell r="B36" t="str">
            <v>TCD</v>
          </cell>
          <cell r="BA36">
            <v>2623.6219999999998</v>
          </cell>
          <cell r="BB36">
            <v>2588.8200000000002</v>
          </cell>
        </row>
        <row r="37">
          <cell r="B37" t="str">
            <v>CHL</v>
          </cell>
          <cell r="BA37">
            <v>29114.080999999998</v>
          </cell>
          <cell r="BB37">
            <v>29697.25</v>
          </cell>
        </row>
        <row r="38">
          <cell r="B38" t="str">
            <v>CHN</v>
          </cell>
          <cell r="BA38">
            <v>22676.97</v>
          </cell>
          <cell r="BB38">
            <v>23834.953000000001</v>
          </cell>
        </row>
        <row r="39">
          <cell r="B39" t="str">
            <v>COL</v>
          </cell>
          <cell r="BA39">
            <v>18756.052</v>
          </cell>
          <cell r="BB39">
            <v>18909.151000000002</v>
          </cell>
        </row>
        <row r="40">
          <cell r="B40" t="str">
            <v>COM</v>
          </cell>
          <cell r="BA40">
            <v>3356.835</v>
          </cell>
          <cell r="BB40">
            <v>3392.3159999999998</v>
          </cell>
        </row>
        <row r="41">
          <cell r="B41" t="str">
            <v>COD</v>
          </cell>
          <cell r="BA41">
            <v>1544.1389999999999</v>
          </cell>
          <cell r="BB41">
            <v>1592.4770000000001</v>
          </cell>
        </row>
        <row r="42">
          <cell r="B42" t="str">
            <v>COG</v>
          </cell>
          <cell r="BA42">
            <v>5633.357</v>
          </cell>
          <cell r="BB42">
            <v>5622.1610000000001</v>
          </cell>
        </row>
        <row r="43">
          <cell r="B43" t="str">
            <v>CRI</v>
          </cell>
          <cell r="BA43">
            <v>25433.041000000001</v>
          </cell>
          <cell r="BB43">
            <v>26297.89</v>
          </cell>
        </row>
        <row r="44">
          <cell r="B44" t="str">
            <v>CIV</v>
          </cell>
          <cell r="BA44">
            <v>6526.7870000000003</v>
          </cell>
          <cell r="BB44">
            <v>6726.0720000000001</v>
          </cell>
        </row>
        <row r="45">
          <cell r="B45" t="str">
            <v>HRV</v>
          </cell>
          <cell r="BA45">
            <v>41114.519</v>
          </cell>
          <cell r="BB45">
            <v>42725.758999999998</v>
          </cell>
        </row>
        <row r="46">
          <cell r="B46" t="str">
            <v>CYP</v>
          </cell>
          <cell r="BA46">
            <v>53486.945</v>
          </cell>
          <cell r="BB46">
            <v>54725.838000000003</v>
          </cell>
        </row>
        <row r="47">
          <cell r="B47" t="str">
            <v>CZE</v>
          </cell>
          <cell r="BA47">
            <v>49757.478000000003</v>
          </cell>
          <cell r="BB47">
            <v>49920.98</v>
          </cell>
        </row>
        <row r="48">
          <cell r="B48" t="str">
            <v>DNK</v>
          </cell>
          <cell r="BA48">
            <v>72271.774999999994</v>
          </cell>
          <cell r="BB48">
            <v>74569.63</v>
          </cell>
        </row>
        <row r="49">
          <cell r="B49" t="str">
            <v>DJI</v>
          </cell>
          <cell r="BA49">
            <v>7328.4750000000004</v>
          </cell>
          <cell r="BB49">
            <v>7706.1130000000003</v>
          </cell>
        </row>
        <row r="50">
          <cell r="B50" t="str">
            <v>DMA</v>
          </cell>
          <cell r="BA50">
            <v>15556.761</v>
          </cell>
          <cell r="BB50">
            <v>16183.828</v>
          </cell>
        </row>
        <row r="51">
          <cell r="B51" t="str">
            <v>DOM</v>
          </cell>
          <cell r="BA51">
            <v>24635.244999999999</v>
          </cell>
          <cell r="BB51">
            <v>25644.792000000001</v>
          </cell>
        </row>
        <row r="52">
          <cell r="B52" t="str">
            <v>ECU</v>
          </cell>
          <cell r="BA52">
            <v>14459.832</v>
          </cell>
          <cell r="BB52">
            <v>14072.581</v>
          </cell>
        </row>
        <row r="53">
          <cell r="B53" t="str">
            <v>EGY</v>
          </cell>
          <cell r="BA53">
            <v>18183.458999999999</v>
          </cell>
          <cell r="BB53">
            <v>18254.553</v>
          </cell>
        </row>
        <row r="54">
          <cell r="B54" t="str">
            <v>SLV</v>
          </cell>
          <cell r="BA54">
            <v>11305.035</v>
          </cell>
          <cell r="BB54">
            <v>11547.03</v>
          </cell>
        </row>
        <row r="55">
          <cell r="B55" t="str">
            <v>GNQ</v>
          </cell>
          <cell r="BA55">
            <v>18770.063999999998</v>
          </cell>
          <cell r="BB55">
            <v>18565.41</v>
          </cell>
        </row>
        <row r="56">
          <cell r="B56" t="str">
            <v>ERI</v>
          </cell>
        </row>
        <row r="57">
          <cell r="B57" t="str">
            <v>EST</v>
          </cell>
          <cell r="BA57">
            <v>42471.834999999999</v>
          </cell>
          <cell r="BB57">
            <v>42327.002</v>
          </cell>
        </row>
        <row r="58">
          <cell r="B58" t="str">
            <v>SWZ</v>
          </cell>
          <cell r="BA58">
            <v>11033.557000000001</v>
          </cell>
          <cell r="BB58">
            <v>11315.553</v>
          </cell>
        </row>
        <row r="59">
          <cell r="B59" t="str">
            <v>ETH</v>
          </cell>
          <cell r="BA59">
            <v>3409.15</v>
          </cell>
          <cell r="BB59">
            <v>3591.681</v>
          </cell>
        </row>
        <row r="60">
          <cell r="B60" t="str">
            <v>FJI</v>
          </cell>
          <cell r="BA60">
            <v>13755.498</v>
          </cell>
          <cell r="BB60">
            <v>14174.337</v>
          </cell>
        </row>
        <row r="61">
          <cell r="B61" t="str">
            <v>FIN</v>
          </cell>
          <cell r="BA61">
            <v>57005.112000000001</v>
          </cell>
          <cell r="BB61">
            <v>56523.544999999998</v>
          </cell>
        </row>
        <row r="62">
          <cell r="B62" t="str">
            <v>FRA</v>
          </cell>
          <cell r="BA62">
            <v>55601.96</v>
          </cell>
          <cell r="BB62">
            <v>56038.84</v>
          </cell>
        </row>
        <row r="63">
          <cell r="B63" t="str">
            <v>GAB</v>
          </cell>
          <cell r="BA63">
            <v>21035.028999999999</v>
          </cell>
          <cell r="BB63">
            <v>21218.077000000001</v>
          </cell>
        </row>
        <row r="64">
          <cell r="B64" t="str">
            <v>GMB</v>
          </cell>
          <cell r="BA64">
            <v>2991.8870000000002</v>
          </cell>
          <cell r="BB64">
            <v>3073.5410000000002</v>
          </cell>
        </row>
        <row r="65">
          <cell r="B65" t="str">
            <v>GEO</v>
          </cell>
          <cell r="BA65">
            <v>22464.219000000001</v>
          </cell>
          <cell r="BB65">
            <v>24860.394</v>
          </cell>
        </row>
        <row r="66">
          <cell r="B66" t="str">
            <v>DEU</v>
          </cell>
          <cell r="BA66">
            <v>62649.743000000002</v>
          </cell>
          <cell r="BB66">
            <v>62355.495000000003</v>
          </cell>
        </row>
        <row r="67">
          <cell r="B67" t="str">
            <v>GHA</v>
          </cell>
          <cell r="BA67">
            <v>6808.5389999999998</v>
          </cell>
          <cell r="BB67">
            <v>7061.9350000000004</v>
          </cell>
        </row>
        <row r="68">
          <cell r="B68" t="str">
            <v>GRC</v>
          </cell>
          <cell r="BA68">
            <v>36875.671999999999</v>
          </cell>
          <cell r="BB68">
            <v>37761.485999999997</v>
          </cell>
        </row>
        <row r="69">
          <cell r="B69" t="str">
            <v>GRD</v>
          </cell>
          <cell r="BA69">
            <v>17442.45</v>
          </cell>
          <cell r="BB69">
            <v>17973.202000000001</v>
          </cell>
        </row>
        <row r="70">
          <cell r="B70" t="str">
            <v>GTM</v>
          </cell>
          <cell r="BA70">
            <v>12757.079</v>
          </cell>
          <cell r="BB70">
            <v>13043.857</v>
          </cell>
        </row>
        <row r="71">
          <cell r="B71" t="str">
            <v>GIN</v>
          </cell>
          <cell r="BA71">
            <v>3764.5329999999999</v>
          </cell>
          <cell r="BB71">
            <v>3895.7669999999998</v>
          </cell>
        </row>
        <row r="72">
          <cell r="B72" t="str">
            <v>GNB</v>
          </cell>
          <cell r="BA72">
            <v>2662.1570000000002</v>
          </cell>
          <cell r="BB72">
            <v>2729.1590000000001</v>
          </cell>
        </row>
        <row r="73">
          <cell r="B73" t="str">
            <v>GUY</v>
          </cell>
          <cell r="BA73">
            <v>51309.760999999999</v>
          </cell>
          <cell r="BB73">
            <v>73444.671000000002</v>
          </cell>
        </row>
        <row r="74">
          <cell r="B74" t="str">
            <v>HTI</v>
          </cell>
          <cell r="BA74">
            <v>2822.8980000000001</v>
          </cell>
          <cell r="BB74">
            <v>2668.578</v>
          </cell>
        </row>
        <row r="75">
          <cell r="B75" t="str">
            <v>HND</v>
          </cell>
          <cell r="BA75">
            <v>6573.0540000000001</v>
          </cell>
          <cell r="BB75">
            <v>6692.12</v>
          </cell>
        </row>
        <row r="76">
          <cell r="B76" t="str">
            <v>HKG</v>
          </cell>
          <cell r="BA76">
            <v>64498.911</v>
          </cell>
          <cell r="BB76">
            <v>66082.652000000002</v>
          </cell>
        </row>
        <row r="77">
          <cell r="B77" t="str">
            <v>HUN</v>
          </cell>
          <cell r="BA77">
            <v>40676.542000000001</v>
          </cell>
          <cell r="BB77">
            <v>40948.913</v>
          </cell>
        </row>
        <row r="78">
          <cell r="B78" t="str">
            <v>ISL</v>
          </cell>
          <cell r="BA78">
            <v>70754.838000000003</v>
          </cell>
          <cell r="BB78">
            <v>69543.671000000002</v>
          </cell>
        </row>
        <row r="79">
          <cell r="B79" t="str">
            <v>IND</v>
          </cell>
          <cell r="BA79">
            <v>9363.23</v>
          </cell>
          <cell r="BB79">
            <v>9877.5930000000008</v>
          </cell>
        </row>
        <row r="80">
          <cell r="B80" t="str">
            <v>IDN</v>
          </cell>
          <cell r="BA80">
            <v>14014.268</v>
          </cell>
          <cell r="BB80">
            <v>14567.254999999999</v>
          </cell>
        </row>
        <row r="81">
          <cell r="B81" t="str">
            <v>IRN</v>
          </cell>
          <cell r="BA81">
            <v>16811.472000000002</v>
          </cell>
          <cell r="BB81">
            <v>17222.491999999998</v>
          </cell>
        </row>
        <row r="82">
          <cell r="B82" t="str">
            <v>IRQ</v>
          </cell>
          <cell r="BA82">
            <v>13828.803</v>
          </cell>
          <cell r="BB82">
            <v>13534.525</v>
          </cell>
        </row>
        <row r="83">
          <cell r="B83" t="str">
            <v>IRL</v>
          </cell>
          <cell r="BA83">
            <v>114412.856</v>
          </cell>
          <cell r="BB83">
            <v>113869.202</v>
          </cell>
        </row>
        <row r="84">
          <cell r="B84" t="str">
            <v>ISR</v>
          </cell>
          <cell r="BA84">
            <v>47637.868999999999</v>
          </cell>
          <cell r="BB84">
            <v>47443.963000000003</v>
          </cell>
        </row>
        <row r="85">
          <cell r="B85" t="str">
            <v>ITA</v>
          </cell>
          <cell r="BA85">
            <v>53399.22</v>
          </cell>
          <cell r="BB85">
            <v>53810.506000000001</v>
          </cell>
        </row>
        <row r="86">
          <cell r="B86" t="str">
            <v>JAM</v>
          </cell>
          <cell r="BA86">
            <v>10682.725</v>
          </cell>
          <cell r="BB86">
            <v>10585.209000000001</v>
          </cell>
        </row>
        <row r="87">
          <cell r="B87" t="str">
            <v>JPN</v>
          </cell>
          <cell r="BA87">
            <v>46114.964</v>
          </cell>
          <cell r="BB87">
            <v>46374.078000000001</v>
          </cell>
        </row>
        <row r="88">
          <cell r="B88" t="str">
            <v>JOR</v>
          </cell>
          <cell r="BA88">
            <v>9465.8989999999994</v>
          </cell>
          <cell r="BB88">
            <v>9660.7009999999991</v>
          </cell>
        </row>
        <row r="89">
          <cell r="B89" t="str">
            <v>KAZ</v>
          </cell>
          <cell r="BA89">
            <v>35452.705999999998</v>
          </cell>
          <cell r="BB89">
            <v>36716.451999999997</v>
          </cell>
        </row>
        <row r="90">
          <cell r="B90" t="str">
            <v>KEN</v>
          </cell>
          <cell r="BA90">
            <v>6102.0050000000001</v>
          </cell>
          <cell r="BB90">
            <v>6267.1480000000001</v>
          </cell>
        </row>
        <row r="91">
          <cell r="B91" t="str">
            <v>KIR</v>
          </cell>
          <cell r="BA91">
            <v>2995.17</v>
          </cell>
          <cell r="BB91">
            <v>3105.2460000000001</v>
          </cell>
        </row>
        <row r="92">
          <cell r="B92" t="str">
            <v>KOR</v>
          </cell>
          <cell r="BA92">
            <v>54103.273000000001</v>
          </cell>
          <cell r="BB92">
            <v>55157.932000000001</v>
          </cell>
        </row>
        <row r="93">
          <cell r="B93" t="str">
            <v>UVK</v>
          </cell>
          <cell r="BA93">
            <v>15825.540999999999</v>
          </cell>
          <cell r="BB93">
            <v>16695.63</v>
          </cell>
        </row>
        <row r="94">
          <cell r="B94" t="str">
            <v>KWT</v>
          </cell>
          <cell r="BA94">
            <v>45892.192999999999</v>
          </cell>
          <cell r="BB94">
            <v>43730.851000000002</v>
          </cell>
        </row>
        <row r="95">
          <cell r="B95" t="str">
            <v>KGZ</v>
          </cell>
          <cell r="BA95">
            <v>6735.7150000000001</v>
          </cell>
          <cell r="BB95">
            <v>7192.8249999999998</v>
          </cell>
        </row>
        <row r="96">
          <cell r="B96" t="str">
            <v>LAO</v>
          </cell>
          <cell r="BA96">
            <v>8334.6470000000008</v>
          </cell>
          <cell r="BB96">
            <v>8575.7749999999996</v>
          </cell>
        </row>
        <row r="97">
          <cell r="B97" t="str">
            <v>LVA</v>
          </cell>
          <cell r="BA97">
            <v>37310.368000000002</v>
          </cell>
          <cell r="BB97">
            <v>37366.055999999997</v>
          </cell>
        </row>
        <row r="98">
          <cell r="B98" t="str">
            <v>LBN</v>
          </cell>
          <cell r="BA98">
            <v>11221.349</v>
          </cell>
          <cell r="BB98">
            <v>10379.748</v>
          </cell>
        </row>
        <row r="99">
          <cell r="B99" t="str">
            <v>LSO</v>
          </cell>
          <cell r="BA99">
            <v>2851.384</v>
          </cell>
          <cell r="BB99">
            <v>2891.0540000000001</v>
          </cell>
        </row>
        <row r="100">
          <cell r="B100" t="str">
            <v>LBR</v>
          </cell>
          <cell r="BA100">
            <v>1631.3579999999999</v>
          </cell>
          <cell r="BB100">
            <v>1670.3019999999999</v>
          </cell>
        </row>
        <row r="101">
          <cell r="B101" t="str">
            <v>LBY</v>
          </cell>
          <cell r="BA101">
            <v>13318.361000000001</v>
          </cell>
          <cell r="BB101">
            <v>13102.807000000001</v>
          </cell>
        </row>
        <row r="102">
          <cell r="B102" t="str">
            <v>LTU</v>
          </cell>
          <cell r="BA102">
            <v>46570.394</v>
          </cell>
          <cell r="BB102">
            <v>47696.665000000001</v>
          </cell>
        </row>
        <row r="103">
          <cell r="B103" t="str">
            <v>LUX</v>
          </cell>
          <cell r="BA103">
            <v>132467.663</v>
          </cell>
          <cell r="BB103">
            <v>131595.894</v>
          </cell>
        </row>
        <row r="104">
          <cell r="B104" t="str">
            <v>MAC</v>
          </cell>
          <cell r="BA104">
            <v>104209.811</v>
          </cell>
          <cell r="BB104">
            <v>112631.09299999999</v>
          </cell>
        </row>
        <row r="105">
          <cell r="B105" t="str">
            <v>MDG</v>
          </cell>
          <cell r="BA105">
            <v>1707.712</v>
          </cell>
          <cell r="BB105">
            <v>1731.3050000000001</v>
          </cell>
        </row>
        <row r="106">
          <cell r="B106" t="str">
            <v>MWI</v>
          </cell>
          <cell r="BA106">
            <v>1530.6220000000001</v>
          </cell>
          <cell r="BB106">
            <v>1514.5540000000001</v>
          </cell>
        </row>
        <row r="107">
          <cell r="B107" t="str">
            <v>MYS</v>
          </cell>
          <cell r="BA107">
            <v>34864.006000000001</v>
          </cell>
          <cell r="BB107">
            <v>36207.582999999999</v>
          </cell>
        </row>
        <row r="108">
          <cell r="B108" t="str">
            <v>MDV</v>
          </cell>
          <cell r="BA108">
            <v>29511.984</v>
          </cell>
          <cell r="BB108">
            <v>30514.977999999999</v>
          </cell>
        </row>
        <row r="109">
          <cell r="B109" t="str">
            <v>MLI</v>
          </cell>
          <cell r="BA109">
            <v>2443.5479999999998</v>
          </cell>
          <cell r="BB109">
            <v>2472.828</v>
          </cell>
        </row>
        <row r="110">
          <cell r="B110" t="str">
            <v>MLT</v>
          </cell>
          <cell r="BA110">
            <v>62015.913999999997</v>
          </cell>
          <cell r="BB110">
            <v>64449.631000000001</v>
          </cell>
        </row>
        <row r="111">
          <cell r="B111" t="str">
            <v>MHL</v>
          </cell>
          <cell r="BA111">
            <v>5649.9210000000003</v>
          </cell>
          <cell r="BB111">
            <v>6110.8360000000002</v>
          </cell>
        </row>
        <row r="112">
          <cell r="B112" t="str">
            <v>MRT</v>
          </cell>
          <cell r="BA112">
            <v>7095.5609999999997</v>
          </cell>
          <cell r="BB112">
            <v>7258.2529999999997</v>
          </cell>
        </row>
        <row r="113">
          <cell r="B113" t="str">
            <v>MUS</v>
          </cell>
          <cell r="BA113">
            <v>26072.481</v>
          </cell>
          <cell r="BB113">
            <v>27341.633999999998</v>
          </cell>
        </row>
        <row r="114">
          <cell r="B114" t="str">
            <v>MEX</v>
          </cell>
          <cell r="BA114">
            <v>21931.84</v>
          </cell>
          <cell r="BB114">
            <v>22059.131000000001</v>
          </cell>
        </row>
        <row r="115">
          <cell r="B115" t="str">
            <v>FSM</v>
          </cell>
          <cell r="BA115">
            <v>4008.79</v>
          </cell>
          <cell r="BB115">
            <v>4042.4670000000001</v>
          </cell>
        </row>
        <row r="116">
          <cell r="B116" t="str">
            <v>MDA</v>
          </cell>
          <cell r="BA116">
            <v>15769.159</v>
          </cell>
          <cell r="BB116">
            <v>16299.198</v>
          </cell>
        </row>
        <row r="117">
          <cell r="B117" t="str">
            <v>MNG</v>
          </cell>
          <cell r="BA117">
            <v>16113.642</v>
          </cell>
          <cell r="BB117">
            <v>16706.291000000001</v>
          </cell>
        </row>
        <row r="118">
          <cell r="B118" t="str">
            <v>MNE</v>
          </cell>
          <cell r="BA118">
            <v>27121.734</v>
          </cell>
          <cell r="BB118">
            <v>27932.35</v>
          </cell>
        </row>
        <row r="119">
          <cell r="B119" t="str">
            <v>MAR</v>
          </cell>
          <cell r="BA119">
            <v>9173</v>
          </cell>
          <cell r="BB119">
            <v>9377.1450000000004</v>
          </cell>
        </row>
        <row r="120">
          <cell r="B120" t="str">
            <v>MOZ</v>
          </cell>
          <cell r="BA120">
            <v>1499.9449999999999</v>
          </cell>
          <cell r="BB120">
            <v>1485.598</v>
          </cell>
        </row>
        <row r="121">
          <cell r="B121" t="str">
            <v>MMR</v>
          </cell>
          <cell r="BA121">
            <v>5087.2550000000001</v>
          </cell>
          <cell r="BB121">
            <v>5005.0860000000002</v>
          </cell>
        </row>
        <row r="122">
          <cell r="B122" t="str">
            <v>NAM</v>
          </cell>
          <cell r="BA122">
            <v>10259.052</v>
          </cell>
          <cell r="BB122">
            <v>10419.859</v>
          </cell>
        </row>
        <row r="123">
          <cell r="B123" t="str">
            <v>NRU</v>
          </cell>
          <cell r="BA123">
            <v>9572.9310000000005</v>
          </cell>
          <cell r="BB123">
            <v>9554.5319999999992</v>
          </cell>
        </row>
        <row r="124">
          <cell r="B124" t="str">
            <v>NPL</v>
          </cell>
          <cell r="BA124">
            <v>4670.7380000000003</v>
          </cell>
          <cell r="BB124">
            <v>4761.1949999999997</v>
          </cell>
        </row>
        <row r="125">
          <cell r="B125" t="str">
            <v>NLD</v>
          </cell>
          <cell r="BA125">
            <v>71709.282999999996</v>
          </cell>
          <cell r="BB125">
            <v>71880.479000000007</v>
          </cell>
        </row>
        <row r="126">
          <cell r="B126" t="str">
            <v>NZL</v>
          </cell>
          <cell r="BA126">
            <v>48438.552000000003</v>
          </cell>
          <cell r="BB126">
            <v>47370.843999999997</v>
          </cell>
        </row>
        <row r="127">
          <cell r="B127" t="str">
            <v>NIC</v>
          </cell>
          <cell r="BA127">
            <v>7471.2960000000003</v>
          </cell>
          <cell r="BB127">
            <v>7650.299</v>
          </cell>
        </row>
        <row r="128">
          <cell r="B128" t="str">
            <v>NER</v>
          </cell>
          <cell r="BA128">
            <v>1643.7670000000001</v>
          </cell>
          <cell r="BB128">
            <v>1747.635</v>
          </cell>
        </row>
        <row r="129">
          <cell r="B129" t="str">
            <v>NGA</v>
          </cell>
          <cell r="BA129">
            <v>5736.5680000000002</v>
          </cell>
          <cell r="BB129">
            <v>5789.0159999999996</v>
          </cell>
        </row>
        <row r="130">
          <cell r="B130" t="str">
            <v>MKD</v>
          </cell>
          <cell r="BA130">
            <v>23585.58</v>
          </cell>
          <cell r="BB130">
            <v>24352.55</v>
          </cell>
        </row>
        <row r="131">
          <cell r="B131" t="str">
            <v>NOR</v>
          </cell>
          <cell r="BA131">
            <v>90085.089000000007</v>
          </cell>
          <cell r="BB131">
            <v>91129.752999999997</v>
          </cell>
        </row>
        <row r="132">
          <cell r="B132" t="str">
            <v>OMN</v>
          </cell>
          <cell r="BA132">
            <v>36857.082999999999</v>
          </cell>
          <cell r="BB132">
            <v>36311.972999999998</v>
          </cell>
        </row>
        <row r="133">
          <cell r="B133" t="str">
            <v>PAK</v>
          </cell>
          <cell r="BA133">
            <v>5883.76</v>
          </cell>
          <cell r="BB133">
            <v>5915.64</v>
          </cell>
        </row>
        <row r="134">
          <cell r="B134" t="str">
            <v>PLW</v>
          </cell>
          <cell r="BA134">
            <v>13825.788</v>
          </cell>
          <cell r="BB134">
            <v>14839.617</v>
          </cell>
        </row>
        <row r="135">
          <cell r="B135" t="str">
            <v>PAN</v>
          </cell>
          <cell r="BA135">
            <v>35995.423999999999</v>
          </cell>
          <cell r="BB135">
            <v>36573.525000000001</v>
          </cell>
        </row>
        <row r="136">
          <cell r="B136" t="str">
            <v>PNG</v>
          </cell>
          <cell r="BA136">
            <v>3093.991</v>
          </cell>
          <cell r="BB136">
            <v>3143.8</v>
          </cell>
        </row>
        <row r="137">
          <cell r="B137" t="str">
            <v>PRY</v>
          </cell>
          <cell r="BA137">
            <v>15925.258</v>
          </cell>
          <cell r="BB137">
            <v>16357.271000000001</v>
          </cell>
        </row>
        <row r="138">
          <cell r="B138" t="str">
            <v>PER</v>
          </cell>
          <cell r="BA138">
            <v>15374.145</v>
          </cell>
          <cell r="BB138">
            <v>15729.288</v>
          </cell>
        </row>
        <row r="139">
          <cell r="B139" t="str">
            <v>PHL</v>
          </cell>
          <cell r="BA139">
            <v>10162.225</v>
          </cell>
          <cell r="BB139">
            <v>10621.088</v>
          </cell>
        </row>
        <row r="140">
          <cell r="B140" t="str">
            <v>POL</v>
          </cell>
          <cell r="BA140">
            <v>44303.993999999999</v>
          </cell>
          <cell r="BB140">
            <v>45732.576000000001</v>
          </cell>
        </row>
        <row r="141">
          <cell r="B141" t="str">
            <v>PRT</v>
          </cell>
          <cell r="BA141">
            <v>41790.86</v>
          </cell>
          <cell r="BB141">
            <v>42225.203000000001</v>
          </cell>
        </row>
        <row r="142">
          <cell r="B142" t="str">
            <v>PRI</v>
          </cell>
          <cell r="BA142">
            <v>42994.745000000003</v>
          </cell>
          <cell r="BB142">
            <v>43642.906999999999</v>
          </cell>
        </row>
        <row r="143">
          <cell r="B143" t="str">
            <v>QAT</v>
          </cell>
          <cell r="BA143">
            <v>100906.13400000001</v>
          </cell>
          <cell r="BB143">
            <v>102270.694</v>
          </cell>
        </row>
        <row r="144">
          <cell r="B144" t="str">
            <v>ROU</v>
          </cell>
          <cell r="BA144">
            <v>40677.976000000002</v>
          </cell>
          <cell r="BB144">
            <v>41266.000999999997</v>
          </cell>
        </row>
        <row r="145">
          <cell r="B145" t="str">
            <v>RUS</v>
          </cell>
          <cell r="BA145">
            <v>39887.53</v>
          </cell>
          <cell r="BB145">
            <v>41585.235999999997</v>
          </cell>
        </row>
        <row r="146">
          <cell r="B146" t="str">
            <v>RWA</v>
          </cell>
          <cell r="BA146">
            <v>3163.4169999999999</v>
          </cell>
          <cell r="BB146">
            <v>3355.683</v>
          </cell>
        </row>
        <row r="147">
          <cell r="B147" t="str">
            <v>WSM</v>
          </cell>
          <cell r="BA147">
            <v>5755.62</v>
          </cell>
          <cell r="BB147">
            <v>6236.42</v>
          </cell>
        </row>
        <row r="148">
          <cell r="B148" t="str">
            <v>SMR</v>
          </cell>
          <cell r="BA148">
            <v>70389.907000000007</v>
          </cell>
          <cell r="BB148">
            <v>70663.570000000007</v>
          </cell>
        </row>
        <row r="149">
          <cell r="B149" t="str">
            <v>STP</v>
          </cell>
          <cell r="BA149">
            <v>5517.5839999999998</v>
          </cell>
          <cell r="BB149">
            <v>5449.7889999999998</v>
          </cell>
        </row>
        <row r="150">
          <cell r="B150" t="str">
            <v>SAU</v>
          </cell>
          <cell r="BA150">
            <v>54339.159</v>
          </cell>
          <cell r="BB150">
            <v>52557.347000000002</v>
          </cell>
        </row>
        <row r="151">
          <cell r="B151" t="str">
            <v>SEN</v>
          </cell>
          <cell r="BA151">
            <v>4300.2030000000004</v>
          </cell>
          <cell r="BB151">
            <v>4464.78</v>
          </cell>
        </row>
        <row r="152">
          <cell r="B152" t="str">
            <v>SRB</v>
          </cell>
          <cell r="BA152">
            <v>26031.284</v>
          </cell>
          <cell r="BB152">
            <v>27233.91</v>
          </cell>
        </row>
        <row r="153">
          <cell r="B153" t="str">
            <v>SYC</v>
          </cell>
          <cell r="BA153">
            <v>34366.618999999999</v>
          </cell>
          <cell r="BB153">
            <v>35085.182000000001</v>
          </cell>
        </row>
        <row r="154">
          <cell r="B154" t="str">
            <v>SLE</v>
          </cell>
          <cell r="BA154">
            <v>2920.12</v>
          </cell>
          <cell r="BB154">
            <v>2966.491</v>
          </cell>
        </row>
        <row r="155">
          <cell r="B155" t="str">
            <v>SGP</v>
          </cell>
          <cell r="BA155">
            <v>129555.246</v>
          </cell>
          <cell r="BB155">
            <v>132569.52499999999</v>
          </cell>
        </row>
        <row r="156">
          <cell r="B156" t="str">
            <v>SVK</v>
          </cell>
          <cell r="BA156">
            <v>39275.508000000002</v>
          </cell>
          <cell r="BB156">
            <v>40101.578999999998</v>
          </cell>
        </row>
        <row r="157">
          <cell r="B157" t="str">
            <v>SVN</v>
          </cell>
          <cell r="BA157">
            <v>48323.421000000002</v>
          </cell>
          <cell r="BB157">
            <v>48931.002999999997</v>
          </cell>
        </row>
        <row r="158">
          <cell r="B158" t="str">
            <v>SLB</v>
          </cell>
          <cell r="BA158">
            <v>2292.221</v>
          </cell>
          <cell r="BB158">
            <v>2306.4409999999998</v>
          </cell>
        </row>
        <row r="159">
          <cell r="B159" t="str">
            <v>SOM</v>
          </cell>
          <cell r="BA159">
            <v>1604.075</v>
          </cell>
          <cell r="BB159">
            <v>1622.799</v>
          </cell>
        </row>
        <row r="160">
          <cell r="B160" t="str">
            <v>ZAF</v>
          </cell>
          <cell r="BA160">
            <v>13897.062</v>
          </cell>
          <cell r="BB160">
            <v>13771.97</v>
          </cell>
        </row>
        <row r="161">
          <cell r="B161" t="str">
            <v>SSD</v>
          </cell>
          <cell r="BA161">
            <v>938.25699999999995</v>
          </cell>
          <cell r="BB161">
            <v>660.09400000000005</v>
          </cell>
        </row>
        <row r="162">
          <cell r="B162" t="str">
            <v>ESP</v>
          </cell>
          <cell r="BA162">
            <v>46869.508999999998</v>
          </cell>
          <cell r="BB162">
            <v>47903.447</v>
          </cell>
        </row>
        <row r="163">
          <cell r="B163" t="str">
            <v>LKA</v>
          </cell>
          <cell r="BA163">
            <v>12679.308999999999</v>
          </cell>
          <cell r="BB163">
            <v>13171.959000000001</v>
          </cell>
        </row>
        <row r="164">
          <cell r="B164" t="str">
            <v>KNA</v>
          </cell>
          <cell r="BA164">
            <v>28247.822</v>
          </cell>
          <cell r="BB164">
            <v>28626.639999999999</v>
          </cell>
        </row>
        <row r="165">
          <cell r="B165" t="str">
            <v>LCA</v>
          </cell>
          <cell r="BA165">
            <v>23403.482</v>
          </cell>
          <cell r="BB165">
            <v>24139.079000000002</v>
          </cell>
        </row>
        <row r="166">
          <cell r="B166" t="str">
            <v>VCT</v>
          </cell>
          <cell r="BA166">
            <v>16670.388999999999</v>
          </cell>
          <cell r="BB166">
            <v>17451.565999999999</v>
          </cell>
        </row>
        <row r="167">
          <cell r="B167" t="str">
            <v>SDN</v>
          </cell>
          <cell r="BA167">
            <v>2760.2</v>
          </cell>
          <cell r="BB167">
            <v>2061.7330000000002</v>
          </cell>
        </row>
        <row r="168">
          <cell r="B168" t="str">
            <v>SUR</v>
          </cell>
          <cell r="BA168">
            <v>18640.187000000002</v>
          </cell>
          <cell r="BB168">
            <v>18918.513999999999</v>
          </cell>
        </row>
        <row r="169">
          <cell r="B169" t="str">
            <v>SWE</v>
          </cell>
          <cell r="BA169">
            <v>63148.74</v>
          </cell>
          <cell r="BB169">
            <v>63546.879000000001</v>
          </cell>
        </row>
        <row r="170">
          <cell r="B170" t="str">
            <v>CHE</v>
          </cell>
          <cell r="BA170">
            <v>83850.028999999995</v>
          </cell>
          <cell r="BB170">
            <v>83521.296000000002</v>
          </cell>
        </row>
        <row r="171">
          <cell r="B171" t="str">
            <v>SYR</v>
          </cell>
        </row>
        <row r="172">
          <cell r="B172" t="str">
            <v>TWN</v>
          </cell>
          <cell r="BA172">
            <v>67054.001000000004</v>
          </cell>
          <cell r="BB172">
            <v>69997.410999999993</v>
          </cell>
        </row>
        <row r="173">
          <cell r="B173" t="str">
            <v>TJK</v>
          </cell>
          <cell r="BA173">
            <v>4638.4319999999998</v>
          </cell>
          <cell r="BB173">
            <v>4939.8339999999998</v>
          </cell>
        </row>
        <row r="174">
          <cell r="B174" t="str">
            <v>TZA</v>
          </cell>
          <cell r="BA174">
            <v>3553.4090000000001</v>
          </cell>
          <cell r="BB174">
            <v>3638.1469999999999</v>
          </cell>
        </row>
        <row r="175">
          <cell r="B175" t="str">
            <v>THA</v>
          </cell>
          <cell r="BA175">
            <v>21657.724999999999</v>
          </cell>
          <cell r="BB175">
            <v>22179.338</v>
          </cell>
        </row>
        <row r="176">
          <cell r="B176" t="str">
            <v>TLS</v>
          </cell>
          <cell r="BA176">
            <v>7083.9369999999999</v>
          </cell>
          <cell r="BB176">
            <v>7288.2849999999999</v>
          </cell>
        </row>
        <row r="177">
          <cell r="B177" t="str">
            <v>TGO</v>
          </cell>
          <cell r="BA177">
            <v>2815.904</v>
          </cell>
          <cell r="BB177">
            <v>2895.085</v>
          </cell>
        </row>
        <row r="178">
          <cell r="B178" t="str">
            <v>TON</v>
          </cell>
          <cell r="BA178">
            <v>6580.0919999999996</v>
          </cell>
          <cell r="BB178">
            <v>6733.2539999999999</v>
          </cell>
        </row>
        <row r="179">
          <cell r="B179" t="str">
            <v>TTO</v>
          </cell>
          <cell r="BA179">
            <v>30014.93</v>
          </cell>
          <cell r="BB179">
            <v>30295.398000000001</v>
          </cell>
        </row>
        <row r="180">
          <cell r="B180" t="str">
            <v>TUN</v>
          </cell>
          <cell r="BA180">
            <v>12517.877</v>
          </cell>
          <cell r="BB180">
            <v>12584.022999999999</v>
          </cell>
        </row>
        <row r="181">
          <cell r="B181" t="str">
            <v>TUR</v>
          </cell>
          <cell r="BA181">
            <v>34609.894999999997</v>
          </cell>
          <cell r="BB181">
            <v>35631.288</v>
          </cell>
        </row>
        <row r="182">
          <cell r="B182" t="str">
            <v>TKM</v>
          </cell>
          <cell r="BA182">
            <v>23406.646000000001</v>
          </cell>
          <cell r="BB182">
            <v>23639.288</v>
          </cell>
        </row>
        <row r="183">
          <cell r="B183" t="str">
            <v>TUV</v>
          </cell>
          <cell r="BA183">
            <v>5531.5810000000001</v>
          </cell>
          <cell r="BB183">
            <v>5857.7049999999999</v>
          </cell>
        </row>
        <row r="184">
          <cell r="B184" t="str">
            <v>UGA</v>
          </cell>
          <cell r="BA184">
            <v>3143.5830000000001</v>
          </cell>
          <cell r="BB184">
            <v>3240.9789999999998</v>
          </cell>
        </row>
        <row r="185">
          <cell r="B185" t="str">
            <v>UKR</v>
          </cell>
          <cell r="BA185">
            <v>16461.382000000001</v>
          </cell>
          <cell r="BB185">
            <v>17388.383000000002</v>
          </cell>
        </row>
        <row r="186">
          <cell r="B186" t="str">
            <v>ARE</v>
          </cell>
          <cell r="BA186">
            <v>67326.495999999999</v>
          </cell>
          <cell r="BB186">
            <v>67824.343999999997</v>
          </cell>
        </row>
        <row r="187">
          <cell r="B187" t="str">
            <v>GBR</v>
          </cell>
          <cell r="BA187">
            <v>54453.582999999999</v>
          </cell>
          <cell r="BB187">
            <v>54475.392999999996</v>
          </cell>
        </row>
        <row r="188">
          <cell r="B188" t="str">
            <v>USA</v>
          </cell>
          <cell r="BA188">
            <v>74112.915999999997</v>
          </cell>
          <cell r="BB188">
            <v>75493.516000000003</v>
          </cell>
        </row>
        <row r="189">
          <cell r="B189" t="str">
            <v>URY</v>
          </cell>
          <cell r="BA189">
            <v>30070.821</v>
          </cell>
          <cell r="BB189">
            <v>30943.63</v>
          </cell>
        </row>
        <row r="190">
          <cell r="B190" t="str">
            <v>UZB</v>
          </cell>
          <cell r="BA190">
            <v>9905.8070000000007</v>
          </cell>
          <cell r="BB190">
            <v>10296.938</v>
          </cell>
        </row>
        <row r="191">
          <cell r="B191" t="str">
            <v>VUT</v>
          </cell>
          <cell r="BA191">
            <v>2677.643</v>
          </cell>
          <cell r="BB191">
            <v>2610.9459999999999</v>
          </cell>
        </row>
        <row r="192">
          <cell r="B192" t="str">
            <v>VEN</v>
          </cell>
          <cell r="BA192">
            <v>7101.0889999999999</v>
          </cell>
          <cell r="BB192">
            <v>7527.8710000000001</v>
          </cell>
        </row>
        <row r="193">
          <cell r="B193" t="str">
            <v>VNM</v>
          </cell>
          <cell r="BA193">
            <v>13551.767</v>
          </cell>
          <cell r="BB193">
            <v>14370.772999999999</v>
          </cell>
        </row>
        <row r="194">
          <cell r="B194" t="str">
            <v>WBG</v>
          </cell>
          <cell r="BA194">
            <v>5056.4070000000002</v>
          </cell>
          <cell r="BB194" t="str">
            <v>n/a</v>
          </cell>
        </row>
        <row r="195">
          <cell r="B195" t="str">
            <v>YEM</v>
          </cell>
          <cell r="BA195">
            <v>1568.7719999999999</v>
          </cell>
          <cell r="BB195">
            <v>1499.84</v>
          </cell>
        </row>
        <row r="196">
          <cell r="B196" t="str">
            <v>ZMB</v>
          </cell>
          <cell r="BA196">
            <v>3701.027</v>
          </cell>
          <cell r="BB196">
            <v>3747.732</v>
          </cell>
        </row>
        <row r="197">
          <cell r="B197" t="str">
            <v>ZWE</v>
          </cell>
          <cell r="BA197">
            <v>4473.6729999999998</v>
          </cell>
          <cell r="BB197">
            <v>4465.3609999999999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lostat.ilo.org/topics/labour-productiv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DD33-B797-4B25-814C-353C0FA573C5}">
  <dimension ref="B2:D49"/>
  <sheetViews>
    <sheetView tabSelected="1" zoomScale="130" zoomScaleNormal="130" workbookViewId="0">
      <selection activeCell="I4" sqref="I4"/>
    </sheetView>
  </sheetViews>
  <sheetFormatPr defaultRowHeight="14.5" x14ac:dyDescent="0.35"/>
  <cols>
    <col min="2" max="2" width="18.7265625" customWidth="1"/>
  </cols>
  <sheetData>
    <row r="2" spans="2:4" x14ac:dyDescent="0.35">
      <c r="B2" s="1" t="s">
        <v>0</v>
      </c>
      <c r="C2" s="1" t="s">
        <v>1</v>
      </c>
      <c r="D2" s="1" t="s">
        <v>107</v>
      </c>
    </row>
    <row r="3" spans="2:4" x14ac:dyDescent="0.35">
      <c r="B3" t="s">
        <v>2</v>
      </c>
      <c r="C3" t="s">
        <v>3</v>
      </c>
      <c r="D3">
        <v>58.663449999999997</v>
      </c>
    </row>
    <row r="4" spans="2:4" x14ac:dyDescent="0.35">
      <c r="B4" t="s">
        <v>4</v>
      </c>
      <c r="C4" t="s">
        <v>5</v>
      </c>
      <c r="D4">
        <v>29.302569999999999</v>
      </c>
    </row>
    <row r="5" spans="2:4" x14ac:dyDescent="0.35">
      <c r="B5" t="s">
        <v>8</v>
      </c>
      <c r="C5" t="s">
        <v>9</v>
      </c>
      <c r="D5">
        <v>31.403459999999999</v>
      </c>
    </row>
    <row r="6" spans="2:4" x14ac:dyDescent="0.35">
      <c r="B6" t="s">
        <v>12</v>
      </c>
      <c r="C6" t="s">
        <v>13</v>
      </c>
      <c r="D6">
        <v>37.506129999999999</v>
      </c>
    </row>
    <row r="7" spans="2:4" x14ac:dyDescent="0.35">
      <c r="B7" t="s">
        <v>10</v>
      </c>
      <c r="C7" t="s">
        <v>11</v>
      </c>
      <c r="D7">
        <v>28.462350000000001</v>
      </c>
    </row>
    <row r="8" spans="2:4" x14ac:dyDescent="0.35">
      <c r="B8" t="s">
        <v>6</v>
      </c>
      <c r="C8" t="s">
        <v>7</v>
      </c>
      <c r="D8">
        <v>25.83942</v>
      </c>
    </row>
    <row r="9" spans="2:4" x14ac:dyDescent="0.35">
      <c r="B9" t="s">
        <v>23</v>
      </c>
      <c r="C9" t="s">
        <v>24</v>
      </c>
      <c r="D9">
        <v>50.242220000000003</v>
      </c>
    </row>
    <row r="10" spans="2:4" x14ac:dyDescent="0.35">
      <c r="B10" t="s">
        <v>17</v>
      </c>
      <c r="C10" t="s">
        <v>18</v>
      </c>
      <c r="D10">
        <v>33.72569</v>
      </c>
    </row>
    <row r="11" spans="2:4" x14ac:dyDescent="0.35">
      <c r="B11" t="s">
        <v>14</v>
      </c>
      <c r="C11" t="s">
        <v>15</v>
      </c>
      <c r="D11">
        <v>15.160310000000001</v>
      </c>
    </row>
    <row r="12" spans="2:4" x14ac:dyDescent="0.35">
      <c r="B12" t="s">
        <v>76</v>
      </c>
      <c r="C12" t="s">
        <v>77</v>
      </c>
      <c r="D12">
        <v>23.751449999999998</v>
      </c>
    </row>
    <row r="13" spans="2:4" x14ac:dyDescent="0.35">
      <c r="B13" t="s">
        <v>21</v>
      </c>
      <c r="C13" t="s">
        <v>22</v>
      </c>
      <c r="D13">
        <v>31.806439999999998</v>
      </c>
    </row>
    <row r="14" spans="2:4" x14ac:dyDescent="0.35">
      <c r="B14" t="s">
        <v>91</v>
      </c>
      <c r="C14" t="s">
        <v>20</v>
      </c>
      <c r="D14">
        <v>33.953130000000002</v>
      </c>
    </row>
    <row r="15" spans="2:4" x14ac:dyDescent="0.35">
      <c r="B15" t="s">
        <v>90</v>
      </c>
      <c r="C15" t="s">
        <v>16</v>
      </c>
      <c r="D15">
        <v>34.320340000000002</v>
      </c>
    </row>
    <row r="16" spans="2:4" x14ac:dyDescent="0.35">
      <c r="B16" t="s">
        <v>98</v>
      </c>
      <c r="C16" t="s">
        <v>19</v>
      </c>
      <c r="D16">
        <v>29.0413</v>
      </c>
    </row>
    <row r="17" spans="2:4" x14ac:dyDescent="0.35">
      <c r="B17" t="s">
        <v>38</v>
      </c>
      <c r="C17" t="s">
        <v>39</v>
      </c>
      <c r="D17">
        <v>42.420960000000001</v>
      </c>
    </row>
    <row r="18" spans="2:4" x14ac:dyDescent="0.35">
      <c r="B18" t="s">
        <v>25</v>
      </c>
      <c r="C18" t="s">
        <v>26</v>
      </c>
      <c r="D18">
        <v>25.596509999999999</v>
      </c>
    </row>
    <row r="19" spans="2:4" x14ac:dyDescent="0.35">
      <c r="B19" t="s">
        <v>74</v>
      </c>
      <c r="C19" t="s">
        <v>75</v>
      </c>
      <c r="D19">
        <v>32.523240000000001</v>
      </c>
    </row>
    <row r="20" spans="2:4" x14ac:dyDescent="0.35">
      <c r="B20" t="s">
        <v>27</v>
      </c>
      <c r="C20" t="s">
        <v>28</v>
      </c>
      <c r="D20">
        <v>31.205269999999999</v>
      </c>
    </row>
    <row r="21" spans="2:4" x14ac:dyDescent="0.35">
      <c r="B21" t="s">
        <v>29</v>
      </c>
      <c r="C21" t="s">
        <v>30</v>
      </c>
      <c r="D21">
        <v>39.623849999999997</v>
      </c>
    </row>
    <row r="22" spans="2:4" x14ac:dyDescent="0.35">
      <c r="B22" t="s">
        <v>92</v>
      </c>
      <c r="C22" t="s">
        <v>35</v>
      </c>
      <c r="D22">
        <v>34.679810000000003</v>
      </c>
    </row>
    <row r="23" spans="2:4" x14ac:dyDescent="0.35">
      <c r="B23" t="s">
        <v>31</v>
      </c>
      <c r="C23" t="s">
        <v>32</v>
      </c>
      <c r="D23">
        <v>36.055259999999997</v>
      </c>
    </row>
    <row r="24" spans="2:4" x14ac:dyDescent="0.35">
      <c r="B24" t="s">
        <v>33</v>
      </c>
      <c r="C24" t="s">
        <v>34</v>
      </c>
      <c r="D24">
        <v>25.688559999999999</v>
      </c>
    </row>
    <row r="25" spans="2:4" x14ac:dyDescent="0.35">
      <c r="B25" t="s">
        <v>36</v>
      </c>
      <c r="C25" t="s">
        <v>37</v>
      </c>
      <c r="D25">
        <v>24.262920000000001</v>
      </c>
    </row>
    <row r="26" spans="2:4" x14ac:dyDescent="0.35">
      <c r="B26" t="s">
        <v>40</v>
      </c>
      <c r="C26" t="s">
        <v>41</v>
      </c>
      <c r="D26">
        <v>33.363419999999998</v>
      </c>
    </row>
    <row r="27" spans="2:4" x14ac:dyDescent="0.35">
      <c r="B27" t="s">
        <v>44</v>
      </c>
      <c r="C27" t="s">
        <v>45</v>
      </c>
      <c r="D27">
        <v>26.338650000000001</v>
      </c>
    </row>
    <row r="28" spans="2:4" x14ac:dyDescent="0.35">
      <c r="B28" t="s">
        <v>42</v>
      </c>
      <c r="C28" t="s">
        <v>43</v>
      </c>
      <c r="D28">
        <v>35.735259999999997</v>
      </c>
    </row>
    <row r="29" spans="2:4" x14ac:dyDescent="0.35">
      <c r="B29" t="s">
        <v>46</v>
      </c>
      <c r="C29" t="s">
        <v>47</v>
      </c>
      <c r="D29">
        <v>29.01793</v>
      </c>
    </row>
    <row r="30" spans="2:4" x14ac:dyDescent="0.35">
      <c r="B30" t="s">
        <v>56</v>
      </c>
      <c r="C30" t="s">
        <v>57</v>
      </c>
      <c r="D30">
        <v>29.890059999999998</v>
      </c>
    </row>
    <row r="31" spans="2:4" x14ac:dyDescent="0.35">
      <c r="B31" t="s">
        <v>48</v>
      </c>
      <c r="C31" t="s">
        <v>49</v>
      </c>
      <c r="D31">
        <v>29.593610000000002</v>
      </c>
    </row>
    <row r="32" spans="2:4" x14ac:dyDescent="0.35">
      <c r="B32" t="s">
        <v>52</v>
      </c>
      <c r="C32" t="s">
        <v>53</v>
      </c>
      <c r="D32">
        <v>42.141039999999997</v>
      </c>
    </row>
    <row r="33" spans="2:4" x14ac:dyDescent="0.35">
      <c r="B33" t="s">
        <v>54</v>
      </c>
      <c r="C33" t="s">
        <v>55</v>
      </c>
      <c r="D33">
        <v>56.651220000000002</v>
      </c>
    </row>
    <row r="34" spans="2:4" x14ac:dyDescent="0.35">
      <c r="B34" t="s">
        <v>50</v>
      </c>
      <c r="C34" t="s">
        <v>51</v>
      </c>
      <c r="D34">
        <v>25.11178</v>
      </c>
    </row>
    <row r="35" spans="2:4" x14ac:dyDescent="0.35">
      <c r="B35" t="s">
        <v>58</v>
      </c>
      <c r="C35" t="s">
        <v>59</v>
      </c>
      <c r="D35">
        <v>39.93723</v>
      </c>
    </row>
    <row r="36" spans="2:4" x14ac:dyDescent="0.35">
      <c r="B36" t="s">
        <v>60</v>
      </c>
      <c r="C36" t="s">
        <v>61</v>
      </c>
      <c r="D36">
        <v>26.45919</v>
      </c>
    </row>
    <row r="37" spans="2:4" x14ac:dyDescent="0.35">
      <c r="B37" t="s">
        <v>62</v>
      </c>
      <c r="C37" t="s">
        <v>63</v>
      </c>
      <c r="D37">
        <v>31.616990000000001</v>
      </c>
    </row>
    <row r="38" spans="2:4" x14ac:dyDescent="0.35">
      <c r="B38" t="s">
        <v>64</v>
      </c>
      <c r="C38" t="s">
        <v>65</v>
      </c>
      <c r="D38">
        <v>31.76267</v>
      </c>
    </row>
    <row r="39" spans="2:4" x14ac:dyDescent="0.35">
      <c r="B39" t="s">
        <v>72</v>
      </c>
      <c r="C39" t="s">
        <v>73</v>
      </c>
      <c r="D39">
        <v>41.411259999999999</v>
      </c>
    </row>
    <row r="40" spans="2:4" x14ac:dyDescent="0.35">
      <c r="B40" t="s">
        <v>66</v>
      </c>
      <c r="C40" t="s">
        <v>67</v>
      </c>
      <c r="D40">
        <v>33.961120000000001</v>
      </c>
    </row>
    <row r="41" spans="2:4" x14ac:dyDescent="0.35">
      <c r="B41" t="s">
        <v>93</v>
      </c>
      <c r="C41" t="s">
        <v>100</v>
      </c>
      <c r="D41">
        <v>52.842650999999996</v>
      </c>
    </row>
    <row r="42" spans="2:4" x14ac:dyDescent="0.35">
      <c r="B42" t="s">
        <v>68</v>
      </c>
      <c r="C42" t="s">
        <v>69</v>
      </c>
      <c r="D42">
        <v>30.91938</v>
      </c>
    </row>
    <row r="43" spans="2:4" x14ac:dyDescent="0.35">
      <c r="B43" t="s">
        <v>83</v>
      </c>
      <c r="C43" t="s">
        <v>84</v>
      </c>
      <c r="D43">
        <v>44.564129999999999</v>
      </c>
    </row>
    <row r="44" spans="2:4" x14ac:dyDescent="0.35">
      <c r="B44" t="s">
        <v>70</v>
      </c>
      <c r="C44" t="s">
        <v>71</v>
      </c>
      <c r="D44">
        <v>29.113900000000001</v>
      </c>
    </row>
    <row r="45" spans="2:4" x14ac:dyDescent="0.35">
      <c r="B45" t="s">
        <v>78</v>
      </c>
      <c r="C45" t="s">
        <v>82</v>
      </c>
      <c r="D45">
        <v>32.356369999999998</v>
      </c>
    </row>
    <row r="46" spans="2:4" x14ac:dyDescent="0.35">
      <c r="B46" t="s">
        <v>81</v>
      </c>
      <c r="C46" t="s">
        <v>80</v>
      </c>
      <c r="D46">
        <v>32.460880000000003</v>
      </c>
    </row>
    <row r="47" spans="2:4" x14ac:dyDescent="0.35">
      <c r="B47" t="s">
        <v>99</v>
      </c>
      <c r="C47" t="s">
        <v>79</v>
      </c>
      <c r="D47">
        <v>33.47842</v>
      </c>
    </row>
    <row r="48" spans="2:4" x14ac:dyDescent="0.35">
      <c r="B48" t="s">
        <v>85</v>
      </c>
      <c r="C48" t="s">
        <v>86</v>
      </c>
      <c r="D48">
        <v>31.617059999999999</v>
      </c>
    </row>
    <row r="49" spans="2:4" x14ac:dyDescent="0.35">
      <c r="B49" t="s">
        <v>87</v>
      </c>
      <c r="C49" t="s">
        <v>88</v>
      </c>
      <c r="D49">
        <v>28.577100000000002</v>
      </c>
    </row>
  </sheetData>
  <sortState xmlns:xlrd2="http://schemas.microsoft.com/office/spreadsheetml/2017/richdata2" ref="B3:C49">
    <sortCondition ref="B3:B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38D7-E3E6-48CD-ADE9-682FCC42CEB2}">
  <dimension ref="B2:D49"/>
  <sheetViews>
    <sheetView workbookViewId="0">
      <selection activeCell="B2" sqref="B2:C49"/>
    </sheetView>
  </sheetViews>
  <sheetFormatPr defaultRowHeight="14.5" x14ac:dyDescent="0.35"/>
  <cols>
    <col min="2" max="2" width="31.26953125" bestFit="1" customWidth="1"/>
    <col min="4" max="4" width="25" customWidth="1"/>
  </cols>
  <sheetData>
    <row r="2" spans="2:4" s="4" customFormat="1" ht="43.5" x14ac:dyDescent="0.35">
      <c r="B2" s="4" t="s">
        <v>0</v>
      </c>
      <c r="C2" s="4" t="s">
        <v>1</v>
      </c>
      <c r="D2" s="6" t="s">
        <v>108</v>
      </c>
    </row>
    <row r="3" spans="2:4" x14ac:dyDescent="0.35">
      <c r="B3" t="s">
        <v>2</v>
      </c>
      <c r="C3" t="s">
        <v>3</v>
      </c>
      <c r="D3">
        <v>28.18</v>
      </c>
    </row>
    <row r="4" spans="2:4" x14ac:dyDescent="0.35">
      <c r="B4" t="s">
        <v>4</v>
      </c>
      <c r="C4" t="s">
        <v>5</v>
      </c>
      <c r="D4">
        <v>9.49</v>
      </c>
    </row>
    <row r="5" spans="2:4" x14ac:dyDescent="0.35">
      <c r="B5" t="s">
        <v>8</v>
      </c>
      <c r="C5" t="s">
        <v>9</v>
      </c>
      <c r="D5">
        <v>4.16</v>
      </c>
    </row>
    <row r="6" spans="2:4" x14ac:dyDescent="0.35">
      <c r="B6" t="s">
        <v>12</v>
      </c>
      <c r="C6" t="s">
        <v>13</v>
      </c>
      <c r="D6">
        <v>23.79</v>
      </c>
    </row>
    <row r="7" spans="2:4" x14ac:dyDescent="0.35">
      <c r="B7" t="s">
        <v>10</v>
      </c>
      <c r="C7" t="s">
        <v>11</v>
      </c>
      <c r="D7">
        <v>4.3</v>
      </c>
    </row>
    <row r="8" spans="2:4" x14ac:dyDescent="0.35">
      <c r="B8" t="s">
        <v>6</v>
      </c>
      <c r="C8" t="s">
        <v>7</v>
      </c>
      <c r="D8">
        <v>0.9</v>
      </c>
    </row>
    <row r="9" spans="2:4" x14ac:dyDescent="0.35">
      <c r="B9" t="s">
        <v>23</v>
      </c>
      <c r="C9" t="s">
        <v>24</v>
      </c>
      <c r="D9">
        <v>11.35</v>
      </c>
    </row>
    <row r="10" spans="2:4" x14ac:dyDescent="0.35">
      <c r="B10" t="s">
        <v>17</v>
      </c>
      <c r="C10" t="s">
        <v>18</v>
      </c>
      <c r="D10">
        <v>6.23</v>
      </c>
    </row>
    <row r="11" spans="2:4" x14ac:dyDescent="0.35">
      <c r="B11" t="s">
        <v>14</v>
      </c>
      <c r="C11" t="s">
        <v>15</v>
      </c>
      <c r="D11">
        <v>1.57</v>
      </c>
    </row>
    <row r="12" spans="2:4" x14ac:dyDescent="0.35">
      <c r="B12" t="s">
        <v>76</v>
      </c>
      <c r="C12" t="s">
        <v>77</v>
      </c>
      <c r="D12">
        <v>3.29</v>
      </c>
    </row>
    <row r="13" spans="2:4" x14ac:dyDescent="0.35">
      <c r="B13" t="s">
        <v>21</v>
      </c>
      <c r="C13" t="s">
        <v>22</v>
      </c>
      <c r="D13">
        <v>6.02</v>
      </c>
    </row>
    <row r="14" spans="2:4" x14ac:dyDescent="0.35">
      <c r="B14" t="s">
        <v>91</v>
      </c>
      <c r="C14" t="s">
        <v>20</v>
      </c>
      <c r="D14">
        <v>7.57</v>
      </c>
    </row>
    <row r="15" spans="2:4" x14ac:dyDescent="0.35">
      <c r="B15" t="s">
        <v>90</v>
      </c>
      <c r="C15" t="s">
        <v>16</v>
      </c>
      <c r="D15">
        <v>8.59</v>
      </c>
    </row>
    <row r="16" spans="2:4" x14ac:dyDescent="0.35">
      <c r="B16" t="s">
        <v>98</v>
      </c>
      <c r="C16" t="s">
        <v>19</v>
      </c>
      <c r="D16">
        <v>2.41</v>
      </c>
    </row>
    <row r="17" spans="2:4" x14ac:dyDescent="0.35">
      <c r="B17" t="s">
        <v>38</v>
      </c>
      <c r="C17" t="s">
        <v>39</v>
      </c>
      <c r="D17">
        <v>18.850000000000001</v>
      </c>
    </row>
    <row r="18" spans="2:4" x14ac:dyDescent="0.35">
      <c r="B18" t="s">
        <v>25</v>
      </c>
      <c r="C18" t="s">
        <v>26</v>
      </c>
      <c r="D18">
        <v>2.78</v>
      </c>
    </row>
    <row r="19" spans="2:4" x14ac:dyDescent="0.35">
      <c r="B19" t="s">
        <v>74</v>
      </c>
      <c r="C19" t="s">
        <v>75</v>
      </c>
      <c r="D19">
        <v>24.95</v>
      </c>
    </row>
    <row r="20" spans="2:4" x14ac:dyDescent="0.35">
      <c r="B20" t="s">
        <v>27</v>
      </c>
      <c r="C20" t="s">
        <v>28</v>
      </c>
      <c r="D20">
        <v>4.7</v>
      </c>
    </row>
    <row r="21" spans="2:4" x14ac:dyDescent="0.35">
      <c r="B21" t="s">
        <v>29</v>
      </c>
      <c r="C21" t="s">
        <v>30</v>
      </c>
      <c r="D21">
        <v>34.92</v>
      </c>
    </row>
    <row r="22" spans="2:4" x14ac:dyDescent="0.35">
      <c r="B22" t="s">
        <v>92</v>
      </c>
      <c r="C22" t="s">
        <v>35</v>
      </c>
      <c r="D22">
        <v>5.97</v>
      </c>
    </row>
    <row r="23" spans="2:4" x14ac:dyDescent="0.35">
      <c r="B23" t="s">
        <v>31</v>
      </c>
      <c r="C23" t="s">
        <v>32</v>
      </c>
      <c r="D23">
        <v>10.84</v>
      </c>
    </row>
    <row r="24" spans="2:4" x14ac:dyDescent="0.35">
      <c r="B24" t="s">
        <v>33</v>
      </c>
      <c r="C24" t="s">
        <v>34</v>
      </c>
      <c r="D24">
        <v>6.82</v>
      </c>
    </row>
    <row r="25" spans="2:4" x14ac:dyDescent="0.35">
      <c r="B25" t="s">
        <v>36</v>
      </c>
      <c r="C25" t="s">
        <v>37</v>
      </c>
      <c r="D25">
        <v>3.06</v>
      </c>
    </row>
    <row r="26" spans="2:4" x14ac:dyDescent="0.35">
      <c r="B26" t="s">
        <v>40</v>
      </c>
      <c r="C26" t="s">
        <v>41</v>
      </c>
      <c r="D26">
        <v>7.39</v>
      </c>
    </row>
    <row r="27" spans="2:4" x14ac:dyDescent="0.35">
      <c r="B27" t="s">
        <v>44</v>
      </c>
      <c r="C27" t="s">
        <v>45</v>
      </c>
      <c r="D27">
        <v>3.19</v>
      </c>
    </row>
    <row r="28" spans="2:4" x14ac:dyDescent="0.35">
      <c r="B28" t="s">
        <v>42</v>
      </c>
      <c r="C28" t="s">
        <v>43</v>
      </c>
      <c r="D28">
        <v>1.53</v>
      </c>
    </row>
    <row r="29" spans="2:4" x14ac:dyDescent="0.35">
      <c r="B29" t="s">
        <v>46</v>
      </c>
      <c r="C29" t="s">
        <v>47</v>
      </c>
      <c r="D29">
        <v>1.89</v>
      </c>
    </row>
    <row r="30" spans="2:4" x14ac:dyDescent="0.35">
      <c r="B30" t="s">
        <v>56</v>
      </c>
      <c r="C30" t="s">
        <v>57</v>
      </c>
      <c r="D30">
        <v>2.77</v>
      </c>
    </row>
    <row r="31" spans="2:4" x14ac:dyDescent="0.35">
      <c r="B31" t="s">
        <v>48</v>
      </c>
      <c r="C31" t="s">
        <v>49</v>
      </c>
      <c r="D31">
        <v>2.99</v>
      </c>
    </row>
    <row r="32" spans="2:4" x14ac:dyDescent="0.35">
      <c r="B32" t="s">
        <v>52</v>
      </c>
      <c r="C32" t="s">
        <v>53</v>
      </c>
      <c r="D32">
        <v>15.14</v>
      </c>
    </row>
    <row r="33" spans="2:4" x14ac:dyDescent="0.35">
      <c r="B33" t="s">
        <v>54</v>
      </c>
      <c r="C33" t="s">
        <v>55</v>
      </c>
      <c r="D33">
        <v>32.83</v>
      </c>
    </row>
    <row r="34" spans="2:4" x14ac:dyDescent="0.35">
      <c r="B34" t="s">
        <v>50</v>
      </c>
      <c r="C34" t="s">
        <v>51</v>
      </c>
      <c r="D34">
        <v>2.4300000000000002</v>
      </c>
    </row>
    <row r="35" spans="2:4" x14ac:dyDescent="0.35">
      <c r="B35" t="s">
        <v>58</v>
      </c>
      <c r="C35" t="s">
        <v>59</v>
      </c>
      <c r="D35">
        <v>15.64</v>
      </c>
    </row>
    <row r="36" spans="2:4" x14ac:dyDescent="0.35">
      <c r="B36" t="s">
        <v>60</v>
      </c>
      <c r="C36" t="s">
        <v>61</v>
      </c>
      <c r="D36">
        <v>2.34</v>
      </c>
    </row>
    <row r="37" spans="2:4" x14ac:dyDescent="0.35">
      <c r="B37" t="s">
        <v>62</v>
      </c>
      <c r="C37" t="s">
        <v>63</v>
      </c>
      <c r="D37">
        <v>5.8</v>
      </c>
    </row>
    <row r="38" spans="2:4" x14ac:dyDescent="0.35">
      <c r="B38" t="s">
        <v>64</v>
      </c>
      <c r="C38" t="s">
        <v>65</v>
      </c>
      <c r="D38">
        <v>6</v>
      </c>
    </row>
    <row r="39" spans="2:4" x14ac:dyDescent="0.35">
      <c r="B39" t="s">
        <v>72</v>
      </c>
      <c r="C39" t="s">
        <v>73</v>
      </c>
      <c r="D39">
        <v>16.63</v>
      </c>
    </row>
    <row r="40" spans="2:4" x14ac:dyDescent="0.35">
      <c r="B40" t="s">
        <v>66</v>
      </c>
      <c r="C40" t="s">
        <v>67</v>
      </c>
      <c r="D40">
        <v>6.73</v>
      </c>
    </row>
    <row r="41" spans="2:4" x14ac:dyDescent="0.35">
      <c r="B41" t="s">
        <v>93</v>
      </c>
      <c r="C41" t="s">
        <v>100</v>
      </c>
    </row>
    <row r="42" spans="2:4" x14ac:dyDescent="0.35">
      <c r="B42" t="s">
        <v>68</v>
      </c>
      <c r="C42" t="s">
        <v>69</v>
      </c>
      <c r="D42">
        <v>2.63</v>
      </c>
    </row>
    <row r="43" spans="2:4" x14ac:dyDescent="0.35">
      <c r="B43" t="s">
        <v>83</v>
      </c>
      <c r="C43" t="s">
        <v>84</v>
      </c>
      <c r="D43">
        <v>21.64</v>
      </c>
    </row>
    <row r="44" spans="2:4" x14ac:dyDescent="0.35">
      <c r="B44" t="s">
        <v>70</v>
      </c>
      <c r="C44" t="s">
        <v>71</v>
      </c>
      <c r="D44">
        <v>3.35</v>
      </c>
    </row>
    <row r="45" spans="2:4" x14ac:dyDescent="0.35">
      <c r="B45" t="s">
        <v>78</v>
      </c>
      <c r="C45" t="s">
        <v>82</v>
      </c>
      <c r="D45">
        <v>4.33</v>
      </c>
    </row>
    <row r="46" spans="2:4" x14ac:dyDescent="0.35">
      <c r="B46" t="s">
        <v>81</v>
      </c>
      <c r="C46" t="s">
        <v>80</v>
      </c>
      <c r="D46">
        <v>3.2</v>
      </c>
    </row>
    <row r="47" spans="2:4" x14ac:dyDescent="0.35">
      <c r="B47" t="s">
        <v>99</v>
      </c>
      <c r="C47" t="s">
        <v>79</v>
      </c>
      <c r="D47">
        <v>3.7</v>
      </c>
    </row>
    <row r="48" spans="2:4" x14ac:dyDescent="0.35">
      <c r="B48" t="s">
        <v>85</v>
      </c>
      <c r="C48" t="s">
        <v>86</v>
      </c>
      <c r="D48">
        <v>5.23</v>
      </c>
    </row>
    <row r="49" spans="2:4" x14ac:dyDescent="0.35">
      <c r="B49" t="s">
        <v>87</v>
      </c>
      <c r="C49" t="s">
        <v>88</v>
      </c>
      <c r="D49">
        <v>4.5</v>
      </c>
    </row>
  </sheetData>
  <hyperlinks>
    <hyperlink ref="D2" r:id="rId1" xr:uid="{D9A55307-31E2-4F33-B76E-E2E2D97E9B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5DF9-431B-40BB-B157-A730927A1012}">
  <dimension ref="B2:D49"/>
  <sheetViews>
    <sheetView workbookViewId="0">
      <selection activeCell="D3" sqref="D3:D49"/>
    </sheetView>
  </sheetViews>
  <sheetFormatPr defaultRowHeight="14.5" x14ac:dyDescent="0.35"/>
  <cols>
    <col min="2" max="2" width="21.26953125" customWidth="1"/>
  </cols>
  <sheetData>
    <row r="2" spans="2:4" x14ac:dyDescent="0.35">
      <c r="B2" s="4" t="s">
        <v>0</v>
      </c>
      <c r="C2" s="4" t="s">
        <v>1</v>
      </c>
      <c r="D2" s="1" t="s">
        <v>109</v>
      </c>
    </row>
    <row r="3" spans="2:4" x14ac:dyDescent="0.35">
      <c r="B3" t="s">
        <v>2</v>
      </c>
      <c r="C3" t="s">
        <v>3</v>
      </c>
      <c r="D3">
        <v>37.36</v>
      </c>
    </row>
    <row r="4" spans="2:4" x14ac:dyDescent="0.35">
      <c r="B4" t="s">
        <v>4</v>
      </c>
      <c r="C4" t="s">
        <v>5</v>
      </c>
      <c r="D4">
        <v>45</v>
      </c>
    </row>
    <row r="5" spans="2:4" x14ac:dyDescent="0.35">
      <c r="B5" t="s">
        <v>8</v>
      </c>
      <c r="C5" t="s">
        <v>9</v>
      </c>
      <c r="D5">
        <v>37.6</v>
      </c>
    </row>
    <row r="6" spans="2:4" x14ac:dyDescent="0.35">
      <c r="B6" t="s">
        <v>12</v>
      </c>
      <c r="C6" t="s">
        <v>13</v>
      </c>
      <c r="D6">
        <v>57.4</v>
      </c>
    </row>
    <row r="7" spans="2:4" x14ac:dyDescent="0.35">
      <c r="B7" t="s">
        <v>10</v>
      </c>
      <c r="C7" t="s">
        <v>11</v>
      </c>
      <c r="D7">
        <v>0</v>
      </c>
    </row>
    <row r="8" spans="2:4" x14ac:dyDescent="0.35">
      <c r="B8" t="s">
        <v>6</v>
      </c>
      <c r="C8" t="s">
        <v>7</v>
      </c>
      <c r="D8">
        <v>33.33</v>
      </c>
    </row>
    <row r="9" spans="2:4" x14ac:dyDescent="0.35">
      <c r="B9" t="s">
        <v>23</v>
      </c>
      <c r="C9" t="s">
        <v>24</v>
      </c>
      <c r="D9">
        <v>52.5</v>
      </c>
    </row>
    <row r="10" spans="2:4" x14ac:dyDescent="0.35">
      <c r="B10" t="s">
        <v>17</v>
      </c>
      <c r="C10" t="s">
        <v>18</v>
      </c>
      <c r="D10">
        <v>49</v>
      </c>
    </row>
    <row r="11" spans="2:4" x14ac:dyDescent="0.35">
      <c r="B11" t="s">
        <v>14</v>
      </c>
      <c r="C11" t="s">
        <v>15</v>
      </c>
      <c r="D11">
        <v>59.27</v>
      </c>
    </row>
    <row r="12" spans="2:4" x14ac:dyDescent="0.35">
      <c r="B12" t="s">
        <v>76</v>
      </c>
      <c r="C12" t="s">
        <v>77</v>
      </c>
      <c r="D12">
        <v>36.9</v>
      </c>
    </row>
    <row r="13" spans="2:4" x14ac:dyDescent="0.35">
      <c r="B13" t="s">
        <v>21</v>
      </c>
      <c r="C13" t="s">
        <v>22</v>
      </c>
      <c r="D13">
        <v>55.92</v>
      </c>
    </row>
    <row r="14" spans="2:4" x14ac:dyDescent="0.35">
      <c r="B14" t="s">
        <v>91</v>
      </c>
      <c r="C14" t="s">
        <v>20</v>
      </c>
      <c r="D14">
        <v>41.9</v>
      </c>
    </row>
    <row r="15" spans="2:4" x14ac:dyDescent="0.35">
      <c r="B15" t="s">
        <v>90</v>
      </c>
      <c r="C15" t="s">
        <v>16</v>
      </c>
      <c r="D15">
        <v>45.6</v>
      </c>
    </row>
    <row r="16" spans="2:4" x14ac:dyDescent="0.35">
      <c r="B16" t="s">
        <v>98</v>
      </c>
      <c r="C16" t="s">
        <v>19</v>
      </c>
      <c r="D16">
        <v>41.64</v>
      </c>
    </row>
    <row r="17" spans="2:4" x14ac:dyDescent="0.35">
      <c r="B17" t="s">
        <v>38</v>
      </c>
      <c r="C17" t="s">
        <v>39</v>
      </c>
      <c r="D17">
        <v>50.2</v>
      </c>
    </row>
    <row r="18" spans="2:4" x14ac:dyDescent="0.35">
      <c r="B18" t="s">
        <v>25</v>
      </c>
      <c r="C18" t="s">
        <v>26</v>
      </c>
      <c r="D18">
        <v>0</v>
      </c>
    </row>
    <row r="19" spans="2:4" x14ac:dyDescent="0.35">
      <c r="B19" t="s">
        <v>74</v>
      </c>
      <c r="C19" t="s">
        <v>75</v>
      </c>
      <c r="D19">
        <v>63.7</v>
      </c>
    </row>
    <row r="20" spans="2:4" x14ac:dyDescent="0.35">
      <c r="B20" t="s">
        <v>27</v>
      </c>
      <c r="C20" t="s">
        <v>28</v>
      </c>
      <c r="D20">
        <v>30.98</v>
      </c>
    </row>
    <row r="21" spans="2:4" x14ac:dyDescent="0.35">
      <c r="B21" t="s">
        <v>29</v>
      </c>
      <c r="C21" t="s">
        <v>30</v>
      </c>
      <c r="D21">
        <v>69</v>
      </c>
    </row>
    <row r="22" spans="2:4" x14ac:dyDescent="0.35">
      <c r="B22" t="s">
        <v>92</v>
      </c>
      <c r="C22" t="s">
        <v>35</v>
      </c>
      <c r="D22">
        <v>67.2</v>
      </c>
    </row>
    <row r="23" spans="2:4" x14ac:dyDescent="0.35">
      <c r="B23" t="s">
        <v>31</v>
      </c>
      <c r="C23" t="s">
        <v>32</v>
      </c>
      <c r="D23">
        <v>47.5</v>
      </c>
    </row>
    <row r="24" spans="2:4" x14ac:dyDescent="0.35">
      <c r="B24" t="s">
        <v>33</v>
      </c>
      <c r="C24" t="s">
        <v>34</v>
      </c>
      <c r="D24">
        <v>68.5</v>
      </c>
    </row>
    <row r="25" spans="2:4" x14ac:dyDescent="0.35">
      <c r="B25" t="s">
        <v>36</v>
      </c>
      <c r="C25" t="s">
        <v>37</v>
      </c>
      <c r="D25">
        <v>55.76</v>
      </c>
    </row>
    <row r="26" spans="2:4" x14ac:dyDescent="0.35">
      <c r="B26" t="s">
        <v>40</v>
      </c>
      <c r="C26" t="s">
        <v>41</v>
      </c>
      <c r="D26">
        <v>50</v>
      </c>
    </row>
    <row r="27" spans="2:4" x14ac:dyDescent="0.35">
      <c r="B27" t="s">
        <v>44</v>
      </c>
      <c r="C27" t="s">
        <v>45</v>
      </c>
      <c r="D27">
        <v>56.01</v>
      </c>
    </row>
    <row r="28" spans="2:4" x14ac:dyDescent="0.35">
      <c r="B28" t="s">
        <v>42</v>
      </c>
      <c r="C28" t="s">
        <v>43</v>
      </c>
      <c r="D28">
        <v>43</v>
      </c>
    </row>
    <row r="29" spans="2:4" x14ac:dyDescent="0.35">
      <c r="B29" t="s">
        <v>46</v>
      </c>
      <c r="C29" t="s">
        <v>47</v>
      </c>
      <c r="D29">
        <v>56.2</v>
      </c>
    </row>
    <row r="30" spans="2:4" x14ac:dyDescent="0.35">
      <c r="B30" t="s">
        <v>56</v>
      </c>
      <c r="C30" t="s">
        <v>57</v>
      </c>
      <c r="D30">
        <v>47</v>
      </c>
    </row>
    <row r="31" spans="2:4" x14ac:dyDescent="0.35">
      <c r="B31" t="s">
        <v>48</v>
      </c>
      <c r="C31" t="s">
        <v>49</v>
      </c>
      <c r="D31">
        <v>36.5</v>
      </c>
    </row>
    <row r="32" spans="2:4" x14ac:dyDescent="0.35">
      <c r="B32" t="s">
        <v>52</v>
      </c>
      <c r="C32" t="s">
        <v>53</v>
      </c>
      <c r="D32">
        <v>76</v>
      </c>
    </row>
    <row r="33" spans="2:4" x14ac:dyDescent="0.35">
      <c r="B33" t="s">
        <v>54</v>
      </c>
      <c r="C33" t="s">
        <v>55</v>
      </c>
      <c r="D33">
        <v>41.9</v>
      </c>
    </row>
    <row r="34" spans="2:4" x14ac:dyDescent="0.35">
      <c r="B34" t="s">
        <v>50</v>
      </c>
      <c r="C34" t="s">
        <v>51</v>
      </c>
      <c r="D34">
        <v>40</v>
      </c>
    </row>
    <row r="35" spans="2:4" x14ac:dyDescent="0.35">
      <c r="B35" t="s">
        <v>58</v>
      </c>
      <c r="C35" t="s">
        <v>59</v>
      </c>
      <c r="D35">
        <v>70.100000000000009</v>
      </c>
    </row>
    <row r="36" spans="2:4" x14ac:dyDescent="0.35">
      <c r="B36" t="s">
        <v>60</v>
      </c>
      <c r="C36" t="s">
        <v>61</v>
      </c>
      <c r="D36">
        <v>29.2</v>
      </c>
    </row>
    <row r="37" spans="2:4" x14ac:dyDescent="0.35">
      <c r="B37" t="s">
        <v>62</v>
      </c>
      <c r="C37" t="s">
        <v>63</v>
      </c>
      <c r="D37">
        <v>46.800000000000004</v>
      </c>
    </row>
    <row r="38" spans="2:4" x14ac:dyDescent="0.35">
      <c r="B38" t="s">
        <v>64</v>
      </c>
      <c r="C38" t="s">
        <v>65</v>
      </c>
      <c r="D38">
        <v>28.900000000000002</v>
      </c>
    </row>
    <row r="39" spans="2:4" x14ac:dyDescent="0.35">
      <c r="B39" t="s">
        <v>72</v>
      </c>
      <c r="C39" t="s">
        <v>73</v>
      </c>
      <c r="D39">
        <v>32.130000000000003</v>
      </c>
    </row>
    <row r="40" spans="2:4" x14ac:dyDescent="0.35">
      <c r="B40" t="s">
        <v>66</v>
      </c>
      <c r="C40" t="s">
        <v>67</v>
      </c>
      <c r="D40">
        <v>58.7</v>
      </c>
    </row>
    <row r="41" spans="2:4" x14ac:dyDescent="0.35">
      <c r="B41" t="s">
        <v>93</v>
      </c>
      <c r="C41" t="s">
        <v>100</v>
      </c>
      <c r="D41">
        <v>46</v>
      </c>
    </row>
    <row r="42" spans="2:4" x14ac:dyDescent="0.35">
      <c r="B42" t="s">
        <v>68</v>
      </c>
      <c r="C42" t="s">
        <v>69</v>
      </c>
      <c r="D42">
        <v>59</v>
      </c>
    </row>
    <row r="43" spans="2:4" x14ac:dyDescent="0.35">
      <c r="B43" t="s">
        <v>83</v>
      </c>
      <c r="C43" t="s">
        <v>84</v>
      </c>
      <c r="D43">
        <v>54</v>
      </c>
    </row>
    <row r="44" spans="2:4" x14ac:dyDescent="0.35">
      <c r="B44" t="s">
        <v>70</v>
      </c>
      <c r="C44" t="s">
        <v>71</v>
      </c>
      <c r="D44">
        <v>46.32</v>
      </c>
    </row>
    <row r="45" spans="2:4" x14ac:dyDescent="0.35">
      <c r="B45" t="s">
        <v>78</v>
      </c>
      <c r="C45" t="s">
        <v>82</v>
      </c>
      <c r="D45">
        <v>40.1</v>
      </c>
    </row>
    <row r="46" spans="2:4" x14ac:dyDescent="0.35">
      <c r="B46" t="s">
        <v>81</v>
      </c>
      <c r="C46" t="s">
        <v>80</v>
      </c>
      <c r="D46">
        <v>41.2</v>
      </c>
    </row>
    <row r="47" spans="2:4" x14ac:dyDescent="0.35">
      <c r="B47" t="s">
        <v>99</v>
      </c>
      <c r="C47" t="s">
        <v>79</v>
      </c>
      <c r="D47">
        <v>33.799999999999997</v>
      </c>
    </row>
    <row r="48" spans="2:4" x14ac:dyDescent="0.35">
      <c r="B48" t="s">
        <v>85</v>
      </c>
      <c r="C48" t="s">
        <v>86</v>
      </c>
      <c r="D48">
        <v>52.300000000000004</v>
      </c>
    </row>
    <row r="49" spans="2:4" x14ac:dyDescent="0.35">
      <c r="B49" t="s">
        <v>87</v>
      </c>
      <c r="C49" t="s">
        <v>88</v>
      </c>
      <c r="D49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99E8-065E-45DC-9359-C956058832D9}">
  <dimension ref="A3:J50"/>
  <sheetViews>
    <sheetView workbookViewId="0">
      <selection activeCell="F18" sqref="F18"/>
    </sheetView>
  </sheetViews>
  <sheetFormatPr defaultRowHeight="14.5" x14ac:dyDescent="0.35"/>
  <cols>
    <col min="2" max="2" width="31.26953125" bestFit="1" customWidth="1"/>
    <col min="4" max="10" width="19.81640625" customWidth="1"/>
  </cols>
  <sheetData>
    <row r="3" spans="1:10" s="4" customFormat="1" ht="43.5" x14ac:dyDescent="0.35">
      <c r="B3" s="4" t="s">
        <v>0</v>
      </c>
      <c r="C3" s="4" t="s">
        <v>1</v>
      </c>
      <c r="D3" s="8" t="s">
        <v>110</v>
      </c>
      <c r="E3" s="8" t="s">
        <v>111</v>
      </c>
      <c r="F3" s="8" t="s">
        <v>112</v>
      </c>
      <c r="G3" s="8" t="s">
        <v>114</v>
      </c>
      <c r="H3" s="8" t="s">
        <v>113</v>
      </c>
      <c r="I3" s="8" t="s">
        <v>115</v>
      </c>
      <c r="J3" s="8" t="s">
        <v>116</v>
      </c>
    </row>
    <row r="4" spans="1:10" s="7" customFormat="1" x14ac:dyDescent="0.35">
      <c r="A4"/>
      <c r="B4" t="s">
        <v>2</v>
      </c>
      <c r="C4" t="s">
        <v>3</v>
      </c>
      <c r="D4" s="7">
        <v>16.396590424649155</v>
      </c>
      <c r="E4" s="7">
        <v>22.750942344700707</v>
      </c>
      <c r="F4" s="7">
        <v>2.0148315837260236</v>
      </c>
      <c r="G4" s="7">
        <v>3.5224267648672867</v>
      </c>
      <c r="H4" s="7">
        <v>2.9622084777659672</v>
      </c>
      <c r="I4" s="7">
        <v>2.9530886451852485E-2</v>
      </c>
      <c r="J4" s="7">
        <v>3.3087621158332956</v>
      </c>
    </row>
    <row r="5" spans="1:10" s="7" customFormat="1" x14ac:dyDescent="0.35">
      <c r="A5"/>
      <c r="B5" t="s">
        <v>4</v>
      </c>
      <c r="C5" t="s">
        <v>5</v>
      </c>
      <c r="D5" s="7">
        <v>2.4047933648174165</v>
      </c>
      <c r="E5" s="7">
        <v>18.45657468237529</v>
      </c>
      <c r="F5" s="7">
        <v>9.1289751569049518E-3</v>
      </c>
      <c r="G5" s="7">
        <v>7.0265445147086603E-2</v>
      </c>
      <c r="H5" s="7">
        <v>0.39669546590914251</v>
      </c>
      <c r="I5" s="7">
        <v>3.5962629405989206E-3</v>
      </c>
      <c r="J5" s="7">
        <v>4.9794409946754279E-3</v>
      </c>
    </row>
    <row r="6" spans="1:10" s="7" customFormat="1" x14ac:dyDescent="0.35">
      <c r="A6"/>
      <c r="B6" t="s">
        <v>8</v>
      </c>
      <c r="C6" t="s">
        <v>9</v>
      </c>
      <c r="D6" s="7">
        <v>2.3178296032556895</v>
      </c>
      <c r="E6" s="7">
        <v>4.7164251295702559</v>
      </c>
      <c r="F6" s="7">
        <v>1.8484729183097643</v>
      </c>
      <c r="G6" s="7">
        <v>5.0288216244206284E-2</v>
      </c>
      <c r="H6" s="7">
        <v>0.3299211762688079</v>
      </c>
      <c r="I6" s="7">
        <v>0.50897770380499696</v>
      </c>
      <c r="J6" s="7">
        <v>1.2434904380385554</v>
      </c>
    </row>
    <row r="7" spans="1:10" s="7" customFormat="1" x14ac:dyDescent="0.35">
      <c r="A7"/>
      <c r="B7" t="s">
        <v>12</v>
      </c>
      <c r="C7" t="s">
        <v>13</v>
      </c>
      <c r="D7" s="7">
        <v>3.7886199680000514</v>
      </c>
      <c r="E7" s="7">
        <v>30.135834708268209</v>
      </c>
      <c r="F7" s="7">
        <v>0</v>
      </c>
      <c r="G7" s="7">
        <v>0.35832856232944166</v>
      </c>
      <c r="H7" s="7">
        <v>0.53145359806164372</v>
      </c>
      <c r="I7" s="7">
        <v>0.60392454325186795</v>
      </c>
      <c r="J7" s="7">
        <v>1.252136886342206</v>
      </c>
    </row>
    <row r="8" spans="1:10" s="7" customFormat="1" x14ac:dyDescent="0.35">
      <c r="A8"/>
      <c r="B8" t="s">
        <v>10</v>
      </c>
      <c r="C8" t="s">
        <v>11</v>
      </c>
      <c r="D8" s="7">
        <v>1.4625338268713808</v>
      </c>
      <c r="E8" s="7">
        <v>5.9940560301418406</v>
      </c>
      <c r="F8" s="7">
        <v>3.6217847912502541</v>
      </c>
      <c r="G8" s="7">
        <v>5.8536563037584609E-2</v>
      </c>
      <c r="H8" s="7">
        <v>0.39655220523957696</v>
      </c>
      <c r="I8" s="7">
        <v>2.640747204703065E-3</v>
      </c>
      <c r="J8" s="7">
        <v>0.485897485665364</v>
      </c>
    </row>
    <row r="9" spans="1:10" s="7" customFormat="1" x14ac:dyDescent="0.35">
      <c r="A9"/>
      <c r="B9" t="s">
        <v>6</v>
      </c>
      <c r="C9" t="s">
        <v>7</v>
      </c>
      <c r="D9" s="7">
        <v>0.79851430182963623</v>
      </c>
      <c r="E9" s="7">
        <v>8.3643988475853899</v>
      </c>
      <c r="F9" s="7">
        <v>0.37156301327910818</v>
      </c>
      <c r="G9" s="7">
        <v>1.0769942413887195E-2</v>
      </c>
      <c r="H9" s="7">
        <v>9.539091852300087E-2</v>
      </c>
      <c r="I9" s="7">
        <v>0.98006475966373474</v>
      </c>
      <c r="J9" s="7">
        <v>0.70081553850365952</v>
      </c>
    </row>
    <row r="10" spans="1:10" s="7" customFormat="1" x14ac:dyDescent="0.35">
      <c r="A10"/>
      <c r="B10" t="s">
        <v>23</v>
      </c>
      <c r="C10" t="s">
        <v>24</v>
      </c>
      <c r="D10" s="7">
        <v>6.6454802013528171</v>
      </c>
      <c r="E10" s="7">
        <v>16.378230732467966</v>
      </c>
      <c r="F10" s="7">
        <v>0.45349733657525787</v>
      </c>
      <c r="G10" s="7">
        <v>0.13953764202315627</v>
      </c>
      <c r="H10" s="7">
        <v>0.17442205252894535</v>
      </c>
      <c r="I10" s="7">
        <v>6.9768821011578136E-2</v>
      </c>
      <c r="J10" s="7">
        <v>0.13953764202315627</v>
      </c>
    </row>
    <row r="11" spans="1:10" s="7" customFormat="1" x14ac:dyDescent="0.35">
      <c r="A11"/>
      <c r="B11" t="s">
        <v>17</v>
      </c>
      <c r="C11" t="s">
        <v>18</v>
      </c>
      <c r="D11" s="7">
        <v>1.3150108488395031</v>
      </c>
      <c r="E11" s="7">
        <v>5.7798257271560827</v>
      </c>
      <c r="F11" s="7">
        <v>0.5847988171473919</v>
      </c>
      <c r="G11" s="7">
        <v>0.11080766589104796</v>
      </c>
      <c r="H11" s="7">
        <v>0.21042969989404062</v>
      </c>
      <c r="I11" s="7">
        <v>0.10241844197500648</v>
      </c>
      <c r="J11" s="7">
        <v>8.3542688163913137E-2</v>
      </c>
    </row>
    <row r="12" spans="1:10" s="7" customFormat="1" x14ac:dyDescent="0.35">
      <c r="A12"/>
      <c r="B12" t="s">
        <v>14</v>
      </c>
      <c r="C12" t="s">
        <v>15</v>
      </c>
      <c r="D12" s="7">
        <v>0.74817312921555512</v>
      </c>
      <c r="E12" s="7">
        <v>7.3371756483906667</v>
      </c>
      <c r="F12" s="7">
        <v>3.7057034624592897</v>
      </c>
      <c r="G12" s="7">
        <v>5.8603639364142703E-3</v>
      </c>
      <c r="H12" s="7">
        <v>2.5394910391128504E-2</v>
      </c>
      <c r="I12" s="7">
        <v>0.21878692029279939</v>
      </c>
      <c r="J12" s="7">
        <v>0.5606414832502985</v>
      </c>
    </row>
    <row r="13" spans="1:10" s="7" customFormat="1" x14ac:dyDescent="0.35">
      <c r="A13"/>
      <c r="B13" t="s">
        <v>76</v>
      </c>
      <c r="C13" t="s">
        <v>77</v>
      </c>
      <c r="D13" s="7">
        <v>0.91567615820897541</v>
      </c>
      <c r="E13" s="7">
        <v>1.3263633321527937</v>
      </c>
      <c r="F13" s="7">
        <v>0.4715090516066936</v>
      </c>
      <c r="G13" s="7">
        <v>7.2539854093337476E-3</v>
      </c>
      <c r="H13" s="7">
        <v>9.0953817055492367E-2</v>
      </c>
      <c r="I13" s="7">
        <v>0.57362284621500714</v>
      </c>
      <c r="J13" s="7">
        <v>0.58478282376782831</v>
      </c>
    </row>
    <row r="14" spans="1:10" s="7" customFormat="1" x14ac:dyDescent="0.35">
      <c r="A14"/>
      <c r="B14" t="s">
        <v>21</v>
      </c>
      <c r="C14" t="s">
        <v>22</v>
      </c>
      <c r="D14" s="7">
        <v>3.8208640765381676</v>
      </c>
      <c r="E14" s="7">
        <v>8.472820056730118</v>
      </c>
      <c r="F14" s="7">
        <v>6.3249331888456668</v>
      </c>
      <c r="G14" s="7">
        <v>0.34538884307689649</v>
      </c>
      <c r="H14" s="7">
        <v>0.43173605384612063</v>
      </c>
      <c r="I14" s="7">
        <v>1.7377376167306355</v>
      </c>
      <c r="J14" s="7">
        <v>0.17269442153844825</v>
      </c>
    </row>
    <row r="15" spans="1:10" s="7" customFormat="1" x14ac:dyDescent="0.35">
      <c r="A15"/>
      <c r="B15" t="s">
        <v>91</v>
      </c>
      <c r="C15" t="s">
        <v>20</v>
      </c>
      <c r="D15" s="7">
        <v>1.7539884721548438</v>
      </c>
      <c r="E15" s="7">
        <v>9.3809767325517708</v>
      </c>
      <c r="F15" s="7">
        <v>2.0031154336509251</v>
      </c>
      <c r="G15" s="7">
        <v>1.6832902803789289E-2</v>
      </c>
      <c r="H15" s="7">
        <v>5.3865288972125724E-2</v>
      </c>
      <c r="I15" s="7">
        <v>0.53865288972125724</v>
      </c>
      <c r="J15" s="7">
        <v>1.3079165478544277</v>
      </c>
    </row>
    <row r="16" spans="1:10" s="7" customFormat="1" x14ac:dyDescent="0.35">
      <c r="A16"/>
      <c r="B16" t="s">
        <v>90</v>
      </c>
      <c r="C16" t="s">
        <v>16</v>
      </c>
      <c r="D16" s="7">
        <v>1.8172417960972438</v>
      </c>
      <c r="E16" s="7">
        <v>5.6475473423304559</v>
      </c>
      <c r="F16" s="7">
        <v>3.0403379865832783</v>
      </c>
      <c r="G16" s="7">
        <v>0.14941531502057045</v>
      </c>
      <c r="H16" s="7">
        <v>0.42820671457659953</v>
      </c>
      <c r="I16" s="7">
        <v>0.17472802721229061</v>
      </c>
      <c r="J16" s="7">
        <v>0</v>
      </c>
    </row>
    <row r="17" spans="1:10" s="7" customFormat="1" x14ac:dyDescent="0.35">
      <c r="A17"/>
      <c r="B17" t="s">
        <v>98</v>
      </c>
      <c r="C17" t="s">
        <v>19</v>
      </c>
      <c r="D17" s="7">
        <v>2.1690857678417417</v>
      </c>
      <c r="E17" s="7">
        <v>11.748722142059101</v>
      </c>
      <c r="F17" s="7">
        <v>0.43728117029482172</v>
      </c>
      <c r="G17" s="7">
        <v>4.5949163048221019E-2</v>
      </c>
      <c r="H17" s="7">
        <v>9.4547280063745243E-2</v>
      </c>
      <c r="I17" s="7">
        <v>0.29892426692567731</v>
      </c>
      <c r="J17" s="7">
        <v>0.29892426692567731</v>
      </c>
    </row>
    <row r="18" spans="1:10" s="7" customFormat="1" x14ac:dyDescent="0.35">
      <c r="A18"/>
      <c r="B18" t="s">
        <v>38</v>
      </c>
      <c r="C18" t="s">
        <v>39</v>
      </c>
      <c r="D18" s="7">
        <v>1.7817931837015812</v>
      </c>
      <c r="E18" s="7">
        <v>15.893595198618105</v>
      </c>
      <c r="F18" s="7">
        <v>0.16846044645905858</v>
      </c>
      <c r="G18" s="7">
        <v>0</v>
      </c>
      <c r="H18" s="7">
        <v>9.0709471170262332E-2</v>
      </c>
      <c r="I18" s="7">
        <v>0.86821922405822516</v>
      </c>
      <c r="J18" s="7">
        <v>1.4772685304871294</v>
      </c>
    </row>
    <row r="19" spans="1:10" s="7" customFormat="1" x14ac:dyDescent="0.35">
      <c r="A19"/>
      <c r="B19" t="s">
        <v>25</v>
      </c>
      <c r="C19" t="s">
        <v>26</v>
      </c>
      <c r="D19" s="7">
        <v>0.80211264129522675</v>
      </c>
      <c r="E19" s="7">
        <v>13.933689160158554</v>
      </c>
      <c r="F19" s="7">
        <v>0.17973761527351237</v>
      </c>
      <c r="G19" s="7">
        <v>0.17973761527351237</v>
      </c>
      <c r="H19" s="7">
        <v>0.6143270730990199</v>
      </c>
      <c r="I19" s="7">
        <v>0.91210133123871939</v>
      </c>
      <c r="J19" s="7">
        <v>0.82357384908907905</v>
      </c>
    </row>
    <row r="20" spans="1:10" s="7" customFormat="1" x14ac:dyDescent="0.35">
      <c r="A20"/>
      <c r="B20" t="s">
        <v>74</v>
      </c>
      <c r="C20" t="s">
        <v>75</v>
      </c>
      <c r="D20" s="7">
        <v>5.72019320056918</v>
      </c>
      <c r="E20" s="7">
        <v>43.774091616618456</v>
      </c>
      <c r="F20" s="7">
        <v>0</v>
      </c>
      <c r="G20" s="7">
        <v>0.29227264528455665</v>
      </c>
      <c r="H20" s="7">
        <v>0.350727174341468</v>
      </c>
      <c r="I20" s="7">
        <v>0</v>
      </c>
      <c r="J20" s="7">
        <v>0</v>
      </c>
    </row>
    <row r="21" spans="1:10" s="7" customFormat="1" x14ac:dyDescent="0.35">
      <c r="A21"/>
      <c r="B21" t="s">
        <v>27</v>
      </c>
      <c r="C21" t="s">
        <v>28</v>
      </c>
      <c r="D21" s="7">
        <v>1.4876620878458768</v>
      </c>
      <c r="E21" s="7">
        <v>10.60519746781217</v>
      </c>
      <c r="F21" s="7">
        <v>1.7770666171818854</v>
      </c>
      <c r="G21" s="7">
        <v>0.28455688227845422</v>
      </c>
      <c r="H21" s="7">
        <v>1.5290286760703424</v>
      </c>
      <c r="I21" s="7">
        <v>1.9194258524387386</v>
      </c>
      <c r="J21" s="7">
        <v>1.7550098230700122</v>
      </c>
    </row>
    <row r="22" spans="1:10" s="7" customFormat="1" x14ac:dyDescent="0.35">
      <c r="A22"/>
      <c r="B22" t="s">
        <v>29</v>
      </c>
      <c r="C22" t="s">
        <v>30</v>
      </c>
      <c r="D22" s="7">
        <v>5.3106143071976444</v>
      </c>
      <c r="E22" s="7">
        <v>20.281848479700326</v>
      </c>
      <c r="F22" s="7">
        <v>3.8801881786396688</v>
      </c>
      <c r="G22" s="7">
        <v>0.18457111336231938</v>
      </c>
      <c r="H22" s="7">
        <v>0.7844272317898574</v>
      </c>
      <c r="I22" s="7">
        <v>1.0780630939571838</v>
      </c>
      <c r="J22" s="7">
        <v>1.0612839018333364</v>
      </c>
    </row>
    <row r="23" spans="1:10" s="7" customFormat="1" x14ac:dyDescent="0.35">
      <c r="A23"/>
      <c r="B23" t="s">
        <v>92</v>
      </c>
      <c r="C23" t="s">
        <v>35</v>
      </c>
      <c r="D23" s="7">
        <v>0.91971461483530081</v>
      </c>
      <c r="E23" s="7">
        <v>5.1116370122044614</v>
      </c>
      <c r="F23" s="7">
        <v>1.6304031808443968</v>
      </c>
      <c r="G23" s="7">
        <v>3.4204262535197136E-2</v>
      </c>
      <c r="H23" s="7">
        <v>3.8004736150219036E-2</v>
      </c>
      <c r="I23" s="7">
        <v>0.19382415436611711</v>
      </c>
      <c r="J23" s="7">
        <v>0.67268382985887709</v>
      </c>
    </row>
    <row r="24" spans="1:10" s="7" customFormat="1" x14ac:dyDescent="0.35">
      <c r="A24"/>
      <c r="B24" t="s">
        <v>31</v>
      </c>
      <c r="C24" t="s">
        <v>32</v>
      </c>
      <c r="D24" s="7">
        <v>2.7151408892565807</v>
      </c>
      <c r="E24" s="7">
        <v>34.116953582281639</v>
      </c>
      <c r="F24" s="7">
        <v>7.8807743132972554</v>
      </c>
      <c r="G24" s="7">
        <v>7.3799083990041842E-2</v>
      </c>
      <c r="H24" s="7">
        <v>1.7348833842904918</v>
      </c>
      <c r="I24" s="7">
        <v>0.81058010284144311</v>
      </c>
      <c r="J24" s="7">
        <v>1.1320900466177319</v>
      </c>
    </row>
    <row r="25" spans="1:10" s="7" customFormat="1" x14ac:dyDescent="0.35">
      <c r="A25"/>
      <c r="B25" t="s">
        <v>33</v>
      </c>
      <c r="C25" t="s">
        <v>34</v>
      </c>
      <c r="D25" s="7">
        <v>2.069006784038673</v>
      </c>
      <c r="E25" s="7">
        <v>3.5248964864528514</v>
      </c>
      <c r="F25" s="7">
        <v>0.62716329197098952</v>
      </c>
      <c r="G25" s="7">
        <v>2.7390110175664714E-2</v>
      </c>
      <c r="H25" s="7">
        <v>0.17908918191780776</v>
      </c>
      <c r="I25" s="7">
        <v>0.12711820363577728</v>
      </c>
      <c r="J25" s="7">
        <v>0.22263243399194141</v>
      </c>
    </row>
    <row r="26" spans="1:10" s="7" customFormat="1" x14ac:dyDescent="0.35">
      <c r="A26"/>
      <c r="B26" t="s">
        <v>36</v>
      </c>
      <c r="C26" t="s">
        <v>37</v>
      </c>
      <c r="D26" s="7">
        <v>2.5146665201751079</v>
      </c>
      <c r="E26" s="7">
        <v>8.9126222052157313</v>
      </c>
      <c r="F26" s="7">
        <v>0.96135085422890187</v>
      </c>
      <c r="G26" s="7">
        <v>9.9450088368507092E-2</v>
      </c>
      <c r="H26" s="7">
        <v>9.4714369874768656E-3</v>
      </c>
      <c r="I26" s="7">
        <v>4.7357184937384328E-3</v>
      </c>
      <c r="J26" s="7">
        <v>0.80980786242927205</v>
      </c>
    </row>
    <row r="27" spans="1:10" s="7" customFormat="1" x14ac:dyDescent="0.35">
      <c r="A27"/>
      <c r="B27" t="s">
        <v>40</v>
      </c>
      <c r="C27" t="s">
        <v>41</v>
      </c>
      <c r="D27" s="7">
        <v>2.7835553384341396</v>
      </c>
      <c r="E27" s="7">
        <v>21.841528786929231</v>
      </c>
      <c r="F27" s="7">
        <v>4.8208379939118216E-2</v>
      </c>
      <c r="G27" s="7">
        <v>0.23390636331471074</v>
      </c>
      <c r="H27" s="7">
        <v>0.20640844262741587</v>
      </c>
      <c r="I27" s="7">
        <v>1.7403747270439789</v>
      </c>
      <c r="J27" s="7">
        <v>0.14549532718087663</v>
      </c>
    </row>
    <row r="28" spans="1:10" s="7" customFormat="1" x14ac:dyDescent="0.35">
      <c r="A28"/>
      <c r="B28" t="s">
        <v>44</v>
      </c>
      <c r="C28" t="s">
        <v>45</v>
      </c>
      <c r="D28" s="7">
        <v>2.449370552818829</v>
      </c>
      <c r="E28" s="7">
        <v>5.6330961503375301</v>
      </c>
      <c r="F28" s="7">
        <v>12.675606641123881</v>
      </c>
      <c r="G28" s="7">
        <v>0.38314176245210729</v>
      </c>
      <c r="H28" s="7">
        <v>1.1722313446451378</v>
      </c>
      <c r="I28" s="7">
        <v>1.8974639664294839</v>
      </c>
      <c r="J28" s="7">
        <v>1.2452107279693487</v>
      </c>
    </row>
    <row r="29" spans="1:10" s="7" customFormat="1" x14ac:dyDescent="0.35">
      <c r="A29"/>
      <c r="B29" t="s">
        <v>42</v>
      </c>
      <c r="C29" t="s">
        <v>43</v>
      </c>
      <c r="D29" s="7">
        <v>1.7561712668290541</v>
      </c>
      <c r="E29" s="7">
        <v>8.143922101102449</v>
      </c>
      <c r="F29" s="7">
        <v>1.8206010302871434</v>
      </c>
      <c r="G29" s="7">
        <v>1.4726803076134626E-2</v>
      </c>
      <c r="H29" s="7">
        <v>0.31294456536786081</v>
      </c>
      <c r="I29" s="7">
        <v>0.21169779421943524</v>
      </c>
      <c r="J29" s="7">
        <v>0</v>
      </c>
    </row>
    <row r="30" spans="1:10" s="7" customFormat="1" x14ac:dyDescent="0.35">
      <c r="A30"/>
      <c r="B30" t="s">
        <v>46</v>
      </c>
      <c r="C30" t="s">
        <v>47</v>
      </c>
      <c r="D30" s="7">
        <v>1.7466758304249621</v>
      </c>
      <c r="E30" s="7">
        <v>1.5229142995674625</v>
      </c>
      <c r="F30" s="7">
        <v>1.3338859018579923</v>
      </c>
      <c r="G30" s="7">
        <v>8.3827080963033554E-2</v>
      </c>
      <c r="H30" s="7">
        <v>1.0019173023470147E-2</v>
      </c>
      <c r="I30" s="7">
        <v>0.1021955648393955</v>
      </c>
      <c r="J30" s="7">
        <v>0.1021955648393955</v>
      </c>
    </row>
    <row r="31" spans="1:10" s="7" customFormat="1" x14ac:dyDescent="0.35">
      <c r="A31"/>
      <c r="B31" t="s">
        <v>56</v>
      </c>
      <c r="C31" t="s">
        <v>57</v>
      </c>
      <c r="D31" s="7">
        <v>0.53791564778286849</v>
      </c>
      <c r="E31" s="7">
        <v>4.7370347493990899</v>
      </c>
      <c r="F31" s="7">
        <v>0.29718030406658924</v>
      </c>
      <c r="G31" s="7">
        <v>4.872599141351544E-2</v>
      </c>
      <c r="H31" s="7">
        <v>5.9339573701607917E-2</v>
      </c>
      <c r="I31" s="7">
        <v>4.3419200269469202E-2</v>
      </c>
      <c r="J31" s="7">
        <v>0.10082903173687849</v>
      </c>
    </row>
    <row r="32" spans="1:10" s="7" customFormat="1" x14ac:dyDescent="0.35">
      <c r="A32"/>
      <c r="B32" t="s">
        <v>48</v>
      </c>
      <c r="C32" t="s">
        <v>49</v>
      </c>
      <c r="D32" s="7">
        <v>2.0157672262938919</v>
      </c>
      <c r="E32" s="7">
        <v>2.8811538295030967</v>
      </c>
      <c r="F32" s="7">
        <v>1.475635702910834</v>
      </c>
      <c r="G32" s="7">
        <v>1.3571143803594426E-2</v>
      </c>
      <c r="H32" s="7">
        <v>0.77853128286620032</v>
      </c>
      <c r="I32" s="7">
        <v>0.67674770433924203</v>
      </c>
      <c r="J32" s="7">
        <v>0</v>
      </c>
    </row>
    <row r="33" spans="1:10" s="7" customFormat="1" x14ac:dyDescent="0.35">
      <c r="A33"/>
      <c r="B33" t="s">
        <v>52</v>
      </c>
      <c r="C33" t="s">
        <v>53</v>
      </c>
      <c r="D33" s="7">
        <v>2.5306978821855766</v>
      </c>
      <c r="E33" s="7">
        <v>12.927830579617286</v>
      </c>
      <c r="F33" s="7">
        <v>2.6658804870470219</v>
      </c>
      <c r="G33" s="7">
        <v>0.2962089430052246</v>
      </c>
      <c r="H33" s="7">
        <v>0.19283400987588448</v>
      </c>
      <c r="I33" s="7">
        <v>0.64808131154163229</v>
      </c>
      <c r="J33" s="7">
        <v>1.7891815349308868E-2</v>
      </c>
    </row>
    <row r="34" spans="1:10" s="7" customFormat="1" x14ac:dyDescent="0.35">
      <c r="A34"/>
      <c r="B34" t="s">
        <v>54</v>
      </c>
      <c r="C34" t="s">
        <v>55</v>
      </c>
      <c r="D34" s="7">
        <v>14.369066292898482</v>
      </c>
      <c r="E34" s="7">
        <v>36.052010846175733</v>
      </c>
      <c r="F34" s="7">
        <v>4.4447684604874196</v>
      </c>
      <c r="G34" s="7">
        <v>3.2453864949590678</v>
      </c>
      <c r="H34" s="7">
        <v>0.32140301037034252</v>
      </c>
      <c r="I34" s="7">
        <v>2.4928331048236321</v>
      </c>
      <c r="J34" s="7">
        <v>2.0695218228724492</v>
      </c>
    </row>
    <row r="35" spans="1:10" s="7" customFormat="1" x14ac:dyDescent="0.35">
      <c r="A35"/>
      <c r="B35" t="s">
        <v>50</v>
      </c>
      <c r="C35" t="s">
        <v>51</v>
      </c>
      <c r="D35" s="7">
        <v>1.6803383547410222</v>
      </c>
      <c r="E35" s="7">
        <v>5.0442470491683631</v>
      </c>
      <c r="F35" s="7">
        <v>3.9151090360070158</v>
      </c>
      <c r="G35" s="7">
        <v>0.10753695363441408</v>
      </c>
      <c r="H35" s="7">
        <v>0.1474960402308084</v>
      </c>
      <c r="I35" s="7">
        <v>9.4902830666436469E-2</v>
      </c>
      <c r="J35" s="7">
        <v>0.63199996521208934</v>
      </c>
    </row>
    <row r="36" spans="1:10" s="7" customFormat="1" x14ac:dyDescent="0.35">
      <c r="A36"/>
      <c r="B36" t="s">
        <v>58</v>
      </c>
      <c r="C36" t="s">
        <v>59</v>
      </c>
      <c r="D36" s="7">
        <v>5.957850353870942</v>
      </c>
      <c r="E36" s="7">
        <v>58.041475144348226</v>
      </c>
      <c r="F36" s="7">
        <v>2.6114560098369814E-2</v>
      </c>
      <c r="G36" s="7">
        <v>0.83566592314783406</v>
      </c>
      <c r="H36" s="7">
        <v>2.4435766949188902</v>
      </c>
      <c r="I36" s="7">
        <v>0.3618731899345532</v>
      </c>
      <c r="J36" s="7">
        <v>3.9731437863948367</v>
      </c>
    </row>
    <row r="37" spans="1:10" s="7" customFormat="1" x14ac:dyDescent="0.35">
      <c r="A37"/>
      <c r="B37" t="s">
        <v>60</v>
      </c>
      <c r="C37" t="s">
        <v>61</v>
      </c>
      <c r="D37" s="7">
        <v>0.36724730411291118</v>
      </c>
      <c r="E37" s="7">
        <v>3.4278878144462674</v>
      </c>
      <c r="F37" s="7">
        <v>0.63621716064631084</v>
      </c>
      <c r="G37" s="7">
        <v>1.0344994482053836E-2</v>
      </c>
      <c r="H37" s="7">
        <v>2.0689988964107672E-2</v>
      </c>
      <c r="I37" s="7">
        <v>0.15960848629454488</v>
      </c>
      <c r="J37" s="7">
        <v>0.23978219353046215</v>
      </c>
    </row>
    <row r="38" spans="1:10" s="7" customFormat="1" x14ac:dyDescent="0.35">
      <c r="A38"/>
      <c r="B38" t="s">
        <v>62</v>
      </c>
      <c r="C38" t="s">
        <v>63</v>
      </c>
      <c r="D38" s="7">
        <v>3.8995888063140915</v>
      </c>
      <c r="E38" s="7">
        <v>9.9324248905403838</v>
      </c>
      <c r="F38" s="7">
        <v>6.6065989025233316</v>
      </c>
      <c r="G38" s="7">
        <v>0.22720071436801473</v>
      </c>
      <c r="H38" s="7">
        <v>0.82261241214425618</v>
      </c>
      <c r="I38" s="7">
        <v>1.6577820745477589</v>
      </c>
      <c r="J38" s="7">
        <v>1.7423522295195299</v>
      </c>
    </row>
    <row r="39" spans="1:10" s="7" customFormat="1" x14ac:dyDescent="0.35">
      <c r="A39"/>
      <c r="B39" t="s">
        <v>64</v>
      </c>
      <c r="C39" t="s">
        <v>65</v>
      </c>
      <c r="D39" s="7">
        <v>0.87830814439414617</v>
      </c>
      <c r="E39" s="7">
        <v>9.6958612080665318</v>
      </c>
      <c r="F39" s="7">
        <v>1.1433087210756179</v>
      </c>
      <c r="G39" s="7">
        <v>0.19677549596401966</v>
      </c>
      <c r="H39" s="7">
        <v>5.8170858295932819E-2</v>
      </c>
      <c r="I39" s="7">
        <v>0</v>
      </c>
      <c r="J39" s="7">
        <v>1.3465476457391858</v>
      </c>
    </row>
    <row r="40" spans="1:10" s="7" customFormat="1" x14ac:dyDescent="0.35">
      <c r="A40"/>
      <c r="B40" t="s">
        <v>72</v>
      </c>
      <c r="C40" t="s">
        <v>73</v>
      </c>
      <c r="D40" s="7">
        <v>4.5232884737993899</v>
      </c>
      <c r="E40" s="7">
        <v>18.95473265211173</v>
      </c>
      <c r="F40" s="7">
        <v>2.1539468922854241</v>
      </c>
      <c r="G40" s="7">
        <v>0.25847362707425087</v>
      </c>
      <c r="H40" s="7">
        <v>1.5939207002912137</v>
      </c>
      <c r="I40" s="7">
        <v>6.2895249254734376</v>
      </c>
      <c r="J40" s="7">
        <v>0</v>
      </c>
    </row>
    <row r="41" spans="1:10" s="7" customFormat="1" x14ac:dyDescent="0.35">
      <c r="A41"/>
      <c r="B41" t="s">
        <v>66</v>
      </c>
      <c r="C41" t="s">
        <v>67</v>
      </c>
      <c r="D41" s="7">
        <v>1.089060893904273</v>
      </c>
      <c r="E41" s="7">
        <v>2.6384749482323491</v>
      </c>
      <c r="F41" s="7">
        <v>1.5952285774877588</v>
      </c>
      <c r="G41" s="7">
        <v>0.10874049472840433</v>
      </c>
      <c r="H41" s="7">
        <v>0.20147350546125675</v>
      </c>
      <c r="I41" s="7">
        <v>0</v>
      </c>
      <c r="J41" s="7">
        <v>0.14351537375322398</v>
      </c>
    </row>
    <row r="42" spans="1:10" s="7" customFormat="1" x14ac:dyDescent="0.35">
      <c r="A42"/>
      <c r="B42" t="s">
        <v>93</v>
      </c>
      <c r="C42" t="s">
        <v>100</v>
      </c>
      <c r="D42" s="7">
        <v>82.872928176795583</v>
      </c>
      <c r="E42" s="7">
        <v>62.555048442629513</v>
      </c>
      <c r="F42" s="7">
        <v>31.227480182560654</v>
      </c>
      <c r="G42" s="7">
        <v>4.4038754103611177</v>
      </c>
      <c r="H42" s="7">
        <v>5.4047561854431896</v>
      </c>
      <c r="I42" s="7">
        <v>1.0008807750820721</v>
      </c>
      <c r="J42" s="7">
        <v>2.1018496276723515</v>
      </c>
    </row>
    <row r="43" spans="1:10" s="7" customFormat="1" x14ac:dyDescent="0.35">
      <c r="A43"/>
      <c r="B43" t="s">
        <v>68</v>
      </c>
      <c r="C43" t="s">
        <v>69</v>
      </c>
      <c r="D43" s="7">
        <v>1.3054441980441471</v>
      </c>
      <c r="E43" s="7">
        <v>8.6825022792158641</v>
      </c>
      <c r="F43" s="7">
        <v>2.6805278243745554</v>
      </c>
      <c r="G43" s="7">
        <v>1.7704939394812123E-2</v>
      </c>
      <c r="H43" s="7">
        <v>0.10504930707588526</v>
      </c>
      <c r="I43" s="7">
        <v>0</v>
      </c>
      <c r="J43" s="7">
        <v>0.35173812931026754</v>
      </c>
    </row>
    <row r="44" spans="1:10" s="7" customFormat="1" x14ac:dyDescent="0.35">
      <c r="A44"/>
      <c r="B44" t="s">
        <v>83</v>
      </c>
      <c r="C44" t="s">
        <v>84</v>
      </c>
      <c r="D44" s="7">
        <v>8.0603461237892642</v>
      </c>
      <c r="E44" s="7">
        <v>64.645007600642941</v>
      </c>
      <c r="F44" s="7">
        <v>0.25108743805153805</v>
      </c>
      <c r="G44" s="7">
        <v>0.19039034512009043</v>
      </c>
      <c r="H44" s="7">
        <v>2.7385291607059843</v>
      </c>
      <c r="I44" s="7">
        <v>2.115448279112116E-3</v>
      </c>
      <c r="J44" s="7">
        <v>0.1806267376780345</v>
      </c>
    </row>
    <row r="45" spans="1:10" s="7" customFormat="1" x14ac:dyDescent="0.35">
      <c r="A45"/>
      <c r="B45" t="s">
        <v>70</v>
      </c>
      <c r="C45" t="s">
        <v>71</v>
      </c>
      <c r="D45" s="7">
        <v>0.38348256495677452</v>
      </c>
      <c r="E45" s="7">
        <v>3.8095965334521678</v>
      </c>
      <c r="F45" s="7">
        <v>2.5969170188300872</v>
      </c>
      <c r="G45" s="7">
        <v>2.691105718994909E-2</v>
      </c>
      <c r="H45" s="7">
        <v>0.13455528594974545</v>
      </c>
      <c r="I45" s="7">
        <v>0.53401629111305227</v>
      </c>
      <c r="J45" s="7">
        <v>0.22874398611456728</v>
      </c>
    </row>
    <row r="46" spans="1:10" s="7" customFormat="1" x14ac:dyDescent="0.35">
      <c r="A46"/>
      <c r="B46" t="s">
        <v>78</v>
      </c>
      <c r="C46" t="s">
        <v>82</v>
      </c>
      <c r="D46" s="7">
        <v>1.8213001902304993</v>
      </c>
      <c r="E46" s="7">
        <v>14.928746157151163</v>
      </c>
      <c r="F46" s="7">
        <v>6.6310859886684224</v>
      </c>
      <c r="G46" s="7">
        <v>0.10140690409590936</v>
      </c>
      <c r="H46" s="7">
        <v>0.34446154724642225</v>
      </c>
      <c r="I46" s="7">
        <v>0.75894214732097243</v>
      </c>
      <c r="J46" s="7">
        <v>2.6921118587366415</v>
      </c>
    </row>
    <row r="47" spans="1:10" s="7" customFormat="1" x14ac:dyDescent="0.35">
      <c r="A47"/>
      <c r="B47" t="s">
        <v>81</v>
      </c>
      <c r="C47" t="s">
        <v>80</v>
      </c>
      <c r="D47" s="7">
        <v>1.3345873613394743</v>
      </c>
      <c r="E47" s="7">
        <v>7.086070890369812</v>
      </c>
      <c r="F47" s="7">
        <v>0</v>
      </c>
      <c r="G47" s="7">
        <v>0.11591090047294411</v>
      </c>
      <c r="H47" s="7">
        <v>0.34727212830437032</v>
      </c>
      <c r="I47" s="7">
        <v>0.23826982454835663</v>
      </c>
      <c r="J47" s="7">
        <v>0.72816609396446885</v>
      </c>
    </row>
    <row r="48" spans="1:10" s="7" customFormat="1" x14ac:dyDescent="0.35">
      <c r="A48"/>
      <c r="B48" t="s">
        <v>99</v>
      </c>
      <c r="C48" t="s">
        <v>79</v>
      </c>
      <c r="D48" s="7">
        <v>0.82145829101791623</v>
      </c>
      <c r="E48" s="7">
        <v>2.9595004183248217</v>
      </c>
      <c r="F48" s="7">
        <v>2.09753185542109</v>
      </c>
      <c r="G48" s="7">
        <v>2.4756277263553637E-2</v>
      </c>
      <c r="H48" s="7">
        <v>0.28694775919118992</v>
      </c>
      <c r="I48" s="7">
        <v>0.14178595160035265</v>
      </c>
      <c r="J48" s="7">
        <v>0.46586812668687305</v>
      </c>
    </row>
    <row r="49" spans="1:10" s="7" customFormat="1" x14ac:dyDescent="0.35">
      <c r="A49"/>
      <c r="B49" t="s">
        <v>85</v>
      </c>
      <c r="C49" t="s">
        <v>86</v>
      </c>
      <c r="D49" s="7">
        <v>3.260153185767682</v>
      </c>
      <c r="E49" s="7">
        <v>24.946586351054954</v>
      </c>
      <c r="F49" s="7">
        <v>4.5934664852907989</v>
      </c>
      <c r="G49" s="7">
        <v>0.14126831290342273</v>
      </c>
      <c r="H49" s="7">
        <v>0.71133337769391314</v>
      </c>
      <c r="I49" s="7">
        <v>0.20915697210789444</v>
      </c>
      <c r="J49" s="7">
        <v>0.76524496000334652</v>
      </c>
    </row>
    <row r="50" spans="1:10" s="7" customFormat="1" x14ac:dyDescent="0.35">
      <c r="A50"/>
      <c r="B50" t="s">
        <v>87</v>
      </c>
      <c r="C50" t="s">
        <v>88</v>
      </c>
      <c r="D50" s="7">
        <v>1.4260937808769039</v>
      </c>
      <c r="E50" s="7">
        <v>29.867743600660884</v>
      </c>
      <c r="F50" s="7">
        <v>1.8002669016020323</v>
      </c>
      <c r="G50" s="7">
        <v>0.3157687399601426</v>
      </c>
      <c r="H50" s="7">
        <v>1.2207157386264047</v>
      </c>
      <c r="I50" s="7">
        <v>0.92997744756554179</v>
      </c>
      <c r="J50" s="7">
        <v>0.67710573304461452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A0B-840F-4639-9BBC-0B74BA011EBD}">
  <dimension ref="B1:G49"/>
  <sheetViews>
    <sheetView workbookViewId="0">
      <selection activeCell="F6" sqref="F6"/>
    </sheetView>
  </sheetViews>
  <sheetFormatPr defaultRowHeight="14.5" x14ac:dyDescent="0.35"/>
  <cols>
    <col min="3" max="3" width="9.1796875" style="1"/>
    <col min="4" max="4" width="13.453125" customWidth="1"/>
    <col min="5" max="5" width="18.1796875" customWidth="1"/>
    <col min="6" max="6" width="21.453125" customWidth="1"/>
    <col min="7" max="7" width="15.453125" customWidth="1"/>
  </cols>
  <sheetData>
    <row r="1" spans="2:7" x14ac:dyDescent="0.35">
      <c r="D1" t="s">
        <v>106</v>
      </c>
    </row>
    <row r="2" spans="2:7" x14ac:dyDescent="0.35">
      <c r="B2" t="s">
        <v>0</v>
      </c>
      <c r="C2" t="s">
        <v>1</v>
      </c>
      <c r="D2" s="2">
        <v>2023</v>
      </c>
      <c r="E2" s="2">
        <v>2024</v>
      </c>
      <c r="F2" s="2"/>
      <c r="G2" s="2"/>
    </row>
    <row r="3" spans="2:7" x14ac:dyDescent="0.35">
      <c r="B3" t="s">
        <v>2</v>
      </c>
      <c r="C3" t="s">
        <v>3</v>
      </c>
      <c r="D3">
        <f>_xlfn.XLOOKUP($C3,[1]Sheet1!$B:$B,[1]Sheet1!$BA:$BA)</f>
        <v>15227.463</v>
      </c>
      <c r="E3">
        <f>_xlfn.XLOOKUP($C3,[1]Sheet1!$B:$B,[1]Sheet1!$BB:$BB)</f>
        <v>15545.11</v>
      </c>
    </row>
    <row r="4" spans="2:7" x14ac:dyDescent="0.35">
      <c r="B4" t="s">
        <v>4</v>
      </c>
      <c r="C4" t="s">
        <v>5</v>
      </c>
      <c r="D4">
        <f>_xlfn.XLOOKUP($C4,[1]Sheet1!$B:$B,[1]Sheet1!$BA:$BA)</f>
        <v>8781.5580000000009</v>
      </c>
      <c r="E4">
        <f>_xlfn.XLOOKUP($C4,[1]Sheet1!$B:$B,[1]Sheet1!$BB:$BB)</f>
        <v>8866.6910000000007</v>
      </c>
    </row>
    <row r="5" spans="2:7" x14ac:dyDescent="0.35">
      <c r="B5" t="s">
        <v>8</v>
      </c>
      <c r="C5" t="s">
        <v>9</v>
      </c>
      <c r="D5">
        <f>_xlfn.XLOOKUP($C5,[1]Sheet1!$B:$B,[1]Sheet1!$BA:$BA)</f>
        <v>3829.2849999999999</v>
      </c>
      <c r="E5">
        <f>_xlfn.XLOOKUP($C5,[1]Sheet1!$B:$B,[1]Sheet1!$BB:$BB)</f>
        <v>3966.8029999999999</v>
      </c>
    </row>
    <row r="6" spans="2:7" x14ac:dyDescent="0.35">
      <c r="B6" t="s">
        <v>12</v>
      </c>
      <c r="C6" t="s">
        <v>13</v>
      </c>
      <c r="D6">
        <f>_xlfn.XLOOKUP($C6,[1]Sheet1!$B:$B,[1]Sheet1!$BA:$BA)</f>
        <v>17551.773000000001</v>
      </c>
      <c r="E6">
        <f>_xlfn.XLOOKUP($C6,[1]Sheet1!$B:$B,[1]Sheet1!$BB:$BB)</f>
        <v>16749.388999999999</v>
      </c>
    </row>
    <row r="7" spans="2:7" x14ac:dyDescent="0.35">
      <c r="B7" t="s">
        <v>10</v>
      </c>
      <c r="C7" t="s">
        <v>11</v>
      </c>
      <c r="D7">
        <f>_xlfn.XLOOKUP($C7,[1]Sheet1!$B:$B,[1]Sheet1!$BA:$BA)</f>
        <v>2462.8519999999999</v>
      </c>
      <c r="E7">
        <f>_xlfn.XLOOKUP($C7,[1]Sheet1!$B:$B,[1]Sheet1!$BB:$BB)</f>
        <v>2508.5279999999998</v>
      </c>
    </row>
    <row r="8" spans="2:7" x14ac:dyDescent="0.35">
      <c r="B8" t="s">
        <v>6</v>
      </c>
      <c r="C8" t="s">
        <v>7</v>
      </c>
      <c r="D8">
        <f>_xlfn.XLOOKUP($C8,[1]Sheet1!$B:$B,[1]Sheet1!$BA:$BA)</f>
        <v>875.15700000000004</v>
      </c>
      <c r="E8">
        <f>_xlfn.XLOOKUP($C8,[1]Sheet1!$B:$B,[1]Sheet1!$BB:$BB)</f>
        <v>879.67</v>
      </c>
    </row>
    <row r="9" spans="2:7" x14ac:dyDescent="0.35">
      <c r="B9" t="s">
        <v>23</v>
      </c>
      <c r="C9" t="s">
        <v>24</v>
      </c>
      <c r="D9">
        <f>_xlfn.XLOOKUP($C9,[1]Sheet1!$B:$B,[1]Sheet1!$BA:$BA)</f>
        <v>9530.2099999999991</v>
      </c>
      <c r="E9">
        <f>_xlfn.XLOOKUP($C9,[1]Sheet1!$B:$B,[1]Sheet1!$BB:$BB)</f>
        <v>10052.799000000001</v>
      </c>
    </row>
    <row r="10" spans="2:7" x14ac:dyDescent="0.35">
      <c r="B10" t="s">
        <v>17</v>
      </c>
      <c r="C10" t="s">
        <v>18</v>
      </c>
      <c r="D10">
        <f>_xlfn.XLOOKUP($C10,[1]Sheet1!$B:$B,[1]Sheet1!$BA:$BA)</f>
        <v>4829.0240000000003</v>
      </c>
      <c r="E10">
        <f>_xlfn.XLOOKUP($C10,[1]Sheet1!$B:$B,[1]Sheet1!$BB:$BB)</f>
        <v>4880.5190000000002</v>
      </c>
    </row>
    <row r="11" spans="2:7" x14ac:dyDescent="0.35">
      <c r="B11" t="s">
        <v>14</v>
      </c>
      <c r="C11" t="s">
        <v>15</v>
      </c>
      <c r="D11">
        <f>_xlfn.XLOOKUP($C11,[1]Sheet1!$B:$B,[1]Sheet1!$BA:$BA)</f>
        <v>1163.4580000000001</v>
      </c>
      <c r="E11">
        <f>_xlfn.XLOOKUP($C11,[1]Sheet1!$B:$B,[1]Sheet1!$BB:$BB)</f>
        <v>1145.1610000000001</v>
      </c>
    </row>
    <row r="12" spans="2:7" x14ac:dyDescent="0.35">
      <c r="B12" t="s">
        <v>76</v>
      </c>
      <c r="C12" t="s">
        <v>77</v>
      </c>
      <c r="D12">
        <f>_xlfn.XLOOKUP($C12,[1]Sheet1!$B:$B,[1]Sheet1!$BA:$BA)</f>
        <v>2623.6219999999998</v>
      </c>
      <c r="E12">
        <f>_xlfn.XLOOKUP($C12,[1]Sheet1!$B:$B,[1]Sheet1!$BB:$BB)</f>
        <v>2588.8200000000002</v>
      </c>
    </row>
    <row r="13" spans="2:7" x14ac:dyDescent="0.35">
      <c r="B13" t="s">
        <v>21</v>
      </c>
      <c r="C13" t="s">
        <v>22</v>
      </c>
      <c r="D13">
        <f>_xlfn.XLOOKUP($C13,[1]Sheet1!$B:$B,[1]Sheet1!$BA:$BA)</f>
        <v>3356.835</v>
      </c>
      <c r="E13">
        <f>_xlfn.XLOOKUP($C13,[1]Sheet1!$B:$B,[1]Sheet1!$BB:$BB)</f>
        <v>3392.3159999999998</v>
      </c>
    </row>
    <row r="14" spans="2:7" x14ac:dyDescent="0.35">
      <c r="B14" t="s">
        <v>91</v>
      </c>
      <c r="C14" t="s">
        <v>20</v>
      </c>
      <c r="D14">
        <f>_xlfn.XLOOKUP($C14,[1]Sheet1!$B:$B,[1]Sheet1!$BA:$BA)</f>
        <v>5633.357</v>
      </c>
      <c r="E14">
        <f>_xlfn.XLOOKUP($C14,[1]Sheet1!$B:$B,[1]Sheet1!$BB:$BB)</f>
        <v>5622.1610000000001</v>
      </c>
    </row>
    <row r="15" spans="2:7" x14ac:dyDescent="0.35">
      <c r="B15" t="s">
        <v>90</v>
      </c>
      <c r="C15" t="s">
        <v>16</v>
      </c>
      <c r="D15">
        <f>_xlfn.XLOOKUP($C15,[1]Sheet1!$B:$B,[1]Sheet1!$BA:$BA)</f>
        <v>6526.7870000000003</v>
      </c>
      <c r="E15">
        <f>_xlfn.XLOOKUP($C15,[1]Sheet1!$B:$B,[1]Sheet1!$BB:$BB)</f>
        <v>6726.0720000000001</v>
      </c>
    </row>
    <row r="16" spans="2:7" x14ac:dyDescent="0.35">
      <c r="B16" t="s">
        <v>98</v>
      </c>
      <c r="C16" t="s">
        <v>19</v>
      </c>
      <c r="D16">
        <f>_xlfn.XLOOKUP($C16,[1]Sheet1!$B:$B,[1]Sheet1!$BA:$BA)</f>
        <v>1544.1389999999999</v>
      </c>
      <c r="E16">
        <f>_xlfn.XLOOKUP($C16,[1]Sheet1!$B:$B,[1]Sheet1!$BB:$BB)</f>
        <v>1592.4770000000001</v>
      </c>
    </row>
    <row r="17" spans="2:5" x14ac:dyDescent="0.35">
      <c r="B17" t="s">
        <v>38</v>
      </c>
      <c r="C17" t="s">
        <v>39</v>
      </c>
      <c r="D17">
        <f>_xlfn.XLOOKUP($C17,[1]Sheet1!$B:$B,[1]Sheet1!$BA:$BA)</f>
        <v>18770.063999999998</v>
      </c>
      <c r="E17">
        <f>_xlfn.XLOOKUP($C17,[1]Sheet1!$B:$B,[1]Sheet1!$BB:$BB)</f>
        <v>18565.41</v>
      </c>
    </row>
    <row r="18" spans="2:5" x14ac:dyDescent="0.35">
      <c r="B18" t="s">
        <v>25</v>
      </c>
      <c r="C18" t="s">
        <v>26</v>
      </c>
      <c r="D18">
        <v>650</v>
      </c>
      <c r="E18">
        <v>650</v>
      </c>
    </row>
    <row r="19" spans="2:5" x14ac:dyDescent="0.35">
      <c r="B19" t="s">
        <v>74</v>
      </c>
      <c r="C19" t="s">
        <v>75</v>
      </c>
      <c r="D19">
        <f>_xlfn.XLOOKUP($C19,[1]Sheet1!$B:$B,[1]Sheet1!$BA:$BA)</f>
        <v>11033.557000000001</v>
      </c>
      <c r="E19">
        <f>_xlfn.XLOOKUP($C19,[1]Sheet1!$B:$B,[1]Sheet1!$BB:$BB)</f>
        <v>11315.553</v>
      </c>
    </row>
    <row r="20" spans="2:5" x14ac:dyDescent="0.35">
      <c r="B20" t="s">
        <v>27</v>
      </c>
      <c r="C20" t="s">
        <v>28</v>
      </c>
      <c r="D20">
        <f>_xlfn.XLOOKUP($C20,[1]Sheet1!$B:$B,[1]Sheet1!$BA:$BA)</f>
        <v>3409.15</v>
      </c>
      <c r="E20">
        <f>_xlfn.XLOOKUP($C20,[1]Sheet1!$B:$B,[1]Sheet1!$BB:$BB)</f>
        <v>3591.681</v>
      </c>
    </row>
    <row r="21" spans="2:5" x14ac:dyDescent="0.35">
      <c r="B21" t="s">
        <v>29</v>
      </c>
      <c r="C21" t="s">
        <v>30</v>
      </c>
      <c r="D21">
        <f>_xlfn.XLOOKUP($C21,[1]Sheet1!$B:$B,[1]Sheet1!$BA:$BA)</f>
        <v>21035.028999999999</v>
      </c>
      <c r="E21">
        <f>_xlfn.XLOOKUP($C21,[1]Sheet1!$B:$B,[1]Sheet1!$BB:$BB)</f>
        <v>21218.077000000001</v>
      </c>
    </row>
    <row r="22" spans="2:5" x14ac:dyDescent="0.35">
      <c r="B22" t="s">
        <v>92</v>
      </c>
      <c r="C22" t="s">
        <v>35</v>
      </c>
      <c r="D22">
        <f>_xlfn.XLOOKUP($C22,[1]Sheet1!$B:$B,[1]Sheet1!$BA:$BA)</f>
        <v>2991.8870000000002</v>
      </c>
      <c r="E22">
        <f>_xlfn.XLOOKUP($C22,[1]Sheet1!$B:$B,[1]Sheet1!$BB:$BB)</f>
        <v>3073.5410000000002</v>
      </c>
    </row>
    <row r="23" spans="2:5" x14ac:dyDescent="0.35">
      <c r="B23" t="s">
        <v>31</v>
      </c>
      <c r="C23" t="s">
        <v>32</v>
      </c>
      <c r="D23">
        <f>_xlfn.XLOOKUP($C23,[1]Sheet1!$B:$B,[1]Sheet1!$BA:$BA)</f>
        <v>6808.5389999999998</v>
      </c>
      <c r="E23">
        <f>_xlfn.XLOOKUP($C23,[1]Sheet1!$B:$B,[1]Sheet1!$BB:$BB)</f>
        <v>7061.9350000000004</v>
      </c>
    </row>
    <row r="24" spans="2:5" x14ac:dyDescent="0.35">
      <c r="B24" t="s">
        <v>33</v>
      </c>
      <c r="C24" t="s">
        <v>34</v>
      </c>
      <c r="D24">
        <f>_xlfn.XLOOKUP($C24,[1]Sheet1!$B:$B,[1]Sheet1!$BA:$BA)</f>
        <v>3764.5329999999999</v>
      </c>
      <c r="E24">
        <f>_xlfn.XLOOKUP($C24,[1]Sheet1!$B:$B,[1]Sheet1!$BB:$BB)</f>
        <v>3895.7669999999998</v>
      </c>
    </row>
    <row r="25" spans="2:5" x14ac:dyDescent="0.35">
      <c r="B25" t="s">
        <v>36</v>
      </c>
      <c r="C25" t="s">
        <v>37</v>
      </c>
      <c r="D25">
        <f>_xlfn.XLOOKUP($C25,[1]Sheet1!$B:$B,[1]Sheet1!$BA:$BA)</f>
        <v>2662.1570000000002</v>
      </c>
      <c r="E25">
        <f>_xlfn.XLOOKUP($C25,[1]Sheet1!$B:$B,[1]Sheet1!$BB:$BB)</f>
        <v>2729.1590000000001</v>
      </c>
    </row>
    <row r="26" spans="2:5" x14ac:dyDescent="0.35">
      <c r="B26" t="s">
        <v>40</v>
      </c>
      <c r="C26" t="s">
        <v>41</v>
      </c>
      <c r="D26">
        <f>_xlfn.XLOOKUP($C26,[1]Sheet1!$B:$B,[1]Sheet1!$BA:$BA)</f>
        <v>6102.0050000000001</v>
      </c>
      <c r="E26">
        <f>_xlfn.XLOOKUP($C26,[1]Sheet1!$B:$B,[1]Sheet1!$BB:$BB)</f>
        <v>6267.1480000000001</v>
      </c>
    </row>
    <row r="27" spans="2:5" x14ac:dyDescent="0.35">
      <c r="B27" t="s">
        <v>44</v>
      </c>
      <c r="C27" t="s">
        <v>45</v>
      </c>
      <c r="D27">
        <f>_xlfn.XLOOKUP($C27,[1]Sheet1!$B:$B,[1]Sheet1!$BA:$BA)</f>
        <v>2851.384</v>
      </c>
      <c r="E27">
        <f>_xlfn.XLOOKUP($C27,[1]Sheet1!$B:$B,[1]Sheet1!$BB:$BB)</f>
        <v>2891.0540000000001</v>
      </c>
    </row>
    <row r="28" spans="2:5" x14ac:dyDescent="0.35">
      <c r="B28" t="s">
        <v>42</v>
      </c>
      <c r="C28" t="s">
        <v>43</v>
      </c>
      <c r="D28">
        <f>_xlfn.XLOOKUP($C28,[1]Sheet1!$B:$B,[1]Sheet1!$BA:$BA)</f>
        <v>1631.3579999999999</v>
      </c>
      <c r="E28">
        <f>_xlfn.XLOOKUP($C28,[1]Sheet1!$B:$B,[1]Sheet1!$BB:$BB)</f>
        <v>1670.3019999999999</v>
      </c>
    </row>
    <row r="29" spans="2:5" x14ac:dyDescent="0.35">
      <c r="B29" t="s">
        <v>46</v>
      </c>
      <c r="C29" t="s">
        <v>47</v>
      </c>
      <c r="D29">
        <f>_xlfn.XLOOKUP($C29,[1]Sheet1!$B:$B,[1]Sheet1!$BA:$BA)</f>
        <v>1707.712</v>
      </c>
      <c r="E29">
        <f>_xlfn.XLOOKUP($C29,[1]Sheet1!$B:$B,[1]Sheet1!$BB:$BB)</f>
        <v>1731.3050000000001</v>
      </c>
    </row>
    <row r="30" spans="2:5" x14ac:dyDescent="0.35">
      <c r="B30" t="s">
        <v>56</v>
      </c>
      <c r="C30" t="s">
        <v>57</v>
      </c>
      <c r="D30">
        <f>_xlfn.XLOOKUP($C30,[1]Sheet1!$B:$B,[1]Sheet1!$BA:$BA)</f>
        <v>1530.6220000000001</v>
      </c>
      <c r="E30">
        <f>_xlfn.XLOOKUP($C30,[1]Sheet1!$B:$B,[1]Sheet1!$BB:$BB)</f>
        <v>1514.5540000000001</v>
      </c>
    </row>
    <row r="31" spans="2:5" x14ac:dyDescent="0.35">
      <c r="B31" t="s">
        <v>48</v>
      </c>
      <c r="C31" t="s">
        <v>49</v>
      </c>
      <c r="D31">
        <f>_xlfn.XLOOKUP($C31,[1]Sheet1!$B:$B,[1]Sheet1!$BA:$BA)</f>
        <v>2443.5479999999998</v>
      </c>
      <c r="E31">
        <f>_xlfn.XLOOKUP($C31,[1]Sheet1!$B:$B,[1]Sheet1!$BB:$BB)</f>
        <v>2472.828</v>
      </c>
    </row>
    <row r="32" spans="2:5" x14ac:dyDescent="0.35">
      <c r="B32" t="s">
        <v>52</v>
      </c>
      <c r="C32" t="s">
        <v>53</v>
      </c>
      <c r="D32">
        <f>_xlfn.XLOOKUP($C32,[1]Sheet1!$B:$B,[1]Sheet1!$BA:$BA)</f>
        <v>7095.5609999999997</v>
      </c>
      <c r="E32">
        <f>_xlfn.XLOOKUP($C32,[1]Sheet1!$B:$B,[1]Sheet1!$BB:$BB)</f>
        <v>7258.2529999999997</v>
      </c>
    </row>
    <row r="33" spans="2:5" x14ac:dyDescent="0.35">
      <c r="B33" t="s">
        <v>54</v>
      </c>
      <c r="C33" t="s">
        <v>55</v>
      </c>
      <c r="D33">
        <f>_xlfn.XLOOKUP($C33,[1]Sheet1!$B:$B,[1]Sheet1!$BA:$BA)</f>
        <v>26072.481</v>
      </c>
      <c r="E33">
        <f>_xlfn.XLOOKUP($C33,[1]Sheet1!$B:$B,[1]Sheet1!$BB:$BB)</f>
        <v>27341.633999999998</v>
      </c>
    </row>
    <row r="34" spans="2:5" x14ac:dyDescent="0.35">
      <c r="B34" t="s">
        <v>50</v>
      </c>
      <c r="C34" t="s">
        <v>51</v>
      </c>
      <c r="D34">
        <f>_xlfn.XLOOKUP($C34,[1]Sheet1!$B:$B,[1]Sheet1!$BA:$BA)</f>
        <v>1499.9449999999999</v>
      </c>
      <c r="E34">
        <f>_xlfn.XLOOKUP($C34,[1]Sheet1!$B:$B,[1]Sheet1!$BB:$BB)</f>
        <v>1485.598</v>
      </c>
    </row>
    <row r="35" spans="2:5" x14ac:dyDescent="0.35">
      <c r="B35" t="s">
        <v>58</v>
      </c>
      <c r="C35" t="s">
        <v>59</v>
      </c>
      <c r="D35">
        <f>_xlfn.XLOOKUP($C35,[1]Sheet1!$B:$B,[1]Sheet1!$BA:$BA)</f>
        <v>10259.052</v>
      </c>
      <c r="E35">
        <f>_xlfn.XLOOKUP($C35,[1]Sheet1!$B:$B,[1]Sheet1!$BB:$BB)</f>
        <v>10419.859</v>
      </c>
    </row>
    <row r="36" spans="2:5" x14ac:dyDescent="0.35">
      <c r="B36" t="s">
        <v>60</v>
      </c>
      <c r="C36" t="s">
        <v>61</v>
      </c>
      <c r="D36">
        <f>_xlfn.XLOOKUP($C36,[1]Sheet1!$B:$B,[1]Sheet1!$BA:$BA)</f>
        <v>1643.7670000000001</v>
      </c>
      <c r="E36">
        <f>_xlfn.XLOOKUP($C36,[1]Sheet1!$B:$B,[1]Sheet1!$BB:$BB)</f>
        <v>1747.635</v>
      </c>
    </row>
    <row r="37" spans="2:5" x14ac:dyDescent="0.35">
      <c r="B37" t="s">
        <v>62</v>
      </c>
      <c r="C37" t="s">
        <v>63</v>
      </c>
      <c r="D37">
        <f>_xlfn.XLOOKUP($C37,[1]Sheet1!$B:$B,[1]Sheet1!$BA:$BA)</f>
        <v>5736.5680000000002</v>
      </c>
      <c r="E37">
        <f>_xlfn.XLOOKUP($C37,[1]Sheet1!$B:$B,[1]Sheet1!$BB:$BB)</f>
        <v>5789.0159999999996</v>
      </c>
    </row>
    <row r="38" spans="2:5" x14ac:dyDescent="0.35">
      <c r="B38" t="s">
        <v>64</v>
      </c>
      <c r="C38" t="s">
        <v>65</v>
      </c>
      <c r="D38">
        <f>_xlfn.XLOOKUP($C38,[1]Sheet1!$B:$B,[1]Sheet1!$BA:$BA)</f>
        <v>3163.4169999999999</v>
      </c>
      <c r="E38">
        <f>_xlfn.XLOOKUP($C38,[1]Sheet1!$B:$B,[1]Sheet1!$BB:$BB)</f>
        <v>3355.683</v>
      </c>
    </row>
    <row r="39" spans="2:5" x14ac:dyDescent="0.35">
      <c r="B39" t="s">
        <v>72</v>
      </c>
      <c r="C39" t="s">
        <v>73</v>
      </c>
      <c r="D39">
        <f>_xlfn.XLOOKUP($C39,[1]Sheet1!$B:$B,[1]Sheet1!$BA:$BA)</f>
        <v>5517.5839999999998</v>
      </c>
      <c r="E39">
        <f>_xlfn.XLOOKUP($C39,[1]Sheet1!$B:$B,[1]Sheet1!$BB:$BB)</f>
        <v>5449.7889999999998</v>
      </c>
    </row>
    <row r="40" spans="2:5" x14ac:dyDescent="0.35">
      <c r="B40" t="s">
        <v>66</v>
      </c>
      <c r="C40" t="s">
        <v>67</v>
      </c>
      <c r="D40">
        <f>_xlfn.XLOOKUP($C40,[1]Sheet1!$B:$B,[1]Sheet1!$BA:$BA)</f>
        <v>4300.2030000000004</v>
      </c>
      <c r="E40">
        <f>_xlfn.XLOOKUP($C40,[1]Sheet1!$B:$B,[1]Sheet1!$BB:$BB)</f>
        <v>4464.78</v>
      </c>
    </row>
    <row r="41" spans="2:5" x14ac:dyDescent="0.35">
      <c r="B41" t="s">
        <v>93</v>
      </c>
      <c r="C41" t="s">
        <v>100</v>
      </c>
      <c r="D41">
        <f>_xlfn.XLOOKUP($C41,[1]Sheet1!$B:$B,[1]Sheet1!$BA:$BA)</f>
        <v>34366.618999999999</v>
      </c>
      <c r="E41">
        <f>_xlfn.XLOOKUP($C41,[1]Sheet1!$B:$B,[1]Sheet1!$BB:$BB)</f>
        <v>35085.182000000001</v>
      </c>
    </row>
    <row r="42" spans="2:5" x14ac:dyDescent="0.35">
      <c r="B42" t="s">
        <v>68</v>
      </c>
      <c r="C42" t="s">
        <v>69</v>
      </c>
      <c r="D42">
        <f>_xlfn.XLOOKUP($C42,[1]Sheet1!$B:$B,[1]Sheet1!$BA:$BA)</f>
        <v>2920.12</v>
      </c>
      <c r="E42">
        <f>_xlfn.XLOOKUP($C42,[1]Sheet1!$B:$B,[1]Sheet1!$BB:$BB)</f>
        <v>2966.491</v>
      </c>
    </row>
    <row r="43" spans="2:5" x14ac:dyDescent="0.35">
      <c r="B43" t="s">
        <v>83</v>
      </c>
      <c r="C43" t="s">
        <v>84</v>
      </c>
      <c r="D43">
        <f>_xlfn.XLOOKUP($C43,[1]Sheet1!$B:$B,[1]Sheet1!$BA:$BA)</f>
        <v>13897.062</v>
      </c>
      <c r="E43">
        <f>_xlfn.XLOOKUP($C43,[1]Sheet1!$B:$B,[1]Sheet1!$BB:$BB)</f>
        <v>13771.97</v>
      </c>
    </row>
    <row r="44" spans="2:5" x14ac:dyDescent="0.35">
      <c r="B44" t="s">
        <v>70</v>
      </c>
      <c r="C44" t="s">
        <v>71</v>
      </c>
      <c r="D44">
        <f>_xlfn.XLOOKUP($C44,[1]Sheet1!$B:$B,[1]Sheet1!$BA:$BA)</f>
        <v>938.25699999999995</v>
      </c>
      <c r="E44">
        <f>_xlfn.XLOOKUP($C44,[1]Sheet1!$B:$B,[1]Sheet1!$BB:$BB)</f>
        <v>660.09400000000005</v>
      </c>
    </row>
    <row r="45" spans="2:5" x14ac:dyDescent="0.35">
      <c r="B45" t="s">
        <v>78</v>
      </c>
      <c r="C45" t="s">
        <v>82</v>
      </c>
      <c r="D45">
        <f>_xlfn.XLOOKUP($C45,[1]Sheet1!$B:$B,[1]Sheet1!$BA:$BA)</f>
        <v>3143.5830000000001</v>
      </c>
      <c r="E45">
        <f>_xlfn.XLOOKUP($C45,[1]Sheet1!$B:$B,[1]Sheet1!$BB:$BB)</f>
        <v>3240.9789999999998</v>
      </c>
    </row>
    <row r="46" spans="2:5" x14ac:dyDescent="0.35">
      <c r="B46" t="s">
        <v>81</v>
      </c>
      <c r="C46" t="s">
        <v>80</v>
      </c>
      <c r="D46">
        <f>_xlfn.XLOOKUP($C46,[1]Sheet1!$B:$B,[1]Sheet1!$BA:$BA)</f>
        <v>3553.4090000000001</v>
      </c>
      <c r="E46">
        <f>_xlfn.XLOOKUP($C46,[1]Sheet1!$B:$B,[1]Sheet1!$BB:$BB)</f>
        <v>3638.1469999999999</v>
      </c>
    </row>
    <row r="47" spans="2:5" x14ac:dyDescent="0.35">
      <c r="B47" t="s">
        <v>99</v>
      </c>
      <c r="C47" t="s">
        <v>79</v>
      </c>
      <c r="D47">
        <f>_xlfn.XLOOKUP($C47,[1]Sheet1!$B:$B,[1]Sheet1!$BA:$BA)</f>
        <v>2815.904</v>
      </c>
      <c r="E47">
        <f>_xlfn.XLOOKUP($C47,[1]Sheet1!$B:$B,[1]Sheet1!$BB:$BB)</f>
        <v>2895.085</v>
      </c>
    </row>
    <row r="48" spans="2:5" x14ac:dyDescent="0.35">
      <c r="B48" t="s">
        <v>85</v>
      </c>
      <c r="C48" t="s">
        <v>86</v>
      </c>
      <c r="D48">
        <f>_xlfn.XLOOKUP($C48,[1]Sheet1!$B:$B,[1]Sheet1!$BA:$BA)</f>
        <v>3701.027</v>
      </c>
      <c r="E48">
        <f>_xlfn.XLOOKUP($C48,[1]Sheet1!$B:$B,[1]Sheet1!$BB:$BB)</f>
        <v>3747.732</v>
      </c>
    </row>
    <row r="49" spans="2:5" x14ac:dyDescent="0.35">
      <c r="B49" t="s">
        <v>87</v>
      </c>
      <c r="C49" t="s">
        <v>88</v>
      </c>
      <c r="D49">
        <f>_xlfn.XLOOKUP($C49,[1]Sheet1!$B:$B,[1]Sheet1!$BA:$BA)</f>
        <v>4473.6729999999998</v>
      </c>
      <c r="E49">
        <f>_xlfn.XLOOKUP($C49,[1]Sheet1!$B:$B,[1]Sheet1!$BB:$BB)</f>
        <v>4465.3609999999999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0347-6415-46C6-BEEA-28C92906A104}">
  <dimension ref="B2:D50"/>
  <sheetViews>
    <sheetView workbookViewId="0">
      <selection activeCell="D3" sqref="D3"/>
    </sheetView>
  </sheetViews>
  <sheetFormatPr defaultRowHeight="14.5" x14ac:dyDescent="0.35"/>
  <sheetData>
    <row r="2" spans="2:4" x14ac:dyDescent="0.35">
      <c r="B2" s="1" t="s">
        <v>0</v>
      </c>
      <c r="C2" s="1" t="s">
        <v>1</v>
      </c>
      <c r="D2" t="s">
        <v>105</v>
      </c>
    </row>
    <row r="3" spans="2:4" x14ac:dyDescent="0.35">
      <c r="B3" t="s">
        <v>2</v>
      </c>
      <c r="C3" t="s">
        <v>3</v>
      </c>
      <c r="D3">
        <v>65.548194885000001</v>
      </c>
    </row>
    <row r="4" spans="2:4" x14ac:dyDescent="0.35">
      <c r="B4" t="s">
        <v>4</v>
      </c>
      <c r="C4" t="s">
        <v>5</v>
      </c>
      <c r="D4">
        <v>53.761871337999999</v>
      </c>
    </row>
    <row r="5" spans="2:4" x14ac:dyDescent="0.35">
      <c r="B5" t="s">
        <v>8</v>
      </c>
      <c r="C5" t="s">
        <v>9</v>
      </c>
      <c r="D5">
        <v>55.715812683000003</v>
      </c>
    </row>
    <row r="6" spans="2:4" x14ac:dyDescent="0.35">
      <c r="B6" t="s">
        <v>12</v>
      </c>
      <c r="C6" t="s">
        <v>13</v>
      </c>
      <c r="D6">
        <v>53.103672027999998</v>
      </c>
    </row>
    <row r="7" spans="2:4" x14ac:dyDescent="0.35">
      <c r="B7" t="s">
        <v>10</v>
      </c>
      <c r="C7" t="s">
        <v>11</v>
      </c>
      <c r="D7">
        <v>54.562423705999997</v>
      </c>
    </row>
    <row r="8" spans="2:4" x14ac:dyDescent="0.35">
      <c r="B8" t="s">
        <v>6</v>
      </c>
      <c r="C8" t="s">
        <v>7</v>
      </c>
      <c r="D8">
        <v>55.844139099000003</v>
      </c>
    </row>
    <row r="9" spans="2:4" x14ac:dyDescent="0.35">
      <c r="B9" t="s">
        <v>23</v>
      </c>
      <c r="C9" t="s">
        <v>24</v>
      </c>
      <c r="D9">
        <v>63.765907288000001</v>
      </c>
    </row>
    <row r="10" spans="2:4" x14ac:dyDescent="0.35">
      <c r="B10" t="s">
        <v>17</v>
      </c>
      <c r="C10" t="s">
        <v>18</v>
      </c>
      <c r="D10">
        <v>54.007026672000002</v>
      </c>
    </row>
    <row r="11" spans="2:4" x14ac:dyDescent="0.35">
      <c r="B11" t="s">
        <v>14</v>
      </c>
      <c r="C11" t="s">
        <v>15</v>
      </c>
      <c r="D11">
        <v>45.432891845999997</v>
      </c>
    </row>
    <row r="12" spans="2:4" x14ac:dyDescent="0.35">
      <c r="B12" t="s">
        <v>76</v>
      </c>
      <c r="C12" t="s">
        <v>77</v>
      </c>
      <c r="D12">
        <v>51.515060425000001</v>
      </c>
    </row>
    <row r="13" spans="2:4" x14ac:dyDescent="0.35">
      <c r="B13" t="s">
        <v>21</v>
      </c>
      <c r="C13" t="s">
        <v>22</v>
      </c>
      <c r="D13">
        <v>59.019386292</v>
      </c>
    </row>
    <row r="14" spans="2:4" x14ac:dyDescent="0.35">
      <c r="B14" t="s">
        <v>91</v>
      </c>
      <c r="C14" t="s">
        <v>20</v>
      </c>
      <c r="D14">
        <v>54.835735321000001</v>
      </c>
    </row>
    <row r="15" spans="2:4" x14ac:dyDescent="0.35">
      <c r="B15" t="s">
        <v>90</v>
      </c>
      <c r="C15" t="s">
        <v>16</v>
      </c>
      <c r="D15">
        <v>55.406253814999999</v>
      </c>
    </row>
    <row r="16" spans="2:4" x14ac:dyDescent="0.35">
      <c r="B16" t="s">
        <v>98</v>
      </c>
      <c r="C16" t="s">
        <v>19</v>
      </c>
      <c r="D16">
        <v>53.205158234000002</v>
      </c>
    </row>
    <row r="17" spans="2:4" x14ac:dyDescent="0.35">
      <c r="B17" t="s">
        <v>38</v>
      </c>
      <c r="C17" t="s">
        <v>39</v>
      </c>
      <c r="D17">
        <v>53.256332397999998</v>
      </c>
    </row>
    <row r="18" spans="2:4" x14ac:dyDescent="0.35">
      <c r="B18" t="s">
        <v>25</v>
      </c>
      <c r="C18" t="s">
        <v>26</v>
      </c>
      <c r="D18">
        <v>55.424945831000002</v>
      </c>
    </row>
    <row r="19" spans="2:4" x14ac:dyDescent="0.35">
      <c r="B19" t="s">
        <v>74</v>
      </c>
      <c r="C19" t="s">
        <v>75</v>
      </c>
      <c r="D19">
        <v>47.467403412000003</v>
      </c>
    </row>
    <row r="20" spans="2:4" x14ac:dyDescent="0.35">
      <c r="B20" t="s">
        <v>27</v>
      </c>
      <c r="C20" t="s">
        <v>28</v>
      </c>
      <c r="D20">
        <v>58.827312470000003</v>
      </c>
    </row>
    <row r="21" spans="2:4" x14ac:dyDescent="0.35">
      <c r="B21" t="s">
        <v>29</v>
      </c>
      <c r="C21" t="s">
        <v>30</v>
      </c>
      <c r="D21">
        <v>56.258869171000001</v>
      </c>
    </row>
    <row r="22" spans="2:4" x14ac:dyDescent="0.35">
      <c r="B22" t="s">
        <v>92</v>
      </c>
      <c r="C22" t="s">
        <v>35</v>
      </c>
      <c r="D22">
        <v>55.842544556</v>
      </c>
    </row>
    <row r="23" spans="2:4" x14ac:dyDescent="0.35">
      <c r="B23" t="s">
        <v>31</v>
      </c>
      <c r="C23" t="s">
        <v>32</v>
      </c>
      <c r="D23">
        <v>57.882518767999997</v>
      </c>
    </row>
    <row r="24" spans="2:4" x14ac:dyDescent="0.35">
      <c r="B24" t="s">
        <v>33</v>
      </c>
      <c r="C24" t="s">
        <v>34</v>
      </c>
      <c r="D24">
        <v>53.426258087000001</v>
      </c>
    </row>
    <row r="25" spans="2:4" x14ac:dyDescent="0.35">
      <c r="B25" t="s">
        <v>36</v>
      </c>
      <c r="C25" t="s">
        <v>37</v>
      </c>
      <c r="D25">
        <v>51.450366973999998</v>
      </c>
    </row>
    <row r="26" spans="2:4" x14ac:dyDescent="0.35">
      <c r="B26" t="s">
        <v>40</v>
      </c>
      <c r="C26" t="s">
        <v>41</v>
      </c>
      <c r="D26">
        <v>58.217082976999997</v>
      </c>
    </row>
    <row r="27" spans="2:4" x14ac:dyDescent="0.35">
      <c r="B27" t="s">
        <v>44</v>
      </c>
      <c r="C27" t="s">
        <v>45</v>
      </c>
      <c r="D27">
        <v>44.634334564</v>
      </c>
    </row>
    <row r="28" spans="2:4" x14ac:dyDescent="0.35">
      <c r="B28" t="s">
        <v>42</v>
      </c>
      <c r="C28" t="s">
        <v>43</v>
      </c>
      <c r="D28">
        <v>53.960998535000002</v>
      </c>
    </row>
    <row r="29" spans="2:4" x14ac:dyDescent="0.35">
      <c r="B29" t="s">
        <v>46</v>
      </c>
      <c r="C29" t="s">
        <v>47</v>
      </c>
      <c r="D29">
        <v>55.137020110999998</v>
      </c>
    </row>
    <row r="30" spans="2:4" x14ac:dyDescent="0.35">
      <c r="B30" t="s">
        <v>56</v>
      </c>
      <c r="C30" t="s">
        <v>57</v>
      </c>
      <c r="D30">
        <v>54.668174743999998</v>
      </c>
    </row>
    <row r="31" spans="2:4" x14ac:dyDescent="0.35">
      <c r="B31" t="s">
        <v>48</v>
      </c>
      <c r="C31" t="s">
        <v>49</v>
      </c>
      <c r="D31">
        <v>53.557147980000003</v>
      </c>
    </row>
    <row r="32" spans="2:4" x14ac:dyDescent="0.35">
      <c r="B32" t="s">
        <v>52</v>
      </c>
      <c r="C32" t="s">
        <v>53</v>
      </c>
      <c r="D32">
        <v>60.393123627000001</v>
      </c>
    </row>
    <row r="33" spans="2:4" x14ac:dyDescent="0.35">
      <c r="B33" t="s">
        <v>54</v>
      </c>
      <c r="C33" t="s">
        <v>55</v>
      </c>
      <c r="D33">
        <v>63.631698608000001</v>
      </c>
    </row>
    <row r="34" spans="2:4" x14ac:dyDescent="0.35">
      <c r="B34" t="s">
        <v>50</v>
      </c>
      <c r="C34" t="s">
        <v>51</v>
      </c>
      <c r="D34">
        <v>49.715911865000002</v>
      </c>
    </row>
    <row r="35" spans="2:4" x14ac:dyDescent="0.35">
      <c r="B35" t="s">
        <v>58</v>
      </c>
      <c r="C35" t="s">
        <v>59</v>
      </c>
      <c r="D35">
        <v>52.822963715</v>
      </c>
    </row>
    <row r="36" spans="2:4" x14ac:dyDescent="0.35">
      <c r="B36" t="s">
        <v>60</v>
      </c>
      <c r="C36" t="s">
        <v>61</v>
      </c>
      <c r="D36">
        <v>52.609916687000002</v>
      </c>
    </row>
    <row r="37" spans="2:4" x14ac:dyDescent="0.35">
      <c r="B37" t="s">
        <v>62</v>
      </c>
      <c r="C37" t="s">
        <v>63</v>
      </c>
      <c r="D37">
        <v>54.949794769</v>
      </c>
    </row>
    <row r="38" spans="2:4" x14ac:dyDescent="0.35">
      <c r="B38" t="s">
        <v>64</v>
      </c>
      <c r="C38" t="s">
        <v>65</v>
      </c>
      <c r="D38">
        <v>58.712322235000002</v>
      </c>
    </row>
    <row r="39" spans="2:4" x14ac:dyDescent="0.35">
      <c r="B39" t="s">
        <v>72</v>
      </c>
      <c r="C39" t="s">
        <v>73</v>
      </c>
      <c r="D39">
        <v>62.442562103</v>
      </c>
    </row>
    <row r="40" spans="2:4" x14ac:dyDescent="0.35">
      <c r="B40" t="s">
        <v>66</v>
      </c>
      <c r="C40" t="s">
        <v>67</v>
      </c>
      <c r="D40">
        <v>58.902999878000003</v>
      </c>
    </row>
    <row r="41" spans="2:4" x14ac:dyDescent="0.35">
      <c r="B41" t="s">
        <v>93</v>
      </c>
      <c r="C41" t="s">
        <v>100</v>
      </c>
      <c r="D41">
        <v>64.721450806000007</v>
      </c>
    </row>
    <row r="42" spans="2:4" x14ac:dyDescent="0.35">
      <c r="B42" t="s">
        <v>68</v>
      </c>
      <c r="C42" t="s">
        <v>69</v>
      </c>
      <c r="D42">
        <v>53.127223968999999</v>
      </c>
    </row>
    <row r="43" spans="2:4" x14ac:dyDescent="0.35">
      <c r="B43" t="s">
        <v>83</v>
      </c>
      <c r="C43" t="s">
        <v>84</v>
      </c>
      <c r="D43">
        <v>52.757083893000001</v>
      </c>
    </row>
    <row r="44" spans="2:4" x14ac:dyDescent="0.35">
      <c r="B44" t="s">
        <v>70</v>
      </c>
      <c r="C44" t="s">
        <v>71</v>
      </c>
      <c r="D44">
        <v>50.530017852999997</v>
      </c>
    </row>
    <row r="45" spans="2:4" x14ac:dyDescent="0.35">
      <c r="B45" t="s">
        <v>78</v>
      </c>
      <c r="C45" t="s">
        <v>82</v>
      </c>
      <c r="D45">
        <v>55.849014281999999</v>
      </c>
    </row>
    <row r="46" spans="2:4" x14ac:dyDescent="0.35">
      <c r="B46" t="s">
        <v>81</v>
      </c>
      <c r="C46" t="s">
        <v>80</v>
      </c>
      <c r="D46">
        <v>57.224391937</v>
      </c>
    </row>
    <row r="47" spans="2:4" x14ac:dyDescent="0.35">
      <c r="B47" t="s">
        <v>99</v>
      </c>
      <c r="C47" t="s">
        <v>79</v>
      </c>
      <c r="D47">
        <v>58.072868346999897</v>
      </c>
    </row>
    <row r="48" spans="2:4" x14ac:dyDescent="0.35">
      <c r="B48" t="s">
        <v>85</v>
      </c>
      <c r="C48" t="s">
        <v>86</v>
      </c>
      <c r="D48">
        <v>52.970092772999998</v>
      </c>
    </row>
    <row r="49" spans="2:4" x14ac:dyDescent="0.35">
      <c r="B49" t="s">
        <v>87</v>
      </c>
      <c r="C49" t="s">
        <v>88</v>
      </c>
      <c r="D49">
        <v>51.248912810999997</v>
      </c>
    </row>
    <row r="50" spans="2:4" x14ac:dyDescent="0.35">
      <c r="C5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7E20-1024-4298-80E2-3C7BB7812433}">
  <dimension ref="B2:H50"/>
  <sheetViews>
    <sheetView workbookViewId="0">
      <selection activeCell="H8" sqref="H8"/>
    </sheetView>
  </sheetViews>
  <sheetFormatPr defaultRowHeight="14.5" x14ac:dyDescent="0.35"/>
  <sheetData>
    <row r="2" spans="2:8" s="5" customFormat="1" x14ac:dyDescent="0.35">
      <c r="B2" s="4" t="s">
        <v>0</v>
      </c>
      <c r="C2" s="4" t="s">
        <v>1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101</v>
      </c>
    </row>
    <row r="3" spans="2:8" x14ac:dyDescent="0.35">
      <c r="B3" t="s">
        <v>2</v>
      </c>
      <c r="C3" t="s">
        <v>3</v>
      </c>
      <c r="D3">
        <v>88.72</v>
      </c>
      <c r="E3">
        <v>82.21</v>
      </c>
      <c r="F3">
        <v>60.71</v>
      </c>
      <c r="G3">
        <v>68.12</v>
      </c>
      <c r="H3">
        <f>AVERAGE(D3:G3)</f>
        <v>74.94</v>
      </c>
    </row>
    <row r="4" spans="2:8" x14ac:dyDescent="0.35">
      <c r="B4" t="s">
        <v>4</v>
      </c>
      <c r="C4" t="s">
        <v>5</v>
      </c>
      <c r="D4">
        <v>21.08</v>
      </c>
      <c r="E4">
        <v>36.07</v>
      </c>
      <c r="F4">
        <v>53.76</v>
      </c>
      <c r="G4">
        <v>44.51</v>
      </c>
      <c r="H4">
        <f t="shared" ref="H4:H49" si="0">AVERAGE(D4:G4)</f>
        <v>38.854999999999997</v>
      </c>
    </row>
    <row r="5" spans="2:8" x14ac:dyDescent="0.35">
      <c r="B5" t="s">
        <v>8</v>
      </c>
      <c r="C5" t="s">
        <v>9</v>
      </c>
      <c r="D5">
        <v>16.86</v>
      </c>
      <c r="E5">
        <v>47</v>
      </c>
      <c r="F5">
        <v>60.77</v>
      </c>
      <c r="G5">
        <v>42.82</v>
      </c>
      <c r="H5">
        <f t="shared" si="0"/>
        <v>41.862499999999997</v>
      </c>
    </row>
    <row r="6" spans="2:8" x14ac:dyDescent="0.35">
      <c r="B6" t="s">
        <v>12</v>
      </c>
      <c r="C6" t="s">
        <v>13</v>
      </c>
      <c r="D6">
        <v>43.33</v>
      </c>
      <c r="E6">
        <v>66.05</v>
      </c>
      <c r="F6">
        <v>60.17</v>
      </c>
      <c r="G6">
        <v>53.85</v>
      </c>
      <c r="H6">
        <f t="shared" si="0"/>
        <v>55.85</v>
      </c>
    </row>
    <row r="7" spans="2:8" x14ac:dyDescent="0.35">
      <c r="B7" t="s">
        <v>10</v>
      </c>
      <c r="C7" t="s">
        <v>11</v>
      </c>
      <c r="D7">
        <v>14.92</v>
      </c>
      <c r="E7">
        <v>50.01</v>
      </c>
      <c r="F7">
        <v>54.76</v>
      </c>
      <c r="G7">
        <v>60.22</v>
      </c>
      <c r="H7">
        <f t="shared" si="0"/>
        <v>44.977499999999999</v>
      </c>
    </row>
    <row r="8" spans="2:8" x14ac:dyDescent="0.35">
      <c r="B8" t="s">
        <v>6</v>
      </c>
      <c r="C8" t="s">
        <v>7</v>
      </c>
      <c r="D8">
        <v>13.85</v>
      </c>
      <c r="E8">
        <v>60.47</v>
      </c>
      <c r="F8">
        <v>59.39</v>
      </c>
      <c r="G8">
        <v>59.42</v>
      </c>
      <c r="H8">
        <f t="shared" si="0"/>
        <v>48.282499999999999</v>
      </c>
    </row>
    <row r="9" spans="2:8" x14ac:dyDescent="0.35">
      <c r="B9" t="s">
        <v>23</v>
      </c>
      <c r="C9" t="s">
        <v>24</v>
      </c>
      <c r="D9">
        <v>66.2</v>
      </c>
      <c r="E9">
        <v>90.4</v>
      </c>
      <c r="F9">
        <v>56.77</v>
      </c>
      <c r="G9">
        <v>75.55</v>
      </c>
      <c r="H9">
        <f t="shared" si="0"/>
        <v>72.23</v>
      </c>
    </row>
    <row r="10" spans="2:8" x14ac:dyDescent="0.35">
      <c r="B10" t="s">
        <v>17</v>
      </c>
      <c r="C10" t="s">
        <v>18</v>
      </c>
      <c r="D10">
        <v>28.28</v>
      </c>
      <c r="E10">
        <v>56.12</v>
      </c>
      <c r="F10">
        <v>49.14</v>
      </c>
      <c r="G10">
        <v>47.52</v>
      </c>
      <c r="H10">
        <f t="shared" si="0"/>
        <v>45.265000000000008</v>
      </c>
    </row>
    <row r="11" spans="2:8" x14ac:dyDescent="0.35">
      <c r="B11" t="s">
        <v>14</v>
      </c>
      <c r="C11" t="s">
        <v>15</v>
      </c>
      <c r="D11">
        <v>16.760000000000002</v>
      </c>
      <c r="E11">
        <v>38.69</v>
      </c>
      <c r="F11">
        <v>43.77</v>
      </c>
      <c r="G11">
        <v>38.17</v>
      </c>
      <c r="H11">
        <f t="shared" si="0"/>
        <v>34.347499999999997</v>
      </c>
    </row>
    <row r="12" spans="2:8" x14ac:dyDescent="0.35">
      <c r="B12" t="s">
        <v>76</v>
      </c>
      <c r="C12" t="s">
        <v>77</v>
      </c>
      <c r="D12">
        <v>10.76</v>
      </c>
      <c r="E12">
        <v>41.09</v>
      </c>
      <c r="F12">
        <v>58.54</v>
      </c>
      <c r="G12">
        <v>28.87</v>
      </c>
      <c r="H12">
        <f t="shared" si="0"/>
        <v>34.814999999999998</v>
      </c>
    </row>
    <row r="13" spans="2:8" x14ac:dyDescent="0.35">
      <c r="B13" t="s">
        <v>21</v>
      </c>
      <c r="C13" t="s">
        <v>22</v>
      </c>
      <c r="D13">
        <v>37.44</v>
      </c>
      <c r="E13">
        <v>51.48</v>
      </c>
      <c r="F13">
        <v>56.05</v>
      </c>
      <c r="G13">
        <v>49.64</v>
      </c>
      <c r="H13">
        <f t="shared" si="0"/>
        <v>48.652499999999989</v>
      </c>
    </row>
    <row r="14" spans="2:8" x14ac:dyDescent="0.35">
      <c r="B14" t="s">
        <v>91</v>
      </c>
      <c r="C14" t="s">
        <v>20</v>
      </c>
      <c r="D14">
        <v>28.57</v>
      </c>
      <c r="E14">
        <v>36.21</v>
      </c>
      <c r="F14">
        <v>52.47</v>
      </c>
      <c r="G14">
        <v>52.06</v>
      </c>
      <c r="H14">
        <f t="shared" si="0"/>
        <v>42.327500000000001</v>
      </c>
    </row>
    <row r="15" spans="2:8" x14ac:dyDescent="0.35">
      <c r="B15" t="s">
        <v>90</v>
      </c>
      <c r="C15" t="s">
        <v>16</v>
      </c>
      <c r="D15">
        <v>19.16</v>
      </c>
      <c r="E15">
        <v>58.23</v>
      </c>
      <c r="F15">
        <v>58.65</v>
      </c>
      <c r="G15">
        <v>51.18</v>
      </c>
      <c r="H15">
        <f t="shared" si="0"/>
        <v>46.805</v>
      </c>
    </row>
    <row r="16" spans="2:8" x14ac:dyDescent="0.35">
      <c r="B16" t="s">
        <v>98</v>
      </c>
      <c r="C16" t="s">
        <v>19</v>
      </c>
      <c r="D16">
        <v>24.44</v>
      </c>
      <c r="E16">
        <v>48.21</v>
      </c>
      <c r="F16">
        <v>59.59</v>
      </c>
      <c r="G16">
        <v>43.22</v>
      </c>
      <c r="H16">
        <f t="shared" si="0"/>
        <v>43.865000000000002</v>
      </c>
    </row>
    <row r="17" spans="2:8" x14ac:dyDescent="0.35">
      <c r="B17" t="s">
        <v>38</v>
      </c>
      <c r="C17" t="s">
        <v>39</v>
      </c>
      <c r="D17">
        <v>41.09</v>
      </c>
      <c r="E17">
        <v>43.59</v>
      </c>
      <c r="F17">
        <v>50.27</v>
      </c>
      <c r="G17">
        <v>48.65</v>
      </c>
      <c r="H17">
        <f t="shared" si="0"/>
        <v>45.900000000000006</v>
      </c>
    </row>
    <row r="18" spans="2:8" x14ac:dyDescent="0.35">
      <c r="B18" t="s">
        <v>25</v>
      </c>
      <c r="C18" t="s">
        <v>26</v>
      </c>
      <c r="D18">
        <v>35.700000000000003</v>
      </c>
      <c r="E18">
        <v>36.43</v>
      </c>
      <c r="F18">
        <v>60.09</v>
      </c>
      <c r="G18">
        <v>51.96</v>
      </c>
      <c r="H18">
        <f t="shared" si="0"/>
        <v>46.045000000000002</v>
      </c>
    </row>
    <row r="19" spans="2:8" x14ac:dyDescent="0.35">
      <c r="B19" t="s">
        <v>74</v>
      </c>
      <c r="C19" t="s">
        <v>75</v>
      </c>
      <c r="D19">
        <v>32.979999999999997</v>
      </c>
      <c r="E19">
        <v>65.08</v>
      </c>
      <c r="F19">
        <v>62</v>
      </c>
      <c r="G19">
        <v>73.19</v>
      </c>
      <c r="H19">
        <f t="shared" si="0"/>
        <v>58.3125</v>
      </c>
    </row>
    <row r="20" spans="2:8" x14ac:dyDescent="0.35">
      <c r="B20" t="s">
        <v>27</v>
      </c>
      <c r="C20" t="s">
        <v>28</v>
      </c>
      <c r="D20">
        <v>20.87</v>
      </c>
      <c r="E20">
        <v>29.04</v>
      </c>
      <c r="F20">
        <v>52.49</v>
      </c>
      <c r="G20">
        <v>47.93</v>
      </c>
      <c r="H20">
        <f t="shared" si="0"/>
        <v>37.582500000000003</v>
      </c>
    </row>
    <row r="21" spans="2:8" x14ac:dyDescent="0.35">
      <c r="B21" t="s">
        <v>29</v>
      </c>
      <c r="C21" t="s">
        <v>30</v>
      </c>
      <c r="D21">
        <v>48.48</v>
      </c>
      <c r="E21">
        <v>34.369999999999997</v>
      </c>
      <c r="F21">
        <v>53.8</v>
      </c>
      <c r="G21">
        <v>64.17</v>
      </c>
      <c r="H21">
        <f t="shared" si="0"/>
        <v>50.204999999999998</v>
      </c>
    </row>
    <row r="22" spans="2:8" x14ac:dyDescent="0.35">
      <c r="B22" t="s">
        <v>92</v>
      </c>
      <c r="C22" t="s">
        <v>35</v>
      </c>
      <c r="D22">
        <v>28.12</v>
      </c>
      <c r="E22">
        <v>43.85</v>
      </c>
      <c r="F22">
        <v>57.74</v>
      </c>
      <c r="G22">
        <v>63.72</v>
      </c>
      <c r="H22">
        <f t="shared" si="0"/>
        <v>48.357500000000002</v>
      </c>
    </row>
    <row r="23" spans="2:8" x14ac:dyDescent="0.35">
      <c r="B23" t="s">
        <v>31</v>
      </c>
      <c r="C23" t="s">
        <v>32</v>
      </c>
      <c r="D23">
        <v>25.98</v>
      </c>
      <c r="E23">
        <v>41.42</v>
      </c>
      <c r="F23">
        <v>70.510000000000005</v>
      </c>
      <c r="G23">
        <v>68.739999999999995</v>
      </c>
      <c r="H23">
        <f t="shared" si="0"/>
        <v>51.662500000000009</v>
      </c>
    </row>
    <row r="24" spans="2:8" x14ac:dyDescent="0.35">
      <c r="B24" t="s">
        <v>33</v>
      </c>
      <c r="C24" t="s">
        <v>34</v>
      </c>
      <c r="D24">
        <v>18.03</v>
      </c>
      <c r="E24">
        <v>47.87</v>
      </c>
      <c r="F24">
        <v>58.4</v>
      </c>
      <c r="G24">
        <v>50.42</v>
      </c>
      <c r="H24">
        <f t="shared" si="0"/>
        <v>43.680000000000007</v>
      </c>
    </row>
    <row r="25" spans="2:8" x14ac:dyDescent="0.35">
      <c r="B25" t="s">
        <v>36</v>
      </c>
      <c r="C25" t="s">
        <v>37</v>
      </c>
      <c r="D25">
        <v>17.329999999999998</v>
      </c>
      <c r="E25">
        <v>29.95</v>
      </c>
      <c r="F25">
        <v>61.51</v>
      </c>
      <c r="G25">
        <v>60.3</v>
      </c>
      <c r="H25">
        <f t="shared" si="0"/>
        <v>42.272499999999994</v>
      </c>
    </row>
    <row r="26" spans="2:8" x14ac:dyDescent="0.35">
      <c r="B26" t="s">
        <v>40</v>
      </c>
      <c r="C26" t="s">
        <v>41</v>
      </c>
      <c r="D26">
        <v>40.619999999999997</v>
      </c>
      <c r="E26">
        <v>53.15</v>
      </c>
      <c r="F26">
        <v>50.91</v>
      </c>
      <c r="G26">
        <v>73.63</v>
      </c>
      <c r="H26">
        <f t="shared" si="0"/>
        <v>54.577500000000001</v>
      </c>
    </row>
    <row r="27" spans="2:8" x14ac:dyDescent="0.35">
      <c r="B27" t="s">
        <v>44</v>
      </c>
      <c r="C27" t="s">
        <v>45</v>
      </c>
      <c r="D27">
        <v>32.270000000000003</v>
      </c>
      <c r="E27">
        <v>50.71</v>
      </c>
      <c r="F27">
        <v>65.78</v>
      </c>
      <c r="G27">
        <v>74.680000000000007</v>
      </c>
      <c r="H27">
        <f t="shared" si="0"/>
        <v>55.86</v>
      </c>
    </row>
    <row r="28" spans="2:8" x14ac:dyDescent="0.35">
      <c r="B28" t="s">
        <v>42</v>
      </c>
      <c r="C28" t="s">
        <v>43</v>
      </c>
      <c r="D28">
        <v>29.07</v>
      </c>
      <c r="E28">
        <v>42.02</v>
      </c>
      <c r="F28">
        <v>53.05</v>
      </c>
      <c r="G28">
        <v>61.65</v>
      </c>
      <c r="H28">
        <f t="shared" si="0"/>
        <v>46.447499999999998</v>
      </c>
    </row>
    <row r="29" spans="2:8" x14ac:dyDescent="0.35">
      <c r="B29" t="s">
        <v>46</v>
      </c>
      <c r="C29" t="s">
        <v>47</v>
      </c>
      <c r="D29">
        <v>18.98</v>
      </c>
      <c r="E29">
        <v>29.47</v>
      </c>
      <c r="F29">
        <v>45.77</v>
      </c>
      <c r="G29">
        <v>58.24</v>
      </c>
      <c r="H29">
        <f t="shared" si="0"/>
        <v>38.115000000000002</v>
      </c>
    </row>
    <row r="30" spans="2:8" x14ac:dyDescent="0.35">
      <c r="B30" t="s">
        <v>56</v>
      </c>
      <c r="C30" t="s">
        <v>57</v>
      </c>
      <c r="D30">
        <v>22.25</v>
      </c>
      <c r="E30">
        <v>57.77</v>
      </c>
      <c r="F30">
        <v>58.77</v>
      </c>
      <c r="G30">
        <v>71.89</v>
      </c>
      <c r="H30">
        <f t="shared" si="0"/>
        <v>52.67</v>
      </c>
    </row>
    <row r="31" spans="2:8" x14ac:dyDescent="0.35">
      <c r="B31" t="s">
        <v>48</v>
      </c>
      <c r="C31" t="s">
        <v>49</v>
      </c>
      <c r="D31">
        <v>15.25</v>
      </c>
      <c r="E31">
        <v>59.37</v>
      </c>
      <c r="F31">
        <v>67.760000000000005</v>
      </c>
      <c r="G31">
        <v>47.33</v>
      </c>
      <c r="H31">
        <f t="shared" si="0"/>
        <v>47.427499999999995</v>
      </c>
    </row>
    <row r="32" spans="2:8" x14ac:dyDescent="0.35">
      <c r="B32" t="s">
        <v>52</v>
      </c>
      <c r="C32" t="s">
        <v>53</v>
      </c>
      <c r="D32">
        <v>22.04</v>
      </c>
      <c r="E32">
        <v>47.04</v>
      </c>
      <c r="F32">
        <v>60.5</v>
      </c>
      <c r="G32">
        <v>41.31</v>
      </c>
      <c r="H32">
        <f t="shared" si="0"/>
        <v>42.722499999999997</v>
      </c>
    </row>
    <row r="33" spans="2:8" x14ac:dyDescent="0.35">
      <c r="B33" t="s">
        <v>54</v>
      </c>
      <c r="C33" t="s">
        <v>55</v>
      </c>
      <c r="D33">
        <v>77.61</v>
      </c>
      <c r="E33">
        <v>52.41</v>
      </c>
      <c r="F33">
        <v>61.3</v>
      </c>
      <c r="G33">
        <v>74.5</v>
      </c>
      <c r="H33">
        <f t="shared" si="0"/>
        <v>66.454999999999998</v>
      </c>
    </row>
    <row r="34" spans="2:8" x14ac:dyDescent="0.35">
      <c r="B34" t="s">
        <v>50</v>
      </c>
      <c r="C34" t="s">
        <v>51</v>
      </c>
      <c r="D34">
        <v>23.4</v>
      </c>
      <c r="E34">
        <v>57.76</v>
      </c>
      <c r="F34">
        <v>49.78</v>
      </c>
      <c r="G34">
        <v>55.67</v>
      </c>
      <c r="H34">
        <f t="shared" si="0"/>
        <v>46.652500000000003</v>
      </c>
    </row>
    <row r="35" spans="2:8" x14ac:dyDescent="0.35">
      <c r="B35" t="s">
        <v>58</v>
      </c>
      <c r="C35" t="s">
        <v>59</v>
      </c>
      <c r="D35">
        <v>55.5</v>
      </c>
      <c r="E35">
        <v>57.25</v>
      </c>
      <c r="F35">
        <v>64.709999999999994</v>
      </c>
      <c r="G35">
        <v>74.87</v>
      </c>
      <c r="H35">
        <f t="shared" si="0"/>
        <v>63.082499999999996</v>
      </c>
    </row>
    <row r="36" spans="2:8" x14ac:dyDescent="0.35">
      <c r="B36" t="s">
        <v>60</v>
      </c>
      <c r="C36" t="s">
        <v>61</v>
      </c>
      <c r="D36">
        <v>11.68</v>
      </c>
      <c r="E36">
        <v>49.68</v>
      </c>
      <c r="F36">
        <v>49.3</v>
      </c>
      <c r="G36">
        <v>52.36</v>
      </c>
      <c r="H36">
        <f t="shared" si="0"/>
        <v>40.754999999999995</v>
      </c>
    </row>
    <row r="37" spans="2:8" x14ac:dyDescent="0.35">
      <c r="B37" t="s">
        <v>62</v>
      </c>
      <c r="C37" t="s">
        <v>63</v>
      </c>
      <c r="D37">
        <v>14.08</v>
      </c>
      <c r="E37">
        <v>53.21</v>
      </c>
      <c r="F37">
        <v>62.66</v>
      </c>
      <c r="G37">
        <v>46.44</v>
      </c>
      <c r="H37">
        <f t="shared" si="0"/>
        <v>44.097499999999997</v>
      </c>
    </row>
    <row r="38" spans="2:8" x14ac:dyDescent="0.35">
      <c r="B38" t="s">
        <v>64</v>
      </c>
      <c r="C38" t="s">
        <v>65</v>
      </c>
      <c r="D38">
        <v>26.82</v>
      </c>
      <c r="E38">
        <v>70.06</v>
      </c>
      <c r="F38">
        <v>44.01</v>
      </c>
      <c r="G38">
        <v>67.2</v>
      </c>
      <c r="H38">
        <f t="shared" si="0"/>
        <v>52.022499999999994</v>
      </c>
    </row>
    <row r="39" spans="2:8" x14ac:dyDescent="0.35">
      <c r="B39" t="s">
        <v>72</v>
      </c>
      <c r="C39" t="s">
        <v>73</v>
      </c>
      <c r="D39">
        <v>44.77</v>
      </c>
      <c r="E39">
        <v>53.47</v>
      </c>
      <c r="F39">
        <v>62.61</v>
      </c>
      <c r="G39">
        <v>79.7</v>
      </c>
      <c r="H39">
        <f t="shared" si="0"/>
        <v>60.137500000000003</v>
      </c>
    </row>
    <row r="40" spans="2:8" x14ac:dyDescent="0.35">
      <c r="B40" t="s">
        <v>66</v>
      </c>
      <c r="C40" t="s">
        <v>67</v>
      </c>
      <c r="D40">
        <v>30.05</v>
      </c>
      <c r="E40">
        <v>63.69</v>
      </c>
      <c r="F40">
        <v>55.65</v>
      </c>
      <c r="G40">
        <v>59.11</v>
      </c>
      <c r="H40">
        <f t="shared" si="0"/>
        <v>52.125</v>
      </c>
    </row>
    <row r="41" spans="2:8" x14ac:dyDescent="0.35">
      <c r="B41" t="s">
        <v>93</v>
      </c>
      <c r="C41" t="s">
        <v>100</v>
      </c>
      <c r="D41">
        <v>78.3</v>
      </c>
      <c r="E41">
        <v>87.12</v>
      </c>
      <c r="F41">
        <v>57.3</v>
      </c>
      <c r="G41">
        <v>79.13</v>
      </c>
      <c r="H41">
        <f t="shared" si="0"/>
        <v>75.462500000000006</v>
      </c>
    </row>
    <row r="42" spans="2:8" x14ac:dyDescent="0.35">
      <c r="B42" t="s">
        <v>68</v>
      </c>
      <c r="C42" t="s">
        <v>69</v>
      </c>
      <c r="D42">
        <v>14.19</v>
      </c>
      <c r="E42">
        <v>50.54</v>
      </c>
      <c r="F42">
        <v>54.72</v>
      </c>
      <c r="G42">
        <v>72.06</v>
      </c>
      <c r="H42">
        <f t="shared" si="0"/>
        <v>47.877499999999998</v>
      </c>
    </row>
    <row r="43" spans="2:8" x14ac:dyDescent="0.35">
      <c r="B43" t="s">
        <v>83</v>
      </c>
      <c r="C43" t="s">
        <v>84</v>
      </c>
      <c r="D43">
        <v>79.53</v>
      </c>
      <c r="E43">
        <v>68.77</v>
      </c>
      <c r="F43">
        <v>60.66</v>
      </c>
      <c r="G43">
        <v>76.38</v>
      </c>
      <c r="H43">
        <f t="shared" si="0"/>
        <v>71.335000000000008</v>
      </c>
    </row>
    <row r="44" spans="2:8" x14ac:dyDescent="0.35">
      <c r="B44" t="s">
        <v>70</v>
      </c>
      <c r="C44" t="s">
        <v>71</v>
      </c>
      <c r="D44">
        <v>21.91</v>
      </c>
      <c r="E44">
        <v>35.58</v>
      </c>
      <c r="F44">
        <v>59.48</v>
      </c>
      <c r="G44">
        <v>29.42</v>
      </c>
      <c r="H44">
        <f t="shared" si="0"/>
        <v>36.597499999999997</v>
      </c>
    </row>
    <row r="45" spans="2:8" x14ac:dyDescent="0.35">
      <c r="B45" t="s">
        <v>78</v>
      </c>
      <c r="C45" t="s">
        <v>82</v>
      </c>
      <c r="D45">
        <v>22.84</v>
      </c>
      <c r="E45">
        <v>55.37</v>
      </c>
      <c r="F45">
        <v>56.9</v>
      </c>
      <c r="G45">
        <v>52.14</v>
      </c>
      <c r="H45">
        <f t="shared" si="0"/>
        <v>46.8125</v>
      </c>
    </row>
    <row r="46" spans="2:8" x14ac:dyDescent="0.35">
      <c r="B46" t="s">
        <v>81</v>
      </c>
      <c r="C46" t="s">
        <v>80</v>
      </c>
      <c r="D46">
        <v>27.27</v>
      </c>
      <c r="E46">
        <v>54.91</v>
      </c>
      <c r="F46">
        <v>54.5</v>
      </c>
      <c r="G46">
        <v>68.17</v>
      </c>
      <c r="H46">
        <f t="shared" si="0"/>
        <v>51.212500000000006</v>
      </c>
    </row>
    <row r="47" spans="2:8" x14ac:dyDescent="0.35">
      <c r="B47" t="s">
        <v>99</v>
      </c>
      <c r="C47" t="s">
        <v>79</v>
      </c>
      <c r="D47">
        <v>19.600000000000001</v>
      </c>
      <c r="E47">
        <v>52.66</v>
      </c>
      <c r="F47">
        <v>50.72</v>
      </c>
      <c r="G47">
        <v>63.1</v>
      </c>
      <c r="H47">
        <f t="shared" si="0"/>
        <v>46.519999999999996</v>
      </c>
    </row>
    <row r="48" spans="2:8" x14ac:dyDescent="0.35">
      <c r="B48" t="s">
        <v>85</v>
      </c>
      <c r="C48" t="s">
        <v>86</v>
      </c>
      <c r="D48">
        <v>37.54</v>
      </c>
      <c r="E48">
        <v>60.64</v>
      </c>
      <c r="F48">
        <v>57.47</v>
      </c>
      <c r="G48">
        <v>74.31</v>
      </c>
      <c r="H48">
        <f t="shared" si="0"/>
        <v>57.49</v>
      </c>
    </row>
    <row r="49" spans="2:8" x14ac:dyDescent="0.35">
      <c r="B49" t="s">
        <v>87</v>
      </c>
      <c r="C49" t="s">
        <v>88</v>
      </c>
      <c r="D49">
        <v>40.409999999999997</v>
      </c>
      <c r="E49">
        <v>47.83</v>
      </c>
      <c r="F49">
        <v>66.739999999999995</v>
      </c>
      <c r="G49">
        <v>71.16</v>
      </c>
      <c r="H49">
        <f t="shared" si="0"/>
        <v>56.534999999999997</v>
      </c>
    </row>
    <row r="50" spans="2:8" x14ac:dyDescent="0.35">
      <c r="C5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815E-A555-4130-82BF-9B3FBBB51AC2}">
  <dimension ref="B2:G50"/>
  <sheetViews>
    <sheetView zoomScale="130" zoomScaleNormal="130" workbookViewId="0">
      <selection activeCell="E11" sqref="E11"/>
    </sheetView>
  </sheetViews>
  <sheetFormatPr defaultRowHeight="14.5" x14ac:dyDescent="0.35"/>
  <cols>
    <col min="5" max="5" width="24" customWidth="1"/>
    <col min="6" max="6" width="16.453125" customWidth="1"/>
  </cols>
  <sheetData>
    <row r="2" spans="2:7" ht="65" x14ac:dyDescent="0.35">
      <c r="B2" s="1" t="s">
        <v>0</v>
      </c>
      <c r="C2" s="1" t="s">
        <v>1</v>
      </c>
      <c r="D2" s="3" t="s">
        <v>102</v>
      </c>
      <c r="E2" s="3" t="s">
        <v>103</v>
      </c>
      <c r="F2" s="3" t="s">
        <v>104</v>
      </c>
      <c r="G2" s="3" t="s">
        <v>89</v>
      </c>
    </row>
    <row r="3" spans="2:7" x14ac:dyDescent="0.35">
      <c r="B3" t="s">
        <v>2</v>
      </c>
      <c r="C3" t="s">
        <v>3</v>
      </c>
      <c r="D3">
        <v>0.25858506591674785</v>
      </c>
      <c r="E3">
        <v>5.4826069439724012E-2</v>
      </c>
      <c r="F3">
        <v>0.17657851132276614</v>
      </c>
      <c r="G3">
        <v>2.4002849501539029E-2</v>
      </c>
    </row>
    <row r="4" spans="2:7" x14ac:dyDescent="0.35">
      <c r="B4" t="s">
        <v>4</v>
      </c>
      <c r="C4" t="s">
        <v>5</v>
      </c>
      <c r="D4">
        <v>0.55586602736035773</v>
      </c>
      <c r="E4">
        <v>0.34291113134334789</v>
      </c>
      <c r="F4">
        <v>0.16924786589235383</v>
      </c>
      <c r="G4">
        <v>4.0767474174770127E-2</v>
      </c>
    </row>
    <row r="5" spans="2:7" x14ac:dyDescent="0.35">
      <c r="B5" t="s">
        <v>8</v>
      </c>
      <c r="C5" t="s">
        <v>9</v>
      </c>
      <c r="D5">
        <v>0.54153340249256254</v>
      </c>
      <c r="E5">
        <v>0.325239308880447</v>
      </c>
      <c r="F5">
        <v>0.1662778788855776</v>
      </c>
      <c r="G5">
        <v>4.7324914602763002E-2</v>
      </c>
    </row>
    <row r="6" spans="2:7" x14ac:dyDescent="0.35">
      <c r="B6" t="s">
        <v>12</v>
      </c>
      <c r="C6" t="s">
        <v>13</v>
      </c>
      <c r="D6">
        <v>0.51046946627320211</v>
      </c>
      <c r="E6">
        <v>0.2905673858089361</v>
      </c>
      <c r="F6">
        <v>0.16281769439857324</v>
      </c>
      <c r="G6">
        <v>3.6818540319200059E-2</v>
      </c>
    </row>
    <row r="7" spans="2:7" x14ac:dyDescent="0.35">
      <c r="B7" t="s">
        <v>10</v>
      </c>
      <c r="C7" t="s">
        <v>11</v>
      </c>
      <c r="D7">
        <v>0.53931545729379993</v>
      </c>
      <c r="E7">
        <v>0.30772700766077493</v>
      </c>
      <c r="F7">
        <v>0.16837414140323015</v>
      </c>
      <c r="G7">
        <v>5.9056872943486417E-2</v>
      </c>
    </row>
    <row r="8" spans="2:7" x14ac:dyDescent="0.35">
      <c r="B8" t="s">
        <v>6</v>
      </c>
      <c r="C8" t="s">
        <v>7</v>
      </c>
      <c r="D8">
        <v>0.46057152861854272</v>
      </c>
      <c r="E8">
        <v>0.25291884815631899</v>
      </c>
      <c r="F8">
        <v>0.1545390833870478</v>
      </c>
      <c r="G8">
        <v>5.1080320762151438E-2</v>
      </c>
    </row>
    <row r="9" spans="2:7" x14ac:dyDescent="0.35">
      <c r="B9" t="s">
        <v>23</v>
      </c>
      <c r="C9" t="s">
        <v>24</v>
      </c>
      <c r="D9">
        <v>0.28416803571937194</v>
      </c>
      <c r="E9">
        <v>6.4726853200502851E-2</v>
      </c>
      <c r="F9">
        <v>0.18145936291550335</v>
      </c>
      <c r="G9">
        <v>3.4756189241051116E-2</v>
      </c>
    </row>
    <row r="10" spans="2:7" x14ac:dyDescent="0.35">
      <c r="B10" t="s">
        <v>17</v>
      </c>
      <c r="C10" t="s">
        <v>18</v>
      </c>
      <c r="D10">
        <v>0.5498101903642878</v>
      </c>
      <c r="E10">
        <v>0.32608298886421361</v>
      </c>
      <c r="F10">
        <v>0.17512170372939165</v>
      </c>
      <c r="G10">
        <v>4.2805911751659313E-2</v>
      </c>
    </row>
    <row r="11" spans="2:7" x14ac:dyDescent="0.35">
      <c r="B11" t="s">
        <v>14</v>
      </c>
      <c r="C11" t="s">
        <v>15</v>
      </c>
      <c r="D11">
        <v>0.83557862180849396</v>
      </c>
      <c r="E11">
        <v>0.58633455797762413</v>
      </c>
      <c r="F11">
        <v>0.16570338837932277</v>
      </c>
      <c r="G11">
        <v>7.5570310126372137E-2</v>
      </c>
    </row>
    <row r="12" spans="2:7" x14ac:dyDescent="0.35">
      <c r="B12" t="s">
        <v>76</v>
      </c>
      <c r="C12" t="s">
        <v>77</v>
      </c>
      <c r="D12">
        <v>0.72291647714166141</v>
      </c>
      <c r="E12">
        <v>0.50936099410263569</v>
      </c>
      <c r="F12">
        <v>0.15067298815289831</v>
      </c>
      <c r="G12">
        <v>5.6395952595388391E-2</v>
      </c>
    </row>
    <row r="13" spans="2:7" x14ac:dyDescent="0.35">
      <c r="B13" t="s">
        <v>21</v>
      </c>
      <c r="C13" t="s">
        <v>22</v>
      </c>
      <c r="D13">
        <v>0.39984340446251848</v>
      </c>
      <c r="E13">
        <v>0.18043054077648474</v>
      </c>
      <c r="F13">
        <v>0.17489083430940955</v>
      </c>
      <c r="G13">
        <v>3.9609689235262514E-2</v>
      </c>
    </row>
    <row r="14" spans="2:7" x14ac:dyDescent="0.35">
      <c r="B14" t="s">
        <v>91</v>
      </c>
      <c r="C14" t="s">
        <v>20</v>
      </c>
      <c r="D14">
        <v>0.45539964839499342</v>
      </c>
      <c r="E14">
        <v>0.27170786700174843</v>
      </c>
      <c r="F14">
        <v>0.15151453240979784</v>
      </c>
      <c r="G14">
        <v>2.7856400828118095E-2</v>
      </c>
    </row>
    <row r="15" spans="2:7" x14ac:dyDescent="0.35">
      <c r="B15" t="s">
        <v>90</v>
      </c>
      <c r="C15" t="s">
        <v>16</v>
      </c>
      <c r="D15">
        <v>0.5078316369366449</v>
      </c>
      <c r="E15">
        <v>0.29631260176667984</v>
      </c>
      <c r="F15">
        <v>0.16206600409758018</v>
      </c>
      <c r="G15">
        <v>4.5583166487203272E-2</v>
      </c>
    </row>
    <row r="16" spans="2:7" x14ac:dyDescent="0.35">
      <c r="B16" t="s">
        <v>98</v>
      </c>
      <c r="C16" t="s">
        <v>19</v>
      </c>
      <c r="D16">
        <v>0.61083886137873322</v>
      </c>
      <c r="E16">
        <v>0.39012942784630578</v>
      </c>
      <c r="F16">
        <v>0.16891107812394099</v>
      </c>
      <c r="G16">
        <v>4.7809794046407894E-2</v>
      </c>
    </row>
    <row r="17" spans="2:7" x14ac:dyDescent="0.35">
      <c r="B17" t="s">
        <v>38</v>
      </c>
      <c r="C17" t="s">
        <v>39</v>
      </c>
      <c r="D17">
        <v>0.58306554041901237</v>
      </c>
      <c r="E17">
        <v>0.37725803356263643</v>
      </c>
      <c r="F17">
        <v>0.17062503821141639</v>
      </c>
      <c r="G17">
        <v>3.1497727378208405E-2</v>
      </c>
    </row>
    <row r="18" spans="2:7" x14ac:dyDescent="0.35">
      <c r="B18" t="s">
        <v>25</v>
      </c>
      <c r="C18" t="s">
        <v>26</v>
      </c>
      <c r="D18">
        <v>0.43861376693852167</v>
      </c>
      <c r="E18">
        <v>0.18328272635143175</v>
      </c>
      <c r="F18">
        <v>0.20161049336352013</v>
      </c>
      <c r="G18">
        <v>4.9832601104196059E-2</v>
      </c>
    </row>
    <row r="19" spans="2:7" x14ac:dyDescent="0.35">
      <c r="B19" t="s">
        <v>74</v>
      </c>
      <c r="C19" t="s">
        <v>75</v>
      </c>
      <c r="D19">
        <v>0.71206086397362212</v>
      </c>
      <c r="E19">
        <v>0.38181597001458345</v>
      </c>
      <c r="F19">
        <v>0.23565534232671201</v>
      </c>
      <c r="G19">
        <v>7.5562409677964362E-2</v>
      </c>
    </row>
    <row r="20" spans="2:7" x14ac:dyDescent="0.35">
      <c r="B20" t="s">
        <v>27</v>
      </c>
      <c r="C20" t="s">
        <v>28</v>
      </c>
      <c r="D20">
        <v>0.38864962867377678</v>
      </c>
      <c r="E20">
        <v>0.20396757926685294</v>
      </c>
      <c r="F20">
        <v>0.13963053062677852</v>
      </c>
      <c r="G20">
        <v>4.1155728503339851E-2</v>
      </c>
    </row>
    <row r="21" spans="2:7" x14ac:dyDescent="0.35">
      <c r="B21" t="s">
        <v>29</v>
      </c>
      <c r="C21" t="s">
        <v>30</v>
      </c>
      <c r="D21">
        <v>0.44235278336803757</v>
      </c>
      <c r="E21">
        <v>0.24190195271789894</v>
      </c>
      <c r="F21">
        <v>0.16573109722475374</v>
      </c>
      <c r="G21">
        <v>3.1464039541019249E-2</v>
      </c>
    </row>
    <row r="22" spans="2:7" x14ac:dyDescent="0.35">
      <c r="B22" t="s">
        <v>92</v>
      </c>
      <c r="C22" t="s">
        <v>35</v>
      </c>
      <c r="D22">
        <v>0.43458984739430023</v>
      </c>
      <c r="E22">
        <v>0.23410544769086855</v>
      </c>
      <c r="F22">
        <v>0.15868965386219419</v>
      </c>
      <c r="G22">
        <v>3.6390078838956785E-2</v>
      </c>
    </row>
    <row r="23" spans="2:7" x14ac:dyDescent="0.35">
      <c r="B23" t="s">
        <v>31</v>
      </c>
      <c r="C23" t="s">
        <v>32</v>
      </c>
      <c r="D23">
        <v>0.40610833867673551</v>
      </c>
      <c r="E23">
        <v>0.19130623036279376</v>
      </c>
      <c r="F23">
        <v>0.17586458070213506</v>
      </c>
      <c r="G23">
        <v>3.571769450100705E-2</v>
      </c>
    </row>
    <row r="24" spans="2:7" x14ac:dyDescent="0.35">
      <c r="B24" t="s">
        <v>33</v>
      </c>
      <c r="C24" t="s">
        <v>34</v>
      </c>
      <c r="D24">
        <v>0.62038057824360393</v>
      </c>
      <c r="E24">
        <v>0.39821246299625696</v>
      </c>
      <c r="F24">
        <v>0.16588446968476117</v>
      </c>
      <c r="G24">
        <v>5.3108951240738007E-2</v>
      </c>
    </row>
    <row r="25" spans="2:7" x14ac:dyDescent="0.35">
      <c r="B25" t="s">
        <v>36</v>
      </c>
      <c r="C25" t="s">
        <v>37</v>
      </c>
      <c r="D25">
        <v>0.59333547971526324</v>
      </c>
      <c r="E25">
        <v>0.36455418034516718</v>
      </c>
      <c r="F25">
        <v>0.17227405256931699</v>
      </c>
      <c r="G25">
        <v>4.9926094455427172E-2</v>
      </c>
    </row>
    <row r="26" spans="2:7" x14ac:dyDescent="0.35">
      <c r="B26" t="s">
        <v>40</v>
      </c>
      <c r="C26" t="s">
        <v>41</v>
      </c>
      <c r="D26">
        <v>0.3550140055913259</v>
      </c>
      <c r="E26">
        <v>0.18481356088142981</v>
      </c>
      <c r="F26">
        <v>0.13523830496780934</v>
      </c>
      <c r="G26">
        <v>3.1453024298790933E-2</v>
      </c>
    </row>
    <row r="27" spans="2:7" x14ac:dyDescent="0.35">
      <c r="B27" t="s">
        <v>44</v>
      </c>
      <c r="C27" t="s">
        <v>45</v>
      </c>
      <c r="D27">
        <v>0.80615459710445958</v>
      </c>
      <c r="E27">
        <v>0.4663514433682352</v>
      </c>
      <c r="F27">
        <v>0.24303600774076528</v>
      </c>
      <c r="G27">
        <v>8.4683657155983097E-2</v>
      </c>
    </row>
    <row r="28" spans="2:7" x14ac:dyDescent="0.35">
      <c r="B28" t="s">
        <v>42</v>
      </c>
      <c r="C28" t="s">
        <v>43</v>
      </c>
      <c r="D28">
        <v>0.53500919481581555</v>
      </c>
      <c r="E28">
        <v>0.33742173029304895</v>
      </c>
      <c r="F28">
        <v>0.15837176614969409</v>
      </c>
      <c r="G28">
        <v>3.7012274193028341E-2</v>
      </c>
    </row>
    <row r="29" spans="2:7" x14ac:dyDescent="0.35">
      <c r="B29" t="s">
        <v>46</v>
      </c>
      <c r="C29" t="s">
        <v>47</v>
      </c>
      <c r="D29">
        <v>0.50996008202158039</v>
      </c>
      <c r="E29">
        <v>0.28997473886399255</v>
      </c>
      <c r="F29">
        <v>0.17565735709921348</v>
      </c>
      <c r="G29">
        <v>3.9462753054174259E-2</v>
      </c>
    </row>
    <row r="30" spans="2:7" x14ac:dyDescent="0.35">
      <c r="B30" t="s">
        <v>56</v>
      </c>
      <c r="C30" t="s">
        <v>57</v>
      </c>
      <c r="D30">
        <v>0.4448113398104841</v>
      </c>
      <c r="E30">
        <v>0.24303617762927013</v>
      </c>
      <c r="F30">
        <v>0.16367846891482588</v>
      </c>
      <c r="G30">
        <v>3.3520621590401881E-2</v>
      </c>
    </row>
    <row r="31" spans="2:7" x14ac:dyDescent="0.35">
      <c r="B31" t="s">
        <v>48</v>
      </c>
      <c r="C31" t="s">
        <v>49</v>
      </c>
      <c r="D31">
        <v>0.63970272370162862</v>
      </c>
      <c r="E31">
        <v>0.42599321031519566</v>
      </c>
      <c r="F31">
        <v>0.15654855723368269</v>
      </c>
      <c r="G31">
        <v>5.3925054752561812E-2</v>
      </c>
    </row>
    <row r="32" spans="2:7" x14ac:dyDescent="0.35">
      <c r="B32" t="s">
        <v>52</v>
      </c>
      <c r="C32" t="s">
        <v>53</v>
      </c>
      <c r="D32">
        <v>0.35641087386771675</v>
      </c>
      <c r="E32">
        <v>0.18769681627792961</v>
      </c>
      <c r="F32">
        <v>0.13676511724373536</v>
      </c>
      <c r="G32">
        <v>2.6374756088042517E-2</v>
      </c>
    </row>
    <row r="33" spans="2:7" x14ac:dyDescent="0.35">
      <c r="B33" t="s">
        <v>54</v>
      </c>
      <c r="C33" t="s">
        <v>55</v>
      </c>
      <c r="D33">
        <v>0.38045249500622641</v>
      </c>
      <c r="E33">
        <v>5.6210977567414437E-2</v>
      </c>
      <c r="F33">
        <v>0.30203463470943331</v>
      </c>
      <c r="G33">
        <v>2.2206882729378607E-2</v>
      </c>
    </row>
    <row r="34" spans="2:7" x14ac:dyDescent="0.35">
      <c r="B34" t="s">
        <v>50</v>
      </c>
      <c r="C34" t="s">
        <v>51</v>
      </c>
      <c r="D34">
        <v>0.63336596926197108</v>
      </c>
      <c r="E34">
        <v>0.40815360662518763</v>
      </c>
      <c r="F34">
        <v>0.17392551446158355</v>
      </c>
      <c r="G34">
        <v>4.3108830943495102E-2</v>
      </c>
    </row>
    <row r="35" spans="2:7" x14ac:dyDescent="0.35">
      <c r="B35" t="s">
        <v>58</v>
      </c>
      <c r="C35" t="s">
        <v>59</v>
      </c>
      <c r="D35">
        <v>0.53297666036275093</v>
      </c>
      <c r="E35">
        <v>0.2976211391108608</v>
      </c>
      <c r="F35">
        <v>0.16825144960481977</v>
      </c>
      <c r="G35">
        <v>4.6707970963014753E-2</v>
      </c>
    </row>
    <row r="36" spans="2:7" x14ac:dyDescent="0.35">
      <c r="B36" t="s">
        <v>60</v>
      </c>
      <c r="C36" t="s">
        <v>61</v>
      </c>
      <c r="D36">
        <v>0.74303883168019547</v>
      </c>
      <c r="E36">
        <v>0.52283857722050142</v>
      </c>
      <c r="F36">
        <v>0.15281918930952315</v>
      </c>
      <c r="G36">
        <v>6.2854541304058556E-2</v>
      </c>
    </row>
    <row r="37" spans="2:7" x14ac:dyDescent="0.35">
      <c r="B37" t="s">
        <v>62</v>
      </c>
      <c r="C37" t="s">
        <v>63</v>
      </c>
      <c r="D37">
        <v>0.60520174664925264</v>
      </c>
      <c r="E37">
        <v>0.41661934185884308</v>
      </c>
      <c r="F37">
        <v>0.14433401847649949</v>
      </c>
      <c r="G37">
        <v>4.2283574865925044E-2</v>
      </c>
    </row>
    <row r="38" spans="2:7" x14ac:dyDescent="0.35">
      <c r="B38" t="s">
        <v>64</v>
      </c>
      <c r="C38" t="s">
        <v>65</v>
      </c>
      <c r="D38">
        <v>0.38275530190051499</v>
      </c>
      <c r="E38">
        <v>0.1659740372163217</v>
      </c>
      <c r="F38">
        <v>0.17304009943129375</v>
      </c>
      <c r="G38">
        <v>4.0846173442570521E-2</v>
      </c>
    </row>
    <row r="39" spans="2:7" x14ac:dyDescent="0.35">
      <c r="B39" t="s">
        <v>72</v>
      </c>
      <c r="C39" t="s">
        <v>73</v>
      </c>
      <c r="D39">
        <v>0.26640417665325467</v>
      </c>
      <c r="E39">
        <v>8.5742941444987494E-2</v>
      </c>
      <c r="F39">
        <v>0.15520468546613181</v>
      </c>
      <c r="G39">
        <v>2.1865646872572111E-2</v>
      </c>
    </row>
    <row r="40" spans="2:7" x14ac:dyDescent="0.35">
      <c r="B40" t="s">
        <v>66</v>
      </c>
      <c r="C40" t="s">
        <v>67</v>
      </c>
      <c r="D40">
        <v>0.36508063195709667</v>
      </c>
      <c r="E40">
        <v>0.1649072122431515</v>
      </c>
      <c r="F40">
        <v>0.1580066279516382</v>
      </c>
      <c r="G40">
        <v>3.6505767161045893E-2</v>
      </c>
    </row>
    <row r="41" spans="2:7" x14ac:dyDescent="0.35">
      <c r="B41" t="s">
        <v>93</v>
      </c>
      <c r="C41" t="s">
        <v>100</v>
      </c>
      <c r="D41">
        <v>0.3120941327811978</v>
      </c>
      <c r="E41">
        <v>6.782598305724101E-2</v>
      </c>
      <c r="F41">
        <v>0.22109037588065925</v>
      </c>
      <c r="G41">
        <v>2.314529161372509E-2</v>
      </c>
    </row>
    <row r="42" spans="2:7" x14ac:dyDescent="0.35">
      <c r="B42" t="s">
        <v>68</v>
      </c>
      <c r="C42" t="s">
        <v>69</v>
      </c>
      <c r="D42">
        <v>0.62214615616470859</v>
      </c>
      <c r="E42">
        <v>0.39564768663342004</v>
      </c>
      <c r="F42">
        <v>0.17921992752953569</v>
      </c>
      <c r="G42">
        <v>4.5723569546007918E-2</v>
      </c>
    </row>
    <row r="43" spans="2:7" x14ac:dyDescent="0.35">
      <c r="B43" t="s">
        <v>83</v>
      </c>
      <c r="C43" t="s">
        <v>84</v>
      </c>
      <c r="D43">
        <v>0.59898341166070868</v>
      </c>
      <c r="E43">
        <v>0.2728903357757716</v>
      </c>
      <c r="F43">
        <v>0.23352653702763926</v>
      </c>
      <c r="G43">
        <v>6.6110008896233377E-2</v>
      </c>
    </row>
    <row r="44" spans="2:7" x14ac:dyDescent="0.35">
      <c r="B44" t="s">
        <v>70</v>
      </c>
      <c r="C44" t="s">
        <v>71</v>
      </c>
      <c r="D44">
        <v>0.63690565705921587</v>
      </c>
      <c r="E44">
        <v>0.41618333128777973</v>
      </c>
      <c r="F44">
        <v>0.15884744607502699</v>
      </c>
      <c r="G44">
        <v>5.7924879340651249E-2</v>
      </c>
    </row>
    <row r="45" spans="2:7" x14ac:dyDescent="0.35">
      <c r="B45" t="s">
        <v>78</v>
      </c>
      <c r="C45" t="s">
        <v>82</v>
      </c>
      <c r="D45">
        <v>0.39850536567927758</v>
      </c>
      <c r="E45">
        <v>0.21625225487927172</v>
      </c>
      <c r="F45">
        <v>0.13944238339201867</v>
      </c>
      <c r="G45">
        <v>4.0092692100191125E-2</v>
      </c>
    </row>
    <row r="46" spans="2:7" x14ac:dyDescent="0.35">
      <c r="B46" t="s">
        <v>81</v>
      </c>
      <c r="C46" t="s">
        <v>80</v>
      </c>
      <c r="D46">
        <v>0.40710627607488364</v>
      </c>
      <c r="E46">
        <v>0.22733352917512639</v>
      </c>
      <c r="F46">
        <v>0.14378753375303649</v>
      </c>
      <c r="G46">
        <v>3.3397869842837262E-2</v>
      </c>
    </row>
    <row r="47" spans="2:7" x14ac:dyDescent="0.35">
      <c r="B47" t="s">
        <v>99</v>
      </c>
      <c r="C47" t="s">
        <v>79</v>
      </c>
      <c r="D47">
        <v>0.4825229129974139</v>
      </c>
      <c r="E47">
        <v>0.25168431894204213</v>
      </c>
      <c r="F47">
        <v>0.18194218749659744</v>
      </c>
      <c r="G47">
        <v>4.5928544433521477E-2</v>
      </c>
    </row>
    <row r="48" spans="2:7" x14ac:dyDescent="0.35">
      <c r="B48" t="s">
        <v>85</v>
      </c>
      <c r="C48" t="s">
        <v>86</v>
      </c>
      <c r="D48">
        <v>0.50513805423928626</v>
      </c>
      <c r="E48">
        <v>0.30859836329964879</v>
      </c>
      <c r="F48">
        <v>0.1537962183167122</v>
      </c>
      <c r="G48">
        <v>3.6071446539086352E-2</v>
      </c>
    </row>
    <row r="49" spans="2:7" x14ac:dyDescent="0.35">
      <c r="B49" t="s">
        <v>87</v>
      </c>
      <c r="C49" t="s">
        <v>88</v>
      </c>
      <c r="D49">
        <v>0.55124774450300362</v>
      </c>
      <c r="E49">
        <v>0.29968261517066563</v>
      </c>
      <c r="F49">
        <v>0.18528360365862584</v>
      </c>
      <c r="G49">
        <v>5.7561610933959804E-2</v>
      </c>
    </row>
    <row r="50" spans="2:7" x14ac:dyDescent="0.35">
      <c r="C5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9CF5-75FB-4C91-81C5-1BDD575EC430}">
  <dimension ref="B1:D49"/>
  <sheetViews>
    <sheetView topLeftCell="A32" workbookViewId="0">
      <selection activeCell="F44" sqref="F44"/>
    </sheetView>
  </sheetViews>
  <sheetFormatPr defaultRowHeight="14.5" x14ac:dyDescent="0.35"/>
  <cols>
    <col min="2" max="2" width="22.54296875" bestFit="1" customWidth="1"/>
    <col min="3" max="3" width="9.1796875" style="1"/>
  </cols>
  <sheetData>
    <row r="1" spans="2:4" x14ac:dyDescent="0.35">
      <c r="D1">
        <v>2021</v>
      </c>
    </row>
    <row r="2" spans="2:4" x14ac:dyDescent="0.35">
      <c r="B2" t="s">
        <v>0</v>
      </c>
      <c r="C2" t="s">
        <v>1</v>
      </c>
    </row>
    <row r="3" spans="2:4" x14ac:dyDescent="0.35">
      <c r="B3" t="s">
        <v>2</v>
      </c>
      <c r="C3" t="s">
        <v>3</v>
      </c>
      <c r="D3">
        <v>26.2</v>
      </c>
    </row>
    <row r="4" spans="2:4" x14ac:dyDescent="0.35">
      <c r="B4" t="s">
        <v>4</v>
      </c>
      <c r="C4" t="s">
        <v>5</v>
      </c>
      <c r="D4">
        <v>29.1</v>
      </c>
    </row>
    <row r="5" spans="2:4" x14ac:dyDescent="0.35">
      <c r="B5" t="s">
        <v>8</v>
      </c>
      <c r="C5" t="s">
        <v>9</v>
      </c>
      <c r="D5">
        <v>25.4</v>
      </c>
    </row>
    <row r="6" spans="2:4" x14ac:dyDescent="0.35">
      <c r="B6" t="s">
        <v>12</v>
      </c>
      <c r="C6" t="s">
        <v>13</v>
      </c>
      <c r="D6">
        <v>33.6</v>
      </c>
    </row>
    <row r="7" spans="2:4" x14ac:dyDescent="0.35">
      <c r="B7" t="s">
        <v>10</v>
      </c>
      <c r="C7" t="s">
        <v>11</v>
      </c>
      <c r="D7">
        <v>29.8</v>
      </c>
    </row>
    <row r="8" spans="2:4" x14ac:dyDescent="0.35">
      <c r="B8" t="s">
        <v>6</v>
      </c>
      <c r="C8" t="s">
        <v>7</v>
      </c>
      <c r="D8">
        <v>22.1</v>
      </c>
    </row>
    <row r="9" spans="2:4" x14ac:dyDescent="0.35">
      <c r="B9" t="s">
        <v>23</v>
      </c>
      <c r="C9" t="s">
        <v>24</v>
      </c>
      <c r="D9">
        <v>34.1</v>
      </c>
    </row>
    <row r="10" spans="2:4" x14ac:dyDescent="0.35">
      <c r="B10" t="s">
        <v>17</v>
      </c>
      <c r="C10" t="s">
        <v>18</v>
      </c>
      <c r="D10">
        <v>28.6</v>
      </c>
    </row>
    <row r="11" spans="2:4" x14ac:dyDescent="0.35">
      <c r="B11" t="s">
        <v>14</v>
      </c>
      <c r="C11" t="s">
        <v>15</v>
      </c>
      <c r="D11">
        <v>18.600000000000001</v>
      </c>
    </row>
    <row r="12" spans="2:4" x14ac:dyDescent="0.35">
      <c r="B12" t="s">
        <v>76</v>
      </c>
      <c r="C12" t="s">
        <v>77</v>
      </c>
      <c r="D12">
        <v>23.9</v>
      </c>
    </row>
    <row r="13" spans="2:4" x14ac:dyDescent="0.35">
      <c r="B13" t="s">
        <v>21</v>
      </c>
      <c r="C13" t="s">
        <v>22</v>
      </c>
      <c r="D13">
        <v>24.9</v>
      </c>
    </row>
    <row r="14" spans="2:4" x14ac:dyDescent="0.35">
      <c r="B14" t="s">
        <v>91</v>
      </c>
      <c r="C14" t="s">
        <v>20</v>
      </c>
      <c r="D14">
        <v>26.3</v>
      </c>
    </row>
    <row r="15" spans="2:4" x14ac:dyDescent="0.35">
      <c r="B15" t="s">
        <v>90</v>
      </c>
      <c r="C15" t="s">
        <v>16</v>
      </c>
      <c r="D15">
        <v>31.2</v>
      </c>
    </row>
    <row r="16" spans="2:4" x14ac:dyDescent="0.35">
      <c r="B16" t="s">
        <v>98</v>
      </c>
      <c r="C16" t="s">
        <v>19</v>
      </c>
      <c r="D16">
        <v>26.1</v>
      </c>
    </row>
    <row r="17" spans="2:4" x14ac:dyDescent="0.35">
      <c r="B17" t="s">
        <v>38</v>
      </c>
      <c r="C17" t="s">
        <v>39</v>
      </c>
      <c r="D17">
        <v>17.399999999999999</v>
      </c>
    </row>
    <row r="18" spans="2:4" x14ac:dyDescent="0.35">
      <c r="B18" t="s">
        <v>25</v>
      </c>
      <c r="C18" t="s">
        <v>26</v>
      </c>
      <c r="D18">
        <v>21.4</v>
      </c>
    </row>
    <row r="19" spans="2:4" x14ac:dyDescent="0.35">
      <c r="B19" t="s">
        <v>74</v>
      </c>
      <c r="C19" t="s">
        <v>75</v>
      </c>
      <c r="D19">
        <v>29.3</v>
      </c>
    </row>
    <row r="20" spans="2:4" x14ac:dyDescent="0.35">
      <c r="B20" t="s">
        <v>27</v>
      </c>
      <c r="C20" t="s">
        <v>28</v>
      </c>
      <c r="D20">
        <v>37.799999999999997</v>
      </c>
    </row>
    <row r="21" spans="2:4" x14ac:dyDescent="0.35">
      <c r="B21" t="s">
        <v>29</v>
      </c>
      <c r="C21" t="s">
        <v>30</v>
      </c>
      <c r="D21">
        <v>21.8</v>
      </c>
    </row>
    <row r="22" spans="2:4" x14ac:dyDescent="0.35">
      <c r="B22" t="s">
        <v>92</v>
      </c>
      <c r="C22" t="s">
        <v>35</v>
      </c>
      <c r="D22">
        <v>28.7</v>
      </c>
    </row>
    <row r="23" spans="2:4" x14ac:dyDescent="0.35">
      <c r="B23" t="s">
        <v>31</v>
      </c>
      <c r="C23" t="s">
        <v>32</v>
      </c>
      <c r="D23">
        <v>34.299999999999997</v>
      </c>
    </row>
    <row r="24" spans="2:4" x14ac:dyDescent="0.35">
      <c r="B24" t="s">
        <v>33</v>
      </c>
      <c r="C24" t="s">
        <v>34</v>
      </c>
      <c r="D24">
        <v>26.8</v>
      </c>
    </row>
    <row r="25" spans="2:4" x14ac:dyDescent="0.35">
      <c r="B25" t="s">
        <v>36</v>
      </c>
      <c r="C25" t="s">
        <v>37</v>
      </c>
      <c r="D25">
        <v>21.4</v>
      </c>
    </row>
    <row r="26" spans="2:4" x14ac:dyDescent="0.35">
      <c r="B26" t="s">
        <v>40</v>
      </c>
      <c r="C26" t="s">
        <v>41</v>
      </c>
      <c r="D26">
        <v>38.799999999999997</v>
      </c>
    </row>
    <row r="27" spans="2:4" x14ac:dyDescent="0.35">
      <c r="B27" t="s">
        <v>44</v>
      </c>
      <c r="C27" t="s">
        <v>45</v>
      </c>
      <c r="D27">
        <v>30.9</v>
      </c>
    </row>
    <row r="28" spans="2:4" x14ac:dyDescent="0.35">
      <c r="B28" t="s">
        <v>42</v>
      </c>
      <c r="C28" t="s">
        <v>43</v>
      </c>
      <c r="D28">
        <v>35.700000000000003</v>
      </c>
    </row>
    <row r="29" spans="2:4" x14ac:dyDescent="0.35">
      <c r="B29" t="s">
        <v>46</v>
      </c>
      <c r="C29" t="s">
        <v>47</v>
      </c>
      <c r="D29">
        <v>30.4</v>
      </c>
    </row>
    <row r="30" spans="2:4" x14ac:dyDescent="0.35">
      <c r="B30" t="s">
        <v>56</v>
      </c>
      <c r="C30" t="s">
        <v>57</v>
      </c>
      <c r="D30">
        <v>28.5</v>
      </c>
    </row>
    <row r="31" spans="2:4" x14ac:dyDescent="0.35">
      <c r="B31" t="s">
        <v>48</v>
      </c>
      <c r="C31" t="s">
        <v>49</v>
      </c>
      <c r="D31">
        <v>29</v>
      </c>
    </row>
    <row r="32" spans="2:4" x14ac:dyDescent="0.35">
      <c r="B32" t="s">
        <v>52</v>
      </c>
      <c r="C32" t="s">
        <v>53</v>
      </c>
      <c r="D32">
        <v>26.2</v>
      </c>
    </row>
    <row r="33" spans="2:4" x14ac:dyDescent="0.35">
      <c r="B33" t="s">
        <v>54</v>
      </c>
      <c r="C33" t="s">
        <v>55</v>
      </c>
      <c r="D33">
        <v>39.700000000000003</v>
      </c>
    </row>
    <row r="34" spans="2:4" x14ac:dyDescent="0.35">
      <c r="B34" t="s">
        <v>50</v>
      </c>
      <c r="C34" t="s">
        <v>51</v>
      </c>
      <c r="D34">
        <v>30.4</v>
      </c>
    </row>
    <row r="35" spans="2:4" x14ac:dyDescent="0.35">
      <c r="B35" t="s">
        <v>58</v>
      </c>
      <c r="C35" t="s">
        <v>59</v>
      </c>
      <c r="D35">
        <v>30.3</v>
      </c>
    </row>
    <row r="36" spans="2:4" x14ac:dyDescent="0.35">
      <c r="B36" t="s">
        <v>60</v>
      </c>
      <c r="C36" t="s">
        <v>61</v>
      </c>
      <c r="D36">
        <v>28.7</v>
      </c>
    </row>
    <row r="37" spans="2:4" x14ac:dyDescent="0.35">
      <c r="B37" t="s">
        <v>62</v>
      </c>
      <c r="C37" t="s">
        <v>63</v>
      </c>
      <c r="D37">
        <v>38</v>
      </c>
    </row>
    <row r="38" spans="2:4" x14ac:dyDescent="0.35">
      <c r="B38" t="s">
        <v>64</v>
      </c>
      <c r="C38" t="s">
        <v>65</v>
      </c>
      <c r="D38">
        <v>33.1</v>
      </c>
    </row>
    <row r="39" spans="2:4" x14ac:dyDescent="0.35">
      <c r="B39" t="s">
        <v>72</v>
      </c>
      <c r="C39" t="s">
        <v>73</v>
      </c>
      <c r="D39">
        <v>26.6</v>
      </c>
    </row>
    <row r="40" spans="2:4" x14ac:dyDescent="0.35">
      <c r="B40" t="s">
        <v>66</v>
      </c>
      <c r="C40" t="s">
        <v>67</v>
      </c>
      <c r="D40">
        <v>32.799999999999997</v>
      </c>
    </row>
    <row r="41" spans="2:4" x14ac:dyDescent="0.35">
      <c r="B41" t="s">
        <v>93</v>
      </c>
      <c r="C41" t="s">
        <v>100</v>
      </c>
      <c r="D41">
        <v>31.8</v>
      </c>
    </row>
    <row r="42" spans="2:4" x14ac:dyDescent="0.35">
      <c r="B42" t="s">
        <v>68</v>
      </c>
      <c r="C42" t="s">
        <v>69</v>
      </c>
      <c r="D42">
        <v>32.700000000000003</v>
      </c>
    </row>
    <row r="43" spans="2:4" x14ac:dyDescent="0.35">
      <c r="B43" t="s">
        <v>83</v>
      </c>
      <c r="C43" t="s">
        <v>84</v>
      </c>
      <c r="D43">
        <v>45.8</v>
      </c>
    </row>
    <row r="44" spans="2:4" x14ac:dyDescent="0.35">
      <c r="B44" t="s">
        <v>70</v>
      </c>
      <c r="C44" t="s">
        <v>71</v>
      </c>
      <c r="D44">
        <v>21.3</v>
      </c>
    </row>
    <row r="45" spans="2:4" x14ac:dyDescent="0.35">
      <c r="B45" t="s">
        <v>78</v>
      </c>
      <c r="C45" t="s">
        <v>82</v>
      </c>
      <c r="D45">
        <v>27.8</v>
      </c>
    </row>
    <row r="46" spans="2:4" x14ac:dyDescent="0.35">
      <c r="B46" t="s">
        <v>81</v>
      </c>
      <c r="C46" t="s">
        <v>80</v>
      </c>
      <c r="D46">
        <v>36.5</v>
      </c>
    </row>
    <row r="47" spans="2:4" x14ac:dyDescent="0.35">
      <c r="B47" t="s">
        <v>99</v>
      </c>
      <c r="C47" t="s">
        <v>79</v>
      </c>
      <c r="D47">
        <v>31.3</v>
      </c>
    </row>
    <row r="48" spans="2:4" x14ac:dyDescent="0.35">
      <c r="B48" t="s">
        <v>85</v>
      </c>
      <c r="C48" t="s">
        <v>86</v>
      </c>
      <c r="D48">
        <v>26.5</v>
      </c>
    </row>
    <row r="49" spans="2:4" x14ac:dyDescent="0.35">
      <c r="B49" t="s">
        <v>87</v>
      </c>
      <c r="C49" t="s">
        <v>88</v>
      </c>
      <c r="D49">
        <v>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HAQ</vt:lpstr>
      <vt:lpstr>Productivité_ILO</vt:lpstr>
      <vt:lpstr>GINI_Index</vt:lpstr>
      <vt:lpstr>Density</vt:lpstr>
      <vt:lpstr>GDP_PPP</vt:lpstr>
      <vt:lpstr>HALE_2021</vt:lpstr>
      <vt:lpstr>SCI_2021</vt:lpstr>
      <vt:lpstr>DALYS_2021</vt:lpstr>
      <vt:lpstr>HSI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BEDIAKON, Kouadjo San Boris</dc:creator>
  <cp:lastModifiedBy>MUNG'ATU, Joseph</cp:lastModifiedBy>
  <dcterms:created xsi:type="dcterms:W3CDTF">2025-07-10T16:31:45Z</dcterms:created>
  <dcterms:modified xsi:type="dcterms:W3CDTF">2025-07-11T07:27:41Z</dcterms:modified>
</cp:coreProperties>
</file>