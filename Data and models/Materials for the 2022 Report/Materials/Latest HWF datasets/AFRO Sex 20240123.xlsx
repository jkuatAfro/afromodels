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:\Brazzaville\HRH 24\Materials\Latest HWF datasets\"/>
    </mc:Choice>
  </mc:AlternateContent>
  <xr:revisionPtr revIDLastSave="0" documentId="13_ncr:1_{2CE430C0-3E53-4DFF-879D-E047CA240908}" xr6:coauthVersionLast="47" xr6:coauthVersionMax="47" xr10:uidLastSave="{00000000-0000-0000-0000-000000000000}"/>
  <bookViews>
    <workbookView xWindow="-110" yWindow="-110" windowWidth="19420" windowHeight="10300" firstSheet="13" activeTab="16" xr2:uid="{00000000-000D-0000-FFFF-FFFF00000000}"/>
  </bookViews>
  <sheets>
    <sheet name="Midwives" sheetId="2" r:id="rId1"/>
    <sheet name="Doctors" sheetId="3" r:id="rId2"/>
    <sheet name="Nurses" sheetId="4" r:id="rId3"/>
    <sheet name="Dentists" sheetId="5" r:id="rId4"/>
    <sheet name="Pharmacists" sheetId="6" r:id="rId5"/>
    <sheet name="Community workers" sheetId="7" r:id="rId6"/>
    <sheet name="Sheet7" sheetId="8" r:id="rId7"/>
    <sheet name="Sheet9" sheetId="10" r:id="rId8"/>
    <sheet name="aggregate" sheetId="9" r:id="rId9"/>
    <sheet name="Sheet3" sheetId="13" r:id="rId10"/>
    <sheet name="Countries" sheetId="17" r:id="rId11"/>
    <sheet name="Sheet2" sheetId="16" r:id="rId12"/>
    <sheet name="Sheet 1 - AFRO Sex 20240123" sheetId="1" r:id="rId13"/>
    <sheet name="Females all" sheetId="11" r:id="rId14"/>
    <sheet name="Country codes" sheetId="12" r:id="rId15"/>
    <sheet name="Females income levels" sheetId="14" r:id="rId16"/>
    <sheet name="Sheet1" sheetId="15" r:id="rId17"/>
  </sheets>
  <calcPr calcId="191029"/>
  <pivotCaches>
    <pivotCache cacheId="2" r:id="rId18"/>
    <pivotCache cacheId="3" r:id="rId1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8" i="15" l="1"/>
  <c r="C29" i="15"/>
  <c r="C30" i="15"/>
  <c r="B28" i="15"/>
  <c r="B29" i="15"/>
  <c r="C27" i="15"/>
  <c r="B27" i="15"/>
  <c r="N2" i="15"/>
  <c r="N3" i="15"/>
  <c r="N4" i="15"/>
  <c r="M2" i="15"/>
  <c r="M3" i="15"/>
  <c r="M4" i="15"/>
  <c r="M5" i="15"/>
  <c r="L2" i="15"/>
  <c r="L3" i="15"/>
  <c r="L4" i="15"/>
  <c r="R5" i="15"/>
  <c r="Q5" i="15"/>
  <c r="N5" i="15"/>
  <c r="L5" i="15"/>
  <c r="K19" i="15"/>
  <c r="K20" i="15"/>
  <c r="K21" i="15"/>
  <c r="K18" i="15"/>
  <c r="I19" i="15"/>
  <c r="I20" i="15"/>
  <c r="I21" i="15"/>
  <c r="I18" i="15"/>
  <c r="G19" i="15"/>
  <c r="G20" i="15"/>
  <c r="G21" i="15"/>
  <c r="G18" i="15"/>
  <c r="E19" i="15"/>
  <c r="E20" i="15"/>
  <c r="E21" i="15"/>
  <c r="E18" i="15"/>
  <c r="C19" i="15"/>
  <c r="C20" i="15"/>
  <c r="C21" i="15"/>
  <c r="C18" i="15"/>
  <c r="P3" i="11"/>
  <c r="P4" i="11"/>
  <c r="P5" i="11"/>
  <c r="P6" i="11"/>
  <c r="P7" i="11"/>
  <c r="P8" i="11"/>
  <c r="P9" i="11"/>
  <c r="P10" i="11"/>
  <c r="P2" i="11"/>
  <c r="S13" i="14"/>
  <c r="S14" i="14"/>
  <c r="S15" i="14"/>
  <c r="R13" i="14"/>
  <c r="R14" i="14"/>
  <c r="R15" i="14"/>
  <c r="S12" i="14"/>
  <c r="R18" i="14"/>
  <c r="R12" i="14"/>
  <c r="P21" i="14"/>
  <c r="P20" i="14"/>
  <c r="P19" i="14"/>
  <c r="P18" i="14"/>
  <c r="N21" i="14"/>
  <c r="N20" i="14"/>
  <c r="N19" i="14"/>
  <c r="N18" i="14"/>
  <c r="L21" i="14"/>
  <c r="L20" i="14"/>
  <c r="L19" i="14"/>
  <c r="L18" i="14"/>
  <c r="J21" i="14"/>
  <c r="J20" i="14"/>
  <c r="J19" i="14"/>
  <c r="J18" i="14"/>
  <c r="H21" i="14"/>
  <c r="H20" i="14"/>
  <c r="H19" i="14"/>
  <c r="H18" i="14"/>
  <c r="F21" i="14"/>
  <c r="F20" i="14"/>
  <c r="F19" i="14"/>
  <c r="F18" i="14"/>
  <c r="D21" i="14"/>
  <c r="D20" i="14"/>
  <c r="D19" i="14"/>
  <c r="D18" i="14"/>
  <c r="B19" i="14"/>
  <c r="B20" i="14"/>
  <c r="B21" i="14"/>
  <c r="B18" i="14"/>
  <c r="AU4" i="1"/>
  <c r="AU5" i="1"/>
  <c r="AU6" i="1"/>
  <c r="AU7" i="1"/>
  <c r="AU8" i="1"/>
  <c r="AU9" i="1"/>
  <c r="AU10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U36" i="1"/>
  <c r="AU37" i="1"/>
  <c r="AU38" i="1"/>
  <c r="AU39" i="1"/>
  <c r="AU40" i="1"/>
  <c r="AU41" i="1"/>
  <c r="AU42" i="1"/>
  <c r="AU43" i="1"/>
  <c r="AU44" i="1"/>
  <c r="AU45" i="1"/>
  <c r="AU46" i="1"/>
  <c r="AU47" i="1"/>
  <c r="AU48" i="1"/>
  <c r="AU49" i="1"/>
  <c r="AU50" i="1"/>
  <c r="AU51" i="1"/>
  <c r="AU52" i="1"/>
  <c r="AU53" i="1"/>
  <c r="AU54" i="1"/>
  <c r="AU55" i="1"/>
  <c r="AU56" i="1"/>
  <c r="AU57" i="1"/>
  <c r="AU58" i="1"/>
  <c r="AU59" i="1"/>
  <c r="AU60" i="1"/>
  <c r="AU61" i="1"/>
  <c r="AU62" i="1"/>
  <c r="AU63" i="1"/>
  <c r="AU64" i="1"/>
  <c r="AU65" i="1"/>
  <c r="AU66" i="1"/>
  <c r="AU67" i="1"/>
  <c r="AU68" i="1"/>
  <c r="AU69" i="1"/>
  <c r="AU70" i="1"/>
  <c r="AU71" i="1"/>
  <c r="AU72" i="1"/>
  <c r="AU73" i="1"/>
  <c r="AU74" i="1"/>
  <c r="AU75" i="1"/>
  <c r="AU76" i="1"/>
  <c r="AU77" i="1"/>
  <c r="AU78" i="1"/>
  <c r="AU79" i="1"/>
  <c r="AU80" i="1"/>
  <c r="AU81" i="1"/>
  <c r="AU82" i="1"/>
  <c r="AU83" i="1"/>
  <c r="AU84" i="1"/>
  <c r="AU85" i="1"/>
  <c r="AU86" i="1"/>
  <c r="AU87" i="1"/>
  <c r="AU88" i="1"/>
  <c r="AU89" i="1"/>
  <c r="AU90" i="1"/>
  <c r="AU3" i="1"/>
  <c r="L8" i="9"/>
  <c r="R8" i="9"/>
  <c r="P8" i="9"/>
  <c r="N8" i="9"/>
  <c r="J8" i="9"/>
  <c r="H8" i="9"/>
  <c r="F8" i="9"/>
  <c r="D8" i="9"/>
  <c r="B8" i="9"/>
  <c r="S3" i="9"/>
  <c r="S4" i="9"/>
  <c r="S5" i="9"/>
  <c r="S6" i="9"/>
  <c r="S7" i="9"/>
  <c r="S2" i="9"/>
  <c r="R3" i="9"/>
  <c r="R4" i="9"/>
  <c r="R5" i="9"/>
  <c r="R6" i="9"/>
  <c r="R7" i="9"/>
  <c r="R2" i="9"/>
  <c r="J3" i="10"/>
  <c r="J4" i="10"/>
  <c r="J5" i="10"/>
  <c r="J6" i="10"/>
  <c r="J7" i="10"/>
  <c r="J2" i="10"/>
  <c r="G3" i="10"/>
  <c r="G4" i="10"/>
  <c r="G5" i="10"/>
  <c r="G6" i="10"/>
  <c r="G7" i="10"/>
  <c r="G2" i="10"/>
  <c r="F3" i="10"/>
  <c r="F4" i="10"/>
  <c r="F5" i="10"/>
  <c r="F6" i="10"/>
  <c r="F7" i="10"/>
  <c r="F2" i="10"/>
  <c r="R21" i="14" l="1"/>
  <c r="R20" i="14"/>
  <c r="R19" i="14"/>
  <c r="T3" i="9"/>
  <c r="U3" i="9" s="1"/>
  <c r="V3" i="9" s="1"/>
  <c r="T4" i="9"/>
  <c r="U4" i="9" s="1"/>
  <c r="V4" i="9" s="1"/>
  <c r="T5" i="9"/>
  <c r="U5" i="9" s="1"/>
  <c r="V5" i="9" s="1"/>
  <c r="T6" i="9"/>
  <c r="U6" i="9" s="1"/>
  <c r="V6" i="9" s="1"/>
  <c r="T7" i="9"/>
  <c r="U7" i="9" s="1"/>
  <c r="V7" i="9" s="1"/>
  <c r="T2" i="9"/>
  <c r="U2" i="9" s="1"/>
  <c r="V2" i="9" s="1"/>
  <c r="C4" i="7"/>
  <c r="A7" i="7" s="1"/>
  <c r="C4" i="6"/>
  <c r="A6" i="6" s="1"/>
  <c r="C4" i="5"/>
  <c r="A7" i="5" s="1"/>
  <c r="C4" i="4"/>
  <c r="A6" i="4" s="1"/>
  <c r="C4" i="3"/>
  <c r="A6" i="3" s="1"/>
  <c r="C4" i="2"/>
  <c r="A6" i="2" s="1"/>
  <c r="B7" i="7" l="1"/>
  <c r="B6" i="6"/>
  <c r="B7" i="5"/>
  <c r="B6" i="4"/>
  <c r="B6" i="3"/>
  <c r="B6" i="2"/>
</calcChain>
</file>

<file path=xl/sharedStrings.xml><?xml version="1.0" encoding="utf-8"?>
<sst xmlns="http://schemas.openxmlformats.org/spreadsheetml/2006/main" count="797" uniqueCount="304">
  <si>
    <t>AFRO Sex 20240123</t>
  </si>
  <si>
    <t>periodid</t>
  </si>
  <si>
    <t>periodname</t>
  </si>
  <si>
    <t>periodcode</t>
  </si>
  <si>
    <t>perioddescription</t>
  </si>
  <si>
    <t>organisationunitid</t>
  </si>
  <si>
    <t>organisationunitname</t>
  </si>
  <si>
    <t>organisationunitcode</t>
  </si>
  <si>
    <t>organisationunitdescription</t>
  </si>
  <si>
    <t>NHWA_Medical Doctors Stock By Sex Female</t>
  </si>
  <si>
    <t>NHWA_Medical Doctors Stock By Sex Male</t>
  </si>
  <si>
    <t>NHWA_Generalist Medical Practitioners (incl. Family medical practitioners) Stock By Sex Female</t>
  </si>
  <si>
    <t>NHWA_Generalist Medical Practitioners (incl. Family medical practitioners) Stock By Sex Male</t>
  </si>
  <si>
    <t>NHWA_Medical group of Specialists Practitioners Stock By Sex Female</t>
  </si>
  <si>
    <t>NHWA_Medical group of Specialists Practitioners Stock By Sex Male</t>
  </si>
  <si>
    <t>NHWA_Medical doctors not further defined Stock By Sex Female</t>
  </si>
  <si>
    <t>NHWA_Medical doctors not further defined Stock By Sex Male</t>
  </si>
  <si>
    <t>NHWA_Nursing  Personnel Stock By Sex Female</t>
  </si>
  <si>
    <t>NHWA_Nursing  Personnel Stock By Sex Male</t>
  </si>
  <si>
    <t>NHWA_Nursing Professionals Stock By Sex Female</t>
  </si>
  <si>
    <t>NHWA_Nursing Professionals Stock By Sex Male</t>
  </si>
  <si>
    <t>NHWA_Nursing Associate Professionals Stock By Sex Female</t>
  </si>
  <si>
    <t>NHWA_Nursing Associate Professionals Stock By Sex Male</t>
  </si>
  <si>
    <t>NHWA_Nurses not further defined Stock By Sex Female</t>
  </si>
  <si>
    <t>NHWA_Nurses not further defined Stock By Sex Male</t>
  </si>
  <si>
    <t>NHWA_Midwifery personnel Stock By Sex Female</t>
  </si>
  <si>
    <t>NHWA_Midwifery personnel Stock By Sex Male</t>
  </si>
  <si>
    <t>NHWA_Midwifery Professionals Stock By Sex Female</t>
  </si>
  <si>
    <t>NHWA_Midwifery Professionals Stock By Sex Male</t>
  </si>
  <si>
    <t>NHWA_Midwifery Associate Professionals Stock By Sex Female</t>
  </si>
  <si>
    <t>NHWA_Midwifery Associate Professionals Stock By Sex Male</t>
  </si>
  <si>
    <t>NHWA_Midwives not further defined Stock By Sex Female</t>
  </si>
  <si>
    <t>NHWA_Midwives not further defined Stock By Sex Male</t>
  </si>
  <si>
    <t>NHWA_Dentists Stock By Sex Female</t>
  </si>
  <si>
    <t>NHWA_Dentists Stock By Sex Male</t>
  </si>
  <si>
    <t>NHWA_Pharmacists Stock By Sex Female</t>
  </si>
  <si>
    <t>NHWA_Pharmacists Stock By Sex Male</t>
  </si>
  <si>
    <t>NHWA_Nursing Professionals Stock with additional midwifery training By Sex Female</t>
  </si>
  <si>
    <t>NHWA_Nursing Professionals Stock with additional midwifery training By Sex Male</t>
  </si>
  <si>
    <t>NHWA_Nursing Associate Professionals Stock with additional midwifery training By Sex Female</t>
  </si>
  <si>
    <t>NHWA_Nursing Associate Professionals Stock with additional midwifery training By Sex Male</t>
  </si>
  <si>
    <t>NHWA_Obstetricians and Gynaecologists Practitioners Stock By Sex Female</t>
  </si>
  <si>
    <t>NHWA_Obstetricians and Gynaecologists Practitioners Stock By Sex Male</t>
  </si>
  <si>
    <t>NHWA_General Paediatricians Practitioners Stock By Sex Female</t>
  </si>
  <si>
    <t>NHWA_General Paediatricians Practitioners Stock By Sex Male</t>
  </si>
  <si>
    <t>NHWA_Community Health Workers Stock By Sex Female</t>
  </si>
  <si>
    <t>NHWA_Community Health Workers Stock By Sex Male</t>
  </si>
  <si>
    <t>hmZE3mVAZFf</t>
  </si>
  <si>
    <t>Burkina Faso</t>
  </si>
  <si>
    <t>BFA</t>
  </si>
  <si>
    <t>zEYrsiNUGIo</t>
  </si>
  <si>
    <t>Federal Democratic Republic of Ethiopia</t>
  </si>
  <si>
    <t>ETH</t>
  </si>
  <si>
    <t>I3NxIqG7bD4</t>
  </si>
  <si>
    <t>Federal Republic of Nigeria</t>
  </si>
  <si>
    <t>NGA</t>
  </si>
  <si>
    <t>EGLpIMSAWhx</t>
  </si>
  <si>
    <t>Gabonese Republic</t>
  </si>
  <si>
    <t>GAB</t>
  </si>
  <si>
    <t>G3thRWUQAX9</t>
  </si>
  <si>
    <t>Kingdom of Eswatini</t>
  </si>
  <si>
    <t>SWZ</t>
  </si>
  <si>
    <t>c82mDnhUQly</t>
  </si>
  <si>
    <t>Republic of Botswana</t>
  </si>
  <si>
    <t>BWA</t>
  </si>
  <si>
    <t>bGWaeVBrOcc</t>
  </si>
  <si>
    <t>Republic of Cabo Verde</t>
  </si>
  <si>
    <t>CPV</t>
  </si>
  <si>
    <t>VPesUmegQpP</t>
  </si>
  <si>
    <t>Republic of Cameroon</t>
  </si>
  <si>
    <t>CMR</t>
  </si>
  <si>
    <t>tV0rWhHr9cj</t>
  </si>
  <si>
    <t>Republic of Chad</t>
  </si>
  <si>
    <t>TCD</t>
  </si>
  <si>
    <t>WXGcnQWJ0Qd</t>
  </si>
  <si>
    <t>Republic of Côte d'Ivoire</t>
  </si>
  <si>
    <t>CIV</t>
  </si>
  <si>
    <t>WC5rU5fLMzY</t>
  </si>
  <si>
    <t>Republic of Ghana</t>
  </si>
  <si>
    <t>GHA</t>
  </si>
  <si>
    <t>G9o5ad4oJJX</t>
  </si>
  <si>
    <t>Republic of Guinea-Bissau</t>
  </si>
  <si>
    <t>GNB</t>
  </si>
  <si>
    <t>HfVjCurKxh2</t>
  </si>
  <si>
    <t>Republic of Kenya</t>
  </si>
  <si>
    <t>KEN</t>
  </si>
  <si>
    <t>G037PAPU5dO</t>
  </si>
  <si>
    <t>Republic of Malawi</t>
  </si>
  <si>
    <t>MWI</t>
  </si>
  <si>
    <t>Gan3VYicAWe</t>
  </si>
  <si>
    <t>Republic of Mozambique</t>
  </si>
  <si>
    <t>MOZ</t>
  </si>
  <si>
    <t>wj7iV08dvFq</t>
  </si>
  <si>
    <t>Republic of Senegal</t>
  </si>
  <si>
    <t>SEN</t>
  </si>
  <si>
    <t>wimH12ukPK5</t>
  </si>
  <si>
    <t>Republic of Seychelles</t>
  </si>
  <si>
    <t>SYC</t>
  </si>
  <si>
    <t>shRXArPWh8H</t>
  </si>
  <si>
    <t>Republic of the Congo</t>
  </si>
  <si>
    <t>COG</t>
  </si>
  <si>
    <t>SnYHrnchKjL</t>
  </si>
  <si>
    <t>Republic of Uganda</t>
  </si>
  <si>
    <t>UGA</t>
  </si>
  <si>
    <t>gb7vWtO7Wjp</t>
  </si>
  <si>
    <t>Republic of Zambia</t>
  </si>
  <si>
    <t>ZMB</t>
  </si>
  <si>
    <t>buSEeeViTo3</t>
  </si>
  <si>
    <t>Republic of Zimbabwe</t>
  </si>
  <si>
    <t>ZWE</t>
  </si>
  <si>
    <t>vnbnnSZXGTv</t>
  </si>
  <si>
    <t>State of Eritrea</t>
  </si>
  <si>
    <t>ERI</t>
  </si>
  <si>
    <t>WtcZBCTspgM</t>
  </si>
  <si>
    <t>Togolese Republic</t>
  </si>
  <si>
    <t>TGO</t>
  </si>
  <si>
    <t>DzAOqCf0ots</t>
  </si>
  <si>
    <t>Republic of Benin</t>
  </si>
  <si>
    <t>BEN</t>
  </si>
  <si>
    <t>Xz7rnovuiOx</t>
  </si>
  <si>
    <t>Republic of Burundi</t>
  </si>
  <si>
    <t>BDI</t>
  </si>
  <si>
    <t>JEHwU064LAj</t>
  </si>
  <si>
    <t>Republic of Liberia</t>
  </si>
  <si>
    <t>LBR</t>
  </si>
  <si>
    <t>bcy4159FETR</t>
  </si>
  <si>
    <t>Republic of Madagascar</t>
  </si>
  <si>
    <t>MDG</t>
  </si>
  <si>
    <t>EubjsxqlA4d</t>
  </si>
  <si>
    <t>Republic of Mali</t>
  </si>
  <si>
    <t>MLI</t>
  </si>
  <si>
    <t>UlQiEogy3wG</t>
  </si>
  <si>
    <t>Republic of Rwanda</t>
  </si>
  <si>
    <t>RWA</t>
  </si>
  <si>
    <t>qbqrFLCJewu</t>
  </si>
  <si>
    <t>Republic of Sierra Leone</t>
  </si>
  <si>
    <t>SLE</t>
  </si>
  <si>
    <t>mhWSEv79IJW</t>
  </si>
  <si>
    <t>Republic of South Sudan</t>
  </si>
  <si>
    <t>SSD</t>
  </si>
  <si>
    <t>O0hWoXlHhIS</t>
  </si>
  <si>
    <t>Republic of the Niger</t>
  </si>
  <si>
    <t>NER</t>
  </si>
  <si>
    <t>FNduj2N3e8s</t>
  </si>
  <si>
    <t>Democratic Republic of Sao Tome and Principe</t>
  </si>
  <si>
    <t>STP</t>
  </si>
  <si>
    <t>EDHO4qOyY88</t>
  </si>
  <si>
    <t>Democratic Republic of the Congo</t>
  </si>
  <si>
    <t>COD</t>
  </si>
  <si>
    <t>mNa42CHbkO7</t>
  </si>
  <si>
    <t>People's Democratic Republic of Algeria</t>
  </si>
  <si>
    <t>DZA</t>
  </si>
  <si>
    <t>rtLnlu4GUI2</t>
  </si>
  <si>
    <t>Republic of Namibia</t>
  </si>
  <si>
    <t>NAM</t>
  </si>
  <si>
    <t>Row Labels</t>
  </si>
  <si>
    <t>Grand Total</t>
  </si>
  <si>
    <t>Sum of NHWA_Midwifery personnel Stock By Sex Male</t>
  </si>
  <si>
    <t>Sum of NHWA_Midwifery personnel Stock By Sex Female</t>
  </si>
  <si>
    <t>Sum of NHWA_Medical Doctors Stock By Sex Female</t>
  </si>
  <si>
    <t>Sum of NHWA_Medical Doctors Stock By Sex Male</t>
  </si>
  <si>
    <t>Sum of NHWA_Nursing  Personnel Stock By Sex Female</t>
  </si>
  <si>
    <t>Sum of NHWA_Nursing  Personnel Stock By Sex Male</t>
  </si>
  <si>
    <t>Sum of NHWA_Dentists Stock By Sex Female</t>
  </si>
  <si>
    <t>Sum of NHWA_Dentists Stock By Sex Male</t>
  </si>
  <si>
    <t>Sum of NHWA_Pharmacists Stock By Sex Female</t>
  </si>
  <si>
    <t>Sum of NHWA_Pharmacists Stock By Sex Male</t>
  </si>
  <si>
    <t>Sum of NHWA_Community Health Workers Stock By Sex Female</t>
  </si>
  <si>
    <t>Sum of NHWA_Community Health Workers Stock By Sex Male</t>
  </si>
  <si>
    <t>Sum of NHWA_Obstetricians and Gynaecologists Practitioners Stock By Sex Female</t>
  </si>
  <si>
    <t>Sum of NHWA_Obstetricians and Gynaecologists Practitioners Stock By Sex Male</t>
  </si>
  <si>
    <t>Sum of NHWA_General Paediatricians Practitioners Stock By Sex Female</t>
  </si>
  <si>
    <t>Sum of NHWA_General Paediatricians Practitioners Stock By Sex Male</t>
  </si>
  <si>
    <t>Total Females</t>
  </si>
  <si>
    <t>Total Males</t>
  </si>
  <si>
    <t>total</t>
  </si>
  <si>
    <t>Female proportion</t>
  </si>
  <si>
    <t>Males  proportions</t>
  </si>
  <si>
    <t>Aggregate</t>
  </si>
  <si>
    <t>Year</t>
  </si>
  <si>
    <t>Doctors</t>
  </si>
  <si>
    <t>Community health workers</t>
  </si>
  <si>
    <t>Nurses</t>
  </si>
  <si>
    <t>Doctors to Nurses</t>
  </si>
  <si>
    <t>Female</t>
  </si>
  <si>
    <t xml:space="preserve">Medical Doctors </t>
  </si>
  <si>
    <t xml:space="preserve">Nursing  Personnel </t>
  </si>
  <si>
    <t xml:space="preserve">Midwifery personnel </t>
  </si>
  <si>
    <t xml:space="preserve">Dentists </t>
  </si>
  <si>
    <t xml:space="preserve">Pharmacists </t>
  </si>
  <si>
    <t xml:space="preserve">Obstetricians and Gynaecologists Practitioners </t>
  </si>
  <si>
    <t xml:space="preserve">General Paediatricians Practitioners </t>
  </si>
  <si>
    <t xml:space="preserve">Community Health Workers </t>
  </si>
  <si>
    <t>Occupation</t>
  </si>
  <si>
    <t>(All)</t>
  </si>
  <si>
    <t>Sum of NHWA_Generalist Medical Practitioners (incl. Family medical practitioners) Stock By Sex Female</t>
  </si>
  <si>
    <t>Sum of NHWA_Generalist Medical Practitioners (incl. Family medical practitioners) Stock By Sex Male</t>
  </si>
  <si>
    <t>Sum of NHWA_Medical group of Specialists Practitioners Stock By Sex Female</t>
  </si>
  <si>
    <t>Sum of NHWA_Medical group of Specialists Practitioners Stock By Sex Male</t>
  </si>
  <si>
    <t>Sum of NHWA_Medical doctors not further defined Stock By Sex Female</t>
  </si>
  <si>
    <t>Sum of NHWA_Medical doctors not further defined Stock By Sex Male</t>
  </si>
  <si>
    <t>Sum of NHWA_Nursing Professionals Stock By Sex Female</t>
  </si>
  <si>
    <t>Sum of NHWA_Nursing Professionals Stock By Sex Male</t>
  </si>
  <si>
    <t>Sum of NHWA_Nursing Associate Professionals Stock By Sex Female</t>
  </si>
  <si>
    <t>Sum of NHWA_Nursing Associate Professionals Stock By Sex Male</t>
  </si>
  <si>
    <t>Sum of NHWA_Nurses not further defined Stock By Sex Female</t>
  </si>
  <si>
    <t>Sum of NHWA_Nurses not further defined Stock By Sex Male</t>
  </si>
  <si>
    <t>Sum of NHWA_Midwifery Professionals Stock By Sex Female</t>
  </si>
  <si>
    <t>Sum of NHWA_Midwifery Professionals Stock By Sex Male</t>
  </si>
  <si>
    <t>Sum of NHWA_Midwifery Associate Professionals Stock By Sex Female</t>
  </si>
  <si>
    <t>Sum of NHWA_Midwifery Associate Professionals Stock By Sex Male</t>
  </si>
  <si>
    <t>Sum of NHWA_Midwives not further defined Stock By Sex Female</t>
  </si>
  <si>
    <t>Sum of NHWA_Midwives not further defined Stock By Sex Male</t>
  </si>
  <si>
    <t>Sum of NHWA_Nursing Professionals Stock with additional midwifery training By Sex Female</t>
  </si>
  <si>
    <t>Sum of NHWA_Nursing Professionals Stock with additional midwifery training By Sex Male</t>
  </si>
  <si>
    <t>Sum of NHWA_Nursing Associate Professionals Stock with additional midwifery training By Sex Female</t>
  </si>
  <si>
    <t>country code</t>
  </si>
  <si>
    <t>Country</t>
  </si>
  <si>
    <t>Income</t>
  </si>
  <si>
    <t>Algeria</t>
  </si>
  <si>
    <t>Lower-Middle-Income Economies</t>
  </si>
  <si>
    <t>AGO</t>
  </si>
  <si>
    <t>Angola</t>
  </si>
  <si>
    <t>Benin</t>
  </si>
  <si>
    <t>Botswana</t>
  </si>
  <si>
    <t>High/Upper-Middle-Income Economies </t>
  </si>
  <si>
    <t>Low-Income Economies</t>
  </si>
  <si>
    <t>Burundi</t>
  </si>
  <si>
    <t>Cameroon</t>
  </si>
  <si>
    <t>Cape-Verde</t>
  </si>
  <si>
    <t>CAF</t>
  </si>
  <si>
    <t>Central African Republic</t>
  </si>
  <si>
    <t>Chad</t>
  </si>
  <si>
    <t>COM</t>
  </si>
  <si>
    <t>Comoros</t>
  </si>
  <si>
    <t>Congo</t>
  </si>
  <si>
    <t>Cote d'Ivoire</t>
  </si>
  <si>
    <t>DRC</t>
  </si>
  <si>
    <t>GNQ</t>
  </si>
  <si>
    <t>Equatorial Guinea</t>
  </si>
  <si>
    <t>Eritrea</t>
  </si>
  <si>
    <t>Eswatini</t>
  </si>
  <si>
    <t>Ethiopia</t>
  </si>
  <si>
    <t>Gabon</t>
  </si>
  <si>
    <t>GMB</t>
  </si>
  <si>
    <t>Gambia</t>
  </si>
  <si>
    <t>Ghana</t>
  </si>
  <si>
    <t>GIN</t>
  </si>
  <si>
    <t>Guinea</t>
  </si>
  <si>
    <t>Guinea-Bissau</t>
  </si>
  <si>
    <t>Kenya</t>
  </si>
  <si>
    <t>LSO</t>
  </si>
  <si>
    <t>Lesotho</t>
  </si>
  <si>
    <t>Liberia</t>
  </si>
  <si>
    <t>Madagascar</t>
  </si>
  <si>
    <t>Malawi</t>
  </si>
  <si>
    <t>Mali</t>
  </si>
  <si>
    <t>MRT</t>
  </si>
  <si>
    <t>Mauritania</t>
  </si>
  <si>
    <t>MUS</t>
  </si>
  <si>
    <t>Mauritius</t>
  </si>
  <si>
    <t>Mozambique</t>
  </si>
  <si>
    <t>Namibia</t>
  </si>
  <si>
    <t>Niger</t>
  </si>
  <si>
    <t>Nigeria</t>
  </si>
  <si>
    <t>Rwanda</t>
  </si>
  <si>
    <t>Sao Tome and Principe</t>
  </si>
  <si>
    <t>Senegal</t>
  </si>
  <si>
    <t>Seychelles</t>
  </si>
  <si>
    <t>Sierra Leone</t>
  </si>
  <si>
    <t>ZAF</t>
  </si>
  <si>
    <t>South Africa</t>
  </si>
  <si>
    <t>South Sudan</t>
  </si>
  <si>
    <t>TZA</t>
  </si>
  <si>
    <t>Tanzania</t>
  </si>
  <si>
    <t>Togo</t>
  </si>
  <si>
    <t>Uganda</t>
  </si>
  <si>
    <t>Zambia</t>
  </si>
  <si>
    <t>Zimbabwe</t>
  </si>
  <si>
    <t>AFRO</t>
  </si>
  <si>
    <t>Income level</t>
  </si>
  <si>
    <t>Total females</t>
  </si>
  <si>
    <t>Total males</t>
  </si>
  <si>
    <t>Male</t>
  </si>
  <si>
    <t>Medical Doctors  Female</t>
  </si>
  <si>
    <t>Medical Doctors  Male</t>
  </si>
  <si>
    <t>Nursing  Personnel Female</t>
  </si>
  <si>
    <t>Nursing  Personnel Male</t>
  </si>
  <si>
    <t>Midwifery personnel Female</t>
  </si>
  <si>
    <t>Midwifery personnel Male</t>
  </si>
  <si>
    <t>Dentists Stock Female</t>
  </si>
  <si>
    <t>Dentists Male</t>
  </si>
  <si>
    <t>Pharmacists  Female</t>
  </si>
  <si>
    <t>Pharmacists Male</t>
  </si>
  <si>
    <t>High/Upper-Middle-Income</t>
  </si>
  <si>
    <t>Dentists Female</t>
  </si>
  <si>
    <t>Females</t>
  </si>
  <si>
    <t>Males</t>
  </si>
  <si>
    <t>Cabo Verde</t>
  </si>
  <si>
    <t>Côte d'Ivoire</t>
  </si>
  <si>
    <t>the Congo</t>
  </si>
  <si>
    <t>the Niger</t>
  </si>
  <si>
    <t xml:space="preserve"> Eritrea</t>
  </si>
  <si>
    <t>African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</si>
</sst>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%"/>
    <numFmt numFmtId="165" formatCode="_-* #,##0_-;\-* #,##0_-;_-* &quot;-&quot;??_-;_-@_-"/>
  </numFmts>
  <fonts count="6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  <font>
      <sz val="10"/>
      <color indexed="8"/>
      <name val="Helvetica Neue"/>
    </font>
    <font>
      <sz val="10"/>
      <color rgb="FFFF0000"/>
      <name val="Helvetica Neue"/>
    </font>
    <font>
      <sz val="14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indexed="65"/>
      </top>
      <bottom/>
      <diagonal/>
    </border>
    <border>
      <left/>
      <right/>
      <top style="thin">
        <color rgb="FFABABAB"/>
      </top>
      <bottom/>
      <diagonal/>
    </border>
    <border>
      <left/>
      <right/>
      <top style="thin">
        <color indexed="65"/>
      </top>
      <bottom/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</borders>
  <cellStyleXfs count="3">
    <xf numFmtId="0" fontId="0" fillId="0" borderId="0" applyNumberFormat="0" applyFill="0" applyBorder="0" applyProtection="0">
      <alignment vertical="top" wrapText="1"/>
    </xf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49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49" fontId="0" fillId="0" borderId="4" xfId="0" applyNumberFormat="1" applyBorder="1" applyAlignment="1">
      <alignment vertical="top"/>
    </xf>
    <xf numFmtId="0" fontId="2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8" xfId="0" applyBorder="1">
      <alignment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>
      <alignment vertical="top" wrapText="1"/>
    </xf>
    <xf numFmtId="0" fontId="0" fillId="0" borderId="12" xfId="0" applyNumberFormat="1" applyBorder="1">
      <alignment vertical="top" wrapText="1"/>
    </xf>
    <xf numFmtId="0" fontId="0" fillId="0" borderId="13" xfId="0" applyNumberFormat="1" applyBorder="1">
      <alignment vertical="top" wrapText="1"/>
    </xf>
    <xf numFmtId="0" fontId="0" fillId="0" borderId="10" xfId="0" pivotButton="1" applyBorder="1">
      <alignment vertical="top" wrapText="1"/>
    </xf>
    <xf numFmtId="9" fontId="0" fillId="0" borderId="0" xfId="2" applyFont="1" applyAlignment="1">
      <alignment vertical="top" wrapText="1"/>
    </xf>
    <xf numFmtId="164" fontId="0" fillId="0" borderId="0" xfId="2" applyNumberFormat="1" applyFont="1" applyAlignment="1">
      <alignment vertical="top" wrapText="1"/>
    </xf>
    <xf numFmtId="164" fontId="0" fillId="0" borderId="0" xfId="0" applyNumberFormat="1">
      <alignment vertical="top" wrapText="1"/>
    </xf>
    <xf numFmtId="0" fontId="0" fillId="0" borderId="8" xfId="0" pivotButton="1" applyBorder="1">
      <alignment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8" xfId="0" applyNumberFormat="1" applyBorder="1">
      <alignment vertical="top" wrapText="1"/>
    </xf>
    <xf numFmtId="0" fontId="0" fillId="0" borderId="11" xfId="0" applyNumberFormat="1" applyBorder="1">
      <alignment vertical="top" wrapText="1"/>
    </xf>
    <xf numFmtId="0" fontId="0" fillId="0" borderId="9" xfId="0" applyNumberFormat="1" applyBorder="1">
      <alignment vertical="top" wrapText="1"/>
    </xf>
    <xf numFmtId="0" fontId="0" fillId="0" borderId="14" xfId="0" applyNumberFormat="1" applyBorder="1">
      <alignment vertical="top" wrapText="1"/>
    </xf>
    <xf numFmtId="0" fontId="0" fillId="0" borderId="15" xfId="0" applyBorder="1">
      <alignment vertical="top" wrapText="1"/>
    </xf>
    <xf numFmtId="0" fontId="0" fillId="0" borderId="15" xfId="0" applyNumberFormat="1" applyBorder="1">
      <alignment vertical="top" wrapText="1"/>
    </xf>
    <xf numFmtId="0" fontId="0" fillId="0" borderId="16" xfId="0" applyNumberFormat="1" applyBorder="1">
      <alignment vertical="top" wrapText="1"/>
    </xf>
    <xf numFmtId="0" fontId="0" fillId="0" borderId="17" xfId="0" applyNumberFormat="1" applyBorder="1">
      <alignment vertical="top" wrapText="1"/>
    </xf>
    <xf numFmtId="0" fontId="0" fillId="0" borderId="0" xfId="0" applyFill="1" applyBorder="1">
      <alignment vertical="top" wrapText="1"/>
    </xf>
    <xf numFmtId="0" fontId="0" fillId="4" borderId="0" xfId="0" applyFill="1">
      <alignment vertical="top" wrapText="1"/>
    </xf>
    <xf numFmtId="0" fontId="0" fillId="0" borderId="0" xfId="0" applyFill="1">
      <alignment vertical="top" wrapText="1"/>
    </xf>
    <xf numFmtId="9" fontId="4" fillId="0" borderId="0" xfId="2" applyFont="1" applyAlignment="1">
      <alignment vertical="top" wrapText="1"/>
    </xf>
    <xf numFmtId="0" fontId="4" fillId="0" borderId="0" xfId="0" applyFont="1">
      <alignment vertical="top" wrapText="1"/>
    </xf>
    <xf numFmtId="165" fontId="0" fillId="0" borderId="0" xfId="1" applyNumberFormat="1" applyFont="1" applyAlignment="1">
      <alignment vertical="top" wrapText="1"/>
    </xf>
    <xf numFmtId="9" fontId="5" fillId="0" borderId="0" xfId="2" applyFont="1" applyAlignment="1">
      <alignment vertical="top" wrapText="1"/>
    </xf>
    <xf numFmtId="0" fontId="0" fillId="0" borderId="10" xfId="0" applyBorder="1">
      <alignment vertical="top" wrapText="1"/>
    </xf>
    <xf numFmtId="0" fontId="0" fillId="0" borderId="0" xfId="0" applyAlignment="1">
      <alignment wrapText="1"/>
    </xf>
    <xf numFmtId="0" fontId="0" fillId="0" borderId="0" xfId="0" applyAlignment="1"/>
    <xf numFmtId="9" fontId="0" fillId="0" borderId="0" xfId="0" applyNumberFormat="1">
      <alignment vertical="top" wrapText="1"/>
    </xf>
    <xf numFmtId="0" fontId="0" fillId="0" borderId="18" xfId="0" pivotButton="1" applyBorder="1">
      <alignment vertical="top" wrapText="1"/>
    </xf>
    <xf numFmtId="0" fontId="0" fillId="0" borderId="18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1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'Females all'!$O$1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579-40E7-8F4E-C959617507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'Females all'!$N$2:$N$10</c:f>
              <c:strCache>
                <c:ptCount val="9"/>
                <c:pt idx="0">
                  <c:v>Obstetricians and Gynaecologists Practitioners </c:v>
                </c:pt>
                <c:pt idx="1">
                  <c:v>Medical Doctors </c:v>
                </c:pt>
                <c:pt idx="2">
                  <c:v>Dentists </c:v>
                </c:pt>
                <c:pt idx="3">
                  <c:v>General Paediatricians Practitioners </c:v>
                </c:pt>
                <c:pt idx="4">
                  <c:v>Pharmacists </c:v>
                </c:pt>
                <c:pt idx="5">
                  <c:v>African Region</c:v>
                </c:pt>
                <c:pt idx="6">
                  <c:v>Nursing  Personnel </c:v>
                </c:pt>
                <c:pt idx="7">
                  <c:v>Community Health Workers </c:v>
                </c:pt>
                <c:pt idx="8">
                  <c:v>Midwifery personnel </c:v>
                </c:pt>
              </c:strCache>
            </c:strRef>
          </c:cat>
          <c:val>
            <c:numRef>
              <c:f>'Females all'!$O$2:$O$10</c:f>
              <c:numCache>
                <c:formatCode>0%</c:formatCode>
                <c:ptCount val="9"/>
                <c:pt idx="0">
                  <c:v>0.31825192802056557</c:v>
                </c:pt>
                <c:pt idx="1">
                  <c:v>0.35035869455390523</c:v>
                </c:pt>
                <c:pt idx="2">
                  <c:v>0.37537462537462535</c:v>
                </c:pt>
                <c:pt idx="3">
                  <c:v>0.39470198675496687</c:v>
                </c:pt>
                <c:pt idx="4">
                  <c:v>0.4127107078307698</c:v>
                </c:pt>
                <c:pt idx="5">
                  <c:v>0.72053814142363326</c:v>
                </c:pt>
                <c:pt idx="6">
                  <c:v>0.72917018642485809</c:v>
                </c:pt>
                <c:pt idx="7">
                  <c:v>0.78731490414866401</c:v>
                </c:pt>
                <c:pt idx="8">
                  <c:v>0.93869577142620564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79-40E7-8F4E-C9596175077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-27"/>
        <c:axId val="1060890335"/>
        <c:axId val="1071348687"/>
      </c:barChart>
      <c:catAx>
        <c:axId val="10608903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n-US" b="1"/>
                  <a:t>Occupations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en-K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1071348687"/>
        <c:crosses val="autoZero"/>
        <c:auto val="1"/>
        <c:lblAlgn val="ctr"/>
        <c:lblOffset val="100"/>
        <c:noMultiLvlLbl val="0"/>
      </c:catAx>
      <c:valAx>
        <c:axId val="107134868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n-US" b="1"/>
                  <a:t>Percentage of females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en-KE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1060890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 Narrow" panose="020B060602020203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'Females all'!$O$1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'Females all'!$N$2:$N$10</c:f>
              <c:strCache>
                <c:ptCount val="9"/>
                <c:pt idx="0">
                  <c:v>Obstetricians and Gynaecologists Practitioners </c:v>
                </c:pt>
                <c:pt idx="1">
                  <c:v>Medical Doctors </c:v>
                </c:pt>
                <c:pt idx="2">
                  <c:v>Dentists </c:v>
                </c:pt>
                <c:pt idx="3">
                  <c:v>General Paediatricians Practitioners </c:v>
                </c:pt>
                <c:pt idx="4">
                  <c:v>Pharmacists </c:v>
                </c:pt>
                <c:pt idx="5">
                  <c:v>African Region</c:v>
                </c:pt>
                <c:pt idx="6">
                  <c:v>Nursing  Personnel </c:v>
                </c:pt>
                <c:pt idx="7">
                  <c:v>Community Health Workers </c:v>
                </c:pt>
                <c:pt idx="8">
                  <c:v>Midwifery personnel </c:v>
                </c:pt>
              </c:strCache>
            </c:strRef>
          </c:cat>
          <c:val>
            <c:numRef>
              <c:f>'Females all'!$O$2:$O$10</c:f>
              <c:numCache>
                <c:formatCode>0%</c:formatCode>
                <c:ptCount val="9"/>
                <c:pt idx="0">
                  <c:v>0.31825192802056557</c:v>
                </c:pt>
                <c:pt idx="1">
                  <c:v>0.35035869455390523</c:v>
                </c:pt>
                <c:pt idx="2">
                  <c:v>0.37537462537462535</c:v>
                </c:pt>
                <c:pt idx="3">
                  <c:v>0.39470198675496687</c:v>
                </c:pt>
                <c:pt idx="4">
                  <c:v>0.4127107078307698</c:v>
                </c:pt>
                <c:pt idx="5">
                  <c:v>0.72053814142363326</c:v>
                </c:pt>
                <c:pt idx="6">
                  <c:v>0.72917018642485809</c:v>
                </c:pt>
                <c:pt idx="7">
                  <c:v>0.78731490414866401</c:v>
                </c:pt>
                <c:pt idx="8">
                  <c:v>0.93869577142620564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F1-4E89-A6A9-45486D3913E5}"/>
            </c:ext>
          </c:extLst>
        </c:ser>
        <c:ser>
          <c:idx val="1"/>
          <c:order val="1"/>
          <c:tx>
            <c:strRef>
              <c:f>'Females all'!$P$1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'Females all'!$N$2:$N$10</c:f>
              <c:strCache>
                <c:ptCount val="9"/>
                <c:pt idx="0">
                  <c:v>Obstetricians and Gynaecologists Practitioners </c:v>
                </c:pt>
                <c:pt idx="1">
                  <c:v>Medical Doctors </c:v>
                </c:pt>
                <c:pt idx="2">
                  <c:v>Dentists </c:v>
                </c:pt>
                <c:pt idx="3">
                  <c:v>General Paediatricians Practitioners </c:v>
                </c:pt>
                <c:pt idx="4">
                  <c:v>Pharmacists </c:v>
                </c:pt>
                <c:pt idx="5">
                  <c:v>African Region</c:v>
                </c:pt>
                <c:pt idx="6">
                  <c:v>Nursing  Personnel </c:v>
                </c:pt>
                <c:pt idx="7">
                  <c:v>Community Health Workers </c:v>
                </c:pt>
                <c:pt idx="8">
                  <c:v>Midwifery personnel </c:v>
                </c:pt>
              </c:strCache>
            </c:strRef>
          </c:cat>
          <c:val>
            <c:numRef>
              <c:f>'Females all'!$P$2:$P$10</c:f>
              <c:numCache>
                <c:formatCode>0%</c:formatCode>
                <c:ptCount val="9"/>
                <c:pt idx="0">
                  <c:v>0.68174807197943443</c:v>
                </c:pt>
                <c:pt idx="1">
                  <c:v>0.64964130544609477</c:v>
                </c:pt>
                <c:pt idx="2">
                  <c:v>0.62462537462537471</c:v>
                </c:pt>
                <c:pt idx="3">
                  <c:v>0.60529801324503318</c:v>
                </c:pt>
                <c:pt idx="4">
                  <c:v>0.5872892921692302</c:v>
                </c:pt>
                <c:pt idx="5">
                  <c:v>0.27946185857636674</c:v>
                </c:pt>
                <c:pt idx="6">
                  <c:v>0.27082981357514191</c:v>
                </c:pt>
                <c:pt idx="7">
                  <c:v>0.21268509585133599</c:v>
                </c:pt>
                <c:pt idx="8">
                  <c:v>6.1304228573794362E-2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F1-4E89-A6A9-45486D3913E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100"/>
        <c:axId val="248834272"/>
        <c:axId val="173543824"/>
      </c:barChart>
      <c:catAx>
        <c:axId val="248834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173543824"/>
        <c:crosses val="autoZero"/>
        <c:auto val="1"/>
        <c:lblAlgn val="ctr"/>
        <c:lblOffset val="100"/>
        <c:noMultiLvlLbl val="0"/>
      </c:catAx>
      <c:valAx>
        <c:axId val="173543824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248834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Arial Narrow" panose="020B060602020203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Sheet1!$A$18</c:f>
              <c:strCache>
                <c:ptCount val="1"/>
                <c:pt idx="0">
                  <c:v>High/Upper-Middle-Income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Sheet1!$B$17:$K$17</c:f>
              <c:strCache>
                <c:ptCount val="10"/>
                <c:pt idx="0">
                  <c:v>Medical Doctors  Female</c:v>
                </c:pt>
                <c:pt idx="1">
                  <c:v>Medical Doctors  Male</c:v>
                </c:pt>
                <c:pt idx="2">
                  <c:v>Nursing  Personnel Female</c:v>
                </c:pt>
                <c:pt idx="3">
                  <c:v>Nursing  Personnel Male</c:v>
                </c:pt>
                <c:pt idx="4">
                  <c:v>Midwifery personnel Female</c:v>
                </c:pt>
                <c:pt idx="5">
                  <c:v>Midwifery personnel Male</c:v>
                </c:pt>
                <c:pt idx="6">
                  <c:v>Dentists Female</c:v>
                </c:pt>
                <c:pt idx="7">
                  <c:v>Dentists Male</c:v>
                </c:pt>
                <c:pt idx="8">
                  <c:v>Pharmacists  Female</c:v>
                </c:pt>
                <c:pt idx="9">
                  <c:v>Pharmacists Male</c:v>
                </c:pt>
              </c:strCache>
            </c:strRef>
          </c:cat>
          <c:val>
            <c:numRef>
              <c:f>Sheet1!$B$18:$K$18</c:f>
              <c:numCache>
                <c:formatCode>0%</c:formatCode>
                <c:ptCount val="10"/>
                <c:pt idx="0">
                  <c:v>0.5157606212882595</c:v>
                </c:pt>
                <c:pt idx="1">
                  <c:v>0.4842393787117405</c:v>
                </c:pt>
                <c:pt idx="2">
                  <c:v>0.70041769801980203</c:v>
                </c:pt>
                <c:pt idx="3">
                  <c:v>0.29958230198019797</c:v>
                </c:pt>
                <c:pt idx="4">
                  <c:v>0.98685446009389677</c:v>
                </c:pt>
                <c:pt idx="5">
                  <c:v>1.3145539906103232E-2</c:v>
                </c:pt>
                <c:pt idx="6">
                  <c:v>0.43678160919540232</c:v>
                </c:pt>
                <c:pt idx="7">
                  <c:v>0.56321839080459768</c:v>
                </c:pt>
                <c:pt idx="8">
                  <c:v>0.57679180887372017</c:v>
                </c:pt>
                <c:pt idx="9">
                  <c:v>0.42320819112627983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EB-41EC-82C4-F1A0F1FFEAA7}"/>
            </c:ext>
          </c:extLst>
        </c:ser>
        <c:ser>
          <c:idx val="1"/>
          <c:order val="1"/>
          <c:tx>
            <c:strRef>
              <c:f>Sheet1!$A$19</c:f>
              <c:strCache>
                <c:ptCount val="1"/>
                <c:pt idx="0">
                  <c:v>Lower-Middle-Income Economies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Sheet1!$B$17:$K$17</c:f>
              <c:strCache>
                <c:ptCount val="10"/>
                <c:pt idx="0">
                  <c:v>Medical Doctors  Female</c:v>
                </c:pt>
                <c:pt idx="1">
                  <c:v>Medical Doctors  Male</c:v>
                </c:pt>
                <c:pt idx="2">
                  <c:v>Nursing  Personnel Female</c:v>
                </c:pt>
                <c:pt idx="3">
                  <c:v>Nursing  Personnel Male</c:v>
                </c:pt>
                <c:pt idx="4">
                  <c:v>Midwifery personnel Female</c:v>
                </c:pt>
                <c:pt idx="5">
                  <c:v>Midwifery personnel Male</c:v>
                </c:pt>
                <c:pt idx="6">
                  <c:v>Dentists Female</c:v>
                </c:pt>
                <c:pt idx="7">
                  <c:v>Dentists Male</c:v>
                </c:pt>
                <c:pt idx="8">
                  <c:v>Pharmacists  Female</c:v>
                </c:pt>
                <c:pt idx="9">
                  <c:v>Pharmacists Male</c:v>
                </c:pt>
              </c:strCache>
            </c:strRef>
          </c:cat>
          <c:val>
            <c:numRef>
              <c:f>Sheet1!$B$19:$K$19</c:f>
              <c:numCache>
                <c:formatCode>0%</c:formatCode>
                <c:ptCount val="10"/>
                <c:pt idx="0">
                  <c:v>0.3734112541189708</c:v>
                </c:pt>
                <c:pt idx="1">
                  <c:v>0.6265887458810292</c:v>
                </c:pt>
                <c:pt idx="2">
                  <c:v>0.77718789982205616</c:v>
                </c:pt>
                <c:pt idx="3">
                  <c:v>0.22281210017794384</c:v>
                </c:pt>
                <c:pt idx="4">
                  <c:v>0.94626559697226553</c:v>
                </c:pt>
                <c:pt idx="5">
                  <c:v>5.3734403027734468E-2</c:v>
                </c:pt>
                <c:pt idx="6">
                  <c:v>0.37961191582399562</c:v>
                </c:pt>
                <c:pt idx="7">
                  <c:v>0.62038808417600433</c:v>
                </c:pt>
                <c:pt idx="8">
                  <c:v>0.44540187193581932</c:v>
                </c:pt>
                <c:pt idx="9">
                  <c:v>0.55459812806418074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EB-41EC-82C4-F1A0F1FFEAA7}"/>
            </c:ext>
          </c:extLst>
        </c:ser>
        <c:ser>
          <c:idx val="2"/>
          <c:order val="2"/>
          <c:tx>
            <c:strRef>
              <c:f>Sheet1!$A$20</c:f>
              <c:strCache>
                <c:ptCount val="1"/>
                <c:pt idx="0">
                  <c:v>Low-Income Economies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Sheet1!$B$17:$K$17</c:f>
              <c:strCache>
                <c:ptCount val="10"/>
                <c:pt idx="0">
                  <c:v>Medical Doctors  Female</c:v>
                </c:pt>
                <c:pt idx="1">
                  <c:v>Medical Doctors  Male</c:v>
                </c:pt>
                <c:pt idx="2">
                  <c:v>Nursing  Personnel Female</c:v>
                </c:pt>
                <c:pt idx="3">
                  <c:v>Nursing  Personnel Male</c:v>
                </c:pt>
                <c:pt idx="4">
                  <c:v>Midwifery personnel Female</c:v>
                </c:pt>
                <c:pt idx="5">
                  <c:v>Midwifery personnel Male</c:v>
                </c:pt>
                <c:pt idx="6">
                  <c:v>Dentists Female</c:v>
                </c:pt>
                <c:pt idx="7">
                  <c:v>Dentists Male</c:v>
                </c:pt>
                <c:pt idx="8">
                  <c:v>Pharmacists  Female</c:v>
                </c:pt>
                <c:pt idx="9">
                  <c:v>Pharmacists Male</c:v>
                </c:pt>
              </c:strCache>
            </c:strRef>
          </c:cat>
          <c:val>
            <c:numRef>
              <c:f>Sheet1!$B$20:$K$20</c:f>
              <c:numCache>
                <c:formatCode>0%</c:formatCode>
                <c:ptCount val="10"/>
                <c:pt idx="0">
                  <c:v>0.26996404097971366</c:v>
                </c:pt>
                <c:pt idx="1">
                  <c:v>0.73003595902028628</c:v>
                </c:pt>
                <c:pt idx="2">
                  <c:v>0.57329564027749191</c:v>
                </c:pt>
                <c:pt idx="3">
                  <c:v>0.42670435972250809</c:v>
                </c:pt>
                <c:pt idx="4">
                  <c:v>0.93561797832250404</c:v>
                </c:pt>
                <c:pt idx="5">
                  <c:v>6.438202167749596E-2</c:v>
                </c:pt>
                <c:pt idx="6">
                  <c:v>0.29457364341085274</c:v>
                </c:pt>
                <c:pt idx="7">
                  <c:v>0.70542635658914721</c:v>
                </c:pt>
                <c:pt idx="8">
                  <c:v>0.39936277194205205</c:v>
                </c:pt>
                <c:pt idx="9">
                  <c:v>0.60063722805794795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EB-41EC-82C4-F1A0F1FFEAA7}"/>
            </c:ext>
          </c:extLst>
        </c:ser>
        <c:ser>
          <c:idx val="3"/>
          <c:order val="3"/>
          <c:tx>
            <c:strRef>
              <c:f>Sheet1!$A$21</c:f>
              <c:strCache>
                <c:ptCount val="1"/>
                <c:pt idx="0">
                  <c:v>AFRO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Sheet1!$B$17:$K$17</c:f>
              <c:strCache>
                <c:ptCount val="10"/>
                <c:pt idx="0">
                  <c:v>Medical Doctors  Female</c:v>
                </c:pt>
                <c:pt idx="1">
                  <c:v>Medical Doctors  Male</c:v>
                </c:pt>
                <c:pt idx="2">
                  <c:v>Nursing  Personnel Female</c:v>
                </c:pt>
                <c:pt idx="3">
                  <c:v>Nursing  Personnel Male</c:v>
                </c:pt>
                <c:pt idx="4">
                  <c:v>Midwifery personnel Female</c:v>
                </c:pt>
                <c:pt idx="5">
                  <c:v>Midwifery personnel Male</c:v>
                </c:pt>
                <c:pt idx="6">
                  <c:v>Dentists Female</c:v>
                </c:pt>
                <c:pt idx="7">
                  <c:v>Dentists Male</c:v>
                </c:pt>
                <c:pt idx="8">
                  <c:v>Pharmacists  Female</c:v>
                </c:pt>
                <c:pt idx="9">
                  <c:v>Pharmacists Male</c:v>
                </c:pt>
              </c:strCache>
            </c:strRef>
          </c:cat>
          <c:val>
            <c:numRef>
              <c:f>Sheet1!$B$21:$K$21</c:f>
              <c:numCache>
                <c:formatCode>0%</c:formatCode>
                <c:ptCount val="10"/>
                <c:pt idx="0">
                  <c:v>0.35035869455390523</c:v>
                </c:pt>
                <c:pt idx="1">
                  <c:v>0.64964130544609477</c:v>
                </c:pt>
                <c:pt idx="2">
                  <c:v>0.72917018642485809</c:v>
                </c:pt>
                <c:pt idx="3">
                  <c:v>0.27082981357514191</c:v>
                </c:pt>
                <c:pt idx="4">
                  <c:v>0.93869577142620564</c:v>
                </c:pt>
                <c:pt idx="5">
                  <c:v>6.1304228573794362E-2</c:v>
                </c:pt>
                <c:pt idx="6">
                  <c:v>0.37537462537462535</c:v>
                </c:pt>
                <c:pt idx="7">
                  <c:v>0.62462537462537471</c:v>
                </c:pt>
                <c:pt idx="8">
                  <c:v>0.4127107078307698</c:v>
                </c:pt>
                <c:pt idx="9">
                  <c:v>0.5872892921692302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6EB-41EC-82C4-F1A0F1FFEAA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-27"/>
        <c:axId val="851845424"/>
        <c:axId val="851845904"/>
      </c:barChart>
      <c:catAx>
        <c:axId val="851845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851845904"/>
        <c:crosses val="autoZero"/>
        <c:auto val="1"/>
        <c:lblAlgn val="ctr"/>
        <c:lblOffset val="100"/>
        <c:noMultiLvlLbl val="0"/>
      </c:catAx>
      <c:valAx>
        <c:axId val="851845904"/>
        <c:scaling>
          <c:orientation val="minMax"/>
          <c:max val="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851845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Sheet1!$B$26</c:f>
              <c:strCache>
                <c:ptCount val="1"/>
                <c:pt idx="0">
                  <c:v>Females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K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Sheet1!$A$27:$A$30</c:f>
              <c:strCache>
                <c:ptCount val="4"/>
                <c:pt idx="0">
                  <c:v>High/Upper-Middle-Income</c:v>
                </c:pt>
                <c:pt idx="1">
                  <c:v>Lower-Middle-Income Economies</c:v>
                </c:pt>
                <c:pt idx="2">
                  <c:v>Low-Income Economies</c:v>
                </c:pt>
                <c:pt idx="3">
                  <c:v>African Region</c:v>
                </c:pt>
              </c:strCache>
            </c:strRef>
          </c:cat>
          <c:val>
            <c:numRef>
              <c:f>Sheet1!$B$27:$B$30</c:f>
              <c:numCache>
                <c:formatCode>0%</c:formatCode>
                <c:ptCount val="4"/>
                <c:pt idx="0">
                  <c:v>0.6895309027569223</c:v>
                </c:pt>
                <c:pt idx="1">
                  <c:v>0.73158597379679224</c:v>
                </c:pt>
                <c:pt idx="2">
                  <c:v>0.68169279418690709</c:v>
                </c:pt>
                <c:pt idx="3">
                  <c:v>0.72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F9-465D-9ACF-F7C2C38E210A}"/>
            </c:ext>
          </c:extLst>
        </c:ser>
        <c:ser>
          <c:idx val="1"/>
          <c:order val="1"/>
          <c:tx>
            <c:strRef>
              <c:f>Sheet1!$C$26</c:f>
              <c:strCache>
                <c:ptCount val="1"/>
                <c:pt idx="0">
                  <c:v>Males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K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Sheet1!$A$27:$A$30</c:f>
              <c:strCache>
                <c:ptCount val="4"/>
                <c:pt idx="0">
                  <c:v>High/Upper-Middle-Income</c:v>
                </c:pt>
                <c:pt idx="1">
                  <c:v>Lower-Middle-Income Economies</c:v>
                </c:pt>
                <c:pt idx="2">
                  <c:v>Low-Income Economies</c:v>
                </c:pt>
                <c:pt idx="3">
                  <c:v>African Region</c:v>
                </c:pt>
              </c:strCache>
            </c:strRef>
          </c:cat>
          <c:val>
            <c:numRef>
              <c:f>Sheet1!$C$27:$C$30</c:f>
              <c:numCache>
                <c:formatCode>0%</c:formatCode>
                <c:ptCount val="4"/>
                <c:pt idx="0">
                  <c:v>0.3104690972430777</c:v>
                </c:pt>
                <c:pt idx="1">
                  <c:v>0.26841402620320776</c:v>
                </c:pt>
                <c:pt idx="2">
                  <c:v>0.31830720581309291</c:v>
                </c:pt>
                <c:pt idx="3">
                  <c:v>0.28000000000000003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F9-465D-9ACF-F7C2C38E210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90"/>
        <c:overlap val="100"/>
        <c:axId val="1037565648"/>
        <c:axId val="1037561808"/>
      </c:barChart>
      <c:catAx>
        <c:axId val="1037565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037561808"/>
        <c:crosses val="autoZero"/>
        <c:auto val="1"/>
        <c:lblAlgn val="ctr"/>
        <c:lblOffset val="100"/>
        <c:noMultiLvlLbl val="0"/>
      </c:catAx>
      <c:valAx>
        <c:axId val="1037561808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037565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282574</xdr:colOff>
      <xdr:row>0</xdr:row>
      <xdr:rowOff>914400</xdr:rowOff>
    </xdr:from>
    <xdr:to>
      <xdr:col>37</xdr:col>
      <xdr:colOff>514350</xdr:colOff>
      <xdr:row>32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188296-8218-5B9A-08CF-D30D56E5C5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396874</xdr:colOff>
      <xdr:row>13</xdr:row>
      <xdr:rowOff>101600</xdr:rowOff>
    </xdr:from>
    <xdr:to>
      <xdr:col>22</xdr:col>
      <xdr:colOff>463550</xdr:colOff>
      <xdr:row>47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D4E08A-2A01-21C5-6630-B4294E577D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219074</xdr:colOff>
      <xdr:row>13</xdr:row>
      <xdr:rowOff>155572</xdr:rowOff>
    </xdr:from>
    <xdr:to>
      <xdr:col>39</xdr:col>
      <xdr:colOff>87312</xdr:colOff>
      <xdr:row>44</xdr:row>
      <xdr:rowOff>150813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ADC1B1-0DA8-815C-D6CC-13FCDCC757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488155</xdr:colOff>
      <xdr:row>32</xdr:row>
      <xdr:rowOff>136524</xdr:rowOff>
    </xdr:from>
    <xdr:to>
      <xdr:col>15</xdr:col>
      <xdr:colOff>238125</xdr:colOff>
      <xdr:row>66</xdr:row>
      <xdr:rowOff>71438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23A776D-5A2E-273F-4E26-F29058977D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mung" refreshedDate="45355.4265443287" createdVersion="8" refreshedVersion="8" minRefreshableVersion="3" recordCount="88" xr:uid="{1AAFC63F-DCF7-4259-AE60-32D519931044}">
  <cacheSource type="worksheet">
    <worksheetSource ref="A2:AT90" sheet="Sheet 1 - AFRO Sex 20240123"/>
  </cacheSource>
  <cacheFields count="46">
    <cacheField name="periodid" numFmtId="0">
      <sharedItems containsSemiMixedTypes="0" containsString="0" containsNumber="1" containsInteger="1" minValue="2018" maxValue="2022"/>
    </cacheField>
    <cacheField name="periodname" numFmtId="0">
      <sharedItems containsSemiMixedTypes="0" containsString="0" containsNumber="1" containsInteger="1" minValue="2018" maxValue="2022"/>
    </cacheField>
    <cacheField name="periodcode" numFmtId="0">
      <sharedItems containsSemiMixedTypes="0" containsString="0" containsNumber="1" containsInteger="1" minValue="2018" maxValue="2022" count="5">
        <n v="2022"/>
        <n v="2021"/>
        <n v="2020"/>
        <n v="2019"/>
        <n v="2018"/>
      </sharedItems>
    </cacheField>
    <cacheField name="perioddescription" numFmtId="0">
      <sharedItems containsNonDate="0" containsString="0" containsBlank="1"/>
    </cacheField>
    <cacheField name="organisationunitid" numFmtId="49">
      <sharedItems/>
    </cacheField>
    <cacheField name="organisationunitname" numFmtId="49">
      <sharedItems/>
    </cacheField>
    <cacheField name="organisationunitcode" numFmtId="49">
      <sharedItems count="36">
        <s v="BFA"/>
        <s v="ETH"/>
        <s v="NGA"/>
        <s v="GAB"/>
        <s v="SWZ"/>
        <s v="BWA"/>
        <s v="CPV"/>
        <s v="CMR"/>
        <s v="TCD"/>
        <s v="CIV"/>
        <s v="GHA"/>
        <s v="GNB"/>
        <s v="KEN"/>
        <s v="MWI"/>
        <s v="MOZ"/>
        <s v="SEN"/>
        <s v="SYC"/>
        <s v="COG"/>
        <s v="UGA"/>
        <s v="ZMB"/>
        <s v="ZWE"/>
        <s v="ERI"/>
        <s v="TGO"/>
        <s v="BEN"/>
        <s v="BDI"/>
        <s v="LBR"/>
        <s v="MDG"/>
        <s v="MLI"/>
        <s v="RWA"/>
        <s v="SLE"/>
        <s v="SSD"/>
        <s v="NER"/>
        <s v="STP"/>
        <s v="COD"/>
        <s v="DZA"/>
        <s v="NAM"/>
      </sharedItems>
    </cacheField>
    <cacheField name="organisationunitdescription" numFmtId="0">
      <sharedItems containsNonDate="0" containsString="0" containsBlank="1"/>
    </cacheField>
    <cacheField name="NHWA_Medical Doctors Stock By Sex Female" numFmtId="0">
      <sharedItems containsString="0" containsBlank="1" containsNumber="1" containsInteger="1" minValue="22" maxValue="43970"/>
    </cacheField>
    <cacheField name="NHWA_Medical Doctors Stock By Sex Male" numFmtId="0">
      <sharedItems containsString="0" containsBlank="1" containsNumber="1" containsInteger="1" minValue="35" maxValue="35297"/>
    </cacheField>
    <cacheField name="NHWA_Generalist Medical Practitioners (incl. Family medical practitioners) Stock By Sex Female" numFmtId="0">
      <sharedItems containsString="0" containsBlank="1" containsNumber="1" containsInteger="1" minValue="22" maxValue="28790"/>
    </cacheField>
    <cacheField name="NHWA_Generalist Medical Practitioners (incl. Family medical practitioners) Stock By Sex Male" numFmtId="0">
      <sharedItems containsString="0" containsBlank="1" containsNumber="1" containsInteger="1" minValue="35" maxValue="35297"/>
    </cacheField>
    <cacheField name="NHWA_Medical group of Specialists Practitioners Stock By Sex Female" numFmtId="0">
      <sharedItems containsString="0" containsBlank="1" containsNumber="1" containsInteger="1" minValue="0" maxValue="12843"/>
    </cacheField>
    <cacheField name="NHWA_Medical group of Specialists Practitioners Stock By Sex Male" numFmtId="0">
      <sharedItems containsString="0" containsBlank="1" containsNumber="1" containsInteger="1" minValue="0" maxValue="6972"/>
    </cacheField>
    <cacheField name="NHWA_Medical doctors not further defined Stock By Sex Female" numFmtId="0">
      <sharedItems containsString="0" containsBlank="1" containsNumber="1" containsInteger="1" minValue="0" maxValue="16792"/>
    </cacheField>
    <cacheField name="NHWA_Medical doctors not further defined Stock By Sex Male" numFmtId="0">
      <sharedItems containsString="0" containsBlank="1" containsNumber="1" containsInteger="1" minValue="0" maxValue="3799"/>
    </cacheField>
    <cacheField name="NHWA_Nursing  Personnel Stock By Sex Female" numFmtId="0">
      <sharedItems containsString="0" containsBlank="1" containsNumber="1" containsInteger="1" minValue="296" maxValue="249963"/>
    </cacheField>
    <cacheField name="NHWA_Nursing  Personnel Stock By Sex Male" numFmtId="0">
      <sharedItems containsString="0" containsBlank="1" containsNumber="1" containsInteger="1" minValue="68" maxValue="44111"/>
    </cacheField>
    <cacheField name="NHWA_Nursing Professionals Stock By Sex Female" numFmtId="0">
      <sharedItems containsString="0" containsBlank="1" containsNumber="1" containsInteger="1" minValue="241" maxValue="249963"/>
    </cacheField>
    <cacheField name="NHWA_Nursing Professionals Stock By Sex Male" numFmtId="0">
      <sharedItems containsString="0" containsBlank="1" containsNumber="1" containsInteger="1" minValue="68" maxValue="44111"/>
    </cacheField>
    <cacheField name="NHWA_Nursing Associate Professionals Stock By Sex Female" numFmtId="0">
      <sharedItems containsString="0" containsBlank="1" containsNumber="1" containsInteger="1" minValue="0" maxValue="41716"/>
    </cacheField>
    <cacheField name="NHWA_Nursing Associate Professionals Stock By Sex Male" numFmtId="0">
      <sharedItems containsString="0" containsBlank="1" containsNumber="1" containsInteger="1" minValue="0" maxValue="11994"/>
    </cacheField>
    <cacheField name="NHWA_Nurses not further defined Stock By Sex Female" numFmtId="0">
      <sharedItems containsString="0" containsBlank="1" containsNumber="1" containsInteger="1" minValue="0" maxValue="54996"/>
    </cacheField>
    <cacheField name="NHWA_Nurses not further defined Stock By Sex Male" numFmtId="0">
      <sharedItems containsString="0" containsBlank="1" containsNumber="1" containsInteger="1" minValue="0" maxValue="17949"/>
    </cacheField>
    <cacheField name="NHWA_Midwifery personnel Stock By Sex Female" numFmtId="0">
      <sharedItems containsString="0" containsBlank="1" containsNumber="1" containsInteger="1" minValue="0" maxValue="110270"/>
    </cacheField>
    <cacheField name="NHWA_Midwifery personnel Stock By Sex Male" numFmtId="0">
      <sharedItems containsString="0" containsBlank="1" containsNumber="1" containsInteger="1" minValue="0" maxValue="7837" count="30">
        <n v="1060"/>
        <n v="7837"/>
        <m/>
        <n v="11"/>
        <n v="645"/>
        <n v="193"/>
        <n v="39"/>
        <n v="0"/>
        <n v="310"/>
        <n v="43"/>
        <n v="36"/>
        <n v="3"/>
        <n v="12"/>
        <n v="87"/>
        <n v="1327"/>
        <n v="196"/>
        <n v="47"/>
        <n v="1039"/>
        <n v="7018"/>
        <n v="78"/>
        <n v="279"/>
        <n v="1019"/>
        <n v="199"/>
        <n v="45"/>
        <n v="28"/>
        <n v="1006"/>
        <n v="69"/>
        <n v="33"/>
        <n v="222"/>
        <n v="27"/>
      </sharedItems>
    </cacheField>
    <cacheField name="NHWA_Midwifery Professionals Stock By Sex Female" numFmtId="0">
      <sharedItems containsString="0" containsBlank="1" containsNumber="1" containsInteger="1" minValue="0" maxValue="23006"/>
    </cacheField>
    <cacheField name="NHWA_Midwifery Professionals Stock By Sex Male" numFmtId="0">
      <sharedItems containsString="0" containsBlank="1" containsNumber="1" containsInteger="1" minValue="0" maxValue="7837"/>
    </cacheField>
    <cacheField name="NHWA_Midwifery Associate Professionals Stock By Sex Female" numFmtId="0">
      <sharedItems containsString="0" containsBlank="1" containsNumber="1" containsInteger="1" minValue="0" maxValue="86011"/>
    </cacheField>
    <cacheField name="NHWA_Midwifery Associate Professionals Stock By Sex Male" numFmtId="0">
      <sharedItems containsString="0" containsBlank="1" containsNumber="1" containsInteger="1" minValue="0" maxValue="87"/>
    </cacheField>
    <cacheField name="NHWA_Midwives not further defined Stock By Sex Female" numFmtId="0">
      <sharedItems containsString="0" containsBlank="1" containsNumber="1" containsInteger="1" minValue="0" maxValue="24259"/>
    </cacheField>
    <cacheField name="NHWA_Midwives not further defined Stock By Sex Male" numFmtId="0">
      <sharedItems containsString="0" containsBlank="1" containsNumber="1" containsInteger="1" minValue="0" maxValue="36"/>
    </cacheField>
    <cacheField name="NHWA_Dentists Stock By Sex Female" numFmtId="0">
      <sharedItems containsString="0" containsBlank="1" containsNumber="1" containsInteger="1" minValue="4" maxValue="9405"/>
    </cacheField>
    <cacheField name="NHWA_Dentists Stock By Sex Male" numFmtId="0">
      <sharedItems containsString="0" containsBlank="1" containsNumber="1" containsInteger="1" minValue="1" maxValue="6032"/>
    </cacheField>
    <cacheField name="NHWA_Pharmacists Stock By Sex Female" numFmtId="0">
      <sharedItems containsString="0" containsBlank="1" containsNumber="1" containsInteger="1" minValue="1" maxValue="10953"/>
    </cacheField>
    <cacheField name="NHWA_Pharmacists Stock By Sex Male" numFmtId="0">
      <sharedItems containsString="0" containsBlank="1" containsNumber="1" containsInteger="1" minValue="1" maxValue="10098"/>
    </cacheField>
    <cacheField name="NHWA_Nursing Professionals Stock with additional midwifery training By Sex Female" numFmtId="0">
      <sharedItems containsString="0" containsBlank="1" containsNumber="1" containsInteger="1" minValue="0" maxValue="5737"/>
    </cacheField>
    <cacheField name="NHWA_Nursing Professionals Stock with additional midwifery training By Sex Male" numFmtId="0">
      <sharedItems containsString="0" containsBlank="1" containsNumber="1" containsInteger="1" minValue="0" maxValue="437"/>
    </cacheField>
    <cacheField name="NHWA_Nursing Associate Professionals Stock with additional midwifery training By Sex Female" numFmtId="0">
      <sharedItems containsString="0" containsBlank="1" containsNumber="1" containsInteger="1" minValue="0" maxValue="4780"/>
    </cacheField>
    <cacheField name="NHWA_Nursing Associate Professionals Stock with additional midwifery training By Sex Male" numFmtId="0">
      <sharedItems containsString="0" containsBlank="1" containsNumber="1" containsInteger="1" minValue="0" maxValue="1720"/>
    </cacheField>
    <cacheField name="NHWA_Obstetricians and Gynaecologists Practitioners Stock By Sex Female" numFmtId="0">
      <sharedItems containsString="0" containsBlank="1" containsNumber="1" containsInteger="1" minValue="0" maxValue="2360"/>
    </cacheField>
    <cacheField name="NHWA_Obstetricians and Gynaecologists Practitioners Stock By Sex Male" numFmtId="0">
      <sharedItems containsString="0" containsBlank="1" containsNumber="1" containsInteger="1" minValue="0" maxValue="754"/>
    </cacheField>
    <cacheField name="NHWA_General Paediatricians Practitioners Stock By Sex Female" numFmtId="0">
      <sharedItems containsString="0" containsBlank="1" containsNumber="1" containsInteger="1" minValue="0" maxValue="2016"/>
    </cacheField>
    <cacheField name="NHWA_General Paediatricians Practitioners Stock By Sex Male" numFmtId="0">
      <sharedItems containsString="0" containsBlank="1" containsNumber="1" containsInteger="1" minValue="2" maxValue="944"/>
    </cacheField>
    <cacheField name="NHWA_Community Health Workers Stock By Sex Female" numFmtId="0">
      <sharedItems containsString="0" containsBlank="1" containsNumber="1" containsInteger="1" minValue="3" maxValue="41668"/>
    </cacheField>
    <cacheField name="NHWA_Community Health Workers Stock By Sex Male" numFmtId="0">
      <sharedItems containsString="0" containsBlank="1" containsNumber="1" containsInteger="1" minValue="0" maxValue="2168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mung" refreshedDate="45355.912407986114" createdVersion="8" refreshedVersion="8" minRefreshableVersion="3" recordCount="88" xr:uid="{A890E8B6-B56D-46D9-8543-42322A95D859}">
  <cacheSource type="worksheet">
    <worksheetSource ref="A2:AU90" sheet="Sheet 1 - AFRO Sex 20240123"/>
  </cacheSource>
  <cacheFields count="47">
    <cacheField name="periodid" numFmtId="0">
      <sharedItems containsSemiMixedTypes="0" containsString="0" containsNumber="1" containsInteger="1" minValue="2018" maxValue="2022"/>
    </cacheField>
    <cacheField name="periodname" numFmtId="0">
      <sharedItems containsSemiMixedTypes="0" containsString="0" containsNumber="1" containsInteger="1" minValue="2018" maxValue="2022"/>
    </cacheField>
    <cacheField name="periodcode" numFmtId="0">
      <sharedItems containsSemiMixedTypes="0" containsString="0" containsNumber="1" containsInteger="1" minValue="2018" maxValue="2022" count="5">
        <n v="2022"/>
        <n v="2021"/>
        <n v="2020"/>
        <n v="2019"/>
        <n v="2018"/>
      </sharedItems>
    </cacheField>
    <cacheField name="perioddescription" numFmtId="0">
      <sharedItems containsNonDate="0" containsString="0" containsBlank="1"/>
    </cacheField>
    <cacheField name="organisationunitid" numFmtId="49">
      <sharedItems/>
    </cacheField>
    <cacheField name="organisationunitname" numFmtId="49">
      <sharedItems count="36">
        <s v="Burkina Faso"/>
        <s v="Federal Democratic Republic of Ethiopia"/>
        <s v="Federal Republic of Nigeria"/>
        <s v="Gabonese Republic"/>
        <s v="Kingdom of Eswatini"/>
        <s v="Republic of Botswana"/>
        <s v="Republic of Cabo Verde"/>
        <s v="Republic of Cameroon"/>
        <s v="Republic of Chad"/>
        <s v="Republic of Côte d'Ivoire"/>
        <s v="Republic of Ghana"/>
        <s v="Republic of Guinea-Bissau"/>
        <s v="Republic of Kenya"/>
        <s v="Republic of Malawi"/>
        <s v="Republic of Mozambique"/>
        <s v="Republic of Senegal"/>
        <s v="Republic of Seychelles"/>
        <s v="Republic of the Congo"/>
        <s v="Republic of Uganda"/>
        <s v="Republic of Zambia"/>
        <s v="Republic of Zimbabwe"/>
        <s v="State of Eritrea"/>
        <s v="Togolese Republic"/>
        <s v="Republic of Benin"/>
        <s v="Republic of Burundi"/>
        <s v="Republic of Liberia"/>
        <s v="Republic of Madagascar"/>
        <s v="Republic of Mali"/>
        <s v="Republic of Rwanda"/>
        <s v="Republic of Sierra Leone"/>
        <s v="Republic of South Sudan"/>
        <s v="Republic of the Niger"/>
        <s v="Democratic Republic of Sao Tome and Principe"/>
        <s v="Democratic Republic of the Congo"/>
        <s v="People's Democratic Republic of Algeria"/>
        <s v="Republic of Namibia"/>
      </sharedItems>
    </cacheField>
    <cacheField name="organisationunitcode" numFmtId="49">
      <sharedItems/>
    </cacheField>
    <cacheField name="organisationunitdescription" numFmtId="0">
      <sharedItems containsNonDate="0" containsString="0" containsBlank="1"/>
    </cacheField>
    <cacheField name="NHWA_Medical Doctors Stock By Sex Female" numFmtId="0">
      <sharedItems containsString="0" containsBlank="1" containsNumber="1" containsInteger="1" minValue="22" maxValue="43970"/>
    </cacheField>
    <cacheField name="NHWA_Medical Doctors Stock By Sex Male" numFmtId="0">
      <sharedItems containsString="0" containsBlank="1" containsNumber="1" containsInteger="1" minValue="35" maxValue="35297"/>
    </cacheField>
    <cacheField name="NHWA_Generalist Medical Practitioners (incl. Family medical practitioners) Stock By Sex Female" numFmtId="0">
      <sharedItems containsString="0" containsBlank="1" containsNumber="1" containsInteger="1" minValue="22" maxValue="28790"/>
    </cacheField>
    <cacheField name="NHWA_Generalist Medical Practitioners (incl. Family medical practitioners) Stock By Sex Male" numFmtId="0">
      <sharedItems containsString="0" containsBlank="1" containsNumber="1" containsInteger="1" minValue="35" maxValue="35297"/>
    </cacheField>
    <cacheField name="NHWA_Medical group of Specialists Practitioners Stock By Sex Female" numFmtId="0">
      <sharedItems containsString="0" containsBlank="1" containsNumber="1" containsInteger="1" minValue="0" maxValue="12843"/>
    </cacheField>
    <cacheField name="NHWA_Medical group of Specialists Practitioners Stock By Sex Male" numFmtId="0">
      <sharedItems containsString="0" containsBlank="1" containsNumber="1" containsInteger="1" minValue="0" maxValue="6972"/>
    </cacheField>
    <cacheField name="NHWA_Medical doctors not further defined Stock By Sex Female" numFmtId="0">
      <sharedItems containsString="0" containsBlank="1" containsNumber="1" containsInteger="1" minValue="0" maxValue="16792"/>
    </cacheField>
    <cacheField name="NHWA_Medical doctors not further defined Stock By Sex Male" numFmtId="0">
      <sharedItems containsString="0" containsBlank="1" containsNumber="1" containsInteger="1" minValue="0" maxValue="3799"/>
    </cacheField>
    <cacheField name="NHWA_Nursing  Personnel Stock By Sex Female" numFmtId="0">
      <sharedItems containsString="0" containsBlank="1" containsNumber="1" containsInteger="1" minValue="296" maxValue="249963"/>
    </cacheField>
    <cacheField name="NHWA_Nursing  Personnel Stock By Sex Male" numFmtId="0">
      <sharedItems containsString="0" containsBlank="1" containsNumber="1" containsInteger="1" minValue="68" maxValue="44111"/>
    </cacheField>
    <cacheField name="NHWA_Nursing Professionals Stock By Sex Female" numFmtId="0">
      <sharedItems containsString="0" containsBlank="1" containsNumber="1" containsInteger="1" minValue="241" maxValue="249963"/>
    </cacheField>
    <cacheField name="NHWA_Nursing Professionals Stock By Sex Male" numFmtId="0">
      <sharedItems containsString="0" containsBlank="1" containsNumber="1" containsInteger="1" minValue="68" maxValue="44111"/>
    </cacheField>
    <cacheField name="NHWA_Nursing Associate Professionals Stock By Sex Female" numFmtId="0">
      <sharedItems containsString="0" containsBlank="1" containsNumber="1" containsInteger="1" minValue="0" maxValue="41716"/>
    </cacheField>
    <cacheField name="NHWA_Nursing Associate Professionals Stock By Sex Male" numFmtId="0">
      <sharedItems containsString="0" containsBlank="1" containsNumber="1" containsInteger="1" minValue="0" maxValue="11994"/>
    </cacheField>
    <cacheField name="NHWA_Nurses not further defined Stock By Sex Female" numFmtId="0">
      <sharedItems containsString="0" containsBlank="1" containsNumber="1" containsInteger="1" minValue="0" maxValue="54996"/>
    </cacheField>
    <cacheField name="NHWA_Nurses not further defined Stock By Sex Male" numFmtId="0">
      <sharedItems containsString="0" containsBlank="1" containsNumber="1" containsInteger="1" minValue="0" maxValue="17949"/>
    </cacheField>
    <cacheField name="NHWA_Midwifery personnel Stock By Sex Female" numFmtId="0">
      <sharedItems containsString="0" containsBlank="1" containsNumber="1" containsInteger="1" minValue="0" maxValue="110270"/>
    </cacheField>
    <cacheField name="NHWA_Midwifery personnel Stock By Sex Male" numFmtId="0">
      <sharedItems containsString="0" containsBlank="1" containsNumber="1" containsInteger="1" minValue="0" maxValue="7837"/>
    </cacheField>
    <cacheField name="NHWA_Midwifery Professionals Stock By Sex Female" numFmtId="0">
      <sharedItems containsString="0" containsBlank="1" containsNumber="1" containsInteger="1" minValue="0" maxValue="23006"/>
    </cacheField>
    <cacheField name="NHWA_Midwifery Professionals Stock By Sex Male" numFmtId="0">
      <sharedItems containsString="0" containsBlank="1" containsNumber="1" containsInteger="1" minValue="0" maxValue="7837"/>
    </cacheField>
    <cacheField name="NHWA_Midwifery Associate Professionals Stock By Sex Female" numFmtId="0">
      <sharedItems containsString="0" containsBlank="1" containsNumber="1" containsInteger="1" minValue="0" maxValue="86011"/>
    </cacheField>
    <cacheField name="NHWA_Midwifery Associate Professionals Stock By Sex Male" numFmtId="0">
      <sharedItems containsString="0" containsBlank="1" containsNumber="1" containsInteger="1" minValue="0" maxValue="87"/>
    </cacheField>
    <cacheField name="NHWA_Midwives not further defined Stock By Sex Female" numFmtId="0">
      <sharedItems containsString="0" containsBlank="1" containsNumber="1" containsInteger="1" minValue="0" maxValue="24259"/>
    </cacheField>
    <cacheField name="NHWA_Midwives not further defined Stock By Sex Male" numFmtId="0">
      <sharedItems containsString="0" containsBlank="1" containsNumber="1" containsInteger="1" minValue="0" maxValue="36"/>
    </cacheField>
    <cacheField name="NHWA_Dentists Stock By Sex Female" numFmtId="0">
      <sharedItems containsString="0" containsBlank="1" containsNumber="1" containsInteger="1" minValue="4" maxValue="9405"/>
    </cacheField>
    <cacheField name="NHWA_Dentists Stock By Sex Male" numFmtId="0">
      <sharedItems containsString="0" containsBlank="1" containsNumber="1" containsInteger="1" minValue="1" maxValue="6032"/>
    </cacheField>
    <cacheField name="NHWA_Pharmacists Stock By Sex Female" numFmtId="0">
      <sharedItems containsString="0" containsBlank="1" containsNumber="1" containsInteger="1" minValue="1" maxValue="10953"/>
    </cacheField>
    <cacheField name="NHWA_Pharmacists Stock By Sex Male" numFmtId="0">
      <sharedItems containsString="0" containsBlank="1" containsNumber="1" containsInteger="1" minValue="1" maxValue="10098"/>
    </cacheField>
    <cacheField name="NHWA_Nursing Professionals Stock with additional midwifery training By Sex Female" numFmtId="0">
      <sharedItems containsString="0" containsBlank="1" containsNumber="1" containsInteger="1" minValue="0" maxValue="5737"/>
    </cacheField>
    <cacheField name="NHWA_Nursing Professionals Stock with additional midwifery training By Sex Male" numFmtId="0">
      <sharedItems containsString="0" containsBlank="1" containsNumber="1" containsInteger="1" minValue="0" maxValue="437"/>
    </cacheField>
    <cacheField name="NHWA_Nursing Associate Professionals Stock with additional midwifery training By Sex Female" numFmtId="0">
      <sharedItems containsString="0" containsBlank="1" containsNumber="1" containsInteger="1" minValue="0" maxValue="4780"/>
    </cacheField>
    <cacheField name="NHWA_Nursing Associate Professionals Stock with additional midwifery training By Sex Male" numFmtId="0">
      <sharedItems containsString="0" containsBlank="1" containsNumber="1" containsInteger="1" minValue="0" maxValue="1720"/>
    </cacheField>
    <cacheField name="NHWA_Obstetricians and Gynaecologists Practitioners Stock By Sex Female" numFmtId="0">
      <sharedItems containsString="0" containsBlank="1" containsNumber="1" containsInteger="1" minValue="0" maxValue="2360"/>
    </cacheField>
    <cacheField name="NHWA_Obstetricians and Gynaecologists Practitioners Stock By Sex Male" numFmtId="0">
      <sharedItems containsString="0" containsBlank="1" containsNumber="1" containsInteger="1" minValue="0" maxValue="754"/>
    </cacheField>
    <cacheField name="NHWA_General Paediatricians Practitioners Stock By Sex Female" numFmtId="0">
      <sharedItems containsString="0" containsBlank="1" containsNumber="1" containsInteger="1" minValue="0" maxValue="2016"/>
    </cacheField>
    <cacheField name="NHWA_General Paediatricians Practitioners Stock By Sex Male" numFmtId="0">
      <sharedItems containsString="0" containsBlank="1" containsNumber="1" containsInteger="1" minValue="2" maxValue="944"/>
    </cacheField>
    <cacheField name="NHWA_Community Health Workers Stock By Sex Female" numFmtId="0">
      <sharedItems containsString="0" containsBlank="1" containsNumber="1" containsInteger="1" minValue="3" maxValue="41668"/>
    </cacheField>
    <cacheField name="NHWA_Community Health Workers Stock By Sex Male" numFmtId="0">
      <sharedItems containsString="0" containsBlank="1" containsNumber="1" containsInteger="1" minValue="0" maxValue="21685"/>
    </cacheField>
    <cacheField name="Income level" numFmtId="0">
      <sharedItems count="3">
        <s v="Low-Income Economies"/>
        <s v="Lower-Middle-Income Economies"/>
        <s v="High/Upper-Middle-Income Economies 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n v="2022"/>
    <n v="2022"/>
    <x v="0"/>
    <m/>
    <s v="hmZE3mVAZFf"/>
    <s v="Burkina Faso"/>
    <x v="0"/>
    <m/>
    <n v="779"/>
    <n v="1593"/>
    <n v="779"/>
    <n v="1593"/>
    <m/>
    <m/>
    <m/>
    <m/>
    <m/>
    <m/>
    <m/>
    <m/>
    <m/>
    <m/>
    <m/>
    <m/>
    <n v="4626"/>
    <x v="0"/>
    <n v="4626"/>
    <n v="1060"/>
    <m/>
    <m/>
    <m/>
    <m/>
    <n v="9"/>
    <n v="30"/>
    <n v="223"/>
    <n v="352"/>
    <m/>
    <m/>
    <m/>
    <m/>
    <m/>
    <m/>
    <m/>
    <m/>
    <n v="1600"/>
    <n v="1545"/>
  </r>
  <r>
    <n v="2022"/>
    <n v="2022"/>
    <x v="0"/>
    <m/>
    <s v="zEYrsiNUGIo"/>
    <s v="Federal Democratic Republic of Ethiopia"/>
    <x v="1"/>
    <m/>
    <n v="2758"/>
    <n v="10359"/>
    <n v="1992"/>
    <n v="6658"/>
    <m/>
    <m/>
    <m/>
    <m/>
    <n v="33050"/>
    <n v="37196"/>
    <n v="33050"/>
    <n v="37196"/>
    <m/>
    <m/>
    <m/>
    <m/>
    <n v="14156"/>
    <x v="1"/>
    <n v="14156"/>
    <n v="7837"/>
    <m/>
    <m/>
    <m/>
    <m/>
    <n v="73"/>
    <n v="198"/>
    <n v="6993"/>
    <n v="10098"/>
    <m/>
    <m/>
    <m/>
    <m/>
    <n v="45"/>
    <n v="409"/>
    <n v="42"/>
    <n v="310"/>
    <n v="39645"/>
    <n v="1456"/>
  </r>
  <r>
    <n v="2022"/>
    <n v="2022"/>
    <x v="0"/>
    <m/>
    <s v="I3NxIqG7bD4"/>
    <s v="Federal Republic of Nigeria"/>
    <x v="2"/>
    <m/>
    <n v="19401"/>
    <n v="35297"/>
    <n v="19401"/>
    <n v="35297"/>
    <m/>
    <m/>
    <m/>
    <m/>
    <n v="249963"/>
    <n v="44111"/>
    <n v="249963"/>
    <n v="44111"/>
    <m/>
    <m/>
    <m/>
    <m/>
    <m/>
    <x v="2"/>
    <m/>
    <m/>
    <m/>
    <m/>
    <m/>
    <m/>
    <n v="1300"/>
    <n v="1797"/>
    <m/>
    <m/>
    <m/>
    <m/>
    <m/>
    <m/>
    <m/>
    <m/>
    <m/>
    <m/>
    <n v="13577"/>
    <n v="58"/>
  </r>
  <r>
    <n v="2022"/>
    <n v="2022"/>
    <x v="0"/>
    <m/>
    <s v="EGLpIMSAWhx"/>
    <s v="Gabonese Republic"/>
    <x v="3"/>
    <m/>
    <n v="667"/>
    <n v="472"/>
    <n v="353"/>
    <n v="259"/>
    <n v="89"/>
    <n v="48"/>
    <n v="0"/>
    <n v="0"/>
    <n v="2961"/>
    <n v="1316"/>
    <n v="658"/>
    <n v="334"/>
    <n v="2265"/>
    <n v="936"/>
    <n v="38"/>
    <n v="46"/>
    <n v="909"/>
    <x v="3"/>
    <n v="867"/>
    <n v="0"/>
    <n v="32"/>
    <n v="11"/>
    <n v="10"/>
    <n v="0"/>
    <n v="8"/>
    <n v="36"/>
    <n v="95"/>
    <n v="73"/>
    <m/>
    <m/>
    <m/>
    <m/>
    <n v="58"/>
    <n v="76"/>
    <n v="56"/>
    <n v="98"/>
    <m/>
    <m/>
  </r>
  <r>
    <n v="2022"/>
    <n v="2022"/>
    <x v="0"/>
    <m/>
    <s v="G3thRWUQAX9"/>
    <s v="Kingdom of Eswatini"/>
    <x v="4"/>
    <m/>
    <m/>
    <m/>
    <m/>
    <m/>
    <m/>
    <m/>
    <m/>
    <m/>
    <n v="3844"/>
    <n v="1679"/>
    <n v="2398"/>
    <n v="1162"/>
    <n v="520"/>
    <n v="149"/>
    <n v="926"/>
    <n v="368"/>
    <n v="1820"/>
    <x v="4"/>
    <n v="1820"/>
    <n v="645"/>
    <m/>
    <m/>
    <m/>
    <m/>
    <n v="7"/>
    <n v="1"/>
    <m/>
    <m/>
    <m/>
    <m/>
    <m/>
    <m/>
    <m/>
    <m/>
    <m/>
    <m/>
    <n v="3200"/>
    <n v="0"/>
  </r>
  <r>
    <n v="2022"/>
    <n v="2022"/>
    <x v="0"/>
    <m/>
    <s v="c82mDnhUQly"/>
    <s v="Republic of Botswana"/>
    <x v="5"/>
    <m/>
    <n v="440"/>
    <n v="553"/>
    <n v="407"/>
    <n v="492"/>
    <m/>
    <m/>
    <m/>
    <m/>
    <n v="5539"/>
    <n v="2489"/>
    <n v="5539"/>
    <n v="2489"/>
    <m/>
    <m/>
    <m/>
    <m/>
    <m/>
    <x v="2"/>
    <m/>
    <m/>
    <m/>
    <m/>
    <m/>
    <m/>
    <n v="49"/>
    <n v="37"/>
    <n v="74"/>
    <n v="51"/>
    <m/>
    <m/>
    <m/>
    <m/>
    <m/>
    <m/>
    <m/>
    <m/>
    <m/>
    <m/>
  </r>
  <r>
    <n v="2022"/>
    <n v="2022"/>
    <x v="0"/>
    <m/>
    <s v="bGWaeVBrOcc"/>
    <s v="Republic of Cabo Verde"/>
    <x v="6"/>
    <m/>
    <n v="1815"/>
    <n v="827"/>
    <n v="132"/>
    <n v="55"/>
    <n v="58"/>
    <n v="42"/>
    <n v="1622"/>
    <n v="725"/>
    <n v="752"/>
    <n v="189"/>
    <n v="679"/>
    <n v="167"/>
    <n v="73"/>
    <n v="22"/>
    <n v="0"/>
    <n v="0"/>
    <m/>
    <x v="2"/>
    <m/>
    <m/>
    <m/>
    <m/>
    <m/>
    <m/>
    <n v="6"/>
    <n v="4"/>
    <n v="16"/>
    <n v="7"/>
    <m/>
    <m/>
    <m/>
    <m/>
    <n v="25"/>
    <n v="8"/>
    <n v="15"/>
    <n v="8"/>
    <n v="62"/>
    <n v="93"/>
  </r>
  <r>
    <n v="2022"/>
    <n v="2022"/>
    <x v="0"/>
    <m/>
    <s v="VPesUmegQpP"/>
    <s v="Republic of Cameroon"/>
    <x v="7"/>
    <m/>
    <n v="1756"/>
    <n v="2006"/>
    <n v="1234"/>
    <n v="1233"/>
    <n v="279"/>
    <n v="360"/>
    <n v="2"/>
    <n v="1"/>
    <n v="11079"/>
    <n v="5394"/>
    <n v="7416"/>
    <n v="4069"/>
    <n v="3614"/>
    <n v="1311"/>
    <n v="49"/>
    <n v="14"/>
    <n v="1481"/>
    <x v="5"/>
    <n v="1397"/>
    <n v="181"/>
    <n v="65"/>
    <n v="12"/>
    <n v="19"/>
    <n v="0"/>
    <n v="186"/>
    <n v="131"/>
    <n v="328"/>
    <n v="274"/>
    <m/>
    <m/>
    <m/>
    <m/>
    <n v="66"/>
    <n v="86"/>
    <n v="63"/>
    <n v="24"/>
    <n v="210"/>
    <n v="100"/>
  </r>
  <r>
    <n v="2022"/>
    <n v="2022"/>
    <x v="0"/>
    <m/>
    <s v="tV0rWhHr9cj"/>
    <s v="Republic of Chad"/>
    <x v="8"/>
    <m/>
    <n v="236"/>
    <n v="977"/>
    <n v="236"/>
    <n v="977"/>
    <m/>
    <m/>
    <m/>
    <m/>
    <n v="571"/>
    <n v="1097"/>
    <n v="571"/>
    <n v="1097"/>
    <m/>
    <m/>
    <m/>
    <m/>
    <n v="618"/>
    <x v="6"/>
    <n v="618"/>
    <n v="39"/>
    <m/>
    <m/>
    <m/>
    <m/>
    <n v="6"/>
    <n v="15"/>
    <n v="31"/>
    <n v="111"/>
    <m/>
    <m/>
    <m/>
    <m/>
    <n v="22"/>
    <n v="35"/>
    <n v="8"/>
    <n v="20"/>
    <m/>
    <m/>
  </r>
  <r>
    <n v="2022"/>
    <n v="2022"/>
    <x v="0"/>
    <m/>
    <s v="WXGcnQWJ0Qd"/>
    <s v="Republic of Côte d'Ivoire"/>
    <x v="9"/>
    <m/>
    <n v="1477"/>
    <n v="3453"/>
    <n v="1322"/>
    <n v="3090"/>
    <m/>
    <m/>
    <m/>
    <m/>
    <n v="5530"/>
    <n v="9449"/>
    <n v="5510"/>
    <n v="9424"/>
    <m/>
    <m/>
    <n v="20"/>
    <n v="25"/>
    <n v="7425"/>
    <x v="7"/>
    <n v="7421"/>
    <n v="0"/>
    <n v="4"/>
    <n v="0"/>
    <m/>
    <m/>
    <n v="146"/>
    <n v="272"/>
    <n v="469"/>
    <n v="693"/>
    <m/>
    <m/>
    <m/>
    <m/>
    <m/>
    <m/>
    <m/>
    <m/>
    <m/>
    <m/>
  </r>
  <r>
    <n v="2022"/>
    <n v="2022"/>
    <x v="0"/>
    <m/>
    <s v="WC5rU5fLMzY"/>
    <s v="Republic of Ghana"/>
    <x v="10"/>
    <m/>
    <n v="1627"/>
    <n v="2731"/>
    <n v="1158"/>
    <n v="1852"/>
    <m/>
    <m/>
    <m/>
    <m/>
    <n v="71253"/>
    <n v="28420"/>
    <n v="29537"/>
    <n v="16426"/>
    <n v="41716"/>
    <n v="11994"/>
    <m/>
    <m/>
    <n v="23006"/>
    <x v="8"/>
    <n v="23006"/>
    <n v="310"/>
    <m/>
    <m/>
    <m/>
    <m/>
    <m/>
    <m/>
    <n v="476"/>
    <n v="661"/>
    <m/>
    <m/>
    <m/>
    <m/>
    <m/>
    <m/>
    <m/>
    <m/>
    <m/>
    <m/>
  </r>
  <r>
    <n v="2022"/>
    <n v="2022"/>
    <x v="0"/>
    <m/>
    <s v="G9o5ad4oJJX"/>
    <s v="Republic of Guinea-Bissau"/>
    <x v="11"/>
    <m/>
    <n v="159"/>
    <n v="279"/>
    <n v="157"/>
    <n v="271"/>
    <n v="0"/>
    <n v="0"/>
    <n v="0"/>
    <n v="0"/>
    <n v="1270"/>
    <n v="608"/>
    <n v="635"/>
    <n v="350"/>
    <n v="632"/>
    <n v="257"/>
    <n v="3"/>
    <n v="1"/>
    <n v="197"/>
    <x v="7"/>
    <n v="26"/>
    <n v="0"/>
    <n v="171"/>
    <n v="0"/>
    <n v="0"/>
    <n v="0"/>
    <n v="7"/>
    <n v="14"/>
    <n v="1"/>
    <n v="1"/>
    <m/>
    <m/>
    <m/>
    <m/>
    <n v="0"/>
    <n v="4"/>
    <n v="2"/>
    <n v="4"/>
    <n v="549"/>
    <n v="2828"/>
  </r>
  <r>
    <n v="2022"/>
    <n v="2022"/>
    <x v="0"/>
    <m/>
    <s v="HfVjCurKxh2"/>
    <s v="Republic of Kenya"/>
    <x v="12"/>
    <m/>
    <n v="2323"/>
    <n v="3194"/>
    <n v="1535"/>
    <n v="2009"/>
    <n v="138"/>
    <n v="195"/>
    <m/>
    <m/>
    <n v="24460"/>
    <n v="11598"/>
    <n v="24460"/>
    <n v="11598"/>
    <m/>
    <m/>
    <m/>
    <m/>
    <n v="94"/>
    <x v="9"/>
    <n v="94"/>
    <n v="43"/>
    <m/>
    <m/>
    <m/>
    <m/>
    <n v="138"/>
    <n v="135"/>
    <n v="369"/>
    <n v="517"/>
    <m/>
    <m/>
    <m/>
    <m/>
    <n v="106"/>
    <n v="179"/>
    <n v="152"/>
    <n v="54"/>
    <m/>
    <m/>
  </r>
  <r>
    <n v="2022"/>
    <n v="2022"/>
    <x v="0"/>
    <m/>
    <s v="G037PAPU5dO"/>
    <s v="Republic of Malawi"/>
    <x v="13"/>
    <m/>
    <n v="419"/>
    <n v="616"/>
    <n v="324"/>
    <n v="519"/>
    <n v="11"/>
    <n v="21"/>
    <n v="4"/>
    <n v="8"/>
    <n v="6162"/>
    <n v="3430"/>
    <n v="2260"/>
    <n v="631"/>
    <n v="3749"/>
    <n v="2725"/>
    <n v="153"/>
    <n v="74"/>
    <n v="580"/>
    <x v="10"/>
    <m/>
    <m/>
    <m/>
    <m/>
    <n v="580"/>
    <n v="36"/>
    <n v="29"/>
    <n v="59"/>
    <n v="44"/>
    <n v="67"/>
    <m/>
    <m/>
    <m/>
    <m/>
    <n v="18"/>
    <n v="3"/>
    <n v="21"/>
    <n v="12"/>
    <n v="4767"/>
    <n v="5980"/>
  </r>
  <r>
    <n v="2022"/>
    <n v="2022"/>
    <x v="0"/>
    <m/>
    <s v="Gan3VYicAWe"/>
    <s v="Republic of Mozambique"/>
    <x v="14"/>
    <m/>
    <n v="1130"/>
    <n v="1216"/>
    <n v="820"/>
    <n v="770"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</r>
  <r>
    <n v="2022"/>
    <n v="2022"/>
    <x v="0"/>
    <m/>
    <s v="wj7iV08dvFq"/>
    <s v="Republic of Senegal"/>
    <x v="15"/>
    <m/>
    <n v="1000"/>
    <n v="1198"/>
    <n v="250"/>
    <n v="463"/>
    <m/>
    <m/>
    <m/>
    <m/>
    <n v="3029"/>
    <n v="1708"/>
    <n v="1669"/>
    <n v="1100"/>
    <n v="1360"/>
    <n v="608"/>
    <m/>
    <m/>
    <n v="2803"/>
    <x v="7"/>
    <n v="2803"/>
    <n v="0"/>
    <m/>
    <m/>
    <m/>
    <m/>
    <n v="95"/>
    <n v="127"/>
    <n v="155"/>
    <n v="197"/>
    <m/>
    <m/>
    <m/>
    <m/>
    <n v="77"/>
    <n v="87"/>
    <n v="83"/>
    <n v="61"/>
    <n v="12201"/>
    <n v="6555"/>
  </r>
  <r>
    <n v="2022"/>
    <n v="2022"/>
    <x v="0"/>
    <m/>
    <s v="wimH12ukPK5"/>
    <s v="Republic of Seychelles"/>
    <x v="16"/>
    <m/>
    <n v="22"/>
    <n v="35"/>
    <n v="22"/>
    <n v="35"/>
    <m/>
    <m/>
    <m/>
    <m/>
    <n v="555"/>
    <n v="68"/>
    <n v="555"/>
    <n v="68"/>
    <n v="0"/>
    <n v="0"/>
    <n v="0"/>
    <n v="0"/>
    <n v="142"/>
    <x v="11"/>
    <n v="142"/>
    <n v="3"/>
    <m/>
    <m/>
    <m/>
    <m/>
    <n v="19"/>
    <n v="25"/>
    <m/>
    <m/>
    <m/>
    <m/>
    <m/>
    <m/>
    <n v="7"/>
    <n v="9"/>
    <n v="4"/>
    <n v="8"/>
    <m/>
    <m/>
  </r>
  <r>
    <n v="2022"/>
    <n v="2022"/>
    <x v="0"/>
    <m/>
    <s v="shRXArPWh8H"/>
    <s v="Republic of the Congo"/>
    <x v="17"/>
    <m/>
    <n v="637"/>
    <n v="405"/>
    <n v="470"/>
    <n v="317"/>
    <n v="116"/>
    <n v="53"/>
    <m/>
    <m/>
    <n v="1278"/>
    <n v="4295"/>
    <n v="1278"/>
    <n v="4295"/>
    <m/>
    <m/>
    <m/>
    <m/>
    <n v="895"/>
    <x v="12"/>
    <n v="895"/>
    <n v="12"/>
    <m/>
    <m/>
    <m/>
    <m/>
    <n v="7"/>
    <n v="2"/>
    <n v="17"/>
    <n v="11"/>
    <m/>
    <m/>
    <m/>
    <m/>
    <n v="19"/>
    <n v="12"/>
    <n v="12"/>
    <n v="12"/>
    <m/>
    <m/>
  </r>
  <r>
    <n v="2022"/>
    <n v="2022"/>
    <x v="0"/>
    <m/>
    <s v="SnYHrnchKjL"/>
    <s v="Republic of Uganda"/>
    <x v="18"/>
    <m/>
    <n v="2271"/>
    <n v="5696"/>
    <n v="1811"/>
    <n v="4557"/>
    <n v="115"/>
    <n v="223"/>
    <m/>
    <m/>
    <n v="49976"/>
    <n v="24226"/>
    <m/>
    <m/>
    <n v="15148"/>
    <n v="6277"/>
    <n v="34828"/>
    <n v="17949"/>
    <n v="110270"/>
    <x v="13"/>
    <m/>
    <m/>
    <n v="86011"/>
    <n v="87"/>
    <n v="24259"/>
    <n v="0"/>
    <m/>
    <m/>
    <n v="526"/>
    <n v="1186"/>
    <m/>
    <m/>
    <m/>
    <m/>
    <n v="92"/>
    <n v="223"/>
    <n v="80"/>
    <n v="198"/>
    <m/>
    <m/>
  </r>
  <r>
    <n v="2022"/>
    <n v="2022"/>
    <x v="0"/>
    <m/>
    <s v="gb7vWtO7Wjp"/>
    <s v="Republic of Zambia"/>
    <x v="19"/>
    <m/>
    <n v="1824"/>
    <n v="3418"/>
    <n v="1695"/>
    <n v="3013"/>
    <n v="14"/>
    <n v="87"/>
    <n v="0"/>
    <n v="0"/>
    <n v="27138"/>
    <n v="6641"/>
    <n v="27138"/>
    <n v="6641"/>
    <n v="0"/>
    <n v="0"/>
    <n v="0"/>
    <n v="0"/>
    <n v="7881"/>
    <x v="14"/>
    <n v="7881"/>
    <n v="1327"/>
    <m/>
    <m/>
    <m/>
    <m/>
    <n v="109"/>
    <n v="152"/>
    <n v="331"/>
    <n v="308"/>
    <m/>
    <m/>
    <m/>
    <m/>
    <n v="31"/>
    <n v="54"/>
    <n v="25"/>
    <n v="36"/>
    <n v="1129"/>
    <n v="1292"/>
  </r>
  <r>
    <n v="2022"/>
    <n v="2022"/>
    <x v="0"/>
    <m/>
    <s v="buSEeeViTo3"/>
    <s v="Republic of Zimbabwe"/>
    <x v="20"/>
    <m/>
    <n v="663"/>
    <n v="2045"/>
    <n v="467"/>
    <n v="1565"/>
    <n v="28"/>
    <n v="65"/>
    <m/>
    <m/>
    <n v="24458"/>
    <n v="7724"/>
    <n v="24458"/>
    <n v="7724"/>
    <m/>
    <m/>
    <m/>
    <m/>
    <n v="2600"/>
    <x v="15"/>
    <n v="2600"/>
    <n v="196"/>
    <m/>
    <m/>
    <m/>
    <m/>
    <n v="784"/>
    <n v="1919"/>
    <n v="837"/>
    <n v="1065"/>
    <m/>
    <m/>
    <m/>
    <m/>
    <n v="41"/>
    <n v="100"/>
    <n v="16"/>
    <n v="39"/>
    <n v="14989"/>
    <n v="4733"/>
  </r>
  <r>
    <n v="2022"/>
    <n v="2022"/>
    <x v="0"/>
    <m/>
    <s v="vnbnnSZXGTv"/>
    <s v="State of Eritrea"/>
    <x v="21"/>
    <m/>
    <n v="70"/>
    <n v="190"/>
    <n v="70"/>
    <n v="190"/>
    <n v="0"/>
    <n v="19"/>
    <m/>
    <m/>
    <n v="3053"/>
    <n v="1925"/>
    <n v="721"/>
    <n v="697"/>
    <n v="2273"/>
    <n v="1099"/>
    <n v="59"/>
    <n v="129"/>
    <n v="20"/>
    <x v="16"/>
    <n v="20"/>
    <n v="47"/>
    <m/>
    <m/>
    <m/>
    <m/>
    <n v="23"/>
    <n v="35"/>
    <n v="78"/>
    <n v="121"/>
    <m/>
    <m/>
    <m/>
    <m/>
    <n v="2"/>
    <n v="8"/>
    <n v="2"/>
    <n v="8"/>
    <n v="1915"/>
    <n v="711"/>
  </r>
  <r>
    <n v="2022"/>
    <n v="2022"/>
    <x v="0"/>
    <m/>
    <s v="WtcZBCTspgM"/>
    <s v="Togolese Republic"/>
    <x v="22"/>
    <m/>
    <n v="136"/>
    <n v="594"/>
    <n v="59"/>
    <n v="272"/>
    <m/>
    <m/>
    <m/>
    <m/>
    <n v="623"/>
    <n v="2007"/>
    <n v="367"/>
    <n v="1332"/>
    <n v="256"/>
    <n v="675"/>
    <m/>
    <m/>
    <n v="1864"/>
    <x v="7"/>
    <n v="1043"/>
    <n v="0"/>
    <n v="821"/>
    <n v="0"/>
    <m/>
    <m/>
    <n v="5"/>
    <n v="13"/>
    <n v="126"/>
    <n v="129"/>
    <m/>
    <m/>
    <m/>
    <m/>
    <n v="10"/>
    <n v="33"/>
    <n v="15"/>
    <n v="22"/>
    <m/>
    <m/>
  </r>
  <r>
    <n v="2021"/>
    <n v="2021"/>
    <x v="1"/>
    <m/>
    <s v="hmZE3mVAZFf"/>
    <s v="Burkina Faso"/>
    <x v="0"/>
    <m/>
    <n v="781"/>
    <n v="1440"/>
    <n v="481"/>
    <n v="739"/>
    <m/>
    <m/>
    <m/>
    <m/>
    <n v="4719"/>
    <n v="7470"/>
    <n v="3988"/>
    <n v="6715"/>
    <n v="731"/>
    <n v="755"/>
    <m/>
    <m/>
    <n v="4313"/>
    <x v="17"/>
    <n v="3947"/>
    <n v="1039"/>
    <n v="366"/>
    <n v="0"/>
    <m/>
    <m/>
    <n v="32"/>
    <n v="75"/>
    <n v="134"/>
    <n v="191"/>
    <m/>
    <m/>
    <m/>
    <m/>
    <n v="40"/>
    <n v="86"/>
    <n v="54"/>
    <n v="51"/>
    <n v="1533"/>
    <n v="1414"/>
  </r>
  <r>
    <n v="2021"/>
    <n v="2021"/>
    <x v="1"/>
    <m/>
    <s v="zEYrsiNUGIo"/>
    <s v="Federal Democratic Republic of Ethiopia"/>
    <x v="1"/>
    <m/>
    <n v="2602"/>
    <n v="9572"/>
    <n v="2067"/>
    <n v="7294"/>
    <m/>
    <m/>
    <m/>
    <m/>
    <n v="32043"/>
    <n v="37781"/>
    <n v="32043"/>
    <n v="37781"/>
    <m/>
    <m/>
    <m/>
    <m/>
    <n v="13337"/>
    <x v="18"/>
    <n v="13337"/>
    <n v="7018"/>
    <m/>
    <m/>
    <m/>
    <m/>
    <n v="41"/>
    <n v="69"/>
    <n v="5767"/>
    <n v="9731"/>
    <m/>
    <m/>
    <m/>
    <m/>
    <m/>
    <m/>
    <m/>
    <m/>
    <n v="41668"/>
    <n v="962"/>
  </r>
  <r>
    <n v="2021"/>
    <n v="2021"/>
    <x v="1"/>
    <m/>
    <s v="DzAOqCf0ots"/>
    <s v="Republic of Benin"/>
    <x v="23"/>
    <m/>
    <n v="856"/>
    <n v="1899"/>
    <n v="521"/>
    <n v="1276"/>
    <m/>
    <m/>
    <m/>
    <m/>
    <n v="3291"/>
    <n v="2193"/>
    <n v="3291"/>
    <n v="2193"/>
    <m/>
    <m/>
    <m/>
    <m/>
    <n v="2086"/>
    <x v="7"/>
    <n v="2086"/>
    <n v="0"/>
    <m/>
    <m/>
    <m/>
    <m/>
    <n v="26"/>
    <n v="24"/>
    <n v="161"/>
    <n v="242"/>
    <m/>
    <m/>
    <m/>
    <m/>
    <n v="62"/>
    <n v="95"/>
    <n v="39"/>
    <n v="58"/>
    <n v="14"/>
    <n v="7"/>
  </r>
  <r>
    <n v="2021"/>
    <n v="2021"/>
    <x v="1"/>
    <m/>
    <s v="c82mDnhUQly"/>
    <s v="Republic of Botswana"/>
    <x v="5"/>
    <m/>
    <n v="411"/>
    <n v="603"/>
    <n v="374"/>
    <n v="526"/>
    <m/>
    <m/>
    <m/>
    <m/>
    <n v="5466"/>
    <n v="2420"/>
    <n v="5466"/>
    <n v="2420"/>
    <m/>
    <m/>
    <m/>
    <m/>
    <m/>
    <x v="2"/>
    <m/>
    <m/>
    <m/>
    <m/>
    <m/>
    <m/>
    <n v="49"/>
    <n v="40"/>
    <n v="90"/>
    <n v="68"/>
    <m/>
    <m/>
    <m/>
    <m/>
    <m/>
    <m/>
    <m/>
    <m/>
    <m/>
    <m/>
  </r>
  <r>
    <n v="2021"/>
    <n v="2021"/>
    <x v="1"/>
    <m/>
    <s v="VPesUmegQpP"/>
    <s v="Republic of Cameroon"/>
    <x v="7"/>
    <m/>
    <n v="1594"/>
    <n v="1784"/>
    <n v="1180"/>
    <n v="1297"/>
    <n v="222"/>
    <n v="264"/>
    <n v="1"/>
    <n v="3"/>
    <n v="2690"/>
    <n v="1853"/>
    <n v="2117"/>
    <n v="1402"/>
    <n v="32"/>
    <n v="11"/>
    <n v="541"/>
    <n v="440"/>
    <n v="626"/>
    <x v="19"/>
    <n v="626"/>
    <n v="78"/>
    <m/>
    <m/>
    <m/>
    <m/>
    <n v="80"/>
    <n v="53"/>
    <n v="149"/>
    <n v="115"/>
    <n v="77"/>
    <n v="54"/>
    <n v="25"/>
    <n v="12"/>
    <n v="57"/>
    <n v="68"/>
    <n v="44"/>
    <n v="15"/>
    <m/>
    <m/>
  </r>
  <r>
    <n v="2021"/>
    <n v="2021"/>
    <x v="1"/>
    <m/>
    <s v="tV0rWhHr9cj"/>
    <s v="Republic of Chad"/>
    <x v="8"/>
    <m/>
    <n v="132"/>
    <n v="653"/>
    <n v="132"/>
    <n v="653"/>
    <n v="4"/>
    <n v="170"/>
    <m/>
    <m/>
    <n v="540"/>
    <n v="997"/>
    <n v="540"/>
    <n v="997"/>
    <m/>
    <m/>
    <m/>
    <m/>
    <n v="678"/>
    <x v="9"/>
    <n v="580"/>
    <n v="37"/>
    <n v="98"/>
    <n v="6"/>
    <m/>
    <m/>
    <n v="5"/>
    <n v="14"/>
    <n v="31"/>
    <n v="111"/>
    <m/>
    <m/>
    <m/>
    <m/>
    <n v="16"/>
    <n v="40"/>
    <n v="3"/>
    <n v="14"/>
    <m/>
    <m/>
  </r>
  <r>
    <n v="2021"/>
    <n v="2021"/>
    <x v="1"/>
    <m/>
    <s v="WC5rU5fLMzY"/>
    <s v="Republic of Ghana"/>
    <x v="10"/>
    <m/>
    <n v="1552"/>
    <n v="2617"/>
    <n v="1181"/>
    <n v="1853"/>
    <m/>
    <m/>
    <m/>
    <m/>
    <n v="66802"/>
    <n v="26342"/>
    <n v="26580"/>
    <n v="14728"/>
    <n v="40222"/>
    <n v="11614"/>
    <m/>
    <m/>
    <n v="18862"/>
    <x v="20"/>
    <n v="18862"/>
    <n v="279"/>
    <m/>
    <m/>
    <m/>
    <m/>
    <m/>
    <m/>
    <n v="435"/>
    <n v="600"/>
    <m/>
    <m/>
    <m/>
    <m/>
    <m/>
    <m/>
    <m/>
    <m/>
    <m/>
    <m/>
  </r>
  <r>
    <n v="2021"/>
    <n v="2021"/>
    <x v="1"/>
    <m/>
    <s v="G9o5ad4oJJX"/>
    <s v="Republic of Guinea-Bissau"/>
    <x v="11"/>
    <m/>
    <n v="157"/>
    <n v="296"/>
    <n v="156"/>
    <n v="288"/>
    <n v="0"/>
    <n v="0"/>
    <n v="0"/>
    <n v="0"/>
    <n v="1281"/>
    <n v="673"/>
    <n v="635"/>
    <n v="368"/>
    <n v="646"/>
    <n v="305"/>
    <n v="0"/>
    <n v="0"/>
    <n v="213"/>
    <x v="7"/>
    <n v="213"/>
    <n v="0"/>
    <n v="0"/>
    <n v="0"/>
    <n v="0"/>
    <n v="0"/>
    <m/>
    <m/>
    <n v="1"/>
    <n v="1"/>
    <n v="0"/>
    <n v="0"/>
    <n v="0"/>
    <n v="0"/>
    <n v="4"/>
    <n v="0"/>
    <n v="2"/>
    <n v="3"/>
    <m/>
    <m/>
  </r>
  <r>
    <n v="2021"/>
    <n v="2021"/>
    <x v="1"/>
    <m/>
    <s v="HfVjCurKxh2"/>
    <s v="Republic of Kenya"/>
    <x v="12"/>
    <m/>
    <n v="2140"/>
    <n v="3063"/>
    <n v="1372"/>
    <n v="1880"/>
    <n v="166"/>
    <n v="281"/>
    <m/>
    <m/>
    <n v="23514"/>
    <n v="11058"/>
    <n v="23514"/>
    <n v="11058"/>
    <m/>
    <m/>
    <m/>
    <m/>
    <m/>
    <x v="2"/>
    <m/>
    <m/>
    <m/>
    <m/>
    <m/>
    <m/>
    <n v="143"/>
    <n v="189"/>
    <m/>
    <m/>
    <m/>
    <m/>
    <m/>
    <m/>
    <n v="99"/>
    <n v="143"/>
    <n v="134"/>
    <n v="65"/>
    <m/>
    <m/>
  </r>
  <r>
    <n v="2021"/>
    <n v="2021"/>
    <x v="1"/>
    <m/>
    <s v="Gan3VYicAWe"/>
    <s v="Republic of Mozambique"/>
    <x v="14"/>
    <m/>
    <n v="1303"/>
    <n v="1442"/>
    <n v="945"/>
    <n v="951"/>
    <n v="245"/>
    <n v="236"/>
    <m/>
    <m/>
    <n v="5844"/>
    <n v="5122"/>
    <n v="1252"/>
    <n v="911"/>
    <n v="4592"/>
    <n v="4211"/>
    <m/>
    <m/>
    <n v="7281"/>
    <x v="7"/>
    <n v="42"/>
    <n v="0"/>
    <n v="7239"/>
    <n v="0"/>
    <m/>
    <m/>
    <n v="214"/>
    <n v="148"/>
    <n v="210"/>
    <n v="251"/>
    <m/>
    <m/>
    <m/>
    <m/>
    <n v="15"/>
    <n v="48"/>
    <n v="38"/>
    <n v="23"/>
    <m/>
    <m/>
  </r>
  <r>
    <n v="2021"/>
    <n v="2021"/>
    <x v="1"/>
    <m/>
    <s v="wj7iV08dvFq"/>
    <s v="Republic of Senegal"/>
    <x v="15"/>
    <m/>
    <n v="618"/>
    <n v="1080"/>
    <n v="150"/>
    <n v="328"/>
    <n v="312"/>
    <n v="498"/>
    <m/>
    <m/>
    <n v="4383"/>
    <n v="2094"/>
    <n v="1531"/>
    <n v="992"/>
    <n v="1501"/>
    <n v="672"/>
    <n v="1351"/>
    <n v="430"/>
    <n v="2739"/>
    <x v="7"/>
    <n v="2710"/>
    <n v="0"/>
    <n v="29"/>
    <n v="0"/>
    <m/>
    <m/>
    <n v="72"/>
    <n v="104"/>
    <n v="131"/>
    <n v="162"/>
    <m/>
    <m/>
    <n v="1056"/>
    <n v="532"/>
    <n v="59"/>
    <n v="74"/>
    <n v="43"/>
    <n v="67"/>
    <m/>
    <m/>
  </r>
  <r>
    <n v="2020"/>
    <n v="2020"/>
    <x v="2"/>
    <m/>
    <s v="hmZE3mVAZFf"/>
    <s v="Burkina Faso"/>
    <x v="0"/>
    <m/>
    <n v="719"/>
    <n v="1352"/>
    <n v="426"/>
    <n v="662"/>
    <m/>
    <m/>
    <m/>
    <m/>
    <n v="2307"/>
    <n v="3443"/>
    <n v="1522"/>
    <n v="2582"/>
    <n v="785"/>
    <n v="861"/>
    <m/>
    <m/>
    <n v="6786"/>
    <x v="21"/>
    <n v="3809"/>
    <n v="1019"/>
    <n v="2977"/>
    <n v="0"/>
    <m/>
    <m/>
    <n v="31"/>
    <n v="72"/>
    <m/>
    <m/>
    <m/>
    <m/>
    <m/>
    <m/>
    <n v="38"/>
    <n v="88"/>
    <n v="53"/>
    <n v="48"/>
    <n v="1496"/>
    <n v="1427"/>
  </r>
  <r>
    <n v="2020"/>
    <n v="2020"/>
    <x v="2"/>
    <m/>
    <s v="zEYrsiNUGIo"/>
    <s v="Federal Democratic Republic of Ethiopia"/>
    <x v="1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n v="39875"/>
    <n v="0"/>
  </r>
  <r>
    <n v="2020"/>
    <n v="2020"/>
    <x v="2"/>
    <m/>
    <s v="EGLpIMSAWhx"/>
    <s v="Gabonese Republic"/>
    <x v="3"/>
    <m/>
    <n v="591"/>
    <n v="771"/>
    <n v="237"/>
    <n v="289"/>
    <n v="49"/>
    <n v="65"/>
    <n v="1"/>
    <n v="0"/>
    <n v="3614"/>
    <n v="1813"/>
    <n v="3239"/>
    <n v="1551"/>
    <n v="373"/>
    <n v="262"/>
    <n v="2"/>
    <n v="0"/>
    <n v="662"/>
    <x v="7"/>
    <n v="662"/>
    <n v="0"/>
    <n v="0"/>
    <n v="0"/>
    <n v="0"/>
    <n v="0"/>
    <n v="15"/>
    <n v="19"/>
    <n v="74"/>
    <n v="65"/>
    <n v="117"/>
    <n v="73"/>
    <n v="1"/>
    <n v="0"/>
    <n v="24"/>
    <n v="58"/>
    <n v="40"/>
    <n v="27"/>
    <n v="82"/>
    <n v="28"/>
  </r>
  <r>
    <n v="2020"/>
    <n v="2020"/>
    <x v="2"/>
    <m/>
    <s v="G3thRWUQAX9"/>
    <s v="Kingdom of Eswatini"/>
    <x v="4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n v="5319"/>
    <n v="67"/>
  </r>
  <r>
    <n v="2020"/>
    <n v="2020"/>
    <x v="2"/>
    <m/>
    <s v="c82mDnhUQly"/>
    <s v="Republic of Botswana"/>
    <x v="5"/>
    <m/>
    <n v="380"/>
    <n v="644"/>
    <n v="350"/>
    <n v="552"/>
    <m/>
    <m/>
    <m/>
    <m/>
    <n v="5378"/>
    <n v="2393"/>
    <n v="5378"/>
    <n v="2393"/>
    <m/>
    <m/>
    <m/>
    <m/>
    <m/>
    <x v="2"/>
    <m/>
    <m/>
    <m/>
    <m/>
    <m/>
    <m/>
    <n v="48"/>
    <n v="41"/>
    <n v="82"/>
    <n v="63"/>
    <m/>
    <m/>
    <m/>
    <m/>
    <m/>
    <m/>
    <m/>
    <m/>
    <m/>
    <m/>
  </r>
  <r>
    <n v="2020"/>
    <n v="2020"/>
    <x v="2"/>
    <m/>
    <s v="Xz7rnovuiOx"/>
    <s v="Republic of Burundi"/>
    <x v="24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n v="5923"/>
    <n v="5922"/>
  </r>
  <r>
    <n v="2020"/>
    <n v="2020"/>
    <x v="2"/>
    <m/>
    <s v="VPesUmegQpP"/>
    <s v="Republic of Cameroon"/>
    <x v="7"/>
    <m/>
    <n v="2328"/>
    <n v="2797"/>
    <n v="751"/>
    <n v="892"/>
    <n v="11"/>
    <n v="5"/>
    <n v="1164"/>
    <n v="1399"/>
    <n v="7470"/>
    <n v="4008"/>
    <n v="5963"/>
    <n v="2878"/>
    <n v="686"/>
    <n v="516"/>
    <n v="821"/>
    <n v="614"/>
    <n v="1059"/>
    <x v="22"/>
    <n v="879"/>
    <n v="119"/>
    <n v="161"/>
    <n v="78"/>
    <n v="19"/>
    <n v="2"/>
    <n v="105"/>
    <n v="86"/>
    <n v="198"/>
    <n v="139"/>
    <n v="207"/>
    <n v="83"/>
    <n v="158"/>
    <n v="32"/>
    <n v="58"/>
    <n v="56"/>
    <n v="33"/>
    <n v="12"/>
    <n v="102"/>
    <n v="52"/>
  </r>
  <r>
    <n v="2020"/>
    <n v="2020"/>
    <x v="2"/>
    <m/>
    <s v="tV0rWhHr9cj"/>
    <s v="Republic of Chad"/>
    <x v="8"/>
    <m/>
    <n v="132"/>
    <n v="652"/>
    <n v="132"/>
    <n v="652"/>
    <m/>
    <m/>
    <m/>
    <m/>
    <n v="881"/>
    <n v="1742"/>
    <n v="409"/>
    <n v="1119"/>
    <n v="309"/>
    <n v="518"/>
    <n v="163"/>
    <n v="105"/>
    <n v="665"/>
    <x v="23"/>
    <n v="665"/>
    <n v="45"/>
    <m/>
    <m/>
    <m/>
    <m/>
    <m/>
    <m/>
    <m/>
    <m/>
    <m/>
    <m/>
    <m/>
    <m/>
    <n v="2"/>
    <n v="3"/>
    <n v="0"/>
    <n v="2"/>
    <n v="116"/>
    <n v="476"/>
  </r>
  <r>
    <n v="2020"/>
    <n v="2020"/>
    <x v="2"/>
    <m/>
    <s v="G9o5ad4oJJX"/>
    <s v="Republic of Guinea-Bissau"/>
    <x v="11"/>
    <m/>
    <n v="111"/>
    <n v="249"/>
    <n v="110"/>
    <n v="240"/>
    <m/>
    <m/>
    <m/>
    <m/>
    <n v="919"/>
    <n v="453"/>
    <n v="241"/>
    <n v="101"/>
    <n v="671"/>
    <n v="345"/>
    <n v="7"/>
    <n v="7"/>
    <n v="185"/>
    <x v="7"/>
    <n v="18"/>
    <n v="0"/>
    <n v="167"/>
    <n v="0"/>
    <m/>
    <m/>
    <n v="4"/>
    <n v="1"/>
    <n v="6"/>
    <n v="7"/>
    <n v="25"/>
    <n v="15"/>
    <m/>
    <m/>
    <n v="0"/>
    <n v="4"/>
    <n v="3"/>
    <n v="3"/>
    <n v="500"/>
    <n v="3211"/>
  </r>
  <r>
    <n v="2020"/>
    <n v="2020"/>
    <x v="2"/>
    <m/>
    <s v="HfVjCurKxh2"/>
    <s v="Republic of Kenya"/>
    <x v="12"/>
    <m/>
    <n v="1951"/>
    <n v="2580"/>
    <n v="1519"/>
    <n v="1906"/>
    <n v="101"/>
    <n v="166"/>
    <n v="0"/>
    <n v="0"/>
    <n v="25278"/>
    <n v="11084"/>
    <n v="25278"/>
    <n v="11084"/>
    <n v="0"/>
    <n v="0"/>
    <m/>
    <m/>
    <m/>
    <x v="2"/>
    <m/>
    <m/>
    <m/>
    <m/>
    <m/>
    <m/>
    <n v="184"/>
    <n v="210"/>
    <n v="448"/>
    <n v="612"/>
    <n v="0"/>
    <n v="0"/>
    <m/>
    <m/>
    <n v="91"/>
    <n v="126"/>
    <n v="106"/>
    <n v="37"/>
    <n v="1572"/>
    <n v="1299"/>
  </r>
  <r>
    <n v="2020"/>
    <n v="2020"/>
    <x v="2"/>
    <m/>
    <s v="JEHwU064LAj"/>
    <s v="Republic of Liberia"/>
    <x v="25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n v="5547"/>
    <n v="6811"/>
  </r>
  <r>
    <n v="2020"/>
    <n v="2020"/>
    <x v="2"/>
    <m/>
    <s v="bcy4159FETR"/>
    <s v="Republic of Madagascar"/>
    <x v="26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n v="29131"/>
    <n v="12485"/>
  </r>
  <r>
    <n v="2020"/>
    <n v="2020"/>
    <x v="2"/>
    <m/>
    <s v="G037PAPU5dO"/>
    <s v="Republic of Malawi"/>
    <x v="13"/>
    <m/>
    <n v="441"/>
    <n v="517"/>
    <n v="307"/>
    <n v="332"/>
    <n v="0"/>
    <n v="0"/>
    <n v="0"/>
    <n v="0"/>
    <n v="10719"/>
    <n v="3845"/>
    <n v="6451"/>
    <n v="1932"/>
    <n v="4191"/>
    <n v="1913"/>
    <n v="77"/>
    <n v="0"/>
    <n v="0"/>
    <x v="7"/>
    <n v="0"/>
    <n v="0"/>
    <n v="0"/>
    <n v="0"/>
    <n v="0"/>
    <n v="0"/>
    <n v="56"/>
    <n v="93"/>
    <n v="38"/>
    <n v="113"/>
    <n v="1168"/>
    <n v="311"/>
    <n v="2638"/>
    <n v="1720"/>
    <n v="28"/>
    <n v="24"/>
    <n v="14"/>
    <n v="16"/>
    <m/>
    <m/>
  </r>
  <r>
    <n v="2020"/>
    <n v="2020"/>
    <x v="2"/>
    <m/>
    <s v="EubjsxqlA4d"/>
    <s v="Republic of Mali"/>
    <x v="27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n v="991"/>
    <n v="2312"/>
  </r>
  <r>
    <n v="2020"/>
    <n v="2020"/>
    <x v="2"/>
    <m/>
    <s v="Gan3VYicAWe"/>
    <s v="Republic of Mozambique"/>
    <x v="14"/>
    <m/>
    <n v="1274"/>
    <n v="1384"/>
    <n v="881"/>
    <n v="859"/>
    <m/>
    <m/>
    <m/>
    <m/>
    <n v="4544"/>
    <n v="4287"/>
    <n v="3831"/>
    <n v="3384"/>
    <n v="713"/>
    <n v="903"/>
    <m/>
    <m/>
    <n v="6324"/>
    <x v="7"/>
    <n v="5049"/>
    <n v="0"/>
    <n v="1275"/>
    <n v="0"/>
    <m/>
    <m/>
    <n v="178"/>
    <n v="104"/>
    <n v="200"/>
    <n v="223"/>
    <m/>
    <m/>
    <m/>
    <m/>
    <n v="27"/>
    <n v="49"/>
    <n v="55"/>
    <n v="18"/>
    <m/>
    <m/>
  </r>
  <r>
    <n v="2020"/>
    <n v="2020"/>
    <x v="2"/>
    <m/>
    <s v="UlQiEogy3wG"/>
    <s v="Republic of Rwanda"/>
    <x v="28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n v="36882"/>
    <n v="21685"/>
  </r>
  <r>
    <n v="2020"/>
    <n v="2020"/>
    <x v="2"/>
    <m/>
    <s v="wj7iV08dvFq"/>
    <s v="Republic of Senegal"/>
    <x v="15"/>
    <m/>
    <n v="429"/>
    <n v="955"/>
    <n v="88"/>
    <n v="220"/>
    <m/>
    <m/>
    <m/>
    <m/>
    <n v="2286"/>
    <n v="1492"/>
    <n v="1910"/>
    <n v="1385"/>
    <n v="376"/>
    <n v="107"/>
    <m/>
    <m/>
    <n v="1969"/>
    <x v="7"/>
    <n v="1969"/>
    <n v="0"/>
    <m/>
    <m/>
    <m/>
    <m/>
    <m/>
    <m/>
    <m/>
    <m/>
    <m/>
    <m/>
    <m/>
    <m/>
    <n v="54"/>
    <n v="52"/>
    <n v="54"/>
    <n v="41"/>
    <m/>
    <m/>
  </r>
  <r>
    <n v="2020"/>
    <n v="2020"/>
    <x v="2"/>
    <m/>
    <s v="qbqrFLCJewu"/>
    <s v="Republic of Sierra Leone"/>
    <x v="29"/>
    <m/>
    <n v="44"/>
    <n v="532"/>
    <n v="28"/>
    <n v="487"/>
    <m/>
    <m/>
    <m/>
    <m/>
    <n v="882"/>
    <n v="158"/>
    <n v="882"/>
    <n v="158"/>
    <m/>
    <m/>
    <m/>
    <m/>
    <n v="611"/>
    <x v="24"/>
    <n v="522"/>
    <n v="8"/>
    <n v="89"/>
    <n v="20"/>
    <m/>
    <m/>
    <n v="5"/>
    <n v="10"/>
    <n v="41"/>
    <n v="152"/>
    <m/>
    <m/>
    <m/>
    <m/>
    <m/>
    <m/>
    <m/>
    <m/>
    <n v="12380"/>
    <n v="1586"/>
  </r>
  <r>
    <n v="2020"/>
    <n v="2020"/>
    <x v="2"/>
    <m/>
    <s v="mhWSEv79IJW"/>
    <s v="Republic of South Sudan"/>
    <x v="30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n v="1828"/>
    <n v="4680"/>
  </r>
  <r>
    <n v="2020"/>
    <n v="2020"/>
    <x v="2"/>
    <m/>
    <s v="O0hWoXlHhIS"/>
    <s v="Republic of the Niger"/>
    <x v="31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n v="8786"/>
    <n v="12643"/>
  </r>
  <r>
    <n v="2020"/>
    <n v="2020"/>
    <x v="2"/>
    <m/>
    <s v="WtcZBCTspgM"/>
    <s v="Togolese Republic"/>
    <x v="22"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n v="1419"/>
    <n v="5967"/>
  </r>
  <r>
    <n v="2019"/>
    <n v="2019"/>
    <x v="3"/>
    <m/>
    <s v="hmZE3mVAZFf"/>
    <s v="Burkina Faso"/>
    <x v="0"/>
    <m/>
    <n v="644"/>
    <n v="1266"/>
    <n v="390"/>
    <n v="636"/>
    <n v="180"/>
    <n v="513"/>
    <m/>
    <m/>
    <n v="4276"/>
    <n v="7088"/>
    <n v="3339"/>
    <n v="6132"/>
    <n v="937"/>
    <n v="956"/>
    <m/>
    <m/>
    <n v="6471"/>
    <x v="25"/>
    <n v="3414"/>
    <n v="1006"/>
    <n v="3057"/>
    <n v="0"/>
    <m/>
    <m/>
    <n v="14"/>
    <n v="38"/>
    <n v="127"/>
    <n v="186"/>
    <n v="0"/>
    <n v="0"/>
    <n v="0"/>
    <n v="0"/>
    <n v="28"/>
    <n v="78"/>
    <n v="46"/>
    <n v="44"/>
    <n v="1501"/>
    <n v="1478"/>
  </r>
  <r>
    <n v="2019"/>
    <n v="2019"/>
    <x v="3"/>
    <m/>
    <s v="EGLpIMSAWhx"/>
    <s v="Gabonese Republic"/>
    <x v="3"/>
    <m/>
    <n v="573"/>
    <n v="795"/>
    <n v="231"/>
    <n v="285"/>
    <n v="49"/>
    <n v="64"/>
    <n v="1"/>
    <n v="0"/>
    <n v="3361"/>
    <n v="1350"/>
    <n v="2367"/>
    <n v="934"/>
    <n v="992"/>
    <n v="416"/>
    <n v="2"/>
    <n v="0"/>
    <n v="607"/>
    <x v="7"/>
    <n v="607"/>
    <n v="0"/>
    <n v="0"/>
    <n v="0"/>
    <n v="0"/>
    <n v="0"/>
    <n v="15"/>
    <n v="19"/>
    <n v="76"/>
    <n v="64"/>
    <n v="323"/>
    <n v="423"/>
    <n v="8"/>
    <n v="3"/>
    <n v="25"/>
    <n v="54"/>
    <n v="39"/>
    <n v="30"/>
    <n v="87"/>
    <n v="30"/>
  </r>
  <r>
    <n v="2019"/>
    <n v="2019"/>
    <x v="3"/>
    <m/>
    <s v="c82mDnhUQly"/>
    <s v="Republic of Botswana"/>
    <x v="5"/>
    <m/>
    <n v="335"/>
    <n v="585"/>
    <n v="308"/>
    <n v="505"/>
    <m/>
    <m/>
    <m/>
    <m/>
    <n v="5409"/>
    <n v="2354"/>
    <n v="5409"/>
    <n v="2354"/>
    <m/>
    <m/>
    <m/>
    <m/>
    <m/>
    <x v="2"/>
    <m/>
    <m/>
    <m/>
    <m/>
    <m/>
    <m/>
    <n v="48"/>
    <n v="40"/>
    <n v="76"/>
    <n v="62"/>
    <m/>
    <m/>
    <m/>
    <m/>
    <m/>
    <m/>
    <m/>
    <m/>
    <m/>
    <m/>
  </r>
  <r>
    <n v="2019"/>
    <n v="2019"/>
    <x v="3"/>
    <m/>
    <s v="Xz7rnovuiOx"/>
    <s v="Republic of Burundi"/>
    <x v="24"/>
    <m/>
    <n v="157"/>
    <n v="472"/>
    <n v="157"/>
    <n v="472"/>
    <m/>
    <m/>
    <m/>
    <m/>
    <n v="4498"/>
    <n v="3020"/>
    <n v="4498"/>
    <n v="3020"/>
    <m/>
    <m/>
    <m/>
    <m/>
    <n v="55"/>
    <x v="26"/>
    <n v="55"/>
    <n v="69"/>
    <m/>
    <m/>
    <m/>
    <m/>
    <m/>
    <m/>
    <m/>
    <m/>
    <m/>
    <m/>
    <m/>
    <m/>
    <m/>
    <m/>
    <m/>
    <m/>
    <m/>
    <m/>
  </r>
  <r>
    <n v="2019"/>
    <n v="2019"/>
    <x v="3"/>
    <m/>
    <s v="tV0rWhHr9cj"/>
    <s v="Republic of Chad"/>
    <x v="8"/>
    <m/>
    <n v="103"/>
    <n v="539"/>
    <n v="103"/>
    <n v="539"/>
    <m/>
    <m/>
    <m/>
    <m/>
    <n v="313"/>
    <n v="926"/>
    <n v="313"/>
    <n v="926"/>
    <m/>
    <m/>
    <m/>
    <m/>
    <n v="556"/>
    <x v="27"/>
    <m/>
    <m/>
    <m/>
    <m/>
    <n v="556"/>
    <n v="33"/>
    <m/>
    <m/>
    <m/>
    <m/>
    <m/>
    <m/>
    <m/>
    <m/>
    <m/>
    <m/>
    <m/>
    <m/>
    <n v="3"/>
    <n v="9"/>
  </r>
  <r>
    <n v="2019"/>
    <n v="2019"/>
    <x v="3"/>
    <m/>
    <s v="WC5rU5fLMzY"/>
    <s v="Republic of Ghana"/>
    <x v="10"/>
    <m/>
    <n v="1157"/>
    <n v="2079"/>
    <n v="827"/>
    <n v="1354"/>
    <m/>
    <m/>
    <m/>
    <m/>
    <n v="50923"/>
    <n v="18866"/>
    <n v="16753"/>
    <n v="9206"/>
    <n v="34170"/>
    <n v="9660"/>
    <m/>
    <m/>
    <n v="12451"/>
    <x v="28"/>
    <n v="12451"/>
    <n v="222"/>
    <m/>
    <m/>
    <m/>
    <m/>
    <m/>
    <m/>
    <m/>
    <m/>
    <m/>
    <m/>
    <m/>
    <m/>
    <m/>
    <m/>
    <m/>
    <m/>
    <m/>
    <m/>
  </r>
  <r>
    <n v="2019"/>
    <n v="2019"/>
    <x v="3"/>
    <m/>
    <s v="Gan3VYicAWe"/>
    <s v="Republic of Mozambique"/>
    <x v="14"/>
    <m/>
    <n v="1231"/>
    <n v="1339"/>
    <n v="877"/>
    <n v="838"/>
    <m/>
    <m/>
    <m/>
    <m/>
    <n v="4088"/>
    <n v="4091"/>
    <n v="3953"/>
    <n v="3849"/>
    <n v="135"/>
    <n v="242"/>
    <m/>
    <m/>
    <n v="6175"/>
    <x v="7"/>
    <n v="5889"/>
    <n v="0"/>
    <n v="286"/>
    <n v="0"/>
    <m/>
    <m/>
    <n v="183"/>
    <n v="105"/>
    <n v="181"/>
    <n v="204"/>
    <m/>
    <m/>
    <m/>
    <m/>
    <n v="29"/>
    <n v="47"/>
    <n v="46"/>
    <n v="20"/>
    <n v="2290"/>
    <n v="4342"/>
  </r>
  <r>
    <n v="2019"/>
    <n v="2019"/>
    <x v="3"/>
    <m/>
    <s v="wj7iV08dvFq"/>
    <s v="Republic of Senegal"/>
    <x v="15"/>
    <m/>
    <n v="96"/>
    <n v="257"/>
    <n v="96"/>
    <n v="257"/>
    <m/>
    <m/>
    <m/>
    <m/>
    <n v="2528"/>
    <n v="1587"/>
    <n v="1080"/>
    <n v="883"/>
    <n v="1448"/>
    <n v="704"/>
    <m/>
    <m/>
    <n v="2615"/>
    <x v="29"/>
    <n v="2170"/>
    <n v="18"/>
    <n v="445"/>
    <n v="9"/>
    <m/>
    <m/>
    <m/>
    <m/>
    <m/>
    <m/>
    <m/>
    <m/>
    <m/>
    <m/>
    <n v="56"/>
    <n v="60"/>
    <n v="69"/>
    <n v="59"/>
    <n v="486"/>
    <n v="639"/>
  </r>
  <r>
    <n v="2018"/>
    <n v="2018"/>
    <x v="4"/>
    <m/>
    <s v="FNduj2N3e8s"/>
    <s v="Democratic Republic of Sao Tome and Principe"/>
    <x v="32"/>
    <m/>
    <m/>
    <m/>
    <m/>
    <m/>
    <m/>
    <m/>
    <m/>
    <m/>
    <n v="296"/>
    <n v="110"/>
    <m/>
    <m/>
    <m/>
    <m/>
    <n v="296"/>
    <n v="110"/>
    <m/>
    <x v="2"/>
    <m/>
    <m/>
    <m/>
    <m/>
    <m/>
    <m/>
    <m/>
    <m/>
    <m/>
    <m/>
    <m/>
    <m/>
    <m/>
    <m/>
    <m/>
    <m/>
    <m/>
    <m/>
    <m/>
    <m/>
  </r>
  <r>
    <n v="2018"/>
    <n v="2018"/>
    <x v="4"/>
    <m/>
    <s v="EDHO4qOyY88"/>
    <s v="Democratic Republic of the Congo"/>
    <x v="33"/>
    <m/>
    <m/>
    <m/>
    <m/>
    <m/>
    <m/>
    <m/>
    <m/>
    <m/>
    <n v="17062"/>
    <n v="34316"/>
    <n v="12553"/>
    <n v="24427"/>
    <n v="4509"/>
    <n v="9889"/>
    <m/>
    <m/>
    <m/>
    <x v="2"/>
    <m/>
    <m/>
    <m/>
    <m/>
    <m/>
    <m/>
    <m/>
    <m/>
    <m/>
    <m/>
    <m/>
    <m/>
    <m/>
    <m/>
    <m/>
    <m/>
    <m/>
    <m/>
    <m/>
    <m/>
  </r>
  <r>
    <n v="2018"/>
    <n v="2018"/>
    <x v="4"/>
    <m/>
    <s v="I3NxIqG7bD4"/>
    <s v="Federal Republic of Nigeria"/>
    <x v="2"/>
    <m/>
    <n v="28790"/>
    <n v="15231"/>
    <n v="28790"/>
    <n v="15231"/>
    <m/>
    <m/>
    <m/>
    <m/>
    <n v="108655"/>
    <n v="15906"/>
    <n v="108655"/>
    <n v="15906"/>
    <m/>
    <m/>
    <m/>
    <m/>
    <m/>
    <x v="2"/>
    <m/>
    <m/>
    <m/>
    <m/>
    <m/>
    <m/>
    <m/>
    <m/>
    <m/>
    <m/>
    <m/>
    <m/>
    <m/>
    <m/>
    <m/>
    <m/>
    <m/>
    <m/>
    <m/>
    <m/>
  </r>
  <r>
    <n v="2018"/>
    <n v="2018"/>
    <x v="4"/>
    <m/>
    <s v="G3thRWUQAX9"/>
    <s v="Kingdom of Eswatini"/>
    <x v="4"/>
    <m/>
    <m/>
    <m/>
    <m/>
    <m/>
    <m/>
    <m/>
    <m/>
    <m/>
    <n v="3600"/>
    <n v="1106"/>
    <n v="2738"/>
    <n v="939"/>
    <n v="862"/>
    <n v="167"/>
    <m/>
    <m/>
    <m/>
    <x v="2"/>
    <m/>
    <m/>
    <m/>
    <m/>
    <m/>
    <m/>
    <m/>
    <m/>
    <m/>
    <m/>
    <m/>
    <m/>
    <m/>
    <m/>
    <m/>
    <m/>
    <m/>
    <m/>
    <m/>
    <m/>
  </r>
  <r>
    <n v="2018"/>
    <n v="2018"/>
    <x v="4"/>
    <m/>
    <s v="mNa42CHbkO7"/>
    <s v="People's Democratic Republic of Algeria"/>
    <x v="34"/>
    <m/>
    <n v="43970"/>
    <n v="28634"/>
    <n v="20406"/>
    <n v="12368"/>
    <n v="12843"/>
    <n v="6972"/>
    <m/>
    <m/>
    <n v="34643"/>
    <n v="21768"/>
    <n v="29831"/>
    <n v="15342"/>
    <n v="4812"/>
    <n v="6426"/>
    <m/>
    <m/>
    <n v="8903"/>
    <x v="23"/>
    <n v="8701"/>
    <n v="38"/>
    <n v="202"/>
    <n v="7"/>
    <m/>
    <m/>
    <n v="9405"/>
    <n v="6032"/>
    <n v="10953"/>
    <n v="7854"/>
    <m/>
    <m/>
    <m/>
    <m/>
    <n v="2360"/>
    <n v="754"/>
    <n v="2016"/>
    <n v="944"/>
    <m/>
    <m/>
  </r>
  <r>
    <n v="2018"/>
    <n v="2018"/>
    <x v="4"/>
    <m/>
    <s v="DzAOqCf0ots"/>
    <s v="Republic of Benin"/>
    <x v="23"/>
    <m/>
    <n v="378"/>
    <n v="530"/>
    <n v="98"/>
    <n v="248"/>
    <n v="4"/>
    <n v="9"/>
    <m/>
    <m/>
    <n v="1066"/>
    <n v="2344"/>
    <n v="1066"/>
    <n v="2344"/>
    <m/>
    <m/>
    <m/>
    <m/>
    <n v="1055"/>
    <x v="7"/>
    <n v="1055"/>
    <n v="0"/>
    <m/>
    <m/>
    <m/>
    <m/>
    <n v="9"/>
    <n v="3"/>
    <n v="194"/>
    <n v="112"/>
    <m/>
    <m/>
    <m/>
    <m/>
    <n v="41"/>
    <n v="34"/>
    <n v="31"/>
    <n v="16"/>
    <m/>
    <m/>
  </r>
  <r>
    <n v="2018"/>
    <n v="2018"/>
    <x v="4"/>
    <m/>
    <s v="c82mDnhUQly"/>
    <s v="Republic of Botswana"/>
    <x v="5"/>
    <m/>
    <n v="312"/>
    <n v="613"/>
    <n v="286"/>
    <n v="521"/>
    <m/>
    <m/>
    <m/>
    <m/>
    <n v="5376"/>
    <n v="2269"/>
    <n v="5376"/>
    <n v="2269"/>
    <m/>
    <m/>
    <m/>
    <m/>
    <m/>
    <x v="2"/>
    <m/>
    <m/>
    <m/>
    <m/>
    <m/>
    <m/>
    <n v="52"/>
    <n v="44"/>
    <n v="90"/>
    <n v="66"/>
    <m/>
    <m/>
    <m/>
    <m/>
    <m/>
    <m/>
    <m/>
    <m/>
    <m/>
    <m/>
  </r>
  <r>
    <n v="2018"/>
    <n v="2018"/>
    <x v="4"/>
    <m/>
    <s v="bGWaeVBrOcc"/>
    <s v="Republic of Cabo Verde"/>
    <x v="6"/>
    <m/>
    <m/>
    <m/>
    <m/>
    <m/>
    <m/>
    <m/>
    <m/>
    <m/>
    <n v="506"/>
    <n v="141"/>
    <m/>
    <m/>
    <m/>
    <m/>
    <n v="506"/>
    <n v="141"/>
    <m/>
    <x v="2"/>
    <m/>
    <m/>
    <m/>
    <m/>
    <m/>
    <m/>
    <m/>
    <m/>
    <m/>
    <m/>
    <m/>
    <m/>
    <m/>
    <m/>
    <m/>
    <m/>
    <m/>
    <m/>
    <m/>
    <m/>
  </r>
  <r>
    <n v="2018"/>
    <n v="2018"/>
    <x v="4"/>
    <m/>
    <s v="WXGcnQWJ0Qd"/>
    <s v="Republic of Côte d'Ivoire"/>
    <x v="9"/>
    <m/>
    <m/>
    <m/>
    <m/>
    <m/>
    <m/>
    <m/>
    <m/>
    <m/>
    <n v="6956"/>
    <n v="8207"/>
    <n v="3919"/>
    <n v="7649"/>
    <n v="3037"/>
    <n v="558"/>
    <m/>
    <m/>
    <m/>
    <x v="2"/>
    <m/>
    <m/>
    <m/>
    <m/>
    <m/>
    <m/>
    <m/>
    <m/>
    <m/>
    <m/>
    <m/>
    <m/>
    <m/>
    <m/>
    <m/>
    <m/>
    <m/>
    <m/>
    <m/>
    <m/>
  </r>
  <r>
    <n v="2018"/>
    <n v="2018"/>
    <x v="4"/>
    <m/>
    <s v="WC5rU5fLMzY"/>
    <s v="Republic of Ghana"/>
    <x v="10"/>
    <m/>
    <m/>
    <m/>
    <m/>
    <m/>
    <m/>
    <m/>
    <m/>
    <m/>
    <n v="54990"/>
    <n v="16098"/>
    <n v="24168"/>
    <n v="7696"/>
    <n v="30822"/>
    <n v="8402"/>
    <m/>
    <m/>
    <m/>
    <x v="2"/>
    <m/>
    <m/>
    <m/>
    <m/>
    <m/>
    <m/>
    <m/>
    <m/>
    <m/>
    <m/>
    <m/>
    <m/>
    <m/>
    <m/>
    <m/>
    <m/>
    <m/>
    <m/>
    <m/>
    <m/>
  </r>
  <r>
    <n v="2018"/>
    <n v="2018"/>
    <x v="4"/>
    <m/>
    <s v="G9o5ad4oJJX"/>
    <s v="Republic of Guinea-Bissau"/>
    <x v="11"/>
    <m/>
    <m/>
    <m/>
    <m/>
    <m/>
    <m/>
    <m/>
    <m/>
    <m/>
    <n v="698"/>
    <n v="322"/>
    <n v="690"/>
    <n v="319"/>
    <n v="8"/>
    <n v="3"/>
    <m/>
    <m/>
    <m/>
    <x v="2"/>
    <m/>
    <m/>
    <m/>
    <m/>
    <m/>
    <m/>
    <m/>
    <m/>
    <m/>
    <m/>
    <m/>
    <m/>
    <m/>
    <m/>
    <m/>
    <m/>
    <m/>
    <m/>
    <m/>
    <m/>
  </r>
  <r>
    <n v="2018"/>
    <n v="2018"/>
    <x v="4"/>
    <m/>
    <s v="HfVjCurKxh2"/>
    <s v="Republic of Kenya"/>
    <x v="12"/>
    <m/>
    <m/>
    <m/>
    <m/>
    <m/>
    <m/>
    <m/>
    <m/>
    <m/>
    <n v="71833"/>
    <n v="22848"/>
    <n v="44071"/>
    <n v="14560"/>
    <n v="27762"/>
    <n v="8288"/>
    <m/>
    <m/>
    <m/>
    <x v="2"/>
    <m/>
    <m/>
    <m/>
    <m/>
    <m/>
    <m/>
    <m/>
    <m/>
    <m/>
    <m/>
    <m/>
    <m/>
    <m/>
    <m/>
    <m/>
    <m/>
    <m/>
    <m/>
    <m/>
    <m/>
  </r>
  <r>
    <n v="2018"/>
    <n v="2018"/>
    <x v="4"/>
    <m/>
    <s v="JEHwU064LAj"/>
    <s v="Republic of Liberia"/>
    <x v="25"/>
    <m/>
    <m/>
    <m/>
    <m/>
    <m/>
    <m/>
    <m/>
    <m/>
    <m/>
    <n v="1734"/>
    <n v="830"/>
    <m/>
    <m/>
    <m/>
    <m/>
    <n v="1734"/>
    <n v="830"/>
    <m/>
    <x v="2"/>
    <m/>
    <m/>
    <m/>
    <m/>
    <m/>
    <m/>
    <m/>
    <m/>
    <m/>
    <m/>
    <m/>
    <m/>
    <m/>
    <m/>
    <m/>
    <m/>
    <m/>
    <m/>
    <m/>
    <m/>
  </r>
  <r>
    <n v="2018"/>
    <n v="2018"/>
    <x v="4"/>
    <m/>
    <s v="bcy4159FETR"/>
    <s v="Republic of Madagascar"/>
    <x v="26"/>
    <m/>
    <m/>
    <m/>
    <m/>
    <m/>
    <m/>
    <m/>
    <m/>
    <m/>
    <n v="1423"/>
    <n v="2037"/>
    <n v="1423"/>
    <n v="2037"/>
    <m/>
    <m/>
    <m/>
    <m/>
    <n v="3994"/>
    <x v="7"/>
    <n v="3994"/>
    <n v="0"/>
    <m/>
    <m/>
    <m/>
    <m/>
    <m/>
    <m/>
    <m/>
    <m/>
    <m/>
    <m/>
    <m/>
    <m/>
    <m/>
    <m/>
    <m/>
    <m/>
    <m/>
    <m/>
  </r>
  <r>
    <n v="2018"/>
    <n v="2018"/>
    <x v="4"/>
    <m/>
    <s v="G037PAPU5dO"/>
    <s v="Republic of Malawi"/>
    <x v="13"/>
    <m/>
    <m/>
    <m/>
    <m/>
    <m/>
    <m/>
    <m/>
    <m/>
    <m/>
    <n v="6154"/>
    <n v="1886"/>
    <n v="1484"/>
    <n v="437"/>
    <n v="4670"/>
    <n v="1449"/>
    <m/>
    <m/>
    <m/>
    <x v="2"/>
    <m/>
    <m/>
    <m/>
    <m/>
    <m/>
    <m/>
    <m/>
    <m/>
    <m/>
    <m/>
    <m/>
    <m/>
    <m/>
    <m/>
    <m/>
    <m/>
    <m/>
    <m/>
    <m/>
    <m/>
  </r>
  <r>
    <n v="2018"/>
    <n v="2018"/>
    <x v="4"/>
    <m/>
    <s v="EubjsxqlA4d"/>
    <s v="Republic of Mali"/>
    <x v="27"/>
    <m/>
    <n v="283"/>
    <n v="2234"/>
    <n v="165"/>
    <n v="1162"/>
    <m/>
    <m/>
    <m/>
    <m/>
    <n v="2233"/>
    <n v="2941"/>
    <n v="2233"/>
    <n v="2941"/>
    <m/>
    <m/>
    <m/>
    <m/>
    <n v="1666"/>
    <x v="7"/>
    <n v="1666"/>
    <n v="0"/>
    <m/>
    <m/>
    <m/>
    <m/>
    <m/>
    <m/>
    <n v="617"/>
    <n v="664"/>
    <n v="1638"/>
    <m/>
    <m/>
    <m/>
    <n v="8"/>
    <n v="84"/>
    <n v="22"/>
    <n v="39"/>
    <m/>
    <m/>
  </r>
  <r>
    <n v="2018"/>
    <n v="2018"/>
    <x v="4"/>
    <m/>
    <s v="Gan3VYicAWe"/>
    <s v="Republic of Mozambique"/>
    <x v="14"/>
    <m/>
    <m/>
    <m/>
    <m/>
    <m/>
    <m/>
    <m/>
    <m/>
    <m/>
    <n v="9861"/>
    <n v="4313"/>
    <n v="630"/>
    <n v="415"/>
    <n v="9231"/>
    <n v="3898"/>
    <m/>
    <m/>
    <m/>
    <x v="2"/>
    <m/>
    <m/>
    <m/>
    <m/>
    <m/>
    <m/>
    <m/>
    <m/>
    <m/>
    <m/>
    <m/>
    <m/>
    <m/>
    <m/>
    <m/>
    <m/>
    <m/>
    <m/>
    <m/>
    <m/>
  </r>
  <r>
    <n v="2018"/>
    <n v="2018"/>
    <x v="4"/>
    <m/>
    <s v="rtLnlu4GUI2"/>
    <s v="Republic of Namibia"/>
    <x v="35"/>
    <m/>
    <m/>
    <m/>
    <m/>
    <m/>
    <m/>
    <m/>
    <m/>
    <m/>
    <m/>
    <m/>
    <m/>
    <m/>
    <m/>
    <m/>
    <m/>
    <m/>
    <m/>
    <x v="2"/>
    <m/>
    <m/>
    <m/>
    <m/>
    <m/>
    <m/>
    <n v="75"/>
    <n v="103"/>
    <n v="276"/>
    <n v="322"/>
    <m/>
    <m/>
    <m/>
    <m/>
    <m/>
    <m/>
    <m/>
    <m/>
    <m/>
    <m/>
  </r>
  <r>
    <n v="2018"/>
    <n v="2018"/>
    <x v="4"/>
    <m/>
    <s v="wimH12ukPK5"/>
    <s v="Republic of Seychelles"/>
    <x v="16"/>
    <m/>
    <n v="90"/>
    <n v="150"/>
    <n v="55"/>
    <n v="70"/>
    <m/>
    <m/>
    <m/>
    <m/>
    <n v="871"/>
    <n v="80"/>
    <n v="871"/>
    <n v="80"/>
    <m/>
    <m/>
    <m/>
    <m/>
    <n v="5"/>
    <x v="7"/>
    <n v="5"/>
    <n v="0"/>
    <m/>
    <m/>
    <m/>
    <m/>
    <m/>
    <m/>
    <m/>
    <m/>
    <n v="314"/>
    <n v="2"/>
    <m/>
    <m/>
    <n v="5"/>
    <n v="6"/>
    <n v="3"/>
    <n v="4"/>
    <m/>
    <m/>
  </r>
  <r>
    <n v="2018"/>
    <n v="2018"/>
    <x v="4"/>
    <m/>
    <s v="qbqrFLCJewu"/>
    <s v="Republic of Sierra Leone"/>
    <x v="29"/>
    <m/>
    <m/>
    <m/>
    <m/>
    <m/>
    <m/>
    <m/>
    <m/>
    <m/>
    <n v="5184"/>
    <n v="578"/>
    <n v="783"/>
    <n v="87"/>
    <n v="2291"/>
    <n v="256"/>
    <n v="2110"/>
    <n v="235"/>
    <m/>
    <x v="2"/>
    <m/>
    <m/>
    <m/>
    <m/>
    <m/>
    <m/>
    <m/>
    <m/>
    <m/>
    <m/>
    <m/>
    <m/>
    <m/>
    <m/>
    <m/>
    <m/>
    <m/>
    <m/>
    <m/>
    <m/>
  </r>
  <r>
    <n v="2018"/>
    <n v="2018"/>
    <x v="4"/>
    <m/>
    <s v="SnYHrnchKjL"/>
    <s v="Republic of Uganda"/>
    <x v="18"/>
    <m/>
    <m/>
    <m/>
    <m/>
    <m/>
    <m/>
    <m/>
    <m/>
    <m/>
    <n v="54996"/>
    <n v="14364"/>
    <m/>
    <m/>
    <m/>
    <m/>
    <n v="54996"/>
    <n v="14364"/>
    <m/>
    <x v="2"/>
    <m/>
    <m/>
    <m/>
    <m/>
    <m/>
    <m/>
    <m/>
    <m/>
    <m/>
    <m/>
    <m/>
    <m/>
    <m/>
    <m/>
    <m/>
    <m/>
    <m/>
    <m/>
    <m/>
    <m/>
  </r>
  <r>
    <n v="2018"/>
    <n v="2018"/>
    <x v="4"/>
    <m/>
    <s v="gb7vWtO7Wjp"/>
    <s v="Republic of Zambia"/>
    <x v="19"/>
    <m/>
    <n v="16792"/>
    <n v="3799"/>
    <m/>
    <m/>
    <m/>
    <m/>
    <n v="16792"/>
    <n v="3799"/>
    <n v="6692"/>
    <n v="1445"/>
    <n v="5814"/>
    <n v="1285"/>
    <n v="878"/>
    <n v="160"/>
    <m/>
    <m/>
    <m/>
    <x v="2"/>
    <m/>
    <m/>
    <m/>
    <m/>
    <m/>
    <m/>
    <m/>
    <m/>
    <m/>
    <m/>
    <n v="1807"/>
    <n v="327"/>
    <n v="925"/>
    <n v="167"/>
    <m/>
    <m/>
    <m/>
    <m/>
    <m/>
    <m/>
  </r>
  <r>
    <n v="2018"/>
    <n v="2018"/>
    <x v="4"/>
    <m/>
    <s v="buSEeeViTo3"/>
    <s v="Republic of Zimbabwe"/>
    <x v="20"/>
    <m/>
    <n v="851"/>
    <n v="2172"/>
    <n v="521"/>
    <n v="1341"/>
    <n v="34"/>
    <n v="82"/>
    <n v="152"/>
    <n v="392"/>
    <n v="21230"/>
    <n v="6704"/>
    <n v="11310"/>
    <n v="3572"/>
    <n v="9920"/>
    <n v="3132"/>
    <m/>
    <m/>
    <m/>
    <x v="2"/>
    <m/>
    <m/>
    <m/>
    <m/>
    <m/>
    <m/>
    <n v="34"/>
    <n v="70"/>
    <n v="615"/>
    <n v="782"/>
    <n v="5737"/>
    <n v="437"/>
    <n v="4780"/>
    <n v="1050"/>
    <n v="31"/>
    <n v="76"/>
    <n v="15"/>
    <n v="36"/>
    <n v="9533"/>
    <n v="6355"/>
  </r>
  <r>
    <n v="2018"/>
    <n v="2018"/>
    <x v="4"/>
    <m/>
    <s v="vnbnnSZXGTv"/>
    <s v="State of Eritrea"/>
    <x v="21"/>
    <m/>
    <m/>
    <m/>
    <m/>
    <m/>
    <m/>
    <m/>
    <m/>
    <m/>
    <n v="2832"/>
    <n v="2138"/>
    <n v="917"/>
    <n v="1139"/>
    <n v="1915"/>
    <n v="999"/>
    <m/>
    <m/>
    <m/>
    <x v="2"/>
    <m/>
    <m/>
    <m/>
    <m/>
    <m/>
    <m/>
    <m/>
    <m/>
    <m/>
    <m/>
    <m/>
    <m/>
    <m/>
    <m/>
    <m/>
    <m/>
    <m/>
    <m/>
    <m/>
    <m/>
  </r>
  <r>
    <n v="2018"/>
    <n v="2018"/>
    <x v="4"/>
    <m/>
    <s v="WtcZBCTspgM"/>
    <s v="Togolese Republic"/>
    <x v="22"/>
    <m/>
    <m/>
    <m/>
    <m/>
    <m/>
    <m/>
    <m/>
    <m/>
    <m/>
    <n v="328"/>
    <n v="1204"/>
    <m/>
    <m/>
    <m/>
    <m/>
    <n v="328"/>
    <n v="1204"/>
    <m/>
    <x v="2"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n v="2022"/>
    <n v="2022"/>
    <x v="0"/>
    <m/>
    <s v="hmZE3mVAZFf"/>
    <x v="0"/>
    <s v="BFA"/>
    <m/>
    <n v="779"/>
    <n v="1593"/>
    <n v="779"/>
    <n v="1593"/>
    <m/>
    <m/>
    <m/>
    <m/>
    <m/>
    <m/>
    <m/>
    <m/>
    <m/>
    <m/>
    <m/>
    <m/>
    <n v="4626"/>
    <n v="1060"/>
    <n v="4626"/>
    <n v="1060"/>
    <m/>
    <m/>
    <m/>
    <m/>
    <n v="9"/>
    <n v="30"/>
    <n v="223"/>
    <n v="352"/>
    <m/>
    <m/>
    <m/>
    <m/>
    <m/>
    <m/>
    <m/>
    <m/>
    <n v="1600"/>
    <n v="1545"/>
    <x v="0"/>
  </r>
  <r>
    <n v="2022"/>
    <n v="2022"/>
    <x v="0"/>
    <m/>
    <s v="zEYrsiNUGIo"/>
    <x v="1"/>
    <s v="ETH"/>
    <m/>
    <n v="2758"/>
    <n v="10359"/>
    <n v="1992"/>
    <n v="6658"/>
    <m/>
    <m/>
    <m/>
    <m/>
    <n v="33050"/>
    <n v="37196"/>
    <n v="33050"/>
    <n v="37196"/>
    <m/>
    <m/>
    <m/>
    <m/>
    <n v="14156"/>
    <n v="7837"/>
    <n v="14156"/>
    <n v="7837"/>
    <m/>
    <m/>
    <m/>
    <m/>
    <n v="73"/>
    <n v="198"/>
    <n v="6993"/>
    <n v="10098"/>
    <m/>
    <m/>
    <m/>
    <m/>
    <n v="45"/>
    <n v="409"/>
    <n v="42"/>
    <n v="310"/>
    <n v="39645"/>
    <n v="1456"/>
    <x v="0"/>
  </r>
  <r>
    <n v="2022"/>
    <n v="2022"/>
    <x v="0"/>
    <m/>
    <s v="I3NxIqG7bD4"/>
    <x v="2"/>
    <s v="NGA"/>
    <m/>
    <n v="19401"/>
    <n v="35297"/>
    <n v="19401"/>
    <n v="35297"/>
    <m/>
    <m/>
    <m/>
    <m/>
    <n v="249963"/>
    <n v="44111"/>
    <n v="249963"/>
    <n v="44111"/>
    <m/>
    <m/>
    <m/>
    <m/>
    <m/>
    <m/>
    <m/>
    <m/>
    <m/>
    <m/>
    <m/>
    <m/>
    <n v="1300"/>
    <n v="1797"/>
    <m/>
    <m/>
    <m/>
    <m/>
    <m/>
    <m/>
    <m/>
    <m/>
    <m/>
    <m/>
    <n v="13577"/>
    <n v="58"/>
    <x v="1"/>
  </r>
  <r>
    <n v="2022"/>
    <n v="2022"/>
    <x v="0"/>
    <m/>
    <s v="EGLpIMSAWhx"/>
    <x v="3"/>
    <s v="GAB"/>
    <m/>
    <n v="667"/>
    <n v="472"/>
    <n v="353"/>
    <n v="259"/>
    <n v="89"/>
    <n v="48"/>
    <n v="0"/>
    <n v="0"/>
    <n v="2961"/>
    <n v="1316"/>
    <n v="658"/>
    <n v="334"/>
    <n v="2265"/>
    <n v="936"/>
    <n v="38"/>
    <n v="46"/>
    <n v="909"/>
    <n v="11"/>
    <n v="867"/>
    <n v="0"/>
    <n v="32"/>
    <n v="11"/>
    <n v="10"/>
    <n v="0"/>
    <n v="8"/>
    <n v="36"/>
    <n v="95"/>
    <n v="73"/>
    <m/>
    <m/>
    <m/>
    <m/>
    <n v="58"/>
    <n v="76"/>
    <n v="56"/>
    <n v="98"/>
    <m/>
    <m/>
    <x v="2"/>
  </r>
  <r>
    <n v="2022"/>
    <n v="2022"/>
    <x v="0"/>
    <m/>
    <s v="G3thRWUQAX9"/>
    <x v="4"/>
    <s v="SWZ"/>
    <m/>
    <m/>
    <m/>
    <m/>
    <m/>
    <m/>
    <m/>
    <m/>
    <m/>
    <n v="3844"/>
    <n v="1679"/>
    <n v="2398"/>
    <n v="1162"/>
    <n v="520"/>
    <n v="149"/>
    <n v="926"/>
    <n v="368"/>
    <n v="1820"/>
    <n v="645"/>
    <n v="1820"/>
    <n v="645"/>
    <m/>
    <m/>
    <m/>
    <m/>
    <n v="7"/>
    <n v="1"/>
    <m/>
    <m/>
    <m/>
    <m/>
    <m/>
    <m/>
    <m/>
    <m/>
    <m/>
    <m/>
    <n v="3200"/>
    <n v="0"/>
    <x v="1"/>
  </r>
  <r>
    <n v="2022"/>
    <n v="2022"/>
    <x v="0"/>
    <m/>
    <s v="c82mDnhUQly"/>
    <x v="5"/>
    <s v="BWA"/>
    <m/>
    <n v="440"/>
    <n v="553"/>
    <n v="407"/>
    <n v="492"/>
    <m/>
    <m/>
    <m/>
    <m/>
    <n v="5539"/>
    <n v="2489"/>
    <n v="5539"/>
    <n v="2489"/>
    <m/>
    <m/>
    <m/>
    <m/>
    <m/>
    <m/>
    <m/>
    <m/>
    <m/>
    <m/>
    <m/>
    <m/>
    <n v="49"/>
    <n v="37"/>
    <n v="74"/>
    <n v="51"/>
    <m/>
    <m/>
    <m/>
    <m/>
    <m/>
    <m/>
    <m/>
    <m/>
    <m/>
    <m/>
    <x v="2"/>
  </r>
  <r>
    <n v="2022"/>
    <n v="2022"/>
    <x v="0"/>
    <m/>
    <s v="bGWaeVBrOcc"/>
    <x v="6"/>
    <s v="CPV"/>
    <m/>
    <n v="1815"/>
    <n v="827"/>
    <n v="132"/>
    <n v="55"/>
    <n v="58"/>
    <n v="42"/>
    <n v="1622"/>
    <n v="725"/>
    <n v="752"/>
    <n v="189"/>
    <n v="679"/>
    <n v="167"/>
    <n v="73"/>
    <n v="22"/>
    <n v="0"/>
    <n v="0"/>
    <m/>
    <m/>
    <m/>
    <m/>
    <m/>
    <m/>
    <m/>
    <m/>
    <n v="6"/>
    <n v="4"/>
    <n v="16"/>
    <n v="7"/>
    <m/>
    <m/>
    <m/>
    <m/>
    <n v="25"/>
    <n v="8"/>
    <n v="15"/>
    <n v="8"/>
    <n v="62"/>
    <n v="93"/>
    <x v="1"/>
  </r>
  <r>
    <n v="2022"/>
    <n v="2022"/>
    <x v="0"/>
    <m/>
    <s v="VPesUmegQpP"/>
    <x v="7"/>
    <s v="CMR"/>
    <m/>
    <n v="1756"/>
    <n v="2006"/>
    <n v="1234"/>
    <n v="1233"/>
    <n v="279"/>
    <n v="360"/>
    <n v="2"/>
    <n v="1"/>
    <n v="11079"/>
    <n v="5394"/>
    <n v="7416"/>
    <n v="4069"/>
    <n v="3614"/>
    <n v="1311"/>
    <n v="49"/>
    <n v="14"/>
    <n v="1481"/>
    <n v="193"/>
    <n v="1397"/>
    <n v="181"/>
    <n v="65"/>
    <n v="12"/>
    <n v="19"/>
    <n v="0"/>
    <n v="186"/>
    <n v="131"/>
    <n v="328"/>
    <n v="274"/>
    <m/>
    <m/>
    <m/>
    <m/>
    <n v="66"/>
    <n v="86"/>
    <n v="63"/>
    <n v="24"/>
    <n v="210"/>
    <n v="100"/>
    <x v="1"/>
  </r>
  <r>
    <n v="2022"/>
    <n v="2022"/>
    <x v="0"/>
    <m/>
    <s v="tV0rWhHr9cj"/>
    <x v="8"/>
    <s v="TCD"/>
    <m/>
    <n v="236"/>
    <n v="977"/>
    <n v="236"/>
    <n v="977"/>
    <m/>
    <m/>
    <m/>
    <m/>
    <n v="571"/>
    <n v="1097"/>
    <n v="571"/>
    <n v="1097"/>
    <m/>
    <m/>
    <m/>
    <m/>
    <n v="618"/>
    <n v="39"/>
    <n v="618"/>
    <n v="39"/>
    <m/>
    <m/>
    <m/>
    <m/>
    <n v="6"/>
    <n v="15"/>
    <n v="31"/>
    <n v="111"/>
    <m/>
    <m/>
    <m/>
    <m/>
    <n v="22"/>
    <n v="35"/>
    <n v="8"/>
    <n v="20"/>
    <m/>
    <m/>
    <x v="0"/>
  </r>
  <r>
    <n v="2022"/>
    <n v="2022"/>
    <x v="0"/>
    <m/>
    <s v="WXGcnQWJ0Qd"/>
    <x v="9"/>
    <s v="CIV"/>
    <m/>
    <n v="1477"/>
    <n v="3453"/>
    <n v="1322"/>
    <n v="3090"/>
    <m/>
    <m/>
    <m/>
    <m/>
    <n v="5530"/>
    <n v="9449"/>
    <n v="5510"/>
    <n v="9424"/>
    <m/>
    <m/>
    <n v="20"/>
    <n v="25"/>
    <n v="7425"/>
    <n v="0"/>
    <n v="7421"/>
    <n v="0"/>
    <n v="4"/>
    <n v="0"/>
    <m/>
    <m/>
    <n v="146"/>
    <n v="272"/>
    <n v="469"/>
    <n v="693"/>
    <m/>
    <m/>
    <m/>
    <m/>
    <m/>
    <m/>
    <m/>
    <m/>
    <m/>
    <m/>
    <x v="1"/>
  </r>
  <r>
    <n v="2022"/>
    <n v="2022"/>
    <x v="0"/>
    <m/>
    <s v="WC5rU5fLMzY"/>
    <x v="10"/>
    <s v="GHA"/>
    <m/>
    <n v="1627"/>
    <n v="2731"/>
    <n v="1158"/>
    <n v="1852"/>
    <m/>
    <m/>
    <m/>
    <m/>
    <n v="71253"/>
    <n v="28420"/>
    <n v="29537"/>
    <n v="16426"/>
    <n v="41716"/>
    <n v="11994"/>
    <m/>
    <m/>
    <n v="23006"/>
    <n v="310"/>
    <n v="23006"/>
    <n v="310"/>
    <m/>
    <m/>
    <m/>
    <m/>
    <m/>
    <m/>
    <n v="476"/>
    <n v="661"/>
    <m/>
    <m/>
    <m/>
    <m/>
    <m/>
    <m/>
    <m/>
    <m/>
    <m/>
    <m/>
    <x v="1"/>
  </r>
  <r>
    <n v="2022"/>
    <n v="2022"/>
    <x v="0"/>
    <m/>
    <s v="G9o5ad4oJJX"/>
    <x v="11"/>
    <s v="GNB"/>
    <m/>
    <n v="159"/>
    <n v="279"/>
    <n v="157"/>
    <n v="271"/>
    <n v="0"/>
    <n v="0"/>
    <n v="0"/>
    <n v="0"/>
    <n v="1270"/>
    <n v="608"/>
    <n v="635"/>
    <n v="350"/>
    <n v="632"/>
    <n v="257"/>
    <n v="3"/>
    <n v="1"/>
    <n v="197"/>
    <n v="0"/>
    <n v="26"/>
    <n v="0"/>
    <n v="171"/>
    <n v="0"/>
    <n v="0"/>
    <n v="0"/>
    <n v="7"/>
    <n v="14"/>
    <n v="1"/>
    <n v="1"/>
    <m/>
    <m/>
    <m/>
    <m/>
    <n v="0"/>
    <n v="4"/>
    <n v="2"/>
    <n v="4"/>
    <n v="549"/>
    <n v="2828"/>
    <x v="0"/>
  </r>
  <r>
    <n v="2022"/>
    <n v="2022"/>
    <x v="0"/>
    <m/>
    <s v="HfVjCurKxh2"/>
    <x v="12"/>
    <s v="KEN"/>
    <m/>
    <n v="2323"/>
    <n v="3194"/>
    <n v="1535"/>
    <n v="2009"/>
    <n v="138"/>
    <n v="195"/>
    <m/>
    <m/>
    <n v="24460"/>
    <n v="11598"/>
    <n v="24460"/>
    <n v="11598"/>
    <m/>
    <m/>
    <m/>
    <m/>
    <n v="94"/>
    <n v="43"/>
    <n v="94"/>
    <n v="43"/>
    <m/>
    <m/>
    <m/>
    <m/>
    <n v="138"/>
    <n v="135"/>
    <n v="369"/>
    <n v="517"/>
    <m/>
    <m/>
    <m/>
    <m/>
    <n v="106"/>
    <n v="179"/>
    <n v="152"/>
    <n v="54"/>
    <m/>
    <m/>
    <x v="1"/>
  </r>
  <r>
    <n v="2022"/>
    <n v="2022"/>
    <x v="0"/>
    <m/>
    <s v="G037PAPU5dO"/>
    <x v="13"/>
    <s v="MWI"/>
    <m/>
    <n v="419"/>
    <n v="616"/>
    <n v="324"/>
    <n v="519"/>
    <n v="11"/>
    <n v="21"/>
    <n v="4"/>
    <n v="8"/>
    <n v="6162"/>
    <n v="3430"/>
    <n v="2260"/>
    <n v="631"/>
    <n v="3749"/>
    <n v="2725"/>
    <n v="153"/>
    <n v="74"/>
    <n v="580"/>
    <n v="36"/>
    <m/>
    <m/>
    <m/>
    <m/>
    <n v="580"/>
    <n v="36"/>
    <n v="29"/>
    <n v="59"/>
    <n v="44"/>
    <n v="67"/>
    <m/>
    <m/>
    <m/>
    <m/>
    <n v="18"/>
    <n v="3"/>
    <n v="21"/>
    <n v="12"/>
    <n v="4767"/>
    <n v="5980"/>
    <x v="0"/>
  </r>
  <r>
    <n v="2022"/>
    <n v="2022"/>
    <x v="0"/>
    <m/>
    <s v="Gan3VYicAWe"/>
    <x v="14"/>
    <s v="MOZ"/>
    <m/>
    <n v="1130"/>
    <n v="1216"/>
    <n v="820"/>
    <n v="77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n v="2022"/>
    <n v="2022"/>
    <x v="0"/>
    <m/>
    <s v="wj7iV08dvFq"/>
    <x v="15"/>
    <s v="SEN"/>
    <m/>
    <n v="1000"/>
    <n v="1198"/>
    <n v="250"/>
    <n v="463"/>
    <m/>
    <m/>
    <m/>
    <m/>
    <n v="3029"/>
    <n v="1708"/>
    <n v="1669"/>
    <n v="1100"/>
    <n v="1360"/>
    <n v="608"/>
    <m/>
    <m/>
    <n v="2803"/>
    <n v="0"/>
    <n v="2803"/>
    <n v="0"/>
    <m/>
    <m/>
    <m/>
    <m/>
    <n v="95"/>
    <n v="127"/>
    <n v="155"/>
    <n v="197"/>
    <m/>
    <m/>
    <m/>
    <m/>
    <n v="77"/>
    <n v="87"/>
    <n v="83"/>
    <n v="61"/>
    <n v="12201"/>
    <n v="6555"/>
    <x v="1"/>
  </r>
  <r>
    <n v="2022"/>
    <n v="2022"/>
    <x v="0"/>
    <m/>
    <s v="wimH12ukPK5"/>
    <x v="16"/>
    <s v="SYC"/>
    <m/>
    <n v="22"/>
    <n v="35"/>
    <n v="22"/>
    <n v="35"/>
    <m/>
    <m/>
    <m/>
    <m/>
    <n v="555"/>
    <n v="68"/>
    <n v="555"/>
    <n v="68"/>
    <n v="0"/>
    <n v="0"/>
    <n v="0"/>
    <n v="0"/>
    <n v="142"/>
    <n v="3"/>
    <n v="142"/>
    <n v="3"/>
    <m/>
    <m/>
    <m/>
    <m/>
    <n v="19"/>
    <n v="25"/>
    <m/>
    <m/>
    <m/>
    <m/>
    <m/>
    <m/>
    <n v="7"/>
    <n v="9"/>
    <n v="4"/>
    <n v="8"/>
    <m/>
    <m/>
    <x v="2"/>
  </r>
  <r>
    <n v="2022"/>
    <n v="2022"/>
    <x v="0"/>
    <m/>
    <s v="shRXArPWh8H"/>
    <x v="17"/>
    <s v="COG"/>
    <m/>
    <n v="637"/>
    <n v="405"/>
    <n v="470"/>
    <n v="317"/>
    <n v="116"/>
    <n v="53"/>
    <m/>
    <m/>
    <n v="1278"/>
    <n v="4295"/>
    <n v="1278"/>
    <n v="4295"/>
    <m/>
    <m/>
    <m/>
    <m/>
    <n v="895"/>
    <n v="12"/>
    <n v="895"/>
    <n v="12"/>
    <m/>
    <m/>
    <m/>
    <m/>
    <n v="7"/>
    <n v="2"/>
    <n v="17"/>
    <n v="11"/>
    <m/>
    <m/>
    <m/>
    <m/>
    <n v="19"/>
    <n v="12"/>
    <n v="12"/>
    <n v="12"/>
    <m/>
    <m/>
    <x v="1"/>
  </r>
  <r>
    <n v="2022"/>
    <n v="2022"/>
    <x v="0"/>
    <m/>
    <s v="SnYHrnchKjL"/>
    <x v="18"/>
    <s v="UGA"/>
    <m/>
    <n v="2271"/>
    <n v="5696"/>
    <n v="1811"/>
    <n v="4557"/>
    <n v="115"/>
    <n v="223"/>
    <m/>
    <m/>
    <n v="49976"/>
    <n v="24226"/>
    <m/>
    <m/>
    <n v="15148"/>
    <n v="6277"/>
    <n v="34828"/>
    <n v="17949"/>
    <n v="110270"/>
    <n v="87"/>
    <m/>
    <m/>
    <n v="86011"/>
    <n v="87"/>
    <n v="24259"/>
    <n v="0"/>
    <m/>
    <m/>
    <n v="526"/>
    <n v="1186"/>
    <m/>
    <m/>
    <m/>
    <m/>
    <n v="92"/>
    <n v="223"/>
    <n v="80"/>
    <n v="198"/>
    <m/>
    <m/>
    <x v="0"/>
  </r>
  <r>
    <n v="2022"/>
    <n v="2022"/>
    <x v="0"/>
    <m/>
    <s v="gb7vWtO7Wjp"/>
    <x v="19"/>
    <s v="ZMB"/>
    <m/>
    <n v="1824"/>
    <n v="3418"/>
    <n v="1695"/>
    <n v="3013"/>
    <n v="14"/>
    <n v="87"/>
    <n v="0"/>
    <n v="0"/>
    <n v="27138"/>
    <n v="6641"/>
    <n v="27138"/>
    <n v="6641"/>
    <n v="0"/>
    <n v="0"/>
    <n v="0"/>
    <n v="0"/>
    <n v="7881"/>
    <n v="1327"/>
    <n v="7881"/>
    <n v="1327"/>
    <m/>
    <m/>
    <m/>
    <m/>
    <n v="109"/>
    <n v="152"/>
    <n v="331"/>
    <n v="308"/>
    <m/>
    <m/>
    <m/>
    <m/>
    <n v="31"/>
    <n v="54"/>
    <n v="25"/>
    <n v="36"/>
    <n v="1129"/>
    <n v="1292"/>
    <x v="1"/>
  </r>
  <r>
    <n v="2022"/>
    <n v="2022"/>
    <x v="0"/>
    <m/>
    <s v="buSEeeViTo3"/>
    <x v="20"/>
    <s v="ZWE"/>
    <m/>
    <n v="663"/>
    <n v="2045"/>
    <n v="467"/>
    <n v="1565"/>
    <n v="28"/>
    <n v="65"/>
    <m/>
    <m/>
    <n v="24458"/>
    <n v="7724"/>
    <n v="24458"/>
    <n v="7724"/>
    <m/>
    <m/>
    <m/>
    <m/>
    <n v="2600"/>
    <n v="196"/>
    <n v="2600"/>
    <n v="196"/>
    <m/>
    <m/>
    <m/>
    <m/>
    <n v="784"/>
    <n v="1919"/>
    <n v="837"/>
    <n v="1065"/>
    <m/>
    <m/>
    <m/>
    <m/>
    <n v="41"/>
    <n v="100"/>
    <n v="16"/>
    <n v="39"/>
    <n v="14989"/>
    <n v="4733"/>
    <x v="1"/>
  </r>
  <r>
    <n v="2022"/>
    <n v="2022"/>
    <x v="0"/>
    <m/>
    <s v="vnbnnSZXGTv"/>
    <x v="21"/>
    <s v="ERI"/>
    <m/>
    <n v="70"/>
    <n v="190"/>
    <n v="70"/>
    <n v="190"/>
    <n v="0"/>
    <n v="19"/>
    <m/>
    <m/>
    <n v="3053"/>
    <n v="1925"/>
    <n v="721"/>
    <n v="697"/>
    <n v="2273"/>
    <n v="1099"/>
    <n v="59"/>
    <n v="129"/>
    <n v="20"/>
    <n v="47"/>
    <n v="20"/>
    <n v="47"/>
    <m/>
    <m/>
    <m/>
    <m/>
    <n v="23"/>
    <n v="35"/>
    <n v="78"/>
    <n v="121"/>
    <m/>
    <m/>
    <m/>
    <m/>
    <n v="2"/>
    <n v="8"/>
    <n v="2"/>
    <n v="8"/>
    <n v="1915"/>
    <n v="711"/>
    <x v="0"/>
  </r>
  <r>
    <n v="2022"/>
    <n v="2022"/>
    <x v="0"/>
    <m/>
    <s v="WtcZBCTspgM"/>
    <x v="22"/>
    <s v="TGO"/>
    <m/>
    <n v="136"/>
    <n v="594"/>
    <n v="59"/>
    <n v="272"/>
    <m/>
    <m/>
    <m/>
    <m/>
    <n v="623"/>
    <n v="2007"/>
    <n v="367"/>
    <n v="1332"/>
    <n v="256"/>
    <n v="675"/>
    <m/>
    <m/>
    <n v="1864"/>
    <n v="0"/>
    <n v="1043"/>
    <n v="0"/>
    <n v="821"/>
    <n v="0"/>
    <m/>
    <m/>
    <n v="5"/>
    <n v="13"/>
    <n v="126"/>
    <n v="129"/>
    <m/>
    <m/>
    <m/>
    <m/>
    <n v="10"/>
    <n v="33"/>
    <n v="15"/>
    <n v="22"/>
    <m/>
    <m/>
    <x v="0"/>
  </r>
  <r>
    <n v="2021"/>
    <n v="2021"/>
    <x v="1"/>
    <m/>
    <s v="hmZE3mVAZFf"/>
    <x v="0"/>
    <s v="BFA"/>
    <m/>
    <n v="781"/>
    <n v="1440"/>
    <n v="481"/>
    <n v="739"/>
    <m/>
    <m/>
    <m/>
    <m/>
    <n v="4719"/>
    <n v="7470"/>
    <n v="3988"/>
    <n v="6715"/>
    <n v="731"/>
    <n v="755"/>
    <m/>
    <m/>
    <n v="4313"/>
    <n v="1039"/>
    <n v="3947"/>
    <n v="1039"/>
    <n v="366"/>
    <n v="0"/>
    <m/>
    <m/>
    <n v="32"/>
    <n v="75"/>
    <n v="134"/>
    <n v="191"/>
    <m/>
    <m/>
    <m/>
    <m/>
    <n v="40"/>
    <n v="86"/>
    <n v="54"/>
    <n v="51"/>
    <n v="1533"/>
    <n v="1414"/>
    <x v="0"/>
  </r>
  <r>
    <n v="2021"/>
    <n v="2021"/>
    <x v="1"/>
    <m/>
    <s v="zEYrsiNUGIo"/>
    <x v="1"/>
    <s v="ETH"/>
    <m/>
    <n v="2602"/>
    <n v="9572"/>
    <n v="2067"/>
    <n v="7294"/>
    <m/>
    <m/>
    <m/>
    <m/>
    <n v="32043"/>
    <n v="37781"/>
    <n v="32043"/>
    <n v="37781"/>
    <m/>
    <m/>
    <m/>
    <m/>
    <n v="13337"/>
    <n v="7018"/>
    <n v="13337"/>
    <n v="7018"/>
    <m/>
    <m/>
    <m/>
    <m/>
    <n v="41"/>
    <n v="69"/>
    <n v="5767"/>
    <n v="9731"/>
    <m/>
    <m/>
    <m/>
    <m/>
    <m/>
    <m/>
    <m/>
    <m/>
    <n v="41668"/>
    <n v="962"/>
    <x v="0"/>
  </r>
  <r>
    <n v="2021"/>
    <n v="2021"/>
    <x v="1"/>
    <m/>
    <s v="DzAOqCf0ots"/>
    <x v="23"/>
    <s v="BEN"/>
    <m/>
    <n v="856"/>
    <n v="1899"/>
    <n v="521"/>
    <n v="1276"/>
    <m/>
    <m/>
    <m/>
    <m/>
    <n v="3291"/>
    <n v="2193"/>
    <n v="3291"/>
    <n v="2193"/>
    <m/>
    <m/>
    <m/>
    <m/>
    <n v="2086"/>
    <n v="0"/>
    <n v="2086"/>
    <n v="0"/>
    <m/>
    <m/>
    <m/>
    <m/>
    <n v="26"/>
    <n v="24"/>
    <n v="161"/>
    <n v="242"/>
    <m/>
    <m/>
    <m/>
    <m/>
    <n v="62"/>
    <n v="95"/>
    <n v="39"/>
    <n v="58"/>
    <n v="14"/>
    <n v="7"/>
    <x v="1"/>
  </r>
  <r>
    <n v="2021"/>
    <n v="2021"/>
    <x v="1"/>
    <m/>
    <s v="c82mDnhUQly"/>
    <x v="5"/>
    <s v="BWA"/>
    <m/>
    <n v="411"/>
    <n v="603"/>
    <n v="374"/>
    <n v="526"/>
    <m/>
    <m/>
    <m/>
    <m/>
    <n v="5466"/>
    <n v="2420"/>
    <n v="5466"/>
    <n v="2420"/>
    <m/>
    <m/>
    <m/>
    <m/>
    <m/>
    <m/>
    <m/>
    <m/>
    <m/>
    <m/>
    <m/>
    <m/>
    <n v="49"/>
    <n v="40"/>
    <n v="90"/>
    <n v="68"/>
    <m/>
    <m/>
    <m/>
    <m/>
    <m/>
    <m/>
    <m/>
    <m/>
    <m/>
    <m/>
    <x v="2"/>
  </r>
  <r>
    <n v="2021"/>
    <n v="2021"/>
    <x v="1"/>
    <m/>
    <s v="VPesUmegQpP"/>
    <x v="7"/>
    <s v="CMR"/>
    <m/>
    <n v="1594"/>
    <n v="1784"/>
    <n v="1180"/>
    <n v="1297"/>
    <n v="222"/>
    <n v="264"/>
    <n v="1"/>
    <n v="3"/>
    <n v="2690"/>
    <n v="1853"/>
    <n v="2117"/>
    <n v="1402"/>
    <n v="32"/>
    <n v="11"/>
    <n v="541"/>
    <n v="440"/>
    <n v="626"/>
    <n v="78"/>
    <n v="626"/>
    <n v="78"/>
    <m/>
    <m/>
    <m/>
    <m/>
    <n v="80"/>
    <n v="53"/>
    <n v="149"/>
    <n v="115"/>
    <n v="77"/>
    <n v="54"/>
    <n v="25"/>
    <n v="12"/>
    <n v="57"/>
    <n v="68"/>
    <n v="44"/>
    <n v="15"/>
    <m/>
    <m/>
    <x v="1"/>
  </r>
  <r>
    <n v="2021"/>
    <n v="2021"/>
    <x v="1"/>
    <m/>
    <s v="tV0rWhHr9cj"/>
    <x v="8"/>
    <s v="TCD"/>
    <m/>
    <n v="132"/>
    <n v="653"/>
    <n v="132"/>
    <n v="653"/>
    <n v="4"/>
    <n v="170"/>
    <m/>
    <m/>
    <n v="540"/>
    <n v="997"/>
    <n v="540"/>
    <n v="997"/>
    <m/>
    <m/>
    <m/>
    <m/>
    <n v="678"/>
    <n v="43"/>
    <n v="580"/>
    <n v="37"/>
    <n v="98"/>
    <n v="6"/>
    <m/>
    <m/>
    <n v="5"/>
    <n v="14"/>
    <n v="31"/>
    <n v="111"/>
    <m/>
    <m/>
    <m/>
    <m/>
    <n v="16"/>
    <n v="40"/>
    <n v="3"/>
    <n v="14"/>
    <m/>
    <m/>
    <x v="0"/>
  </r>
  <r>
    <n v="2021"/>
    <n v="2021"/>
    <x v="1"/>
    <m/>
    <s v="WC5rU5fLMzY"/>
    <x v="10"/>
    <s v="GHA"/>
    <m/>
    <n v="1552"/>
    <n v="2617"/>
    <n v="1181"/>
    <n v="1853"/>
    <m/>
    <m/>
    <m/>
    <m/>
    <n v="66802"/>
    <n v="26342"/>
    <n v="26580"/>
    <n v="14728"/>
    <n v="40222"/>
    <n v="11614"/>
    <m/>
    <m/>
    <n v="18862"/>
    <n v="279"/>
    <n v="18862"/>
    <n v="279"/>
    <m/>
    <m/>
    <m/>
    <m/>
    <m/>
    <m/>
    <n v="435"/>
    <n v="600"/>
    <m/>
    <m/>
    <m/>
    <m/>
    <m/>
    <m/>
    <m/>
    <m/>
    <m/>
    <m/>
    <x v="1"/>
  </r>
  <r>
    <n v="2021"/>
    <n v="2021"/>
    <x v="1"/>
    <m/>
    <s v="G9o5ad4oJJX"/>
    <x v="11"/>
    <s v="GNB"/>
    <m/>
    <n v="157"/>
    <n v="296"/>
    <n v="156"/>
    <n v="288"/>
    <n v="0"/>
    <n v="0"/>
    <n v="0"/>
    <n v="0"/>
    <n v="1281"/>
    <n v="673"/>
    <n v="635"/>
    <n v="368"/>
    <n v="646"/>
    <n v="305"/>
    <n v="0"/>
    <n v="0"/>
    <n v="213"/>
    <n v="0"/>
    <n v="213"/>
    <n v="0"/>
    <n v="0"/>
    <n v="0"/>
    <n v="0"/>
    <n v="0"/>
    <m/>
    <m/>
    <n v="1"/>
    <n v="1"/>
    <n v="0"/>
    <n v="0"/>
    <n v="0"/>
    <n v="0"/>
    <n v="4"/>
    <n v="0"/>
    <n v="2"/>
    <n v="3"/>
    <m/>
    <m/>
    <x v="0"/>
  </r>
  <r>
    <n v="2021"/>
    <n v="2021"/>
    <x v="1"/>
    <m/>
    <s v="HfVjCurKxh2"/>
    <x v="12"/>
    <s v="KEN"/>
    <m/>
    <n v="2140"/>
    <n v="3063"/>
    <n v="1372"/>
    <n v="1880"/>
    <n v="166"/>
    <n v="281"/>
    <m/>
    <m/>
    <n v="23514"/>
    <n v="11058"/>
    <n v="23514"/>
    <n v="11058"/>
    <m/>
    <m/>
    <m/>
    <m/>
    <m/>
    <m/>
    <m/>
    <m/>
    <m/>
    <m/>
    <m/>
    <m/>
    <n v="143"/>
    <n v="189"/>
    <m/>
    <m/>
    <m/>
    <m/>
    <m/>
    <m/>
    <n v="99"/>
    <n v="143"/>
    <n v="134"/>
    <n v="65"/>
    <m/>
    <m/>
    <x v="1"/>
  </r>
  <r>
    <n v="2021"/>
    <n v="2021"/>
    <x v="1"/>
    <m/>
    <s v="Gan3VYicAWe"/>
    <x v="14"/>
    <s v="MOZ"/>
    <m/>
    <n v="1303"/>
    <n v="1442"/>
    <n v="945"/>
    <n v="951"/>
    <n v="245"/>
    <n v="236"/>
    <m/>
    <m/>
    <n v="5844"/>
    <n v="5122"/>
    <n v="1252"/>
    <n v="911"/>
    <n v="4592"/>
    <n v="4211"/>
    <m/>
    <m/>
    <n v="7281"/>
    <n v="0"/>
    <n v="42"/>
    <n v="0"/>
    <n v="7239"/>
    <n v="0"/>
    <m/>
    <m/>
    <n v="214"/>
    <n v="148"/>
    <n v="210"/>
    <n v="251"/>
    <m/>
    <m/>
    <m/>
    <m/>
    <n v="15"/>
    <n v="48"/>
    <n v="38"/>
    <n v="23"/>
    <m/>
    <m/>
    <x v="0"/>
  </r>
  <r>
    <n v="2021"/>
    <n v="2021"/>
    <x v="1"/>
    <m/>
    <s v="wj7iV08dvFq"/>
    <x v="15"/>
    <s v="SEN"/>
    <m/>
    <n v="618"/>
    <n v="1080"/>
    <n v="150"/>
    <n v="328"/>
    <n v="312"/>
    <n v="498"/>
    <m/>
    <m/>
    <n v="4383"/>
    <n v="2094"/>
    <n v="1531"/>
    <n v="992"/>
    <n v="1501"/>
    <n v="672"/>
    <n v="1351"/>
    <n v="430"/>
    <n v="2739"/>
    <n v="0"/>
    <n v="2710"/>
    <n v="0"/>
    <n v="29"/>
    <n v="0"/>
    <m/>
    <m/>
    <n v="72"/>
    <n v="104"/>
    <n v="131"/>
    <n v="162"/>
    <m/>
    <m/>
    <n v="1056"/>
    <n v="532"/>
    <n v="59"/>
    <n v="74"/>
    <n v="43"/>
    <n v="67"/>
    <m/>
    <m/>
    <x v="1"/>
  </r>
  <r>
    <n v="2020"/>
    <n v="2020"/>
    <x v="2"/>
    <m/>
    <s v="hmZE3mVAZFf"/>
    <x v="0"/>
    <s v="BFA"/>
    <m/>
    <n v="719"/>
    <n v="1352"/>
    <n v="426"/>
    <n v="662"/>
    <m/>
    <m/>
    <m/>
    <m/>
    <n v="2307"/>
    <n v="3443"/>
    <n v="1522"/>
    <n v="2582"/>
    <n v="785"/>
    <n v="861"/>
    <m/>
    <m/>
    <n v="6786"/>
    <n v="1019"/>
    <n v="3809"/>
    <n v="1019"/>
    <n v="2977"/>
    <n v="0"/>
    <m/>
    <m/>
    <n v="31"/>
    <n v="72"/>
    <m/>
    <m/>
    <m/>
    <m/>
    <m/>
    <m/>
    <n v="38"/>
    <n v="88"/>
    <n v="53"/>
    <n v="48"/>
    <n v="1496"/>
    <n v="1427"/>
    <x v="0"/>
  </r>
  <r>
    <n v="2020"/>
    <n v="2020"/>
    <x v="2"/>
    <m/>
    <s v="zEYrsiNUGIo"/>
    <x v="1"/>
    <s v="ETH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9875"/>
    <n v="0"/>
    <x v="0"/>
  </r>
  <r>
    <n v="2020"/>
    <n v="2020"/>
    <x v="2"/>
    <m/>
    <s v="EGLpIMSAWhx"/>
    <x v="3"/>
    <s v="GAB"/>
    <m/>
    <n v="591"/>
    <n v="771"/>
    <n v="237"/>
    <n v="289"/>
    <n v="49"/>
    <n v="65"/>
    <n v="1"/>
    <n v="0"/>
    <n v="3614"/>
    <n v="1813"/>
    <n v="3239"/>
    <n v="1551"/>
    <n v="373"/>
    <n v="262"/>
    <n v="2"/>
    <n v="0"/>
    <n v="662"/>
    <n v="0"/>
    <n v="662"/>
    <n v="0"/>
    <n v="0"/>
    <n v="0"/>
    <n v="0"/>
    <n v="0"/>
    <n v="15"/>
    <n v="19"/>
    <n v="74"/>
    <n v="65"/>
    <n v="117"/>
    <n v="73"/>
    <n v="1"/>
    <n v="0"/>
    <n v="24"/>
    <n v="58"/>
    <n v="40"/>
    <n v="27"/>
    <n v="82"/>
    <n v="28"/>
    <x v="2"/>
  </r>
  <r>
    <n v="2020"/>
    <n v="2020"/>
    <x v="2"/>
    <m/>
    <s v="G3thRWUQAX9"/>
    <x v="4"/>
    <s v="SWZ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319"/>
    <n v="67"/>
    <x v="1"/>
  </r>
  <r>
    <n v="2020"/>
    <n v="2020"/>
    <x v="2"/>
    <m/>
    <s v="c82mDnhUQly"/>
    <x v="5"/>
    <s v="BWA"/>
    <m/>
    <n v="380"/>
    <n v="644"/>
    <n v="350"/>
    <n v="552"/>
    <m/>
    <m/>
    <m/>
    <m/>
    <n v="5378"/>
    <n v="2393"/>
    <n v="5378"/>
    <n v="2393"/>
    <m/>
    <m/>
    <m/>
    <m/>
    <m/>
    <m/>
    <m/>
    <m/>
    <m/>
    <m/>
    <m/>
    <m/>
    <n v="48"/>
    <n v="41"/>
    <n v="82"/>
    <n v="63"/>
    <m/>
    <m/>
    <m/>
    <m/>
    <m/>
    <m/>
    <m/>
    <m/>
    <m/>
    <m/>
    <x v="2"/>
  </r>
  <r>
    <n v="2020"/>
    <n v="2020"/>
    <x v="2"/>
    <m/>
    <s v="Xz7rnovuiOx"/>
    <x v="24"/>
    <s v="BD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923"/>
    <n v="5922"/>
    <x v="0"/>
  </r>
  <r>
    <n v="2020"/>
    <n v="2020"/>
    <x v="2"/>
    <m/>
    <s v="VPesUmegQpP"/>
    <x v="7"/>
    <s v="CMR"/>
    <m/>
    <n v="2328"/>
    <n v="2797"/>
    <n v="751"/>
    <n v="892"/>
    <n v="11"/>
    <n v="5"/>
    <n v="1164"/>
    <n v="1399"/>
    <n v="7470"/>
    <n v="4008"/>
    <n v="5963"/>
    <n v="2878"/>
    <n v="686"/>
    <n v="516"/>
    <n v="821"/>
    <n v="614"/>
    <n v="1059"/>
    <n v="199"/>
    <n v="879"/>
    <n v="119"/>
    <n v="161"/>
    <n v="78"/>
    <n v="19"/>
    <n v="2"/>
    <n v="105"/>
    <n v="86"/>
    <n v="198"/>
    <n v="139"/>
    <n v="207"/>
    <n v="83"/>
    <n v="158"/>
    <n v="32"/>
    <n v="58"/>
    <n v="56"/>
    <n v="33"/>
    <n v="12"/>
    <n v="102"/>
    <n v="52"/>
    <x v="1"/>
  </r>
  <r>
    <n v="2020"/>
    <n v="2020"/>
    <x v="2"/>
    <m/>
    <s v="tV0rWhHr9cj"/>
    <x v="8"/>
    <s v="TCD"/>
    <m/>
    <n v="132"/>
    <n v="652"/>
    <n v="132"/>
    <n v="652"/>
    <m/>
    <m/>
    <m/>
    <m/>
    <n v="881"/>
    <n v="1742"/>
    <n v="409"/>
    <n v="1119"/>
    <n v="309"/>
    <n v="518"/>
    <n v="163"/>
    <n v="105"/>
    <n v="665"/>
    <n v="45"/>
    <n v="665"/>
    <n v="45"/>
    <m/>
    <m/>
    <m/>
    <m/>
    <m/>
    <m/>
    <m/>
    <m/>
    <m/>
    <m/>
    <m/>
    <m/>
    <n v="2"/>
    <n v="3"/>
    <n v="0"/>
    <n v="2"/>
    <n v="116"/>
    <n v="476"/>
    <x v="0"/>
  </r>
  <r>
    <n v="2020"/>
    <n v="2020"/>
    <x v="2"/>
    <m/>
    <s v="G9o5ad4oJJX"/>
    <x v="11"/>
    <s v="GNB"/>
    <m/>
    <n v="111"/>
    <n v="249"/>
    <n v="110"/>
    <n v="240"/>
    <m/>
    <m/>
    <m/>
    <m/>
    <n v="919"/>
    <n v="453"/>
    <n v="241"/>
    <n v="101"/>
    <n v="671"/>
    <n v="345"/>
    <n v="7"/>
    <n v="7"/>
    <n v="185"/>
    <n v="0"/>
    <n v="18"/>
    <n v="0"/>
    <n v="167"/>
    <n v="0"/>
    <m/>
    <m/>
    <n v="4"/>
    <n v="1"/>
    <n v="6"/>
    <n v="7"/>
    <n v="25"/>
    <n v="15"/>
    <m/>
    <m/>
    <n v="0"/>
    <n v="4"/>
    <n v="3"/>
    <n v="3"/>
    <n v="500"/>
    <n v="3211"/>
    <x v="0"/>
  </r>
  <r>
    <n v="2020"/>
    <n v="2020"/>
    <x v="2"/>
    <m/>
    <s v="HfVjCurKxh2"/>
    <x v="12"/>
    <s v="KEN"/>
    <m/>
    <n v="1951"/>
    <n v="2580"/>
    <n v="1519"/>
    <n v="1906"/>
    <n v="101"/>
    <n v="166"/>
    <n v="0"/>
    <n v="0"/>
    <n v="25278"/>
    <n v="11084"/>
    <n v="25278"/>
    <n v="11084"/>
    <n v="0"/>
    <n v="0"/>
    <m/>
    <m/>
    <m/>
    <m/>
    <m/>
    <m/>
    <m/>
    <m/>
    <m/>
    <m/>
    <n v="184"/>
    <n v="210"/>
    <n v="448"/>
    <n v="612"/>
    <n v="0"/>
    <n v="0"/>
    <m/>
    <m/>
    <n v="91"/>
    <n v="126"/>
    <n v="106"/>
    <n v="37"/>
    <n v="1572"/>
    <n v="1299"/>
    <x v="1"/>
  </r>
  <r>
    <n v="2020"/>
    <n v="2020"/>
    <x v="2"/>
    <m/>
    <s v="JEHwU064LAj"/>
    <x v="25"/>
    <s v="LB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547"/>
    <n v="6811"/>
    <x v="0"/>
  </r>
  <r>
    <n v="2020"/>
    <n v="2020"/>
    <x v="2"/>
    <m/>
    <s v="bcy4159FETR"/>
    <x v="26"/>
    <s v="MDG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131"/>
    <n v="12485"/>
    <x v="0"/>
  </r>
  <r>
    <n v="2020"/>
    <n v="2020"/>
    <x v="2"/>
    <m/>
    <s v="G037PAPU5dO"/>
    <x v="13"/>
    <s v="MWI"/>
    <m/>
    <n v="441"/>
    <n v="517"/>
    <n v="307"/>
    <n v="332"/>
    <n v="0"/>
    <n v="0"/>
    <n v="0"/>
    <n v="0"/>
    <n v="10719"/>
    <n v="3845"/>
    <n v="6451"/>
    <n v="1932"/>
    <n v="4191"/>
    <n v="1913"/>
    <n v="77"/>
    <n v="0"/>
    <n v="0"/>
    <n v="0"/>
    <n v="0"/>
    <n v="0"/>
    <n v="0"/>
    <n v="0"/>
    <n v="0"/>
    <n v="0"/>
    <n v="56"/>
    <n v="93"/>
    <n v="38"/>
    <n v="113"/>
    <n v="1168"/>
    <n v="311"/>
    <n v="2638"/>
    <n v="1720"/>
    <n v="28"/>
    <n v="24"/>
    <n v="14"/>
    <n v="16"/>
    <m/>
    <m/>
    <x v="0"/>
  </r>
  <r>
    <n v="2020"/>
    <n v="2020"/>
    <x v="2"/>
    <m/>
    <s v="EubjsxqlA4d"/>
    <x v="27"/>
    <s v="ML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91"/>
    <n v="2312"/>
    <x v="0"/>
  </r>
  <r>
    <n v="2020"/>
    <n v="2020"/>
    <x v="2"/>
    <m/>
    <s v="Gan3VYicAWe"/>
    <x v="14"/>
    <s v="MOZ"/>
    <m/>
    <n v="1274"/>
    <n v="1384"/>
    <n v="881"/>
    <n v="859"/>
    <m/>
    <m/>
    <m/>
    <m/>
    <n v="4544"/>
    <n v="4287"/>
    <n v="3831"/>
    <n v="3384"/>
    <n v="713"/>
    <n v="903"/>
    <m/>
    <m/>
    <n v="6324"/>
    <n v="0"/>
    <n v="5049"/>
    <n v="0"/>
    <n v="1275"/>
    <n v="0"/>
    <m/>
    <m/>
    <n v="178"/>
    <n v="104"/>
    <n v="200"/>
    <n v="223"/>
    <m/>
    <m/>
    <m/>
    <m/>
    <n v="27"/>
    <n v="49"/>
    <n v="55"/>
    <n v="18"/>
    <m/>
    <m/>
    <x v="0"/>
  </r>
  <r>
    <n v="2020"/>
    <n v="2020"/>
    <x v="2"/>
    <m/>
    <s v="UlQiEogy3wG"/>
    <x v="28"/>
    <s v="RW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882"/>
    <n v="21685"/>
    <x v="0"/>
  </r>
  <r>
    <n v="2020"/>
    <n v="2020"/>
    <x v="2"/>
    <m/>
    <s v="wj7iV08dvFq"/>
    <x v="15"/>
    <s v="SEN"/>
    <m/>
    <n v="429"/>
    <n v="955"/>
    <n v="88"/>
    <n v="220"/>
    <m/>
    <m/>
    <m/>
    <m/>
    <n v="2286"/>
    <n v="1492"/>
    <n v="1910"/>
    <n v="1385"/>
    <n v="376"/>
    <n v="107"/>
    <m/>
    <m/>
    <n v="1969"/>
    <n v="0"/>
    <n v="1969"/>
    <n v="0"/>
    <m/>
    <m/>
    <m/>
    <m/>
    <m/>
    <m/>
    <m/>
    <m/>
    <m/>
    <m/>
    <m/>
    <m/>
    <n v="54"/>
    <n v="52"/>
    <n v="54"/>
    <n v="41"/>
    <m/>
    <m/>
    <x v="1"/>
  </r>
  <r>
    <n v="2020"/>
    <n v="2020"/>
    <x v="2"/>
    <m/>
    <s v="qbqrFLCJewu"/>
    <x v="29"/>
    <s v="SLE"/>
    <m/>
    <n v="44"/>
    <n v="532"/>
    <n v="28"/>
    <n v="487"/>
    <m/>
    <m/>
    <m/>
    <m/>
    <n v="882"/>
    <n v="158"/>
    <n v="882"/>
    <n v="158"/>
    <m/>
    <m/>
    <m/>
    <m/>
    <n v="611"/>
    <n v="28"/>
    <n v="522"/>
    <n v="8"/>
    <n v="89"/>
    <n v="20"/>
    <m/>
    <m/>
    <n v="5"/>
    <n v="10"/>
    <n v="41"/>
    <n v="152"/>
    <m/>
    <m/>
    <m/>
    <m/>
    <m/>
    <m/>
    <m/>
    <m/>
    <n v="12380"/>
    <n v="1586"/>
    <x v="0"/>
  </r>
  <r>
    <n v="2020"/>
    <n v="2020"/>
    <x v="2"/>
    <m/>
    <s v="mhWSEv79IJW"/>
    <x v="30"/>
    <s v="SS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828"/>
    <n v="4680"/>
    <x v="0"/>
  </r>
  <r>
    <n v="2020"/>
    <n v="2020"/>
    <x v="2"/>
    <m/>
    <s v="O0hWoXlHhIS"/>
    <x v="31"/>
    <s v="N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786"/>
    <n v="12643"/>
    <x v="0"/>
  </r>
  <r>
    <n v="2020"/>
    <n v="2020"/>
    <x v="2"/>
    <m/>
    <s v="WtcZBCTspgM"/>
    <x v="22"/>
    <s v="TG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419"/>
    <n v="5967"/>
    <x v="0"/>
  </r>
  <r>
    <n v="2019"/>
    <n v="2019"/>
    <x v="3"/>
    <m/>
    <s v="hmZE3mVAZFf"/>
    <x v="0"/>
    <s v="BFA"/>
    <m/>
    <n v="644"/>
    <n v="1266"/>
    <n v="390"/>
    <n v="636"/>
    <n v="180"/>
    <n v="513"/>
    <m/>
    <m/>
    <n v="4276"/>
    <n v="7088"/>
    <n v="3339"/>
    <n v="6132"/>
    <n v="937"/>
    <n v="956"/>
    <m/>
    <m/>
    <n v="6471"/>
    <n v="1006"/>
    <n v="3414"/>
    <n v="1006"/>
    <n v="3057"/>
    <n v="0"/>
    <m/>
    <m/>
    <n v="14"/>
    <n v="38"/>
    <n v="127"/>
    <n v="186"/>
    <n v="0"/>
    <n v="0"/>
    <n v="0"/>
    <n v="0"/>
    <n v="28"/>
    <n v="78"/>
    <n v="46"/>
    <n v="44"/>
    <n v="1501"/>
    <n v="1478"/>
    <x v="0"/>
  </r>
  <r>
    <n v="2019"/>
    <n v="2019"/>
    <x v="3"/>
    <m/>
    <s v="EGLpIMSAWhx"/>
    <x v="3"/>
    <s v="GAB"/>
    <m/>
    <n v="573"/>
    <n v="795"/>
    <n v="231"/>
    <n v="285"/>
    <n v="49"/>
    <n v="64"/>
    <n v="1"/>
    <n v="0"/>
    <n v="3361"/>
    <n v="1350"/>
    <n v="2367"/>
    <n v="934"/>
    <n v="992"/>
    <n v="416"/>
    <n v="2"/>
    <n v="0"/>
    <n v="607"/>
    <n v="0"/>
    <n v="607"/>
    <n v="0"/>
    <n v="0"/>
    <n v="0"/>
    <n v="0"/>
    <n v="0"/>
    <n v="15"/>
    <n v="19"/>
    <n v="76"/>
    <n v="64"/>
    <n v="323"/>
    <n v="423"/>
    <n v="8"/>
    <n v="3"/>
    <n v="25"/>
    <n v="54"/>
    <n v="39"/>
    <n v="30"/>
    <n v="87"/>
    <n v="30"/>
    <x v="2"/>
  </r>
  <r>
    <n v="2019"/>
    <n v="2019"/>
    <x v="3"/>
    <m/>
    <s v="c82mDnhUQly"/>
    <x v="5"/>
    <s v="BWA"/>
    <m/>
    <n v="335"/>
    <n v="585"/>
    <n v="308"/>
    <n v="505"/>
    <m/>
    <m/>
    <m/>
    <m/>
    <n v="5409"/>
    <n v="2354"/>
    <n v="5409"/>
    <n v="2354"/>
    <m/>
    <m/>
    <m/>
    <m/>
    <m/>
    <m/>
    <m/>
    <m/>
    <m/>
    <m/>
    <m/>
    <m/>
    <n v="48"/>
    <n v="40"/>
    <n v="76"/>
    <n v="62"/>
    <m/>
    <m/>
    <m/>
    <m/>
    <m/>
    <m/>
    <m/>
    <m/>
    <m/>
    <m/>
    <x v="2"/>
  </r>
  <r>
    <n v="2019"/>
    <n v="2019"/>
    <x v="3"/>
    <m/>
    <s v="Xz7rnovuiOx"/>
    <x v="24"/>
    <s v="BDI"/>
    <m/>
    <n v="157"/>
    <n v="472"/>
    <n v="157"/>
    <n v="472"/>
    <m/>
    <m/>
    <m/>
    <m/>
    <n v="4498"/>
    <n v="3020"/>
    <n v="4498"/>
    <n v="3020"/>
    <m/>
    <m/>
    <m/>
    <m/>
    <n v="55"/>
    <n v="69"/>
    <n v="55"/>
    <n v="69"/>
    <m/>
    <m/>
    <m/>
    <m/>
    <m/>
    <m/>
    <m/>
    <m/>
    <m/>
    <m/>
    <m/>
    <m/>
    <m/>
    <m/>
    <m/>
    <m/>
    <m/>
    <m/>
    <x v="0"/>
  </r>
  <r>
    <n v="2019"/>
    <n v="2019"/>
    <x v="3"/>
    <m/>
    <s v="tV0rWhHr9cj"/>
    <x v="8"/>
    <s v="TCD"/>
    <m/>
    <n v="103"/>
    <n v="539"/>
    <n v="103"/>
    <n v="539"/>
    <m/>
    <m/>
    <m/>
    <m/>
    <n v="313"/>
    <n v="926"/>
    <n v="313"/>
    <n v="926"/>
    <m/>
    <m/>
    <m/>
    <m/>
    <n v="556"/>
    <n v="33"/>
    <m/>
    <m/>
    <m/>
    <m/>
    <n v="556"/>
    <n v="33"/>
    <m/>
    <m/>
    <m/>
    <m/>
    <m/>
    <m/>
    <m/>
    <m/>
    <m/>
    <m/>
    <m/>
    <m/>
    <n v="3"/>
    <n v="9"/>
    <x v="0"/>
  </r>
  <r>
    <n v="2019"/>
    <n v="2019"/>
    <x v="3"/>
    <m/>
    <s v="WC5rU5fLMzY"/>
    <x v="10"/>
    <s v="GHA"/>
    <m/>
    <n v="1157"/>
    <n v="2079"/>
    <n v="827"/>
    <n v="1354"/>
    <m/>
    <m/>
    <m/>
    <m/>
    <n v="50923"/>
    <n v="18866"/>
    <n v="16753"/>
    <n v="9206"/>
    <n v="34170"/>
    <n v="9660"/>
    <m/>
    <m/>
    <n v="12451"/>
    <n v="222"/>
    <n v="12451"/>
    <n v="222"/>
    <m/>
    <m/>
    <m/>
    <m/>
    <m/>
    <m/>
    <m/>
    <m/>
    <m/>
    <m/>
    <m/>
    <m/>
    <m/>
    <m/>
    <m/>
    <m/>
    <m/>
    <m/>
    <x v="1"/>
  </r>
  <r>
    <n v="2019"/>
    <n v="2019"/>
    <x v="3"/>
    <m/>
    <s v="Gan3VYicAWe"/>
    <x v="14"/>
    <s v="MOZ"/>
    <m/>
    <n v="1231"/>
    <n v="1339"/>
    <n v="877"/>
    <n v="838"/>
    <m/>
    <m/>
    <m/>
    <m/>
    <n v="4088"/>
    <n v="4091"/>
    <n v="3953"/>
    <n v="3849"/>
    <n v="135"/>
    <n v="242"/>
    <m/>
    <m/>
    <n v="6175"/>
    <n v="0"/>
    <n v="5889"/>
    <n v="0"/>
    <n v="286"/>
    <n v="0"/>
    <m/>
    <m/>
    <n v="183"/>
    <n v="105"/>
    <n v="181"/>
    <n v="204"/>
    <m/>
    <m/>
    <m/>
    <m/>
    <n v="29"/>
    <n v="47"/>
    <n v="46"/>
    <n v="20"/>
    <n v="2290"/>
    <n v="4342"/>
    <x v="0"/>
  </r>
  <r>
    <n v="2019"/>
    <n v="2019"/>
    <x v="3"/>
    <m/>
    <s v="wj7iV08dvFq"/>
    <x v="15"/>
    <s v="SEN"/>
    <m/>
    <n v="96"/>
    <n v="257"/>
    <n v="96"/>
    <n v="257"/>
    <m/>
    <m/>
    <m/>
    <m/>
    <n v="2528"/>
    <n v="1587"/>
    <n v="1080"/>
    <n v="883"/>
    <n v="1448"/>
    <n v="704"/>
    <m/>
    <m/>
    <n v="2615"/>
    <n v="27"/>
    <n v="2170"/>
    <n v="18"/>
    <n v="445"/>
    <n v="9"/>
    <m/>
    <m/>
    <m/>
    <m/>
    <m/>
    <m/>
    <m/>
    <m/>
    <m/>
    <m/>
    <n v="56"/>
    <n v="60"/>
    <n v="69"/>
    <n v="59"/>
    <n v="486"/>
    <n v="639"/>
    <x v="1"/>
  </r>
  <r>
    <n v="2018"/>
    <n v="2018"/>
    <x v="4"/>
    <m/>
    <s v="FNduj2N3e8s"/>
    <x v="32"/>
    <s v="STP"/>
    <m/>
    <m/>
    <m/>
    <m/>
    <m/>
    <m/>
    <m/>
    <m/>
    <m/>
    <n v="296"/>
    <n v="110"/>
    <m/>
    <m/>
    <m/>
    <m/>
    <n v="296"/>
    <n v="110"/>
    <m/>
    <m/>
    <m/>
    <m/>
    <m/>
    <m/>
    <m/>
    <m/>
    <m/>
    <m/>
    <m/>
    <m/>
    <m/>
    <m/>
    <m/>
    <m/>
    <m/>
    <m/>
    <m/>
    <m/>
    <m/>
    <m/>
    <x v="1"/>
  </r>
  <r>
    <n v="2018"/>
    <n v="2018"/>
    <x v="4"/>
    <m/>
    <s v="EDHO4qOyY88"/>
    <x v="33"/>
    <s v="COD"/>
    <m/>
    <m/>
    <m/>
    <m/>
    <m/>
    <m/>
    <m/>
    <m/>
    <m/>
    <n v="17062"/>
    <n v="34316"/>
    <n v="12553"/>
    <n v="24427"/>
    <n v="4509"/>
    <n v="9889"/>
    <m/>
    <m/>
    <m/>
    <m/>
    <m/>
    <m/>
    <m/>
    <m/>
    <m/>
    <m/>
    <m/>
    <m/>
    <m/>
    <m/>
    <m/>
    <m/>
    <m/>
    <m/>
    <m/>
    <m/>
    <m/>
    <m/>
    <m/>
    <m/>
    <x v="0"/>
  </r>
  <r>
    <n v="2018"/>
    <n v="2018"/>
    <x v="4"/>
    <m/>
    <s v="I3NxIqG7bD4"/>
    <x v="2"/>
    <s v="NGA"/>
    <m/>
    <n v="28790"/>
    <n v="15231"/>
    <n v="28790"/>
    <n v="15231"/>
    <m/>
    <m/>
    <m/>
    <m/>
    <n v="108655"/>
    <n v="15906"/>
    <n v="108655"/>
    <n v="15906"/>
    <m/>
    <m/>
    <m/>
    <m/>
    <m/>
    <m/>
    <m/>
    <m/>
    <m/>
    <m/>
    <m/>
    <m/>
    <m/>
    <m/>
    <m/>
    <m/>
    <m/>
    <m/>
    <m/>
    <m/>
    <m/>
    <m/>
    <m/>
    <m/>
    <m/>
    <m/>
    <x v="1"/>
  </r>
  <r>
    <n v="2018"/>
    <n v="2018"/>
    <x v="4"/>
    <m/>
    <s v="G3thRWUQAX9"/>
    <x v="4"/>
    <s v="SWZ"/>
    <m/>
    <m/>
    <m/>
    <m/>
    <m/>
    <m/>
    <m/>
    <m/>
    <m/>
    <n v="3600"/>
    <n v="1106"/>
    <n v="2738"/>
    <n v="939"/>
    <n v="862"/>
    <n v="167"/>
    <m/>
    <m/>
    <m/>
    <m/>
    <m/>
    <m/>
    <m/>
    <m/>
    <m/>
    <m/>
    <m/>
    <m/>
    <m/>
    <m/>
    <m/>
    <m/>
    <m/>
    <m/>
    <m/>
    <m/>
    <m/>
    <m/>
    <m/>
    <m/>
    <x v="1"/>
  </r>
  <r>
    <n v="2018"/>
    <n v="2018"/>
    <x v="4"/>
    <m/>
    <s v="mNa42CHbkO7"/>
    <x v="34"/>
    <s v="DZA"/>
    <m/>
    <n v="43970"/>
    <n v="28634"/>
    <n v="20406"/>
    <n v="12368"/>
    <n v="12843"/>
    <n v="6972"/>
    <m/>
    <m/>
    <n v="34643"/>
    <n v="21768"/>
    <n v="29831"/>
    <n v="15342"/>
    <n v="4812"/>
    <n v="6426"/>
    <m/>
    <m/>
    <n v="8903"/>
    <n v="45"/>
    <n v="8701"/>
    <n v="38"/>
    <n v="202"/>
    <n v="7"/>
    <m/>
    <m/>
    <n v="9405"/>
    <n v="6032"/>
    <n v="10953"/>
    <n v="7854"/>
    <m/>
    <m/>
    <m/>
    <m/>
    <n v="2360"/>
    <n v="754"/>
    <n v="2016"/>
    <n v="944"/>
    <m/>
    <m/>
    <x v="1"/>
  </r>
  <r>
    <n v="2018"/>
    <n v="2018"/>
    <x v="4"/>
    <m/>
    <s v="DzAOqCf0ots"/>
    <x v="23"/>
    <s v="BEN"/>
    <m/>
    <n v="378"/>
    <n v="530"/>
    <n v="98"/>
    <n v="248"/>
    <n v="4"/>
    <n v="9"/>
    <m/>
    <m/>
    <n v="1066"/>
    <n v="2344"/>
    <n v="1066"/>
    <n v="2344"/>
    <m/>
    <m/>
    <m/>
    <m/>
    <n v="1055"/>
    <n v="0"/>
    <n v="1055"/>
    <n v="0"/>
    <m/>
    <m/>
    <m/>
    <m/>
    <n v="9"/>
    <n v="3"/>
    <n v="194"/>
    <n v="112"/>
    <m/>
    <m/>
    <m/>
    <m/>
    <n v="41"/>
    <n v="34"/>
    <n v="31"/>
    <n v="16"/>
    <m/>
    <m/>
    <x v="1"/>
  </r>
  <r>
    <n v="2018"/>
    <n v="2018"/>
    <x v="4"/>
    <m/>
    <s v="c82mDnhUQly"/>
    <x v="5"/>
    <s v="BWA"/>
    <m/>
    <n v="312"/>
    <n v="613"/>
    <n v="286"/>
    <n v="521"/>
    <m/>
    <m/>
    <m/>
    <m/>
    <n v="5376"/>
    <n v="2269"/>
    <n v="5376"/>
    <n v="2269"/>
    <m/>
    <m/>
    <m/>
    <m/>
    <m/>
    <m/>
    <m/>
    <m/>
    <m/>
    <m/>
    <m/>
    <m/>
    <n v="52"/>
    <n v="44"/>
    <n v="90"/>
    <n v="66"/>
    <m/>
    <m/>
    <m/>
    <m/>
    <m/>
    <m/>
    <m/>
    <m/>
    <m/>
    <m/>
    <x v="2"/>
  </r>
  <r>
    <n v="2018"/>
    <n v="2018"/>
    <x v="4"/>
    <m/>
    <s v="bGWaeVBrOcc"/>
    <x v="6"/>
    <s v="CPV"/>
    <m/>
    <m/>
    <m/>
    <m/>
    <m/>
    <m/>
    <m/>
    <m/>
    <m/>
    <n v="506"/>
    <n v="141"/>
    <m/>
    <m/>
    <m/>
    <m/>
    <n v="506"/>
    <n v="141"/>
    <m/>
    <m/>
    <m/>
    <m/>
    <m/>
    <m/>
    <m/>
    <m/>
    <m/>
    <m/>
    <m/>
    <m/>
    <m/>
    <m/>
    <m/>
    <m/>
    <m/>
    <m/>
    <m/>
    <m/>
    <m/>
    <m/>
    <x v="1"/>
  </r>
  <r>
    <n v="2018"/>
    <n v="2018"/>
    <x v="4"/>
    <m/>
    <s v="WXGcnQWJ0Qd"/>
    <x v="9"/>
    <s v="CIV"/>
    <m/>
    <m/>
    <m/>
    <m/>
    <m/>
    <m/>
    <m/>
    <m/>
    <m/>
    <n v="6956"/>
    <n v="8207"/>
    <n v="3919"/>
    <n v="7649"/>
    <n v="3037"/>
    <n v="558"/>
    <m/>
    <m/>
    <m/>
    <m/>
    <m/>
    <m/>
    <m/>
    <m/>
    <m/>
    <m/>
    <m/>
    <m/>
    <m/>
    <m/>
    <m/>
    <m/>
    <m/>
    <m/>
    <m/>
    <m/>
    <m/>
    <m/>
    <m/>
    <m/>
    <x v="1"/>
  </r>
  <r>
    <n v="2018"/>
    <n v="2018"/>
    <x v="4"/>
    <m/>
    <s v="WC5rU5fLMzY"/>
    <x v="10"/>
    <s v="GHA"/>
    <m/>
    <m/>
    <m/>
    <m/>
    <m/>
    <m/>
    <m/>
    <m/>
    <m/>
    <n v="54990"/>
    <n v="16098"/>
    <n v="24168"/>
    <n v="7696"/>
    <n v="30822"/>
    <n v="8402"/>
    <m/>
    <m/>
    <m/>
    <m/>
    <m/>
    <m/>
    <m/>
    <m/>
    <m/>
    <m/>
    <m/>
    <m/>
    <m/>
    <m/>
    <m/>
    <m/>
    <m/>
    <m/>
    <m/>
    <m/>
    <m/>
    <m/>
    <m/>
    <m/>
    <x v="1"/>
  </r>
  <r>
    <n v="2018"/>
    <n v="2018"/>
    <x v="4"/>
    <m/>
    <s v="G9o5ad4oJJX"/>
    <x v="11"/>
    <s v="GNB"/>
    <m/>
    <m/>
    <m/>
    <m/>
    <m/>
    <m/>
    <m/>
    <m/>
    <m/>
    <n v="698"/>
    <n v="322"/>
    <n v="690"/>
    <n v="319"/>
    <n v="8"/>
    <n v="3"/>
    <m/>
    <m/>
    <m/>
    <m/>
    <m/>
    <m/>
    <m/>
    <m/>
    <m/>
    <m/>
    <m/>
    <m/>
    <m/>
    <m/>
    <m/>
    <m/>
    <m/>
    <m/>
    <m/>
    <m/>
    <m/>
    <m/>
    <m/>
    <m/>
    <x v="0"/>
  </r>
  <r>
    <n v="2018"/>
    <n v="2018"/>
    <x v="4"/>
    <m/>
    <s v="HfVjCurKxh2"/>
    <x v="12"/>
    <s v="KEN"/>
    <m/>
    <m/>
    <m/>
    <m/>
    <m/>
    <m/>
    <m/>
    <m/>
    <m/>
    <n v="71833"/>
    <n v="22848"/>
    <n v="44071"/>
    <n v="14560"/>
    <n v="27762"/>
    <n v="8288"/>
    <m/>
    <m/>
    <m/>
    <m/>
    <m/>
    <m/>
    <m/>
    <m/>
    <m/>
    <m/>
    <m/>
    <m/>
    <m/>
    <m/>
    <m/>
    <m/>
    <m/>
    <m/>
    <m/>
    <m/>
    <m/>
    <m/>
    <m/>
    <m/>
    <x v="1"/>
  </r>
  <r>
    <n v="2018"/>
    <n v="2018"/>
    <x v="4"/>
    <m/>
    <s v="JEHwU064LAj"/>
    <x v="25"/>
    <s v="LBR"/>
    <m/>
    <m/>
    <m/>
    <m/>
    <m/>
    <m/>
    <m/>
    <m/>
    <m/>
    <n v="1734"/>
    <n v="830"/>
    <m/>
    <m/>
    <m/>
    <m/>
    <n v="1734"/>
    <n v="830"/>
    <m/>
    <m/>
    <m/>
    <m/>
    <m/>
    <m/>
    <m/>
    <m/>
    <m/>
    <m/>
    <m/>
    <m/>
    <m/>
    <m/>
    <m/>
    <m/>
    <m/>
    <m/>
    <m/>
    <m/>
    <m/>
    <m/>
    <x v="0"/>
  </r>
  <r>
    <n v="2018"/>
    <n v="2018"/>
    <x v="4"/>
    <m/>
    <s v="bcy4159FETR"/>
    <x v="26"/>
    <s v="MDG"/>
    <m/>
    <m/>
    <m/>
    <m/>
    <m/>
    <m/>
    <m/>
    <m/>
    <m/>
    <n v="1423"/>
    <n v="2037"/>
    <n v="1423"/>
    <n v="2037"/>
    <m/>
    <m/>
    <m/>
    <m/>
    <n v="3994"/>
    <n v="0"/>
    <n v="3994"/>
    <n v="0"/>
    <m/>
    <m/>
    <m/>
    <m/>
    <m/>
    <m/>
    <m/>
    <m/>
    <m/>
    <m/>
    <m/>
    <m/>
    <m/>
    <m/>
    <m/>
    <m/>
    <m/>
    <m/>
    <x v="0"/>
  </r>
  <r>
    <n v="2018"/>
    <n v="2018"/>
    <x v="4"/>
    <m/>
    <s v="G037PAPU5dO"/>
    <x v="13"/>
    <s v="MWI"/>
    <m/>
    <m/>
    <m/>
    <m/>
    <m/>
    <m/>
    <m/>
    <m/>
    <m/>
    <n v="6154"/>
    <n v="1886"/>
    <n v="1484"/>
    <n v="437"/>
    <n v="4670"/>
    <n v="1449"/>
    <m/>
    <m/>
    <m/>
    <m/>
    <m/>
    <m/>
    <m/>
    <m/>
    <m/>
    <m/>
    <m/>
    <m/>
    <m/>
    <m/>
    <m/>
    <m/>
    <m/>
    <m/>
    <m/>
    <m/>
    <m/>
    <m/>
    <m/>
    <m/>
    <x v="0"/>
  </r>
  <r>
    <n v="2018"/>
    <n v="2018"/>
    <x v="4"/>
    <m/>
    <s v="EubjsxqlA4d"/>
    <x v="27"/>
    <s v="MLI"/>
    <m/>
    <n v="283"/>
    <n v="2234"/>
    <n v="165"/>
    <n v="1162"/>
    <m/>
    <m/>
    <m/>
    <m/>
    <n v="2233"/>
    <n v="2941"/>
    <n v="2233"/>
    <n v="2941"/>
    <m/>
    <m/>
    <m/>
    <m/>
    <n v="1666"/>
    <n v="0"/>
    <n v="1666"/>
    <n v="0"/>
    <m/>
    <m/>
    <m/>
    <m/>
    <m/>
    <m/>
    <n v="617"/>
    <n v="664"/>
    <n v="1638"/>
    <m/>
    <m/>
    <m/>
    <n v="8"/>
    <n v="84"/>
    <n v="22"/>
    <n v="39"/>
    <m/>
    <m/>
    <x v="0"/>
  </r>
  <r>
    <n v="2018"/>
    <n v="2018"/>
    <x v="4"/>
    <m/>
    <s v="Gan3VYicAWe"/>
    <x v="14"/>
    <s v="MOZ"/>
    <m/>
    <m/>
    <m/>
    <m/>
    <m/>
    <m/>
    <m/>
    <m/>
    <m/>
    <n v="9861"/>
    <n v="4313"/>
    <n v="630"/>
    <n v="415"/>
    <n v="9231"/>
    <n v="3898"/>
    <m/>
    <m/>
    <m/>
    <m/>
    <m/>
    <m/>
    <m/>
    <m/>
    <m/>
    <m/>
    <m/>
    <m/>
    <m/>
    <m/>
    <m/>
    <m/>
    <m/>
    <m/>
    <m/>
    <m/>
    <m/>
    <m/>
    <m/>
    <m/>
    <x v="0"/>
  </r>
  <r>
    <n v="2018"/>
    <n v="2018"/>
    <x v="4"/>
    <m/>
    <s v="rtLnlu4GUI2"/>
    <x v="35"/>
    <s v="NAM"/>
    <m/>
    <m/>
    <m/>
    <m/>
    <m/>
    <m/>
    <m/>
    <m/>
    <m/>
    <m/>
    <m/>
    <m/>
    <m/>
    <m/>
    <m/>
    <m/>
    <m/>
    <m/>
    <m/>
    <m/>
    <m/>
    <m/>
    <m/>
    <m/>
    <m/>
    <n v="75"/>
    <n v="103"/>
    <n v="276"/>
    <n v="322"/>
    <m/>
    <m/>
    <m/>
    <m/>
    <m/>
    <m/>
    <m/>
    <m/>
    <m/>
    <m/>
    <x v="2"/>
  </r>
  <r>
    <n v="2018"/>
    <n v="2018"/>
    <x v="4"/>
    <m/>
    <s v="wimH12ukPK5"/>
    <x v="16"/>
    <s v="SYC"/>
    <m/>
    <n v="90"/>
    <n v="150"/>
    <n v="55"/>
    <n v="70"/>
    <m/>
    <m/>
    <m/>
    <m/>
    <n v="871"/>
    <n v="80"/>
    <n v="871"/>
    <n v="80"/>
    <m/>
    <m/>
    <m/>
    <m/>
    <n v="5"/>
    <n v="0"/>
    <n v="5"/>
    <n v="0"/>
    <m/>
    <m/>
    <m/>
    <m/>
    <m/>
    <m/>
    <m/>
    <m/>
    <n v="314"/>
    <n v="2"/>
    <m/>
    <m/>
    <n v="5"/>
    <n v="6"/>
    <n v="3"/>
    <n v="4"/>
    <m/>
    <m/>
    <x v="2"/>
  </r>
  <r>
    <n v="2018"/>
    <n v="2018"/>
    <x v="4"/>
    <m/>
    <s v="qbqrFLCJewu"/>
    <x v="29"/>
    <s v="SLE"/>
    <m/>
    <m/>
    <m/>
    <m/>
    <m/>
    <m/>
    <m/>
    <m/>
    <m/>
    <n v="5184"/>
    <n v="578"/>
    <n v="783"/>
    <n v="87"/>
    <n v="2291"/>
    <n v="256"/>
    <n v="2110"/>
    <n v="235"/>
    <m/>
    <m/>
    <m/>
    <m/>
    <m/>
    <m/>
    <m/>
    <m/>
    <m/>
    <m/>
    <m/>
    <m/>
    <m/>
    <m/>
    <m/>
    <m/>
    <m/>
    <m/>
    <m/>
    <m/>
    <m/>
    <m/>
    <x v="0"/>
  </r>
  <r>
    <n v="2018"/>
    <n v="2018"/>
    <x v="4"/>
    <m/>
    <s v="SnYHrnchKjL"/>
    <x v="18"/>
    <s v="UGA"/>
    <m/>
    <m/>
    <m/>
    <m/>
    <m/>
    <m/>
    <m/>
    <m/>
    <m/>
    <n v="54996"/>
    <n v="14364"/>
    <m/>
    <m/>
    <m/>
    <m/>
    <n v="54996"/>
    <n v="14364"/>
    <m/>
    <m/>
    <m/>
    <m/>
    <m/>
    <m/>
    <m/>
    <m/>
    <m/>
    <m/>
    <m/>
    <m/>
    <m/>
    <m/>
    <m/>
    <m/>
    <m/>
    <m/>
    <m/>
    <m/>
    <m/>
    <m/>
    <x v="0"/>
  </r>
  <r>
    <n v="2018"/>
    <n v="2018"/>
    <x v="4"/>
    <m/>
    <s v="gb7vWtO7Wjp"/>
    <x v="19"/>
    <s v="ZMB"/>
    <m/>
    <n v="16792"/>
    <n v="3799"/>
    <m/>
    <m/>
    <m/>
    <m/>
    <n v="16792"/>
    <n v="3799"/>
    <n v="6692"/>
    <n v="1445"/>
    <n v="5814"/>
    <n v="1285"/>
    <n v="878"/>
    <n v="160"/>
    <m/>
    <m/>
    <m/>
    <m/>
    <m/>
    <m/>
    <m/>
    <m/>
    <m/>
    <m/>
    <m/>
    <m/>
    <m/>
    <m/>
    <n v="1807"/>
    <n v="327"/>
    <n v="925"/>
    <n v="167"/>
    <m/>
    <m/>
    <m/>
    <m/>
    <m/>
    <m/>
    <x v="1"/>
  </r>
  <r>
    <n v="2018"/>
    <n v="2018"/>
    <x v="4"/>
    <m/>
    <s v="buSEeeViTo3"/>
    <x v="20"/>
    <s v="ZWE"/>
    <m/>
    <n v="851"/>
    <n v="2172"/>
    <n v="521"/>
    <n v="1341"/>
    <n v="34"/>
    <n v="82"/>
    <n v="152"/>
    <n v="392"/>
    <n v="21230"/>
    <n v="6704"/>
    <n v="11310"/>
    <n v="3572"/>
    <n v="9920"/>
    <n v="3132"/>
    <m/>
    <m/>
    <m/>
    <m/>
    <m/>
    <m/>
    <m/>
    <m/>
    <m/>
    <m/>
    <n v="34"/>
    <n v="70"/>
    <n v="615"/>
    <n v="782"/>
    <n v="5737"/>
    <n v="437"/>
    <n v="4780"/>
    <n v="1050"/>
    <n v="31"/>
    <n v="76"/>
    <n v="15"/>
    <n v="36"/>
    <n v="9533"/>
    <n v="6355"/>
    <x v="1"/>
  </r>
  <r>
    <n v="2018"/>
    <n v="2018"/>
    <x v="4"/>
    <m/>
    <s v="vnbnnSZXGTv"/>
    <x v="21"/>
    <s v="ERI"/>
    <m/>
    <m/>
    <m/>
    <m/>
    <m/>
    <m/>
    <m/>
    <m/>
    <m/>
    <n v="2832"/>
    <n v="2138"/>
    <n v="917"/>
    <n v="1139"/>
    <n v="1915"/>
    <n v="999"/>
    <m/>
    <m/>
    <m/>
    <m/>
    <m/>
    <m/>
    <m/>
    <m/>
    <m/>
    <m/>
    <m/>
    <m/>
    <m/>
    <m/>
    <m/>
    <m/>
    <m/>
    <m/>
    <m/>
    <m/>
    <m/>
    <m/>
    <m/>
    <m/>
    <x v="0"/>
  </r>
  <r>
    <n v="2018"/>
    <n v="2018"/>
    <x v="4"/>
    <m/>
    <s v="WtcZBCTspgM"/>
    <x v="22"/>
    <s v="TGO"/>
    <m/>
    <m/>
    <m/>
    <m/>
    <m/>
    <m/>
    <m/>
    <m/>
    <m/>
    <n v="328"/>
    <n v="1204"/>
    <m/>
    <m/>
    <m/>
    <m/>
    <n v="328"/>
    <n v="1204"/>
    <m/>
    <m/>
    <m/>
    <m/>
    <m/>
    <m/>
    <m/>
    <m/>
    <m/>
    <m/>
    <m/>
    <m/>
    <m/>
    <m/>
    <m/>
    <m/>
    <m/>
    <m/>
    <m/>
    <m/>
    <m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9C4951-81B4-43BE-AEC9-E93357A63833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" firstHeaderRow="0" firstDataRow="1" firstDataCol="0" rowPageCount="1" colPageCount="1"/>
  <pivotFields count="46">
    <pivotField showAll="0"/>
    <pivotField showAll="0"/>
    <pivotField axis="axisPage" showAll="0">
      <items count="6"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>
      <items count="31">
        <item x="7"/>
        <item x="11"/>
        <item x="3"/>
        <item x="12"/>
        <item x="29"/>
        <item x="24"/>
        <item x="27"/>
        <item x="10"/>
        <item x="6"/>
        <item x="9"/>
        <item x="23"/>
        <item x="16"/>
        <item x="26"/>
        <item x="19"/>
        <item x="13"/>
        <item x="5"/>
        <item x="15"/>
        <item x="22"/>
        <item x="28"/>
        <item x="20"/>
        <item x="8"/>
        <item x="4"/>
        <item x="25"/>
        <item x="21"/>
        <item x="17"/>
        <item x="0"/>
        <item x="14"/>
        <item x="18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2">
    <i>
      <x/>
    </i>
    <i i="1">
      <x v="1"/>
    </i>
  </colItems>
  <pageFields count="1">
    <pageField fld="2" item="4" hier="-1"/>
  </pageFields>
  <dataFields count="2">
    <dataField name="Sum of NHWA_Midwifery personnel Stock By Sex Male" fld="25" baseField="0" baseItem="0"/>
    <dataField name="Sum of NHWA_Midwifery personnel Stock By Sex Female" fld="24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B8C08A-026A-4A4A-BA02-42011EC90093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" firstHeaderRow="0" firstDataRow="1" firstDataCol="0" rowPageCount="1" colPageCount="1"/>
  <pivotFields count="46">
    <pivotField showAll="0"/>
    <pivotField showAll="0"/>
    <pivotField axis="axisPage" showAll="0">
      <items count="6"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2">
    <i>
      <x/>
    </i>
    <i i="1">
      <x v="1"/>
    </i>
  </colItems>
  <pageFields count="1">
    <pageField fld="2" item="4" hier="-1"/>
  </pageFields>
  <dataFields count="2">
    <dataField name="Sum of NHWA_Medical Doctors Stock By Sex Female" fld="8" baseField="0" baseItem="0"/>
    <dataField name="Sum of NHWA_Medical Doctors Stock By Sex Male" fld="9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DC82D6-DA51-468D-8848-28AF6E55D546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" firstHeaderRow="0" firstDataRow="1" firstDataCol="0" rowPageCount="1" colPageCount="1"/>
  <pivotFields count="46">
    <pivotField showAll="0"/>
    <pivotField showAll="0"/>
    <pivotField axis="axisPage" showAll="0">
      <items count="6"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2">
    <i>
      <x/>
    </i>
    <i i="1">
      <x v="1"/>
    </i>
  </colItems>
  <pageFields count="1">
    <pageField fld="2" item="1" hier="-1"/>
  </pageFields>
  <dataFields count="2">
    <dataField name="Sum of NHWA_Nursing  Personnel Stock By Sex Female" fld="16" baseField="0" baseItem="0"/>
    <dataField name="Sum of NHWA_Nursing  Personnel Stock By Sex Male" fld="17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2E7300-84CC-480D-B8B3-2E4A88748434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" firstHeaderRow="0" firstDataRow="1" firstDataCol="0" rowPageCount="1" colPageCount="1"/>
  <pivotFields count="46">
    <pivotField showAll="0"/>
    <pivotField showAll="0"/>
    <pivotField axis="axisPage" showAll="0">
      <items count="6"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2">
    <i>
      <x/>
    </i>
    <i i="1">
      <x v="1"/>
    </i>
  </colItems>
  <pageFields count="1">
    <pageField fld="2" item="4" hier="-1"/>
  </pageFields>
  <dataFields count="2">
    <dataField name="Sum of NHWA_Dentists Stock By Sex Female" fld="32" baseField="0" baseItem="0"/>
    <dataField name="Sum of NHWA_Dentists Stock By Sex Male" fld="33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320630-199A-48DC-B572-28BDBC650EE0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" firstHeaderRow="0" firstDataRow="1" firstDataCol="0" rowPageCount="1" colPageCount="1"/>
  <pivotFields count="46">
    <pivotField showAll="0"/>
    <pivotField showAll="0"/>
    <pivotField axis="axisPage" showAll="0">
      <items count="6"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2">
    <i>
      <x/>
    </i>
    <i i="1">
      <x v="1"/>
    </i>
  </colItems>
  <pageFields count="1">
    <pageField fld="2" item="4" hier="-1"/>
  </pageFields>
  <dataFields count="2">
    <dataField name="Sum of NHWA_Pharmacists Stock By Sex Female" fld="34" baseField="0" baseItem="0"/>
    <dataField name="Sum of NHWA_Pharmacists Stock By Sex Male" fld="35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C58E1E-0DD1-4440-B635-D92A78A2592D}" name="PivotTable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" firstHeaderRow="0" firstDataRow="1" firstDataCol="0" rowPageCount="1" colPageCount="1"/>
  <pivotFields count="46">
    <pivotField showAll="0"/>
    <pivotField showAll="0"/>
    <pivotField axis="axisPage" showAll="0">
      <items count="6"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Items count="1">
    <i/>
  </rowItems>
  <colFields count="1">
    <field x="-2"/>
  </colFields>
  <colItems count="2">
    <i>
      <x/>
    </i>
    <i i="1">
      <x v="1"/>
    </i>
  </colItems>
  <pageFields count="1">
    <pageField fld="2" item="4" hier="-1"/>
  </pageFields>
  <dataFields count="2">
    <dataField name="Sum of NHWA_Community Health Workers Stock By Sex Female" fld="44" baseField="0" baseItem="0"/>
    <dataField name="Sum of NHWA_Community Health Workers Stock By Sex Male" fld="45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95DD5E-CC82-4D47-8D3E-F5F472A0CAB4}" name="PivotTable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H40" firstHeaderRow="0" firstDataRow="1" firstDataCol="1" rowPageCount="1" colPageCount="1"/>
  <pivotFields count="46">
    <pivotField showAll="0"/>
    <pivotField showAll="0"/>
    <pivotField axis="axisPage" showAll="0">
      <items count="6">
        <item x="4"/>
        <item x="3"/>
        <item x="2"/>
        <item x="1"/>
        <item x="0"/>
        <item t="default"/>
      </items>
    </pivotField>
    <pivotField showAll="0"/>
    <pivotField showAll="0"/>
    <pivotField showAll="0"/>
    <pivotField axis="axisRow" showAll="0">
      <items count="37">
        <item x="24"/>
        <item x="23"/>
        <item x="0"/>
        <item x="5"/>
        <item x="9"/>
        <item x="7"/>
        <item x="33"/>
        <item x="17"/>
        <item x="6"/>
        <item x="34"/>
        <item x="21"/>
        <item x="1"/>
        <item x="3"/>
        <item x="10"/>
        <item x="11"/>
        <item x="12"/>
        <item x="25"/>
        <item x="26"/>
        <item x="27"/>
        <item x="14"/>
        <item x="13"/>
        <item x="35"/>
        <item x="31"/>
        <item x="2"/>
        <item x="28"/>
        <item x="15"/>
        <item x="29"/>
        <item x="30"/>
        <item x="32"/>
        <item x="4"/>
        <item x="16"/>
        <item x="8"/>
        <item x="22"/>
        <item x="18"/>
        <item x="19"/>
        <item x="20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6"/>
  </rowFields>
  <rowItems count="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 t="grand">
      <x/>
    </i>
  </rowItems>
  <colFields count="1">
    <field x="-2"/>
  </colFields>
  <colItems count="3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  <i i="27">
      <x v="27"/>
    </i>
    <i i="28">
      <x v="28"/>
    </i>
    <i i="29">
      <x v="29"/>
    </i>
    <i i="30">
      <x v="30"/>
    </i>
    <i i="31">
      <x v="31"/>
    </i>
    <i i="32">
      <x v="32"/>
    </i>
  </colItems>
  <pageFields count="1">
    <pageField fld="2" hier="-1"/>
  </pageFields>
  <dataFields count="33">
    <dataField name="Sum of NHWA_Medical Doctors Stock By Sex Male" fld="9" baseField="0" baseItem="0"/>
    <dataField name="Sum of NHWA_Community Health Workers Stock By Sex Female" fld="44" baseField="0" baseItem="0"/>
    <dataField name="Sum of NHWA_Community Health Workers Stock By Sex Male" fld="45" baseField="0" baseItem="0"/>
    <dataField name="Sum of NHWA_Medical Doctors Stock By Sex Female" fld="8" baseField="0" baseItem="0"/>
    <dataField name="Sum of NHWA_Nursing  Personnel Stock By Sex Female" fld="16" baseField="0" baseItem="0"/>
    <dataField name="Sum of NHWA_Nursing  Personnel Stock By Sex Male" fld="17" baseField="0" baseItem="0"/>
    <dataField name="Sum of NHWA_Generalist Medical Practitioners (incl. Family medical practitioners) Stock By Sex Female" fld="10" baseField="0" baseItem="0"/>
    <dataField name="Sum of NHWA_Generalist Medical Practitioners (incl. Family medical practitioners) Stock By Sex Male" fld="11" baseField="0" baseItem="0"/>
    <dataField name="Sum of NHWA_Medical group of Specialists Practitioners Stock By Sex Female" fld="12" baseField="0" baseItem="0"/>
    <dataField name="Sum of NHWA_Medical group of Specialists Practitioners Stock By Sex Male" fld="13" baseField="0" baseItem="0"/>
    <dataField name="Sum of NHWA_Medical doctors not further defined Stock By Sex Female" fld="14" baseField="0" baseItem="0"/>
    <dataField name="Sum of NHWA_Medical doctors not further defined Stock By Sex Male" fld="15" baseField="0" baseItem="0"/>
    <dataField name="Sum of NHWA_Nursing Professionals Stock By Sex Female" fld="18" baseField="0" baseItem="0"/>
    <dataField name="Sum of NHWA_Nursing Professionals Stock By Sex Male" fld="19" baseField="0" baseItem="0"/>
    <dataField name="Sum of NHWA_Nursing Associate Professionals Stock By Sex Female" fld="20" baseField="0" baseItem="0"/>
    <dataField name="Sum of NHWA_Nursing Associate Professionals Stock By Sex Male" fld="21" baseField="0" baseItem="0"/>
    <dataField name="Sum of NHWA_Nurses not further defined Stock By Sex Female" fld="22" baseField="0" baseItem="0"/>
    <dataField name="Sum of NHWA_Nurses not further defined Stock By Sex Male" fld="23" baseField="0" baseItem="0"/>
    <dataField name="Sum of NHWA_Midwifery personnel Stock By Sex Female" fld="24" baseField="0" baseItem="0"/>
    <dataField name="Sum of NHWA_Midwifery personnel Stock By Sex Male" fld="25" baseField="0" baseItem="0"/>
    <dataField name="Sum of NHWA_Midwifery Professionals Stock By Sex Female" fld="26" baseField="0" baseItem="0"/>
    <dataField name="Sum of NHWA_Midwifery Professionals Stock By Sex Male" fld="27" baseField="0" baseItem="0"/>
    <dataField name="Sum of NHWA_Midwifery Associate Professionals Stock By Sex Female" fld="28" baseField="0" baseItem="0"/>
    <dataField name="Sum of NHWA_Midwifery Associate Professionals Stock By Sex Male" fld="29" baseField="0" baseItem="0"/>
    <dataField name="Sum of NHWA_Midwives not further defined Stock By Sex Female" fld="30" baseField="0" baseItem="0"/>
    <dataField name="Sum of NHWA_Midwives not further defined Stock By Sex Male" fld="31" baseField="0" baseItem="0"/>
    <dataField name="Sum of NHWA_Dentists Stock By Sex Female" fld="32" baseField="0" baseItem="0"/>
    <dataField name="Sum of NHWA_Dentists Stock By Sex Male" fld="33" baseField="0" baseItem="0"/>
    <dataField name="Sum of NHWA_Pharmacists Stock By Sex Female" fld="34" baseField="0" baseItem="0"/>
    <dataField name="Sum of NHWA_Pharmacists Stock By Sex Male" fld="35" baseField="0" baseItem="0"/>
    <dataField name="Sum of NHWA_Nursing Professionals Stock with additional midwifery training By Sex Female" fld="36" baseField="0" baseItem="0"/>
    <dataField name="Sum of NHWA_Nursing Professionals Stock with additional midwifery training By Sex Male" fld="37" baseField="0" baseItem="0"/>
    <dataField name="Sum of NHWA_Nursing Associate Professionals Stock with additional midwifery training By Sex Female" fld="38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243A2D-A5BC-4857-AFFF-FDEF1BA1DB7F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Q7" firstHeaderRow="0" firstDataRow="1" firstDataCol="1" rowPageCount="1" colPageCount="1"/>
  <pivotFields count="47">
    <pivotField showAll="0"/>
    <pivotField showAll="0"/>
    <pivotField axis="axisPage" showAll="0">
      <items count="6"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axis="axisRow" showAll="0">
      <items count="4">
        <item x="2"/>
        <item x="1"/>
        <item x="0"/>
        <item t="default"/>
      </items>
    </pivotField>
  </pivotFields>
  <rowFields count="1">
    <field x="46"/>
  </rowFields>
  <rowItems count="4">
    <i>
      <x/>
    </i>
    <i>
      <x v="1"/>
    </i>
    <i>
      <x v="2"/>
    </i>
    <i t="grand">
      <x/>
    </i>
  </rowItems>
  <colFields count="1">
    <field x="-2"/>
  </colFields>
  <colItems count="16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</colItems>
  <pageFields count="1">
    <pageField fld="2" item="4" hier="-1"/>
  </pageFields>
  <dataFields count="16">
    <dataField name="Sum of NHWA_Medical Doctors Stock By Sex Female" fld="8" baseField="0" baseItem="0"/>
    <dataField name="Sum of NHWA_Medical Doctors Stock By Sex Male" fld="9" baseField="0" baseItem="0"/>
    <dataField name="Sum of NHWA_Nursing  Personnel Stock By Sex Female" fld="16" baseField="0" baseItem="0"/>
    <dataField name="Sum of NHWA_Nursing  Personnel Stock By Sex Male" fld="17" baseField="0" baseItem="0"/>
    <dataField name="Sum of NHWA_Midwifery personnel Stock By Sex Female" fld="24" baseField="0" baseItem="0"/>
    <dataField name="Sum of NHWA_Midwifery personnel Stock By Sex Male" fld="25" baseField="0" baseItem="0"/>
    <dataField name="Sum of NHWA_Dentists Stock By Sex Female" fld="32" baseField="0" baseItem="0"/>
    <dataField name="Sum of NHWA_Dentists Stock By Sex Male" fld="33" baseField="0" baseItem="0"/>
    <dataField name="Sum of NHWA_Pharmacists Stock By Sex Female" fld="34" baseField="0" baseItem="0"/>
    <dataField name="Sum of NHWA_Pharmacists Stock By Sex Male" fld="35" baseField="0" baseItem="0"/>
    <dataField name="Sum of NHWA_Obstetricians and Gynaecologists Practitioners Stock By Sex Female" fld="40" baseField="0" baseItem="0"/>
    <dataField name="Sum of NHWA_Obstetricians and Gynaecologists Practitioners Stock By Sex Male" fld="41" baseField="0" baseItem="0"/>
    <dataField name="Sum of NHWA_General Paediatricians Practitioners Stock By Sex Female" fld="42" baseField="0" baseItem="0"/>
    <dataField name="Sum of NHWA_General Paediatricians Practitioners Stock By Sex Male" fld="43" baseField="0" baseItem="0"/>
    <dataField name="Sum of NHWA_Community Health Workers Stock By Sex Female" fld="44" baseField="0" baseItem="0"/>
    <dataField name="Sum of NHWA_Community Health Workers Stock By Sex Male" fld="45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CF22F7-49F4-4B2B-A2C7-3C6A32961EF5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0" firstHeaderRow="1" firstDataRow="1" firstDataCol="1"/>
  <pivotFields count="47">
    <pivotField showAll="0"/>
    <pivotField showAll="0"/>
    <pivotField showAll="0"/>
    <pivotField showAll="0"/>
    <pivotField showAll="0"/>
    <pivotField axis="axisRow" showAll="0">
      <items count="37">
        <item x="0"/>
        <item x="32"/>
        <item x="33"/>
        <item x="1"/>
        <item x="2"/>
        <item x="3"/>
        <item x="4"/>
        <item x="34"/>
        <item x="23"/>
        <item x="5"/>
        <item x="24"/>
        <item x="6"/>
        <item x="7"/>
        <item x="8"/>
        <item x="9"/>
        <item x="10"/>
        <item x="11"/>
        <item x="12"/>
        <item x="25"/>
        <item x="26"/>
        <item x="13"/>
        <item x="27"/>
        <item x="14"/>
        <item x="35"/>
        <item x="28"/>
        <item x="15"/>
        <item x="16"/>
        <item x="29"/>
        <item x="30"/>
        <item x="17"/>
        <item x="31"/>
        <item x="18"/>
        <item x="19"/>
        <item x="20"/>
        <item x="21"/>
        <item x="2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 t="grand">
      <x/>
    </i>
  </rowItems>
  <colItems count="1">
    <i/>
  </colItem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C6032-318E-407A-A15C-F85A92785412}">
  <dimension ref="A1:C7"/>
  <sheetViews>
    <sheetView zoomScale="140" zoomScaleNormal="140" workbookViewId="0">
      <selection activeCell="B10" sqref="B10"/>
    </sheetView>
  </sheetViews>
  <sheetFormatPr defaultRowHeight="12.5"/>
  <cols>
    <col min="1" max="1" width="11.36328125" bestFit="1" customWidth="1"/>
    <col min="2" max="2" width="14.90625" bestFit="1" customWidth="1"/>
  </cols>
  <sheetData>
    <row r="1" spans="1:3">
      <c r="A1" s="18" t="s">
        <v>3</v>
      </c>
      <c r="B1" s="14">
        <v>2022</v>
      </c>
    </row>
    <row r="3" spans="1:3" ht="75">
      <c r="A3" s="13" t="s">
        <v>157</v>
      </c>
      <c r="B3" s="15" t="s">
        <v>158</v>
      </c>
    </row>
    <row r="4" spans="1:3">
      <c r="A4" s="16">
        <v>11846</v>
      </c>
      <c r="B4" s="17">
        <v>181387</v>
      </c>
      <c r="C4">
        <f>GETPIVOTDATA("Sum of NHWA_Midwifery personnel Stock By Sex Male",$A$3)+GETPIVOTDATA("Sum of NHWA_Midwifery personnel Stock By Sex Female",$A$3)</f>
        <v>193233</v>
      </c>
    </row>
    <row r="6" spans="1:3">
      <c r="A6" s="20">
        <f>GETPIVOTDATA("Sum of NHWA_Midwifery personnel Stock By Sex Male",$A$3)/C4</f>
        <v>6.1304228573794334E-2</v>
      </c>
      <c r="B6" s="20">
        <f>1-A6</f>
        <v>0.93869577142620564</v>
      </c>
    </row>
    <row r="7" spans="1:3">
      <c r="A7" s="21"/>
      <c r="B7" s="2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007BA-D7DC-4D78-A2E8-E2460272D4CE}">
  <dimension ref="A1:C6"/>
  <sheetViews>
    <sheetView zoomScale="130" zoomScaleNormal="130" workbookViewId="0">
      <selection activeCell="B1" sqref="B1"/>
    </sheetView>
  </sheetViews>
  <sheetFormatPr defaultRowHeight="12.5"/>
  <cols>
    <col min="1" max="1" width="24.81640625" bestFit="1" customWidth="1"/>
    <col min="2" max="2" width="22.54296875" bestFit="1" customWidth="1"/>
  </cols>
  <sheetData>
    <row r="1" spans="1:3">
      <c r="A1" s="18" t="s">
        <v>3</v>
      </c>
      <c r="B1" s="14">
        <v>2022</v>
      </c>
    </row>
    <row r="3" spans="1:3" ht="37.5">
      <c r="A3" s="13" t="s">
        <v>159</v>
      </c>
      <c r="B3" s="15" t="s">
        <v>160</v>
      </c>
    </row>
    <row r="4" spans="1:3">
      <c r="A4" s="16">
        <v>41610</v>
      </c>
      <c r="B4" s="17">
        <v>77154</v>
      </c>
      <c r="C4">
        <f>GETPIVOTDATA("Sum of NHWA_Medical Doctors Stock By Sex Female",$A$3)+GETPIVOTDATA("Sum of NHWA_Medical Doctors Stock By Sex Male",$A$3)</f>
        <v>118764</v>
      </c>
    </row>
    <row r="6" spans="1:3">
      <c r="A6" s="19">
        <f>GETPIVOTDATA("Sum of NHWA_Medical Doctors Stock By Sex Female",$A$3)/C4</f>
        <v>0.35035869455390523</v>
      </c>
      <c r="B6" s="19">
        <f>1-A6</f>
        <v>0.64964130544609477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2BBA5-0280-41AD-B710-6F4E4700D643}">
  <dimension ref="A1:C6"/>
  <sheetViews>
    <sheetView zoomScale="130" zoomScaleNormal="130" workbookViewId="0">
      <selection activeCell="B11" sqref="B11"/>
    </sheetView>
  </sheetViews>
  <sheetFormatPr defaultRowHeight="12.5"/>
  <cols>
    <col min="1" max="1" width="26.6328125" bestFit="1" customWidth="1"/>
    <col min="2" max="2" width="24.36328125" bestFit="1" customWidth="1"/>
  </cols>
  <sheetData>
    <row r="1" spans="1:3">
      <c r="A1" s="18" t="s">
        <v>3</v>
      </c>
      <c r="B1" s="14">
        <v>2019</v>
      </c>
    </row>
    <row r="3" spans="1:3" ht="37.5">
      <c r="A3" s="13" t="s">
        <v>161</v>
      </c>
      <c r="B3" s="15" t="s">
        <v>162</v>
      </c>
    </row>
    <row r="4" spans="1:3">
      <c r="A4" s="16">
        <v>75396</v>
      </c>
      <c r="B4" s="17">
        <v>39282</v>
      </c>
      <c r="C4">
        <f>GETPIVOTDATA("Sum of NHWA_Nursing  Personnel Stock By Sex Female",$A$3)+GETPIVOTDATA("Sum of NHWA_Nursing  Personnel Stock By Sex Male",$A$3)</f>
        <v>114678</v>
      </c>
    </row>
    <row r="6" spans="1:3">
      <c r="A6" s="20">
        <f>GETPIVOTDATA("Sum of NHWA_Nursing  Personnel Stock By Sex Female",$A$3)/C4</f>
        <v>0.65745827447287186</v>
      </c>
      <c r="B6" s="20">
        <f>1-A6</f>
        <v>0.34254172552712814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EAA6C-D856-49EA-85A6-C164D4764DA8}">
  <dimension ref="A1:C7"/>
  <sheetViews>
    <sheetView zoomScale="150" zoomScaleNormal="150" workbookViewId="0">
      <selection activeCell="B3" sqref="B3"/>
    </sheetView>
  </sheetViews>
  <sheetFormatPr defaultRowHeight="12.5"/>
  <cols>
    <col min="1" max="2" width="11.1796875" bestFit="1" customWidth="1"/>
  </cols>
  <sheetData>
    <row r="1" spans="1:3">
      <c r="A1" s="18" t="s">
        <v>3</v>
      </c>
      <c r="B1" s="14">
        <v>2022</v>
      </c>
    </row>
    <row r="3" spans="1:3" ht="50">
      <c r="A3" s="13" t="s">
        <v>163</v>
      </c>
      <c r="B3" s="15" t="s">
        <v>164</v>
      </c>
    </row>
    <row r="4" spans="1:3">
      <c r="A4" s="16">
        <v>3006</v>
      </c>
      <c r="B4" s="17">
        <v>5002</v>
      </c>
      <c r="C4">
        <f>GETPIVOTDATA("Sum of NHWA_Dentists Stock By Sex Female",$A$3)+GETPIVOTDATA("Sum of NHWA_Dentists Stock By Sex Male",$A$3)</f>
        <v>8008</v>
      </c>
    </row>
    <row r="7" spans="1:3">
      <c r="A7" s="20">
        <f>GETPIVOTDATA("Sum of NHWA_Dentists Stock By Sex Female",$A$3)/C4</f>
        <v>0.37537462537462535</v>
      </c>
      <c r="B7" s="20">
        <f>1-A7</f>
        <v>0.62462537462537471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EB982-A6A1-4219-9E31-EC0E2E8D1594}">
  <dimension ref="A1:C6"/>
  <sheetViews>
    <sheetView zoomScale="140" zoomScaleNormal="140" workbookViewId="0">
      <selection activeCell="G4" sqref="G4"/>
    </sheetView>
  </sheetViews>
  <sheetFormatPr defaultRowHeight="12.5"/>
  <cols>
    <col min="1" max="1" width="15.54296875" bestFit="1" customWidth="1"/>
    <col min="2" max="2" width="13.36328125" bestFit="1" customWidth="1"/>
  </cols>
  <sheetData>
    <row r="1" spans="1:3">
      <c r="A1" s="18" t="s">
        <v>3</v>
      </c>
      <c r="B1" s="14">
        <v>2022</v>
      </c>
    </row>
    <row r="3" spans="1:3" ht="50">
      <c r="A3" s="13" t="s">
        <v>165</v>
      </c>
      <c r="B3" s="15" t="s">
        <v>166</v>
      </c>
    </row>
    <row r="4" spans="1:3">
      <c r="A4" s="16">
        <v>11189</v>
      </c>
      <c r="B4" s="17">
        <v>15922</v>
      </c>
      <c r="C4">
        <f>GETPIVOTDATA("Sum of NHWA_Pharmacists Stock By Sex Female",$A$3)+GETPIVOTDATA("Sum of NHWA_Pharmacists Stock By Sex Male",$A$3)</f>
        <v>27111</v>
      </c>
    </row>
    <row r="6" spans="1:3">
      <c r="A6" s="20">
        <f>GETPIVOTDATA("Sum of NHWA_Pharmacists Stock By Sex Female",$A$3)/C4</f>
        <v>0.4127107078307698</v>
      </c>
      <c r="B6" s="20">
        <f>1-A6</f>
        <v>0.5872892921692302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80980-2C26-45A5-9217-2B396A95A740}">
  <dimension ref="A1:C7"/>
  <sheetViews>
    <sheetView zoomScale="140" zoomScaleNormal="140" workbookViewId="0">
      <selection activeCell="D9" sqref="C9:D9"/>
    </sheetView>
  </sheetViews>
  <sheetFormatPr defaultRowHeight="12.5"/>
  <cols>
    <col min="1" max="1" width="15.08984375" bestFit="1" customWidth="1"/>
    <col min="2" max="2" width="18.453125" bestFit="1" customWidth="1"/>
    <col min="3" max="3" width="11.08984375" bestFit="1" customWidth="1"/>
  </cols>
  <sheetData>
    <row r="1" spans="1:3">
      <c r="A1" s="18" t="s">
        <v>3</v>
      </c>
      <c r="B1" s="14">
        <v>2022</v>
      </c>
    </row>
    <row r="3" spans="1:3" ht="62.5">
      <c r="A3" s="13" t="s">
        <v>167</v>
      </c>
      <c r="B3" s="15" t="s">
        <v>168</v>
      </c>
    </row>
    <row r="4" spans="1:3">
      <c r="A4" s="16">
        <v>93844</v>
      </c>
      <c r="B4" s="17">
        <v>25351</v>
      </c>
      <c r="C4" s="39">
        <f>GETPIVOTDATA("Sum of NHWA_Community Health Workers Stock By Sex Female",$A$3)+GETPIVOTDATA("Sum of NHWA_Community Health Workers Stock By Sex Male",$A$3)</f>
        <v>119195</v>
      </c>
    </row>
    <row r="7" spans="1:3">
      <c r="A7" s="20">
        <f>GETPIVOTDATA("Sum of NHWA_Community Health Workers Stock By Sex Female",$A$3)/C4</f>
        <v>0.78731490414866401</v>
      </c>
      <c r="B7" s="20">
        <f>1-A7</f>
        <v>0.21268509585133599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5FCD5-F0D3-4D60-926D-42058B07A7B7}">
  <dimension ref="A1:AH40"/>
  <sheetViews>
    <sheetView workbookViewId="0">
      <selection activeCell="H49" sqref="H49"/>
    </sheetView>
  </sheetViews>
  <sheetFormatPr defaultRowHeight="12.5"/>
  <cols>
    <col min="1" max="1" width="8.36328125" bestFit="1" customWidth="1"/>
    <col min="2" max="2" width="6.81640625" bestFit="1" customWidth="1"/>
    <col min="3" max="4" width="8" bestFit="1" customWidth="1"/>
    <col min="5" max="5" width="7.08984375" bestFit="1" customWidth="1"/>
    <col min="6" max="6" width="7.81640625" bestFit="1" customWidth="1"/>
    <col min="7" max="7" width="7.36328125" bestFit="1" customWidth="1"/>
    <col min="8" max="9" width="8.08984375" bestFit="1" customWidth="1"/>
    <col min="10" max="11" width="8.26953125" bestFit="1" customWidth="1"/>
    <col min="12" max="12" width="8" bestFit="1" customWidth="1"/>
    <col min="13" max="13" width="8.26953125" bestFit="1" customWidth="1"/>
    <col min="14" max="17" width="8.36328125" bestFit="1" customWidth="1"/>
    <col min="18" max="19" width="8.26953125" bestFit="1" customWidth="1"/>
    <col min="20" max="27" width="8.6328125" bestFit="1" customWidth="1"/>
    <col min="28" max="29" width="8.36328125" bestFit="1" customWidth="1"/>
    <col min="30" max="31" width="8.54296875" bestFit="1" customWidth="1"/>
    <col min="32" max="33" width="8.453125" bestFit="1" customWidth="1"/>
    <col min="34" max="34" width="8.6328125" bestFit="1" customWidth="1"/>
  </cols>
  <sheetData>
    <row r="1" spans="1:34" ht="25">
      <c r="A1" s="18" t="s">
        <v>3</v>
      </c>
      <c r="B1" s="41" t="s">
        <v>194</v>
      </c>
    </row>
    <row r="3" spans="1:34" ht="187.5">
      <c r="A3" s="22" t="s">
        <v>155</v>
      </c>
      <c r="B3" s="13" t="s">
        <v>160</v>
      </c>
      <c r="C3" s="30" t="s">
        <v>167</v>
      </c>
      <c r="D3" s="30" t="s">
        <v>168</v>
      </c>
      <c r="E3" s="30" t="s">
        <v>159</v>
      </c>
      <c r="F3" s="30" t="s">
        <v>161</v>
      </c>
      <c r="G3" s="30" t="s">
        <v>162</v>
      </c>
      <c r="H3" s="30" t="s">
        <v>195</v>
      </c>
      <c r="I3" s="30" t="s">
        <v>196</v>
      </c>
      <c r="J3" s="30" t="s">
        <v>197</v>
      </c>
      <c r="K3" s="30" t="s">
        <v>198</v>
      </c>
      <c r="L3" s="30" t="s">
        <v>199</v>
      </c>
      <c r="M3" s="30" t="s">
        <v>200</v>
      </c>
      <c r="N3" s="30" t="s">
        <v>201</v>
      </c>
      <c r="O3" s="30" t="s">
        <v>202</v>
      </c>
      <c r="P3" s="30" t="s">
        <v>203</v>
      </c>
      <c r="Q3" s="30" t="s">
        <v>204</v>
      </c>
      <c r="R3" s="30" t="s">
        <v>205</v>
      </c>
      <c r="S3" s="30" t="s">
        <v>206</v>
      </c>
      <c r="T3" s="30" t="s">
        <v>158</v>
      </c>
      <c r="U3" s="30" t="s">
        <v>157</v>
      </c>
      <c r="V3" s="30" t="s">
        <v>207</v>
      </c>
      <c r="W3" s="30" t="s">
        <v>208</v>
      </c>
      <c r="X3" s="30" t="s">
        <v>209</v>
      </c>
      <c r="Y3" s="30" t="s">
        <v>210</v>
      </c>
      <c r="Z3" s="30" t="s">
        <v>211</v>
      </c>
      <c r="AA3" s="30" t="s">
        <v>212</v>
      </c>
      <c r="AB3" s="30" t="s">
        <v>163</v>
      </c>
      <c r="AC3" s="30" t="s">
        <v>164</v>
      </c>
      <c r="AD3" s="30" t="s">
        <v>165</v>
      </c>
      <c r="AE3" s="30" t="s">
        <v>166</v>
      </c>
      <c r="AF3" s="30" t="s">
        <v>213</v>
      </c>
      <c r="AG3" s="30" t="s">
        <v>214</v>
      </c>
      <c r="AH3" s="15" t="s">
        <v>215</v>
      </c>
    </row>
    <row r="4" spans="1:34">
      <c r="A4" s="23" t="s">
        <v>121</v>
      </c>
      <c r="B4" s="26">
        <v>472</v>
      </c>
      <c r="C4" s="31">
        <v>5923</v>
      </c>
      <c r="D4" s="31">
        <v>5922</v>
      </c>
      <c r="E4" s="31">
        <v>157</v>
      </c>
      <c r="F4" s="31">
        <v>4498</v>
      </c>
      <c r="G4" s="31">
        <v>3020</v>
      </c>
      <c r="H4" s="31">
        <v>157</v>
      </c>
      <c r="I4" s="31">
        <v>472</v>
      </c>
      <c r="J4" s="31"/>
      <c r="K4" s="31"/>
      <c r="L4" s="31"/>
      <c r="M4" s="31"/>
      <c r="N4" s="31">
        <v>4498</v>
      </c>
      <c r="O4" s="31">
        <v>3020</v>
      </c>
      <c r="P4" s="31"/>
      <c r="Q4" s="31"/>
      <c r="R4" s="31"/>
      <c r="S4" s="31"/>
      <c r="T4" s="31">
        <v>55</v>
      </c>
      <c r="U4" s="31">
        <v>69</v>
      </c>
      <c r="V4" s="31">
        <v>55</v>
      </c>
      <c r="W4" s="31">
        <v>69</v>
      </c>
      <c r="X4" s="31"/>
      <c r="Y4" s="31"/>
      <c r="Z4" s="31"/>
      <c r="AA4" s="31"/>
      <c r="AB4" s="31"/>
      <c r="AC4" s="31"/>
      <c r="AD4" s="31"/>
      <c r="AE4" s="31"/>
      <c r="AF4" s="31"/>
      <c r="AG4" s="31"/>
      <c r="AH4" s="27"/>
    </row>
    <row r="5" spans="1:34">
      <c r="A5" s="24" t="s">
        <v>118</v>
      </c>
      <c r="B5" s="28">
        <v>2429</v>
      </c>
      <c r="C5" s="32">
        <v>14</v>
      </c>
      <c r="D5" s="32">
        <v>7</v>
      </c>
      <c r="E5" s="32">
        <v>1234</v>
      </c>
      <c r="F5" s="32">
        <v>4357</v>
      </c>
      <c r="G5" s="32">
        <v>4537</v>
      </c>
      <c r="H5" s="32">
        <v>619</v>
      </c>
      <c r="I5" s="32">
        <v>1524</v>
      </c>
      <c r="J5" s="32">
        <v>4</v>
      </c>
      <c r="K5" s="32">
        <v>9</v>
      </c>
      <c r="L5" s="32"/>
      <c r="M5" s="32"/>
      <c r="N5" s="32">
        <v>4357</v>
      </c>
      <c r="O5" s="32">
        <v>4537</v>
      </c>
      <c r="P5" s="32"/>
      <c r="Q5" s="32"/>
      <c r="R5" s="32"/>
      <c r="S5" s="32"/>
      <c r="T5" s="32">
        <v>3141</v>
      </c>
      <c r="U5" s="32">
        <v>0</v>
      </c>
      <c r="V5" s="32">
        <v>3141</v>
      </c>
      <c r="W5" s="32">
        <v>0</v>
      </c>
      <c r="X5" s="32"/>
      <c r="Y5" s="32"/>
      <c r="Z5" s="32"/>
      <c r="AA5" s="32"/>
      <c r="AB5" s="32">
        <v>35</v>
      </c>
      <c r="AC5" s="32">
        <v>27</v>
      </c>
      <c r="AD5" s="32">
        <v>355</v>
      </c>
      <c r="AE5" s="32">
        <v>354</v>
      </c>
      <c r="AF5" s="32"/>
      <c r="AG5" s="32"/>
      <c r="AH5" s="29"/>
    </row>
    <row r="6" spans="1:34">
      <c r="A6" s="24" t="s">
        <v>49</v>
      </c>
      <c r="B6" s="28">
        <v>5651</v>
      </c>
      <c r="C6" s="32">
        <v>6130</v>
      </c>
      <c r="D6" s="32">
        <v>5864</v>
      </c>
      <c r="E6" s="32">
        <v>2923</v>
      </c>
      <c r="F6" s="32">
        <v>11302</v>
      </c>
      <c r="G6" s="32">
        <v>18001</v>
      </c>
      <c r="H6" s="32">
        <v>2076</v>
      </c>
      <c r="I6" s="32">
        <v>3630</v>
      </c>
      <c r="J6" s="32">
        <v>180</v>
      </c>
      <c r="K6" s="32">
        <v>513</v>
      </c>
      <c r="L6" s="32"/>
      <c r="M6" s="32"/>
      <c r="N6" s="32">
        <v>8849</v>
      </c>
      <c r="O6" s="32">
        <v>15429</v>
      </c>
      <c r="P6" s="32">
        <v>2453</v>
      </c>
      <c r="Q6" s="32">
        <v>2572</v>
      </c>
      <c r="R6" s="32"/>
      <c r="S6" s="32"/>
      <c r="T6" s="32">
        <v>22196</v>
      </c>
      <c r="U6" s="32">
        <v>4124</v>
      </c>
      <c r="V6" s="32">
        <v>15796</v>
      </c>
      <c r="W6" s="32">
        <v>4124</v>
      </c>
      <c r="X6" s="32">
        <v>6400</v>
      </c>
      <c r="Y6" s="32">
        <v>0</v>
      </c>
      <c r="Z6" s="32"/>
      <c r="AA6" s="32"/>
      <c r="AB6" s="32">
        <v>86</v>
      </c>
      <c r="AC6" s="32">
        <v>215</v>
      </c>
      <c r="AD6" s="32">
        <v>484</v>
      </c>
      <c r="AE6" s="32">
        <v>729</v>
      </c>
      <c r="AF6" s="32">
        <v>0</v>
      </c>
      <c r="AG6" s="32">
        <v>0</v>
      </c>
      <c r="AH6" s="29">
        <v>0</v>
      </c>
    </row>
    <row r="7" spans="1:34">
      <c r="A7" s="24" t="s">
        <v>64</v>
      </c>
      <c r="B7" s="28">
        <v>2998</v>
      </c>
      <c r="C7" s="32"/>
      <c r="D7" s="32"/>
      <c r="E7" s="32">
        <v>1878</v>
      </c>
      <c r="F7" s="32">
        <v>27168</v>
      </c>
      <c r="G7" s="32">
        <v>11925</v>
      </c>
      <c r="H7" s="32">
        <v>1725</v>
      </c>
      <c r="I7" s="32">
        <v>2596</v>
      </c>
      <c r="J7" s="32"/>
      <c r="K7" s="32"/>
      <c r="L7" s="32"/>
      <c r="M7" s="32"/>
      <c r="N7" s="32">
        <v>27168</v>
      </c>
      <c r="O7" s="32">
        <v>11925</v>
      </c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>
        <v>246</v>
      </c>
      <c r="AC7" s="32">
        <v>202</v>
      </c>
      <c r="AD7" s="32">
        <v>412</v>
      </c>
      <c r="AE7" s="32">
        <v>310</v>
      </c>
      <c r="AF7" s="32"/>
      <c r="AG7" s="32"/>
      <c r="AH7" s="29"/>
    </row>
    <row r="8" spans="1:34">
      <c r="A8" s="24" t="s">
        <v>76</v>
      </c>
      <c r="B8" s="28">
        <v>3453</v>
      </c>
      <c r="C8" s="32"/>
      <c r="D8" s="32"/>
      <c r="E8" s="32">
        <v>1477</v>
      </c>
      <c r="F8" s="32">
        <v>12486</v>
      </c>
      <c r="G8" s="32">
        <v>17656</v>
      </c>
      <c r="H8" s="32">
        <v>1322</v>
      </c>
      <c r="I8" s="32">
        <v>3090</v>
      </c>
      <c r="J8" s="32"/>
      <c r="K8" s="32"/>
      <c r="L8" s="32"/>
      <c r="M8" s="32"/>
      <c r="N8" s="32">
        <v>9429</v>
      </c>
      <c r="O8" s="32">
        <v>17073</v>
      </c>
      <c r="P8" s="32">
        <v>3037</v>
      </c>
      <c r="Q8" s="32">
        <v>558</v>
      </c>
      <c r="R8" s="32">
        <v>20</v>
      </c>
      <c r="S8" s="32">
        <v>25</v>
      </c>
      <c r="T8" s="32">
        <v>7425</v>
      </c>
      <c r="U8" s="32">
        <v>0</v>
      </c>
      <c r="V8" s="32">
        <v>7421</v>
      </c>
      <c r="W8" s="32">
        <v>0</v>
      </c>
      <c r="X8" s="32">
        <v>4</v>
      </c>
      <c r="Y8" s="32">
        <v>0</v>
      </c>
      <c r="Z8" s="32"/>
      <c r="AA8" s="32"/>
      <c r="AB8" s="32">
        <v>146</v>
      </c>
      <c r="AC8" s="32">
        <v>272</v>
      </c>
      <c r="AD8" s="32">
        <v>469</v>
      </c>
      <c r="AE8" s="32">
        <v>693</v>
      </c>
      <c r="AF8" s="32"/>
      <c r="AG8" s="32"/>
      <c r="AH8" s="29"/>
    </row>
    <row r="9" spans="1:34">
      <c r="A9" s="24" t="s">
        <v>70</v>
      </c>
      <c r="B9" s="28">
        <v>6587</v>
      </c>
      <c r="C9" s="32">
        <v>312</v>
      </c>
      <c r="D9" s="32">
        <v>152</v>
      </c>
      <c r="E9" s="32">
        <v>5678</v>
      </c>
      <c r="F9" s="32">
        <v>21239</v>
      </c>
      <c r="G9" s="32">
        <v>11255</v>
      </c>
      <c r="H9" s="32">
        <v>3165</v>
      </c>
      <c r="I9" s="32">
        <v>3422</v>
      </c>
      <c r="J9" s="32">
        <v>512</v>
      </c>
      <c r="K9" s="32">
        <v>629</v>
      </c>
      <c r="L9" s="32">
        <v>1167</v>
      </c>
      <c r="M9" s="32">
        <v>1403</v>
      </c>
      <c r="N9" s="32">
        <v>15496</v>
      </c>
      <c r="O9" s="32">
        <v>8349</v>
      </c>
      <c r="P9" s="32">
        <v>4332</v>
      </c>
      <c r="Q9" s="32">
        <v>1838</v>
      </c>
      <c r="R9" s="32">
        <v>1411</v>
      </c>
      <c r="S9" s="32">
        <v>1068</v>
      </c>
      <c r="T9" s="32">
        <v>3166</v>
      </c>
      <c r="U9" s="32">
        <v>470</v>
      </c>
      <c r="V9" s="32">
        <v>2902</v>
      </c>
      <c r="W9" s="32">
        <v>378</v>
      </c>
      <c r="X9" s="32">
        <v>226</v>
      </c>
      <c r="Y9" s="32">
        <v>90</v>
      </c>
      <c r="Z9" s="32">
        <v>38</v>
      </c>
      <c r="AA9" s="32">
        <v>2</v>
      </c>
      <c r="AB9" s="32">
        <v>371</v>
      </c>
      <c r="AC9" s="32">
        <v>270</v>
      </c>
      <c r="AD9" s="32">
        <v>675</v>
      </c>
      <c r="AE9" s="32">
        <v>528</v>
      </c>
      <c r="AF9" s="32">
        <v>284</v>
      </c>
      <c r="AG9" s="32">
        <v>137</v>
      </c>
      <c r="AH9" s="29">
        <v>183</v>
      </c>
    </row>
    <row r="10" spans="1:34">
      <c r="A10" s="24" t="s">
        <v>148</v>
      </c>
      <c r="B10" s="28"/>
      <c r="C10" s="32"/>
      <c r="D10" s="32"/>
      <c r="E10" s="32"/>
      <c r="F10" s="32">
        <v>17062</v>
      </c>
      <c r="G10" s="32">
        <v>34316</v>
      </c>
      <c r="H10" s="32"/>
      <c r="I10" s="32"/>
      <c r="J10" s="32"/>
      <c r="K10" s="32"/>
      <c r="L10" s="32"/>
      <c r="M10" s="32"/>
      <c r="N10" s="32">
        <v>12553</v>
      </c>
      <c r="O10" s="32">
        <v>24427</v>
      </c>
      <c r="P10" s="32">
        <v>4509</v>
      </c>
      <c r="Q10" s="32">
        <v>9889</v>
      </c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29"/>
    </row>
    <row r="11" spans="1:34">
      <c r="A11" s="24" t="s">
        <v>100</v>
      </c>
      <c r="B11" s="28">
        <v>405</v>
      </c>
      <c r="C11" s="32"/>
      <c r="D11" s="32"/>
      <c r="E11" s="32">
        <v>637</v>
      </c>
      <c r="F11" s="32">
        <v>1278</v>
      </c>
      <c r="G11" s="32">
        <v>4295</v>
      </c>
      <c r="H11" s="32">
        <v>470</v>
      </c>
      <c r="I11" s="32">
        <v>317</v>
      </c>
      <c r="J11" s="32">
        <v>116</v>
      </c>
      <c r="K11" s="32">
        <v>53</v>
      </c>
      <c r="L11" s="32"/>
      <c r="M11" s="32"/>
      <c r="N11" s="32">
        <v>1278</v>
      </c>
      <c r="O11" s="32">
        <v>4295</v>
      </c>
      <c r="P11" s="32"/>
      <c r="Q11" s="32"/>
      <c r="R11" s="32"/>
      <c r="S11" s="32"/>
      <c r="T11" s="32">
        <v>895</v>
      </c>
      <c r="U11" s="32">
        <v>12</v>
      </c>
      <c r="V11" s="32">
        <v>895</v>
      </c>
      <c r="W11" s="32">
        <v>12</v>
      </c>
      <c r="X11" s="32"/>
      <c r="Y11" s="32"/>
      <c r="Z11" s="32"/>
      <c r="AA11" s="32"/>
      <c r="AB11" s="32">
        <v>7</v>
      </c>
      <c r="AC11" s="32">
        <v>2</v>
      </c>
      <c r="AD11" s="32">
        <v>17</v>
      </c>
      <c r="AE11" s="32">
        <v>11</v>
      </c>
      <c r="AF11" s="32"/>
      <c r="AG11" s="32"/>
      <c r="AH11" s="29"/>
    </row>
    <row r="12" spans="1:34">
      <c r="A12" s="24" t="s">
        <v>67</v>
      </c>
      <c r="B12" s="28">
        <v>827</v>
      </c>
      <c r="C12" s="32">
        <v>62</v>
      </c>
      <c r="D12" s="32">
        <v>93</v>
      </c>
      <c r="E12" s="32">
        <v>1815</v>
      </c>
      <c r="F12" s="32">
        <v>1258</v>
      </c>
      <c r="G12" s="32">
        <v>330</v>
      </c>
      <c r="H12" s="32">
        <v>132</v>
      </c>
      <c r="I12" s="32">
        <v>55</v>
      </c>
      <c r="J12" s="32">
        <v>58</v>
      </c>
      <c r="K12" s="32">
        <v>42</v>
      </c>
      <c r="L12" s="32">
        <v>1622</v>
      </c>
      <c r="M12" s="32">
        <v>725</v>
      </c>
      <c r="N12" s="32">
        <v>679</v>
      </c>
      <c r="O12" s="32">
        <v>167</v>
      </c>
      <c r="P12" s="32">
        <v>73</v>
      </c>
      <c r="Q12" s="32">
        <v>22</v>
      </c>
      <c r="R12" s="32">
        <v>506</v>
      </c>
      <c r="S12" s="32">
        <v>141</v>
      </c>
      <c r="T12" s="32"/>
      <c r="U12" s="32"/>
      <c r="V12" s="32"/>
      <c r="W12" s="32"/>
      <c r="X12" s="32"/>
      <c r="Y12" s="32"/>
      <c r="Z12" s="32"/>
      <c r="AA12" s="32"/>
      <c r="AB12" s="32">
        <v>6</v>
      </c>
      <c r="AC12" s="32">
        <v>4</v>
      </c>
      <c r="AD12" s="32">
        <v>16</v>
      </c>
      <c r="AE12" s="32">
        <v>7</v>
      </c>
      <c r="AF12" s="32"/>
      <c r="AG12" s="32"/>
      <c r="AH12" s="29"/>
    </row>
    <row r="13" spans="1:34">
      <c r="A13" s="24" t="s">
        <v>151</v>
      </c>
      <c r="B13" s="28">
        <v>28634</v>
      </c>
      <c r="C13" s="32"/>
      <c r="D13" s="32"/>
      <c r="E13" s="32">
        <v>43970</v>
      </c>
      <c r="F13" s="32">
        <v>34643</v>
      </c>
      <c r="G13" s="32">
        <v>21768</v>
      </c>
      <c r="H13" s="32">
        <v>20406</v>
      </c>
      <c r="I13" s="32">
        <v>12368</v>
      </c>
      <c r="J13" s="32">
        <v>12843</v>
      </c>
      <c r="K13" s="32">
        <v>6972</v>
      </c>
      <c r="L13" s="32"/>
      <c r="M13" s="32"/>
      <c r="N13" s="32">
        <v>29831</v>
      </c>
      <c r="O13" s="32">
        <v>15342</v>
      </c>
      <c r="P13" s="32">
        <v>4812</v>
      </c>
      <c r="Q13" s="32">
        <v>6426</v>
      </c>
      <c r="R13" s="32"/>
      <c r="S13" s="32"/>
      <c r="T13" s="32">
        <v>8903</v>
      </c>
      <c r="U13" s="32">
        <v>45</v>
      </c>
      <c r="V13" s="32">
        <v>8701</v>
      </c>
      <c r="W13" s="32">
        <v>38</v>
      </c>
      <c r="X13" s="32">
        <v>202</v>
      </c>
      <c r="Y13" s="32">
        <v>7</v>
      </c>
      <c r="Z13" s="32"/>
      <c r="AA13" s="32"/>
      <c r="AB13" s="32">
        <v>9405</v>
      </c>
      <c r="AC13" s="32">
        <v>6032</v>
      </c>
      <c r="AD13" s="32">
        <v>10953</v>
      </c>
      <c r="AE13" s="32">
        <v>7854</v>
      </c>
      <c r="AF13" s="32"/>
      <c r="AG13" s="32"/>
      <c r="AH13" s="29"/>
    </row>
    <row r="14" spans="1:34">
      <c r="A14" s="24" t="s">
        <v>112</v>
      </c>
      <c r="B14" s="28">
        <v>190</v>
      </c>
      <c r="C14" s="32">
        <v>1915</v>
      </c>
      <c r="D14" s="32">
        <v>711</v>
      </c>
      <c r="E14" s="32">
        <v>70</v>
      </c>
      <c r="F14" s="32">
        <v>5885</v>
      </c>
      <c r="G14" s="32">
        <v>4063</v>
      </c>
      <c r="H14" s="32">
        <v>70</v>
      </c>
      <c r="I14" s="32">
        <v>190</v>
      </c>
      <c r="J14" s="32">
        <v>0</v>
      </c>
      <c r="K14" s="32">
        <v>19</v>
      </c>
      <c r="L14" s="32"/>
      <c r="M14" s="32"/>
      <c r="N14" s="32">
        <v>1638</v>
      </c>
      <c r="O14" s="32">
        <v>1836</v>
      </c>
      <c r="P14" s="32">
        <v>4188</v>
      </c>
      <c r="Q14" s="32">
        <v>2098</v>
      </c>
      <c r="R14" s="32">
        <v>59</v>
      </c>
      <c r="S14" s="32">
        <v>129</v>
      </c>
      <c r="T14" s="32">
        <v>20</v>
      </c>
      <c r="U14" s="32">
        <v>47</v>
      </c>
      <c r="V14" s="32">
        <v>20</v>
      </c>
      <c r="W14" s="32">
        <v>47</v>
      </c>
      <c r="X14" s="32"/>
      <c r="Y14" s="32"/>
      <c r="Z14" s="32"/>
      <c r="AA14" s="32"/>
      <c r="AB14" s="32">
        <v>23</v>
      </c>
      <c r="AC14" s="32">
        <v>35</v>
      </c>
      <c r="AD14" s="32">
        <v>78</v>
      </c>
      <c r="AE14" s="32">
        <v>121</v>
      </c>
      <c r="AF14" s="32"/>
      <c r="AG14" s="32"/>
      <c r="AH14" s="29"/>
    </row>
    <row r="15" spans="1:34">
      <c r="A15" s="24" t="s">
        <v>52</v>
      </c>
      <c r="B15" s="28">
        <v>19931</v>
      </c>
      <c r="C15" s="32">
        <v>121188</v>
      </c>
      <c r="D15" s="32">
        <v>2418</v>
      </c>
      <c r="E15" s="32">
        <v>5360</v>
      </c>
      <c r="F15" s="32">
        <v>65093</v>
      </c>
      <c r="G15" s="32">
        <v>74977</v>
      </c>
      <c r="H15" s="32">
        <v>4059</v>
      </c>
      <c r="I15" s="32">
        <v>13952</v>
      </c>
      <c r="J15" s="32"/>
      <c r="K15" s="32"/>
      <c r="L15" s="32"/>
      <c r="M15" s="32"/>
      <c r="N15" s="32">
        <v>65093</v>
      </c>
      <c r="O15" s="32">
        <v>74977</v>
      </c>
      <c r="P15" s="32"/>
      <c r="Q15" s="32"/>
      <c r="R15" s="32"/>
      <c r="S15" s="32"/>
      <c r="T15" s="32">
        <v>27493</v>
      </c>
      <c r="U15" s="32">
        <v>14855</v>
      </c>
      <c r="V15" s="32">
        <v>27493</v>
      </c>
      <c r="W15" s="32">
        <v>14855</v>
      </c>
      <c r="X15" s="32"/>
      <c r="Y15" s="32"/>
      <c r="Z15" s="32"/>
      <c r="AA15" s="32"/>
      <c r="AB15" s="32">
        <v>114</v>
      </c>
      <c r="AC15" s="32">
        <v>267</v>
      </c>
      <c r="AD15" s="32">
        <v>12760</v>
      </c>
      <c r="AE15" s="32">
        <v>19829</v>
      </c>
      <c r="AF15" s="32"/>
      <c r="AG15" s="32"/>
      <c r="AH15" s="29"/>
    </row>
    <row r="16" spans="1:34">
      <c r="A16" s="24" t="s">
        <v>58</v>
      </c>
      <c r="B16" s="28">
        <v>2038</v>
      </c>
      <c r="C16" s="32">
        <v>169</v>
      </c>
      <c r="D16" s="32">
        <v>58</v>
      </c>
      <c r="E16" s="32">
        <v>1831</v>
      </c>
      <c r="F16" s="32">
        <v>9936</v>
      </c>
      <c r="G16" s="32">
        <v>4479</v>
      </c>
      <c r="H16" s="32">
        <v>821</v>
      </c>
      <c r="I16" s="32">
        <v>833</v>
      </c>
      <c r="J16" s="32">
        <v>187</v>
      </c>
      <c r="K16" s="32">
        <v>177</v>
      </c>
      <c r="L16" s="32">
        <v>2</v>
      </c>
      <c r="M16" s="32">
        <v>0</v>
      </c>
      <c r="N16" s="32">
        <v>6264</v>
      </c>
      <c r="O16" s="32">
        <v>2819</v>
      </c>
      <c r="P16" s="32">
        <v>3630</v>
      </c>
      <c r="Q16" s="32">
        <v>1614</v>
      </c>
      <c r="R16" s="32">
        <v>42</v>
      </c>
      <c r="S16" s="32">
        <v>46</v>
      </c>
      <c r="T16" s="32">
        <v>2178</v>
      </c>
      <c r="U16" s="32">
        <v>11</v>
      </c>
      <c r="V16" s="32">
        <v>2136</v>
      </c>
      <c r="W16" s="32">
        <v>0</v>
      </c>
      <c r="X16" s="32">
        <v>32</v>
      </c>
      <c r="Y16" s="32">
        <v>11</v>
      </c>
      <c r="Z16" s="32">
        <v>10</v>
      </c>
      <c r="AA16" s="32">
        <v>0</v>
      </c>
      <c r="AB16" s="32">
        <v>38</v>
      </c>
      <c r="AC16" s="32">
        <v>74</v>
      </c>
      <c r="AD16" s="32">
        <v>245</v>
      </c>
      <c r="AE16" s="32">
        <v>202</v>
      </c>
      <c r="AF16" s="32">
        <v>440</v>
      </c>
      <c r="AG16" s="32">
        <v>496</v>
      </c>
      <c r="AH16" s="29">
        <v>9</v>
      </c>
    </row>
    <row r="17" spans="1:34">
      <c r="A17" s="24" t="s">
        <v>79</v>
      </c>
      <c r="B17" s="28">
        <v>7427</v>
      </c>
      <c r="C17" s="32"/>
      <c r="D17" s="32"/>
      <c r="E17" s="32">
        <v>4336</v>
      </c>
      <c r="F17" s="32">
        <v>243968</v>
      </c>
      <c r="G17" s="32">
        <v>89726</v>
      </c>
      <c r="H17" s="32">
        <v>3166</v>
      </c>
      <c r="I17" s="32">
        <v>5059</v>
      </c>
      <c r="J17" s="32"/>
      <c r="K17" s="32"/>
      <c r="L17" s="32"/>
      <c r="M17" s="32"/>
      <c r="N17" s="32">
        <v>97038</v>
      </c>
      <c r="O17" s="32">
        <v>48056</v>
      </c>
      <c r="P17" s="32">
        <v>146930</v>
      </c>
      <c r="Q17" s="32">
        <v>41670</v>
      </c>
      <c r="R17" s="32"/>
      <c r="S17" s="32"/>
      <c r="T17" s="32">
        <v>54319</v>
      </c>
      <c r="U17" s="32">
        <v>811</v>
      </c>
      <c r="V17" s="32">
        <v>54319</v>
      </c>
      <c r="W17" s="32">
        <v>811</v>
      </c>
      <c r="X17" s="32"/>
      <c r="Y17" s="32"/>
      <c r="Z17" s="32"/>
      <c r="AA17" s="32"/>
      <c r="AB17" s="32"/>
      <c r="AC17" s="32"/>
      <c r="AD17" s="32">
        <v>911</v>
      </c>
      <c r="AE17" s="32">
        <v>1261</v>
      </c>
      <c r="AF17" s="32"/>
      <c r="AG17" s="32"/>
      <c r="AH17" s="29"/>
    </row>
    <row r="18" spans="1:34">
      <c r="A18" s="24" t="s">
        <v>82</v>
      </c>
      <c r="B18" s="28">
        <v>824</v>
      </c>
      <c r="C18" s="32">
        <v>1049</v>
      </c>
      <c r="D18" s="32">
        <v>6039</v>
      </c>
      <c r="E18" s="32">
        <v>427</v>
      </c>
      <c r="F18" s="32">
        <v>4168</v>
      </c>
      <c r="G18" s="32">
        <v>2056</v>
      </c>
      <c r="H18" s="32">
        <v>423</v>
      </c>
      <c r="I18" s="32">
        <v>799</v>
      </c>
      <c r="J18" s="32">
        <v>0</v>
      </c>
      <c r="K18" s="32">
        <v>0</v>
      </c>
      <c r="L18" s="32">
        <v>0</v>
      </c>
      <c r="M18" s="32">
        <v>0</v>
      </c>
      <c r="N18" s="32">
        <v>2201</v>
      </c>
      <c r="O18" s="32">
        <v>1138</v>
      </c>
      <c r="P18" s="32">
        <v>1957</v>
      </c>
      <c r="Q18" s="32">
        <v>910</v>
      </c>
      <c r="R18" s="32">
        <v>10</v>
      </c>
      <c r="S18" s="32">
        <v>8</v>
      </c>
      <c r="T18" s="32">
        <v>595</v>
      </c>
      <c r="U18" s="32">
        <v>0</v>
      </c>
      <c r="V18" s="32">
        <v>257</v>
      </c>
      <c r="W18" s="32">
        <v>0</v>
      </c>
      <c r="X18" s="32">
        <v>338</v>
      </c>
      <c r="Y18" s="32">
        <v>0</v>
      </c>
      <c r="Z18" s="32">
        <v>0</v>
      </c>
      <c r="AA18" s="32">
        <v>0</v>
      </c>
      <c r="AB18" s="32">
        <v>11</v>
      </c>
      <c r="AC18" s="32">
        <v>15</v>
      </c>
      <c r="AD18" s="32">
        <v>8</v>
      </c>
      <c r="AE18" s="32">
        <v>9</v>
      </c>
      <c r="AF18" s="32">
        <v>25</v>
      </c>
      <c r="AG18" s="32">
        <v>15</v>
      </c>
      <c r="AH18" s="29">
        <v>0</v>
      </c>
    </row>
    <row r="19" spans="1:34">
      <c r="A19" s="24" t="s">
        <v>85</v>
      </c>
      <c r="B19" s="28">
        <v>8837</v>
      </c>
      <c r="C19" s="32">
        <v>1572</v>
      </c>
      <c r="D19" s="32">
        <v>1299</v>
      </c>
      <c r="E19" s="32">
        <v>6414</v>
      </c>
      <c r="F19" s="32">
        <v>145085</v>
      </c>
      <c r="G19" s="32">
        <v>56588</v>
      </c>
      <c r="H19" s="32">
        <v>4426</v>
      </c>
      <c r="I19" s="32">
        <v>5795</v>
      </c>
      <c r="J19" s="32">
        <v>405</v>
      </c>
      <c r="K19" s="32">
        <v>642</v>
      </c>
      <c r="L19" s="32">
        <v>0</v>
      </c>
      <c r="M19" s="32">
        <v>0</v>
      </c>
      <c r="N19" s="32">
        <v>117323</v>
      </c>
      <c r="O19" s="32">
        <v>48300</v>
      </c>
      <c r="P19" s="32">
        <v>27762</v>
      </c>
      <c r="Q19" s="32">
        <v>8288</v>
      </c>
      <c r="R19" s="32"/>
      <c r="S19" s="32"/>
      <c r="T19" s="32">
        <v>94</v>
      </c>
      <c r="U19" s="32">
        <v>43</v>
      </c>
      <c r="V19" s="32">
        <v>94</v>
      </c>
      <c r="W19" s="32">
        <v>43</v>
      </c>
      <c r="X19" s="32"/>
      <c r="Y19" s="32"/>
      <c r="Z19" s="32"/>
      <c r="AA19" s="32"/>
      <c r="AB19" s="32">
        <v>465</v>
      </c>
      <c r="AC19" s="32">
        <v>534</v>
      </c>
      <c r="AD19" s="32">
        <v>817</v>
      </c>
      <c r="AE19" s="32">
        <v>1129</v>
      </c>
      <c r="AF19" s="32">
        <v>0</v>
      </c>
      <c r="AG19" s="32">
        <v>0</v>
      </c>
      <c r="AH19" s="29"/>
    </row>
    <row r="20" spans="1:34">
      <c r="A20" s="24" t="s">
        <v>124</v>
      </c>
      <c r="B20" s="28"/>
      <c r="C20" s="32">
        <v>5547</v>
      </c>
      <c r="D20" s="32">
        <v>6811</v>
      </c>
      <c r="E20" s="32"/>
      <c r="F20" s="32">
        <v>1734</v>
      </c>
      <c r="G20" s="32">
        <v>830</v>
      </c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>
        <v>1734</v>
      </c>
      <c r="S20" s="32">
        <v>830</v>
      </c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29"/>
    </row>
    <row r="21" spans="1:34">
      <c r="A21" s="24" t="s">
        <v>127</v>
      </c>
      <c r="B21" s="28"/>
      <c r="C21" s="32">
        <v>29131</v>
      </c>
      <c r="D21" s="32">
        <v>12485</v>
      </c>
      <c r="E21" s="32"/>
      <c r="F21" s="32">
        <v>1423</v>
      </c>
      <c r="G21" s="32">
        <v>2037</v>
      </c>
      <c r="H21" s="32"/>
      <c r="I21" s="32"/>
      <c r="J21" s="32"/>
      <c r="K21" s="32"/>
      <c r="L21" s="32"/>
      <c r="M21" s="32"/>
      <c r="N21" s="32">
        <v>1423</v>
      </c>
      <c r="O21" s="32">
        <v>2037</v>
      </c>
      <c r="P21" s="32"/>
      <c r="Q21" s="32"/>
      <c r="R21" s="32"/>
      <c r="S21" s="32"/>
      <c r="T21" s="32">
        <v>3994</v>
      </c>
      <c r="U21" s="32">
        <v>0</v>
      </c>
      <c r="V21" s="32">
        <v>3994</v>
      </c>
      <c r="W21" s="32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29"/>
    </row>
    <row r="22" spans="1:34">
      <c r="A22" s="24" t="s">
        <v>130</v>
      </c>
      <c r="B22" s="28">
        <v>2234</v>
      </c>
      <c r="C22" s="32">
        <v>991</v>
      </c>
      <c r="D22" s="32">
        <v>2312</v>
      </c>
      <c r="E22" s="32">
        <v>283</v>
      </c>
      <c r="F22" s="32">
        <v>2233</v>
      </c>
      <c r="G22" s="32">
        <v>2941</v>
      </c>
      <c r="H22" s="32">
        <v>165</v>
      </c>
      <c r="I22" s="32">
        <v>1162</v>
      </c>
      <c r="J22" s="32"/>
      <c r="K22" s="32"/>
      <c r="L22" s="32"/>
      <c r="M22" s="32"/>
      <c r="N22" s="32">
        <v>2233</v>
      </c>
      <c r="O22" s="32">
        <v>2941</v>
      </c>
      <c r="P22" s="32"/>
      <c r="Q22" s="32"/>
      <c r="R22" s="32"/>
      <c r="S22" s="32"/>
      <c r="T22" s="32">
        <v>1666</v>
      </c>
      <c r="U22" s="32">
        <v>0</v>
      </c>
      <c r="V22" s="32">
        <v>1666</v>
      </c>
      <c r="W22" s="32">
        <v>0</v>
      </c>
      <c r="X22" s="32"/>
      <c r="Y22" s="32"/>
      <c r="Z22" s="32"/>
      <c r="AA22" s="32"/>
      <c r="AB22" s="32"/>
      <c r="AC22" s="32"/>
      <c r="AD22" s="32">
        <v>617</v>
      </c>
      <c r="AE22" s="32">
        <v>664</v>
      </c>
      <c r="AF22" s="32">
        <v>1638</v>
      </c>
      <c r="AG22" s="32"/>
      <c r="AH22" s="29"/>
    </row>
    <row r="23" spans="1:34">
      <c r="A23" s="24" t="s">
        <v>91</v>
      </c>
      <c r="B23" s="28">
        <v>5381</v>
      </c>
      <c r="C23" s="32">
        <v>2290</v>
      </c>
      <c r="D23" s="32">
        <v>4342</v>
      </c>
      <c r="E23" s="32">
        <v>4938</v>
      </c>
      <c r="F23" s="32">
        <v>24337</v>
      </c>
      <c r="G23" s="32">
        <v>17813</v>
      </c>
      <c r="H23" s="32">
        <v>3523</v>
      </c>
      <c r="I23" s="32">
        <v>3418</v>
      </c>
      <c r="J23" s="32">
        <v>245</v>
      </c>
      <c r="K23" s="32">
        <v>236</v>
      </c>
      <c r="L23" s="32"/>
      <c r="M23" s="32"/>
      <c r="N23" s="32">
        <v>9666</v>
      </c>
      <c r="O23" s="32">
        <v>8559</v>
      </c>
      <c r="P23" s="32">
        <v>14671</v>
      </c>
      <c r="Q23" s="32">
        <v>9254</v>
      </c>
      <c r="R23" s="32"/>
      <c r="S23" s="32"/>
      <c r="T23" s="32">
        <v>19780</v>
      </c>
      <c r="U23" s="32">
        <v>0</v>
      </c>
      <c r="V23" s="32">
        <v>10980</v>
      </c>
      <c r="W23" s="32">
        <v>0</v>
      </c>
      <c r="X23" s="32">
        <v>8800</v>
      </c>
      <c r="Y23" s="32">
        <v>0</v>
      </c>
      <c r="Z23" s="32"/>
      <c r="AA23" s="32"/>
      <c r="AB23" s="32">
        <v>575</v>
      </c>
      <c r="AC23" s="32">
        <v>357</v>
      </c>
      <c r="AD23" s="32">
        <v>591</v>
      </c>
      <c r="AE23" s="32">
        <v>678</v>
      </c>
      <c r="AF23" s="32"/>
      <c r="AG23" s="32"/>
      <c r="AH23" s="29"/>
    </row>
    <row r="24" spans="1:34">
      <c r="A24" s="24" t="s">
        <v>88</v>
      </c>
      <c r="B24" s="28">
        <v>1133</v>
      </c>
      <c r="C24" s="32">
        <v>4767</v>
      </c>
      <c r="D24" s="32">
        <v>5980</v>
      </c>
      <c r="E24" s="32">
        <v>860</v>
      </c>
      <c r="F24" s="32">
        <v>23035</v>
      </c>
      <c r="G24" s="32">
        <v>9161</v>
      </c>
      <c r="H24" s="32">
        <v>631</v>
      </c>
      <c r="I24" s="32">
        <v>851</v>
      </c>
      <c r="J24" s="32">
        <v>11</v>
      </c>
      <c r="K24" s="32">
        <v>21</v>
      </c>
      <c r="L24" s="32">
        <v>4</v>
      </c>
      <c r="M24" s="32">
        <v>8</v>
      </c>
      <c r="N24" s="32">
        <v>10195</v>
      </c>
      <c r="O24" s="32">
        <v>3000</v>
      </c>
      <c r="P24" s="32">
        <v>12610</v>
      </c>
      <c r="Q24" s="32">
        <v>6087</v>
      </c>
      <c r="R24" s="32">
        <v>230</v>
      </c>
      <c r="S24" s="32">
        <v>74</v>
      </c>
      <c r="T24" s="32">
        <v>580</v>
      </c>
      <c r="U24" s="32">
        <v>36</v>
      </c>
      <c r="V24" s="32">
        <v>0</v>
      </c>
      <c r="W24" s="32">
        <v>0</v>
      </c>
      <c r="X24" s="32">
        <v>0</v>
      </c>
      <c r="Y24" s="32">
        <v>0</v>
      </c>
      <c r="Z24" s="32">
        <v>580</v>
      </c>
      <c r="AA24" s="32">
        <v>36</v>
      </c>
      <c r="AB24" s="32">
        <v>85</v>
      </c>
      <c r="AC24" s="32">
        <v>152</v>
      </c>
      <c r="AD24" s="32">
        <v>82</v>
      </c>
      <c r="AE24" s="32">
        <v>180</v>
      </c>
      <c r="AF24" s="32">
        <v>1168</v>
      </c>
      <c r="AG24" s="32">
        <v>311</v>
      </c>
      <c r="AH24" s="29">
        <v>2638</v>
      </c>
    </row>
    <row r="25" spans="1:34">
      <c r="A25" s="24" t="s">
        <v>154</v>
      </c>
      <c r="B25" s="28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>
        <v>75</v>
      </c>
      <c r="AC25" s="32">
        <v>103</v>
      </c>
      <c r="AD25" s="32">
        <v>276</v>
      </c>
      <c r="AE25" s="32">
        <v>322</v>
      </c>
      <c r="AF25" s="32"/>
      <c r="AG25" s="32"/>
      <c r="AH25" s="29"/>
    </row>
    <row r="26" spans="1:34">
      <c r="A26" s="24" t="s">
        <v>142</v>
      </c>
      <c r="B26" s="28"/>
      <c r="C26" s="32">
        <v>8786</v>
      </c>
      <c r="D26" s="32">
        <v>12643</v>
      </c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29"/>
    </row>
    <row r="27" spans="1:34">
      <c r="A27" s="24" t="s">
        <v>55</v>
      </c>
      <c r="B27" s="28">
        <v>50528</v>
      </c>
      <c r="C27" s="32">
        <v>13577</v>
      </c>
      <c r="D27" s="32">
        <v>58</v>
      </c>
      <c r="E27" s="32">
        <v>48191</v>
      </c>
      <c r="F27" s="32">
        <v>358618</v>
      </c>
      <c r="G27" s="32">
        <v>60017</v>
      </c>
      <c r="H27" s="32">
        <v>48191</v>
      </c>
      <c r="I27" s="32">
        <v>50528</v>
      </c>
      <c r="J27" s="32"/>
      <c r="K27" s="32"/>
      <c r="L27" s="32"/>
      <c r="M27" s="32"/>
      <c r="N27" s="32">
        <v>358618</v>
      </c>
      <c r="O27" s="32">
        <v>60017</v>
      </c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>
        <v>1300</v>
      </c>
      <c r="AC27" s="32">
        <v>1797</v>
      </c>
      <c r="AD27" s="32"/>
      <c r="AE27" s="32"/>
      <c r="AF27" s="32"/>
      <c r="AG27" s="32"/>
      <c r="AH27" s="29"/>
    </row>
    <row r="28" spans="1:34">
      <c r="A28" s="24" t="s">
        <v>133</v>
      </c>
      <c r="B28" s="28"/>
      <c r="C28" s="32">
        <v>36882</v>
      </c>
      <c r="D28" s="32">
        <v>21685</v>
      </c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29"/>
    </row>
    <row r="29" spans="1:34">
      <c r="A29" s="24" t="s">
        <v>94</v>
      </c>
      <c r="B29" s="28">
        <v>3490</v>
      </c>
      <c r="C29" s="32">
        <v>12687</v>
      </c>
      <c r="D29" s="32">
        <v>7194</v>
      </c>
      <c r="E29" s="32">
        <v>2143</v>
      </c>
      <c r="F29" s="32">
        <v>12226</v>
      </c>
      <c r="G29" s="32">
        <v>6881</v>
      </c>
      <c r="H29" s="32">
        <v>584</v>
      </c>
      <c r="I29" s="32">
        <v>1268</v>
      </c>
      <c r="J29" s="32">
        <v>312</v>
      </c>
      <c r="K29" s="32">
        <v>498</v>
      </c>
      <c r="L29" s="32"/>
      <c r="M29" s="32"/>
      <c r="N29" s="32">
        <v>6190</v>
      </c>
      <c r="O29" s="32">
        <v>4360</v>
      </c>
      <c r="P29" s="32">
        <v>4685</v>
      </c>
      <c r="Q29" s="32">
        <v>2091</v>
      </c>
      <c r="R29" s="32">
        <v>1351</v>
      </c>
      <c r="S29" s="32">
        <v>430</v>
      </c>
      <c r="T29" s="32">
        <v>10126</v>
      </c>
      <c r="U29" s="32">
        <v>27</v>
      </c>
      <c r="V29" s="32">
        <v>9652</v>
      </c>
      <c r="W29" s="32">
        <v>18</v>
      </c>
      <c r="X29" s="32">
        <v>474</v>
      </c>
      <c r="Y29" s="32">
        <v>9</v>
      </c>
      <c r="Z29" s="32"/>
      <c r="AA29" s="32"/>
      <c r="AB29" s="32">
        <v>167</v>
      </c>
      <c r="AC29" s="32">
        <v>231</v>
      </c>
      <c r="AD29" s="32">
        <v>286</v>
      </c>
      <c r="AE29" s="32">
        <v>359</v>
      </c>
      <c r="AF29" s="32"/>
      <c r="AG29" s="32"/>
      <c r="AH29" s="29">
        <v>1056</v>
      </c>
    </row>
    <row r="30" spans="1:34">
      <c r="A30" s="24" t="s">
        <v>136</v>
      </c>
      <c r="B30" s="28">
        <v>532</v>
      </c>
      <c r="C30" s="32">
        <v>12380</v>
      </c>
      <c r="D30" s="32">
        <v>1586</v>
      </c>
      <c r="E30" s="32">
        <v>44</v>
      </c>
      <c r="F30" s="32">
        <v>6066</v>
      </c>
      <c r="G30" s="32">
        <v>736</v>
      </c>
      <c r="H30" s="32">
        <v>28</v>
      </c>
      <c r="I30" s="32">
        <v>487</v>
      </c>
      <c r="J30" s="32"/>
      <c r="K30" s="32"/>
      <c r="L30" s="32"/>
      <c r="M30" s="32"/>
      <c r="N30" s="32">
        <v>1665</v>
      </c>
      <c r="O30" s="32">
        <v>245</v>
      </c>
      <c r="P30" s="32">
        <v>2291</v>
      </c>
      <c r="Q30" s="32">
        <v>256</v>
      </c>
      <c r="R30" s="32">
        <v>2110</v>
      </c>
      <c r="S30" s="32">
        <v>235</v>
      </c>
      <c r="T30" s="32">
        <v>611</v>
      </c>
      <c r="U30" s="32">
        <v>28</v>
      </c>
      <c r="V30" s="32">
        <v>522</v>
      </c>
      <c r="W30" s="32">
        <v>8</v>
      </c>
      <c r="X30" s="32">
        <v>89</v>
      </c>
      <c r="Y30" s="32">
        <v>20</v>
      </c>
      <c r="Z30" s="32"/>
      <c r="AA30" s="32"/>
      <c r="AB30" s="32">
        <v>5</v>
      </c>
      <c r="AC30" s="32">
        <v>10</v>
      </c>
      <c r="AD30" s="32">
        <v>41</v>
      </c>
      <c r="AE30" s="32">
        <v>152</v>
      </c>
      <c r="AF30" s="32"/>
      <c r="AG30" s="32"/>
      <c r="AH30" s="29"/>
    </row>
    <row r="31" spans="1:34">
      <c r="A31" s="24" t="s">
        <v>139</v>
      </c>
      <c r="B31" s="28"/>
      <c r="C31" s="32">
        <v>1828</v>
      </c>
      <c r="D31" s="32">
        <v>4680</v>
      </c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29"/>
    </row>
    <row r="32" spans="1:34">
      <c r="A32" s="24" t="s">
        <v>145</v>
      </c>
      <c r="B32" s="28"/>
      <c r="C32" s="32"/>
      <c r="D32" s="32"/>
      <c r="E32" s="32"/>
      <c r="F32" s="32">
        <v>296</v>
      </c>
      <c r="G32" s="32">
        <v>110</v>
      </c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>
        <v>296</v>
      </c>
      <c r="S32" s="32">
        <v>110</v>
      </c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29"/>
    </row>
    <row r="33" spans="1:34">
      <c r="A33" s="24" t="s">
        <v>61</v>
      </c>
      <c r="B33" s="28"/>
      <c r="C33" s="32">
        <v>8519</v>
      </c>
      <c r="D33" s="32">
        <v>67</v>
      </c>
      <c r="E33" s="32"/>
      <c r="F33" s="32">
        <v>7444</v>
      </c>
      <c r="G33" s="32">
        <v>2785</v>
      </c>
      <c r="H33" s="32"/>
      <c r="I33" s="32"/>
      <c r="J33" s="32"/>
      <c r="K33" s="32"/>
      <c r="L33" s="32"/>
      <c r="M33" s="32"/>
      <c r="N33" s="32">
        <v>5136</v>
      </c>
      <c r="O33" s="32">
        <v>2101</v>
      </c>
      <c r="P33" s="32">
        <v>1382</v>
      </c>
      <c r="Q33" s="32">
        <v>316</v>
      </c>
      <c r="R33" s="32">
        <v>926</v>
      </c>
      <c r="S33" s="32">
        <v>368</v>
      </c>
      <c r="T33" s="32">
        <v>1820</v>
      </c>
      <c r="U33" s="32">
        <v>645</v>
      </c>
      <c r="V33" s="32">
        <v>1820</v>
      </c>
      <c r="W33" s="32">
        <v>645</v>
      </c>
      <c r="X33" s="32"/>
      <c r="Y33" s="32"/>
      <c r="Z33" s="32"/>
      <c r="AA33" s="32"/>
      <c r="AB33" s="32">
        <v>7</v>
      </c>
      <c r="AC33" s="32">
        <v>1</v>
      </c>
      <c r="AD33" s="32"/>
      <c r="AE33" s="32"/>
      <c r="AF33" s="32"/>
      <c r="AG33" s="32"/>
      <c r="AH33" s="29"/>
    </row>
    <row r="34" spans="1:34">
      <c r="A34" s="24" t="s">
        <v>97</v>
      </c>
      <c r="B34" s="28">
        <v>185</v>
      </c>
      <c r="C34" s="32"/>
      <c r="D34" s="32"/>
      <c r="E34" s="32">
        <v>112</v>
      </c>
      <c r="F34" s="32">
        <v>1426</v>
      </c>
      <c r="G34" s="32">
        <v>148</v>
      </c>
      <c r="H34" s="32">
        <v>77</v>
      </c>
      <c r="I34" s="32">
        <v>105</v>
      </c>
      <c r="J34" s="32"/>
      <c r="K34" s="32"/>
      <c r="L34" s="32"/>
      <c r="M34" s="32"/>
      <c r="N34" s="32">
        <v>1426</v>
      </c>
      <c r="O34" s="32">
        <v>148</v>
      </c>
      <c r="P34" s="32">
        <v>0</v>
      </c>
      <c r="Q34" s="32">
        <v>0</v>
      </c>
      <c r="R34" s="32">
        <v>0</v>
      </c>
      <c r="S34" s="32">
        <v>0</v>
      </c>
      <c r="T34" s="32">
        <v>147</v>
      </c>
      <c r="U34" s="32">
        <v>3</v>
      </c>
      <c r="V34" s="32">
        <v>147</v>
      </c>
      <c r="W34" s="32">
        <v>3</v>
      </c>
      <c r="X34" s="32"/>
      <c r="Y34" s="32"/>
      <c r="Z34" s="32"/>
      <c r="AA34" s="32"/>
      <c r="AB34" s="32">
        <v>19</v>
      </c>
      <c r="AC34" s="32">
        <v>25</v>
      </c>
      <c r="AD34" s="32"/>
      <c r="AE34" s="32"/>
      <c r="AF34" s="32">
        <v>314</v>
      </c>
      <c r="AG34" s="32">
        <v>2</v>
      </c>
      <c r="AH34" s="29"/>
    </row>
    <row r="35" spans="1:34">
      <c r="A35" s="24" t="s">
        <v>73</v>
      </c>
      <c r="B35" s="28">
        <v>2821</v>
      </c>
      <c r="C35" s="32">
        <v>119</v>
      </c>
      <c r="D35" s="32">
        <v>485</v>
      </c>
      <c r="E35" s="32">
        <v>603</v>
      </c>
      <c r="F35" s="32">
        <v>2305</v>
      </c>
      <c r="G35" s="32">
        <v>4762</v>
      </c>
      <c r="H35" s="32">
        <v>603</v>
      </c>
      <c r="I35" s="32">
        <v>2821</v>
      </c>
      <c r="J35" s="32">
        <v>4</v>
      </c>
      <c r="K35" s="32">
        <v>170</v>
      </c>
      <c r="L35" s="32"/>
      <c r="M35" s="32"/>
      <c r="N35" s="32">
        <v>1833</v>
      </c>
      <c r="O35" s="32">
        <v>4139</v>
      </c>
      <c r="P35" s="32">
        <v>309</v>
      </c>
      <c r="Q35" s="32">
        <v>518</v>
      </c>
      <c r="R35" s="32">
        <v>163</v>
      </c>
      <c r="S35" s="32">
        <v>105</v>
      </c>
      <c r="T35" s="32">
        <v>2517</v>
      </c>
      <c r="U35" s="32">
        <v>160</v>
      </c>
      <c r="V35" s="32">
        <v>1863</v>
      </c>
      <c r="W35" s="32">
        <v>121</v>
      </c>
      <c r="X35" s="32">
        <v>98</v>
      </c>
      <c r="Y35" s="32">
        <v>6</v>
      </c>
      <c r="Z35" s="32">
        <v>556</v>
      </c>
      <c r="AA35" s="32">
        <v>33</v>
      </c>
      <c r="AB35" s="32">
        <v>11</v>
      </c>
      <c r="AC35" s="32">
        <v>29</v>
      </c>
      <c r="AD35" s="32">
        <v>62</v>
      </c>
      <c r="AE35" s="32">
        <v>222</v>
      </c>
      <c r="AF35" s="32"/>
      <c r="AG35" s="32"/>
      <c r="AH35" s="29"/>
    </row>
    <row r="36" spans="1:34">
      <c r="A36" s="24" t="s">
        <v>115</v>
      </c>
      <c r="B36" s="28">
        <v>594</v>
      </c>
      <c r="C36" s="32">
        <v>1419</v>
      </c>
      <c r="D36" s="32">
        <v>5967</v>
      </c>
      <c r="E36" s="32">
        <v>136</v>
      </c>
      <c r="F36" s="32">
        <v>951</v>
      </c>
      <c r="G36" s="32">
        <v>3211</v>
      </c>
      <c r="H36" s="32">
        <v>59</v>
      </c>
      <c r="I36" s="32">
        <v>272</v>
      </c>
      <c r="J36" s="32"/>
      <c r="K36" s="32"/>
      <c r="L36" s="32"/>
      <c r="M36" s="32"/>
      <c r="N36" s="32">
        <v>367</v>
      </c>
      <c r="O36" s="32">
        <v>1332</v>
      </c>
      <c r="P36" s="32">
        <v>256</v>
      </c>
      <c r="Q36" s="32">
        <v>675</v>
      </c>
      <c r="R36" s="32">
        <v>328</v>
      </c>
      <c r="S36" s="32">
        <v>1204</v>
      </c>
      <c r="T36" s="32">
        <v>1864</v>
      </c>
      <c r="U36" s="32">
        <v>0</v>
      </c>
      <c r="V36" s="32">
        <v>1043</v>
      </c>
      <c r="W36" s="32">
        <v>0</v>
      </c>
      <c r="X36" s="32">
        <v>821</v>
      </c>
      <c r="Y36" s="32">
        <v>0</v>
      </c>
      <c r="Z36" s="32"/>
      <c r="AA36" s="32"/>
      <c r="AB36" s="32">
        <v>5</v>
      </c>
      <c r="AC36" s="32">
        <v>13</v>
      </c>
      <c r="AD36" s="32">
        <v>126</v>
      </c>
      <c r="AE36" s="32">
        <v>129</v>
      </c>
      <c r="AF36" s="32"/>
      <c r="AG36" s="32"/>
      <c r="AH36" s="29"/>
    </row>
    <row r="37" spans="1:34">
      <c r="A37" s="24" t="s">
        <v>103</v>
      </c>
      <c r="B37" s="28">
        <v>5696</v>
      </c>
      <c r="C37" s="32"/>
      <c r="D37" s="32"/>
      <c r="E37" s="32">
        <v>2271</v>
      </c>
      <c r="F37" s="32">
        <v>104972</v>
      </c>
      <c r="G37" s="32">
        <v>38590</v>
      </c>
      <c r="H37" s="32">
        <v>1811</v>
      </c>
      <c r="I37" s="32">
        <v>4557</v>
      </c>
      <c r="J37" s="32">
        <v>115</v>
      </c>
      <c r="K37" s="32">
        <v>223</v>
      </c>
      <c r="L37" s="32"/>
      <c r="M37" s="32"/>
      <c r="N37" s="32"/>
      <c r="O37" s="32"/>
      <c r="P37" s="32">
        <v>15148</v>
      </c>
      <c r="Q37" s="32">
        <v>6277</v>
      </c>
      <c r="R37" s="32">
        <v>89824</v>
      </c>
      <c r="S37" s="32">
        <v>32313</v>
      </c>
      <c r="T37" s="32">
        <v>110270</v>
      </c>
      <c r="U37" s="32">
        <v>87</v>
      </c>
      <c r="V37" s="32"/>
      <c r="W37" s="32"/>
      <c r="X37" s="32">
        <v>86011</v>
      </c>
      <c r="Y37" s="32">
        <v>87</v>
      </c>
      <c r="Z37" s="32">
        <v>24259</v>
      </c>
      <c r="AA37" s="32">
        <v>0</v>
      </c>
      <c r="AB37" s="32"/>
      <c r="AC37" s="32"/>
      <c r="AD37" s="32">
        <v>526</v>
      </c>
      <c r="AE37" s="32">
        <v>1186</v>
      </c>
      <c r="AF37" s="32"/>
      <c r="AG37" s="32"/>
      <c r="AH37" s="29"/>
    </row>
    <row r="38" spans="1:34">
      <c r="A38" s="24" t="s">
        <v>106</v>
      </c>
      <c r="B38" s="28">
        <v>7217</v>
      </c>
      <c r="C38" s="32">
        <v>1129</v>
      </c>
      <c r="D38" s="32">
        <v>1292</v>
      </c>
      <c r="E38" s="32">
        <v>18616</v>
      </c>
      <c r="F38" s="32">
        <v>33830</v>
      </c>
      <c r="G38" s="32">
        <v>8086</v>
      </c>
      <c r="H38" s="32">
        <v>1695</v>
      </c>
      <c r="I38" s="32">
        <v>3013</v>
      </c>
      <c r="J38" s="32">
        <v>14</v>
      </c>
      <c r="K38" s="32">
        <v>87</v>
      </c>
      <c r="L38" s="32">
        <v>16792</v>
      </c>
      <c r="M38" s="32">
        <v>3799</v>
      </c>
      <c r="N38" s="32">
        <v>32952</v>
      </c>
      <c r="O38" s="32">
        <v>7926</v>
      </c>
      <c r="P38" s="32">
        <v>878</v>
      </c>
      <c r="Q38" s="32">
        <v>160</v>
      </c>
      <c r="R38" s="32">
        <v>0</v>
      </c>
      <c r="S38" s="32">
        <v>0</v>
      </c>
      <c r="T38" s="32">
        <v>7881</v>
      </c>
      <c r="U38" s="32">
        <v>1327</v>
      </c>
      <c r="V38" s="32">
        <v>7881</v>
      </c>
      <c r="W38" s="32">
        <v>1327</v>
      </c>
      <c r="X38" s="32"/>
      <c r="Y38" s="32"/>
      <c r="Z38" s="32"/>
      <c r="AA38" s="32"/>
      <c r="AB38" s="32">
        <v>109</v>
      </c>
      <c r="AC38" s="32">
        <v>152</v>
      </c>
      <c r="AD38" s="32">
        <v>331</v>
      </c>
      <c r="AE38" s="32">
        <v>308</v>
      </c>
      <c r="AF38" s="32">
        <v>1807</v>
      </c>
      <c r="AG38" s="32">
        <v>327</v>
      </c>
      <c r="AH38" s="29">
        <v>925</v>
      </c>
    </row>
    <row r="39" spans="1:34">
      <c r="A39" s="24" t="s">
        <v>109</v>
      </c>
      <c r="B39" s="28">
        <v>4217</v>
      </c>
      <c r="C39" s="32">
        <v>24522</v>
      </c>
      <c r="D39" s="32">
        <v>11088</v>
      </c>
      <c r="E39" s="32">
        <v>1514</v>
      </c>
      <c r="F39" s="32">
        <v>45688</v>
      </c>
      <c r="G39" s="32">
        <v>14428</v>
      </c>
      <c r="H39" s="32">
        <v>988</v>
      </c>
      <c r="I39" s="32">
        <v>2906</v>
      </c>
      <c r="J39" s="32">
        <v>62</v>
      </c>
      <c r="K39" s="32">
        <v>147</v>
      </c>
      <c r="L39" s="32">
        <v>152</v>
      </c>
      <c r="M39" s="32">
        <v>392</v>
      </c>
      <c r="N39" s="32">
        <v>35768</v>
      </c>
      <c r="O39" s="32">
        <v>11296</v>
      </c>
      <c r="P39" s="32">
        <v>9920</v>
      </c>
      <c r="Q39" s="32">
        <v>3132</v>
      </c>
      <c r="R39" s="32"/>
      <c r="S39" s="32"/>
      <c r="T39" s="32">
        <v>2600</v>
      </c>
      <c r="U39" s="32">
        <v>196</v>
      </c>
      <c r="V39" s="32">
        <v>2600</v>
      </c>
      <c r="W39" s="32">
        <v>196</v>
      </c>
      <c r="X39" s="32"/>
      <c r="Y39" s="32"/>
      <c r="Z39" s="32"/>
      <c r="AA39" s="32"/>
      <c r="AB39" s="32">
        <v>818</v>
      </c>
      <c r="AC39" s="32">
        <v>1989</v>
      </c>
      <c r="AD39" s="32">
        <v>1452</v>
      </c>
      <c r="AE39" s="32">
        <v>1847</v>
      </c>
      <c r="AF39" s="32">
        <v>5737</v>
      </c>
      <c r="AG39" s="32">
        <v>437</v>
      </c>
      <c r="AH39" s="29">
        <v>4780</v>
      </c>
    </row>
    <row r="40" spans="1:34" ht="25">
      <c r="A40" s="25" t="s">
        <v>156</v>
      </c>
      <c r="B40" s="16">
        <v>174731</v>
      </c>
      <c r="C40" s="33">
        <v>302908</v>
      </c>
      <c r="D40" s="33">
        <v>121238</v>
      </c>
      <c r="E40" s="33">
        <v>157918</v>
      </c>
      <c r="F40" s="33">
        <v>1236010</v>
      </c>
      <c r="G40" s="33">
        <v>531528</v>
      </c>
      <c r="H40" s="33">
        <v>101392</v>
      </c>
      <c r="I40" s="33">
        <v>125490</v>
      </c>
      <c r="J40" s="33">
        <v>15068</v>
      </c>
      <c r="K40" s="33">
        <v>10438</v>
      </c>
      <c r="L40" s="33">
        <v>19739</v>
      </c>
      <c r="M40" s="33">
        <v>6327</v>
      </c>
      <c r="N40" s="33">
        <v>871167</v>
      </c>
      <c r="O40" s="33">
        <v>389791</v>
      </c>
      <c r="P40" s="33">
        <v>265833</v>
      </c>
      <c r="Q40" s="33">
        <v>104651</v>
      </c>
      <c r="R40" s="33">
        <v>99010</v>
      </c>
      <c r="S40" s="33">
        <v>37086</v>
      </c>
      <c r="T40" s="33">
        <v>294336</v>
      </c>
      <c r="U40" s="33">
        <v>22996</v>
      </c>
      <c r="V40" s="33">
        <v>165398</v>
      </c>
      <c r="W40" s="33">
        <v>22695</v>
      </c>
      <c r="X40" s="33">
        <v>103495</v>
      </c>
      <c r="Y40" s="33">
        <v>230</v>
      </c>
      <c r="Z40" s="33">
        <v>25443</v>
      </c>
      <c r="AA40" s="33">
        <v>71</v>
      </c>
      <c r="AB40" s="33">
        <v>14129</v>
      </c>
      <c r="AC40" s="33">
        <v>12808</v>
      </c>
      <c r="AD40" s="33">
        <v>32590</v>
      </c>
      <c r="AE40" s="33">
        <v>39084</v>
      </c>
      <c r="AF40" s="33">
        <v>11413</v>
      </c>
      <c r="AG40" s="33">
        <v>1725</v>
      </c>
      <c r="AH40" s="17">
        <v>9591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59417-FE70-486E-91DD-3C08B3D47960}">
  <dimension ref="A1:K7"/>
  <sheetViews>
    <sheetView workbookViewId="0">
      <selection activeCell="E5" sqref="E5"/>
    </sheetView>
  </sheetViews>
  <sheetFormatPr defaultRowHeight="12.5"/>
  <cols>
    <col min="2" max="2" width="12.54296875" customWidth="1"/>
    <col min="3" max="3" width="13.36328125" customWidth="1"/>
    <col min="4" max="4" width="12.453125" customWidth="1"/>
    <col min="5" max="5" width="13.08984375" customWidth="1"/>
  </cols>
  <sheetData>
    <row r="1" spans="1:11" ht="87.5">
      <c r="A1" t="s">
        <v>155</v>
      </c>
      <c r="B1" t="s">
        <v>160</v>
      </c>
      <c r="C1" t="s">
        <v>159</v>
      </c>
      <c r="D1" t="s">
        <v>167</v>
      </c>
      <c r="E1" t="s">
        <v>168</v>
      </c>
      <c r="F1" t="s">
        <v>180</v>
      </c>
      <c r="G1" t="s">
        <v>181</v>
      </c>
      <c r="H1" s="30" t="s">
        <v>161</v>
      </c>
      <c r="I1" s="15" t="s">
        <v>162</v>
      </c>
      <c r="J1" s="34" t="s">
        <v>182</v>
      </c>
      <c r="K1" s="34" t="s">
        <v>183</v>
      </c>
    </row>
    <row r="2" spans="1:11">
      <c r="A2">
        <v>2018</v>
      </c>
      <c r="B2">
        <v>53363</v>
      </c>
      <c r="C2">
        <v>91466</v>
      </c>
      <c r="D2">
        <v>9533</v>
      </c>
      <c r="E2">
        <v>6355</v>
      </c>
      <c r="F2">
        <f>B2+C2</f>
        <v>144829</v>
      </c>
      <c r="G2">
        <f>D2+E2</f>
        <v>15888</v>
      </c>
      <c r="H2" s="31">
        <v>419219</v>
      </c>
      <c r="I2" s="27">
        <v>163955</v>
      </c>
      <c r="J2">
        <f>H2+I2</f>
        <v>583174</v>
      </c>
    </row>
    <row r="3" spans="1:11">
      <c r="A3">
        <v>2019</v>
      </c>
      <c r="B3">
        <v>7332</v>
      </c>
      <c r="C3">
        <v>4296</v>
      </c>
      <c r="D3">
        <v>4367</v>
      </c>
      <c r="E3">
        <v>6498</v>
      </c>
      <c r="F3">
        <f t="shared" ref="F3:F7" si="0">B3+C3</f>
        <v>11628</v>
      </c>
      <c r="G3">
        <f t="shared" ref="G3:G7" si="1">D3+E3</f>
        <v>10865</v>
      </c>
      <c r="H3" s="32">
        <v>75396</v>
      </c>
      <c r="I3" s="29">
        <v>39282</v>
      </c>
      <c r="J3">
        <f t="shared" ref="J3:J7" si="2">H3+I3</f>
        <v>114678</v>
      </c>
    </row>
    <row r="4" spans="1:11">
      <c r="A4">
        <v>2020</v>
      </c>
      <c r="B4">
        <v>12433</v>
      </c>
      <c r="C4">
        <v>8400</v>
      </c>
      <c r="D4">
        <v>151949</v>
      </c>
      <c r="E4">
        <v>80651</v>
      </c>
      <c r="F4">
        <f t="shared" si="0"/>
        <v>20833</v>
      </c>
      <c r="G4">
        <f t="shared" si="1"/>
        <v>232600</v>
      </c>
      <c r="H4" s="32">
        <v>64278</v>
      </c>
      <c r="I4" s="29">
        <v>34718</v>
      </c>
      <c r="J4">
        <f t="shared" si="2"/>
        <v>98996</v>
      </c>
    </row>
    <row r="5" spans="1:11">
      <c r="A5">
        <v>2021</v>
      </c>
      <c r="B5">
        <v>24449</v>
      </c>
      <c r="C5">
        <v>12146</v>
      </c>
      <c r="D5">
        <v>43215</v>
      </c>
      <c r="E5">
        <v>2383</v>
      </c>
      <c r="F5">
        <f t="shared" si="0"/>
        <v>36595</v>
      </c>
      <c r="G5">
        <f t="shared" si="1"/>
        <v>45598</v>
      </c>
      <c r="H5" s="32">
        <v>150573</v>
      </c>
      <c r="I5" s="29">
        <v>98003</v>
      </c>
      <c r="J5">
        <f t="shared" si="2"/>
        <v>248576</v>
      </c>
    </row>
    <row r="6" spans="1:11">
      <c r="A6">
        <v>2022</v>
      </c>
      <c r="B6">
        <v>77154</v>
      </c>
      <c r="C6">
        <v>41610</v>
      </c>
      <c r="D6">
        <v>93844</v>
      </c>
      <c r="E6">
        <v>25351</v>
      </c>
      <c r="F6">
        <f t="shared" si="0"/>
        <v>118764</v>
      </c>
      <c r="G6">
        <f t="shared" si="1"/>
        <v>119195</v>
      </c>
      <c r="H6" s="32">
        <v>526544</v>
      </c>
      <c r="I6" s="29">
        <v>195570</v>
      </c>
      <c r="J6">
        <f t="shared" si="2"/>
        <v>722114</v>
      </c>
    </row>
    <row r="7" spans="1:11" ht="25">
      <c r="A7" t="s">
        <v>156</v>
      </c>
      <c r="B7">
        <v>174731</v>
      </c>
      <c r="C7">
        <v>157918</v>
      </c>
      <c r="D7">
        <v>302908</v>
      </c>
      <c r="E7">
        <v>121238</v>
      </c>
      <c r="F7">
        <f t="shared" si="0"/>
        <v>332649</v>
      </c>
      <c r="G7">
        <f t="shared" si="1"/>
        <v>424146</v>
      </c>
      <c r="H7" s="33">
        <v>1236010</v>
      </c>
      <c r="I7" s="17">
        <v>531528</v>
      </c>
      <c r="J7">
        <f t="shared" si="2"/>
        <v>1767538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95890-3FC9-4574-83D7-F2A7E7D8F1B4}">
  <dimension ref="A1:X8"/>
  <sheetViews>
    <sheetView topLeftCell="R1" workbookViewId="0">
      <selection activeCell="E11" sqref="E11"/>
    </sheetView>
  </sheetViews>
  <sheetFormatPr defaultRowHeight="12.5"/>
  <cols>
    <col min="2" max="2" width="11.36328125" bestFit="1" customWidth="1"/>
    <col min="6" max="6" width="8.7265625" customWidth="1"/>
    <col min="12" max="12" width="11.54296875" customWidth="1"/>
    <col min="21" max="21" width="11.36328125" bestFit="1" customWidth="1"/>
    <col min="22" max="22" width="12.54296875" customWidth="1"/>
    <col min="23" max="23" width="10.90625" customWidth="1"/>
  </cols>
  <sheetData>
    <row r="1" spans="1:24" ht="125">
      <c r="A1" t="s">
        <v>155</v>
      </c>
      <c r="B1" s="35" t="s">
        <v>159</v>
      </c>
      <c r="C1" t="s">
        <v>160</v>
      </c>
      <c r="D1" s="35" t="s">
        <v>161</v>
      </c>
      <c r="E1" t="s">
        <v>162</v>
      </c>
      <c r="F1" s="35" t="s">
        <v>158</v>
      </c>
      <c r="G1" t="s">
        <v>157</v>
      </c>
      <c r="H1" s="35" t="s">
        <v>163</v>
      </c>
      <c r="I1" t="s">
        <v>164</v>
      </c>
      <c r="J1" s="35" t="s">
        <v>165</v>
      </c>
      <c r="K1" t="s">
        <v>166</v>
      </c>
      <c r="L1" s="35" t="s">
        <v>169</v>
      </c>
      <c r="M1" t="s">
        <v>170</v>
      </c>
      <c r="N1" s="35" t="s">
        <v>171</v>
      </c>
      <c r="O1" t="s">
        <v>172</v>
      </c>
      <c r="P1" s="35" t="s">
        <v>167</v>
      </c>
      <c r="Q1" t="s">
        <v>168</v>
      </c>
      <c r="R1" s="35" t="s">
        <v>173</v>
      </c>
      <c r="S1" t="s">
        <v>174</v>
      </c>
      <c r="T1" s="35" t="s">
        <v>175</v>
      </c>
      <c r="U1" t="s">
        <v>176</v>
      </c>
      <c r="V1" s="36" t="s">
        <v>177</v>
      </c>
      <c r="W1" s="36" t="s">
        <v>179</v>
      </c>
    </row>
    <row r="2" spans="1:24">
      <c r="A2">
        <v>2018</v>
      </c>
      <c r="B2">
        <v>91466</v>
      </c>
      <c r="C2">
        <v>53363</v>
      </c>
      <c r="D2">
        <v>419219</v>
      </c>
      <c r="E2">
        <v>163955</v>
      </c>
      <c r="F2">
        <v>15623</v>
      </c>
      <c r="G2">
        <v>45</v>
      </c>
      <c r="H2">
        <v>9575</v>
      </c>
      <c r="I2">
        <v>6252</v>
      </c>
      <c r="J2">
        <v>12745</v>
      </c>
      <c r="K2">
        <v>9800</v>
      </c>
      <c r="L2">
        <v>2445</v>
      </c>
      <c r="M2">
        <v>954</v>
      </c>
      <c r="N2">
        <v>2087</v>
      </c>
      <c r="O2">
        <v>1039</v>
      </c>
      <c r="P2">
        <v>9533</v>
      </c>
      <c r="Q2">
        <v>6355</v>
      </c>
      <c r="R2">
        <f>B2+D2+F2+H2+J2+L2+N2+P2</f>
        <v>562693</v>
      </c>
      <c r="S2">
        <f>C2+E2+G2+I2+K2+M2+O2+Q2</f>
        <v>241763</v>
      </c>
      <c r="T2">
        <f>R2+S2</f>
        <v>804456</v>
      </c>
      <c r="U2" s="19">
        <f>R2/T2</f>
        <v>0.69947020098053836</v>
      </c>
      <c r="V2" s="19">
        <f>1-U2</f>
        <v>0.30052979901946164</v>
      </c>
      <c r="W2">
        <v>2018</v>
      </c>
    </row>
    <row r="3" spans="1:24">
      <c r="A3">
        <v>2019</v>
      </c>
      <c r="B3">
        <v>4296</v>
      </c>
      <c r="C3">
        <v>7332</v>
      </c>
      <c r="D3">
        <v>75396</v>
      </c>
      <c r="E3">
        <v>39282</v>
      </c>
      <c r="F3">
        <v>28930</v>
      </c>
      <c r="G3">
        <v>1357</v>
      </c>
      <c r="H3">
        <v>260</v>
      </c>
      <c r="I3">
        <v>202</v>
      </c>
      <c r="J3">
        <v>460</v>
      </c>
      <c r="K3">
        <v>516</v>
      </c>
      <c r="L3">
        <v>138</v>
      </c>
      <c r="M3">
        <v>239</v>
      </c>
      <c r="N3">
        <v>200</v>
      </c>
      <c r="O3">
        <v>153</v>
      </c>
      <c r="P3">
        <v>4367</v>
      </c>
      <c r="Q3">
        <v>6498</v>
      </c>
      <c r="R3">
        <f t="shared" ref="R3:R7" si="0">B3+D3+F3+H3+J3+L3+N3+P3</f>
        <v>114047</v>
      </c>
      <c r="S3">
        <f t="shared" ref="S3:S7" si="1">C3+E3+G3+I3+K3+M3+O3+Q3</f>
        <v>55579</v>
      </c>
      <c r="T3">
        <f t="shared" ref="T3:T7" si="2">R3+S3</f>
        <v>169626</v>
      </c>
      <c r="U3" s="19">
        <f t="shared" ref="U3:U7" si="3">R3/T3</f>
        <v>0.67234386237958799</v>
      </c>
      <c r="V3" s="19">
        <f t="shared" ref="V3:V7" si="4">1-U3</f>
        <v>0.32765613762041201</v>
      </c>
      <c r="W3">
        <v>2019</v>
      </c>
    </row>
    <row r="4" spans="1:24">
      <c r="A4">
        <v>2020</v>
      </c>
      <c r="B4">
        <v>8400</v>
      </c>
      <c r="C4">
        <v>12433</v>
      </c>
      <c r="D4">
        <v>64278</v>
      </c>
      <c r="E4">
        <v>34718</v>
      </c>
      <c r="F4">
        <v>18261</v>
      </c>
      <c r="G4">
        <v>1291</v>
      </c>
      <c r="H4">
        <v>626</v>
      </c>
      <c r="I4">
        <v>636</v>
      </c>
      <c r="J4">
        <v>1087</v>
      </c>
      <c r="K4">
        <v>1374</v>
      </c>
      <c r="L4">
        <v>322</v>
      </c>
      <c r="M4">
        <v>460</v>
      </c>
      <c r="N4">
        <v>358</v>
      </c>
      <c r="O4">
        <v>204</v>
      </c>
      <c r="P4">
        <v>151949</v>
      </c>
      <c r="Q4">
        <v>80651</v>
      </c>
      <c r="R4">
        <f t="shared" si="0"/>
        <v>245281</v>
      </c>
      <c r="S4">
        <f t="shared" si="1"/>
        <v>131767</v>
      </c>
      <c r="T4">
        <f t="shared" si="2"/>
        <v>377048</v>
      </c>
      <c r="U4" s="19">
        <f t="shared" si="3"/>
        <v>0.65052990600666227</v>
      </c>
      <c r="V4" s="19">
        <f t="shared" si="4"/>
        <v>0.34947009399333773</v>
      </c>
      <c r="W4">
        <v>2020</v>
      </c>
    </row>
    <row r="5" spans="1:24">
      <c r="A5">
        <v>2021</v>
      </c>
      <c r="B5">
        <v>12146</v>
      </c>
      <c r="C5">
        <v>24449</v>
      </c>
      <c r="D5">
        <v>150573</v>
      </c>
      <c r="E5">
        <v>98003</v>
      </c>
      <c r="F5">
        <v>50135</v>
      </c>
      <c r="G5">
        <v>8457</v>
      </c>
      <c r="H5">
        <v>662</v>
      </c>
      <c r="I5">
        <v>716</v>
      </c>
      <c r="J5">
        <v>7109</v>
      </c>
      <c r="K5">
        <v>11472</v>
      </c>
      <c r="L5">
        <v>352</v>
      </c>
      <c r="M5">
        <v>554</v>
      </c>
      <c r="N5">
        <v>357</v>
      </c>
      <c r="O5">
        <v>296</v>
      </c>
      <c r="P5">
        <v>43215</v>
      </c>
      <c r="Q5">
        <v>2383</v>
      </c>
      <c r="R5">
        <f t="shared" si="0"/>
        <v>264549</v>
      </c>
      <c r="S5">
        <f t="shared" si="1"/>
        <v>146330</v>
      </c>
      <c r="T5">
        <f t="shared" si="2"/>
        <v>410879</v>
      </c>
      <c r="U5" s="19">
        <f t="shared" si="3"/>
        <v>0.64386108805755471</v>
      </c>
      <c r="V5" s="19">
        <f t="shared" si="4"/>
        <v>0.35613891194244529</v>
      </c>
      <c r="W5">
        <v>2021</v>
      </c>
    </row>
    <row r="6" spans="1:24" ht="17.5">
      <c r="A6">
        <v>2022</v>
      </c>
      <c r="B6">
        <v>41610</v>
      </c>
      <c r="C6">
        <v>77154</v>
      </c>
      <c r="D6">
        <v>526544</v>
      </c>
      <c r="E6">
        <v>195570</v>
      </c>
      <c r="F6">
        <v>181387</v>
      </c>
      <c r="G6">
        <v>11846</v>
      </c>
      <c r="H6">
        <v>3006</v>
      </c>
      <c r="I6">
        <v>5002</v>
      </c>
      <c r="J6">
        <v>11189</v>
      </c>
      <c r="K6">
        <v>15922</v>
      </c>
      <c r="L6">
        <v>619</v>
      </c>
      <c r="M6">
        <v>1326</v>
      </c>
      <c r="N6">
        <v>596</v>
      </c>
      <c r="O6">
        <v>914</v>
      </c>
      <c r="P6">
        <v>93844</v>
      </c>
      <c r="Q6">
        <v>25351</v>
      </c>
      <c r="R6">
        <f t="shared" si="0"/>
        <v>858795</v>
      </c>
      <c r="S6">
        <f t="shared" si="1"/>
        <v>333085</v>
      </c>
      <c r="T6">
        <f t="shared" si="2"/>
        <v>1191880</v>
      </c>
      <c r="U6" s="40">
        <f t="shared" si="3"/>
        <v>0.72053814142363326</v>
      </c>
      <c r="V6" s="40">
        <f t="shared" si="4"/>
        <v>0.27946185857636674</v>
      </c>
      <c r="W6">
        <v>2022</v>
      </c>
    </row>
    <row r="7" spans="1:24" ht="25">
      <c r="A7" t="s">
        <v>156</v>
      </c>
      <c r="B7">
        <v>157918</v>
      </c>
      <c r="C7">
        <v>174731</v>
      </c>
      <c r="D7">
        <v>1236010</v>
      </c>
      <c r="E7">
        <v>531528</v>
      </c>
      <c r="F7">
        <v>294336</v>
      </c>
      <c r="G7">
        <v>22996</v>
      </c>
      <c r="H7">
        <v>14129</v>
      </c>
      <c r="I7">
        <v>12808</v>
      </c>
      <c r="J7">
        <v>32590</v>
      </c>
      <c r="K7">
        <v>39084</v>
      </c>
      <c r="L7">
        <v>3876</v>
      </c>
      <c r="M7">
        <v>3533</v>
      </c>
      <c r="N7">
        <v>3598</v>
      </c>
      <c r="O7">
        <v>2606</v>
      </c>
      <c r="P7">
        <v>302908</v>
      </c>
      <c r="Q7">
        <v>121238</v>
      </c>
      <c r="R7">
        <f t="shared" si="0"/>
        <v>2045365</v>
      </c>
      <c r="S7">
        <f t="shared" si="1"/>
        <v>908524</v>
      </c>
      <c r="T7">
        <f t="shared" si="2"/>
        <v>2953889</v>
      </c>
      <c r="U7" s="37">
        <f t="shared" si="3"/>
        <v>0.69243123218238734</v>
      </c>
      <c r="V7" s="37">
        <f t="shared" si="4"/>
        <v>0.30756876781761266</v>
      </c>
      <c r="W7" s="38" t="s">
        <v>178</v>
      </c>
      <c r="X7" s="38"/>
    </row>
    <row r="8" spans="1:24">
      <c r="A8" t="s">
        <v>184</v>
      </c>
      <c r="B8" s="19">
        <f>(B6/(B6+C6))</f>
        <v>0.35035869455390523</v>
      </c>
      <c r="D8" s="19">
        <f>(D6/(D6+E6))</f>
        <v>0.72917018642485809</v>
      </c>
      <c r="F8" s="19">
        <f>(F6/(F6+G6))</f>
        <v>0.93869577142620564</v>
      </c>
      <c r="H8" s="19">
        <f>(H6/(H6+I6))</f>
        <v>0.37537462537462535</v>
      </c>
      <c r="J8" s="19">
        <f>(J6/(J6+K6))</f>
        <v>0.4127107078307698</v>
      </c>
      <c r="L8" s="19">
        <f>(L6/(L6+M6))</f>
        <v>0.31825192802056557</v>
      </c>
      <c r="N8" s="19">
        <f>(N6/(N6+O6))</f>
        <v>0.39470198675496687</v>
      </c>
      <c r="P8" s="19">
        <f>(P6/(P6+Q6))</f>
        <v>0.78731490414866401</v>
      </c>
      <c r="R8" s="19">
        <f>(R6/(R6+S6))</f>
        <v>0.72053814142363326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1F5E6-F05B-4C72-8166-CE4255B8D403}">
  <dimension ref="A1:Q12"/>
  <sheetViews>
    <sheetView topLeftCell="E1" workbookViewId="0">
      <selection activeCell="A3" sqref="A3:Q7"/>
    </sheetView>
  </sheetViews>
  <sheetFormatPr defaultRowHeight="12.5"/>
  <cols>
    <col min="1" max="1" width="27.81640625" bestFit="1" customWidth="1"/>
    <col min="2" max="2" width="7.08984375" bestFit="1" customWidth="1"/>
    <col min="3" max="3" width="8.6328125" bestFit="1" customWidth="1"/>
    <col min="5" max="5" width="8.36328125" bestFit="1" customWidth="1"/>
    <col min="6" max="6" width="8.6328125" bestFit="1" customWidth="1"/>
    <col min="7" max="7" width="8.1796875" bestFit="1" customWidth="1"/>
    <col min="8" max="9" width="8.36328125" bestFit="1" customWidth="1"/>
    <col min="10" max="14" width="8.54296875" bestFit="1" customWidth="1"/>
    <col min="15" max="15" width="8.26953125" bestFit="1" customWidth="1"/>
    <col min="16" max="17" width="8.36328125" bestFit="1" customWidth="1"/>
  </cols>
  <sheetData>
    <row r="1" spans="1:17">
      <c r="A1" s="18" t="s">
        <v>3</v>
      </c>
      <c r="B1" s="14">
        <v>2022</v>
      </c>
    </row>
    <row r="3" spans="1:17" ht="125">
      <c r="A3" s="22" t="s">
        <v>155</v>
      </c>
      <c r="B3" s="13" t="s">
        <v>159</v>
      </c>
      <c r="C3" s="30" t="s">
        <v>160</v>
      </c>
      <c r="D3" s="30" t="s">
        <v>161</v>
      </c>
      <c r="E3" s="30" t="s">
        <v>162</v>
      </c>
      <c r="F3" s="30" t="s">
        <v>158</v>
      </c>
      <c r="G3" s="30" t="s">
        <v>157</v>
      </c>
      <c r="H3" s="30" t="s">
        <v>163</v>
      </c>
      <c r="I3" s="30" t="s">
        <v>164</v>
      </c>
      <c r="J3" s="30" t="s">
        <v>165</v>
      </c>
      <c r="K3" s="30" t="s">
        <v>166</v>
      </c>
      <c r="L3" s="30" t="s">
        <v>169</v>
      </c>
      <c r="M3" s="30" t="s">
        <v>170</v>
      </c>
      <c r="N3" s="30" t="s">
        <v>171</v>
      </c>
      <c r="O3" s="30" t="s">
        <v>172</v>
      </c>
      <c r="P3" s="30" t="s">
        <v>167</v>
      </c>
      <c r="Q3" s="15" t="s">
        <v>168</v>
      </c>
    </row>
    <row r="4" spans="1:17" ht="11.5" customHeight="1">
      <c r="A4" s="23" t="s">
        <v>225</v>
      </c>
      <c r="B4" s="26">
        <v>1129</v>
      </c>
      <c r="C4" s="31">
        <v>1060</v>
      </c>
      <c r="D4" s="31">
        <v>9055</v>
      </c>
      <c r="E4" s="31">
        <v>3873</v>
      </c>
      <c r="F4" s="31">
        <v>1051</v>
      </c>
      <c r="G4" s="31">
        <v>14</v>
      </c>
      <c r="H4" s="31">
        <v>76</v>
      </c>
      <c r="I4" s="31">
        <v>98</v>
      </c>
      <c r="J4" s="31">
        <v>169</v>
      </c>
      <c r="K4" s="31">
        <v>124</v>
      </c>
      <c r="L4" s="31">
        <v>65</v>
      </c>
      <c r="M4" s="31">
        <v>85</v>
      </c>
      <c r="N4" s="31">
        <v>60</v>
      </c>
      <c r="O4" s="31">
        <v>106</v>
      </c>
      <c r="P4" s="31"/>
      <c r="Q4" s="27"/>
    </row>
    <row r="5" spans="1:17" ht="11.5" customHeight="1">
      <c r="A5" s="24" t="s">
        <v>220</v>
      </c>
      <c r="B5" s="28">
        <v>32523</v>
      </c>
      <c r="C5" s="32">
        <v>54574</v>
      </c>
      <c r="D5" s="32">
        <v>422784</v>
      </c>
      <c r="E5" s="32">
        <v>121208</v>
      </c>
      <c r="F5" s="32">
        <v>48005</v>
      </c>
      <c r="G5" s="32">
        <v>2726</v>
      </c>
      <c r="H5" s="32">
        <v>2778</v>
      </c>
      <c r="I5" s="32">
        <v>4540</v>
      </c>
      <c r="J5" s="32">
        <v>2998</v>
      </c>
      <c r="K5" s="32">
        <v>3733</v>
      </c>
      <c r="L5" s="32">
        <v>365</v>
      </c>
      <c r="M5" s="32">
        <v>526</v>
      </c>
      <c r="N5" s="32">
        <v>366</v>
      </c>
      <c r="O5" s="32">
        <v>234</v>
      </c>
      <c r="P5" s="32">
        <v>45368</v>
      </c>
      <c r="Q5" s="29">
        <v>12831</v>
      </c>
    </row>
    <row r="6" spans="1:17" ht="11.5" customHeight="1">
      <c r="A6" s="24" t="s">
        <v>226</v>
      </c>
      <c r="B6" s="28">
        <v>7958</v>
      </c>
      <c r="C6" s="32">
        <v>21520</v>
      </c>
      <c r="D6" s="32">
        <v>94705</v>
      </c>
      <c r="E6" s="32">
        <v>70489</v>
      </c>
      <c r="F6" s="32">
        <v>132331</v>
      </c>
      <c r="G6" s="32">
        <v>9106</v>
      </c>
      <c r="H6" s="32">
        <v>152</v>
      </c>
      <c r="I6" s="32">
        <v>364</v>
      </c>
      <c r="J6" s="32">
        <v>8022</v>
      </c>
      <c r="K6" s="32">
        <v>12065</v>
      </c>
      <c r="L6" s="32">
        <v>189</v>
      </c>
      <c r="M6" s="32">
        <v>715</v>
      </c>
      <c r="N6" s="32">
        <v>170</v>
      </c>
      <c r="O6" s="32">
        <v>574</v>
      </c>
      <c r="P6" s="32">
        <v>48476</v>
      </c>
      <c r="Q6" s="29">
        <v>12520</v>
      </c>
    </row>
    <row r="7" spans="1:17" ht="11.5" customHeight="1">
      <c r="A7" s="25" t="s">
        <v>156</v>
      </c>
      <c r="B7" s="16">
        <v>41610</v>
      </c>
      <c r="C7" s="33">
        <v>77154</v>
      </c>
      <c r="D7" s="33">
        <v>526544</v>
      </c>
      <c r="E7" s="33">
        <v>195570</v>
      </c>
      <c r="F7" s="33">
        <v>181387</v>
      </c>
      <c r="G7" s="33">
        <v>11846</v>
      </c>
      <c r="H7" s="33">
        <v>3006</v>
      </c>
      <c r="I7" s="33">
        <v>5002</v>
      </c>
      <c r="J7" s="33">
        <v>11189</v>
      </c>
      <c r="K7" s="33">
        <v>15922</v>
      </c>
      <c r="L7" s="33">
        <v>619</v>
      </c>
      <c r="M7" s="33">
        <v>1326</v>
      </c>
      <c r="N7" s="33">
        <v>596</v>
      </c>
      <c r="O7" s="33">
        <v>914</v>
      </c>
      <c r="P7" s="33">
        <v>93844</v>
      </c>
      <c r="Q7" s="17">
        <v>25351</v>
      </c>
    </row>
    <row r="8" spans="1:17" ht="11.5" customHeight="1"/>
    <row r="9" spans="1:17" ht="11.5" customHeight="1"/>
    <row r="10" spans="1:17" ht="11.5" customHeight="1"/>
    <row r="11" spans="1:17" ht="11.5" customHeight="1"/>
    <row r="12" spans="1:17" ht="11.5" customHeight="1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C7AC1-5001-42D7-876E-0079B59D21CE}">
  <dimension ref="A1:A37"/>
  <sheetViews>
    <sheetView workbookViewId="0">
      <selection activeCell="E30" sqref="E30"/>
    </sheetView>
  </sheetViews>
  <sheetFormatPr defaultRowHeight="12.5"/>
  <cols>
    <col min="1" max="1" width="64.453125" customWidth="1"/>
  </cols>
  <sheetData>
    <row r="1" spans="1:1">
      <c r="A1" t="s">
        <v>155</v>
      </c>
    </row>
    <row r="2" spans="1:1">
      <c r="A2" t="s">
        <v>48</v>
      </c>
    </row>
    <row r="3" spans="1:1">
      <c r="A3" t="s">
        <v>266</v>
      </c>
    </row>
    <row r="4" spans="1:1">
      <c r="A4" t="s">
        <v>235</v>
      </c>
    </row>
    <row r="5" spans="1:1">
      <c r="A5" t="s">
        <v>242</v>
      </c>
    </row>
    <row r="6" spans="1:1">
      <c r="A6" t="s">
        <v>264</v>
      </c>
    </row>
    <row r="7" spans="1:1">
      <c r="A7" t="s">
        <v>243</v>
      </c>
    </row>
    <row r="8" spans="1:1">
      <c r="A8" t="s">
        <v>241</v>
      </c>
    </row>
    <row r="9" spans="1:1">
      <c r="A9" t="s">
        <v>219</v>
      </c>
    </row>
    <row r="10" spans="1:1">
      <c r="A10" t="s">
        <v>223</v>
      </c>
    </row>
    <row r="11" spans="1:1">
      <c r="A11" t="s">
        <v>224</v>
      </c>
    </row>
    <row r="12" spans="1:1">
      <c r="A12" t="s">
        <v>227</v>
      </c>
    </row>
    <row r="13" spans="1:1">
      <c r="A13" t="s">
        <v>298</v>
      </c>
    </row>
    <row r="14" spans="1:1">
      <c r="A14" t="s">
        <v>228</v>
      </c>
    </row>
    <row r="15" spans="1:1">
      <c r="A15" t="s">
        <v>232</v>
      </c>
    </row>
    <row r="16" spans="1:1">
      <c r="A16" t="s">
        <v>299</v>
      </c>
    </row>
    <row r="17" spans="1:1">
      <c r="A17" t="s">
        <v>246</v>
      </c>
    </row>
    <row r="18" spans="1:1">
      <c r="A18" t="s">
        <v>249</v>
      </c>
    </row>
    <row r="19" spans="1:1">
      <c r="A19" t="s">
        <v>250</v>
      </c>
    </row>
    <row r="20" spans="1:1">
      <c r="A20" t="s">
        <v>253</v>
      </c>
    </row>
    <row r="21" spans="1:1">
      <c r="A21" t="s">
        <v>254</v>
      </c>
    </row>
    <row r="22" spans="1:1">
      <c r="A22" t="s">
        <v>255</v>
      </c>
    </row>
    <row r="23" spans="1:1">
      <c r="A23" t="s">
        <v>256</v>
      </c>
    </row>
    <row r="24" spans="1:1">
      <c r="A24" t="s">
        <v>261</v>
      </c>
    </row>
    <row r="25" spans="1:1">
      <c r="A25" t="s">
        <v>262</v>
      </c>
    </row>
    <row r="26" spans="1:1">
      <c r="A26" t="s">
        <v>265</v>
      </c>
    </row>
    <row r="27" spans="1:1">
      <c r="A27" t="s">
        <v>267</v>
      </c>
    </row>
    <row r="28" spans="1:1">
      <c r="A28" t="s">
        <v>268</v>
      </c>
    </row>
    <row r="29" spans="1:1">
      <c r="A29" t="s">
        <v>269</v>
      </c>
    </row>
    <row r="30" spans="1:1">
      <c r="A30" t="s">
        <v>272</v>
      </c>
    </row>
    <row r="31" spans="1:1">
      <c r="A31" t="s">
        <v>300</v>
      </c>
    </row>
    <row r="32" spans="1:1">
      <c r="A32" t="s">
        <v>301</v>
      </c>
    </row>
    <row r="33" spans="1:1">
      <c r="A33" t="s">
        <v>276</v>
      </c>
    </row>
    <row r="34" spans="1:1">
      <c r="A34" t="s">
        <v>277</v>
      </c>
    </row>
    <row r="35" spans="1:1">
      <c r="A35" t="s">
        <v>278</v>
      </c>
    </row>
    <row r="36" spans="1:1">
      <c r="A36" t="s">
        <v>302</v>
      </c>
    </row>
    <row r="37" spans="1:1">
      <c r="A37" t="s">
        <v>275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BA28C-3CFC-4AC2-A9FF-8673C86F0FD5}">
  <dimension ref="A3:A40"/>
  <sheetViews>
    <sheetView topLeftCell="A22" workbookViewId="0">
      <selection activeCell="A3" sqref="A3:A40"/>
    </sheetView>
  </sheetViews>
  <sheetFormatPr defaultRowHeight="12.5"/>
  <cols>
    <col min="1" max="1" width="32.36328125" customWidth="1"/>
  </cols>
  <sheetData>
    <row r="3" spans="1:1">
      <c r="A3" s="45" t="s">
        <v>155</v>
      </c>
    </row>
    <row r="4" spans="1:1">
      <c r="A4" s="46" t="s">
        <v>48</v>
      </c>
    </row>
    <row r="5" spans="1:1" ht="25">
      <c r="A5" s="47" t="s">
        <v>144</v>
      </c>
    </row>
    <row r="6" spans="1:1">
      <c r="A6" s="47" t="s">
        <v>147</v>
      </c>
    </row>
    <row r="7" spans="1:1" ht="25">
      <c r="A7" s="47" t="s">
        <v>51</v>
      </c>
    </row>
    <row r="8" spans="1:1">
      <c r="A8" s="47" t="s">
        <v>54</v>
      </c>
    </row>
    <row r="9" spans="1:1">
      <c r="A9" s="47" t="s">
        <v>57</v>
      </c>
    </row>
    <row r="10" spans="1:1">
      <c r="A10" s="47" t="s">
        <v>60</v>
      </c>
    </row>
    <row r="11" spans="1:1" ht="25">
      <c r="A11" s="47" t="s">
        <v>150</v>
      </c>
    </row>
    <row r="12" spans="1:1">
      <c r="A12" s="47" t="s">
        <v>117</v>
      </c>
    </row>
    <row r="13" spans="1:1">
      <c r="A13" s="47" t="s">
        <v>63</v>
      </c>
    </row>
    <row r="14" spans="1:1">
      <c r="A14" s="47" t="s">
        <v>120</v>
      </c>
    </row>
    <row r="15" spans="1:1">
      <c r="A15" s="47" t="s">
        <v>66</v>
      </c>
    </row>
    <row r="16" spans="1:1">
      <c r="A16" s="47" t="s">
        <v>69</v>
      </c>
    </row>
    <row r="17" spans="1:1">
      <c r="A17" s="47" t="s">
        <v>72</v>
      </c>
    </row>
    <row r="18" spans="1:1">
      <c r="A18" s="47" t="s">
        <v>75</v>
      </c>
    </row>
    <row r="19" spans="1:1">
      <c r="A19" s="47" t="s">
        <v>78</v>
      </c>
    </row>
    <row r="20" spans="1:1">
      <c r="A20" s="47" t="s">
        <v>81</v>
      </c>
    </row>
    <row r="21" spans="1:1">
      <c r="A21" s="47" t="s">
        <v>84</v>
      </c>
    </row>
    <row r="22" spans="1:1">
      <c r="A22" s="47" t="s">
        <v>123</v>
      </c>
    </row>
    <row r="23" spans="1:1">
      <c r="A23" s="47" t="s">
        <v>126</v>
      </c>
    </row>
    <row r="24" spans="1:1">
      <c r="A24" s="47" t="s">
        <v>87</v>
      </c>
    </row>
    <row r="25" spans="1:1">
      <c r="A25" s="47" t="s">
        <v>129</v>
      </c>
    </row>
    <row r="26" spans="1:1">
      <c r="A26" s="47" t="s">
        <v>90</v>
      </c>
    </row>
    <row r="27" spans="1:1">
      <c r="A27" s="47" t="s">
        <v>153</v>
      </c>
    </row>
    <row r="28" spans="1:1">
      <c r="A28" s="47" t="s">
        <v>132</v>
      </c>
    </row>
    <row r="29" spans="1:1">
      <c r="A29" s="47" t="s">
        <v>93</v>
      </c>
    </row>
    <row r="30" spans="1:1">
      <c r="A30" s="47" t="s">
        <v>96</v>
      </c>
    </row>
    <row r="31" spans="1:1">
      <c r="A31" s="47" t="s">
        <v>135</v>
      </c>
    </row>
    <row r="32" spans="1:1">
      <c r="A32" s="47" t="s">
        <v>138</v>
      </c>
    </row>
    <row r="33" spans="1:1">
      <c r="A33" s="47" t="s">
        <v>99</v>
      </c>
    </row>
    <row r="34" spans="1:1">
      <c r="A34" s="47" t="s">
        <v>141</v>
      </c>
    </row>
    <row r="35" spans="1:1">
      <c r="A35" s="47" t="s">
        <v>102</v>
      </c>
    </row>
    <row r="36" spans="1:1">
      <c r="A36" s="47" t="s">
        <v>105</v>
      </c>
    </row>
    <row r="37" spans="1:1">
      <c r="A37" s="47" t="s">
        <v>108</v>
      </c>
    </row>
    <row r="38" spans="1:1">
      <c r="A38" s="47" t="s">
        <v>111</v>
      </c>
    </row>
    <row r="39" spans="1:1">
      <c r="A39" s="47" t="s">
        <v>114</v>
      </c>
    </row>
    <row r="40" spans="1:1">
      <c r="A40" s="14" t="s">
        <v>156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U90"/>
  <sheetViews>
    <sheetView showGridLines="0" topLeftCell="A2" workbookViewId="0">
      <selection activeCell="A2" sqref="A2:AU90"/>
    </sheetView>
  </sheetViews>
  <sheetFormatPr defaultColWidth="8.36328125" defaultRowHeight="19.899999999999999" customHeight="1"/>
  <cols>
    <col min="1" max="1" width="8" style="1" customWidth="1"/>
    <col min="2" max="2" width="11" style="1" customWidth="1"/>
    <col min="3" max="3" width="10.453125" style="1" customWidth="1"/>
    <col min="4" max="4" width="15.453125" style="1" customWidth="1"/>
    <col min="5" max="5" width="15.81640625" style="1" customWidth="1"/>
    <col min="6" max="6" width="31.453125" style="1" customWidth="1"/>
    <col min="7" max="7" width="18.36328125" style="1" customWidth="1"/>
    <col min="8" max="8" width="23.36328125" style="1" customWidth="1"/>
    <col min="9" max="9" width="37.81640625" style="1" customWidth="1"/>
    <col min="10" max="10" width="35.81640625" style="1" customWidth="1"/>
    <col min="11" max="11" width="77.81640625" style="1" customWidth="1"/>
    <col min="12" max="12" width="75.81640625" style="1" customWidth="1"/>
    <col min="13" max="13" width="57.81640625" style="1" customWidth="1"/>
    <col min="14" max="14" width="56" style="1" customWidth="1"/>
    <col min="15" max="15" width="52.81640625" style="1" customWidth="1"/>
    <col min="16" max="16" width="50.81640625" style="1" customWidth="1"/>
    <col min="17" max="17" width="39.81640625" style="1" customWidth="1"/>
    <col min="18" max="18" width="37.81640625" style="1" customWidth="1"/>
    <col min="19" max="19" width="42.1796875" style="1" customWidth="1"/>
    <col min="20" max="20" width="40.1796875" style="1" customWidth="1"/>
    <col min="21" max="21" width="50.36328125" style="1" customWidth="1"/>
    <col min="22" max="22" width="48.453125" style="1" customWidth="1"/>
    <col min="23" max="23" width="45.6328125" style="1" customWidth="1"/>
    <col min="24" max="24" width="43.6328125" style="1" customWidth="1"/>
    <col min="25" max="25" width="40.81640625" style="1" customWidth="1"/>
    <col min="26" max="26" width="38.81640625" style="1" customWidth="1"/>
    <col min="27" max="27" width="43.6328125" style="1" customWidth="1"/>
    <col min="28" max="28" width="41.6328125" style="1" customWidth="1"/>
    <col min="29" max="29" width="52" style="1" customWidth="1"/>
    <col min="30" max="30" width="50" style="1" customWidth="1"/>
    <col min="31" max="31" width="47.453125" style="1" customWidth="1"/>
    <col min="32" max="32" width="45.453125" style="1" customWidth="1"/>
    <col min="33" max="33" width="31.1796875" style="1" customWidth="1"/>
    <col min="34" max="34" width="29.36328125" style="1" customWidth="1"/>
    <col min="35" max="35" width="34.6328125" style="1" customWidth="1"/>
    <col min="36" max="36" width="32.6328125" style="1" customWidth="1"/>
    <col min="37" max="37" width="69" style="1" customWidth="1"/>
    <col min="38" max="38" width="67" style="1" customWidth="1"/>
    <col min="39" max="39" width="77.36328125" style="1" customWidth="1"/>
    <col min="40" max="40" width="75.36328125" style="1" customWidth="1"/>
    <col min="41" max="41" width="62.1796875" style="1" customWidth="1"/>
    <col min="42" max="42" width="60.1796875" style="1" customWidth="1"/>
    <col min="43" max="43" width="53.36328125" style="1" customWidth="1"/>
    <col min="44" max="44" width="51.36328125" style="1" customWidth="1"/>
    <col min="45" max="45" width="46.453125" style="1" customWidth="1"/>
    <col min="46" max="46" width="44.453125" style="1" customWidth="1"/>
    <col min="47" max="47" width="32.26953125" style="1" bestFit="1" customWidth="1"/>
    <col min="48" max="16384" width="8.36328125" style="1"/>
  </cols>
  <sheetData>
    <row r="1" spans="1:47" ht="27.65" customHeight="1">
      <c r="A1" s="48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</row>
    <row r="2" spans="1:47" ht="20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P2" s="2" t="s">
        <v>42</v>
      </c>
      <c r="AQ2" s="2" t="s">
        <v>43</v>
      </c>
      <c r="AR2" s="2" t="s">
        <v>44</v>
      </c>
      <c r="AS2" s="2" t="s">
        <v>45</v>
      </c>
      <c r="AT2" s="2" t="s">
        <v>46</v>
      </c>
      <c r="AU2" s="1" t="s">
        <v>280</v>
      </c>
    </row>
    <row r="3" spans="1:47" ht="20.25" customHeight="1">
      <c r="A3" s="3">
        <v>2022</v>
      </c>
      <c r="B3" s="4">
        <v>2022</v>
      </c>
      <c r="C3" s="5">
        <v>2022</v>
      </c>
      <c r="D3" s="6"/>
      <c r="E3" s="7" t="s">
        <v>47</v>
      </c>
      <c r="F3" s="7" t="s">
        <v>48</v>
      </c>
      <c r="G3" s="7" t="s">
        <v>49</v>
      </c>
      <c r="H3" s="6"/>
      <c r="I3" s="5">
        <v>779</v>
      </c>
      <c r="J3" s="5">
        <v>1593</v>
      </c>
      <c r="K3" s="5">
        <v>779</v>
      </c>
      <c r="L3" s="5">
        <v>1593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5">
        <v>4626</v>
      </c>
      <c r="Z3" s="5">
        <v>1060</v>
      </c>
      <c r="AA3" s="5">
        <v>4626</v>
      </c>
      <c r="AB3" s="5">
        <v>1060</v>
      </c>
      <c r="AC3" s="6"/>
      <c r="AD3" s="6"/>
      <c r="AE3" s="6"/>
      <c r="AF3" s="6"/>
      <c r="AG3" s="5">
        <v>9</v>
      </c>
      <c r="AH3" s="5">
        <v>30</v>
      </c>
      <c r="AI3" s="5">
        <v>223</v>
      </c>
      <c r="AJ3" s="5">
        <v>352</v>
      </c>
      <c r="AK3" s="6"/>
      <c r="AL3" s="6"/>
      <c r="AM3" s="6"/>
      <c r="AN3" s="6"/>
      <c r="AO3" s="6"/>
      <c r="AP3" s="6"/>
      <c r="AQ3" s="6"/>
      <c r="AR3" s="6"/>
      <c r="AS3" s="5">
        <v>1600</v>
      </c>
      <c r="AT3" s="5">
        <v>1545</v>
      </c>
      <c r="AU3" s="1" t="str">
        <f>VLOOKUP(G3,'Country codes'!A$2:C$48,3,FALSE)</f>
        <v>Low-Income Economies</v>
      </c>
    </row>
    <row r="4" spans="1:47" ht="20" customHeight="1">
      <c r="A4" s="8">
        <v>2022</v>
      </c>
      <c r="B4" s="9">
        <v>2022</v>
      </c>
      <c r="C4" s="10">
        <v>2022</v>
      </c>
      <c r="D4" s="11"/>
      <c r="E4" s="12" t="s">
        <v>50</v>
      </c>
      <c r="F4" s="12" t="s">
        <v>51</v>
      </c>
      <c r="G4" s="12" t="s">
        <v>52</v>
      </c>
      <c r="H4" s="11"/>
      <c r="I4" s="10">
        <v>2758</v>
      </c>
      <c r="J4" s="10">
        <v>10359</v>
      </c>
      <c r="K4" s="10">
        <v>1992</v>
      </c>
      <c r="L4" s="10">
        <v>6658</v>
      </c>
      <c r="M4" s="11"/>
      <c r="N4" s="11"/>
      <c r="O4" s="11"/>
      <c r="P4" s="11"/>
      <c r="Q4" s="10">
        <v>33050</v>
      </c>
      <c r="R4" s="10">
        <v>37196</v>
      </c>
      <c r="S4" s="10">
        <v>33050</v>
      </c>
      <c r="T4" s="10">
        <v>37196</v>
      </c>
      <c r="U4" s="11"/>
      <c r="V4" s="11"/>
      <c r="W4" s="11"/>
      <c r="X4" s="11"/>
      <c r="Y4" s="10">
        <v>14156</v>
      </c>
      <c r="Z4" s="10">
        <v>7837</v>
      </c>
      <c r="AA4" s="10">
        <v>14156</v>
      </c>
      <c r="AB4" s="10">
        <v>7837</v>
      </c>
      <c r="AC4" s="11"/>
      <c r="AD4" s="11"/>
      <c r="AE4" s="11"/>
      <c r="AF4" s="11"/>
      <c r="AG4" s="10">
        <v>73</v>
      </c>
      <c r="AH4" s="10">
        <v>198</v>
      </c>
      <c r="AI4" s="10">
        <v>6993</v>
      </c>
      <c r="AJ4" s="10">
        <v>10098</v>
      </c>
      <c r="AK4" s="11"/>
      <c r="AL4" s="11"/>
      <c r="AM4" s="11"/>
      <c r="AN4" s="11"/>
      <c r="AO4" s="10">
        <v>45</v>
      </c>
      <c r="AP4" s="10">
        <v>409</v>
      </c>
      <c r="AQ4" s="10">
        <v>42</v>
      </c>
      <c r="AR4" s="10">
        <v>310</v>
      </c>
      <c r="AS4" s="10">
        <v>39645</v>
      </c>
      <c r="AT4" s="10">
        <v>1456</v>
      </c>
      <c r="AU4" s="1" t="str">
        <f>VLOOKUP(G4,'Country codes'!A$2:C$48,3,FALSE)</f>
        <v>Low-Income Economies</v>
      </c>
    </row>
    <row r="5" spans="1:47" ht="20" customHeight="1">
      <c r="A5" s="8">
        <v>2022</v>
      </c>
      <c r="B5" s="9">
        <v>2022</v>
      </c>
      <c r="C5" s="10">
        <v>2022</v>
      </c>
      <c r="D5" s="11"/>
      <c r="E5" s="12" t="s">
        <v>53</v>
      </c>
      <c r="F5" s="12" t="s">
        <v>54</v>
      </c>
      <c r="G5" s="12" t="s">
        <v>55</v>
      </c>
      <c r="H5" s="11"/>
      <c r="I5" s="10">
        <v>19401</v>
      </c>
      <c r="J5" s="10">
        <v>35297</v>
      </c>
      <c r="K5" s="10">
        <v>19401</v>
      </c>
      <c r="L5" s="10">
        <v>35297</v>
      </c>
      <c r="M5" s="11"/>
      <c r="N5" s="11"/>
      <c r="O5" s="11"/>
      <c r="P5" s="11"/>
      <c r="Q5" s="10">
        <v>249963</v>
      </c>
      <c r="R5" s="10">
        <v>44111</v>
      </c>
      <c r="S5" s="10">
        <v>249963</v>
      </c>
      <c r="T5" s="10">
        <v>44111</v>
      </c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0">
        <v>1300</v>
      </c>
      <c r="AH5" s="10">
        <v>1797</v>
      </c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0">
        <v>13577</v>
      </c>
      <c r="AT5" s="10">
        <v>58</v>
      </c>
      <c r="AU5" s="1" t="str">
        <f>VLOOKUP(G5,'Country codes'!A$2:C$48,3,FALSE)</f>
        <v>Lower-Middle-Income Economies</v>
      </c>
    </row>
    <row r="6" spans="1:47" ht="20" customHeight="1">
      <c r="A6" s="8">
        <v>2022</v>
      </c>
      <c r="B6" s="9">
        <v>2022</v>
      </c>
      <c r="C6" s="10">
        <v>2022</v>
      </c>
      <c r="D6" s="11"/>
      <c r="E6" s="12" t="s">
        <v>56</v>
      </c>
      <c r="F6" s="12" t="s">
        <v>57</v>
      </c>
      <c r="G6" s="12" t="s">
        <v>58</v>
      </c>
      <c r="H6" s="11"/>
      <c r="I6" s="10">
        <v>667</v>
      </c>
      <c r="J6" s="10">
        <v>472</v>
      </c>
      <c r="K6" s="10">
        <v>353</v>
      </c>
      <c r="L6" s="10">
        <v>259</v>
      </c>
      <c r="M6" s="10">
        <v>89</v>
      </c>
      <c r="N6" s="10">
        <v>48</v>
      </c>
      <c r="O6" s="10">
        <v>0</v>
      </c>
      <c r="P6" s="10">
        <v>0</v>
      </c>
      <c r="Q6" s="10">
        <v>2961</v>
      </c>
      <c r="R6" s="10">
        <v>1316</v>
      </c>
      <c r="S6" s="10">
        <v>658</v>
      </c>
      <c r="T6" s="10">
        <v>334</v>
      </c>
      <c r="U6" s="10">
        <v>2265</v>
      </c>
      <c r="V6" s="10">
        <v>936</v>
      </c>
      <c r="W6" s="10">
        <v>38</v>
      </c>
      <c r="X6" s="10">
        <v>46</v>
      </c>
      <c r="Y6" s="10">
        <v>909</v>
      </c>
      <c r="Z6" s="10">
        <v>11</v>
      </c>
      <c r="AA6" s="10">
        <v>867</v>
      </c>
      <c r="AB6" s="10">
        <v>0</v>
      </c>
      <c r="AC6" s="10">
        <v>32</v>
      </c>
      <c r="AD6" s="10">
        <v>11</v>
      </c>
      <c r="AE6" s="10">
        <v>10</v>
      </c>
      <c r="AF6" s="10">
        <v>0</v>
      </c>
      <c r="AG6" s="10">
        <v>8</v>
      </c>
      <c r="AH6" s="10">
        <v>36</v>
      </c>
      <c r="AI6" s="10">
        <v>95</v>
      </c>
      <c r="AJ6" s="10">
        <v>73</v>
      </c>
      <c r="AK6" s="11"/>
      <c r="AL6" s="11"/>
      <c r="AM6" s="11"/>
      <c r="AN6" s="11"/>
      <c r="AO6" s="10">
        <v>58</v>
      </c>
      <c r="AP6" s="10">
        <v>76</v>
      </c>
      <c r="AQ6" s="10">
        <v>56</v>
      </c>
      <c r="AR6" s="10">
        <v>98</v>
      </c>
      <c r="AS6" s="11"/>
      <c r="AT6" s="11"/>
      <c r="AU6" s="1" t="str">
        <f>VLOOKUP(G6,'Country codes'!A$2:C$48,3,FALSE)</f>
        <v>High/Upper-Middle-Income Economies </v>
      </c>
    </row>
    <row r="7" spans="1:47" ht="20" customHeight="1">
      <c r="A7" s="8">
        <v>2022</v>
      </c>
      <c r="B7" s="9">
        <v>2022</v>
      </c>
      <c r="C7" s="10">
        <v>2022</v>
      </c>
      <c r="D7" s="11"/>
      <c r="E7" s="12" t="s">
        <v>59</v>
      </c>
      <c r="F7" s="12" t="s">
        <v>60</v>
      </c>
      <c r="G7" s="12" t="s">
        <v>61</v>
      </c>
      <c r="H7" s="11"/>
      <c r="I7" s="11"/>
      <c r="J7" s="11"/>
      <c r="K7" s="11"/>
      <c r="L7" s="11"/>
      <c r="M7" s="11"/>
      <c r="N7" s="11"/>
      <c r="O7" s="11"/>
      <c r="P7" s="11"/>
      <c r="Q7" s="10">
        <v>3844</v>
      </c>
      <c r="R7" s="10">
        <v>1679</v>
      </c>
      <c r="S7" s="10">
        <v>2398</v>
      </c>
      <c r="T7" s="10">
        <v>1162</v>
      </c>
      <c r="U7" s="10">
        <v>520</v>
      </c>
      <c r="V7" s="10">
        <v>149</v>
      </c>
      <c r="W7" s="10">
        <v>926</v>
      </c>
      <c r="X7" s="10">
        <v>368</v>
      </c>
      <c r="Y7" s="10">
        <v>1820</v>
      </c>
      <c r="Z7" s="10">
        <v>645</v>
      </c>
      <c r="AA7" s="10">
        <v>1820</v>
      </c>
      <c r="AB7" s="10">
        <v>645</v>
      </c>
      <c r="AC7" s="11"/>
      <c r="AD7" s="11"/>
      <c r="AE7" s="11"/>
      <c r="AF7" s="11"/>
      <c r="AG7" s="10">
        <v>7</v>
      </c>
      <c r="AH7" s="10">
        <v>1</v>
      </c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0">
        <v>3200</v>
      </c>
      <c r="AT7" s="10">
        <v>0</v>
      </c>
      <c r="AU7" s="1" t="str">
        <f>VLOOKUP(G7,'Country codes'!A$2:C$48,3,FALSE)</f>
        <v>Lower-Middle-Income Economies</v>
      </c>
    </row>
    <row r="8" spans="1:47" ht="20" customHeight="1">
      <c r="A8" s="8">
        <v>2022</v>
      </c>
      <c r="B8" s="9">
        <v>2022</v>
      </c>
      <c r="C8" s="10">
        <v>2022</v>
      </c>
      <c r="D8" s="11"/>
      <c r="E8" s="12" t="s">
        <v>62</v>
      </c>
      <c r="F8" s="12" t="s">
        <v>63</v>
      </c>
      <c r="G8" s="12" t="s">
        <v>64</v>
      </c>
      <c r="H8" s="11"/>
      <c r="I8" s="10">
        <v>440</v>
      </c>
      <c r="J8" s="10">
        <v>553</v>
      </c>
      <c r="K8" s="10">
        <v>407</v>
      </c>
      <c r="L8" s="10">
        <v>492</v>
      </c>
      <c r="M8" s="11"/>
      <c r="N8" s="11"/>
      <c r="O8" s="11"/>
      <c r="P8" s="11"/>
      <c r="Q8" s="10">
        <v>5539</v>
      </c>
      <c r="R8" s="10">
        <v>2489</v>
      </c>
      <c r="S8" s="10">
        <v>5539</v>
      </c>
      <c r="T8" s="10">
        <v>2489</v>
      </c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0">
        <v>49</v>
      </c>
      <c r="AH8" s="10">
        <v>37</v>
      </c>
      <c r="AI8" s="10">
        <v>74</v>
      </c>
      <c r="AJ8" s="10">
        <v>51</v>
      </c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" t="str">
        <f>VLOOKUP(G8,'Country codes'!A$2:C$48,3,FALSE)</f>
        <v>High/Upper-Middle-Income Economies </v>
      </c>
    </row>
    <row r="9" spans="1:47" ht="20" customHeight="1">
      <c r="A9" s="8">
        <v>2022</v>
      </c>
      <c r="B9" s="9">
        <v>2022</v>
      </c>
      <c r="C9" s="10">
        <v>2022</v>
      </c>
      <c r="D9" s="11"/>
      <c r="E9" s="12" t="s">
        <v>65</v>
      </c>
      <c r="F9" s="12" t="s">
        <v>66</v>
      </c>
      <c r="G9" s="12" t="s">
        <v>67</v>
      </c>
      <c r="H9" s="11"/>
      <c r="I9" s="10">
        <v>1815</v>
      </c>
      <c r="J9" s="10">
        <v>827</v>
      </c>
      <c r="K9" s="10">
        <v>132</v>
      </c>
      <c r="L9" s="10">
        <v>55</v>
      </c>
      <c r="M9" s="10">
        <v>58</v>
      </c>
      <c r="N9" s="10">
        <v>42</v>
      </c>
      <c r="O9" s="10">
        <v>1622</v>
      </c>
      <c r="P9" s="10">
        <v>725</v>
      </c>
      <c r="Q9" s="10">
        <v>752</v>
      </c>
      <c r="R9" s="10">
        <v>189</v>
      </c>
      <c r="S9" s="10">
        <v>679</v>
      </c>
      <c r="T9" s="10">
        <v>167</v>
      </c>
      <c r="U9" s="10">
        <v>73</v>
      </c>
      <c r="V9" s="10">
        <v>22</v>
      </c>
      <c r="W9" s="10">
        <v>0</v>
      </c>
      <c r="X9" s="10">
        <v>0</v>
      </c>
      <c r="Y9" s="11"/>
      <c r="Z9" s="11"/>
      <c r="AA9" s="11"/>
      <c r="AB9" s="11"/>
      <c r="AC9" s="11"/>
      <c r="AD9" s="11"/>
      <c r="AE9" s="11"/>
      <c r="AF9" s="11"/>
      <c r="AG9" s="10">
        <v>6</v>
      </c>
      <c r="AH9" s="10">
        <v>4</v>
      </c>
      <c r="AI9" s="10">
        <v>16</v>
      </c>
      <c r="AJ9" s="10">
        <v>7</v>
      </c>
      <c r="AK9" s="11"/>
      <c r="AL9" s="11"/>
      <c r="AM9" s="11"/>
      <c r="AN9" s="11"/>
      <c r="AO9" s="10">
        <v>25</v>
      </c>
      <c r="AP9" s="10">
        <v>8</v>
      </c>
      <c r="AQ9" s="10">
        <v>15</v>
      </c>
      <c r="AR9" s="10">
        <v>8</v>
      </c>
      <c r="AS9" s="10">
        <v>62</v>
      </c>
      <c r="AT9" s="10">
        <v>93</v>
      </c>
      <c r="AU9" s="1" t="str">
        <f>VLOOKUP(G9,'Country codes'!A$2:C$48,3,FALSE)</f>
        <v>Lower-Middle-Income Economies</v>
      </c>
    </row>
    <row r="10" spans="1:47" ht="20" customHeight="1">
      <c r="A10" s="8">
        <v>2022</v>
      </c>
      <c r="B10" s="9">
        <v>2022</v>
      </c>
      <c r="C10" s="10">
        <v>2022</v>
      </c>
      <c r="D10" s="11"/>
      <c r="E10" s="12" t="s">
        <v>68</v>
      </c>
      <c r="F10" s="12" t="s">
        <v>69</v>
      </c>
      <c r="G10" s="12" t="s">
        <v>70</v>
      </c>
      <c r="H10" s="11"/>
      <c r="I10" s="10">
        <v>1756</v>
      </c>
      <c r="J10" s="10">
        <v>2006</v>
      </c>
      <c r="K10" s="10">
        <v>1234</v>
      </c>
      <c r="L10" s="10">
        <v>1233</v>
      </c>
      <c r="M10" s="10">
        <v>279</v>
      </c>
      <c r="N10" s="10">
        <v>360</v>
      </c>
      <c r="O10" s="10">
        <v>2</v>
      </c>
      <c r="P10" s="10">
        <v>1</v>
      </c>
      <c r="Q10" s="10">
        <v>11079</v>
      </c>
      <c r="R10" s="10">
        <v>5394</v>
      </c>
      <c r="S10" s="10">
        <v>7416</v>
      </c>
      <c r="T10" s="10">
        <v>4069</v>
      </c>
      <c r="U10" s="10">
        <v>3614</v>
      </c>
      <c r="V10" s="10">
        <v>1311</v>
      </c>
      <c r="W10" s="10">
        <v>49</v>
      </c>
      <c r="X10" s="10">
        <v>14</v>
      </c>
      <c r="Y10" s="10">
        <v>1481</v>
      </c>
      <c r="Z10" s="10">
        <v>193</v>
      </c>
      <c r="AA10" s="10">
        <v>1397</v>
      </c>
      <c r="AB10" s="10">
        <v>181</v>
      </c>
      <c r="AC10" s="10">
        <v>65</v>
      </c>
      <c r="AD10" s="10">
        <v>12</v>
      </c>
      <c r="AE10" s="10">
        <v>19</v>
      </c>
      <c r="AF10" s="10">
        <v>0</v>
      </c>
      <c r="AG10" s="10">
        <v>186</v>
      </c>
      <c r="AH10" s="10">
        <v>131</v>
      </c>
      <c r="AI10" s="10">
        <v>328</v>
      </c>
      <c r="AJ10" s="10">
        <v>274</v>
      </c>
      <c r="AK10" s="11"/>
      <c r="AL10" s="11"/>
      <c r="AM10" s="11"/>
      <c r="AN10" s="11"/>
      <c r="AO10" s="10">
        <v>66</v>
      </c>
      <c r="AP10" s="10">
        <v>86</v>
      </c>
      <c r="AQ10" s="10">
        <v>63</v>
      </c>
      <c r="AR10" s="10">
        <v>24</v>
      </c>
      <c r="AS10" s="10">
        <v>210</v>
      </c>
      <c r="AT10" s="10">
        <v>100</v>
      </c>
      <c r="AU10" s="1" t="str">
        <f>VLOOKUP(G10,'Country codes'!A$2:C$48,3,FALSE)</f>
        <v>Lower-Middle-Income Economies</v>
      </c>
    </row>
    <row r="11" spans="1:47" ht="20" customHeight="1">
      <c r="A11" s="8">
        <v>2022</v>
      </c>
      <c r="B11" s="9">
        <v>2022</v>
      </c>
      <c r="C11" s="10">
        <v>2022</v>
      </c>
      <c r="D11" s="11"/>
      <c r="E11" s="12" t="s">
        <v>71</v>
      </c>
      <c r="F11" s="12" t="s">
        <v>72</v>
      </c>
      <c r="G11" s="12" t="s">
        <v>73</v>
      </c>
      <c r="H11" s="11"/>
      <c r="I11" s="10">
        <v>236</v>
      </c>
      <c r="J11" s="10">
        <v>977</v>
      </c>
      <c r="K11" s="10">
        <v>236</v>
      </c>
      <c r="L11" s="10">
        <v>977</v>
      </c>
      <c r="M11" s="11"/>
      <c r="N11" s="11"/>
      <c r="O11" s="11"/>
      <c r="P11" s="11"/>
      <c r="Q11" s="10">
        <v>571</v>
      </c>
      <c r="R11" s="10">
        <v>1097</v>
      </c>
      <c r="S11" s="10">
        <v>571</v>
      </c>
      <c r="T11" s="10">
        <v>1097</v>
      </c>
      <c r="U11" s="11"/>
      <c r="V11" s="11"/>
      <c r="W11" s="11"/>
      <c r="X11" s="11"/>
      <c r="Y11" s="10">
        <v>618</v>
      </c>
      <c r="Z11" s="10">
        <v>39</v>
      </c>
      <c r="AA11" s="10">
        <v>618</v>
      </c>
      <c r="AB11" s="10">
        <v>39</v>
      </c>
      <c r="AC11" s="11"/>
      <c r="AD11" s="11"/>
      <c r="AE11" s="11"/>
      <c r="AF11" s="11"/>
      <c r="AG11" s="10">
        <v>6</v>
      </c>
      <c r="AH11" s="10">
        <v>15</v>
      </c>
      <c r="AI11" s="10">
        <v>31</v>
      </c>
      <c r="AJ11" s="10">
        <v>111</v>
      </c>
      <c r="AK11" s="11"/>
      <c r="AL11" s="11"/>
      <c r="AM11" s="11"/>
      <c r="AN11" s="11"/>
      <c r="AO11" s="10">
        <v>22</v>
      </c>
      <c r="AP11" s="10">
        <v>35</v>
      </c>
      <c r="AQ11" s="10">
        <v>8</v>
      </c>
      <c r="AR11" s="10">
        <v>20</v>
      </c>
      <c r="AS11" s="11"/>
      <c r="AT11" s="11"/>
      <c r="AU11" s="1" t="str">
        <f>VLOOKUP(G11,'Country codes'!A$2:C$48,3,FALSE)</f>
        <v>Low-Income Economies</v>
      </c>
    </row>
    <row r="12" spans="1:47" ht="20" customHeight="1">
      <c r="A12" s="8">
        <v>2022</v>
      </c>
      <c r="B12" s="9">
        <v>2022</v>
      </c>
      <c r="C12" s="10">
        <v>2022</v>
      </c>
      <c r="D12" s="11"/>
      <c r="E12" s="12" t="s">
        <v>74</v>
      </c>
      <c r="F12" s="12" t="s">
        <v>75</v>
      </c>
      <c r="G12" s="12" t="s">
        <v>76</v>
      </c>
      <c r="H12" s="11"/>
      <c r="I12" s="10">
        <v>1477</v>
      </c>
      <c r="J12" s="10">
        <v>3453</v>
      </c>
      <c r="K12" s="10">
        <v>1322</v>
      </c>
      <c r="L12" s="10">
        <v>3090</v>
      </c>
      <c r="M12" s="11"/>
      <c r="N12" s="11"/>
      <c r="O12" s="11"/>
      <c r="P12" s="11"/>
      <c r="Q12" s="10">
        <v>5530</v>
      </c>
      <c r="R12" s="10">
        <v>9449</v>
      </c>
      <c r="S12" s="10">
        <v>5510</v>
      </c>
      <c r="T12" s="10">
        <v>9424</v>
      </c>
      <c r="U12" s="11"/>
      <c r="V12" s="11"/>
      <c r="W12" s="10">
        <v>20</v>
      </c>
      <c r="X12" s="10">
        <v>25</v>
      </c>
      <c r="Y12" s="10">
        <v>7425</v>
      </c>
      <c r="Z12" s="10">
        <v>0</v>
      </c>
      <c r="AA12" s="10">
        <v>7421</v>
      </c>
      <c r="AB12" s="10">
        <v>0</v>
      </c>
      <c r="AC12" s="10">
        <v>4</v>
      </c>
      <c r="AD12" s="10">
        <v>0</v>
      </c>
      <c r="AE12" s="11"/>
      <c r="AF12" s="11"/>
      <c r="AG12" s="10">
        <v>146</v>
      </c>
      <c r="AH12" s="10">
        <v>272</v>
      </c>
      <c r="AI12" s="10">
        <v>469</v>
      </c>
      <c r="AJ12" s="10">
        <v>693</v>
      </c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" t="str">
        <f>VLOOKUP(G12,'Country codes'!A$2:C$48,3,FALSE)</f>
        <v>Lower-Middle-Income Economies</v>
      </c>
    </row>
    <row r="13" spans="1:47" ht="20" customHeight="1">
      <c r="A13" s="8">
        <v>2022</v>
      </c>
      <c r="B13" s="9">
        <v>2022</v>
      </c>
      <c r="C13" s="10">
        <v>2022</v>
      </c>
      <c r="D13" s="11"/>
      <c r="E13" s="12" t="s">
        <v>77</v>
      </c>
      <c r="F13" s="12" t="s">
        <v>78</v>
      </c>
      <c r="G13" s="12" t="s">
        <v>79</v>
      </c>
      <c r="H13" s="11"/>
      <c r="I13" s="10">
        <v>1627</v>
      </c>
      <c r="J13" s="10">
        <v>2731</v>
      </c>
      <c r="K13" s="10">
        <v>1158</v>
      </c>
      <c r="L13" s="10">
        <v>1852</v>
      </c>
      <c r="M13" s="11"/>
      <c r="N13" s="11"/>
      <c r="O13" s="11"/>
      <c r="P13" s="11"/>
      <c r="Q13" s="10">
        <v>71253</v>
      </c>
      <c r="R13" s="10">
        <v>28420</v>
      </c>
      <c r="S13" s="10">
        <v>29537</v>
      </c>
      <c r="T13" s="10">
        <v>16426</v>
      </c>
      <c r="U13" s="10">
        <v>41716</v>
      </c>
      <c r="V13" s="10">
        <v>11994</v>
      </c>
      <c r="W13" s="11"/>
      <c r="X13" s="11"/>
      <c r="Y13" s="10">
        <v>23006</v>
      </c>
      <c r="Z13" s="10">
        <v>310</v>
      </c>
      <c r="AA13" s="10">
        <v>23006</v>
      </c>
      <c r="AB13" s="10">
        <v>310</v>
      </c>
      <c r="AC13" s="11"/>
      <c r="AD13" s="11"/>
      <c r="AE13" s="11"/>
      <c r="AF13" s="11"/>
      <c r="AG13" s="11"/>
      <c r="AH13" s="11"/>
      <c r="AI13" s="10">
        <v>476</v>
      </c>
      <c r="AJ13" s="10">
        <v>661</v>
      </c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" t="str">
        <f>VLOOKUP(G13,'Country codes'!A$2:C$48,3,FALSE)</f>
        <v>Lower-Middle-Income Economies</v>
      </c>
    </row>
    <row r="14" spans="1:47" ht="20" customHeight="1">
      <c r="A14" s="8">
        <v>2022</v>
      </c>
      <c r="B14" s="9">
        <v>2022</v>
      </c>
      <c r="C14" s="10">
        <v>2022</v>
      </c>
      <c r="D14" s="11"/>
      <c r="E14" s="12" t="s">
        <v>80</v>
      </c>
      <c r="F14" s="12" t="s">
        <v>81</v>
      </c>
      <c r="G14" s="12" t="s">
        <v>82</v>
      </c>
      <c r="H14" s="11"/>
      <c r="I14" s="10">
        <v>159</v>
      </c>
      <c r="J14" s="10">
        <v>279</v>
      </c>
      <c r="K14" s="10">
        <v>157</v>
      </c>
      <c r="L14" s="10">
        <v>271</v>
      </c>
      <c r="M14" s="10">
        <v>0</v>
      </c>
      <c r="N14" s="10">
        <v>0</v>
      </c>
      <c r="O14" s="10">
        <v>0</v>
      </c>
      <c r="P14" s="10">
        <v>0</v>
      </c>
      <c r="Q14" s="10">
        <v>1270</v>
      </c>
      <c r="R14" s="10">
        <v>608</v>
      </c>
      <c r="S14" s="10">
        <v>635</v>
      </c>
      <c r="T14" s="10">
        <v>350</v>
      </c>
      <c r="U14" s="10">
        <v>632</v>
      </c>
      <c r="V14" s="10">
        <v>257</v>
      </c>
      <c r="W14" s="10">
        <v>3</v>
      </c>
      <c r="X14" s="10">
        <v>1</v>
      </c>
      <c r="Y14" s="10">
        <v>197</v>
      </c>
      <c r="Z14" s="10">
        <v>0</v>
      </c>
      <c r="AA14" s="10">
        <v>26</v>
      </c>
      <c r="AB14" s="10">
        <v>0</v>
      </c>
      <c r="AC14" s="10">
        <v>171</v>
      </c>
      <c r="AD14" s="10">
        <v>0</v>
      </c>
      <c r="AE14" s="10">
        <v>0</v>
      </c>
      <c r="AF14" s="10">
        <v>0</v>
      </c>
      <c r="AG14" s="10">
        <v>7</v>
      </c>
      <c r="AH14" s="10">
        <v>14</v>
      </c>
      <c r="AI14" s="10">
        <v>1</v>
      </c>
      <c r="AJ14" s="10">
        <v>1</v>
      </c>
      <c r="AK14" s="11"/>
      <c r="AL14" s="11"/>
      <c r="AM14" s="11"/>
      <c r="AN14" s="11"/>
      <c r="AO14" s="10">
        <v>0</v>
      </c>
      <c r="AP14" s="10">
        <v>4</v>
      </c>
      <c r="AQ14" s="10">
        <v>2</v>
      </c>
      <c r="AR14" s="10">
        <v>4</v>
      </c>
      <c r="AS14" s="10">
        <v>549</v>
      </c>
      <c r="AT14" s="10">
        <v>2828</v>
      </c>
      <c r="AU14" s="1" t="str">
        <f>VLOOKUP(G14,'Country codes'!A$2:C$48,3,FALSE)</f>
        <v>Low-Income Economies</v>
      </c>
    </row>
    <row r="15" spans="1:47" ht="20" customHeight="1">
      <c r="A15" s="8">
        <v>2022</v>
      </c>
      <c r="B15" s="9">
        <v>2022</v>
      </c>
      <c r="C15" s="10">
        <v>2022</v>
      </c>
      <c r="D15" s="11"/>
      <c r="E15" s="12" t="s">
        <v>83</v>
      </c>
      <c r="F15" s="12" t="s">
        <v>84</v>
      </c>
      <c r="G15" s="12" t="s">
        <v>85</v>
      </c>
      <c r="H15" s="11"/>
      <c r="I15" s="10">
        <v>2323</v>
      </c>
      <c r="J15" s="10">
        <v>3194</v>
      </c>
      <c r="K15" s="10">
        <v>1535</v>
      </c>
      <c r="L15" s="10">
        <v>2009</v>
      </c>
      <c r="M15" s="10">
        <v>138</v>
      </c>
      <c r="N15" s="10">
        <v>195</v>
      </c>
      <c r="O15" s="11"/>
      <c r="P15" s="11"/>
      <c r="Q15" s="10">
        <v>24460</v>
      </c>
      <c r="R15" s="10">
        <v>11598</v>
      </c>
      <c r="S15" s="10">
        <v>24460</v>
      </c>
      <c r="T15" s="10">
        <v>11598</v>
      </c>
      <c r="U15" s="11"/>
      <c r="V15" s="11"/>
      <c r="W15" s="11"/>
      <c r="X15" s="11"/>
      <c r="Y15" s="10">
        <v>94</v>
      </c>
      <c r="Z15" s="10">
        <v>43</v>
      </c>
      <c r="AA15" s="10">
        <v>94</v>
      </c>
      <c r="AB15" s="10">
        <v>43</v>
      </c>
      <c r="AC15" s="11"/>
      <c r="AD15" s="11"/>
      <c r="AE15" s="11"/>
      <c r="AF15" s="11"/>
      <c r="AG15" s="10">
        <v>138</v>
      </c>
      <c r="AH15" s="10">
        <v>135</v>
      </c>
      <c r="AI15" s="10">
        <v>369</v>
      </c>
      <c r="AJ15" s="10">
        <v>517</v>
      </c>
      <c r="AK15" s="11"/>
      <c r="AL15" s="11"/>
      <c r="AM15" s="11"/>
      <c r="AN15" s="11"/>
      <c r="AO15" s="10">
        <v>106</v>
      </c>
      <c r="AP15" s="10">
        <v>179</v>
      </c>
      <c r="AQ15" s="10">
        <v>152</v>
      </c>
      <c r="AR15" s="10">
        <v>54</v>
      </c>
      <c r="AS15" s="11"/>
      <c r="AT15" s="11"/>
      <c r="AU15" s="1" t="str">
        <f>VLOOKUP(G15,'Country codes'!A$2:C$48,3,FALSE)</f>
        <v>Lower-Middle-Income Economies</v>
      </c>
    </row>
    <row r="16" spans="1:47" ht="20" customHeight="1">
      <c r="A16" s="8">
        <v>2022</v>
      </c>
      <c r="B16" s="9">
        <v>2022</v>
      </c>
      <c r="C16" s="10">
        <v>2022</v>
      </c>
      <c r="D16" s="11"/>
      <c r="E16" s="12" t="s">
        <v>86</v>
      </c>
      <c r="F16" s="12" t="s">
        <v>87</v>
      </c>
      <c r="G16" s="12" t="s">
        <v>88</v>
      </c>
      <c r="H16" s="11"/>
      <c r="I16" s="10">
        <v>419</v>
      </c>
      <c r="J16" s="10">
        <v>616</v>
      </c>
      <c r="K16" s="10">
        <v>324</v>
      </c>
      <c r="L16" s="10">
        <v>519</v>
      </c>
      <c r="M16" s="10">
        <v>11</v>
      </c>
      <c r="N16" s="10">
        <v>21</v>
      </c>
      <c r="O16" s="10">
        <v>4</v>
      </c>
      <c r="P16" s="10">
        <v>8</v>
      </c>
      <c r="Q16" s="10">
        <v>6162</v>
      </c>
      <c r="R16" s="10">
        <v>3430</v>
      </c>
      <c r="S16" s="10">
        <v>2260</v>
      </c>
      <c r="T16" s="10">
        <v>631</v>
      </c>
      <c r="U16" s="10">
        <v>3749</v>
      </c>
      <c r="V16" s="10">
        <v>2725</v>
      </c>
      <c r="W16" s="10">
        <v>153</v>
      </c>
      <c r="X16" s="10">
        <v>74</v>
      </c>
      <c r="Y16" s="10">
        <v>580</v>
      </c>
      <c r="Z16" s="10">
        <v>36</v>
      </c>
      <c r="AA16" s="11"/>
      <c r="AB16" s="11"/>
      <c r="AC16" s="11"/>
      <c r="AD16" s="11"/>
      <c r="AE16" s="10">
        <v>580</v>
      </c>
      <c r="AF16" s="10">
        <v>36</v>
      </c>
      <c r="AG16" s="10">
        <v>29</v>
      </c>
      <c r="AH16" s="10">
        <v>59</v>
      </c>
      <c r="AI16" s="10">
        <v>44</v>
      </c>
      <c r="AJ16" s="10">
        <v>67</v>
      </c>
      <c r="AK16" s="11"/>
      <c r="AL16" s="11"/>
      <c r="AM16" s="11"/>
      <c r="AN16" s="11"/>
      <c r="AO16" s="10">
        <v>18</v>
      </c>
      <c r="AP16" s="10">
        <v>3</v>
      </c>
      <c r="AQ16" s="10">
        <v>21</v>
      </c>
      <c r="AR16" s="10">
        <v>12</v>
      </c>
      <c r="AS16" s="10">
        <v>4767</v>
      </c>
      <c r="AT16" s="10">
        <v>5980</v>
      </c>
      <c r="AU16" s="1" t="str">
        <f>VLOOKUP(G16,'Country codes'!A$2:C$48,3,FALSE)</f>
        <v>Low-Income Economies</v>
      </c>
    </row>
    <row r="17" spans="1:47" ht="20" customHeight="1">
      <c r="A17" s="8">
        <v>2022</v>
      </c>
      <c r="B17" s="9">
        <v>2022</v>
      </c>
      <c r="C17" s="10">
        <v>2022</v>
      </c>
      <c r="D17" s="11"/>
      <c r="E17" s="12" t="s">
        <v>89</v>
      </c>
      <c r="F17" s="12" t="s">
        <v>90</v>
      </c>
      <c r="G17" s="12" t="s">
        <v>91</v>
      </c>
      <c r="H17" s="11"/>
      <c r="I17" s="10">
        <v>1130</v>
      </c>
      <c r="J17" s="10">
        <v>1216</v>
      </c>
      <c r="K17" s="10">
        <v>820</v>
      </c>
      <c r="L17" s="10">
        <v>770</v>
      </c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" t="str">
        <f>VLOOKUP(G17,'Country codes'!A$2:C$48,3,FALSE)</f>
        <v>Low-Income Economies</v>
      </c>
    </row>
    <row r="18" spans="1:47" ht="20" customHeight="1">
      <c r="A18" s="8">
        <v>2022</v>
      </c>
      <c r="B18" s="9">
        <v>2022</v>
      </c>
      <c r="C18" s="10">
        <v>2022</v>
      </c>
      <c r="D18" s="11"/>
      <c r="E18" s="12" t="s">
        <v>92</v>
      </c>
      <c r="F18" s="12" t="s">
        <v>93</v>
      </c>
      <c r="G18" s="12" t="s">
        <v>94</v>
      </c>
      <c r="H18" s="11"/>
      <c r="I18" s="10">
        <v>1000</v>
      </c>
      <c r="J18" s="10">
        <v>1198</v>
      </c>
      <c r="K18" s="10">
        <v>250</v>
      </c>
      <c r="L18" s="10">
        <v>463</v>
      </c>
      <c r="M18" s="11"/>
      <c r="N18" s="11"/>
      <c r="O18" s="11"/>
      <c r="P18" s="11"/>
      <c r="Q18" s="10">
        <v>3029</v>
      </c>
      <c r="R18" s="10">
        <v>1708</v>
      </c>
      <c r="S18" s="10">
        <v>1669</v>
      </c>
      <c r="T18" s="10">
        <v>1100</v>
      </c>
      <c r="U18" s="10">
        <v>1360</v>
      </c>
      <c r="V18" s="10">
        <v>608</v>
      </c>
      <c r="W18" s="11"/>
      <c r="X18" s="11"/>
      <c r="Y18" s="10">
        <v>2803</v>
      </c>
      <c r="Z18" s="10">
        <v>0</v>
      </c>
      <c r="AA18" s="10">
        <v>2803</v>
      </c>
      <c r="AB18" s="10">
        <v>0</v>
      </c>
      <c r="AC18" s="11"/>
      <c r="AD18" s="11"/>
      <c r="AE18" s="11"/>
      <c r="AF18" s="11"/>
      <c r="AG18" s="10">
        <v>95</v>
      </c>
      <c r="AH18" s="10">
        <v>127</v>
      </c>
      <c r="AI18" s="10">
        <v>155</v>
      </c>
      <c r="AJ18" s="10">
        <v>197</v>
      </c>
      <c r="AK18" s="11"/>
      <c r="AL18" s="11"/>
      <c r="AM18" s="11"/>
      <c r="AN18" s="11"/>
      <c r="AO18" s="10">
        <v>77</v>
      </c>
      <c r="AP18" s="10">
        <v>87</v>
      </c>
      <c r="AQ18" s="10">
        <v>83</v>
      </c>
      <c r="AR18" s="10">
        <v>61</v>
      </c>
      <c r="AS18" s="10">
        <v>12201</v>
      </c>
      <c r="AT18" s="10">
        <v>6555</v>
      </c>
      <c r="AU18" s="1" t="str">
        <f>VLOOKUP(G18,'Country codes'!A$2:C$48,3,FALSE)</f>
        <v>Lower-Middle-Income Economies</v>
      </c>
    </row>
    <row r="19" spans="1:47" ht="20" customHeight="1">
      <c r="A19" s="8">
        <v>2022</v>
      </c>
      <c r="B19" s="9">
        <v>2022</v>
      </c>
      <c r="C19" s="10">
        <v>2022</v>
      </c>
      <c r="D19" s="11"/>
      <c r="E19" s="12" t="s">
        <v>95</v>
      </c>
      <c r="F19" s="12" t="s">
        <v>96</v>
      </c>
      <c r="G19" s="12" t="s">
        <v>97</v>
      </c>
      <c r="H19" s="11"/>
      <c r="I19" s="10">
        <v>22</v>
      </c>
      <c r="J19" s="10">
        <v>35</v>
      </c>
      <c r="K19" s="10">
        <v>22</v>
      </c>
      <c r="L19" s="10">
        <v>35</v>
      </c>
      <c r="M19" s="11"/>
      <c r="N19" s="11"/>
      <c r="O19" s="11"/>
      <c r="P19" s="11"/>
      <c r="Q19" s="10">
        <v>555</v>
      </c>
      <c r="R19" s="10">
        <v>68</v>
      </c>
      <c r="S19" s="10">
        <v>555</v>
      </c>
      <c r="T19" s="10">
        <v>68</v>
      </c>
      <c r="U19" s="10">
        <v>0</v>
      </c>
      <c r="V19" s="10">
        <v>0</v>
      </c>
      <c r="W19" s="10">
        <v>0</v>
      </c>
      <c r="X19" s="10">
        <v>0</v>
      </c>
      <c r="Y19" s="10">
        <v>142</v>
      </c>
      <c r="Z19" s="10">
        <v>3</v>
      </c>
      <c r="AA19" s="10">
        <v>142</v>
      </c>
      <c r="AB19" s="10">
        <v>3</v>
      </c>
      <c r="AC19" s="11"/>
      <c r="AD19" s="11"/>
      <c r="AE19" s="11"/>
      <c r="AF19" s="11"/>
      <c r="AG19" s="10">
        <v>19</v>
      </c>
      <c r="AH19" s="10">
        <v>25</v>
      </c>
      <c r="AI19" s="11"/>
      <c r="AJ19" s="11"/>
      <c r="AK19" s="11"/>
      <c r="AL19" s="11"/>
      <c r="AM19" s="11"/>
      <c r="AN19" s="11"/>
      <c r="AO19" s="10">
        <v>7</v>
      </c>
      <c r="AP19" s="10">
        <v>9</v>
      </c>
      <c r="AQ19" s="10">
        <v>4</v>
      </c>
      <c r="AR19" s="10">
        <v>8</v>
      </c>
      <c r="AS19" s="11"/>
      <c r="AT19" s="11"/>
      <c r="AU19" s="1" t="str">
        <f>VLOOKUP(G19,'Country codes'!A$2:C$48,3,FALSE)</f>
        <v>High/Upper-Middle-Income Economies </v>
      </c>
    </row>
    <row r="20" spans="1:47" ht="20" customHeight="1">
      <c r="A20" s="8">
        <v>2022</v>
      </c>
      <c r="B20" s="9">
        <v>2022</v>
      </c>
      <c r="C20" s="10">
        <v>2022</v>
      </c>
      <c r="D20" s="11"/>
      <c r="E20" s="12" t="s">
        <v>98</v>
      </c>
      <c r="F20" s="12" t="s">
        <v>99</v>
      </c>
      <c r="G20" s="12" t="s">
        <v>100</v>
      </c>
      <c r="H20" s="11"/>
      <c r="I20" s="10">
        <v>637</v>
      </c>
      <c r="J20" s="10">
        <v>405</v>
      </c>
      <c r="K20" s="10">
        <v>470</v>
      </c>
      <c r="L20" s="10">
        <v>317</v>
      </c>
      <c r="M20" s="10">
        <v>116</v>
      </c>
      <c r="N20" s="10">
        <v>53</v>
      </c>
      <c r="O20" s="11"/>
      <c r="P20" s="11"/>
      <c r="Q20" s="10">
        <v>1278</v>
      </c>
      <c r="R20" s="10">
        <v>4295</v>
      </c>
      <c r="S20" s="10">
        <v>1278</v>
      </c>
      <c r="T20" s="10">
        <v>4295</v>
      </c>
      <c r="U20" s="11"/>
      <c r="V20" s="11"/>
      <c r="W20" s="11"/>
      <c r="X20" s="11"/>
      <c r="Y20" s="10">
        <v>895</v>
      </c>
      <c r="Z20" s="10">
        <v>12</v>
      </c>
      <c r="AA20" s="10">
        <v>895</v>
      </c>
      <c r="AB20" s="10">
        <v>12</v>
      </c>
      <c r="AC20" s="11"/>
      <c r="AD20" s="11"/>
      <c r="AE20" s="11"/>
      <c r="AF20" s="11"/>
      <c r="AG20" s="10">
        <v>7</v>
      </c>
      <c r="AH20" s="10">
        <v>2</v>
      </c>
      <c r="AI20" s="10">
        <v>17</v>
      </c>
      <c r="AJ20" s="10">
        <v>11</v>
      </c>
      <c r="AK20" s="11"/>
      <c r="AL20" s="11"/>
      <c r="AM20" s="11"/>
      <c r="AN20" s="11"/>
      <c r="AO20" s="10">
        <v>19</v>
      </c>
      <c r="AP20" s="10">
        <v>12</v>
      </c>
      <c r="AQ20" s="10">
        <v>12</v>
      </c>
      <c r="AR20" s="10">
        <v>12</v>
      </c>
      <c r="AS20" s="11"/>
      <c r="AT20" s="11"/>
      <c r="AU20" s="1" t="str">
        <f>VLOOKUP(G20,'Country codes'!A$2:C$48,3,FALSE)</f>
        <v>Lower-Middle-Income Economies</v>
      </c>
    </row>
    <row r="21" spans="1:47" ht="20" customHeight="1">
      <c r="A21" s="8">
        <v>2022</v>
      </c>
      <c r="B21" s="9">
        <v>2022</v>
      </c>
      <c r="C21" s="10">
        <v>2022</v>
      </c>
      <c r="D21" s="11"/>
      <c r="E21" s="12" t="s">
        <v>101</v>
      </c>
      <c r="F21" s="12" t="s">
        <v>102</v>
      </c>
      <c r="G21" s="12" t="s">
        <v>103</v>
      </c>
      <c r="H21" s="11"/>
      <c r="I21" s="10">
        <v>2271</v>
      </c>
      <c r="J21" s="10">
        <v>5696</v>
      </c>
      <c r="K21" s="10">
        <v>1811</v>
      </c>
      <c r="L21" s="10">
        <v>4557</v>
      </c>
      <c r="M21" s="10">
        <v>115</v>
      </c>
      <c r="N21" s="10">
        <v>223</v>
      </c>
      <c r="O21" s="11"/>
      <c r="P21" s="11"/>
      <c r="Q21" s="10">
        <v>49976</v>
      </c>
      <c r="R21" s="10">
        <v>24226</v>
      </c>
      <c r="S21" s="11"/>
      <c r="T21" s="11"/>
      <c r="U21" s="10">
        <v>15148</v>
      </c>
      <c r="V21" s="10">
        <v>6277</v>
      </c>
      <c r="W21" s="10">
        <v>34828</v>
      </c>
      <c r="X21" s="10">
        <v>17949</v>
      </c>
      <c r="Y21" s="10">
        <v>110270</v>
      </c>
      <c r="Z21" s="10">
        <v>87</v>
      </c>
      <c r="AA21" s="11"/>
      <c r="AB21" s="11"/>
      <c r="AC21" s="10">
        <v>86011</v>
      </c>
      <c r="AD21" s="10">
        <v>87</v>
      </c>
      <c r="AE21" s="10">
        <v>24259</v>
      </c>
      <c r="AF21" s="10">
        <v>0</v>
      </c>
      <c r="AG21" s="11"/>
      <c r="AH21" s="11"/>
      <c r="AI21" s="10">
        <v>526</v>
      </c>
      <c r="AJ21" s="10">
        <v>1186</v>
      </c>
      <c r="AK21" s="11"/>
      <c r="AL21" s="11"/>
      <c r="AM21" s="11"/>
      <c r="AN21" s="11"/>
      <c r="AO21" s="10">
        <v>92</v>
      </c>
      <c r="AP21" s="10">
        <v>223</v>
      </c>
      <c r="AQ21" s="10">
        <v>80</v>
      </c>
      <c r="AR21" s="10">
        <v>198</v>
      </c>
      <c r="AS21" s="11"/>
      <c r="AT21" s="11"/>
      <c r="AU21" s="1" t="str">
        <f>VLOOKUP(G21,'Country codes'!A$2:C$48,3,FALSE)</f>
        <v>Low-Income Economies</v>
      </c>
    </row>
    <row r="22" spans="1:47" ht="20" customHeight="1">
      <c r="A22" s="8">
        <v>2022</v>
      </c>
      <c r="B22" s="9">
        <v>2022</v>
      </c>
      <c r="C22" s="10">
        <v>2022</v>
      </c>
      <c r="D22" s="11"/>
      <c r="E22" s="12" t="s">
        <v>104</v>
      </c>
      <c r="F22" s="12" t="s">
        <v>105</v>
      </c>
      <c r="G22" s="12" t="s">
        <v>106</v>
      </c>
      <c r="H22" s="11"/>
      <c r="I22" s="10">
        <v>1824</v>
      </c>
      <c r="J22" s="10">
        <v>3418</v>
      </c>
      <c r="K22" s="10">
        <v>1695</v>
      </c>
      <c r="L22" s="10">
        <v>3013</v>
      </c>
      <c r="M22" s="10">
        <v>14</v>
      </c>
      <c r="N22" s="10">
        <v>87</v>
      </c>
      <c r="O22" s="10">
        <v>0</v>
      </c>
      <c r="P22" s="10">
        <v>0</v>
      </c>
      <c r="Q22" s="10">
        <v>27138</v>
      </c>
      <c r="R22" s="10">
        <v>6641</v>
      </c>
      <c r="S22" s="10">
        <v>27138</v>
      </c>
      <c r="T22" s="10">
        <v>6641</v>
      </c>
      <c r="U22" s="10">
        <v>0</v>
      </c>
      <c r="V22" s="10">
        <v>0</v>
      </c>
      <c r="W22" s="10">
        <v>0</v>
      </c>
      <c r="X22" s="10">
        <v>0</v>
      </c>
      <c r="Y22" s="10">
        <v>7881</v>
      </c>
      <c r="Z22" s="10">
        <v>1327</v>
      </c>
      <c r="AA22" s="10">
        <v>7881</v>
      </c>
      <c r="AB22" s="10">
        <v>1327</v>
      </c>
      <c r="AC22" s="11"/>
      <c r="AD22" s="11"/>
      <c r="AE22" s="11"/>
      <c r="AF22" s="11"/>
      <c r="AG22" s="10">
        <v>109</v>
      </c>
      <c r="AH22" s="10">
        <v>152</v>
      </c>
      <c r="AI22" s="10">
        <v>331</v>
      </c>
      <c r="AJ22" s="10">
        <v>308</v>
      </c>
      <c r="AK22" s="11"/>
      <c r="AL22" s="11"/>
      <c r="AM22" s="11"/>
      <c r="AN22" s="11"/>
      <c r="AO22" s="10">
        <v>31</v>
      </c>
      <c r="AP22" s="10">
        <v>54</v>
      </c>
      <c r="AQ22" s="10">
        <v>25</v>
      </c>
      <c r="AR22" s="10">
        <v>36</v>
      </c>
      <c r="AS22" s="10">
        <v>1129</v>
      </c>
      <c r="AT22" s="10">
        <v>1292</v>
      </c>
      <c r="AU22" s="1" t="str">
        <f>VLOOKUP(G22,'Country codes'!A$2:C$48,3,FALSE)</f>
        <v>Lower-Middle-Income Economies</v>
      </c>
    </row>
    <row r="23" spans="1:47" ht="20" customHeight="1">
      <c r="A23" s="8">
        <v>2022</v>
      </c>
      <c r="B23" s="9">
        <v>2022</v>
      </c>
      <c r="C23" s="10">
        <v>2022</v>
      </c>
      <c r="D23" s="11"/>
      <c r="E23" s="12" t="s">
        <v>107</v>
      </c>
      <c r="F23" s="12" t="s">
        <v>108</v>
      </c>
      <c r="G23" s="12" t="s">
        <v>109</v>
      </c>
      <c r="H23" s="11"/>
      <c r="I23" s="10">
        <v>663</v>
      </c>
      <c r="J23" s="10">
        <v>2045</v>
      </c>
      <c r="K23" s="10">
        <v>467</v>
      </c>
      <c r="L23" s="10">
        <v>1565</v>
      </c>
      <c r="M23" s="10">
        <v>28</v>
      </c>
      <c r="N23" s="10">
        <v>65</v>
      </c>
      <c r="O23" s="11"/>
      <c r="P23" s="11"/>
      <c r="Q23" s="10">
        <v>24458</v>
      </c>
      <c r="R23" s="10">
        <v>7724</v>
      </c>
      <c r="S23" s="10">
        <v>24458</v>
      </c>
      <c r="T23" s="10">
        <v>7724</v>
      </c>
      <c r="U23" s="11"/>
      <c r="V23" s="11"/>
      <c r="W23" s="11"/>
      <c r="X23" s="11"/>
      <c r="Y23" s="10">
        <v>2600</v>
      </c>
      <c r="Z23" s="10">
        <v>196</v>
      </c>
      <c r="AA23" s="10">
        <v>2600</v>
      </c>
      <c r="AB23" s="10">
        <v>196</v>
      </c>
      <c r="AC23" s="11"/>
      <c r="AD23" s="11"/>
      <c r="AE23" s="11"/>
      <c r="AF23" s="11"/>
      <c r="AG23" s="10">
        <v>784</v>
      </c>
      <c r="AH23" s="10">
        <v>1919</v>
      </c>
      <c r="AI23" s="10">
        <v>837</v>
      </c>
      <c r="AJ23" s="10">
        <v>1065</v>
      </c>
      <c r="AK23" s="11"/>
      <c r="AL23" s="11"/>
      <c r="AM23" s="11"/>
      <c r="AN23" s="11"/>
      <c r="AO23" s="10">
        <v>41</v>
      </c>
      <c r="AP23" s="10">
        <v>100</v>
      </c>
      <c r="AQ23" s="10">
        <v>16</v>
      </c>
      <c r="AR23" s="10">
        <v>39</v>
      </c>
      <c r="AS23" s="10">
        <v>14989</v>
      </c>
      <c r="AT23" s="10">
        <v>4733</v>
      </c>
      <c r="AU23" s="1" t="str">
        <f>VLOOKUP(G23,'Country codes'!A$2:C$48,3,FALSE)</f>
        <v>Lower-Middle-Income Economies</v>
      </c>
    </row>
    <row r="24" spans="1:47" ht="20" customHeight="1">
      <c r="A24" s="8">
        <v>2022</v>
      </c>
      <c r="B24" s="9">
        <v>2022</v>
      </c>
      <c r="C24" s="10">
        <v>2022</v>
      </c>
      <c r="D24" s="11"/>
      <c r="E24" s="12" t="s">
        <v>110</v>
      </c>
      <c r="F24" s="12" t="s">
        <v>111</v>
      </c>
      <c r="G24" s="12" t="s">
        <v>112</v>
      </c>
      <c r="H24" s="11"/>
      <c r="I24" s="10">
        <v>70</v>
      </c>
      <c r="J24" s="10">
        <v>190</v>
      </c>
      <c r="K24" s="10">
        <v>70</v>
      </c>
      <c r="L24" s="10">
        <v>190</v>
      </c>
      <c r="M24" s="10">
        <v>0</v>
      </c>
      <c r="N24" s="10">
        <v>19</v>
      </c>
      <c r="O24" s="11"/>
      <c r="P24" s="11"/>
      <c r="Q24" s="10">
        <v>3053</v>
      </c>
      <c r="R24" s="10">
        <v>1925</v>
      </c>
      <c r="S24" s="10">
        <v>721</v>
      </c>
      <c r="T24" s="10">
        <v>697</v>
      </c>
      <c r="U24" s="10">
        <v>2273</v>
      </c>
      <c r="V24" s="10">
        <v>1099</v>
      </c>
      <c r="W24" s="10">
        <v>59</v>
      </c>
      <c r="X24" s="10">
        <v>129</v>
      </c>
      <c r="Y24" s="10">
        <v>20</v>
      </c>
      <c r="Z24" s="10">
        <v>47</v>
      </c>
      <c r="AA24" s="10">
        <v>20</v>
      </c>
      <c r="AB24" s="10">
        <v>47</v>
      </c>
      <c r="AC24" s="11"/>
      <c r="AD24" s="11"/>
      <c r="AE24" s="11"/>
      <c r="AF24" s="11"/>
      <c r="AG24" s="10">
        <v>23</v>
      </c>
      <c r="AH24" s="10">
        <v>35</v>
      </c>
      <c r="AI24" s="10">
        <v>78</v>
      </c>
      <c r="AJ24" s="10">
        <v>121</v>
      </c>
      <c r="AK24" s="11"/>
      <c r="AL24" s="11"/>
      <c r="AM24" s="11"/>
      <c r="AN24" s="11"/>
      <c r="AO24" s="10">
        <v>2</v>
      </c>
      <c r="AP24" s="10">
        <v>8</v>
      </c>
      <c r="AQ24" s="10">
        <v>2</v>
      </c>
      <c r="AR24" s="10">
        <v>8</v>
      </c>
      <c r="AS24" s="10">
        <v>1915</v>
      </c>
      <c r="AT24" s="10">
        <v>711</v>
      </c>
      <c r="AU24" s="1" t="str">
        <f>VLOOKUP(G24,'Country codes'!A$2:C$48,3,FALSE)</f>
        <v>Low-Income Economies</v>
      </c>
    </row>
    <row r="25" spans="1:47" ht="20" customHeight="1">
      <c r="A25" s="8">
        <v>2022</v>
      </c>
      <c r="B25" s="9">
        <v>2022</v>
      </c>
      <c r="C25" s="10">
        <v>2022</v>
      </c>
      <c r="D25" s="11"/>
      <c r="E25" s="12" t="s">
        <v>113</v>
      </c>
      <c r="F25" s="12" t="s">
        <v>114</v>
      </c>
      <c r="G25" s="12" t="s">
        <v>115</v>
      </c>
      <c r="H25" s="11"/>
      <c r="I25" s="10">
        <v>136</v>
      </c>
      <c r="J25" s="10">
        <v>594</v>
      </c>
      <c r="K25" s="10">
        <v>59</v>
      </c>
      <c r="L25" s="10">
        <v>272</v>
      </c>
      <c r="M25" s="11"/>
      <c r="N25" s="11"/>
      <c r="O25" s="11"/>
      <c r="P25" s="11"/>
      <c r="Q25" s="10">
        <v>623</v>
      </c>
      <c r="R25" s="10">
        <v>2007</v>
      </c>
      <c r="S25" s="10">
        <v>367</v>
      </c>
      <c r="T25" s="10">
        <v>1332</v>
      </c>
      <c r="U25" s="10">
        <v>256</v>
      </c>
      <c r="V25" s="10">
        <v>675</v>
      </c>
      <c r="W25" s="11"/>
      <c r="X25" s="11"/>
      <c r="Y25" s="10">
        <v>1864</v>
      </c>
      <c r="Z25" s="10">
        <v>0</v>
      </c>
      <c r="AA25" s="10">
        <v>1043</v>
      </c>
      <c r="AB25" s="10">
        <v>0</v>
      </c>
      <c r="AC25" s="10">
        <v>821</v>
      </c>
      <c r="AD25" s="10">
        <v>0</v>
      </c>
      <c r="AE25" s="11"/>
      <c r="AF25" s="11"/>
      <c r="AG25" s="10">
        <v>5</v>
      </c>
      <c r="AH25" s="10">
        <v>13</v>
      </c>
      <c r="AI25" s="10">
        <v>126</v>
      </c>
      <c r="AJ25" s="10">
        <v>129</v>
      </c>
      <c r="AK25" s="11"/>
      <c r="AL25" s="11"/>
      <c r="AM25" s="11"/>
      <c r="AN25" s="11"/>
      <c r="AO25" s="10">
        <v>10</v>
      </c>
      <c r="AP25" s="10">
        <v>33</v>
      </c>
      <c r="AQ25" s="10">
        <v>15</v>
      </c>
      <c r="AR25" s="10">
        <v>22</v>
      </c>
      <c r="AS25" s="11"/>
      <c r="AT25" s="11"/>
      <c r="AU25" s="1" t="str">
        <f>VLOOKUP(G25,'Country codes'!A$2:C$48,3,FALSE)</f>
        <v>Low-Income Economies</v>
      </c>
    </row>
    <row r="26" spans="1:47" ht="20" customHeight="1">
      <c r="A26" s="8">
        <v>2021</v>
      </c>
      <c r="B26" s="9">
        <v>2021</v>
      </c>
      <c r="C26" s="10">
        <v>2021</v>
      </c>
      <c r="D26" s="11"/>
      <c r="E26" s="12" t="s">
        <v>47</v>
      </c>
      <c r="F26" s="12" t="s">
        <v>48</v>
      </c>
      <c r="G26" s="12" t="s">
        <v>49</v>
      </c>
      <c r="H26" s="11"/>
      <c r="I26" s="10">
        <v>781</v>
      </c>
      <c r="J26" s="10">
        <v>1440</v>
      </c>
      <c r="K26" s="10">
        <v>481</v>
      </c>
      <c r="L26" s="10">
        <v>739</v>
      </c>
      <c r="M26" s="11"/>
      <c r="N26" s="11"/>
      <c r="O26" s="11"/>
      <c r="P26" s="11"/>
      <c r="Q26" s="10">
        <v>4719</v>
      </c>
      <c r="R26" s="10">
        <v>7470</v>
      </c>
      <c r="S26" s="10">
        <v>3988</v>
      </c>
      <c r="T26" s="10">
        <v>6715</v>
      </c>
      <c r="U26" s="10">
        <v>731</v>
      </c>
      <c r="V26" s="10">
        <v>755</v>
      </c>
      <c r="W26" s="11"/>
      <c r="X26" s="11"/>
      <c r="Y26" s="10">
        <v>4313</v>
      </c>
      <c r="Z26" s="10">
        <v>1039</v>
      </c>
      <c r="AA26" s="10">
        <v>3947</v>
      </c>
      <c r="AB26" s="10">
        <v>1039</v>
      </c>
      <c r="AC26" s="10">
        <v>366</v>
      </c>
      <c r="AD26" s="10">
        <v>0</v>
      </c>
      <c r="AE26" s="11"/>
      <c r="AF26" s="11"/>
      <c r="AG26" s="10">
        <v>32</v>
      </c>
      <c r="AH26" s="10">
        <v>75</v>
      </c>
      <c r="AI26" s="10">
        <v>134</v>
      </c>
      <c r="AJ26" s="10">
        <v>191</v>
      </c>
      <c r="AK26" s="11"/>
      <c r="AL26" s="11"/>
      <c r="AM26" s="11"/>
      <c r="AN26" s="11"/>
      <c r="AO26" s="10">
        <v>40</v>
      </c>
      <c r="AP26" s="10">
        <v>86</v>
      </c>
      <c r="AQ26" s="10">
        <v>54</v>
      </c>
      <c r="AR26" s="10">
        <v>51</v>
      </c>
      <c r="AS26" s="10">
        <v>1533</v>
      </c>
      <c r="AT26" s="10">
        <v>1414</v>
      </c>
      <c r="AU26" s="1" t="str">
        <f>VLOOKUP(G26,'Country codes'!A$2:C$48,3,FALSE)</f>
        <v>Low-Income Economies</v>
      </c>
    </row>
    <row r="27" spans="1:47" ht="20" customHeight="1">
      <c r="A27" s="8">
        <v>2021</v>
      </c>
      <c r="B27" s="9">
        <v>2021</v>
      </c>
      <c r="C27" s="10">
        <v>2021</v>
      </c>
      <c r="D27" s="11"/>
      <c r="E27" s="12" t="s">
        <v>50</v>
      </c>
      <c r="F27" s="12" t="s">
        <v>51</v>
      </c>
      <c r="G27" s="12" t="s">
        <v>52</v>
      </c>
      <c r="H27" s="11"/>
      <c r="I27" s="10">
        <v>2602</v>
      </c>
      <c r="J27" s="10">
        <v>9572</v>
      </c>
      <c r="K27" s="10">
        <v>2067</v>
      </c>
      <c r="L27" s="10">
        <v>7294</v>
      </c>
      <c r="M27" s="11"/>
      <c r="N27" s="11"/>
      <c r="O27" s="11"/>
      <c r="P27" s="11"/>
      <c r="Q27" s="10">
        <v>32043</v>
      </c>
      <c r="R27" s="10">
        <v>37781</v>
      </c>
      <c r="S27" s="10">
        <v>32043</v>
      </c>
      <c r="T27" s="10">
        <v>37781</v>
      </c>
      <c r="U27" s="11"/>
      <c r="V27" s="11"/>
      <c r="W27" s="11"/>
      <c r="X27" s="11"/>
      <c r="Y27" s="10">
        <v>13337</v>
      </c>
      <c r="Z27" s="10">
        <v>7018</v>
      </c>
      <c r="AA27" s="10">
        <v>13337</v>
      </c>
      <c r="AB27" s="10">
        <v>7018</v>
      </c>
      <c r="AC27" s="11"/>
      <c r="AD27" s="11"/>
      <c r="AE27" s="11"/>
      <c r="AF27" s="11"/>
      <c r="AG27" s="10">
        <v>41</v>
      </c>
      <c r="AH27" s="10">
        <v>69</v>
      </c>
      <c r="AI27" s="10">
        <v>5767</v>
      </c>
      <c r="AJ27" s="10">
        <v>9731</v>
      </c>
      <c r="AK27" s="11"/>
      <c r="AL27" s="11"/>
      <c r="AM27" s="11"/>
      <c r="AN27" s="11"/>
      <c r="AO27" s="11"/>
      <c r="AP27" s="11"/>
      <c r="AQ27" s="11"/>
      <c r="AR27" s="11"/>
      <c r="AS27" s="10">
        <v>41668</v>
      </c>
      <c r="AT27" s="10">
        <v>962</v>
      </c>
      <c r="AU27" s="1" t="str">
        <f>VLOOKUP(G27,'Country codes'!A$2:C$48,3,FALSE)</f>
        <v>Low-Income Economies</v>
      </c>
    </row>
    <row r="28" spans="1:47" ht="20" customHeight="1">
      <c r="A28" s="8">
        <v>2021</v>
      </c>
      <c r="B28" s="9">
        <v>2021</v>
      </c>
      <c r="C28" s="10">
        <v>2021</v>
      </c>
      <c r="D28" s="11"/>
      <c r="E28" s="12" t="s">
        <v>116</v>
      </c>
      <c r="F28" s="12" t="s">
        <v>117</v>
      </c>
      <c r="G28" s="12" t="s">
        <v>118</v>
      </c>
      <c r="H28" s="11"/>
      <c r="I28" s="10">
        <v>856</v>
      </c>
      <c r="J28" s="10">
        <v>1899</v>
      </c>
      <c r="K28" s="10">
        <v>521</v>
      </c>
      <c r="L28" s="10">
        <v>1276</v>
      </c>
      <c r="M28" s="11"/>
      <c r="N28" s="11"/>
      <c r="O28" s="11"/>
      <c r="P28" s="11"/>
      <c r="Q28" s="10">
        <v>3291</v>
      </c>
      <c r="R28" s="10">
        <v>2193</v>
      </c>
      <c r="S28" s="10">
        <v>3291</v>
      </c>
      <c r="T28" s="10">
        <v>2193</v>
      </c>
      <c r="U28" s="11"/>
      <c r="V28" s="11"/>
      <c r="W28" s="11"/>
      <c r="X28" s="11"/>
      <c r="Y28" s="10">
        <v>2086</v>
      </c>
      <c r="Z28" s="10">
        <v>0</v>
      </c>
      <c r="AA28" s="10">
        <v>2086</v>
      </c>
      <c r="AB28" s="10">
        <v>0</v>
      </c>
      <c r="AC28" s="11"/>
      <c r="AD28" s="11"/>
      <c r="AE28" s="11"/>
      <c r="AF28" s="11"/>
      <c r="AG28" s="10">
        <v>26</v>
      </c>
      <c r="AH28" s="10">
        <v>24</v>
      </c>
      <c r="AI28" s="10">
        <v>161</v>
      </c>
      <c r="AJ28" s="10">
        <v>242</v>
      </c>
      <c r="AK28" s="11"/>
      <c r="AL28" s="11"/>
      <c r="AM28" s="11"/>
      <c r="AN28" s="11"/>
      <c r="AO28" s="10">
        <v>62</v>
      </c>
      <c r="AP28" s="10">
        <v>95</v>
      </c>
      <c r="AQ28" s="10">
        <v>39</v>
      </c>
      <c r="AR28" s="10">
        <v>58</v>
      </c>
      <c r="AS28" s="10">
        <v>14</v>
      </c>
      <c r="AT28" s="10">
        <v>7</v>
      </c>
      <c r="AU28" s="1" t="str">
        <f>VLOOKUP(G28,'Country codes'!A$2:C$48,3,FALSE)</f>
        <v>Lower-Middle-Income Economies</v>
      </c>
    </row>
    <row r="29" spans="1:47" ht="20" customHeight="1">
      <c r="A29" s="8">
        <v>2021</v>
      </c>
      <c r="B29" s="9">
        <v>2021</v>
      </c>
      <c r="C29" s="10">
        <v>2021</v>
      </c>
      <c r="D29" s="11"/>
      <c r="E29" s="12" t="s">
        <v>62</v>
      </c>
      <c r="F29" s="12" t="s">
        <v>63</v>
      </c>
      <c r="G29" s="12" t="s">
        <v>64</v>
      </c>
      <c r="H29" s="11"/>
      <c r="I29" s="10">
        <v>411</v>
      </c>
      <c r="J29" s="10">
        <v>603</v>
      </c>
      <c r="K29" s="10">
        <v>374</v>
      </c>
      <c r="L29" s="10">
        <v>526</v>
      </c>
      <c r="M29" s="11"/>
      <c r="N29" s="11"/>
      <c r="O29" s="11"/>
      <c r="P29" s="11"/>
      <c r="Q29" s="10">
        <v>5466</v>
      </c>
      <c r="R29" s="10">
        <v>2420</v>
      </c>
      <c r="S29" s="10">
        <v>5466</v>
      </c>
      <c r="T29" s="10">
        <v>2420</v>
      </c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0">
        <v>49</v>
      </c>
      <c r="AH29" s="10">
        <v>40</v>
      </c>
      <c r="AI29" s="10">
        <v>90</v>
      </c>
      <c r="AJ29" s="10">
        <v>68</v>
      </c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" t="str">
        <f>VLOOKUP(G29,'Country codes'!A$2:C$48,3,FALSE)</f>
        <v>High/Upper-Middle-Income Economies </v>
      </c>
    </row>
    <row r="30" spans="1:47" ht="20" customHeight="1">
      <c r="A30" s="8">
        <v>2021</v>
      </c>
      <c r="B30" s="9">
        <v>2021</v>
      </c>
      <c r="C30" s="10">
        <v>2021</v>
      </c>
      <c r="D30" s="11"/>
      <c r="E30" s="12" t="s">
        <v>68</v>
      </c>
      <c r="F30" s="12" t="s">
        <v>69</v>
      </c>
      <c r="G30" s="12" t="s">
        <v>70</v>
      </c>
      <c r="H30" s="11"/>
      <c r="I30" s="10">
        <v>1594</v>
      </c>
      <c r="J30" s="10">
        <v>1784</v>
      </c>
      <c r="K30" s="10">
        <v>1180</v>
      </c>
      <c r="L30" s="10">
        <v>1297</v>
      </c>
      <c r="M30" s="10">
        <v>222</v>
      </c>
      <c r="N30" s="10">
        <v>264</v>
      </c>
      <c r="O30" s="10">
        <v>1</v>
      </c>
      <c r="P30" s="10">
        <v>3</v>
      </c>
      <c r="Q30" s="10">
        <v>2690</v>
      </c>
      <c r="R30" s="10">
        <v>1853</v>
      </c>
      <c r="S30" s="10">
        <v>2117</v>
      </c>
      <c r="T30" s="10">
        <v>1402</v>
      </c>
      <c r="U30" s="10">
        <v>32</v>
      </c>
      <c r="V30" s="10">
        <v>11</v>
      </c>
      <c r="W30" s="10">
        <v>541</v>
      </c>
      <c r="X30" s="10">
        <v>440</v>
      </c>
      <c r="Y30" s="10">
        <v>626</v>
      </c>
      <c r="Z30" s="10">
        <v>78</v>
      </c>
      <c r="AA30" s="10">
        <v>626</v>
      </c>
      <c r="AB30" s="10">
        <v>78</v>
      </c>
      <c r="AC30" s="11"/>
      <c r="AD30" s="11"/>
      <c r="AE30" s="11"/>
      <c r="AF30" s="11"/>
      <c r="AG30" s="10">
        <v>80</v>
      </c>
      <c r="AH30" s="10">
        <v>53</v>
      </c>
      <c r="AI30" s="10">
        <v>149</v>
      </c>
      <c r="AJ30" s="10">
        <v>115</v>
      </c>
      <c r="AK30" s="10">
        <v>77</v>
      </c>
      <c r="AL30" s="10">
        <v>54</v>
      </c>
      <c r="AM30" s="10">
        <v>25</v>
      </c>
      <c r="AN30" s="10">
        <v>12</v>
      </c>
      <c r="AO30" s="10">
        <v>57</v>
      </c>
      <c r="AP30" s="10">
        <v>68</v>
      </c>
      <c r="AQ30" s="10">
        <v>44</v>
      </c>
      <c r="AR30" s="10">
        <v>15</v>
      </c>
      <c r="AS30" s="11"/>
      <c r="AT30" s="11"/>
      <c r="AU30" s="1" t="str">
        <f>VLOOKUP(G30,'Country codes'!A$2:C$48,3,FALSE)</f>
        <v>Lower-Middle-Income Economies</v>
      </c>
    </row>
    <row r="31" spans="1:47" ht="20" customHeight="1">
      <c r="A31" s="8">
        <v>2021</v>
      </c>
      <c r="B31" s="9">
        <v>2021</v>
      </c>
      <c r="C31" s="10">
        <v>2021</v>
      </c>
      <c r="D31" s="11"/>
      <c r="E31" s="12" t="s">
        <v>71</v>
      </c>
      <c r="F31" s="12" t="s">
        <v>72</v>
      </c>
      <c r="G31" s="12" t="s">
        <v>73</v>
      </c>
      <c r="H31" s="11"/>
      <c r="I31" s="10">
        <v>132</v>
      </c>
      <c r="J31" s="10">
        <v>653</v>
      </c>
      <c r="K31" s="10">
        <v>132</v>
      </c>
      <c r="L31" s="10">
        <v>653</v>
      </c>
      <c r="M31" s="10">
        <v>4</v>
      </c>
      <c r="N31" s="10">
        <v>170</v>
      </c>
      <c r="O31" s="11"/>
      <c r="P31" s="11"/>
      <c r="Q31" s="10">
        <v>540</v>
      </c>
      <c r="R31" s="10">
        <v>997</v>
      </c>
      <c r="S31" s="10">
        <v>540</v>
      </c>
      <c r="T31" s="10">
        <v>997</v>
      </c>
      <c r="U31" s="11"/>
      <c r="V31" s="11"/>
      <c r="W31" s="11"/>
      <c r="X31" s="11"/>
      <c r="Y31" s="10">
        <v>678</v>
      </c>
      <c r="Z31" s="10">
        <v>43</v>
      </c>
      <c r="AA31" s="10">
        <v>580</v>
      </c>
      <c r="AB31" s="10">
        <v>37</v>
      </c>
      <c r="AC31" s="10">
        <v>98</v>
      </c>
      <c r="AD31" s="10">
        <v>6</v>
      </c>
      <c r="AE31" s="11"/>
      <c r="AF31" s="11"/>
      <c r="AG31" s="10">
        <v>5</v>
      </c>
      <c r="AH31" s="10">
        <v>14</v>
      </c>
      <c r="AI31" s="10">
        <v>31</v>
      </c>
      <c r="AJ31" s="10">
        <v>111</v>
      </c>
      <c r="AK31" s="11"/>
      <c r="AL31" s="11"/>
      <c r="AM31" s="11"/>
      <c r="AN31" s="11"/>
      <c r="AO31" s="10">
        <v>16</v>
      </c>
      <c r="AP31" s="10">
        <v>40</v>
      </c>
      <c r="AQ31" s="10">
        <v>3</v>
      </c>
      <c r="AR31" s="10">
        <v>14</v>
      </c>
      <c r="AS31" s="11"/>
      <c r="AT31" s="11"/>
      <c r="AU31" s="1" t="str">
        <f>VLOOKUP(G31,'Country codes'!A$2:C$48,3,FALSE)</f>
        <v>Low-Income Economies</v>
      </c>
    </row>
    <row r="32" spans="1:47" ht="20" customHeight="1">
      <c r="A32" s="8">
        <v>2021</v>
      </c>
      <c r="B32" s="9">
        <v>2021</v>
      </c>
      <c r="C32" s="10">
        <v>2021</v>
      </c>
      <c r="D32" s="11"/>
      <c r="E32" s="12" t="s">
        <v>77</v>
      </c>
      <c r="F32" s="12" t="s">
        <v>78</v>
      </c>
      <c r="G32" s="12" t="s">
        <v>79</v>
      </c>
      <c r="H32" s="11"/>
      <c r="I32" s="10">
        <v>1552</v>
      </c>
      <c r="J32" s="10">
        <v>2617</v>
      </c>
      <c r="K32" s="10">
        <v>1181</v>
      </c>
      <c r="L32" s="10">
        <v>1853</v>
      </c>
      <c r="M32" s="11"/>
      <c r="N32" s="11"/>
      <c r="O32" s="11"/>
      <c r="P32" s="11"/>
      <c r="Q32" s="10">
        <v>66802</v>
      </c>
      <c r="R32" s="10">
        <v>26342</v>
      </c>
      <c r="S32" s="10">
        <v>26580</v>
      </c>
      <c r="T32" s="10">
        <v>14728</v>
      </c>
      <c r="U32" s="10">
        <v>40222</v>
      </c>
      <c r="V32" s="10">
        <v>11614</v>
      </c>
      <c r="W32" s="11"/>
      <c r="X32" s="11"/>
      <c r="Y32" s="10">
        <v>18862</v>
      </c>
      <c r="Z32" s="10">
        <v>279</v>
      </c>
      <c r="AA32" s="10">
        <v>18862</v>
      </c>
      <c r="AB32" s="10">
        <v>279</v>
      </c>
      <c r="AC32" s="11"/>
      <c r="AD32" s="11"/>
      <c r="AE32" s="11"/>
      <c r="AF32" s="11"/>
      <c r="AG32" s="11"/>
      <c r="AH32" s="11"/>
      <c r="AI32" s="10">
        <v>435</v>
      </c>
      <c r="AJ32" s="10">
        <v>600</v>
      </c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" t="str">
        <f>VLOOKUP(G32,'Country codes'!A$2:C$48,3,FALSE)</f>
        <v>Lower-Middle-Income Economies</v>
      </c>
    </row>
    <row r="33" spans="1:47" ht="20" customHeight="1">
      <c r="A33" s="8">
        <v>2021</v>
      </c>
      <c r="B33" s="9">
        <v>2021</v>
      </c>
      <c r="C33" s="10">
        <v>2021</v>
      </c>
      <c r="D33" s="11"/>
      <c r="E33" s="12" t="s">
        <v>80</v>
      </c>
      <c r="F33" s="12" t="s">
        <v>81</v>
      </c>
      <c r="G33" s="12" t="s">
        <v>82</v>
      </c>
      <c r="H33" s="11"/>
      <c r="I33" s="10">
        <v>157</v>
      </c>
      <c r="J33" s="10">
        <v>296</v>
      </c>
      <c r="K33" s="10">
        <v>156</v>
      </c>
      <c r="L33" s="10">
        <v>288</v>
      </c>
      <c r="M33" s="10">
        <v>0</v>
      </c>
      <c r="N33" s="10">
        <v>0</v>
      </c>
      <c r="O33" s="10">
        <v>0</v>
      </c>
      <c r="P33" s="10">
        <v>0</v>
      </c>
      <c r="Q33" s="10">
        <v>1281</v>
      </c>
      <c r="R33" s="10">
        <v>673</v>
      </c>
      <c r="S33" s="10">
        <v>635</v>
      </c>
      <c r="T33" s="10">
        <v>368</v>
      </c>
      <c r="U33" s="10">
        <v>646</v>
      </c>
      <c r="V33" s="10">
        <v>305</v>
      </c>
      <c r="W33" s="10">
        <v>0</v>
      </c>
      <c r="X33" s="10">
        <v>0</v>
      </c>
      <c r="Y33" s="10">
        <v>213</v>
      </c>
      <c r="Z33" s="10">
        <v>0</v>
      </c>
      <c r="AA33" s="10">
        <v>213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1"/>
      <c r="AH33" s="11"/>
      <c r="AI33" s="10">
        <v>1</v>
      </c>
      <c r="AJ33" s="10">
        <v>1</v>
      </c>
      <c r="AK33" s="10">
        <v>0</v>
      </c>
      <c r="AL33" s="10">
        <v>0</v>
      </c>
      <c r="AM33" s="10">
        <v>0</v>
      </c>
      <c r="AN33" s="10">
        <v>0</v>
      </c>
      <c r="AO33" s="10">
        <v>4</v>
      </c>
      <c r="AP33" s="10">
        <v>0</v>
      </c>
      <c r="AQ33" s="10">
        <v>2</v>
      </c>
      <c r="AR33" s="10">
        <v>3</v>
      </c>
      <c r="AS33" s="11"/>
      <c r="AT33" s="11"/>
      <c r="AU33" s="1" t="str">
        <f>VLOOKUP(G33,'Country codes'!A$2:C$48,3,FALSE)</f>
        <v>Low-Income Economies</v>
      </c>
    </row>
    <row r="34" spans="1:47" ht="20" customHeight="1">
      <c r="A34" s="8">
        <v>2021</v>
      </c>
      <c r="B34" s="9">
        <v>2021</v>
      </c>
      <c r="C34" s="10">
        <v>2021</v>
      </c>
      <c r="D34" s="11"/>
      <c r="E34" s="12" t="s">
        <v>83</v>
      </c>
      <c r="F34" s="12" t="s">
        <v>84</v>
      </c>
      <c r="G34" s="12" t="s">
        <v>85</v>
      </c>
      <c r="H34" s="11"/>
      <c r="I34" s="10">
        <v>2140</v>
      </c>
      <c r="J34" s="10">
        <v>3063</v>
      </c>
      <c r="K34" s="10">
        <v>1372</v>
      </c>
      <c r="L34" s="10">
        <v>1880</v>
      </c>
      <c r="M34" s="10">
        <v>166</v>
      </c>
      <c r="N34" s="10">
        <v>281</v>
      </c>
      <c r="O34" s="11"/>
      <c r="P34" s="11"/>
      <c r="Q34" s="10">
        <v>23514</v>
      </c>
      <c r="R34" s="10">
        <v>11058</v>
      </c>
      <c r="S34" s="10">
        <v>23514</v>
      </c>
      <c r="T34" s="10">
        <v>11058</v>
      </c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0">
        <v>143</v>
      </c>
      <c r="AH34" s="10">
        <v>189</v>
      </c>
      <c r="AI34" s="11"/>
      <c r="AJ34" s="11"/>
      <c r="AK34" s="11"/>
      <c r="AL34" s="11"/>
      <c r="AM34" s="11"/>
      <c r="AN34" s="11"/>
      <c r="AO34" s="10">
        <v>99</v>
      </c>
      <c r="AP34" s="10">
        <v>143</v>
      </c>
      <c r="AQ34" s="10">
        <v>134</v>
      </c>
      <c r="AR34" s="10">
        <v>65</v>
      </c>
      <c r="AS34" s="11"/>
      <c r="AT34" s="11"/>
      <c r="AU34" s="1" t="str">
        <f>VLOOKUP(G34,'Country codes'!A$2:C$48,3,FALSE)</f>
        <v>Lower-Middle-Income Economies</v>
      </c>
    </row>
    <row r="35" spans="1:47" ht="20" customHeight="1">
      <c r="A35" s="8">
        <v>2021</v>
      </c>
      <c r="B35" s="9">
        <v>2021</v>
      </c>
      <c r="C35" s="10">
        <v>2021</v>
      </c>
      <c r="D35" s="11"/>
      <c r="E35" s="12" t="s">
        <v>89</v>
      </c>
      <c r="F35" s="12" t="s">
        <v>90</v>
      </c>
      <c r="G35" s="12" t="s">
        <v>91</v>
      </c>
      <c r="H35" s="11"/>
      <c r="I35" s="10">
        <v>1303</v>
      </c>
      <c r="J35" s="10">
        <v>1442</v>
      </c>
      <c r="K35" s="10">
        <v>945</v>
      </c>
      <c r="L35" s="10">
        <v>951</v>
      </c>
      <c r="M35" s="10">
        <v>245</v>
      </c>
      <c r="N35" s="10">
        <v>236</v>
      </c>
      <c r="O35" s="11"/>
      <c r="P35" s="11"/>
      <c r="Q35" s="10">
        <v>5844</v>
      </c>
      <c r="R35" s="10">
        <v>5122</v>
      </c>
      <c r="S35" s="10">
        <v>1252</v>
      </c>
      <c r="T35" s="10">
        <v>911</v>
      </c>
      <c r="U35" s="10">
        <v>4592</v>
      </c>
      <c r="V35" s="10">
        <v>4211</v>
      </c>
      <c r="W35" s="11"/>
      <c r="X35" s="11"/>
      <c r="Y35" s="10">
        <v>7281</v>
      </c>
      <c r="Z35" s="10">
        <v>0</v>
      </c>
      <c r="AA35" s="10">
        <v>42</v>
      </c>
      <c r="AB35" s="10">
        <v>0</v>
      </c>
      <c r="AC35" s="10">
        <v>7239</v>
      </c>
      <c r="AD35" s="10">
        <v>0</v>
      </c>
      <c r="AE35" s="11"/>
      <c r="AF35" s="11"/>
      <c r="AG35" s="10">
        <v>214</v>
      </c>
      <c r="AH35" s="10">
        <v>148</v>
      </c>
      <c r="AI35" s="10">
        <v>210</v>
      </c>
      <c r="AJ35" s="10">
        <v>251</v>
      </c>
      <c r="AK35" s="11"/>
      <c r="AL35" s="11"/>
      <c r="AM35" s="11"/>
      <c r="AN35" s="11"/>
      <c r="AO35" s="10">
        <v>15</v>
      </c>
      <c r="AP35" s="10">
        <v>48</v>
      </c>
      <c r="AQ35" s="10">
        <v>38</v>
      </c>
      <c r="AR35" s="10">
        <v>23</v>
      </c>
      <c r="AS35" s="11"/>
      <c r="AT35" s="11"/>
      <c r="AU35" s="1" t="str">
        <f>VLOOKUP(G35,'Country codes'!A$2:C$48,3,FALSE)</f>
        <v>Low-Income Economies</v>
      </c>
    </row>
    <row r="36" spans="1:47" ht="20" customHeight="1">
      <c r="A36" s="8">
        <v>2021</v>
      </c>
      <c r="B36" s="9">
        <v>2021</v>
      </c>
      <c r="C36" s="10">
        <v>2021</v>
      </c>
      <c r="D36" s="11"/>
      <c r="E36" s="12" t="s">
        <v>92</v>
      </c>
      <c r="F36" s="12" t="s">
        <v>93</v>
      </c>
      <c r="G36" s="12" t="s">
        <v>94</v>
      </c>
      <c r="H36" s="11"/>
      <c r="I36" s="10">
        <v>618</v>
      </c>
      <c r="J36" s="10">
        <v>1080</v>
      </c>
      <c r="K36" s="10">
        <v>150</v>
      </c>
      <c r="L36" s="10">
        <v>328</v>
      </c>
      <c r="M36" s="10">
        <v>312</v>
      </c>
      <c r="N36" s="10">
        <v>498</v>
      </c>
      <c r="O36" s="11"/>
      <c r="P36" s="11"/>
      <c r="Q36" s="10">
        <v>4383</v>
      </c>
      <c r="R36" s="10">
        <v>2094</v>
      </c>
      <c r="S36" s="10">
        <v>1531</v>
      </c>
      <c r="T36" s="10">
        <v>992</v>
      </c>
      <c r="U36" s="10">
        <v>1501</v>
      </c>
      <c r="V36" s="10">
        <v>672</v>
      </c>
      <c r="W36" s="10">
        <v>1351</v>
      </c>
      <c r="X36" s="10">
        <v>430</v>
      </c>
      <c r="Y36" s="10">
        <v>2739</v>
      </c>
      <c r="Z36" s="10">
        <v>0</v>
      </c>
      <c r="AA36" s="10">
        <v>2710</v>
      </c>
      <c r="AB36" s="10">
        <v>0</v>
      </c>
      <c r="AC36" s="10">
        <v>29</v>
      </c>
      <c r="AD36" s="10">
        <v>0</v>
      </c>
      <c r="AE36" s="11"/>
      <c r="AF36" s="11"/>
      <c r="AG36" s="10">
        <v>72</v>
      </c>
      <c r="AH36" s="10">
        <v>104</v>
      </c>
      <c r="AI36" s="10">
        <v>131</v>
      </c>
      <c r="AJ36" s="10">
        <v>162</v>
      </c>
      <c r="AK36" s="11"/>
      <c r="AL36" s="11"/>
      <c r="AM36" s="10">
        <v>1056</v>
      </c>
      <c r="AN36" s="10">
        <v>532</v>
      </c>
      <c r="AO36" s="10">
        <v>59</v>
      </c>
      <c r="AP36" s="10">
        <v>74</v>
      </c>
      <c r="AQ36" s="10">
        <v>43</v>
      </c>
      <c r="AR36" s="10">
        <v>67</v>
      </c>
      <c r="AS36" s="11"/>
      <c r="AT36" s="11"/>
      <c r="AU36" s="1" t="str">
        <f>VLOOKUP(G36,'Country codes'!A$2:C$48,3,FALSE)</f>
        <v>Lower-Middle-Income Economies</v>
      </c>
    </row>
    <row r="37" spans="1:47" ht="20" customHeight="1">
      <c r="A37" s="8">
        <v>2020</v>
      </c>
      <c r="B37" s="9">
        <v>2020</v>
      </c>
      <c r="C37" s="10">
        <v>2020</v>
      </c>
      <c r="D37" s="11"/>
      <c r="E37" s="12" t="s">
        <v>47</v>
      </c>
      <c r="F37" s="12" t="s">
        <v>48</v>
      </c>
      <c r="G37" s="12" t="s">
        <v>49</v>
      </c>
      <c r="H37" s="11"/>
      <c r="I37" s="10">
        <v>719</v>
      </c>
      <c r="J37" s="10">
        <v>1352</v>
      </c>
      <c r="K37" s="10">
        <v>426</v>
      </c>
      <c r="L37" s="10">
        <v>662</v>
      </c>
      <c r="M37" s="11"/>
      <c r="N37" s="11"/>
      <c r="O37" s="11"/>
      <c r="P37" s="11"/>
      <c r="Q37" s="10">
        <v>2307</v>
      </c>
      <c r="R37" s="10">
        <v>3443</v>
      </c>
      <c r="S37" s="10">
        <v>1522</v>
      </c>
      <c r="T37" s="10">
        <v>2582</v>
      </c>
      <c r="U37" s="10">
        <v>785</v>
      </c>
      <c r="V37" s="10">
        <v>861</v>
      </c>
      <c r="W37" s="11"/>
      <c r="X37" s="11"/>
      <c r="Y37" s="10">
        <v>6786</v>
      </c>
      <c r="Z37" s="10">
        <v>1019</v>
      </c>
      <c r="AA37" s="10">
        <v>3809</v>
      </c>
      <c r="AB37" s="10">
        <v>1019</v>
      </c>
      <c r="AC37" s="10">
        <v>2977</v>
      </c>
      <c r="AD37" s="10">
        <v>0</v>
      </c>
      <c r="AE37" s="11"/>
      <c r="AF37" s="11"/>
      <c r="AG37" s="10">
        <v>31</v>
      </c>
      <c r="AH37" s="10">
        <v>72</v>
      </c>
      <c r="AI37" s="11"/>
      <c r="AJ37" s="11"/>
      <c r="AK37" s="11"/>
      <c r="AL37" s="11"/>
      <c r="AM37" s="11"/>
      <c r="AN37" s="11"/>
      <c r="AO37" s="10">
        <v>38</v>
      </c>
      <c r="AP37" s="10">
        <v>88</v>
      </c>
      <c r="AQ37" s="10">
        <v>53</v>
      </c>
      <c r="AR37" s="10">
        <v>48</v>
      </c>
      <c r="AS37" s="10">
        <v>1496</v>
      </c>
      <c r="AT37" s="10">
        <v>1427</v>
      </c>
      <c r="AU37" s="1" t="str">
        <f>VLOOKUP(G37,'Country codes'!A$2:C$48,3,FALSE)</f>
        <v>Low-Income Economies</v>
      </c>
    </row>
    <row r="38" spans="1:47" ht="20" customHeight="1">
      <c r="A38" s="8">
        <v>2020</v>
      </c>
      <c r="B38" s="9">
        <v>2020</v>
      </c>
      <c r="C38" s="10">
        <v>2020</v>
      </c>
      <c r="D38" s="11"/>
      <c r="E38" s="12" t="s">
        <v>50</v>
      </c>
      <c r="F38" s="12" t="s">
        <v>51</v>
      </c>
      <c r="G38" s="12" t="s">
        <v>52</v>
      </c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0">
        <v>39875</v>
      </c>
      <c r="AT38" s="10">
        <v>0</v>
      </c>
      <c r="AU38" s="1" t="str">
        <f>VLOOKUP(G38,'Country codes'!A$2:C$48,3,FALSE)</f>
        <v>Low-Income Economies</v>
      </c>
    </row>
    <row r="39" spans="1:47" ht="20" customHeight="1">
      <c r="A39" s="8">
        <v>2020</v>
      </c>
      <c r="B39" s="9">
        <v>2020</v>
      </c>
      <c r="C39" s="10">
        <v>2020</v>
      </c>
      <c r="D39" s="11"/>
      <c r="E39" s="12" t="s">
        <v>56</v>
      </c>
      <c r="F39" s="12" t="s">
        <v>57</v>
      </c>
      <c r="G39" s="12" t="s">
        <v>58</v>
      </c>
      <c r="H39" s="11"/>
      <c r="I39" s="10">
        <v>591</v>
      </c>
      <c r="J39" s="10">
        <v>771</v>
      </c>
      <c r="K39" s="10">
        <v>237</v>
      </c>
      <c r="L39" s="10">
        <v>289</v>
      </c>
      <c r="M39" s="10">
        <v>49</v>
      </c>
      <c r="N39" s="10">
        <v>65</v>
      </c>
      <c r="O39" s="10">
        <v>1</v>
      </c>
      <c r="P39" s="10">
        <v>0</v>
      </c>
      <c r="Q39" s="10">
        <v>3614</v>
      </c>
      <c r="R39" s="10">
        <v>1813</v>
      </c>
      <c r="S39" s="10">
        <v>3239</v>
      </c>
      <c r="T39" s="10">
        <v>1551</v>
      </c>
      <c r="U39" s="10">
        <v>373</v>
      </c>
      <c r="V39" s="10">
        <v>262</v>
      </c>
      <c r="W39" s="10">
        <v>2</v>
      </c>
      <c r="X39" s="10">
        <v>0</v>
      </c>
      <c r="Y39" s="10">
        <v>662</v>
      </c>
      <c r="Z39" s="10">
        <v>0</v>
      </c>
      <c r="AA39" s="10">
        <v>662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15</v>
      </c>
      <c r="AH39" s="10">
        <v>19</v>
      </c>
      <c r="AI39" s="10">
        <v>74</v>
      </c>
      <c r="AJ39" s="10">
        <v>65</v>
      </c>
      <c r="AK39" s="10">
        <v>117</v>
      </c>
      <c r="AL39" s="10">
        <v>73</v>
      </c>
      <c r="AM39" s="10">
        <v>1</v>
      </c>
      <c r="AN39" s="10">
        <v>0</v>
      </c>
      <c r="AO39" s="10">
        <v>24</v>
      </c>
      <c r="AP39" s="10">
        <v>58</v>
      </c>
      <c r="AQ39" s="10">
        <v>40</v>
      </c>
      <c r="AR39" s="10">
        <v>27</v>
      </c>
      <c r="AS39" s="10">
        <v>82</v>
      </c>
      <c r="AT39" s="10">
        <v>28</v>
      </c>
      <c r="AU39" s="1" t="str">
        <f>VLOOKUP(G39,'Country codes'!A$2:C$48,3,FALSE)</f>
        <v>High/Upper-Middle-Income Economies </v>
      </c>
    </row>
    <row r="40" spans="1:47" ht="20" customHeight="1">
      <c r="A40" s="8">
        <v>2020</v>
      </c>
      <c r="B40" s="9">
        <v>2020</v>
      </c>
      <c r="C40" s="10">
        <v>2020</v>
      </c>
      <c r="D40" s="11"/>
      <c r="E40" s="12" t="s">
        <v>59</v>
      </c>
      <c r="F40" s="12" t="s">
        <v>60</v>
      </c>
      <c r="G40" s="12" t="s">
        <v>61</v>
      </c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0">
        <v>5319</v>
      </c>
      <c r="AT40" s="10">
        <v>67</v>
      </c>
      <c r="AU40" s="1" t="str">
        <f>VLOOKUP(G40,'Country codes'!A$2:C$48,3,FALSE)</f>
        <v>Lower-Middle-Income Economies</v>
      </c>
    </row>
    <row r="41" spans="1:47" ht="20" customHeight="1">
      <c r="A41" s="8">
        <v>2020</v>
      </c>
      <c r="B41" s="9">
        <v>2020</v>
      </c>
      <c r="C41" s="10">
        <v>2020</v>
      </c>
      <c r="D41" s="11"/>
      <c r="E41" s="12" t="s">
        <v>62</v>
      </c>
      <c r="F41" s="12" t="s">
        <v>63</v>
      </c>
      <c r="G41" s="12" t="s">
        <v>64</v>
      </c>
      <c r="H41" s="11"/>
      <c r="I41" s="10">
        <v>380</v>
      </c>
      <c r="J41" s="10">
        <v>644</v>
      </c>
      <c r="K41" s="10">
        <v>350</v>
      </c>
      <c r="L41" s="10">
        <v>552</v>
      </c>
      <c r="M41" s="11"/>
      <c r="N41" s="11"/>
      <c r="O41" s="11"/>
      <c r="P41" s="11"/>
      <c r="Q41" s="10">
        <v>5378</v>
      </c>
      <c r="R41" s="10">
        <v>2393</v>
      </c>
      <c r="S41" s="10">
        <v>5378</v>
      </c>
      <c r="T41" s="10">
        <v>2393</v>
      </c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0">
        <v>48</v>
      </c>
      <c r="AH41" s="10">
        <v>41</v>
      </c>
      <c r="AI41" s="10">
        <v>82</v>
      </c>
      <c r="AJ41" s="10">
        <v>63</v>
      </c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" t="str">
        <f>VLOOKUP(G41,'Country codes'!A$2:C$48,3,FALSE)</f>
        <v>High/Upper-Middle-Income Economies </v>
      </c>
    </row>
    <row r="42" spans="1:47" ht="20" customHeight="1">
      <c r="A42" s="8">
        <v>2020</v>
      </c>
      <c r="B42" s="9">
        <v>2020</v>
      </c>
      <c r="C42" s="10">
        <v>2020</v>
      </c>
      <c r="D42" s="11"/>
      <c r="E42" s="12" t="s">
        <v>119</v>
      </c>
      <c r="F42" s="12" t="s">
        <v>120</v>
      </c>
      <c r="G42" s="12" t="s">
        <v>121</v>
      </c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0">
        <v>5923</v>
      </c>
      <c r="AT42" s="10">
        <v>5922</v>
      </c>
      <c r="AU42" s="1" t="str">
        <f>VLOOKUP(G42,'Country codes'!A$2:C$48,3,FALSE)</f>
        <v>Low-Income Economies</v>
      </c>
    </row>
    <row r="43" spans="1:47" ht="20" customHeight="1">
      <c r="A43" s="8">
        <v>2020</v>
      </c>
      <c r="B43" s="9">
        <v>2020</v>
      </c>
      <c r="C43" s="10">
        <v>2020</v>
      </c>
      <c r="D43" s="11"/>
      <c r="E43" s="12" t="s">
        <v>68</v>
      </c>
      <c r="F43" s="12" t="s">
        <v>69</v>
      </c>
      <c r="G43" s="12" t="s">
        <v>70</v>
      </c>
      <c r="H43" s="11"/>
      <c r="I43" s="10">
        <v>2328</v>
      </c>
      <c r="J43" s="10">
        <v>2797</v>
      </c>
      <c r="K43" s="10">
        <v>751</v>
      </c>
      <c r="L43" s="10">
        <v>892</v>
      </c>
      <c r="M43" s="10">
        <v>11</v>
      </c>
      <c r="N43" s="10">
        <v>5</v>
      </c>
      <c r="O43" s="10">
        <v>1164</v>
      </c>
      <c r="P43" s="10">
        <v>1399</v>
      </c>
      <c r="Q43" s="10">
        <v>7470</v>
      </c>
      <c r="R43" s="10">
        <v>4008</v>
      </c>
      <c r="S43" s="10">
        <v>5963</v>
      </c>
      <c r="T43" s="10">
        <v>2878</v>
      </c>
      <c r="U43" s="10">
        <v>686</v>
      </c>
      <c r="V43" s="10">
        <v>516</v>
      </c>
      <c r="W43" s="10">
        <v>821</v>
      </c>
      <c r="X43" s="10">
        <v>614</v>
      </c>
      <c r="Y43" s="10">
        <v>1059</v>
      </c>
      <c r="Z43" s="10">
        <v>199</v>
      </c>
      <c r="AA43" s="10">
        <v>879</v>
      </c>
      <c r="AB43" s="10">
        <v>119</v>
      </c>
      <c r="AC43" s="10">
        <v>161</v>
      </c>
      <c r="AD43" s="10">
        <v>78</v>
      </c>
      <c r="AE43" s="10">
        <v>19</v>
      </c>
      <c r="AF43" s="10">
        <v>2</v>
      </c>
      <c r="AG43" s="10">
        <v>105</v>
      </c>
      <c r="AH43" s="10">
        <v>86</v>
      </c>
      <c r="AI43" s="10">
        <v>198</v>
      </c>
      <c r="AJ43" s="10">
        <v>139</v>
      </c>
      <c r="AK43" s="10">
        <v>207</v>
      </c>
      <c r="AL43" s="10">
        <v>83</v>
      </c>
      <c r="AM43" s="10">
        <v>158</v>
      </c>
      <c r="AN43" s="10">
        <v>32</v>
      </c>
      <c r="AO43" s="10">
        <v>58</v>
      </c>
      <c r="AP43" s="10">
        <v>56</v>
      </c>
      <c r="AQ43" s="10">
        <v>33</v>
      </c>
      <c r="AR43" s="10">
        <v>12</v>
      </c>
      <c r="AS43" s="10">
        <v>102</v>
      </c>
      <c r="AT43" s="10">
        <v>52</v>
      </c>
      <c r="AU43" s="1" t="str">
        <f>VLOOKUP(G43,'Country codes'!A$2:C$48,3,FALSE)</f>
        <v>Lower-Middle-Income Economies</v>
      </c>
    </row>
    <row r="44" spans="1:47" ht="20" customHeight="1">
      <c r="A44" s="8">
        <v>2020</v>
      </c>
      <c r="B44" s="9">
        <v>2020</v>
      </c>
      <c r="C44" s="10">
        <v>2020</v>
      </c>
      <c r="D44" s="11"/>
      <c r="E44" s="12" t="s">
        <v>71</v>
      </c>
      <c r="F44" s="12" t="s">
        <v>72</v>
      </c>
      <c r="G44" s="12" t="s">
        <v>73</v>
      </c>
      <c r="H44" s="11"/>
      <c r="I44" s="10">
        <v>132</v>
      </c>
      <c r="J44" s="10">
        <v>652</v>
      </c>
      <c r="K44" s="10">
        <v>132</v>
      </c>
      <c r="L44" s="10">
        <v>652</v>
      </c>
      <c r="M44" s="11"/>
      <c r="N44" s="11"/>
      <c r="O44" s="11"/>
      <c r="P44" s="11"/>
      <c r="Q44" s="10">
        <v>881</v>
      </c>
      <c r="R44" s="10">
        <v>1742</v>
      </c>
      <c r="S44" s="10">
        <v>409</v>
      </c>
      <c r="T44" s="10">
        <v>1119</v>
      </c>
      <c r="U44" s="10">
        <v>309</v>
      </c>
      <c r="V44" s="10">
        <v>518</v>
      </c>
      <c r="W44" s="10">
        <v>163</v>
      </c>
      <c r="X44" s="10">
        <v>105</v>
      </c>
      <c r="Y44" s="10">
        <v>665</v>
      </c>
      <c r="Z44" s="10">
        <v>45</v>
      </c>
      <c r="AA44" s="10">
        <v>665</v>
      </c>
      <c r="AB44" s="10">
        <v>45</v>
      </c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0">
        <v>2</v>
      </c>
      <c r="AP44" s="10">
        <v>3</v>
      </c>
      <c r="AQ44" s="10">
        <v>0</v>
      </c>
      <c r="AR44" s="10">
        <v>2</v>
      </c>
      <c r="AS44" s="10">
        <v>116</v>
      </c>
      <c r="AT44" s="10">
        <v>476</v>
      </c>
      <c r="AU44" s="1" t="str">
        <f>VLOOKUP(G44,'Country codes'!A$2:C$48,3,FALSE)</f>
        <v>Low-Income Economies</v>
      </c>
    </row>
    <row r="45" spans="1:47" ht="20" customHeight="1">
      <c r="A45" s="8">
        <v>2020</v>
      </c>
      <c r="B45" s="9">
        <v>2020</v>
      </c>
      <c r="C45" s="10">
        <v>2020</v>
      </c>
      <c r="D45" s="11"/>
      <c r="E45" s="12" t="s">
        <v>80</v>
      </c>
      <c r="F45" s="12" t="s">
        <v>81</v>
      </c>
      <c r="G45" s="12" t="s">
        <v>82</v>
      </c>
      <c r="H45" s="11"/>
      <c r="I45" s="10">
        <v>111</v>
      </c>
      <c r="J45" s="10">
        <v>249</v>
      </c>
      <c r="K45" s="10">
        <v>110</v>
      </c>
      <c r="L45" s="10">
        <v>240</v>
      </c>
      <c r="M45" s="11"/>
      <c r="N45" s="11"/>
      <c r="O45" s="11"/>
      <c r="P45" s="11"/>
      <c r="Q45" s="10">
        <v>919</v>
      </c>
      <c r="R45" s="10">
        <v>453</v>
      </c>
      <c r="S45" s="10">
        <v>241</v>
      </c>
      <c r="T45" s="10">
        <v>101</v>
      </c>
      <c r="U45" s="10">
        <v>671</v>
      </c>
      <c r="V45" s="10">
        <v>345</v>
      </c>
      <c r="W45" s="10">
        <v>7</v>
      </c>
      <c r="X45" s="10">
        <v>7</v>
      </c>
      <c r="Y45" s="10">
        <v>185</v>
      </c>
      <c r="Z45" s="10">
        <v>0</v>
      </c>
      <c r="AA45" s="10">
        <v>18</v>
      </c>
      <c r="AB45" s="10">
        <v>0</v>
      </c>
      <c r="AC45" s="10">
        <v>167</v>
      </c>
      <c r="AD45" s="10">
        <v>0</v>
      </c>
      <c r="AE45" s="11"/>
      <c r="AF45" s="11"/>
      <c r="AG45" s="10">
        <v>4</v>
      </c>
      <c r="AH45" s="10">
        <v>1</v>
      </c>
      <c r="AI45" s="10">
        <v>6</v>
      </c>
      <c r="AJ45" s="10">
        <v>7</v>
      </c>
      <c r="AK45" s="10">
        <v>25</v>
      </c>
      <c r="AL45" s="10">
        <v>15</v>
      </c>
      <c r="AM45" s="11"/>
      <c r="AN45" s="11"/>
      <c r="AO45" s="10">
        <v>0</v>
      </c>
      <c r="AP45" s="10">
        <v>4</v>
      </c>
      <c r="AQ45" s="10">
        <v>3</v>
      </c>
      <c r="AR45" s="10">
        <v>3</v>
      </c>
      <c r="AS45" s="10">
        <v>500</v>
      </c>
      <c r="AT45" s="10">
        <v>3211</v>
      </c>
      <c r="AU45" s="1" t="str">
        <f>VLOOKUP(G45,'Country codes'!A$2:C$48,3,FALSE)</f>
        <v>Low-Income Economies</v>
      </c>
    </row>
    <row r="46" spans="1:47" ht="20" customHeight="1">
      <c r="A46" s="8">
        <v>2020</v>
      </c>
      <c r="B46" s="9">
        <v>2020</v>
      </c>
      <c r="C46" s="10">
        <v>2020</v>
      </c>
      <c r="D46" s="11"/>
      <c r="E46" s="12" t="s">
        <v>83</v>
      </c>
      <c r="F46" s="12" t="s">
        <v>84</v>
      </c>
      <c r="G46" s="12" t="s">
        <v>85</v>
      </c>
      <c r="H46" s="11"/>
      <c r="I46" s="10">
        <v>1951</v>
      </c>
      <c r="J46" s="10">
        <v>2580</v>
      </c>
      <c r="K46" s="10">
        <v>1519</v>
      </c>
      <c r="L46" s="10">
        <v>1906</v>
      </c>
      <c r="M46" s="10">
        <v>101</v>
      </c>
      <c r="N46" s="10">
        <v>166</v>
      </c>
      <c r="O46" s="10">
        <v>0</v>
      </c>
      <c r="P46" s="10">
        <v>0</v>
      </c>
      <c r="Q46" s="10">
        <v>25278</v>
      </c>
      <c r="R46" s="10">
        <v>11084</v>
      </c>
      <c r="S46" s="10">
        <v>25278</v>
      </c>
      <c r="T46" s="10">
        <v>11084</v>
      </c>
      <c r="U46" s="10">
        <v>0</v>
      </c>
      <c r="V46" s="10">
        <v>0</v>
      </c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0">
        <v>184</v>
      </c>
      <c r="AH46" s="10">
        <v>210</v>
      </c>
      <c r="AI46" s="10">
        <v>448</v>
      </c>
      <c r="AJ46" s="10">
        <v>612</v>
      </c>
      <c r="AK46" s="10">
        <v>0</v>
      </c>
      <c r="AL46" s="10">
        <v>0</v>
      </c>
      <c r="AM46" s="11"/>
      <c r="AN46" s="11"/>
      <c r="AO46" s="10">
        <v>91</v>
      </c>
      <c r="AP46" s="10">
        <v>126</v>
      </c>
      <c r="AQ46" s="10">
        <v>106</v>
      </c>
      <c r="AR46" s="10">
        <v>37</v>
      </c>
      <c r="AS46" s="10">
        <v>1572</v>
      </c>
      <c r="AT46" s="10">
        <v>1299</v>
      </c>
      <c r="AU46" s="1" t="str">
        <f>VLOOKUP(G46,'Country codes'!A$2:C$48,3,FALSE)</f>
        <v>Lower-Middle-Income Economies</v>
      </c>
    </row>
    <row r="47" spans="1:47" ht="20" customHeight="1">
      <c r="A47" s="8">
        <v>2020</v>
      </c>
      <c r="B47" s="9">
        <v>2020</v>
      </c>
      <c r="C47" s="10">
        <v>2020</v>
      </c>
      <c r="D47" s="11"/>
      <c r="E47" s="12" t="s">
        <v>122</v>
      </c>
      <c r="F47" s="12" t="s">
        <v>123</v>
      </c>
      <c r="G47" s="12" t="s">
        <v>124</v>
      </c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0">
        <v>5547</v>
      </c>
      <c r="AT47" s="10">
        <v>6811</v>
      </c>
      <c r="AU47" s="1" t="str">
        <f>VLOOKUP(G47,'Country codes'!A$2:C$48,3,FALSE)</f>
        <v>Low-Income Economies</v>
      </c>
    </row>
    <row r="48" spans="1:47" ht="20" customHeight="1">
      <c r="A48" s="8">
        <v>2020</v>
      </c>
      <c r="B48" s="9">
        <v>2020</v>
      </c>
      <c r="C48" s="10">
        <v>2020</v>
      </c>
      <c r="D48" s="11"/>
      <c r="E48" s="12" t="s">
        <v>125</v>
      </c>
      <c r="F48" s="12" t="s">
        <v>126</v>
      </c>
      <c r="G48" s="12" t="s">
        <v>127</v>
      </c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0">
        <v>29131</v>
      </c>
      <c r="AT48" s="10">
        <v>12485</v>
      </c>
      <c r="AU48" s="1" t="str">
        <f>VLOOKUP(G48,'Country codes'!A$2:C$48,3,FALSE)</f>
        <v>Low-Income Economies</v>
      </c>
    </row>
    <row r="49" spans="1:47" ht="20" customHeight="1">
      <c r="A49" s="8">
        <v>2020</v>
      </c>
      <c r="B49" s="9">
        <v>2020</v>
      </c>
      <c r="C49" s="10">
        <v>2020</v>
      </c>
      <c r="D49" s="11"/>
      <c r="E49" s="12" t="s">
        <v>86</v>
      </c>
      <c r="F49" s="12" t="s">
        <v>87</v>
      </c>
      <c r="G49" s="12" t="s">
        <v>88</v>
      </c>
      <c r="H49" s="11"/>
      <c r="I49" s="10">
        <v>441</v>
      </c>
      <c r="J49" s="10">
        <v>517</v>
      </c>
      <c r="K49" s="10">
        <v>307</v>
      </c>
      <c r="L49" s="10">
        <v>332</v>
      </c>
      <c r="M49" s="10">
        <v>0</v>
      </c>
      <c r="N49" s="10">
        <v>0</v>
      </c>
      <c r="O49" s="10">
        <v>0</v>
      </c>
      <c r="P49" s="10">
        <v>0</v>
      </c>
      <c r="Q49" s="10">
        <v>10719</v>
      </c>
      <c r="R49" s="10">
        <v>3845</v>
      </c>
      <c r="S49" s="10">
        <v>6451</v>
      </c>
      <c r="T49" s="10">
        <v>1932</v>
      </c>
      <c r="U49" s="10">
        <v>4191</v>
      </c>
      <c r="V49" s="10">
        <v>1913</v>
      </c>
      <c r="W49" s="10">
        <v>77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56</v>
      </c>
      <c r="AH49" s="10">
        <v>93</v>
      </c>
      <c r="AI49" s="10">
        <v>38</v>
      </c>
      <c r="AJ49" s="10">
        <v>113</v>
      </c>
      <c r="AK49" s="10">
        <v>1168</v>
      </c>
      <c r="AL49" s="10">
        <v>311</v>
      </c>
      <c r="AM49" s="10">
        <v>2638</v>
      </c>
      <c r="AN49" s="10">
        <v>1720</v>
      </c>
      <c r="AO49" s="10">
        <v>28</v>
      </c>
      <c r="AP49" s="10">
        <v>24</v>
      </c>
      <c r="AQ49" s="10">
        <v>14</v>
      </c>
      <c r="AR49" s="10">
        <v>16</v>
      </c>
      <c r="AS49" s="11"/>
      <c r="AT49" s="11"/>
      <c r="AU49" s="1" t="str">
        <f>VLOOKUP(G49,'Country codes'!A$2:C$48,3,FALSE)</f>
        <v>Low-Income Economies</v>
      </c>
    </row>
    <row r="50" spans="1:47" ht="20" customHeight="1">
      <c r="A50" s="8">
        <v>2020</v>
      </c>
      <c r="B50" s="9">
        <v>2020</v>
      </c>
      <c r="C50" s="10">
        <v>2020</v>
      </c>
      <c r="D50" s="11"/>
      <c r="E50" s="12" t="s">
        <v>128</v>
      </c>
      <c r="F50" s="12" t="s">
        <v>129</v>
      </c>
      <c r="G50" s="12" t="s">
        <v>130</v>
      </c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0">
        <v>991</v>
      </c>
      <c r="AT50" s="10">
        <v>2312</v>
      </c>
      <c r="AU50" s="1" t="str">
        <f>VLOOKUP(G50,'Country codes'!A$2:C$48,3,FALSE)</f>
        <v>Low-Income Economies</v>
      </c>
    </row>
    <row r="51" spans="1:47" ht="20" customHeight="1">
      <c r="A51" s="8">
        <v>2020</v>
      </c>
      <c r="B51" s="9">
        <v>2020</v>
      </c>
      <c r="C51" s="10">
        <v>2020</v>
      </c>
      <c r="D51" s="11"/>
      <c r="E51" s="12" t="s">
        <v>89</v>
      </c>
      <c r="F51" s="12" t="s">
        <v>90</v>
      </c>
      <c r="G51" s="12" t="s">
        <v>91</v>
      </c>
      <c r="H51" s="11"/>
      <c r="I51" s="10">
        <v>1274</v>
      </c>
      <c r="J51" s="10">
        <v>1384</v>
      </c>
      <c r="K51" s="10">
        <v>881</v>
      </c>
      <c r="L51" s="10">
        <v>859</v>
      </c>
      <c r="M51" s="11"/>
      <c r="N51" s="11"/>
      <c r="O51" s="11"/>
      <c r="P51" s="11"/>
      <c r="Q51" s="10">
        <v>4544</v>
      </c>
      <c r="R51" s="10">
        <v>4287</v>
      </c>
      <c r="S51" s="10">
        <v>3831</v>
      </c>
      <c r="T51" s="10">
        <v>3384</v>
      </c>
      <c r="U51" s="10">
        <v>713</v>
      </c>
      <c r="V51" s="10">
        <v>903</v>
      </c>
      <c r="W51" s="11"/>
      <c r="X51" s="11"/>
      <c r="Y51" s="10">
        <v>6324</v>
      </c>
      <c r="Z51" s="10">
        <v>0</v>
      </c>
      <c r="AA51" s="10">
        <v>5049</v>
      </c>
      <c r="AB51" s="10">
        <v>0</v>
      </c>
      <c r="AC51" s="10">
        <v>1275</v>
      </c>
      <c r="AD51" s="10">
        <v>0</v>
      </c>
      <c r="AE51" s="11"/>
      <c r="AF51" s="11"/>
      <c r="AG51" s="10">
        <v>178</v>
      </c>
      <c r="AH51" s="10">
        <v>104</v>
      </c>
      <c r="AI51" s="10">
        <v>200</v>
      </c>
      <c r="AJ51" s="10">
        <v>223</v>
      </c>
      <c r="AK51" s="11"/>
      <c r="AL51" s="11"/>
      <c r="AM51" s="11"/>
      <c r="AN51" s="11"/>
      <c r="AO51" s="10">
        <v>27</v>
      </c>
      <c r="AP51" s="10">
        <v>49</v>
      </c>
      <c r="AQ51" s="10">
        <v>55</v>
      </c>
      <c r="AR51" s="10">
        <v>18</v>
      </c>
      <c r="AS51" s="11"/>
      <c r="AT51" s="11"/>
      <c r="AU51" s="1" t="str">
        <f>VLOOKUP(G51,'Country codes'!A$2:C$48,3,FALSE)</f>
        <v>Low-Income Economies</v>
      </c>
    </row>
    <row r="52" spans="1:47" ht="20" customHeight="1">
      <c r="A52" s="8">
        <v>2020</v>
      </c>
      <c r="B52" s="9">
        <v>2020</v>
      </c>
      <c r="C52" s="10">
        <v>2020</v>
      </c>
      <c r="D52" s="11"/>
      <c r="E52" s="12" t="s">
        <v>131</v>
      </c>
      <c r="F52" s="12" t="s">
        <v>132</v>
      </c>
      <c r="G52" s="12" t="s">
        <v>133</v>
      </c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0">
        <v>36882</v>
      </c>
      <c r="AT52" s="10">
        <v>21685</v>
      </c>
      <c r="AU52" s="1" t="str">
        <f>VLOOKUP(G52,'Country codes'!A$2:C$48,3,FALSE)</f>
        <v>Low-Income Economies</v>
      </c>
    </row>
    <row r="53" spans="1:47" ht="20" customHeight="1">
      <c r="A53" s="8">
        <v>2020</v>
      </c>
      <c r="B53" s="9">
        <v>2020</v>
      </c>
      <c r="C53" s="10">
        <v>2020</v>
      </c>
      <c r="D53" s="11"/>
      <c r="E53" s="12" t="s">
        <v>92</v>
      </c>
      <c r="F53" s="12" t="s">
        <v>93</v>
      </c>
      <c r="G53" s="12" t="s">
        <v>94</v>
      </c>
      <c r="H53" s="11"/>
      <c r="I53" s="10">
        <v>429</v>
      </c>
      <c r="J53" s="10">
        <v>955</v>
      </c>
      <c r="K53" s="10">
        <v>88</v>
      </c>
      <c r="L53" s="10">
        <v>220</v>
      </c>
      <c r="M53" s="11"/>
      <c r="N53" s="11"/>
      <c r="O53" s="11"/>
      <c r="P53" s="11"/>
      <c r="Q53" s="10">
        <v>2286</v>
      </c>
      <c r="R53" s="10">
        <v>1492</v>
      </c>
      <c r="S53" s="10">
        <v>1910</v>
      </c>
      <c r="T53" s="10">
        <v>1385</v>
      </c>
      <c r="U53" s="10">
        <v>376</v>
      </c>
      <c r="V53" s="10">
        <v>107</v>
      </c>
      <c r="W53" s="11"/>
      <c r="X53" s="11"/>
      <c r="Y53" s="10">
        <v>1969</v>
      </c>
      <c r="Z53" s="10">
        <v>0</v>
      </c>
      <c r="AA53" s="10">
        <v>1969</v>
      </c>
      <c r="AB53" s="10">
        <v>0</v>
      </c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0">
        <v>54</v>
      </c>
      <c r="AP53" s="10">
        <v>52</v>
      </c>
      <c r="AQ53" s="10">
        <v>54</v>
      </c>
      <c r="AR53" s="10">
        <v>41</v>
      </c>
      <c r="AS53" s="11"/>
      <c r="AT53" s="11"/>
      <c r="AU53" s="1" t="str">
        <f>VLOOKUP(G53,'Country codes'!A$2:C$48,3,FALSE)</f>
        <v>Lower-Middle-Income Economies</v>
      </c>
    </row>
    <row r="54" spans="1:47" ht="20" customHeight="1">
      <c r="A54" s="8">
        <v>2020</v>
      </c>
      <c r="B54" s="9">
        <v>2020</v>
      </c>
      <c r="C54" s="10">
        <v>2020</v>
      </c>
      <c r="D54" s="11"/>
      <c r="E54" s="12" t="s">
        <v>134</v>
      </c>
      <c r="F54" s="12" t="s">
        <v>135</v>
      </c>
      <c r="G54" s="12" t="s">
        <v>136</v>
      </c>
      <c r="H54" s="11"/>
      <c r="I54" s="10">
        <v>44</v>
      </c>
      <c r="J54" s="10">
        <v>532</v>
      </c>
      <c r="K54" s="10">
        <v>28</v>
      </c>
      <c r="L54" s="10">
        <v>487</v>
      </c>
      <c r="M54" s="11"/>
      <c r="N54" s="11"/>
      <c r="O54" s="11"/>
      <c r="P54" s="11"/>
      <c r="Q54" s="10">
        <v>882</v>
      </c>
      <c r="R54" s="10">
        <v>158</v>
      </c>
      <c r="S54" s="10">
        <v>882</v>
      </c>
      <c r="T54" s="10">
        <v>158</v>
      </c>
      <c r="U54" s="11"/>
      <c r="V54" s="11"/>
      <c r="W54" s="11"/>
      <c r="X54" s="11"/>
      <c r="Y54" s="10">
        <v>611</v>
      </c>
      <c r="Z54" s="10">
        <v>28</v>
      </c>
      <c r="AA54" s="10">
        <v>522</v>
      </c>
      <c r="AB54" s="10">
        <v>8</v>
      </c>
      <c r="AC54" s="10">
        <v>89</v>
      </c>
      <c r="AD54" s="10">
        <v>20</v>
      </c>
      <c r="AE54" s="11"/>
      <c r="AF54" s="11"/>
      <c r="AG54" s="10">
        <v>5</v>
      </c>
      <c r="AH54" s="10">
        <v>10</v>
      </c>
      <c r="AI54" s="10">
        <v>41</v>
      </c>
      <c r="AJ54" s="10">
        <v>152</v>
      </c>
      <c r="AK54" s="11"/>
      <c r="AL54" s="11"/>
      <c r="AM54" s="11"/>
      <c r="AN54" s="11"/>
      <c r="AO54" s="11"/>
      <c r="AP54" s="11"/>
      <c r="AQ54" s="11"/>
      <c r="AR54" s="11"/>
      <c r="AS54" s="10">
        <v>12380</v>
      </c>
      <c r="AT54" s="10">
        <v>1586</v>
      </c>
      <c r="AU54" s="1" t="str">
        <f>VLOOKUP(G54,'Country codes'!A$2:C$48,3,FALSE)</f>
        <v>Low-Income Economies</v>
      </c>
    </row>
    <row r="55" spans="1:47" ht="20" customHeight="1">
      <c r="A55" s="8">
        <v>2020</v>
      </c>
      <c r="B55" s="9">
        <v>2020</v>
      </c>
      <c r="C55" s="10">
        <v>2020</v>
      </c>
      <c r="D55" s="11"/>
      <c r="E55" s="12" t="s">
        <v>137</v>
      </c>
      <c r="F55" s="12" t="s">
        <v>138</v>
      </c>
      <c r="G55" s="12" t="s">
        <v>139</v>
      </c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0">
        <v>1828</v>
      </c>
      <c r="AT55" s="10">
        <v>4680</v>
      </c>
      <c r="AU55" s="1" t="str">
        <f>VLOOKUP(G55,'Country codes'!A$2:C$48,3,FALSE)</f>
        <v>Low-Income Economies</v>
      </c>
    </row>
    <row r="56" spans="1:47" ht="20" customHeight="1">
      <c r="A56" s="8">
        <v>2020</v>
      </c>
      <c r="B56" s="9">
        <v>2020</v>
      </c>
      <c r="C56" s="10">
        <v>2020</v>
      </c>
      <c r="D56" s="11"/>
      <c r="E56" s="12" t="s">
        <v>140</v>
      </c>
      <c r="F56" s="12" t="s">
        <v>141</v>
      </c>
      <c r="G56" s="12" t="s">
        <v>142</v>
      </c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0">
        <v>8786</v>
      </c>
      <c r="AT56" s="10">
        <v>12643</v>
      </c>
      <c r="AU56" s="1" t="str">
        <f>VLOOKUP(G56,'Country codes'!A$2:C$48,3,FALSE)</f>
        <v>Low-Income Economies</v>
      </c>
    </row>
    <row r="57" spans="1:47" ht="20" customHeight="1">
      <c r="A57" s="8">
        <v>2020</v>
      </c>
      <c r="B57" s="9">
        <v>2020</v>
      </c>
      <c r="C57" s="10">
        <v>2020</v>
      </c>
      <c r="D57" s="11"/>
      <c r="E57" s="12" t="s">
        <v>113</v>
      </c>
      <c r="F57" s="12" t="s">
        <v>114</v>
      </c>
      <c r="G57" s="12" t="s">
        <v>115</v>
      </c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0">
        <v>1419</v>
      </c>
      <c r="AT57" s="10">
        <v>5967</v>
      </c>
      <c r="AU57" s="1" t="str">
        <f>VLOOKUP(G57,'Country codes'!A$2:C$48,3,FALSE)</f>
        <v>Low-Income Economies</v>
      </c>
    </row>
    <row r="58" spans="1:47" ht="20" customHeight="1">
      <c r="A58" s="8">
        <v>2019</v>
      </c>
      <c r="B58" s="9">
        <v>2019</v>
      </c>
      <c r="C58" s="10">
        <v>2019</v>
      </c>
      <c r="D58" s="11"/>
      <c r="E58" s="12" t="s">
        <v>47</v>
      </c>
      <c r="F58" s="12" t="s">
        <v>48</v>
      </c>
      <c r="G58" s="12" t="s">
        <v>49</v>
      </c>
      <c r="H58" s="11"/>
      <c r="I58" s="10">
        <v>644</v>
      </c>
      <c r="J58" s="10">
        <v>1266</v>
      </c>
      <c r="K58" s="10">
        <v>390</v>
      </c>
      <c r="L58" s="10">
        <v>636</v>
      </c>
      <c r="M58" s="10">
        <v>180</v>
      </c>
      <c r="N58" s="10">
        <v>513</v>
      </c>
      <c r="O58" s="11"/>
      <c r="P58" s="11"/>
      <c r="Q58" s="10">
        <v>4276</v>
      </c>
      <c r="R58" s="10">
        <v>7088</v>
      </c>
      <c r="S58" s="10">
        <v>3339</v>
      </c>
      <c r="T58" s="10">
        <v>6132</v>
      </c>
      <c r="U58" s="10">
        <v>937</v>
      </c>
      <c r="V58" s="10">
        <v>956</v>
      </c>
      <c r="W58" s="11"/>
      <c r="X58" s="11"/>
      <c r="Y58" s="10">
        <v>6471</v>
      </c>
      <c r="Z58" s="10">
        <v>1006</v>
      </c>
      <c r="AA58" s="10">
        <v>3414</v>
      </c>
      <c r="AB58" s="10">
        <v>1006</v>
      </c>
      <c r="AC58" s="10">
        <v>3057</v>
      </c>
      <c r="AD58" s="10">
        <v>0</v>
      </c>
      <c r="AE58" s="11"/>
      <c r="AF58" s="11"/>
      <c r="AG58" s="10">
        <v>14</v>
      </c>
      <c r="AH58" s="10">
        <v>38</v>
      </c>
      <c r="AI58" s="10">
        <v>127</v>
      </c>
      <c r="AJ58" s="10">
        <v>186</v>
      </c>
      <c r="AK58" s="10">
        <v>0</v>
      </c>
      <c r="AL58" s="10">
        <v>0</v>
      </c>
      <c r="AM58" s="10">
        <v>0</v>
      </c>
      <c r="AN58" s="10">
        <v>0</v>
      </c>
      <c r="AO58" s="10">
        <v>28</v>
      </c>
      <c r="AP58" s="10">
        <v>78</v>
      </c>
      <c r="AQ58" s="10">
        <v>46</v>
      </c>
      <c r="AR58" s="10">
        <v>44</v>
      </c>
      <c r="AS58" s="10">
        <v>1501</v>
      </c>
      <c r="AT58" s="10">
        <v>1478</v>
      </c>
      <c r="AU58" s="1" t="str">
        <f>VLOOKUP(G58,'Country codes'!A$2:C$48,3,FALSE)</f>
        <v>Low-Income Economies</v>
      </c>
    </row>
    <row r="59" spans="1:47" ht="20" customHeight="1">
      <c r="A59" s="8">
        <v>2019</v>
      </c>
      <c r="B59" s="9">
        <v>2019</v>
      </c>
      <c r="C59" s="10">
        <v>2019</v>
      </c>
      <c r="D59" s="11"/>
      <c r="E59" s="12" t="s">
        <v>56</v>
      </c>
      <c r="F59" s="12" t="s">
        <v>57</v>
      </c>
      <c r="G59" s="12" t="s">
        <v>58</v>
      </c>
      <c r="H59" s="11"/>
      <c r="I59" s="10">
        <v>573</v>
      </c>
      <c r="J59" s="10">
        <v>795</v>
      </c>
      <c r="K59" s="10">
        <v>231</v>
      </c>
      <c r="L59" s="10">
        <v>285</v>
      </c>
      <c r="M59" s="10">
        <v>49</v>
      </c>
      <c r="N59" s="10">
        <v>64</v>
      </c>
      <c r="O59" s="10">
        <v>1</v>
      </c>
      <c r="P59" s="10">
        <v>0</v>
      </c>
      <c r="Q59" s="10">
        <v>3361</v>
      </c>
      <c r="R59" s="10">
        <v>1350</v>
      </c>
      <c r="S59" s="10">
        <v>2367</v>
      </c>
      <c r="T59" s="10">
        <v>934</v>
      </c>
      <c r="U59" s="10">
        <v>992</v>
      </c>
      <c r="V59" s="10">
        <v>416</v>
      </c>
      <c r="W59" s="10">
        <v>2</v>
      </c>
      <c r="X59" s="10">
        <v>0</v>
      </c>
      <c r="Y59" s="10">
        <v>607</v>
      </c>
      <c r="Z59" s="10">
        <v>0</v>
      </c>
      <c r="AA59" s="10">
        <v>607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15</v>
      </c>
      <c r="AH59" s="10">
        <v>19</v>
      </c>
      <c r="AI59" s="10">
        <v>76</v>
      </c>
      <c r="AJ59" s="10">
        <v>64</v>
      </c>
      <c r="AK59" s="10">
        <v>323</v>
      </c>
      <c r="AL59" s="10">
        <v>423</v>
      </c>
      <c r="AM59" s="10">
        <v>8</v>
      </c>
      <c r="AN59" s="10">
        <v>3</v>
      </c>
      <c r="AO59" s="10">
        <v>25</v>
      </c>
      <c r="AP59" s="10">
        <v>54</v>
      </c>
      <c r="AQ59" s="10">
        <v>39</v>
      </c>
      <c r="AR59" s="10">
        <v>30</v>
      </c>
      <c r="AS59" s="10">
        <v>87</v>
      </c>
      <c r="AT59" s="10">
        <v>30</v>
      </c>
      <c r="AU59" s="1" t="str">
        <f>VLOOKUP(G59,'Country codes'!A$2:C$48,3,FALSE)</f>
        <v>High/Upper-Middle-Income Economies </v>
      </c>
    </row>
    <row r="60" spans="1:47" ht="20" customHeight="1">
      <c r="A60" s="8">
        <v>2019</v>
      </c>
      <c r="B60" s="9">
        <v>2019</v>
      </c>
      <c r="C60" s="10">
        <v>2019</v>
      </c>
      <c r="D60" s="11"/>
      <c r="E60" s="12" t="s">
        <v>62</v>
      </c>
      <c r="F60" s="12" t="s">
        <v>63</v>
      </c>
      <c r="G60" s="12" t="s">
        <v>64</v>
      </c>
      <c r="H60" s="11"/>
      <c r="I60" s="10">
        <v>335</v>
      </c>
      <c r="J60" s="10">
        <v>585</v>
      </c>
      <c r="K60" s="10">
        <v>308</v>
      </c>
      <c r="L60" s="10">
        <v>505</v>
      </c>
      <c r="M60" s="11"/>
      <c r="N60" s="11"/>
      <c r="O60" s="11"/>
      <c r="P60" s="11"/>
      <c r="Q60" s="10">
        <v>5409</v>
      </c>
      <c r="R60" s="10">
        <v>2354</v>
      </c>
      <c r="S60" s="10">
        <v>5409</v>
      </c>
      <c r="T60" s="10">
        <v>2354</v>
      </c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0">
        <v>48</v>
      </c>
      <c r="AH60" s="10">
        <v>40</v>
      </c>
      <c r="AI60" s="10">
        <v>76</v>
      </c>
      <c r="AJ60" s="10">
        <v>62</v>
      </c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" t="str">
        <f>VLOOKUP(G60,'Country codes'!A$2:C$48,3,FALSE)</f>
        <v>High/Upper-Middle-Income Economies </v>
      </c>
    </row>
    <row r="61" spans="1:47" ht="20" customHeight="1">
      <c r="A61" s="8">
        <v>2019</v>
      </c>
      <c r="B61" s="9">
        <v>2019</v>
      </c>
      <c r="C61" s="10">
        <v>2019</v>
      </c>
      <c r="D61" s="11"/>
      <c r="E61" s="12" t="s">
        <v>119</v>
      </c>
      <c r="F61" s="12" t="s">
        <v>120</v>
      </c>
      <c r="G61" s="12" t="s">
        <v>121</v>
      </c>
      <c r="H61" s="11"/>
      <c r="I61" s="10">
        <v>157</v>
      </c>
      <c r="J61" s="10">
        <v>472</v>
      </c>
      <c r="K61" s="10">
        <v>157</v>
      </c>
      <c r="L61" s="10">
        <v>472</v>
      </c>
      <c r="M61" s="11"/>
      <c r="N61" s="11"/>
      <c r="O61" s="11"/>
      <c r="P61" s="11"/>
      <c r="Q61" s="10">
        <v>4498</v>
      </c>
      <c r="R61" s="10">
        <v>3020</v>
      </c>
      <c r="S61" s="10">
        <v>4498</v>
      </c>
      <c r="T61" s="10">
        <v>3020</v>
      </c>
      <c r="U61" s="11"/>
      <c r="V61" s="11"/>
      <c r="W61" s="11"/>
      <c r="X61" s="11"/>
      <c r="Y61" s="10">
        <v>55</v>
      </c>
      <c r="Z61" s="10">
        <v>69</v>
      </c>
      <c r="AA61" s="10">
        <v>55</v>
      </c>
      <c r="AB61" s="10">
        <v>69</v>
      </c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" t="str">
        <f>VLOOKUP(G61,'Country codes'!A$2:C$48,3,FALSE)</f>
        <v>Low-Income Economies</v>
      </c>
    </row>
    <row r="62" spans="1:47" ht="20" customHeight="1">
      <c r="A62" s="8">
        <v>2019</v>
      </c>
      <c r="B62" s="9">
        <v>2019</v>
      </c>
      <c r="C62" s="10">
        <v>2019</v>
      </c>
      <c r="D62" s="11"/>
      <c r="E62" s="12" t="s">
        <v>71</v>
      </c>
      <c r="F62" s="12" t="s">
        <v>72</v>
      </c>
      <c r="G62" s="12" t="s">
        <v>73</v>
      </c>
      <c r="H62" s="11"/>
      <c r="I62" s="10">
        <v>103</v>
      </c>
      <c r="J62" s="10">
        <v>539</v>
      </c>
      <c r="K62" s="10">
        <v>103</v>
      </c>
      <c r="L62" s="10">
        <v>539</v>
      </c>
      <c r="M62" s="11"/>
      <c r="N62" s="11"/>
      <c r="O62" s="11"/>
      <c r="P62" s="11"/>
      <c r="Q62" s="10">
        <v>313</v>
      </c>
      <c r="R62" s="10">
        <v>926</v>
      </c>
      <c r="S62" s="10">
        <v>313</v>
      </c>
      <c r="T62" s="10">
        <v>926</v>
      </c>
      <c r="U62" s="11"/>
      <c r="V62" s="11"/>
      <c r="W62" s="11"/>
      <c r="X62" s="11"/>
      <c r="Y62" s="10">
        <v>556</v>
      </c>
      <c r="Z62" s="10">
        <v>33</v>
      </c>
      <c r="AA62" s="11"/>
      <c r="AB62" s="11"/>
      <c r="AC62" s="11"/>
      <c r="AD62" s="11"/>
      <c r="AE62" s="10">
        <v>556</v>
      </c>
      <c r="AF62" s="10">
        <v>33</v>
      </c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0">
        <v>3</v>
      </c>
      <c r="AT62" s="10">
        <v>9</v>
      </c>
      <c r="AU62" s="1" t="str">
        <f>VLOOKUP(G62,'Country codes'!A$2:C$48,3,FALSE)</f>
        <v>Low-Income Economies</v>
      </c>
    </row>
    <row r="63" spans="1:47" ht="20" customHeight="1">
      <c r="A63" s="8">
        <v>2019</v>
      </c>
      <c r="B63" s="9">
        <v>2019</v>
      </c>
      <c r="C63" s="10">
        <v>2019</v>
      </c>
      <c r="D63" s="11"/>
      <c r="E63" s="12" t="s">
        <v>77</v>
      </c>
      <c r="F63" s="12" t="s">
        <v>78</v>
      </c>
      <c r="G63" s="12" t="s">
        <v>79</v>
      </c>
      <c r="H63" s="11"/>
      <c r="I63" s="10">
        <v>1157</v>
      </c>
      <c r="J63" s="10">
        <v>2079</v>
      </c>
      <c r="K63" s="10">
        <v>827</v>
      </c>
      <c r="L63" s="10">
        <v>1354</v>
      </c>
      <c r="M63" s="11"/>
      <c r="N63" s="11"/>
      <c r="O63" s="11"/>
      <c r="P63" s="11"/>
      <c r="Q63" s="10">
        <v>50923</v>
      </c>
      <c r="R63" s="10">
        <v>18866</v>
      </c>
      <c r="S63" s="10">
        <v>16753</v>
      </c>
      <c r="T63" s="10">
        <v>9206</v>
      </c>
      <c r="U63" s="10">
        <v>34170</v>
      </c>
      <c r="V63" s="10">
        <v>9660</v>
      </c>
      <c r="W63" s="11"/>
      <c r="X63" s="11"/>
      <c r="Y63" s="10">
        <v>12451</v>
      </c>
      <c r="Z63" s="10">
        <v>222</v>
      </c>
      <c r="AA63" s="10">
        <v>12451</v>
      </c>
      <c r="AB63" s="10">
        <v>222</v>
      </c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" t="str">
        <f>VLOOKUP(G63,'Country codes'!A$2:C$48,3,FALSE)</f>
        <v>Lower-Middle-Income Economies</v>
      </c>
    </row>
    <row r="64" spans="1:47" ht="20" customHeight="1">
      <c r="A64" s="8">
        <v>2019</v>
      </c>
      <c r="B64" s="9">
        <v>2019</v>
      </c>
      <c r="C64" s="10">
        <v>2019</v>
      </c>
      <c r="D64" s="11"/>
      <c r="E64" s="12" t="s">
        <v>89</v>
      </c>
      <c r="F64" s="12" t="s">
        <v>90</v>
      </c>
      <c r="G64" s="12" t="s">
        <v>91</v>
      </c>
      <c r="H64" s="11"/>
      <c r="I64" s="10">
        <v>1231</v>
      </c>
      <c r="J64" s="10">
        <v>1339</v>
      </c>
      <c r="K64" s="10">
        <v>877</v>
      </c>
      <c r="L64" s="10">
        <v>838</v>
      </c>
      <c r="M64" s="11"/>
      <c r="N64" s="11"/>
      <c r="O64" s="11"/>
      <c r="P64" s="11"/>
      <c r="Q64" s="10">
        <v>4088</v>
      </c>
      <c r="R64" s="10">
        <v>4091</v>
      </c>
      <c r="S64" s="10">
        <v>3953</v>
      </c>
      <c r="T64" s="10">
        <v>3849</v>
      </c>
      <c r="U64" s="10">
        <v>135</v>
      </c>
      <c r="V64" s="10">
        <v>242</v>
      </c>
      <c r="W64" s="11"/>
      <c r="X64" s="11"/>
      <c r="Y64" s="10">
        <v>6175</v>
      </c>
      <c r="Z64" s="10">
        <v>0</v>
      </c>
      <c r="AA64" s="10">
        <v>5889</v>
      </c>
      <c r="AB64" s="10">
        <v>0</v>
      </c>
      <c r="AC64" s="10">
        <v>286</v>
      </c>
      <c r="AD64" s="10">
        <v>0</v>
      </c>
      <c r="AE64" s="11"/>
      <c r="AF64" s="11"/>
      <c r="AG64" s="10">
        <v>183</v>
      </c>
      <c r="AH64" s="10">
        <v>105</v>
      </c>
      <c r="AI64" s="10">
        <v>181</v>
      </c>
      <c r="AJ64" s="10">
        <v>204</v>
      </c>
      <c r="AK64" s="11"/>
      <c r="AL64" s="11"/>
      <c r="AM64" s="11"/>
      <c r="AN64" s="11"/>
      <c r="AO64" s="10">
        <v>29</v>
      </c>
      <c r="AP64" s="10">
        <v>47</v>
      </c>
      <c r="AQ64" s="10">
        <v>46</v>
      </c>
      <c r="AR64" s="10">
        <v>20</v>
      </c>
      <c r="AS64" s="10">
        <v>2290</v>
      </c>
      <c r="AT64" s="10">
        <v>4342</v>
      </c>
      <c r="AU64" s="1" t="str">
        <f>VLOOKUP(G64,'Country codes'!A$2:C$48,3,FALSE)</f>
        <v>Low-Income Economies</v>
      </c>
    </row>
    <row r="65" spans="1:47" ht="20" customHeight="1">
      <c r="A65" s="8">
        <v>2019</v>
      </c>
      <c r="B65" s="9">
        <v>2019</v>
      </c>
      <c r="C65" s="10">
        <v>2019</v>
      </c>
      <c r="D65" s="11"/>
      <c r="E65" s="12" t="s">
        <v>92</v>
      </c>
      <c r="F65" s="12" t="s">
        <v>93</v>
      </c>
      <c r="G65" s="12" t="s">
        <v>94</v>
      </c>
      <c r="H65" s="11"/>
      <c r="I65" s="10">
        <v>96</v>
      </c>
      <c r="J65" s="10">
        <v>257</v>
      </c>
      <c r="K65" s="10">
        <v>96</v>
      </c>
      <c r="L65" s="10">
        <v>257</v>
      </c>
      <c r="M65" s="11"/>
      <c r="N65" s="11"/>
      <c r="O65" s="11"/>
      <c r="P65" s="11"/>
      <c r="Q65" s="10">
        <v>2528</v>
      </c>
      <c r="R65" s="10">
        <v>1587</v>
      </c>
      <c r="S65" s="10">
        <v>1080</v>
      </c>
      <c r="T65" s="10">
        <v>883</v>
      </c>
      <c r="U65" s="10">
        <v>1448</v>
      </c>
      <c r="V65" s="10">
        <v>704</v>
      </c>
      <c r="W65" s="11"/>
      <c r="X65" s="11"/>
      <c r="Y65" s="10">
        <v>2615</v>
      </c>
      <c r="Z65" s="10">
        <v>27</v>
      </c>
      <c r="AA65" s="10">
        <v>2170</v>
      </c>
      <c r="AB65" s="10">
        <v>18</v>
      </c>
      <c r="AC65" s="10">
        <v>445</v>
      </c>
      <c r="AD65" s="10">
        <v>9</v>
      </c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0">
        <v>56</v>
      </c>
      <c r="AP65" s="10">
        <v>60</v>
      </c>
      <c r="AQ65" s="10">
        <v>69</v>
      </c>
      <c r="AR65" s="10">
        <v>59</v>
      </c>
      <c r="AS65" s="10">
        <v>486</v>
      </c>
      <c r="AT65" s="10">
        <v>639</v>
      </c>
      <c r="AU65" s="1" t="str">
        <f>VLOOKUP(G65,'Country codes'!A$2:C$48,3,FALSE)</f>
        <v>Lower-Middle-Income Economies</v>
      </c>
    </row>
    <row r="66" spans="1:47" ht="20" customHeight="1">
      <c r="A66" s="8">
        <v>2018</v>
      </c>
      <c r="B66" s="9">
        <v>2018</v>
      </c>
      <c r="C66" s="10">
        <v>2018</v>
      </c>
      <c r="D66" s="11"/>
      <c r="E66" s="12" t="s">
        <v>143</v>
      </c>
      <c r="F66" s="12" t="s">
        <v>144</v>
      </c>
      <c r="G66" s="12" t="s">
        <v>145</v>
      </c>
      <c r="H66" s="11"/>
      <c r="I66" s="11"/>
      <c r="J66" s="11"/>
      <c r="K66" s="11"/>
      <c r="L66" s="11"/>
      <c r="M66" s="11"/>
      <c r="N66" s="11"/>
      <c r="O66" s="11"/>
      <c r="P66" s="11"/>
      <c r="Q66" s="10">
        <v>296</v>
      </c>
      <c r="R66" s="10">
        <v>110</v>
      </c>
      <c r="S66" s="11"/>
      <c r="T66" s="11"/>
      <c r="U66" s="11"/>
      <c r="V66" s="11"/>
      <c r="W66" s="10">
        <v>296</v>
      </c>
      <c r="X66" s="10">
        <v>110</v>
      </c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" t="str">
        <f>VLOOKUP(G66,'Country codes'!A$2:C$48,3,FALSE)</f>
        <v>Lower-Middle-Income Economies</v>
      </c>
    </row>
    <row r="67" spans="1:47" ht="20" customHeight="1">
      <c r="A67" s="8">
        <v>2018</v>
      </c>
      <c r="B67" s="9">
        <v>2018</v>
      </c>
      <c r="C67" s="10">
        <v>2018</v>
      </c>
      <c r="D67" s="11"/>
      <c r="E67" s="12" t="s">
        <v>146</v>
      </c>
      <c r="F67" s="12" t="s">
        <v>147</v>
      </c>
      <c r="G67" s="12" t="s">
        <v>148</v>
      </c>
      <c r="H67" s="11"/>
      <c r="I67" s="11"/>
      <c r="J67" s="11"/>
      <c r="K67" s="11"/>
      <c r="L67" s="11"/>
      <c r="M67" s="11"/>
      <c r="N67" s="11"/>
      <c r="O67" s="11"/>
      <c r="P67" s="11"/>
      <c r="Q67" s="10">
        <v>17062</v>
      </c>
      <c r="R67" s="10">
        <v>34316</v>
      </c>
      <c r="S67" s="10">
        <v>12553</v>
      </c>
      <c r="T67" s="10">
        <v>24427</v>
      </c>
      <c r="U67" s="10">
        <v>4509</v>
      </c>
      <c r="V67" s="10">
        <v>9889</v>
      </c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" t="str">
        <f>VLOOKUP(G67,'Country codes'!A$2:C$48,3,FALSE)</f>
        <v>Low-Income Economies</v>
      </c>
    </row>
    <row r="68" spans="1:47" ht="20" customHeight="1">
      <c r="A68" s="8">
        <v>2018</v>
      </c>
      <c r="B68" s="9">
        <v>2018</v>
      </c>
      <c r="C68" s="10">
        <v>2018</v>
      </c>
      <c r="D68" s="11"/>
      <c r="E68" s="12" t="s">
        <v>53</v>
      </c>
      <c r="F68" s="12" t="s">
        <v>54</v>
      </c>
      <c r="G68" s="12" t="s">
        <v>55</v>
      </c>
      <c r="H68" s="11"/>
      <c r="I68" s="10">
        <v>28790</v>
      </c>
      <c r="J68" s="10">
        <v>15231</v>
      </c>
      <c r="K68" s="10">
        <v>28790</v>
      </c>
      <c r="L68" s="10">
        <v>15231</v>
      </c>
      <c r="M68" s="11"/>
      <c r="N68" s="11"/>
      <c r="O68" s="11"/>
      <c r="P68" s="11"/>
      <c r="Q68" s="10">
        <v>108655</v>
      </c>
      <c r="R68" s="10">
        <v>15906</v>
      </c>
      <c r="S68" s="10">
        <v>108655</v>
      </c>
      <c r="T68" s="10">
        <v>15906</v>
      </c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" t="str">
        <f>VLOOKUP(G68,'Country codes'!A$2:C$48,3,FALSE)</f>
        <v>Lower-Middle-Income Economies</v>
      </c>
    </row>
    <row r="69" spans="1:47" ht="20" customHeight="1">
      <c r="A69" s="8">
        <v>2018</v>
      </c>
      <c r="B69" s="9">
        <v>2018</v>
      </c>
      <c r="C69" s="10">
        <v>2018</v>
      </c>
      <c r="D69" s="11"/>
      <c r="E69" s="12" t="s">
        <v>59</v>
      </c>
      <c r="F69" s="12" t="s">
        <v>60</v>
      </c>
      <c r="G69" s="12" t="s">
        <v>61</v>
      </c>
      <c r="H69" s="11"/>
      <c r="I69" s="11"/>
      <c r="J69" s="11"/>
      <c r="K69" s="11"/>
      <c r="L69" s="11"/>
      <c r="M69" s="11"/>
      <c r="N69" s="11"/>
      <c r="O69" s="11"/>
      <c r="P69" s="11"/>
      <c r="Q69" s="10">
        <v>3600</v>
      </c>
      <c r="R69" s="10">
        <v>1106</v>
      </c>
      <c r="S69" s="10">
        <v>2738</v>
      </c>
      <c r="T69" s="10">
        <v>939</v>
      </c>
      <c r="U69" s="10">
        <v>862</v>
      </c>
      <c r="V69" s="10">
        <v>167</v>
      </c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" t="str">
        <f>VLOOKUP(G69,'Country codes'!A$2:C$48,3,FALSE)</f>
        <v>Lower-Middle-Income Economies</v>
      </c>
    </row>
    <row r="70" spans="1:47" ht="20" customHeight="1">
      <c r="A70" s="8">
        <v>2018</v>
      </c>
      <c r="B70" s="9">
        <v>2018</v>
      </c>
      <c r="C70" s="10">
        <v>2018</v>
      </c>
      <c r="D70" s="11"/>
      <c r="E70" s="12" t="s">
        <v>149</v>
      </c>
      <c r="F70" s="12" t="s">
        <v>150</v>
      </c>
      <c r="G70" s="12" t="s">
        <v>151</v>
      </c>
      <c r="H70" s="11"/>
      <c r="I70" s="10">
        <v>43970</v>
      </c>
      <c r="J70" s="10">
        <v>28634</v>
      </c>
      <c r="K70" s="10">
        <v>20406</v>
      </c>
      <c r="L70" s="10">
        <v>12368</v>
      </c>
      <c r="M70" s="10">
        <v>12843</v>
      </c>
      <c r="N70" s="10">
        <v>6972</v>
      </c>
      <c r="O70" s="11"/>
      <c r="P70" s="11"/>
      <c r="Q70" s="10">
        <v>34643</v>
      </c>
      <c r="R70" s="10">
        <v>21768</v>
      </c>
      <c r="S70" s="10">
        <v>29831</v>
      </c>
      <c r="T70" s="10">
        <v>15342</v>
      </c>
      <c r="U70" s="10">
        <v>4812</v>
      </c>
      <c r="V70" s="10">
        <v>6426</v>
      </c>
      <c r="W70" s="11"/>
      <c r="X70" s="11"/>
      <c r="Y70" s="10">
        <v>8903</v>
      </c>
      <c r="Z70" s="10">
        <v>45</v>
      </c>
      <c r="AA70" s="10">
        <v>8701</v>
      </c>
      <c r="AB70" s="10">
        <v>38</v>
      </c>
      <c r="AC70" s="10">
        <v>202</v>
      </c>
      <c r="AD70" s="10">
        <v>7</v>
      </c>
      <c r="AE70" s="11"/>
      <c r="AF70" s="11"/>
      <c r="AG70" s="10">
        <v>9405</v>
      </c>
      <c r="AH70" s="10">
        <v>6032</v>
      </c>
      <c r="AI70" s="10">
        <v>10953</v>
      </c>
      <c r="AJ70" s="10">
        <v>7854</v>
      </c>
      <c r="AK70" s="11"/>
      <c r="AL70" s="11"/>
      <c r="AM70" s="11"/>
      <c r="AN70" s="11"/>
      <c r="AO70" s="10">
        <v>2360</v>
      </c>
      <c r="AP70" s="10">
        <v>754</v>
      </c>
      <c r="AQ70" s="10">
        <v>2016</v>
      </c>
      <c r="AR70" s="10">
        <v>944</v>
      </c>
      <c r="AS70" s="11"/>
      <c r="AT70" s="11"/>
      <c r="AU70" s="1" t="str">
        <f>VLOOKUP(G70,'Country codes'!A$2:C$48,3,FALSE)</f>
        <v>Lower-Middle-Income Economies</v>
      </c>
    </row>
    <row r="71" spans="1:47" ht="20" customHeight="1">
      <c r="A71" s="8">
        <v>2018</v>
      </c>
      <c r="B71" s="9">
        <v>2018</v>
      </c>
      <c r="C71" s="10">
        <v>2018</v>
      </c>
      <c r="D71" s="11"/>
      <c r="E71" s="12" t="s">
        <v>116</v>
      </c>
      <c r="F71" s="12" t="s">
        <v>117</v>
      </c>
      <c r="G71" s="12" t="s">
        <v>118</v>
      </c>
      <c r="H71" s="11"/>
      <c r="I71" s="10">
        <v>378</v>
      </c>
      <c r="J71" s="10">
        <v>530</v>
      </c>
      <c r="K71" s="10">
        <v>98</v>
      </c>
      <c r="L71" s="10">
        <v>248</v>
      </c>
      <c r="M71" s="10">
        <v>4</v>
      </c>
      <c r="N71" s="10">
        <v>9</v>
      </c>
      <c r="O71" s="11"/>
      <c r="P71" s="11"/>
      <c r="Q71" s="10">
        <v>1066</v>
      </c>
      <c r="R71" s="10">
        <v>2344</v>
      </c>
      <c r="S71" s="10">
        <v>1066</v>
      </c>
      <c r="T71" s="10">
        <v>2344</v>
      </c>
      <c r="U71" s="11"/>
      <c r="V71" s="11"/>
      <c r="W71" s="11"/>
      <c r="X71" s="11"/>
      <c r="Y71" s="10">
        <v>1055</v>
      </c>
      <c r="Z71" s="10">
        <v>0</v>
      </c>
      <c r="AA71" s="10">
        <v>1055</v>
      </c>
      <c r="AB71" s="10">
        <v>0</v>
      </c>
      <c r="AC71" s="11"/>
      <c r="AD71" s="11"/>
      <c r="AE71" s="11"/>
      <c r="AF71" s="11"/>
      <c r="AG71" s="10">
        <v>9</v>
      </c>
      <c r="AH71" s="10">
        <v>3</v>
      </c>
      <c r="AI71" s="10">
        <v>194</v>
      </c>
      <c r="AJ71" s="10">
        <v>112</v>
      </c>
      <c r="AK71" s="11"/>
      <c r="AL71" s="11"/>
      <c r="AM71" s="11"/>
      <c r="AN71" s="11"/>
      <c r="AO71" s="10">
        <v>41</v>
      </c>
      <c r="AP71" s="10">
        <v>34</v>
      </c>
      <c r="AQ71" s="10">
        <v>31</v>
      </c>
      <c r="AR71" s="10">
        <v>16</v>
      </c>
      <c r="AS71" s="11"/>
      <c r="AT71" s="11"/>
      <c r="AU71" s="1" t="str">
        <f>VLOOKUP(G71,'Country codes'!A$2:C$48,3,FALSE)</f>
        <v>Lower-Middle-Income Economies</v>
      </c>
    </row>
    <row r="72" spans="1:47" ht="20" customHeight="1">
      <c r="A72" s="8">
        <v>2018</v>
      </c>
      <c r="B72" s="9">
        <v>2018</v>
      </c>
      <c r="C72" s="10">
        <v>2018</v>
      </c>
      <c r="D72" s="11"/>
      <c r="E72" s="12" t="s">
        <v>62</v>
      </c>
      <c r="F72" s="12" t="s">
        <v>63</v>
      </c>
      <c r="G72" s="12" t="s">
        <v>64</v>
      </c>
      <c r="H72" s="11"/>
      <c r="I72" s="10">
        <v>312</v>
      </c>
      <c r="J72" s="10">
        <v>613</v>
      </c>
      <c r="K72" s="10">
        <v>286</v>
      </c>
      <c r="L72" s="10">
        <v>521</v>
      </c>
      <c r="M72" s="11"/>
      <c r="N72" s="11"/>
      <c r="O72" s="11"/>
      <c r="P72" s="11"/>
      <c r="Q72" s="10">
        <v>5376</v>
      </c>
      <c r="R72" s="10">
        <v>2269</v>
      </c>
      <c r="S72" s="10">
        <v>5376</v>
      </c>
      <c r="T72" s="10">
        <v>2269</v>
      </c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0">
        <v>52</v>
      </c>
      <c r="AH72" s="10">
        <v>44</v>
      </c>
      <c r="AI72" s="10">
        <v>90</v>
      </c>
      <c r="AJ72" s="10">
        <v>66</v>
      </c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" t="str">
        <f>VLOOKUP(G72,'Country codes'!A$2:C$48,3,FALSE)</f>
        <v>High/Upper-Middle-Income Economies </v>
      </c>
    </row>
    <row r="73" spans="1:47" ht="20" customHeight="1">
      <c r="A73" s="8">
        <v>2018</v>
      </c>
      <c r="B73" s="9">
        <v>2018</v>
      </c>
      <c r="C73" s="10">
        <v>2018</v>
      </c>
      <c r="D73" s="11"/>
      <c r="E73" s="12" t="s">
        <v>65</v>
      </c>
      <c r="F73" s="12" t="s">
        <v>66</v>
      </c>
      <c r="G73" s="12" t="s">
        <v>67</v>
      </c>
      <c r="H73" s="11"/>
      <c r="I73" s="11"/>
      <c r="J73" s="11"/>
      <c r="K73" s="11"/>
      <c r="L73" s="11"/>
      <c r="M73" s="11"/>
      <c r="N73" s="11"/>
      <c r="O73" s="11"/>
      <c r="P73" s="11"/>
      <c r="Q73" s="10">
        <v>506</v>
      </c>
      <c r="R73" s="10">
        <v>141</v>
      </c>
      <c r="S73" s="11"/>
      <c r="T73" s="11"/>
      <c r="U73" s="11"/>
      <c r="V73" s="11"/>
      <c r="W73" s="10">
        <v>506</v>
      </c>
      <c r="X73" s="10">
        <v>141</v>
      </c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" t="str">
        <f>VLOOKUP(G73,'Country codes'!A$2:C$48,3,FALSE)</f>
        <v>Lower-Middle-Income Economies</v>
      </c>
    </row>
    <row r="74" spans="1:47" ht="20" customHeight="1">
      <c r="A74" s="8">
        <v>2018</v>
      </c>
      <c r="B74" s="9">
        <v>2018</v>
      </c>
      <c r="C74" s="10">
        <v>2018</v>
      </c>
      <c r="D74" s="11"/>
      <c r="E74" s="12" t="s">
        <v>74</v>
      </c>
      <c r="F74" s="12" t="s">
        <v>75</v>
      </c>
      <c r="G74" s="12" t="s">
        <v>76</v>
      </c>
      <c r="H74" s="11"/>
      <c r="I74" s="11"/>
      <c r="J74" s="11"/>
      <c r="K74" s="11"/>
      <c r="L74" s="11"/>
      <c r="M74" s="11"/>
      <c r="N74" s="11"/>
      <c r="O74" s="11"/>
      <c r="P74" s="11"/>
      <c r="Q74" s="10">
        <v>6956</v>
      </c>
      <c r="R74" s="10">
        <v>8207</v>
      </c>
      <c r="S74" s="10">
        <v>3919</v>
      </c>
      <c r="T74" s="10">
        <v>7649</v>
      </c>
      <c r="U74" s="10">
        <v>3037</v>
      </c>
      <c r="V74" s="10">
        <v>558</v>
      </c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" t="str">
        <f>VLOOKUP(G74,'Country codes'!A$2:C$48,3,FALSE)</f>
        <v>Lower-Middle-Income Economies</v>
      </c>
    </row>
    <row r="75" spans="1:47" ht="20" customHeight="1">
      <c r="A75" s="8">
        <v>2018</v>
      </c>
      <c r="B75" s="9">
        <v>2018</v>
      </c>
      <c r="C75" s="10">
        <v>2018</v>
      </c>
      <c r="D75" s="11"/>
      <c r="E75" s="12" t="s">
        <v>77</v>
      </c>
      <c r="F75" s="12" t="s">
        <v>78</v>
      </c>
      <c r="G75" s="12" t="s">
        <v>79</v>
      </c>
      <c r="H75" s="11"/>
      <c r="I75" s="11"/>
      <c r="J75" s="11"/>
      <c r="K75" s="11"/>
      <c r="L75" s="11"/>
      <c r="M75" s="11"/>
      <c r="N75" s="11"/>
      <c r="O75" s="11"/>
      <c r="P75" s="11"/>
      <c r="Q75" s="10">
        <v>54990</v>
      </c>
      <c r="R75" s="10">
        <v>16098</v>
      </c>
      <c r="S75" s="10">
        <v>24168</v>
      </c>
      <c r="T75" s="10">
        <v>7696</v>
      </c>
      <c r="U75" s="10">
        <v>30822</v>
      </c>
      <c r="V75" s="10">
        <v>8402</v>
      </c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" t="str">
        <f>VLOOKUP(G75,'Country codes'!A$2:C$48,3,FALSE)</f>
        <v>Lower-Middle-Income Economies</v>
      </c>
    </row>
    <row r="76" spans="1:47" ht="20" customHeight="1">
      <c r="A76" s="8">
        <v>2018</v>
      </c>
      <c r="B76" s="9">
        <v>2018</v>
      </c>
      <c r="C76" s="10">
        <v>2018</v>
      </c>
      <c r="D76" s="11"/>
      <c r="E76" s="12" t="s">
        <v>80</v>
      </c>
      <c r="F76" s="12" t="s">
        <v>81</v>
      </c>
      <c r="G76" s="12" t="s">
        <v>82</v>
      </c>
      <c r="H76" s="11"/>
      <c r="I76" s="11"/>
      <c r="J76" s="11"/>
      <c r="K76" s="11"/>
      <c r="L76" s="11"/>
      <c r="M76" s="11"/>
      <c r="N76" s="11"/>
      <c r="O76" s="11"/>
      <c r="P76" s="11"/>
      <c r="Q76" s="10">
        <v>698</v>
      </c>
      <c r="R76" s="10">
        <v>322</v>
      </c>
      <c r="S76" s="10">
        <v>690</v>
      </c>
      <c r="T76" s="10">
        <v>319</v>
      </c>
      <c r="U76" s="10">
        <v>8</v>
      </c>
      <c r="V76" s="10">
        <v>3</v>
      </c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" t="str">
        <f>VLOOKUP(G76,'Country codes'!A$2:C$48,3,FALSE)</f>
        <v>Low-Income Economies</v>
      </c>
    </row>
    <row r="77" spans="1:47" ht="20" customHeight="1">
      <c r="A77" s="8">
        <v>2018</v>
      </c>
      <c r="B77" s="9">
        <v>2018</v>
      </c>
      <c r="C77" s="10">
        <v>2018</v>
      </c>
      <c r="D77" s="11"/>
      <c r="E77" s="12" t="s">
        <v>83</v>
      </c>
      <c r="F77" s="12" t="s">
        <v>84</v>
      </c>
      <c r="G77" s="12" t="s">
        <v>85</v>
      </c>
      <c r="H77" s="11"/>
      <c r="I77" s="11"/>
      <c r="J77" s="11"/>
      <c r="K77" s="11"/>
      <c r="L77" s="11"/>
      <c r="M77" s="11"/>
      <c r="N77" s="11"/>
      <c r="O77" s="11"/>
      <c r="P77" s="11"/>
      <c r="Q77" s="10">
        <v>71833</v>
      </c>
      <c r="R77" s="10">
        <v>22848</v>
      </c>
      <c r="S77" s="10">
        <v>44071</v>
      </c>
      <c r="T77" s="10">
        <v>14560</v>
      </c>
      <c r="U77" s="10">
        <v>27762</v>
      </c>
      <c r="V77" s="10">
        <v>8288</v>
      </c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" t="str">
        <f>VLOOKUP(G77,'Country codes'!A$2:C$48,3,FALSE)</f>
        <v>Lower-Middle-Income Economies</v>
      </c>
    </row>
    <row r="78" spans="1:47" ht="20" customHeight="1">
      <c r="A78" s="8">
        <v>2018</v>
      </c>
      <c r="B78" s="9">
        <v>2018</v>
      </c>
      <c r="C78" s="10">
        <v>2018</v>
      </c>
      <c r="D78" s="11"/>
      <c r="E78" s="12" t="s">
        <v>122</v>
      </c>
      <c r="F78" s="12" t="s">
        <v>123</v>
      </c>
      <c r="G78" s="12" t="s">
        <v>124</v>
      </c>
      <c r="H78" s="11"/>
      <c r="I78" s="11"/>
      <c r="J78" s="11"/>
      <c r="K78" s="11"/>
      <c r="L78" s="11"/>
      <c r="M78" s="11"/>
      <c r="N78" s="11"/>
      <c r="O78" s="11"/>
      <c r="P78" s="11"/>
      <c r="Q78" s="10">
        <v>1734</v>
      </c>
      <c r="R78" s="10">
        <v>830</v>
      </c>
      <c r="S78" s="11"/>
      <c r="T78" s="11"/>
      <c r="U78" s="11"/>
      <c r="V78" s="11"/>
      <c r="W78" s="10">
        <v>1734</v>
      </c>
      <c r="X78" s="10">
        <v>830</v>
      </c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" t="str">
        <f>VLOOKUP(G78,'Country codes'!A$2:C$48,3,FALSE)</f>
        <v>Low-Income Economies</v>
      </c>
    </row>
    <row r="79" spans="1:47" ht="20" customHeight="1">
      <c r="A79" s="8">
        <v>2018</v>
      </c>
      <c r="B79" s="9">
        <v>2018</v>
      </c>
      <c r="C79" s="10">
        <v>2018</v>
      </c>
      <c r="D79" s="11"/>
      <c r="E79" s="12" t="s">
        <v>125</v>
      </c>
      <c r="F79" s="12" t="s">
        <v>126</v>
      </c>
      <c r="G79" s="12" t="s">
        <v>127</v>
      </c>
      <c r="H79" s="11"/>
      <c r="I79" s="11"/>
      <c r="J79" s="11"/>
      <c r="K79" s="11"/>
      <c r="L79" s="11"/>
      <c r="M79" s="11"/>
      <c r="N79" s="11"/>
      <c r="O79" s="11"/>
      <c r="P79" s="11"/>
      <c r="Q79" s="10">
        <v>1423</v>
      </c>
      <c r="R79" s="10">
        <v>2037</v>
      </c>
      <c r="S79" s="10">
        <v>1423</v>
      </c>
      <c r="T79" s="10">
        <v>2037</v>
      </c>
      <c r="U79" s="11"/>
      <c r="V79" s="11"/>
      <c r="W79" s="11"/>
      <c r="X79" s="11"/>
      <c r="Y79" s="10">
        <v>3994</v>
      </c>
      <c r="Z79" s="10">
        <v>0</v>
      </c>
      <c r="AA79" s="10">
        <v>3994</v>
      </c>
      <c r="AB79" s="10">
        <v>0</v>
      </c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" t="str">
        <f>VLOOKUP(G79,'Country codes'!A$2:C$48,3,FALSE)</f>
        <v>Low-Income Economies</v>
      </c>
    </row>
    <row r="80" spans="1:47" ht="20" customHeight="1">
      <c r="A80" s="8">
        <v>2018</v>
      </c>
      <c r="B80" s="9">
        <v>2018</v>
      </c>
      <c r="C80" s="10">
        <v>2018</v>
      </c>
      <c r="D80" s="11"/>
      <c r="E80" s="12" t="s">
        <v>86</v>
      </c>
      <c r="F80" s="12" t="s">
        <v>87</v>
      </c>
      <c r="G80" s="12" t="s">
        <v>88</v>
      </c>
      <c r="H80" s="11"/>
      <c r="I80" s="11"/>
      <c r="J80" s="11"/>
      <c r="K80" s="11"/>
      <c r="L80" s="11"/>
      <c r="M80" s="11"/>
      <c r="N80" s="11"/>
      <c r="O80" s="11"/>
      <c r="P80" s="11"/>
      <c r="Q80" s="10">
        <v>6154</v>
      </c>
      <c r="R80" s="10">
        <v>1886</v>
      </c>
      <c r="S80" s="10">
        <v>1484</v>
      </c>
      <c r="T80" s="10">
        <v>437</v>
      </c>
      <c r="U80" s="10">
        <v>4670</v>
      </c>
      <c r="V80" s="10">
        <v>1449</v>
      </c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" t="str">
        <f>VLOOKUP(G80,'Country codes'!A$2:C$48,3,FALSE)</f>
        <v>Low-Income Economies</v>
      </c>
    </row>
    <row r="81" spans="1:47" ht="20" customHeight="1">
      <c r="A81" s="8">
        <v>2018</v>
      </c>
      <c r="B81" s="9">
        <v>2018</v>
      </c>
      <c r="C81" s="10">
        <v>2018</v>
      </c>
      <c r="D81" s="11"/>
      <c r="E81" s="12" t="s">
        <v>128</v>
      </c>
      <c r="F81" s="12" t="s">
        <v>129</v>
      </c>
      <c r="G81" s="12" t="s">
        <v>130</v>
      </c>
      <c r="H81" s="11"/>
      <c r="I81" s="10">
        <v>283</v>
      </c>
      <c r="J81" s="10">
        <v>2234</v>
      </c>
      <c r="K81" s="10">
        <v>165</v>
      </c>
      <c r="L81" s="10">
        <v>1162</v>
      </c>
      <c r="M81" s="11"/>
      <c r="N81" s="11"/>
      <c r="O81" s="11"/>
      <c r="P81" s="11"/>
      <c r="Q81" s="10">
        <v>2233</v>
      </c>
      <c r="R81" s="10">
        <v>2941</v>
      </c>
      <c r="S81" s="10">
        <v>2233</v>
      </c>
      <c r="T81" s="10">
        <v>2941</v>
      </c>
      <c r="U81" s="11"/>
      <c r="V81" s="11"/>
      <c r="W81" s="11"/>
      <c r="X81" s="11"/>
      <c r="Y81" s="10">
        <v>1666</v>
      </c>
      <c r="Z81" s="10">
        <v>0</v>
      </c>
      <c r="AA81" s="10">
        <v>1666</v>
      </c>
      <c r="AB81" s="10">
        <v>0</v>
      </c>
      <c r="AC81" s="11"/>
      <c r="AD81" s="11"/>
      <c r="AE81" s="11"/>
      <c r="AF81" s="11"/>
      <c r="AG81" s="11"/>
      <c r="AH81" s="11"/>
      <c r="AI81" s="10">
        <v>617</v>
      </c>
      <c r="AJ81" s="10">
        <v>664</v>
      </c>
      <c r="AK81" s="10">
        <v>1638</v>
      </c>
      <c r="AL81" s="11"/>
      <c r="AM81" s="11"/>
      <c r="AN81" s="11"/>
      <c r="AO81" s="10">
        <v>8</v>
      </c>
      <c r="AP81" s="10">
        <v>84</v>
      </c>
      <c r="AQ81" s="10">
        <v>22</v>
      </c>
      <c r="AR81" s="10">
        <v>39</v>
      </c>
      <c r="AS81" s="11"/>
      <c r="AT81" s="11"/>
      <c r="AU81" s="1" t="str">
        <f>VLOOKUP(G81,'Country codes'!A$2:C$48,3,FALSE)</f>
        <v>Low-Income Economies</v>
      </c>
    </row>
    <row r="82" spans="1:47" ht="20" customHeight="1">
      <c r="A82" s="8">
        <v>2018</v>
      </c>
      <c r="B82" s="9">
        <v>2018</v>
      </c>
      <c r="C82" s="10">
        <v>2018</v>
      </c>
      <c r="D82" s="11"/>
      <c r="E82" s="12" t="s">
        <v>89</v>
      </c>
      <c r="F82" s="12" t="s">
        <v>90</v>
      </c>
      <c r="G82" s="12" t="s">
        <v>91</v>
      </c>
      <c r="H82" s="11"/>
      <c r="I82" s="11"/>
      <c r="J82" s="11"/>
      <c r="K82" s="11"/>
      <c r="L82" s="11"/>
      <c r="M82" s="11"/>
      <c r="N82" s="11"/>
      <c r="O82" s="11"/>
      <c r="P82" s="11"/>
      <c r="Q82" s="10">
        <v>9861</v>
      </c>
      <c r="R82" s="10">
        <v>4313</v>
      </c>
      <c r="S82" s="10">
        <v>630</v>
      </c>
      <c r="T82" s="10">
        <v>415</v>
      </c>
      <c r="U82" s="10">
        <v>9231</v>
      </c>
      <c r="V82" s="10">
        <v>3898</v>
      </c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" t="str">
        <f>VLOOKUP(G82,'Country codes'!A$2:C$48,3,FALSE)</f>
        <v>Low-Income Economies</v>
      </c>
    </row>
    <row r="83" spans="1:47" ht="20" customHeight="1">
      <c r="A83" s="8">
        <v>2018</v>
      </c>
      <c r="B83" s="9">
        <v>2018</v>
      </c>
      <c r="C83" s="10">
        <v>2018</v>
      </c>
      <c r="D83" s="11"/>
      <c r="E83" s="12" t="s">
        <v>152</v>
      </c>
      <c r="F83" s="12" t="s">
        <v>153</v>
      </c>
      <c r="G83" s="12" t="s">
        <v>154</v>
      </c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0">
        <v>75</v>
      </c>
      <c r="AH83" s="10">
        <v>103</v>
      </c>
      <c r="AI83" s="10">
        <v>276</v>
      </c>
      <c r="AJ83" s="10">
        <v>322</v>
      </c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" t="str">
        <f>VLOOKUP(G83,'Country codes'!A$2:C$48,3,FALSE)</f>
        <v>High/Upper-Middle-Income Economies </v>
      </c>
    </row>
    <row r="84" spans="1:47" ht="20" customHeight="1">
      <c r="A84" s="8">
        <v>2018</v>
      </c>
      <c r="B84" s="9">
        <v>2018</v>
      </c>
      <c r="C84" s="10">
        <v>2018</v>
      </c>
      <c r="D84" s="11"/>
      <c r="E84" s="12" t="s">
        <v>95</v>
      </c>
      <c r="F84" s="12" t="s">
        <v>96</v>
      </c>
      <c r="G84" s="12" t="s">
        <v>97</v>
      </c>
      <c r="H84" s="11"/>
      <c r="I84" s="10">
        <v>90</v>
      </c>
      <c r="J84" s="10">
        <v>150</v>
      </c>
      <c r="K84" s="10">
        <v>55</v>
      </c>
      <c r="L84" s="10">
        <v>70</v>
      </c>
      <c r="M84" s="11"/>
      <c r="N84" s="11"/>
      <c r="O84" s="11"/>
      <c r="P84" s="11"/>
      <c r="Q84" s="10">
        <v>871</v>
      </c>
      <c r="R84" s="10">
        <v>80</v>
      </c>
      <c r="S84" s="10">
        <v>871</v>
      </c>
      <c r="T84" s="10">
        <v>80</v>
      </c>
      <c r="U84" s="11"/>
      <c r="V84" s="11"/>
      <c r="W84" s="11"/>
      <c r="X84" s="11"/>
      <c r="Y84" s="10">
        <v>5</v>
      </c>
      <c r="Z84" s="10">
        <v>0</v>
      </c>
      <c r="AA84" s="10">
        <v>5</v>
      </c>
      <c r="AB84" s="10">
        <v>0</v>
      </c>
      <c r="AC84" s="11"/>
      <c r="AD84" s="11"/>
      <c r="AE84" s="11"/>
      <c r="AF84" s="11"/>
      <c r="AG84" s="11"/>
      <c r="AH84" s="11"/>
      <c r="AI84" s="11"/>
      <c r="AJ84" s="11"/>
      <c r="AK84" s="10">
        <v>314</v>
      </c>
      <c r="AL84" s="10">
        <v>2</v>
      </c>
      <c r="AM84" s="11"/>
      <c r="AN84" s="11"/>
      <c r="AO84" s="10">
        <v>5</v>
      </c>
      <c r="AP84" s="10">
        <v>6</v>
      </c>
      <c r="AQ84" s="10">
        <v>3</v>
      </c>
      <c r="AR84" s="10">
        <v>4</v>
      </c>
      <c r="AS84" s="11"/>
      <c r="AT84" s="11"/>
      <c r="AU84" s="1" t="str">
        <f>VLOOKUP(G84,'Country codes'!A$2:C$48,3,FALSE)</f>
        <v>High/Upper-Middle-Income Economies </v>
      </c>
    </row>
    <row r="85" spans="1:47" ht="20" customHeight="1">
      <c r="A85" s="8">
        <v>2018</v>
      </c>
      <c r="B85" s="9">
        <v>2018</v>
      </c>
      <c r="C85" s="10">
        <v>2018</v>
      </c>
      <c r="D85" s="11"/>
      <c r="E85" s="12" t="s">
        <v>134</v>
      </c>
      <c r="F85" s="12" t="s">
        <v>135</v>
      </c>
      <c r="G85" s="12" t="s">
        <v>136</v>
      </c>
      <c r="H85" s="11"/>
      <c r="I85" s="11"/>
      <c r="J85" s="11"/>
      <c r="K85" s="11"/>
      <c r="L85" s="11"/>
      <c r="M85" s="11"/>
      <c r="N85" s="11"/>
      <c r="O85" s="11"/>
      <c r="P85" s="11"/>
      <c r="Q85" s="10">
        <v>5184</v>
      </c>
      <c r="R85" s="10">
        <v>578</v>
      </c>
      <c r="S85" s="10">
        <v>783</v>
      </c>
      <c r="T85" s="10">
        <v>87</v>
      </c>
      <c r="U85" s="10">
        <v>2291</v>
      </c>
      <c r="V85" s="10">
        <v>256</v>
      </c>
      <c r="W85" s="10">
        <v>2110</v>
      </c>
      <c r="X85" s="10">
        <v>235</v>
      </c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" t="str">
        <f>VLOOKUP(G85,'Country codes'!A$2:C$48,3,FALSE)</f>
        <v>Low-Income Economies</v>
      </c>
    </row>
    <row r="86" spans="1:47" ht="20" customHeight="1">
      <c r="A86" s="8">
        <v>2018</v>
      </c>
      <c r="B86" s="9">
        <v>2018</v>
      </c>
      <c r="C86" s="10">
        <v>2018</v>
      </c>
      <c r="D86" s="11"/>
      <c r="E86" s="12" t="s">
        <v>101</v>
      </c>
      <c r="F86" s="12" t="s">
        <v>102</v>
      </c>
      <c r="G86" s="12" t="s">
        <v>103</v>
      </c>
      <c r="H86" s="11"/>
      <c r="I86" s="11"/>
      <c r="J86" s="11"/>
      <c r="K86" s="11"/>
      <c r="L86" s="11"/>
      <c r="M86" s="11"/>
      <c r="N86" s="11"/>
      <c r="O86" s="11"/>
      <c r="P86" s="11"/>
      <c r="Q86" s="10">
        <v>54996</v>
      </c>
      <c r="R86" s="10">
        <v>14364</v>
      </c>
      <c r="S86" s="11"/>
      <c r="T86" s="11"/>
      <c r="U86" s="11"/>
      <c r="V86" s="11"/>
      <c r="W86" s="10">
        <v>54996</v>
      </c>
      <c r="X86" s="10">
        <v>14364</v>
      </c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" t="str">
        <f>VLOOKUP(G86,'Country codes'!A$2:C$48,3,FALSE)</f>
        <v>Low-Income Economies</v>
      </c>
    </row>
    <row r="87" spans="1:47" ht="20" customHeight="1">
      <c r="A87" s="8">
        <v>2018</v>
      </c>
      <c r="B87" s="9">
        <v>2018</v>
      </c>
      <c r="C87" s="10">
        <v>2018</v>
      </c>
      <c r="D87" s="11"/>
      <c r="E87" s="12" t="s">
        <v>104</v>
      </c>
      <c r="F87" s="12" t="s">
        <v>105</v>
      </c>
      <c r="G87" s="12" t="s">
        <v>106</v>
      </c>
      <c r="H87" s="11"/>
      <c r="I87" s="10">
        <v>16792</v>
      </c>
      <c r="J87" s="10">
        <v>3799</v>
      </c>
      <c r="K87" s="11"/>
      <c r="L87" s="11"/>
      <c r="M87" s="11"/>
      <c r="N87" s="11"/>
      <c r="O87" s="10">
        <v>16792</v>
      </c>
      <c r="P87" s="10">
        <v>3799</v>
      </c>
      <c r="Q87" s="10">
        <v>6692</v>
      </c>
      <c r="R87" s="10">
        <v>1445</v>
      </c>
      <c r="S87" s="10">
        <v>5814</v>
      </c>
      <c r="T87" s="10">
        <v>1285</v>
      </c>
      <c r="U87" s="10">
        <v>878</v>
      </c>
      <c r="V87" s="10">
        <v>160</v>
      </c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0">
        <v>1807</v>
      </c>
      <c r="AL87" s="10">
        <v>327</v>
      </c>
      <c r="AM87" s="10">
        <v>925</v>
      </c>
      <c r="AN87" s="10">
        <v>167</v>
      </c>
      <c r="AO87" s="11"/>
      <c r="AP87" s="11"/>
      <c r="AQ87" s="11"/>
      <c r="AR87" s="11"/>
      <c r="AS87" s="11"/>
      <c r="AT87" s="11"/>
      <c r="AU87" s="1" t="str">
        <f>VLOOKUP(G87,'Country codes'!A$2:C$48,3,FALSE)</f>
        <v>Lower-Middle-Income Economies</v>
      </c>
    </row>
    <row r="88" spans="1:47" ht="20" customHeight="1">
      <c r="A88" s="8">
        <v>2018</v>
      </c>
      <c r="B88" s="9">
        <v>2018</v>
      </c>
      <c r="C88" s="10">
        <v>2018</v>
      </c>
      <c r="D88" s="11"/>
      <c r="E88" s="12" t="s">
        <v>107</v>
      </c>
      <c r="F88" s="12" t="s">
        <v>108</v>
      </c>
      <c r="G88" s="12" t="s">
        <v>109</v>
      </c>
      <c r="H88" s="11"/>
      <c r="I88" s="10">
        <v>851</v>
      </c>
      <c r="J88" s="10">
        <v>2172</v>
      </c>
      <c r="K88" s="10">
        <v>521</v>
      </c>
      <c r="L88" s="10">
        <v>1341</v>
      </c>
      <c r="M88" s="10">
        <v>34</v>
      </c>
      <c r="N88" s="10">
        <v>82</v>
      </c>
      <c r="O88" s="10">
        <v>152</v>
      </c>
      <c r="P88" s="10">
        <v>392</v>
      </c>
      <c r="Q88" s="10">
        <v>21230</v>
      </c>
      <c r="R88" s="10">
        <v>6704</v>
      </c>
      <c r="S88" s="10">
        <v>11310</v>
      </c>
      <c r="T88" s="10">
        <v>3572</v>
      </c>
      <c r="U88" s="10">
        <v>9920</v>
      </c>
      <c r="V88" s="10">
        <v>3132</v>
      </c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0">
        <v>34</v>
      </c>
      <c r="AH88" s="10">
        <v>70</v>
      </c>
      <c r="AI88" s="10">
        <v>615</v>
      </c>
      <c r="AJ88" s="10">
        <v>782</v>
      </c>
      <c r="AK88" s="10">
        <v>5737</v>
      </c>
      <c r="AL88" s="10">
        <v>437</v>
      </c>
      <c r="AM88" s="10">
        <v>4780</v>
      </c>
      <c r="AN88" s="10">
        <v>1050</v>
      </c>
      <c r="AO88" s="10">
        <v>31</v>
      </c>
      <c r="AP88" s="10">
        <v>76</v>
      </c>
      <c r="AQ88" s="10">
        <v>15</v>
      </c>
      <c r="AR88" s="10">
        <v>36</v>
      </c>
      <c r="AS88" s="10">
        <v>9533</v>
      </c>
      <c r="AT88" s="10">
        <v>6355</v>
      </c>
      <c r="AU88" s="1" t="str">
        <f>VLOOKUP(G88,'Country codes'!A$2:C$48,3,FALSE)</f>
        <v>Lower-Middle-Income Economies</v>
      </c>
    </row>
    <row r="89" spans="1:47" ht="20" customHeight="1">
      <c r="A89" s="8">
        <v>2018</v>
      </c>
      <c r="B89" s="9">
        <v>2018</v>
      </c>
      <c r="C89" s="10">
        <v>2018</v>
      </c>
      <c r="D89" s="11"/>
      <c r="E89" s="12" t="s">
        <v>110</v>
      </c>
      <c r="F89" s="12" t="s">
        <v>111</v>
      </c>
      <c r="G89" s="12" t="s">
        <v>112</v>
      </c>
      <c r="H89" s="11"/>
      <c r="I89" s="11"/>
      <c r="J89" s="11"/>
      <c r="K89" s="11"/>
      <c r="L89" s="11"/>
      <c r="M89" s="11"/>
      <c r="N89" s="11"/>
      <c r="O89" s="11"/>
      <c r="P89" s="11"/>
      <c r="Q89" s="10">
        <v>2832</v>
      </c>
      <c r="R89" s="10">
        <v>2138</v>
      </c>
      <c r="S89" s="10">
        <v>917</v>
      </c>
      <c r="T89" s="10">
        <v>1139</v>
      </c>
      <c r="U89" s="10">
        <v>1915</v>
      </c>
      <c r="V89" s="10">
        <v>999</v>
      </c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" t="str">
        <f>VLOOKUP(G89,'Country codes'!A$2:C$48,3,FALSE)</f>
        <v>Low-Income Economies</v>
      </c>
    </row>
    <row r="90" spans="1:47" ht="20" customHeight="1">
      <c r="A90" s="8">
        <v>2018</v>
      </c>
      <c r="B90" s="9">
        <v>2018</v>
      </c>
      <c r="C90" s="10">
        <v>2018</v>
      </c>
      <c r="D90" s="11"/>
      <c r="E90" s="12" t="s">
        <v>113</v>
      </c>
      <c r="F90" s="12" t="s">
        <v>114</v>
      </c>
      <c r="G90" s="12" t="s">
        <v>115</v>
      </c>
      <c r="H90" s="11"/>
      <c r="I90" s="11"/>
      <c r="J90" s="11"/>
      <c r="K90" s="11"/>
      <c r="L90" s="11"/>
      <c r="M90" s="11"/>
      <c r="N90" s="11"/>
      <c r="O90" s="11"/>
      <c r="P90" s="11"/>
      <c r="Q90" s="10">
        <v>328</v>
      </c>
      <c r="R90" s="10">
        <v>1204</v>
      </c>
      <c r="S90" s="11"/>
      <c r="T90" s="11"/>
      <c r="U90" s="11"/>
      <c r="V90" s="11"/>
      <c r="W90" s="10">
        <v>328</v>
      </c>
      <c r="X90" s="10">
        <v>1204</v>
      </c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" t="str">
        <f>VLOOKUP(G90,'Country codes'!A$2:C$48,3,FALSE)</f>
        <v>Low-Income Economies</v>
      </c>
    </row>
  </sheetData>
  <mergeCells count="1">
    <mergeCell ref="A1:AT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8D3BE-D0DF-410D-95B1-C9730139FD78}">
  <dimension ref="A1:P10"/>
  <sheetViews>
    <sheetView topLeftCell="H26" workbookViewId="0">
      <selection activeCell="K11" sqref="K11"/>
    </sheetView>
  </sheetViews>
  <sheetFormatPr defaultRowHeight="12.5"/>
  <cols>
    <col min="14" max="14" width="49.90625" customWidth="1"/>
    <col min="15" max="15" width="6.7265625" bestFit="1" customWidth="1"/>
  </cols>
  <sheetData>
    <row r="1" spans="1:16" ht="75">
      <c r="B1" t="s">
        <v>185</v>
      </c>
      <c r="C1" t="s">
        <v>186</v>
      </c>
      <c r="D1" t="s">
        <v>187</v>
      </c>
      <c r="E1" t="s">
        <v>188</v>
      </c>
      <c r="F1" t="s">
        <v>189</v>
      </c>
      <c r="G1" t="s">
        <v>190</v>
      </c>
      <c r="H1" t="s">
        <v>191</v>
      </c>
      <c r="I1" t="s">
        <v>192</v>
      </c>
      <c r="J1" t="s">
        <v>173</v>
      </c>
      <c r="N1" t="s">
        <v>193</v>
      </c>
      <c r="O1" t="s">
        <v>184</v>
      </c>
      <c r="P1" t="s">
        <v>283</v>
      </c>
    </row>
    <row r="2" spans="1:16">
      <c r="A2" t="s">
        <v>184</v>
      </c>
      <c r="B2" s="19">
        <v>0.35035869455390523</v>
      </c>
      <c r="C2" s="19">
        <v>0.72917018642485809</v>
      </c>
      <c r="D2" s="19">
        <v>0.93869577142620564</v>
      </c>
      <c r="E2" s="19">
        <v>0.37537462537462535</v>
      </c>
      <c r="F2" s="19">
        <v>0.4127107078307698</v>
      </c>
      <c r="G2" s="19">
        <v>0.31825192802056557</v>
      </c>
      <c r="H2" s="19">
        <v>0.39470198675496687</v>
      </c>
      <c r="I2" s="19">
        <v>0.78731490414866401</v>
      </c>
      <c r="J2" s="19">
        <v>0.72053814142363326</v>
      </c>
      <c r="N2" t="s">
        <v>190</v>
      </c>
      <c r="O2" s="19">
        <v>0.31825192802056557</v>
      </c>
      <c r="P2" s="44">
        <f>1-O2</f>
        <v>0.68174807197943443</v>
      </c>
    </row>
    <row r="3" spans="1:16">
      <c r="N3" t="s">
        <v>185</v>
      </c>
      <c r="O3" s="19">
        <v>0.35035869455390523</v>
      </c>
      <c r="P3" s="44">
        <f t="shared" ref="P3:P10" si="0">1-O3</f>
        <v>0.64964130544609477</v>
      </c>
    </row>
    <row r="4" spans="1:16">
      <c r="N4" t="s">
        <v>188</v>
      </c>
      <c r="O4" s="19">
        <v>0.37537462537462535</v>
      </c>
      <c r="P4" s="44">
        <f t="shared" si="0"/>
        <v>0.62462537462537471</v>
      </c>
    </row>
    <row r="5" spans="1:16">
      <c r="N5" t="s">
        <v>191</v>
      </c>
      <c r="O5" s="19">
        <v>0.39470198675496687</v>
      </c>
      <c r="P5" s="44">
        <f t="shared" si="0"/>
        <v>0.60529801324503318</v>
      </c>
    </row>
    <row r="6" spans="1:16">
      <c r="N6" t="s">
        <v>189</v>
      </c>
      <c r="O6" s="19">
        <v>0.4127107078307698</v>
      </c>
      <c r="P6" s="44">
        <f t="shared" si="0"/>
        <v>0.5872892921692302</v>
      </c>
    </row>
    <row r="7" spans="1:16">
      <c r="N7" t="s">
        <v>303</v>
      </c>
      <c r="O7" s="19">
        <v>0.72053814142363326</v>
      </c>
      <c r="P7" s="44">
        <f t="shared" si="0"/>
        <v>0.27946185857636674</v>
      </c>
    </row>
    <row r="8" spans="1:16">
      <c r="N8" t="s">
        <v>186</v>
      </c>
      <c r="O8" s="19">
        <v>0.72917018642485809</v>
      </c>
      <c r="P8" s="44">
        <f t="shared" si="0"/>
        <v>0.27082981357514191</v>
      </c>
    </row>
    <row r="9" spans="1:16">
      <c r="N9" t="s">
        <v>192</v>
      </c>
      <c r="O9" s="19">
        <v>0.78731490414866401</v>
      </c>
      <c r="P9" s="44">
        <f t="shared" si="0"/>
        <v>0.21268509585133599</v>
      </c>
    </row>
    <row r="10" spans="1:16">
      <c r="N10" t="s">
        <v>187</v>
      </c>
      <c r="O10" s="19">
        <v>0.93869577142620564</v>
      </c>
      <c r="P10" s="44">
        <f t="shared" si="0"/>
        <v>6.1304228573794362E-2</v>
      </c>
    </row>
  </sheetData>
  <sortState xmlns:xlrd2="http://schemas.microsoft.com/office/spreadsheetml/2017/richdata2" ref="N2:O10">
    <sortCondition ref="O2:O10"/>
  </sortState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97328-503E-4849-82B9-0953077A6974}">
  <dimension ref="A1:C49"/>
  <sheetViews>
    <sheetView topLeftCell="A29" workbookViewId="0">
      <selection activeCell="E8" sqref="E8"/>
    </sheetView>
  </sheetViews>
  <sheetFormatPr defaultRowHeight="12.5"/>
  <cols>
    <col min="2" max="2" width="20.1796875" bestFit="1" customWidth="1"/>
    <col min="3" max="3" width="32.26953125" bestFit="1" customWidth="1"/>
  </cols>
  <sheetData>
    <row r="1" spans="1:3" ht="25">
      <c r="A1" s="42" t="s">
        <v>216</v>
      </c>
      <c r="B1" s="42" t="s">
        <v>217</v>
      </c>
      <c r="C1" s="42" t="s">
        <v>218</v>
      </c>
    </row>
    <row r="2" spans="1:3">
      <c r="A2" s="43" t="s">
        <v>151</v>
      </c>
      <c r="B2" s="43" t="s">
        <v>219</v>
      </c>
      <c r="C2" s="43" t="s">
        <v>220</v>
      </c>
    </row>
    <row r="3" spans="1:3">
      <c r="A3" s="43" t="s">
        <v>221</v>
      </c>
      <c r="B3" s="43" t="s">
        <v>222</v>
      </c>
      <c r="C3" s="43" t="s">
        <v>220</v>
      </c>
    </row>
    <row r="4" spans="1:3">
      <c r="A4" s="43" t="s">
        <v>118</v>
      </c>
      <c r="B4" s="43" t="s">
        <v>223</v>
      </c>
      <c r="C4" s="43" t="s">
        <v>220</v>
      </c>
    </row>
    <row r="5" spans="1:3">
      <c r="A5" s="43" t="s">
        <v>64</v>
      </c>
      <c r="B5" s="43" t="s">
        <v>224</v>
      </c>
      <c r="C5" s="43" t="s">
        <v>225</v>
      </c>
    </row>
    <row r="6" spans="1:3">
      <c r="A6" s="43" t="s">
        <v>49</v>
      </c>
      <c r="B6" s="43" t="s">
        <v>48</v>
      </c>
      <c r="C6" s="43" t="s">
        <v>226</v>
      </c>
    </row>
    <row r="7" spans="1:3">
      <c r="A7" s="43" t="s">
        <v>121</v>
      </c>
      <c r="B7" s="43" t="s">
        <v>227</v>
      </c>
      <c r="C7" s="43" t="s">
        <v>226</v>
      </c>
    </row>
    <row r="8" spans="1:3">
      <c r="A8" s="43" t="s">
        <v>70</v>
      </c>
      <c r="B8" s="43" t="s">
        <v>228</v>
      </c>
      <c r="C8" s="43" t="s">
        <v>220</v>
      </c>
    </row>
    <row r="9" spans="1:3">
      <c r="A9" s="43" t="s">
        <v>67</v>
      </c>
      <c r="B9" s="43" t="s">
        <v>229</v>
      </c>
      <c r="C9" s="43" t="s">
        <v>220</v>
      </c>
    </row>
    <row r="10" spans="1:3">
      <c r="A10" s="43" t="s">
        <v>230</v>
      </c>
      <c r="B10" s="43" t="s">
        <v>231</v>
      </c>
      <c r="C10" s="43" t="s">
        <v>226</v>
      </c>
    </row>
    <row r="11" spans="1:3">
      <c r="A11" s="43" t="s">
        <v>73</v>
      </c>
      <c r="B11" s="43" t="s">
        <v>232</v>
      </c>
      <c r="C11" s="43" t="s">
        <v>226</v>
      </c>
    </row>
    <row r="12" spans="1:3">
      <c r="A12" s="43" t="s">
        <v>233</v>
      </c>
      <c r="B12" s="43" t="s">
        <v>234</v>
      </c>
      <c r="C12" s="43" t="s">
        <v>220</v>
      </c>
    </row>
    <row r="13" spans="1:3">
      <c r="A13" s="43" t="s">
        <v>100</v>
      </c>
      <c r="B13" s="43" t="s">
        <v>235</v>
      </c>
      <c r="C13" s="43" t="s">
        <v>220</v>
      </c>
    </row>
    <row r="14" spans="1:3">
      <c r="A14" s="43" t="s">
        <v>76</v>
      </c>
      <c r="B14" s="43" t="s">
        <v>236</v>
      </c>
      <c r="C14" s="43" t="s">
        <v>220</v>
      </c>
    </row>
    <row r="15" spans="1:3">
      <c r="A15" s="43" t="s">
        <v>148</v>
      </c>
      <c r="B15" s="43" t="s">
        <v>237</v>
      </c>
      <c r="C15" s="43" t="s">
        <v>226</v>
      </c>
    </row>
    <row r="16" spans="1:3">
      <c r="A16" s="43" t="s">
        <v>238</v>
      </c>
      <c r="B16" s="43" t="s">
        <v>239</v>
      </c>
      <c r="C16" s="43" t="s">
        <v>225</v>
      </c>
    </row>
    <row r="17" spans="1:3">
      <c r="A17" s="43" t="s">
        <v>112</v>
      </c>
      <c r="B17" s="43" t="s">
        <v>240</v>
      </c>
      <c r="C17" s="43" t="s">
        <v>226</v>
      </c>
    </row>
    <row r="18" spans="1:3">
      <c r="A18" s="43" t="s">
        <v>61</v>
      </c>
      <c r="B18" s="43" t="s">
        <v>241</v>
      </c>
      <c r="C18" s="43" t="s">
        <v>220</v>
      </c>
    </row>
    <row r="19" spans="1:3">
      <c r="A19" s="43" t="s">
        <v>52</v>
      </c>
      <c r="B19" s="43" t="s">
        <v>242</v>
      </c>
      <c r="C19" s="43" t="s">
        <v>226</v>
      </c>
    </row>
    <row r="20" spans="1:3">
      <c r="A20" s="43" t="s">
        <v>58</v>
      </c>
      <c r="B20" s="43" t="s">
        <v>243</v>
      </c>
      <c r="C20" s="43" t="s">
        <v>225</v>
      </c>
    </row>
    <row r="21" spans="1:3">
      <c r="A21" s="43" t="s">
        <v>244</v>
      </c>
      <c r="B21" s="43" t="s">
        <v>245</v>
      </c>
      <c r="C21" s="43" t="s">
        <v>226</v>
      </c>
    </row>
    <row r="22" spans="1:3">
      <c r="A22" s="43" t="s">
        <v>79</v>
      </c>
      <c r="B22" s="43" t="s">
        <v>246</v>
      </c>
      <c r="C22" s="43" t="s">
        <v>220</v>
      </c>
    </row>
    <row r="23" spans="1:3">
      <c r="A23" s="43" t="s">
        <v>247</v>
      </c>
      <c r="B23" s="43" t="s">
        <v>248</v>
      </c>
      <c r="C23" s="43" t="s">
        <v>226</v>
      </c>
    </row>
    <row r="24" spans="1:3">
      <c r="A24" s="43" t="s">
        <v>82</v>
      </c>
      <c r="B24" s="43" t="s">
        <v>249</v>
      </c>
      <c r="C24" s="43" t="s">
        <v>226</v>
      </c>
    </row>
    <row r="25" spans="1:3">
      <c r="A25" s="43" t="s">
        <v>85</v>
      </c>
      <c r="B25" s="43" t="s">
        <v>250</v>
      </c>
      <c r="C25" s="43" t="s">
        <v>220</v>
      </c>
    </row>
    <row r="26" spans="1:3">
      <c r="A26" s="43" t="s">
        <v>251</v>
      </c>
      <c r="B26" s="43" t="s">
        <v>252</v>
      </c>
      <c r="C26" s="43" t="s">
        <v>220</v>
      </c>
    </row>
    <row r="27" spans="1:3">
      <c r="A27" s="43" t="s">
        <v>124</v>
      </c>
      <c r="B27" s="43" t="s">
        <v>253</v>
      </c>
      <c r="C27" s="43" t="s">
        <v>226</v>
      </c>
    </row>
    <row r="28" spans="1:3">
      <c r="A28" s="43" t="s">
        <v>127</v>
      </c>
      <c r="B28" s="43" t="s">
        <v>254</v>
      </c>
      <c r="C28" s="43" t="s">
        <v>226</v>
      </c>
    </row>
    <row r="29" spans="1:3">
      <c r="A29" s="43" t="s">
        <v>88</v>
      </c>
      <c r="B29" s="43" t="s">
        <v>255</v>
      </c>
      <c r="C29" s="43" t="s">
        <v>226</v>
      </c>
    </row>
    <row r="30" spans="1:3">
      <c r="A30" s="43" t="s">
        <v>130</v>
      </c>
      <c r="B30" s="43" t="s">
        <v>256</v>
      </c>
      <c r="C30" s="43" t="s">
        <v>226</v>
      </c>
    </row>
    <row r="31" spans="1:3">
      <c r="A31" s="43" t="s">
        <v>257</v>
      </c>
      <c r="B31" s="43" t="s">
        <v>258</v>
      </c>
      <c r="C31" s="43" t="s">
        <v>220</v>
      </c>
    </row>
    <row r="32" spans="1:3">
      <c r="A32" s="43" t="s">
        <v>259</v>
      </c>
      <c r="B32" s="43" t="s">
        <v>260</v>
      </c>
      <c r="C32" s="43" t="s">
        <v>225</v>
      </c>
    </row>
    <row r="33" spans="1:3">
      <c r="A33" s="43" t="s">
        <v>91</v>
      </c>
      <c r="B33" s="43" t="s">
        <v>261</v>
      </c>
      <c r="C33" s="43" t="s">
        <v>226</v>
      </c>
    </row>
    <row r="34" spans="1:3">
      <c r="A34" s="43" t="s">
        <v>154</v>
      </c>
      <c r="B34" s="43" t="s">
        <v>262</v>
      </c>
      <c r="C34" s="43" t="s">
        <v>225</v>
      </c>
    </row>
    <row r="35" spans="1:3">
      <c r="A35" s="43" t="s">
        <v>142</v>
      </c>
      <c r="B35" s="43" t="s">
        <v>263</v>
      </c>
      <c r="C35" s="43" t="s">
        <v>226</v>
      </c>
    </row>
    <row r="36" spans="1:3">
      <c r="A36" s="43" t="s">
        <v>55</v>
      </c>
      <c r="B36" s="43" t="s">
        <v>264</v>
      </c>
      <c r="C36" s="43" t="s">
        <v>220</v>
      </c>
    </row>
    <row r="37" spans="1:3">
      <c r="A37" s="43" t="s">
        <v>133</v>
      </c>
      <c r="B37" s="43" t="s">
        <v>265</v>
      </c>
      <c r="C37" s="43" t="s">
        <v>226</v>
      </c>
    </row>
    <row r="38" spans="1:3">
      <c r="A38" s="43" t="s">
        <v>145</v>
      </c>
      <c r="B38" s="43" t="s">
        <v>266</v>
      </c>
      <c r="C38" s="43" t="s">
        <v>220</v>
      </c>
    </row>
    <row r="39" spans="1:3">
      <c r="A39" s="43" t="s">
        <v>94</v>
      </c>
      <c r="B39" s="43" t="s">
        <v>267</v>
      </c>
      <c r="C39" s="43" t="s">
        <v>220</v>
      </c>
    </row>
    <row r="40" spans="1:3">
      <c r="A40" s="43" t="s">
        <v>97</v>
      </c>
      <c r="B40" s="43" t="s">
        <v>268</v>
      </c>
      <c r="C40" s="43" t="s">
        <v>225</v>
      </c>
    </row>
    <row r="41" spans="1:3">
      <c r="A41" s="43" t="s">
        <v>136</v>
      </c>
      <c r="B41" s="43" t="s">
        <v>269</v>
      </c>
      <c r="C41" s="43" t="s">
        <v>226</v>
      </c>
    </row>
    <row r="42" spans="1:3">
      <c r="A42" s="43" t="s">
        <v>270</v>
      </c>
      <c r="B42" s="43" t="s">
        <v>271</v>
      </c>
      <c r="C42" s="43" t="s">
        <v>225</v>
      </c>
    </row>
    <row r="43" spans="1:3">
      <c r="A43" s="43" t="s">
        <v>139</v>
      </c>
      <c r="B43" s="43" t="s">
        <v>272</v>
      </c>
      <c r="C43" s="43" t="s">
        <v>226</v>
      </c>
    </row>
    <row r="44" spans="1:3">
      <c r="A44" s="43" t="s">
        <v>273</v>
      </c>
      <c r="B44" s="43" t="s">
        <v>274</v>
      </c>
      <c r="C44" s="43" t="s">
        <v>220</v>
      </c>
    </row>
    <row r="45" spans="1:3">
      <c r="A45" s="43" t="s">
        <v>115</v>
      </c>
      <c r="B45" s="43" t="s">
        <v>275</v>
      </c>
      <c r="C45" s="43" t="s">
        <v>226</v>
      </c>
    </row>
    <row r="46" spans="1:3">
      <c r="A46" s="43" t="s">
        <v>103</v>
      </c>
      <c r="B46" s="43" t="s">
        <v>276</v>
      </c>
      <c r="C46" s="43" t="s">
        <v>226</v>
      </c>
    </row>
    <row r="47" spans="1:3">
      <c r="A47" s="43" t="s">
        <v>106</v>
      </c>
      <c r="B47" s="43" t="s">
        <v>277</v>
      </c>
      <c r="C47" s="43" t="s">
        <v>220</v>
      </c>
    </row>
    <row r="48" spans="1:3">
      <c r="A48" s="43" t="s">
        <v>109</v>
      </c>
      <c r="B48" s="43" t="s">
        <v>278</v>
      </c>
      <c r="C48" s="43" t="s">
        <v>220</v>
      </c>
    </row>
    <row r="49" spans="1:3">
      <c r="A49" s="43" t="s">
        <v>279</v>
      </c>
      <c r="B49" s="43" t="s">
        <v>279</v>
      </c>
      <c r="C49" s="4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3C6CF-7E14-44FC-B9CD-8B43371E94B4}">
  <dimension ref="A1:S21"/>
  <sheetViews>
    <sheetView topLeftCell="A12" workbookViewId="0">
      <selection activeCell="A11" sqref="A11:K21"/>
    </sheetView>
  </sheetViews>
  <sheetFormatPr defaultRowHeight="12.5"/>
  <cols>
    <col min="1" max="1" width="40.90625" customWidth="1"/>
    <col min="2" max="2" width="11.36328125" bestFit="1" customWidth="1"/>
  </cols>
  <sheetData>
    <row r="1" spans="1:19" ht="125">
      <c r="A1" t="s">
        <v>155</v>
      </c>
      <c r="B1" t="s">
        <v>159</v>
      </c>
      <c r="C1" t="s">
        <v>160</v>
      </c>
      <c r="D1" t="s">
        <v>161</v>
      </c>
      <c r="E1" t="s">
        <v>162</v>
      </c>
      <c r="F1" t="s">
        <v>158</v>
      </c>
      <c r="G1" t="s">
        <v>157</v>
      </c>
      <c r="H1" t="s">
        <v>163</v>
      </c>
      <c r="I1" t="s">
        <v>164</v>
      </c>
      <c r="J1" t="s">
        <v>165</v>
      </c>
      <c r="K1" t="s">
        <v>166</v>
      </c>
      <c r="L1" t="s">
        <v>169</v>
      </c>
      <c r="M1" t="s">
        <v>170</v>
      </c>
      <c r="N1" t="s">
        <v>171</v>
      </c>
      <c r="O1" t="s">
        <v>172</v>
      </c>
      <c r="P1" t="s">
        <v>167</v>
      </c>
      <c r="Q1" t="s">
        <v>168</v>
      </c>
    </row>
    <row r="2" spans="1:19">
      <c r="A2" t="s">
        <v>225</v>
      </c>
      <c r="B2">
        <v>3821</v>
      </c>
      <c r="C2">
        <v>5221</v>
      </c>
      <c r="D2">
        <v>38530</v>
      </c>
      <c r="E2">
        <v>16552</v>
      </c>
      <c r="F2">
        <v>2325</v>
      </c>
      <c r="G2">
        <v>14</v>
      </c>
      <c r="H2">
        <v>378</v>
      </c>
      <c r="I2">
        <v>404</v>
      </c>
      <c r="J2">
        <v>933</v>
      </c>
      <c r="K2">
        <v>834</v>
      </c>
      <c r="L2">
        <v>119</v>
      </c>
      <c r="M2">
        <v>203</v>
      </c>
      <c r="N2">
        <v>142</v>
      </c>
      <c r="O2">
        <v>167</v>
      </c>
      <c r="P2">
        <v>169</v>
      </c>
      <c r="Q2">
        <v>58</v>
      </c>
    </row>
    <row r="3" spans="1:19">
      <c r="A3" t="s">
        <v>220</v>
      </c>
      <c r="B3">
        <v>136025</v>
      </c>
      <c r="C3">
        <v>124051</v>
      </c>
      <c r="D3">
        <v>922416</v>
      </c>
      <c r="E3">
        <v>298462</v>
      </c>
      <c r="F3">
        <v>100370</v>
      </c>
      <c r="G3">
        <v>3576</v>
      </c>
      <c r="H3">
        <v>12836</v>
      </c>
      <c r="I3">
        <v>11311</v>
      </c>
      <c r="J3">
        <v>16282</v>
      </c>
      <c r="K3">
        <v>14351</v>
      </c>
      <c r="L3">
        <v>3333</v>
      </c>
      <c r="M3">
        <v>2064</v>
      </c>
      <c r="N3">
        <v>2950</v>
      </c>
      <c r="O3">
        <v>1584</v>
      </c>
      <c r="P3">
        <v>62394</v>
      </c>
      <c r="Q3">
        <v>21250</v>
      </c>
    </row>
    <row r="4" spans="1:19">
      <c r="A4" t="s">
        <v>226</v>
      </c>
      <c r="B4">
        <v>18072</v>
      </c>
      <c r="C4">
        <v>45459</v>
      </c>
      <c r="D4">
        <v>275064</v>
      </c>
      <c r="E4">
        <v>216514</v>
      </c>
      <c r="F4">
        <v>191641</v>
      </c>
      <c r="G4">
        <v>19406</v>
      </c>
      <c r="H4">
        <v>915</v>
      </c>
      <c r="I4">
        <v>1093</v>
      </c>
      <c r="J4">
        <v>15375</v>
      </c>
      <c r="K4">
        <v>23899</v>
      </c>
      <c r="L4">
        <v>424</v>
      </c>
      <c r="M4">
        <v>1266</v>
      </c>
      <c r="N4">
        <v>506</v>
      </c>
      <c r="O4">
        <v>855</v>
      </c>
      <c r="P4">
        <v>240345</v>
      </c>
      <c r="Q4">
        <v>99930</v>
      </c>
    </row>
    <row r="5" spans="1:19">
      <c r="A5" t="s">
        <v>156</v>
      </c>
      <c r="B5">
        <v>157918</v>
      </c>
      <c r="C5">
        <v>174731</v>
      </c>
      <c r="D5">
        <v>1236010</v>
      </c>
      <c r="E5">
        <v>531528</v>
      </c>
      <c r="F5">
        <v>294336</v>
      </c>
      <c r="G5">
        <v>22996</v>
      </c>
      <c r="H5">
        <v>14129</v>
      </c>
      <c r="I5">
        <v>12808</v>
      </c>
      <c r="J5">
        <v>32590</v>
      </c>
      <c r="K5">
        <v>39084</v>
      </c>
      <c r="L5">
        <v>3876</v>
      </c>
      <c r="M5">
        <v>3533</v>
      </c>
      <c r="N5">
        <v>3598</v>
      </c>
      <c r="O5">
        <v>2606</v>
      </c>
      <c r="P5">
        <v>302908</v>
      </c>
      <c r="Q5">
        <v>121238</v>
      </c>
    </row>
    <row r="11" spans="1:19" ht="125">
      <c r="A11" t="s">
        <v>155</v>
      </c>
      <c r="B11" t="s">
        <v>159</v>
      </c>
      <c r="C11" t="s">
        <v>160</v>
      </c>
      <c r="D11" t="s">
        <v>161</v>
      </c>
      <c r="E11" t="s">
        <v>162</v>
      </c>
      <c r="F11" t="s">
        <v>158</v>
      </c>
      <c r="G11" t="s">
        <v>157</v>
      </c>
      <c r="H11" t="s">
        <v>163</v>
      </c>
      <c r="I11" t="s">
        <v>164</v>
      </c>
      <c r="J11" t="s">
        <v>165</v>
      </c>
      <c r="K11" t="s">
        <v>166</v>
      </c>
      <c r="L11" t="s">
        <v>169</v>
      </c>
      <c r="M11" t="s">
        <v>170</v>
      </c>
      <c r="N11" t="s">
        <v>171</v>
      </c>
      <c r="O11" t="s">
        <v>172</v>
      </c>
      <c r="P11" t="s">
        <v>167</v>
      </c>
      <c r="Q11" t="s">
        <v>168</v>
      </c>
      <c r="R11" t="s">
        <v>281</v>
      </c>
      <c r="S11" t="s">
        <v>282</v>
      </c>
    </row>
    <row r="12" spans="1:19">
      <c r="A12" t="s">
        <v>225</v>
      </c>
      <c r="B12">
        <v>1129</v>
      </c>
      <c r="C12">
        <v>1060</v>
      </c>
      <c r="D12">
        <v>9055</v>
      </c>
      <c r="E12">
        <v>3873</v>
      </c>
      <c r="F12">
        <v>1051</v>
      </c>
      <c r="G12">
        <v>14</v>
      </c>
      <c r="H12">
        <v>76</v>
      </c>
      <c r="I12">
        <v>98</v>
      </c>
      <c r="J12">
        <v>169</v>
      </c>
      <c r="K12">
        <v>124</v>
      </c>
      <c r="L12">
        <v>65</v>
      </c>
      <c r="M12">
        <v>85</v>
      </c>
      <c r="N12">
        <v>60</v>
      </c>
      <c r="O12">
        <v>106</v>
      </c>
      <c r="P12">
        <v>169</v>
      </c>
      <c r="Q12">
        <v>58</v>
      </c>
      <c r="R12">
        <f>B12+D12+F12+H12+J12+L12+N12+P12</f>
        <v>11774</v>
      </c>
      <c r="S12">
        <f>C12+E12+G12+I12+K12+M12+O12+Q12</f>
        <v>5418</v>
      </c>
    </row>
    <row r="13" spans="1:19">
      <c r="A13" t="s">
        <v>220</v>
      </c>
      <c r="B13">
        <v>32523</v>
      </c>
      <c r="C13">
        <v>54574</v>
      </c>
      <c r="D13">
        <v>422784</v>
      </c>
      <c r="E13">
        <v>121208</v>
      </c>
      <c r="F13">
        <v>48005</v>
      </c>
      <c r="G13">
        <v>2726</v>
      </c>
      <c r="H13">
        <v>2778</v>
      </c>
      <c r="I13">
        <v>4540</v>
      </c>
      <c r="J13">
        <v>2998</v>
      </c>
      <c r="K13">
        <v>3733</v>
      </c>
      <c r="L13">
        <v>365</v>
      </c>
      <c r="M13">
        <v>526</v>
      </c>
      <c r="N13">
        <v>366</v>
      </c>
      <c r="O13">
        <v>234</v>
      </c>
      <c r="P13">
        <v>45368</v>
      </c>
      <c r="Q13">
        <v>12831</v>
      </c>
      <c r="R13">
        <f t="shared" ref="R13:R15" si="0">B13+D13+F13+H13+J13+L13+N13+P13</f>
        <v>555187</v>
      </c>
      <c r="S13">
        <f t="shared" ref="S13:S15" si="1">C13+E13+G13+I13+K13+M13+O13+Q13</f>
        <v>200372</v>
      </c>
    </row>
    <row r="14" spans="1:19">
      <c r="A14" t="s">
        <v>226</v>
      </c>
      <c r="B14">
        <v>7958</v>
      </c>
      <c r="C14">
        <v>21520</v>
      </c>
      <c r="D14">
        <v>94705</v>
      </c>
      <c r="E14">
        <v>70489</v>
      </c>
      <c r="F14">
        <v>132331</v>
      </c>
      <c r="G14">
        <v>9106</v>
      </c>
      <c r="H14">
        <v>152</v>
      </c>
      <c r="I14">
        <v>364</v>
      </c>
      <c r="J14">
        <v>8022</v>
      </c>
      <c r="K14">
        <v>12065</v>
      </c>
      <c r="L14">
        <v>189</v>
      </c>
      <c r="M14">
        <v>715</v>
      </c>
      <c r="N14">
        <v>170</v>
      </c>
      <c r="O14">
        <v>574</v>
      </c>
      <c r="P14">
        <v>48476</v>
      </c>
      <c r="Q14">
        <v>12520</v>
      </c>
      <c r="R14">
        <f t="shared" si="0"/>
        <v>292003</v>
      </c>
      <c r="S14">
        <f t="shared" si="1"/>
        <v>127353</v>
      </c>
    </row>
    <row r="15" spans="1:19">
      <c r="A15" t="s">
        <v>279</v>
      </c>
      <c r="B15">
        <v>41610</v>
      </c>
      <c r="C15">
        <v>77154</v>
      </c>
      <c r="D15">
        <v>526544</v>
      </c>
      <c r="E15">
        <v>195570</v>
      </c>
      <c r="F15">
        <v>181387</v>
      </c>
      <c r="G15">
        <v>11846</v>
      </c>
      <c r="H15">
        <v>3006</v>
      </c>
      <c r="I15">
        <v>5002</v>
      </c>
      <c r="J15">
        <v>11189</v>
      </c>
      <c r="K15">
        <v>15922</v>
      </c>
      <c r="L15">
        <v>619</v>
      </c>
      <c r="M15">
        <v>1326</v>
      </c>
      <c r="N15">
        <v>596</v>
      </c>
      <c r="O15">
        <v>914</v>
      </c>
      <c r="P15">
        <v>93844</v>
      </c>
      <c r="Q15">
        <v>25351</v>
      </c>
      <c r="R15">
        <f t="shared" si="0"/>
        <v>858795</v>
      </c>
      <c r="S15">
        <f t="shared" si="1"/>
        <v>333085</v>
      </c>
    </row>
    <row r="18" spans="1:18">
      <c r="A18" t="s">
        <v>225</v>
      </c>
      <c r="B18" s="19">
        <f>B12/(B12+C12)</f>
        <v>0.5157606212882595</v>
      </c>
      <c r="C18" s="19"/>
      <c r="D18" s="19">
        <f>D12/(D12+E12)</f>
        <v>0.70041769801980203</v>
      </c>
      <c r="E18" s="19"/>
      <c r="F18" s="19">
        <f>F12/(F12+G12)</f>
        <v>0.98685446009389677</v>
      </c>
      <c r="G18" s="19"/>
      <c r="H18" s="19">
        <f>H12/(H12+I12)</f>
        <v>0.43678160919540232</v>
      </c>
      <c r="I18" s="19"/>
      <c r="J18" s="19">
        <f>J12/(J12+K12)</f>
        <v>0.57679180887372017</v>
      </c>
      <c r="K18" s="19"/>
      <c r="L18" s="19">
        <f>L12/(L12+M12)</f>
        <v>0.43333333333333335</v>
      </c>
      <c r="M18" s="19"/>
      <c r="N18" s="19">
        <f>N12/(N12+O12)</f>
        <v>0.36144578313253012</v>
      </c>
      <c r="O18" s="19"/>
      <c r="P18" s="19">
        <f>P12/(P12+Q12)</f>
        <v>0.74449339207048459</v>
      </c>
      <c r="Q18" s="19"/>
      <c r="R18" s="19">
        <f>R12/(R12+S12)</f>
        <v>0.68485342019543971</v>
      </c>
    </row>
    <row r="19" spans="1:18">
      <c r="A19" t="s">
        <v>220</v>
      </c>
      <c r="B19" s="19">
        <f t="shared" ref="B19:D21" si="2">B13/(B13+C13)</f>
        <v>0.3734112541189708</v>
      </c>
      <c r="C19" s="19"/>
      <c r="D19" s="19">
        <f t="shared" si="2"/>
        <v>0.77718789982205616</v>
      </c>
      <c r="E19" s="19"/>
      <c r="F19" s="19">
        <f t="shared" ref="F19" si="3">F13/(F13+G13)</f>
        <v>0.94626559697226553</v>
      </c>
      <c r="G19" s="19"/>
      <c r="H19" s="19">
        <f t="shared" ref="H19" si="4">H13/(H13+I13)</f>
        <v>0.37961191582399562</v>
      </c>
      <c r="I19" s="19"/>
      <c r="J19" s="19">
        <f t="shared" ref="J19" si="5">J13/(J13+K13)</f>
        <v>0.44540187193581932</v>
      </c>
      <c r="K19" s="19"/>
      <c r="L19" s="19">
        <f t="shared" ref="L19" si="6">L13/(L13+M13)</f>
        <v>0.40965207631874301</v>
      </c>
      <c r="M19" s="19"/>
      <c r="N19" s="19">
        <f t="shared" ref="N19" si="7">N13/(N13+O13)</f>
        <v>0.61</v>
      </c>
      <c r="O19" s="19"/>
      <c r="P19" s="19">
        <f t="shared" ref="P19:R19" si="8">P13/(P13+Q13)</f>
        <v>0.77953229436931903</v>
      </c>
      <c r="Q19" s="19"/>
      <c r="R19" s="19">
        <f t="shared" si="8"/>
        <v>0.73480297369232583</v>
      </c>
    </row>
    <row r="20" spans="1:18">
      <c r="A20" t="s">
        <v>226</v>
      </c>
      <c r="B20" s="19">
        <f t="shared" si="2"/>
        <v>0.26996404097971366</v>
      </c>
      <c r="C20" s="19"/>
      <c r="D20" s="19">
        <f t="shared" si="2"/>
        <v>0.57329564027749191</v>
      </c>
      <c r="E20" s="19"/>
      <c r="F20" s="19">
        <f t="shared" ref="F20" si="9">F14/(F14+G14)</f>
        <v>0.93561797832250404</v>
      </c>
      <c r="G20" s="19"/>
      <c r="H20" s="19">
        <f t="shared" ref="H20" si="10">H14/(H14+I14)</f>
        <v>0.29457364341085274</v>
      </c>
      <c r="I20" s="19"/>
      <c r="J20" s="19">
        <f t="shared" ref="J20" si="11">J14/(J14+K14)</f>
        <v>0.39936277194205205</v>
      </c>
      <c r="K20" s="19"/>
      <c r="L20" s="19">
        <f t="shared" ref="L20" si="12">L14/(L14+M14)</f>
        <v>0.20907079646017698</v>
      </c>
      <c r="M20" s="19"/>
      <c r="N20" s="19">
        <f t="shared" ref="N20" si="13">N14/(N14+O14)</f>
        <v>0.22849462365591397</v>
      </c>
      <c r="O20" s="19"/>
      <c r="P20" s="19">
        <f t="shared" ref="P20:R20" si="14">P14/(P14+Q14)</f>
        <v>0.79474063873040857</v>
      </c>
      <c r="Q20" s="19"/>
      <c r="R20" s="19">
        <f t="shared" si="14"/>
        <v>0.6963129179026889</v>
      </c>
    </row>
    <row r="21" spans="1:18">
      <c r="A21" t="s">
        <v>279</v>
      </c>
      <c r="B21" s="19">
        <f t="shared" si="2"/>
        <v>0.35035869455390523</v>
      </c>
      <c r="C21" s="19"/>
      <c r="D21" s="19">
        <f t="shared" si="2"/>
        <v>0.72917018642485809</v>
      </c>
      <c r="E21" s="19"/>
      <c r="F21" s="19">
        <f t="shared" ref="F21" si="15">F15/(F15+G15)</f>
        <v>0.93869577142620564</v>
      </c>
      <c r="G21" s="19"/>
      <c r="H21" s="19">
        <f t="shared" ref="H21" si="16">H15/(H15+I15)</f>
        <v>0.37537462537462535</v>
      </c>
      <c r="I21" s="19"/>
      <c r="J21" s="19">
        <f t="shared" ref="J21" si="17">J15/(J15+K15)</f>
        <v>0.4127107078307698</v>
      </c>
      <c r="K21" s="19"/>
      <c r="L21" s="19">
        <f t="shared" ref="L21" si="18">L15/(L15+M15)</f>
        <v>0.31825192802056557</v>
      </c>
      <c r="M21" s="19"/>
      <c r="N21" s="19">
        <f t="shared" ref="N21" si="19">N15/(N15+O15)</f>
        <v>0.39470198675496687</v>
      </c>
      <c r="O21" s="19"/>
      <c r="P21" s="19">
        <f t="shared" ref="P21:R21" si="20">P15/(P15+Q15)</f>
        <v>0.78731490414866401</v>
      </c>
      <c r="Q21" s="19"/>
      <c r="R21" s="19">
        <f t="shared" si="20"/>
        <v>0.72053814142363326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F7AE2-517E-4652-BF69-3482F8F51F49}">
  <dimension ref="A1:R30"/>
  <sheetViews>
    <sheetView tabSelected="1" topLeftCell="A48" zoomScale="80" zoomScaleNormal="80" workbookViewId="0">
      <selection activeCell="P71" sqref="P71"/>
    </sheetView>
  </sheetViews>
  <sheetFormatPr defaultRowHeight="12.5"/>
  <cols>
    <col min="1" max="1" width="34.453125" customWidth="1"/>
    <col min="3" max="3" width="11.36328125" bestFit="1" customWidth="1"/>
    <col min="5" max="5" width="11.36328125" bestFit="1" customWidth="1"/>
    <col min="7" max="7" width="10.36328125" bestFit="1" customWidth="1"/>
    <col min="9" max="9" width="11.36328125" bestFit="1" customWidth="1"/>
    <col min="11" max="11" width="12.26953125" customWidth="1"/>
    <col min="17" max="18" width="11.36328125" bestFit="1" customWidth="1"/>
  </cols>
  <sheetData>
    <row r="1" spans="1:18" ht="37.5">
      <c r="A1" t="s">
        <v>155</v>
      </c>
      <c r="B1" t="s">
        <v>284</v>
      </c>
      <c r="C1" t="s">
        <v>285</v>
      </c>
      <c r="D1" t="s">
        <v>286</v>
      </c>
      <c r="E1" t="s">
        <v>287</v>
      </c>
      <c r="F1" t="s">
        <v>288</v>
      </c>
      <c r="G1" t="s">
        <v>289</v>
      </c>
      <c r="H1" t="s">
        <v>290</v>
      </c>
      <c r="I1" t="s">
        <v>291</v>
      </c>
      <c r="J1" t="s">
        <v>292</v>
      </c>
      <c r="K1" t="s">
        <v>293</v>
      </c>
      <c r="M1" t="s">
        <v>184</v>
      </c>
      <c r="N1" t="s">
        <v>283</v>
      </c>
    </row>
    <row r="2" spans="1:18">
      <c r="A2" t="s">
        <v>294</v>
      </c>
      <c r="B2">
        <v>1129</v>
      </c>
      <c r="C2">
        <v>1060</v>
      </c>
      <c r="D2">
        <v>9055</v>
      </c>
      <c r="E2">
        <v>3873</v>
      </c>
      <c r="F2">
        <v>1051</v>
      </c>
      <c r="G2">
        <v>14</v>
      </c>
      <c r="H2">
        <v>76</v>
      </c>
      <c r="I2">
        <v>98</v>
      </c>
      <c r="J2">
        <v>169</v>
      </c>
      <c r="K2">
        <v>124</v>
      </c>
      <c r="L2">
        <f t="shared" ref="L2:L4" si="0">SUM(B2:K2)</f>
        <v>16649</v>
      </c>
      <c r="M2">
        <f t="shared" ref="M2:M4" si="1">B2+D2+F2+H2+J2</f>
        <v>11480</v>
      </c>
      <c r="N2">
        <f t="shared" ref="N2:N4" si="2">C2+E2+G2+I2+K2</f>
        <v>5169</v>
      </c>
    </row>
    <row r="3" spans="1:18">
      <c r="A3" t="s">
        <v>220</v>
      </c>
      <c r="B3">
        <v>32523</v>
      </c>
      <c r="C3">
        <v>54574</v>
      </c>
      <c r="D3">
        <v>422784</v>
      </c>
      <c r="E3">
        <v>121208</v>
      </c>
      <c r="F3">
        <v>48005</v>
      </c>
      <c r="G3">
        <v>2726</v>
      </c>
      <c r="H3">
        <v>2778</v>
      </c>
      <c r="I3">
        <v>4540</v>
      </c>
      <c r="J3">
        <v>2998</v>
      </c>
      <c r="K3">
        <v>3733</v>
      </c>
      <c r="L3">
        <f t="shared" si="0"/>
        <v>695869</v>
      </c>
      <c r="M3">
        <f t="shared" si="1"/>
        <v>509088</v>
      </c>
      <c r="N3">
        <f t="shared" si="2"/>
        <v>186781</v>
      </c>
    </row>
    <row r="4" spans="1:18">
      <c r="A4" t="s">
        <v>226</v>
      </c>
      <c r="B4">
        <v>7958</v>
      </c>
      <c r="C4">
        <v>21520</v>
      </c>
      <c r="D4">
        <v>94705</v>
      </c>
      <c r="E4">
        <v>70489</v>
      </c>
      <c r="F4">
        <v>132331</v>
      </c>
      <c r="G4">
        <v>9106</v>
      </c>
      <c r="H4">
        <v>152</v>
      </c>
      <c r="I4">
        <v>364</v>
      </c>
      <c r="J4">
        <v>8022</v>
      </c>
      <c r="K4">
        <v>12065</v>
      </c>
      <c r="L4">
        <f t="shared" si="0"/>
        <v>356712</v>
      </c>
      <c r="M4">
        <f t="shared" si="1"/>
        <v>243168</v>
      </c>
      <c r="N4">
        <f t="shared" si="2"/>
        <v>113544</v>
      </c>
      <c r="Q4" t="s">
        <v>184</v>
      </c>
      <c r="R4" t="s">
        <v>283</v>
      </c>
    </row>
    <row r="5" spans="1:18">
      <c r="A5" t="s">
        <v>279</v>
      </c>
      <c r="B5">
        <v>41610</v>
      </c>
      <c r="C5">
        <v>77154</v>
      </c>
      <c r="D5">
        <v>526544</v>
      </c>
      <c r="E5">
        <v>195570</v>
      </c>
      <c r="F5">
        <v>181387</v>
      </c>
      <c r="G5">
        <v>11846</v>
      </c>
      <c r="H5">
        <v>3006</v>
      </c>
      <c r="I5">
        <v>5002</v>
      </c>
      <c r="J5">
        <v>11189</v>
      </c>
      <c r="K5">
        <v>15922</v>
      </c>
      <c r="L5">
        <f>SUM(B5:K5)</f>
        <v>1069230</v>
      </c>
      <c r="M5">
        <f>B5+D5+F5+H5+J5</f>
        <v>763736</v>
      </c>
      <c r="N5">
        <f>C5+E5+G5+I5+K5</f>
        <v>305494</v>
      </c>
      <c r="Q5">
        <f>M5/L5</f>
        <v>0.7142859815007061</v>
      </c>
      <c r="R5">
        <f>N5/L5</f>
        <v>0.2857140184992939</v>
      </c>
    </row>
    <row r="8" spans="1:18">
      <c r="A8" t="s">
        <v>294</v>
      </c>
      <c r="B8">
        <v>0.5157606212882595</v>
      </c>
      <c r="D8">
        <v>0.70041769801980203</v>
      </c>
      <c r="F8">
        <v>0.98685446009389677</v>
      </c>
      <c r="H8">
        <v>0.43678160919540232</v>
      </c>
      <c r="J8">
        <v>0.57679180887372017</v>
      </c>
    </row>
    <row r="9" spans="1:18">
      <c r="A9" t="s">
        <v>220</v>
      </c>
      <c r="B9">
        <v>0.3734112541189708</v>
      </c>
      <c r="D9">
        <v>0.77718789982205616</v>
      </c>
      <c r="F9">
        <v>0.94626559697226553</v>
      </c>
      <c r="H9">
        <v>0.37961191582399562</v>
      </c>
      <c r="J9">
        <v>0.44540187193581932</v>
      </c>
    </row>
    <row r="10" spans="1:18">
      <c r="A10" t="s">
        <v>226</v>
      </c>
      <c r="B10">
        <v>0.26996404097971366</v>
      </c>
      <c r="D10">
        <v>0.57329564027749191</v>
      </c>
      <c r="F10">
        <v>0.93561797832250404</v>
      </c>
      <c r="H10">
        <v>0.29457364341085274</v>
      </c>
      <c r="J10">
        <v>0.39936277194205205</v>
      </c>
    </row>
    <row r="11" spans="1:18">
      <c r="A11" t="s">
        <v>279</v>
      </c>
      <c r="B11">
        <v>0.35035869455390523</v>
      </c>
      <c r="D11">
        <v>0.72917018642485809</v>
      </c>
      <c r="F11">
        <v>0.93869577142620564</v>
      </c>
      <c r="H11">
        <v>0.37537462537462535</v>
      </c>
      <c r="J11">
        <v>0.4127107078307698</v>
      </c>
    </row>
    <row r="17" spans="1:11" ht="37.5">
      <c r="B17" t="s">
        <v>284</v>
      </c>
      <c r="C17" t="s">
        <v>285</v>
      </c>
      <c r="D17" t="s">
        <v>286</v>
      </c>
      <c r="E17" t="s">
        <v>287</v>
      </c>
      <c r="F17" t="s">
        <v>288</v>
      </c>
      <c r="G17" t="s">
        <v>289</v>
      </c>
      <c r="H17" t="s">
        <v>295</v>
      </c>
      <c r="I17" t="s">
        <v>291</v>
      </c>
      <c r="J17" t="s">
        <v>292</v>
      </c>
      <c r="K17" t="s">
        <v>293</v>
      </c>
    </row>
    <row r="18" spans="1:11">
      <c r="A18" t="s">
        <v>294</v>
      </c>
      <c r="B18" s="19">
        <v>0.5157606212882595</v>
      </c>
      <c r="C18" s="19">
        <f>1-B18</f>
        <v>0.4842393787117405</v>
      </c>
      <c r="D18" s="19">
        <v>0.70041769801980203</v>
      </c>
      <c r="E18" s="19">
        <f>1-D18</f>
        <v>0.29958230198019797</v>
      </c>
      <c r="F18" s="19">
        <v>0.98685446009389677</v>
      </c>
      <c r="G18" s="19">
        <f>1-F18</f>
        <v>1.3145539906103232E-2</v>
      </c>
      <c r="H18" s="19">
        <v>0.43678160919540232</v>
      </c>
      <c r="I18" s="19">
        <f>1-H18</f>
        <v>0.56321839080459768</v>
      </c>
      <c r="J18" s="19">
        <v>0.57679180887372017</v>
      </c>
      <c r="K18" s="19">
        <f>1-J18</f>
        <v>0.42320819112627983</v>
      </c>
    </row>
    <row r="19" spans="1:11">
      <c r="A19" t="s">
        <v>220</v>
      </c>
      <c r="B19" s="19">
        <v>0.3734112541189708</v>
      </c>
      <c r="C19" s="19">
        <f t="shared" ref="C19:C21" si="3">1-B19</f>
        <v>0.6265887458810292</v>
      </c>
      <c r="D19" s="19">
        <v>0.77718789982205616</v>
      </c>
      <c r="E19" s="19">
        <f t="shared" ref="E19:E21" si="4">1-D19</f>
        <v>0.22281210017794384</v>
      </c>
      <c r="F19" s="19">
        <v>0.94626559697226553</v>
      </c>
      <c r="G19" s="19">
        <f t="shared" ref="G19:G21" si="5">1-F19</f>
        <v>5.3734403027734468E-2</v>
      </c>
      <c r="H19" s="19">
        <v>0.37961191582399562</v>
      </c>
      <c r="I19" s="19">
        <f t="shared" ref="I19:I21" si="6">1-H19</f>
        <v>0.62038808417600433</v>
      </c>
      <c r="J19" s="19">
        <v>0.44540187193581932</v>
      </c>
      <c r="K19" s="19">
        <f t="shared" ref="K19:K21" si="7">1-J19</f>
        <v>0.55459812806418074</v>
      </c>
    </row>
    <row r="20" spans="1:11">
      <c r="A20" t="s">
        <v>226</v>
      </c>
      <c r="B20" s="19">
        <v>0.26996404097971366</v>
      </c>
      <c r="C20" s="19">
        <f t="shared" si="3"/>
        <v>0.73003595902028628</v>
      </c>
      <c r="D20" s="19">
        <v>0.57329564027749191</v>
      </c>
      <c r="E20" s="19">
        <f t="shared" si="4"/>
        <v>0.42670435972250809</v>
      </c>
      <c r="F20" s="19">
        <v>0.93561797832250404</v>
      </c>
      <c r="G20" s="19">
        <f t="shared" si="5"/>
        <v>6.438202167749596E-2</v>
      </c>
      <c r="H20" s="19">
        <v>0.29457364341085274</v>
      </c>
      <c r="I20" s="19">
        <f t="shared" si="6"/>
        <v>0.70542635658914721</v>
      </c>
      <c r="J20" s="19">
        <v>0.39936277194205205</v>
      </c>
      <c r="K20" s="19">
        <f t="shared" si="7"/>
        <v>0.60063722805794795</v>
      </c>
    </row>
    <row r="21" spans="1:11">
      <c r="A21" t="s">
        <v>279</v>
      </c>
      <c r="B21" s="19">
        <v>0.35035869455390523</v>
      </c>
      <c r="C21" s="19">
        <f t="shared" si="3"/>
        <v>0.64964130544609477</v>
      </c>
      <c r="D21" s="19">
        <v>0.72917018642485809</v>
      </c>
      <c r="E21" s="19">
        <f t="shared" si="4"/>
        <v>0.27082981357514191</v>
      </c>
      <c r="F21" s="19">
        <v>0.93869577142620564</v>
      </c>
      <c r="G21" s="19">
        <f t="shared" si="5"/>
        <v>6.1304228573794362E-2</v>
      </c>
      <c r="H21" s="19">
        <v>0.37537462537462535</v>
      </c>
      <c r="I21" s="19">
        <f t="shared" si="6"/>
        <v>0.62462537462537471</v>
      </c>
      <c r="J21" s="19">
        <v>0.4127107078307698</v>
      </c>
      <c r="K21" s="19">
        <f t="shared" si="7"/>
        <v>0.5872892921692302</v>
      </c>
    </row>
    <row r="26" spans="1:11">
      <c r="B26" t="s">
        <v>296</v>
      </c>
      <c r="C26" t="s">
        <v>297</v>
      </c>
    </row>
    <row r="27" spans="1:11">
      <c r="A27" t="s">
        <v>294</v>
      </c>
      <c r="B27" s="44">
        <f>M2/L2</f>
        <v>0.6895309027569223</v>
      </c>
      <c r="C27" s="44">
        <f>1-B27</f>
        <v>0.3104690972430777</v>
      </c>
    </row>
    <row r="28" spans="1:11">
      <c r="A28" t="s">
        <v>220</v>
      </c>
      <c r="B28" s="44">
        <f t="shared" ref="B28:B29" si="8">M3/L3</f>
        <v>0.73158597379679224</v>
      </c>
      <c r="C28" s="44">
        <f t="shared" ref="C28:C30" si="9">1-B28</f>
        <v>0.26841402620320776</v>
      </c>
    </row>
    <row r="29" spans="1:11">
      <c r="A29" t="s">
        <v>226</v>
      </c>
      <c r="B29" s="44">
        <f t="shared" si="8"/>
        <v>0.68169279418690709</v>
      </c>
      <c r="C29" s="44">
        <f t="shared" si="9"/>
        <v>0.31830720581309291</v>
      </c>
    </row>
    <row r="30" spans="1:11">
      <c r="A30" t="s">
        <v>303</v>
      </c>
      <c r="B30" s="44">
        <v>0.72</v>
      </c>
      <c r="C30" s="44">
        <f t="shared" si="9"/>
        <v>0.28000000000000003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Midwives</vt:lpstr>
      <vt:lpstr>Doctors</vt:lpstr>
      <vt:lpstr>Nurses</vt:lpstr>
      <vt:lpstr>Dentists</vt:lpstr>
      <vt:lpstr>Pharmacists</vt:lpstr>
      <vt:lpstr>Community workers</vt:lpstr>
      <vt:lpstr>Sheet7</vt:lpstr>
      <vt:lpstr>Sheet9</vt:lpstr>
      <vt:lpstr>aggregate</vt:lpstr>
      <vt:lpstr>Sheet3</vt:lpstr>
      <vt:lpstr>Countries</vt:lpstr>
      <vt:lpstr>Sheet2</vt:lpstr>
      <vt:lpstr>Sheet 1 - AFRO Sex 20240123</vt:lpstr>
      <vt:lpstr>Females all</vt:lpstr>
      <vt:lpstr>Country codes</vt:lpstr>
      <vt:lpstr>Females income levels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Joseph Mung'atu</cp:lastModifiedBy>
  <dcterms:modified xsi:type="dcterms:W3CDTF">2024-03-17T16:53:38Z</dcterms:modified>
</cp:coreProperties>
</file>