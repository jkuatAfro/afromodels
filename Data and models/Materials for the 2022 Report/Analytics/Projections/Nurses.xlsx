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Projections\"/>
    </mc:Choice>
  </mc:AlternateContent>
  <xr:revisionPtr revIDLastSave="0" documentId="13_ncr:1_{7C2D52FD-4399-4D5C-8BB9-B7C2CD7A1508}" xr6:coauthVersionLast="47" xr6:coauthVersionMax="47" xr10:uidLastSave="{00000000-0000-0000-0000-000000000000}"/>
  <bookViews>
    <workbookView xWindow="-110" yWindow="-110" windowWidth="19420" windowHeight="10300" tabRatio="590" firstSheet="4" activeTab="6" xr2:uid="{35C1C95E-ACF9-4716-A0F8-F4A640721A36}"/>
  </bookViews>
  <sheets>
    <sheet name="Available" sheetId="1" r:id="rId1"/>
    <sheet name="Sheet4" sheetId="4" r:id="rId2"/>
    <sheet name="proportions" sheetId="2" r:id="rId3"/>
    <sheet name="Income" sheetId="3" r:id="rId4"/>
    <sheet name="Sheet7" sheetId="7" r:id="rId5"/>
    <sheet name="Sheet2" sheetId="9" r:id="rId6"/>
    <sheet name="Projections" sheetId="5" r:id="rId7"/>
    <sheet name="Education" sheetId="6" state="hidden" r:id="rId8"/>
    <sheet name="Edu updated" sheetId="8" r:id="rId9"/>
    <sheet name="Migration" sheetId="10" r:id="rId10"/>
  </sheets>
  <definedNames>
    <definedName name="_xlnm._FilterDatabase" localSheetId="0" hidden="1">Available!$A$1:$B$49</definedName>
    <definedName name="_xlnm._FilterDatabase" localSheetId="6" hidden="1">Projections!$A$2:$AF$50</definedName>
  </definedNames>
  <calcPr calcId="191029"/>
  <pivotCaches>
    <pivotCache cacheId="5" r:id="rId11"/>
    <pivotCache cacheId="6" r:id="rId12"/>
    <pivotCache cacheId="7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" i="5" l="1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1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3" i="5"/>
  <c r="W56" i="5"/>
  <c r="X56" i="5"/>
  <c r="Y56" i="5"/>
  <c r="Z56" i="5"/>
  <c r="AA56" i="5"/>
  <c r="AB56" i="5"/>
  <c r="AC56" i="5"/>
  <c r="V56" i="5"/>
  <c r="E50" i="5"/>
  <c r="F50" i="5"/>
  <c r="D50" i="5"/>
  <c r="V3" i="5" l="1"/>
  <c r="AD51" i="5" l="1"/>
  <c r="AD4" i="5"/>
  <c r="AD5" i="5"/>
  <c r="AD6" i="5"/>
  <c r="AD7" i="5"/>
  <c r="AD8" i="5"/>
  <c r="AD9" i="5"/>
  <c r="AD10" i="5"/>
  <c r="AD11" i="5"/>
  <c r="AD12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3" i="5"/>
  <c r="AD50" i="5" l="1"/>
  <c r="U3" i="5" l="1"/>
  <c r="W3" i="5" s="1"/>
  <c r="S4" i="5"/>
  <c r="T4" i="5" s="1"/>
  <c r="S5" i="5"/>
  <c r="T5" i="5" s="1"/>
  <c r="S6" i="5"/>
  <c r="T6" i="5" s="1"/>
  <c r="S7" i="5"/>
  <c r="T7" i="5" s="1"/>
  <c r="S8" i="5"/>
  <c r="T8" i="5" s="1"/>
  <c r="S9" i="5"/>
  <c r="T9" i="5" s="1"/>
  <c r="S10" i="5"/>
  <c r="S11" i="5"/>
  <c r="S12" i="5"/>
  <c r="T12" i="5" s="1"/>
  <c r="S13" i="5"/>
  <c r="T13" i="5" s="1"/>
  <c r="S14" i="5"/>
  <c r="T14" i="5" s="1"/>
  <c r="S15" i="5"/>
  <c r="T15" i="5" s="1"/>
  <c r="S16" i="5"/>
  <c r="T16" i="5" s="1"/>
  <c r="S17" i="5"/>
  <c r="T17" i="5" s="1"/>
  <c r="S18" i="5"/>
  <c r="T18" i="5" s="1"/>
  <c r="S19" i="5"/>
  <c r="T19" i="5" s="1"/>
  <c r="S20" i="5"/>
  <c r="T20" i="5" s="1"/>
  <c r="S21" i="5"/>
  <c r="T21" i="5" s="1"/>
  <c r="S22" i="5"/>
  <c r="T22" i="5" s="1"/>
  <c r="S23" i="5"/>
  <c r="T23" i="5" s="1"/>
  <c r="S24" i="5"/>
  <c r="T24" i="5" s="1"/>
  <c r="S25" i="5"/>
  <c r="S26" i="5"/>
  <c r="T26" i="5" s="1"/>
  <c r="S27" i="5"/>
  <c r="T27" i="5" s="1"/>
  <c r="S28" i="5"/>
  <c r="T28" i="5" s="1"/>
  <c r="S29" i="5"/>
  <c r="T29" i="5" s="1"/>
  <c r="S30" i="5"/>
  <c r="T30" i="5" s="1"/>
  <c r="S31" i="5"/>
  <c r="S32" i="5"/>
  <c r="T32" i="5" s="1"/>
  <c r="S33" i="5"/>
  <c r="T33" i="5" s="1"/>
  <c r="S34" i="5"/>
  <c r="T34" i="5" s="1"/>
  <c r="S35" i="5"/>
  <c r="T35" i="5" s="1"/>
  <c r="S36" i="5"/>
  <c r="T36" i="5" s="1"/>
  <c r="S37" i="5"/>
  <c r="T37" i="5" s="1"/>
  <c r="S38" i="5"/>
  <c r="T38" i="5" s="1"/>
  <c r="S39" i="5"/>
  <c r="S40" i="5"/>
  <c r="T40" i="5" s="1"/>
  <c r="S41" i="5"/>
  <c r="T41" i="5" s="1"/>
  <c r="S42" i="5"/>
  <c r="T42" i="5" s="1"/>
  <c r="S43" i="5"/>
  <c r="T43" i="5" s="1"/>
  <c r="S44" i="5"/>
  <c r="T44" i="5" s="1"/>
  <c r="S45" i="5"/>
  <c r="T45" i="5" s="1"/>
  <c r="S46" i="5"/>
  <c r="T46" i="5" s="1"/>
  <c r="S47" i="5"/>
  <c r="T47" i="5" s="1"/>
  <c r="S48" i="5"/>
  <c r="T48" i="5" s="1"/>
  <c r="S49" i="5"/>
  <c r="T49" i="5" s="1"/>
  <c r="S3" i="5"/>
  <c r="X3" i="5" l="1"/>
  <c r="U6" i="5"/>
  <c r="V6" i="5" s="1"/>
  <c r="W6" i="5" s="1"/>
  <c r="X6" i="5" s="1"/>
  <c r="Y6" i="5" s="1"/>
  <c r="Z6" i="5" s="1"/>
  <c r="AA6" i="5" s="1"/>
  <c r="AB6" i="5" s="1"/>
  <c r="AC6" i="5" s="1"/>
  <c r="AF6" i="5" s="1"/>
  <c r="U7" i="5"/>
  <c r="V7" i="5" s="1"/>
  <c r="W7" i="5" s="1"/>
  <c r="X7" i="5" s="1"/>
  <c r="Y7" i="5" s="1"/>
  <c r="Z7" i="5" s="1"/>
  <c r="AA7" i="5" s="1"/>
  <c r="AB7" i="5" s="1"/>
  <c r="AC7" i="5" s="1"/>
  <c r="AF7" i="5" s="1"/>
  <c r="U8" i="5"/>
  <c r="V8" i="5" s="1"/>
  <c r="W8" i="5" s="1"/>
  <c r="X8" i="5" s="1"/>
  <c r="Y8" i="5" s="1"/>
  <c r="Z8" i="5" s="1"/>
  <c r="AA8" i="5" s="1"/>
  <c r="AB8" i="5" s="1"/>
  <c r="AC8" i="5" s="1"/>
  <c r="AF8" i="5" s="1"/>
  <c r="U9" i="5"/>
  <c r="V9" i="5" s="1"/>
  <c r="W9" i="5" s="1"/>
  <c r="X9" i="5" s="1"/>
  <c r="Y9" i="5" s="1"/>
  <c r="Z9" i="5" s="1"/>
  <c r="AA9" i="5" s="1"/>
  <c r="AB9" i="5" s="1"/>
  <c r="AC9" i="5" s="1"/>
  <c r="AF9" i="5" s="1"/>
  <c r="U11" i="5"/>
  <c r="V11" i="5" s="1"/>
  <c r="W11" i="5" s="1"/>
  <c r="X11" i="5" s="1"/>
  <c r="Y11" i="5" s="1"/>
  <c r="Z11" i="5" s="1"/>
  <c r="AA11" i="5" s="1"/>
  <c r="AB11" i="5" s="1"/>
  <c r="AC11" i="5" s="1"/>
  <c r="AF11" i="5" s="1"/>
  <c r="U13" i="5"/>
  <c r="V13" i="5" s="1"/>
  <c r="W13" i="5" s="1"/>
  <c r="X13" i="5" s="1"/>
  <c r="Y13" i="5" s="1"/>
  <c r="Z13" i="5" s="1"/>
  <c r="AA13" i="5" s="1"/>
  <c r="AB13" i="5" s="1"/>
  <c r="AC13" i="5" s="1"/>
  <c r="AF13" i="5" s="1"/>
  <c r="U15" i="5"/>
  <c r="V15" i="5" s="1"/>
  <c r="W15" i="5" s="1"/>
  <c r="X15" i="5" s="1"/>
  <c r="Y15" i="5" s="1"/>
  <c r="Z15" i="5" s="1"/>
  <c r="AA15" i="5" s="1"/>
  <c r="AB15" i="5" s="1"/>
  <c r="AC15" i="5" s="1"/>
  <c r="AF15" i="5" s="1"/>
  <c r="U16" i="5"/>
  <c r="V16" i="5" s="1"/>
  <c r="W16" i="5" s="1"/>
  <c r="X16" i="5" s="1"/>
  <c r="Y16" i="5" s="1"/>
  <c r="Z16" i="5" s="1"/>
  <c r="AA16" i="5" s="1"/>
  <c r="AB16" i="5" s="1"/>
  <c r="AC16" i="5" s="1"/>
  <c r="AF16" i="5" s="1"/>
  <c r="U17" i="5"/>
  <c r="V17" i="5" s="1"/>
  <c r="W17" i="5" s="1"/>
  <c r="X17" i="5" s="1"/>
  <c r="Y17" i="5" s="1"/>
  <c r="Z17" i="5" s="1"/>
  <c r="AA17" i="5" s="1"/>
  <c r="AB17" i="5" s="1"/>
  <c r="AC17" i="5" s="1"/>
  <c r="AF17" i="5" s="1"/>
  <c r="U19" i="5"/>
  <c r="V19" i="5" s="1"/>
  <c r="W19" i="5" s="1"/>
  <c r="X19" i="5" s="1"/>
  <c r="Y19" i="5" s="1"/>
  <c r="Z19" i="5" s="1"/>
  <c r="AA19" i="5" s="1"/>
  <c r="AB19" i="5" s="1"/>
  <c r="AC19" i="5" s="1"/>
  <c r="AF19" i="5" s="1"/>
  <c r="U21" i="5"/>
  <c r="V21" i="5" s="1"/>
  <c r="W21" i="5" s="1"/>
  <c r="X21" i="5" s="1"/>
  <c r="Y21" i="5" s="1"/>
  <c r="Z21" i="5" s="1"/>
  <c r="AA21" i="5" s="1"/>
  <c r="AB21" i="5" s="1"/>
  <c r="AC21" i="5" s="1"/>
  <c r="AF21" i="5" s="1"/>
  <c r="U22" i="5"/>
  <c r="V22" i="5" s="1"/>
  <c r="W22" i="5" s="1"/>
  <c r="X22" i="5" s="1"/>
  <c r="Y22" i="5" s="1"/>
  <c r="Z22" i="5" s="1"/>
  <c r="AA22" i="5" s="1"/>
  <c r="AB22" i="5" s="1"/>
  <c r="AC22" i="5" s="1"/>
  <c r="AF22" i="5" s="1"/>
  <c r="U23" i="5"/>
  <c r="V23" i="5" s="1"/>
  <c r="W23" i="5" s="1"/>
  <c r="X23" i="5" s="1"/>
  <c r="Y23" i="5" s="1"/>
  <c r="Z23" i="5" s="1"/>
  <c r="AA23" i="5" s="1"/>
  <c r="AB23" i="5" s="1"/>
  <c r="AC23" i="5" s="1"/>
  <c r="AF23" i="5" s="1"/>
  <c r="U24" i="5"/>
  <c r="V24" i="5" s="1"/>
  <c r="W24" i="5" s="1"/>
  <c r="X24" i="5" s="1"/>
  <c r="Y24" i="5" s="1"/>
  <c r="Z24" i="5" s="1"/>
  <c r="AA24" i="5" s="1"/>
  <c r="AB24" i="5" s="1"/>
  <c r="AC24" i="5" s="1"/>
  <c r="AF24" i="5" s="1"/>
  <c r="U25" i="5"/>
  <c r="V25" i="5" s="1"/>
  <c r="W25" i="5" s="1"/>
  <c r="X25" i="5" s="1"/>
  <c r="Y25" i="5" s="1"/>
  <c r="Z25" i="5" s="1"/>
  <c r="AA25" i="5" s="1"/>
  <c r="AB25" i="5" s="1"/>
  <c r="AC25" i="5" s="1"/>
  <c r="AF25" i="5" s="1"/>
  <c r="U29" i="5"/>
  <c r="V29" i="5" s="1"/>
  <c r="W29" i="5" s="1"/>
  <c r="X29" i="5" s="1"/>
  <c r="Y29" i="5" s="1"/>
  <c r="Z29" i="5" s="1"/>
  <c r="AA29" i="5" s="1"/>
  <c r="AB29" i="5" s="1"/>
  <c r="AC29" i="5" s="1"/>
  <c r="AF29" i="5" s="1"/>
  <c r="U30" i="5"/>
  <c r="V30" i="5" s="1"/>
  <c r="W30" i="5" s="1"/>
  <c r="X30" i="5" s="1"/>
  <c r="Y30" i="5" s="1"/>
  <c r="Z30" i="5" s="1"/>
  <c r="AA30" i="5" s="1"/>
  <c r="AB30" i="5" s="1"/>
  <c r="AC30" i="5" s="1"/>
  <c r="AF30" i="5" s="1"/>
  <c r="U31" i="5"/>
  <c r="V31" i="5" s="1"/>
  <c r="W31" i="5" s="1"/>
  <c r="X31" i="5" s="1"/>
  <c r="Y31" i="5" s="1"/>
  <c r="Z31" i="5" s="1"/>
  <c r="AA31" i="5" s="1"/>
  <c r="AB31" i="5" s="1"/>
  <c r="AC31" i="5" s="1"/>
  <c r="AF31" i="5" s="1"/>
  <c r="U32" i="5"/>
  <c r="V32" i="5" s="1"/>
  <c r="W32" i="5" s="1"/>
  <c r="X32" i="5" s="1"/>
  <c r="Y32" i="5" s="1"/>
  <c r="Z32" i="5" s="1"/>
  <c r="AA32" i="5" s="1"/>
  <c r="AB32" i="5" s="1"/>
  <c r="AC32" i="5" s="1"/>
  <c r="AF32" i="5" s="1"/>
  <c r="U33" i="5"/>
  <c r="V33" i="5" s="1"/>
  <c r="W33" i="5" s="1"/>
  <c r="X33" i="5" s="1"/>
  <c r="Y33" i="5" s="1"/>
  <c r="Z33" i="5" s="1"/>
  <c r="AA33" i="5" s="1"/>
  <c r="AB33" i="5" s="1"/>
  <c r="AC33" i="5" s="1"/>
  <c r="AF33" i="5" s="1"/>
  <c r="U37" i="5"/>
  <c r="V37" i="5" s="1"/>
  <c r="W37" i="5" s="1"/>
  <c r="X37" i="5" s="1"/>
  <c r="Y37" i="5" s="1"/>
  <c r="Z37" i="5" s="1"/>
  <c r="AA37" i="5" s="1"/>
  <c r="AB37" i="5" s="1"/>
  <c r="AC37" i="5" s="1"/>
  <c r="AF37" i="5" s="1"/>
  <c r="U39" i="5"/>
  <c r="V39" i="5" s="1"/>
  <c r="W39" i="5" s="1"/>
  <c r="X39" i="5" s="1"/>
  <c r="Y39" i="5" s="1"/>
  <c r="Z39" i="5" s="1"/>
  <c r="AA39" i="5" s="1"/>
  <c r="AB39" i="5" s="1"/>
  <c r="AC39" i="5" s="1"/>
  <c r="AF39" i="5" s="1"/>
  <c r="U40" i="5"/>
  <c r="V40" i="5" s="1"/>
  <c r="W40" i="5" s="1"/>
  <c r="X40" i="5" s="1"/>
  <c r="Y40" i="5" s="1"/>
  <c r="Z40" i="5" s="1"/>
  <c r="AA40" i="5" s="1"/>
  <c r="AB40" i="5" s="1"/>
  <c r="AC40" i="5" s="1"/>
  <c r="AF40" i="5" s="1"/>
  <c r="U41" i="5"/>
  <c r="V41" i="5" s="1"/>
  <c r="W41" i="5" s="1"/>
  <c r="X41" i="5" s="1"/>
  <c r="Y41" i="5" s="1"/>
  <c r="Z41" i="5" s="1"/>
  <c r="AA41" i="5" s="1"/>
  <c r="AB41" i="5" s="1"/>
  <c r="AC41" i="5" s="1"/>
  <c r="AF41" i="5" s="1"/>
  <c r="U44" i="5"/>
  <c r="V44" i="5" s="1"/>
  <c r="W44" i="5" s="1"/>
  <c r="X44" i="5" s="1"/>
  <c r="Y44" i="5" s="1"/>
  <c r="Z44" i="5" s="1"/>
  <c r="AA44" i="5" s="1"/>
  <c r="AB44" i="5" s="1"/>
  <c r="AC44" i="5" s="1"/>
  <c r="AF44" i="5" s="1"/>
  <c r="U45" i="5"/>
  <c r="V45" i="5" s="1"/>
  <c r="W45" i="5" s="1"/>
  <c r="X45" i="5" s="1"/>
  <c r="Y45" i="5" s="1"/>
  <c r="Z45" i="5" s="1"/>
  <c r="AA45" i="5" s="1"/>
  <c r="AB45" i="5" s="1"/>
  <c r="AC45" i="5" s="1"/>
  <c r="AF45" i="5" s="1"/>
  <c r="U48" i="5"/>
  <c r="V48" i="5" s="1"/>
  <c r="W48" i="5" s="1"/>
  <c r="X48" i="5" s="1"/>
  <c r="Y48" i="5" s="1"/>
  <c r="Z48" i="5" s="1"/>
  <c r="AA48" i="5" s="1"/>
  <c r="AB48" i="5" s="1"/>
  <c r="AC48" i="5" s="1"/>
  <c r="AF48" i="5" s="1"/>
  <c r="U50" i="5"/>
  <c r="U4" i="5"/>
  <c r="V4" i="5" s="1"/>
  <c r="D41" i="6"/>
  <c r="U5" i="5"/>
  <c r="V5" i="5" s="1"/>
  <c r="W5" i="5" s="1"/>
  <c r="X5" i="5" s="1"/>
  <c r="Y5" i="5" s="1"/>
  <c r="Z5" i="5" s="1"/>
  <c r="AA5" i="5" s="1"/>
  <c r="AB5" i="5" s="1"/>
  <c r="AC5" i="5" s="1"/>
  <c r="AF5" i="5" s="1"/>
  <c r="U10" i="5"/>
  <c r="V10" i="5" s="1"/>
  <c r="W10" i="5" s="1"/>
  <c r="X10" i="5" s="1"/>
  <c r="Y10" i="5" s="1"/>
  <c r="Z10" i="5" s="1"/>
  <c r="AA10" i="5" s="1"/>
  <c r="AB10" i="5" s="1"/>
  <c r="AC10" i="5" s="1"/>
  <c r="AF10" i="5" s="1"/>
  <c r="U12" i="5"/>
  <c r="V12" i="5" s="1"/>
  <c r="W12" i="5" s="1"/>
  <c r="X12" i="5" s="1"/>
  <c r="Y12" i="5" s="1"/>
  <c r="Z12" i="5" s="1"/>
  <c r="AA12" i="5" s="1"/>
  <c r="AB12" i="5" s="1"/>
  <c r="AC12" i="5" s="1"/>
  <c r="AF12" i="5" s="1"/>
  <c r="U14" i="5"/>
  <c r="V14" i="5" s="1"/>
  <c r="W14" i="5" s="1"/>
  <c r="X14" i="5" s="1"/>
  <c r="Y14" i="5" s="1"/>
  <c r="Z14" i="5" s="1"/>
  <c r="AA14" i="5" s="1"/>
  <c r="AB14" i="5" s="1"/>
  <c r="AC14" i="5" s="1"/>
  <c r="AF14" i="5" s="1"/>
  <c r="U18" i="5"/>
  <c r="V18" i="5" s="1"/>
  <c r="W18" i="5" s="1"/>
  <c r="X18" i="5" s="1"/>
  <c r="Y18" i="5" s="1"/>
  <c r="Z18" i="5" s="1"/>
  <c r="AA18" i="5" s="1"/>
  <c r="AB18" i="5" s="1"/>
  <c r="AC18" i="5" s="1"/>
  <c r="AF18" i="5" s="1"/>
  <c r="U20" i="5"/>
  <c r="V20" i="5" s="1"/>
  <c r="W20" i="5" s="1"/>
  <c r="X20" i="5" s="1"/>
  <c r="Y20" i="5" s="1"/>
  <c r="Z20" i="5" s="1"/>
  <c r="AA20" i="5" s="1"/>
  <c r="AB20" i="5" s="1"/>
  <c r="AC20" i="5" s="1"/>
  <c r="AF20" i="5" s="1"/>
  <c r="U26" i="5"/>
  <c r="V26" i="5" s="1"/>
  <c r="W26" i="5" s="1"/>
  <c r="X26" i="5" s="1"/>
  <c r="Y26" i="5" s="1"/>
  <c r="Z26" i="5" s="1"/>
  <c r="AA26" i="5" s="1"/>
  <c r="AB26" i="5" s="1"/>
  <c r="AC26" i="5" s="1"/>
  <c r="AF26" i="5" s="1"/>
  <c r="U27" i="5"/>
  <c r="V27" i="5" s="1"/>
  <c r="W27" i="5" s="1"/>
  <c r="X27" i="5" s="1"/>
  <c r="Y27" i="5" s="1"/>
  <c r="Z27" i="5" s="1"/>
  <c r="AA27" i="5" s="1"/>
  <c r="AB27" i="5" s="1"/>
  <c r="AC27" i="5" s="1"/>
  <c r="AF27" i="5" s="1"/>
  <c r="U28" i="5"/>
  <c r="V28" i="5" s="1"/>
  <c r="W28" i="5" s="1"/>
  <c r="X28" i="5" s="1"/>
  <c r="Y28" i="5" s="1"/>
  <c r="Z28" i="5" s="1"/>
  <c r="AA28" i="5" s="1"/>
  <c r="AB28" i="5" s="1"/>
  <c r="AC28" i="5" s="1"/>
  <c r="AF28" i="5" s="1"/>
  <c r="U34" i="5"/>
  <c r="V34" i="5" s="1"/>
  <c r="W34" i="5" s="1"/>
  <c r="X34" i="5" s="1"/>
  <c r="Y34" i="5" s="1"/>
  <c r="Z34" i="5" s="1"/>
  <c r="AA34" i="5" s="1"/>
  <c r="AB34" i="5" s="1"/>
  <c r="AC34" i="5" s="1"/>
  <c r="AF34" i="5" s="1"/>
  <c r="U35" i="5"/>
  <c r="V35" i="5" s="1"/>
  <c r="W35" i="5" s="1"/>
  <c r="X35" i="5" s="1"/>
  <c r="Y35" i="5" s="1"/>
  <c r="Z35" i="5" s="1"/>
  <c r="AA35" i="5" s="1"/>
  <c r="AB35" i="5" s="1"/>
  <c r="AC35" i="5" s="1"/>
  <c r="AF35" i="5" s="1"/>
  <c r="U36" i="5"/>
  <c r="V36" i="5" s="1"/>
  <c r="W36" i="5" s="1"/>
  <c r="X36" i="5" s="1"/>
  <c r="Y36" i="5" s="1"/>
  <c r="Z36" i="5" s="1"/>
  <c r="AA36" i="5" s="1"/>
  <c r="AB36" i="5" s="1"/>
  <c r="AC36" i="5" s="1"/>
  <c r="AF36" i="5" s="1"/>
  <c r="U38" i="5"/>
  <c r="V38" i="5" s="1"/>
  <c r="W38" i="5" s="1"/>
  <c r="X38" i="5" s="1"/>
  <c r="Y38" i="5" s="1"/>
  <c r="Z38" i="5" s="1"/>
  <c r="AA38" i="5" s="1"/>
  <c r="AB38" i="5" s="1"/>
  <c r="AC38" i="5" s="1"/>
  <c r="AF38" i="5" s="1"/>
  <c r="U42" i="5"/>
  <c r="V42" i="5" s="1"/>
  <c r="W42" i="5" s="1"/>
  <c r="X42" i="5" s="1"/>
  <c r="Y42" i="5" s="1"/>
  <c r="Z42" i="5" s="1"/>
  <c r="AA42" i="5" s="1"/>
  <c r="AB42" i="5" s="1"/>
  <c r="AC42" i="5" s="1"/>
  <c r="AF42" i="5" s="1"/>
  <c r="U46" i="5"/>
  <c r="V46" i="5" s="1"/>
  <c r="W46" i="5" s="1"/>
  <c r="X46" i="5" s="1"/>
  <c r="Y46" i="5" s="1"/>
  <c r="Z46" i="5" s="1"/>
  <c r="AA46" i="5" s="1"/>
  <c r="AB46" i="5" s="1"/>
  <c r="AC46" i="5" s="1"/>
  <c r="AF46" i="5" s="1"/>
  <c r="U47" i="5"/>
  <c r="V47" i="5" s="1"/>
  <c r="W47" i="5" s="1"/>
  <c r="X47" i="5" s="1"/>
  <c r="Y47" i="5" s="1"/>
  <c r="Z47" i="5" s="1"/>
  <c r="AA47" i="5" s="1"/>
  <c r="AB47" i="5" s="1"/>
  <c r="AC47" i="5" s="1"/>
  <c r="AF47" i="5" s="1"/>
  <c r="U49" i="5"/>
  <c r="V49" i="5" s="1"/>
  <c r="W49" i="5" s="1"/>
  <c r="X49" i="5" s="1"/>
  <c r="Y49" i="5" s="1"/>
  <c r="Z49" i="5" s="1"/>
  <c r="AA49" i="5" s="1"/>
  <c r="AB49" i="5" s="1"/>
  <c r="AC49" i="5" s="1"/>
  <c r="AF49" i="5" s="1"/>
  <c r="B36" i="6"/>
  <c r="D23" i="6"/>
  <c r="D2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U43" i="5" s="1"/>
  <c r="V43" i="5" s="1"/>
  <c r="W43" i="5" s="1"/>
  <c r="X43" i="5" s="1"/>
  <c r="Y43" i="5" s="1"/>
  <c r="Z43" i="5" s="1"/>
  <c r="AA43" i="5" s="1"/>
  <c r="AB43" i="5" s="1"/>
  <c r="AC43" i="5" s="1"/>
  <c r="AF43" i="5" s="1"/>
  <c r="D38" i="6"/>
  <c r="D39" i="6"/>
  <c r="D40" i="6"/>
  <c r="D42" i="6"/>
  <c r="D43" i="6"/>
  <c r="D2" i="6"/>
  <c r="M5" i="5"/>
  <c r="N5" i="5"/>
  <c r="O5" i="5"/>
  <c r="P5" i="5"/>
  <c r="Q5" i="5"/>
  <c r="R5" i="5"/>
  <c r="M6" i="5"/>
  <c r="N6" i="5"/>
  <c r="O6" i="5"/>
  <c r="P6" i="5"/>
  <c r="Q6" i="5"/>
  <c r="R6" i="5"/>
  <c r="M7" i="5"/>
  <c r="N7" i="5"/>
  <c r="O7" i="5"/>
  <c r="P7" i="5"/>
  <c r="Q7" i="5"/>
  <c r="R7" i="5"/>
  <c r="M8" i="5"/>
  <c r="N8" i="5"/>
  <c r="O8" i="5"/>
  <c r="P8" i="5"/>
  <c r="Q8" i="5"/>
  <c r="R8" i="5"/>
  <c r="M9" i="5"/>
  <c r="N9" i="5"/>
  <c r="O9" i="5"/>
  <c r="P9" i="5"/>
  <c r="Q9" i="5"/>
  <c r="R9" i="5"/>
  <c r="M10" i="5"/>
  <c r="N10" i="5"/>
  <c r="O10" i="5"/>
  <c r="P10" i="5"/>
  <c r="Q10" i="5"/>
  <c r="R10" i="5"/>
  <c r="M11" i="5"/>
  <c r="N11" i="5"/>
  <c r="O11" i="5"/>
  <c r="P11" i="5"/>
  <c r="Q11" i="5"/>
  <c r="R11" i="5"/>
  <c r="M12" i="5"/>
  <c r="N12" i="5"/>
  <c r="O12" i="5"/>
  <c r="P12" i="5"/>
  <c r="Q12" i="5"/>
  <c r="R12" i="5"/>
  <c r="M13" i="5"/>
  <c r="N13" i="5"/>
  <c r="O13" i="5"/>
  <c r="P13" i="5"/>
  <c r="Q13" i="5"/>
  <c r="R13" i="5"/>
  <c r="M14" i="5"/>
  <c r="N14" i="5"/>
  <c r="O14" i="5"/>
  <c r="P14" i="5"/>
  <c r="Q14" i="5"/>
  <c r="R14" i="5"/>
  <c r="M15" i="5"/>
  <c r="N15" i="5"/>
  <c r="O15" i="5"/>
  <c r="P15" i="5"/>
  <c r="Q15" i="5"/>
  <c r="R15" i="5"/>
  <c r="M16" i="5"/>
  <c r="N16" i="5"/>
  <c r="O16" i="5"/>
  <c r="P16" i="5"/>
  <c r="Q16" i="5"/>
  <c r="R16" i="5"/>
  <c r="M17" i="5"/>
  <c r="N17" i="5"/>
  <c r="O17" i="5"/>
  <c r="P17" i="5"/>
  <c r="Q17" i="5"/>
  <c r="R17" i="5"/>
  <c r="M18" i="5"/>
  <c r="N18" i="5"/>
  <c r="O18" i="5"/>
  <c r="P18" i="5"/>
  <c r="Q18" i="5"/>
  <c r="R18" i="5"/>
  <c r="M19" i="5"/>
  <c r="N19" i="5"/>
  <c r="O19" i="5"/>
  <c r="P19" i="5"/>
  <c r="Q19" i="5"/>
  <c r="R19" i="5"/>
  <c r="M20" i="5"/>
  <c r="N20" i="5"/>
  <c r="O20" i="5"/>
  <c r="P20" i="5"/>
  <c r="Q20" i="5"/>
  <c r="R20" i="5"/>
  <c r="M21" i="5"/>
  <c r="N21" i="5"/>
  <c r="O21" i="5"/>
  <c r="P21" i="5"/>
  <c r="Q21" i="5"/>
  <c r="R21" i="5"/>
  <c r="M22" i="5"/>
  <c r="N22" i="5"/>
  <c r="O22" i="5"/>
  <c r="P22" i="5"/>
  <c r="Q22" i="5"/>
  <c r="R22" i="5"/>
  <c r="M23" i="5"/>
  <c r="N23" i="5"/>
  <c r="O23" i="5"/>
  <c r="P23" i="5"/>
  <c r="Q23" i="5"/>
  <c r="R23" i="5"/>
  <c r="M24" i="5"/>
  <c r="N24" i="5"/>
  <c r="O24" i="5"/>
  <c r="P24" i="5"/>
  <c r="Q24" i="5"/>
  <c r="R24" i="5"/>
  <c r="M25" i="5"/>
  <c r="N25" i="5"/>
  <c r="O25" i="5"/>
  <c r="P25" i="5"/>
  <c r="Q25" i="5"/>
  <c r="R25" i="5"/>
  <c r="M26" i="5"/>
  <c r="N26" i="5"/>
  <c r="O26" i="5"/>
  <c r="P26" i="5"/>
  <c r="Q26" i="5"/>
  <c r="R26" i="5"/>
  <c r="M27" i="5"/>
  <c r="N27" i="5"/>
  <c r="O27" i="5"/>
  <c r="P27" i="5"/>
  <c r="Q27" i="5"/>
  <c r="R27" i="5"/>
  <c r="M28" i="5"/>
  <c r="N28" i="5"/>
  <c r="O28" i="5"/>
  <c r="P28" i="5"/>
  <c r="Q28" i="5"/>
  <c r="R28" i="5"/>
  <c r="M29" i="5"/>
  <c r="N29" i="5"/>
  <c r="O29" i="5"/>
  <c r="P29" i="5"/>
  <c r="Q29" i="5"/>
  <c r="R29" i="5"/>
  <c r="M30" i="5"/>
  <c r="N30" i="5"/>
  <c r="O30" i="5"/>
  <c r="P30" i="5"/>
  <c r="Q30" i="5"/>
  <c r="R30" i="5"/>
  <c r="M31" i="5"/>
  <c r="N31" i="5"/>
  <c r="O31" i="5"/>
  <c r="P31" i="5"/>
  <c r="Q31" i="5"/>
  <c r="R31" i="5"/>
  <c r="M32" i="5"/>
  <c r="N32" i="5"/>
  <c r="O32" i="5"/>
  <c r="P32" i="5"/>
  <c r="Q32" i="5"/>
  <c r="R32" i="5"/>
  <c r="M33" i="5"/>
  <c r="N33" i="5"/>
  <c r="O33" i="5"/>
  <c r="P33" i="5"/>
  <c r="Q33" i="5"/>
  <c r="R33" i="5"/>
  <c r="M34" i="5"/>
  <c r="N34" i="5"/>
  <c r="O34" i="5"/>
  <c r="P34" i="5"/>
  <c r="Q34" i="5"/>
  <c r="R34" i="5"/>
  <c r="M35" i="5"/>
  <c r="N35" i="5"/>
  <c r="O35" i="5"/>
  <c r="P35" i="5"/>
  <c r="Q35" i="5"/>
  <c r="R35" i="5"/>
  <c r="M36" i="5"/>
  <c r="N36" i="5"/>
  <c r="O36" i="5"/>
  <c r="P36" i="5"/>
  <c r="Q36" i="5"/>
  <c r="R36" i="5"/>
  <c r="M37" i="5"/>
  <c r="N37" i="5"/>
  <c r="O37" i="5"/>
  <c r="P37" i="5"/>
  <c r="Q37" i="5"/>
  <c r="R37" i="5"/>
  <c r="M38" i="5"/>
  <c r="N38" i="5"/>
  <c r="O38" i="5"/>
  <c r="P38" i="5"/>
  <c r="Q38" i="5"/>
  <c r="R38" i="5"/>
  <c r="M39" i="5"/>
  <c r="N39" i="5"/>
  <c r="O39" i="5"/>
  <c r="P39" i="5"/>
  <c r="Q39" i="5"/>
  <c r="R39" i="5"/>
  <c r="M40" i="5"/>
  <c r="N40" i="5"/>
  <c r="O40" i="5"/>
  <c r="P40" i="5"/>
  <c r="Q40" i="5"/>
  <c r="R40" i="5"/>
  <c r="M41" i="5"/>
  <c r="N41" i="5"/>
  <c r="O41" i="5"/>
  <c r="P41" i="5"/>
  <c r="Q41" i="5"/>
  <c r="R41" i="5"/>
  <c r="M42" i="5"/>
  <c r="N42" i="5"/>
  <c r="O42" i="5"/>
  <c r="P42" i="5"/>
  <c r="Q42" i="5"/>
  <c r="R42" i="5"/>
  <c r="M43" i="5"/>
  <c r="N43" i="5"/>
  <c r="O43" i="5"/>
  <c r="P43" i="5"/>
  <c r="Q43" i="5"/>
  <c r="R43" i="5"/>
  <c r="M44" i="5"/>
  <c r="N44" i="5"/>
  <c r="O44" i="5"/>
  <c r="P44" i="5"/>
  <c r="Q44" i="5"/>
  <c r="R44" i="5"/>
  <c r="M45" i="5"/>
  <c r="N45" i="5"/>
  <c r="O45" i="5"/>
  <c r="P45" i="5"/>
  <c r="Q45" i="5"/>
  <c r="R45" i="5"/>
  <c r="M46" i="5"/>
  <c r="N46" i="5"/>
  <c r="O46" i="5"/>
  <c r="P46" i="5"/>
  <c r="Q46" i="5"/>
  <c r="R46" i="5"/>
  <c r="M47" i="5"/>
  <c r="N47" i="5"/>
  <c r="O47" i="5"/>
  <c r="P47" i="5"/>
  <c r="Q47" i="5"/>
  <c r="R47" i="5"/>
  <c r="M48" i="5"/>
  <c r="N48" i="5"/>
  <c r="O48" i="5"/>
  <c r="P48" i="5"/>
  <c r="Q48" i="5"/>
  <c r="R48" i="5"/>
  <c r="M49" i="5"/>
  <c r="N49" i="5"/>
  <c r="O49" i="5"/>
  <c r="P49" i="5"/>
  <c r="Q49" i="5"/>
  <c r="R49" i="5"/>
  <c r="M50" i="5"/>
  <c r="N50" i="5"/>
  <c r="O50" i="5"/>
  <c r="P50" i="5"/>
  <c r="Q50" i="5"/>
  <c r="R50" i="5"/>
  <c r="N4" i="5"/>
  <c r="O4" i="5"/>
  <c r="P4" i="5"/>
  <c r="Q4" i="5"/>
  <c r="R4" i="5"/>
  <c r="M4" i="5"/>
  <c r="R3" i="5"/>
  <c r="N3" i="5"/>
  <c r="O3" i="5"/>
  <c r="P3" i="5"/>
  <c r="Q3" i="5"/>
  <c r="M3" i="5"/>
  <c r="W4" i="5" l="1"/>
  <c r="V50" i="5"/>
  <c r="Y3" i="5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I3" i="2"/>
  <c r="J3" i="2"/>
  <c r="K3" i="2"/>
  <c r="L3" i="2"/>
  <c r="M3" i="2"/>
  <c r="N3" i="2"/>
  <c r="I4" i="2"/>
  <c r="J4" i="2"/>
  <c r="K4" i="2"/>
  <c r="L4" i="2"/>
  <c r="M4" i="2"/>
  <c r="N4" i="2"/>
  <c r="I5" i="2"/>
  <c r="J5" i="2"/>
  <c r="K5" i="2"/>
  <c r="L5" i="2"/>
  <c r="M5" i="2"/>
  <c r="N5" i="2"/>
  <c r="I6" i="2"/>
  <c r="J6" i="2"/>
  <c r="K6" i="2"/>
  <c r="L6" i="2"/>
  <c r="M6" i="2"/>
  <c r="N6" i="2"/>
  <c r="I7" i="2"/>
  <c r="J7" i="2"/>
  <c r="K7" i="2"/>
  <c r="L7" i="2"/>
  <c r="M7" i="2"/>
  <c r="N7" i="2"/>
  <c r="I8" i="2"/>
  <c r="J8" i="2"/>
  <c r="K8" i="2"/>
  <c r="L8" i="2"/>
  <c r="M8" i="2"/>
  <c r="N8" i="2"/>
  <c r="I9" i="2"/>
  <c r="J9" i="2"/>
  <c r="K9" i="2"/>
  <c r="L9" i="2"/>
  <c r="M9" i="2"/>
  <c r="N9" i="2"/>
  <c r="I10" i="2"/>
  <c r="J10" i="2"/>
  <c r="K10" i="2"/>
  <c r="L10" i="2"/>
  <c r="M10" i="2"/>
  <c r="N10" i="2"/>
  <c r="I11" i="2"/>
  <c r="J11" i="2"/>
  <c r="K11" i="2"/>
  <c r="L11" i="2"/>
  <c r="M11" i="2"/>
  <c r="N11" i="2"/>
  <c r="I12" i="2"/>
  <c r="J12" i="2"/>
  <c r="K12" i="2"/>
  <c r="L12" i="2"/>
  <c r="M12" i="2"/>
  <c r="N12" i="2"/>
  <c r="I13" i="2"/>
  <c r="J13" i="2"/>
  <c r="K13" i="2"/>
  <c r="L13" i="2"/>
  <c r="M13" i="2"/>
  <c r="N13" i="2"/>
  <c r="I14" i="2"/>
  <c r="J14" i="2"/>
  <c r="K14" i="2"/>
  <c r="L14" i="2"/>
  <c r="M14" i="2"/>
  <c r="N14" i="2"/>
  <c r="I15" i="2"/>
  <c r="J15" i="2"/>
  <c r="K15" i="2"/>
  <c r="L15" i="2"/>
  <c r="M15" i="2"/>
  <c r="N15" i="2"/>
  <c r="I16" i="2"/>
  <c r="J16" i="2"/>
  <c r="K16" i="2"/>
  <c r="L16" i="2"/>
  <c r="M16" i="2"/>
  <c r="N16" i="2"/>
  <c r="I17" i="2"/>
  <c r="J17" i="2"/>
  <c r="K17" i="2"/>
  <c r="L17" i="2"/>
  <c r="M17" i="2"/>
  <c r="N17" i="2"/>
  <c r="I18" i="2"/>
  <c r="J18" i="2"/>
  <c r="K18" i="2"/>
  <c r="L18" i="2"/>
  <c r="M18" i="2"/>
  <c r="N18" i="2"/>
  <c r="I19" i="2"/>
  <c r="J19" i="2"/>
  <c r="K19" i="2"/>
  <c r="L19" i="2"/>
  <c r="M19" i="2"/>
  <c r="N19" i="2"/>
  <c r="I20" i="2"/>
  <c r="J20" i="2"/>
  <c r="K20" i="2"/>
  <c r="L20" i="2"/>
  <c r="M20" i="2"/>
  <c r="N20" i="2"/>
  <c r="I21" i="2"/>
  <c r="J21" i="2"/>
  <c r="K21" i="2"/>
  <c r="L21" i="2"/>
  <c r="M21" i="2"/>
  <c r="N21" i="2"/>
  <c r="I22" i="2"/>
  <c r="J22" i="2"/>
  <c r="K22" i="2"/>
  <c r="L22" i="2"/>
  <c r="M22" i="2"/>
  <c r="N22" i="2"/>
  <c r="I23" i="2"/>
  <c r="J23" i="2"/>
  <c r="K23" i="2"/>
  <c r="L23" i="2"/>
  <c r="M23" i="2"/>
  <c r="N23" i="2"/>
  <c r="I24" i="2"/>
  <c r="J24" i="2"/>
  <c r="K24" i="2"/>
  <c r="L24" i="2"/>
  <c r="M24" i="2"/>
  <c r="N24" i="2"/>
  <c r="I25" i="2"/>
  <c r="J25" i="2"/>
  <c r="K25" i="2"/>
  <c r="L25" i="2"/>
  <c r="M25" i="2"/>
  <c r="N25" i="2"/>
  <c r="N2" i="2"/>
  <c r="M2" i="2"/>
  <c r="L2" i="2"/>
  <c r="K2" i="2"/>
  <c r="J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" i="2"/>
  <c r="X4" i="5" l="1"/>
  <c r="W50" i="5"/>
  <c r="Z3" i="5"/>
  <c r="Y4" i="5" l="1"/>
  <c r="X50" i="5"/>
  <c r="AA3" i="5"/>
  <c r="Z4" i="5" l="1"/>
  <c r="Y50" i="5"/>
  <c r="AB3" i="5"/>
  <c r="AA4" i="5" l="1"/>
  <c r="Z50" i="5"/>
  <c r="AC3" i="5"/>
  <c r="AB4" i="5" l="1"/>
  <c r="AA50" i="5"/>
  <c r="AF3" i="5"/>
  <c r="AC4" i="5" l="1"/>
  <c r="AB50" i="5"/>
  <c r="AF4" i="5" l="1"/>
  <c r="AC5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bediakonk</author>
  </authors>
  <commentList>
    <comment ref="B36" authorId="0" shapeId="0" xr:uid="{DF683D68-183F-44EC-9FC1-D5EEEE19C0E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Nursing professionals (275) + Nursing associate professionals (961) + Specialist Nurses (1)
</t>
        </r>
      </text>
    </comment>
  </commentList>
</comments>
</file>

<file path=xl/sharedStrings.xml><?xml version="1.0" encoding="utf-8"?>
<sst xmlns="http://schemas.openxmlformats.org/spreadsheetml/2006/main" count="901" uniqueCount="339">
  <si>
    <t>Data on age group availability</t>
  </si>
  <si>
    <t>Country</t>
  </si>
  <si>
    <t>Data year</t>
  </si>
  <si>
    <t>AGO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</si>
  <si>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</si>
  <si>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</si>
  <si>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</si>
  <si>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</si>
  <si>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</si>
  <si>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</si>
  <si>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</si>
  <si>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</si>
  <si>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</si>
  <si>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</si>
  <si>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</si>
  <si>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DZA</t>
  </si>
  <si>
    <t>ERI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</si>
  <si>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</si>
  <si>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</si>
  <si>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</si>
  <si>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</si>
  <si>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</si>
  <si>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</si>
  <si>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</si>
  <si>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</si>
  <si>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</si>
  <si>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LSO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</si>
  <si>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</si>
  <si>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</si>
  <si>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</si>
  <si>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</si>
  <si>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</si>
  <si>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</si>
  <si>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</si>
  <si>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</si>
  <si>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</si>
  <si>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</si>
  <si>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SEN</t>
  </si>
  <si>
    <t>SLE</t>
  </si>
  <si>
    <t>SSD</t>
  </si>
  <si>
    <t>STP</t>
  </si>
  <si>
    <t>SWZ</t>
  </si>
  <si>
    <t>SYC</t>
  </si>
  <si>
    <t>TCD</t>
  </si>
  <si>
    <t>TGO</t>
  </si>
  <si>
    <t>TZA</t>
  </si>
  <si>
    <t>UGA</t>
  </si>
  <si>
    <t>ZAF</t>
  </si>
  <si>
    <t>ZMB</t>
  </si>
  <si>
    <t>ZWE</t>
  </si>
  <si>
    <t>Row Labels</t>
  </si>
  <si>
    <t>Grand Total</t>
  </si>
  <si>
    <t>Nursing  Personnel  Stock By Age Group &lt; 25 yrs</t>
  </si>
  <si>
    <t>Nursing  Personnel  Stock By Age Group 25-34 yrs</t>
  </si>
  <si>
    <t>Nursing  Personnel  Stock By Age Group 35-44 yrs</t>
  </si>
  <si>
    <t>Nursing  Personnel  Stock By Age Group 45-54 yrs</t>
  </si>
  <si>
    <t>Nursing  Personnel  Stock By Age Group 55-64 yrs</t>
  </si>
  <si>
    <t>Nursing  Personnel  Stock By Age Group ≥ 65 yrs</t>
  </si>
  <si>
    <t>Total</t>
  </si>
  <si>
    <t>country code</t>
  </si>
  <si>
    <t>Income</t>
  </si>
  <si>
    <t>Algeria</t>
  </si>
  <si>
    <t>Lower-Middle-Income Economies</t>
  </si>
  <si>
    <t>Angola</t>
  </si>
  <si>
    <t>Benin</t>
  </si>
  <si>
    <t>Botswana</t>
  </si>
  <si>
    <t>High/Upper-Middle-Income Economies </t>
  </si>
  <si>
    <t>Burkina Faso</t>
  </si>
  <si>
    <t>Low-Income Economies</t>
  </si>
  <si>
    <t>Burundi</t>
  </si>
  <si>
    <t>Cameroon</t>
  </si>
  <si>
    <t>Cape-Verde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</si>
  <si>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</si>
  <si>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</si>
  <si>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</si>
  <si>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</si>
  <si>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</si>
  <si>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</si>
  <si>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</si>
  <si>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</si>
  <si>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</si>
  <si>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</si>
  <si>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</si>
  <si>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</si>
  <si>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</si>
  <si>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</si>
  <si>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</si>
  <si>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</si>
  <si>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</si>
  <si>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</si>
  <si>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</si>
  <si>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</si>
  <si>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</si>
  <si>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</si>
  <si>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</si>
  <si>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</si>
  <si>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</si>
  <si>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</si>
  <si>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</si>
  <si>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</si>
  <si>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</si>
  <si>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</si>
  <si>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</si>
  <si>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</si>
  <si>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</si>
  <si>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</si>
  <si>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</si>
  <si>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</si>
  <si>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</si>
  <si>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</si>
  <si>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</si>
  <si>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AFRO</t>
  </si>
  <si>
    <t>Average of Nursing  Personnel  Stock By Age Group &lt; 25 yrs2</t>
  </si>
  <si>
    <t>Average of Nursing  Personnel  Stock By Age Group 25-34 yrs2</t>
  </si>
  <si>
    <t>Average of Nursing  Personnel  Stock By Age Group 35-44 yrs2</t>
  </si>
  <si>
    <t>Average of Nursing  Personnel  Stock By Age Group 45-54 yrs2</t>
  </si>
  <si>
    <t>Average of Nursing  Personnel  Stock By Age Group ≥ 65 yrs2</t>
  </si>
  <si>
    <t>Average of Nursing  Personnel  Stock By Age Group 55-64 yrs2</t>
  </si>
  <si>
    <t>Nursing  Personnel  Stock By Age Group &lt; 25 years</t>
  </si>
  <si>
    <t>Nursing  Personnel  Stock By Age Group 25-34 years</t>
  </si>
  <si>
    <t>Nursing  Personnel  Stock By Age Group 35-44 years</t>
  </si>
  <si>
    <t>Nursing  Personnel  Stock By Age Group 45-54 years</t>
  </si>
  <si>
    <t>Nursing  Personnel  Stock By Age Group 55-64 years</t>
  </si>
  <si>
    <t>Nursing  Personnel  Stock By Age Group ≥ 65 years</t>
  </si>
  <si>
    <t>Adjusted 2022</t>
  </si>
  <si>
    <t>Country code</t>
  </si>
  <si>
    <t>income level</t>
  </si>
  <si>
    <t>Nursing  Personnel  Stock By Age Group &lt; 25 yrs (prop)</t>
  </si>
  <si>
    <t>Nursing  Personnel  Stock By Age Group 25-34 yrs  (prop)</t>
  </si>
  <si>
    <t>Nursing  Personnel  Stock By Age Group 35-44 yrs  (prop)</t>
  </si>
  <si>
    <t>Nursing  Personnel  Stock By Age Group 45-54 yrs  (prop)</t>
  </si>
  <si>
    <t>Nursing  Personnel  Stock By Age Group 55-64 yrs  (prop)</t>
  </si>
  <si>
    <t>Nursing  Personnel  Stock By Age Group ≥ 65 yrs  (prop)</t>
  </si>
  <si>
    <t xml:space="preserve">Nursing  Personnel  Stock By Age Group 25-34 yrs </t>
  </si>
  <si>
    <t xml:space="preserve">Nursing  Personnel  Stock By Age Group 35-44 yrs </t>
  </si>
  <si>
    <t xml:space="preserve">Nursing  Personnel  Stock By Age Group 45-54 yrs </t>
  </si>
  <si>
    <t xml:space="preserve">Nursing  Personnel  Stock By Age Group 55-64 yrs </t>
  </si>
  <si>
    <t xml:space="preserve">Nursing  Personnel  Stock By Age Group ≥ 65 yrs  </t>
  </si>
  <si>
    <t>Nursing Associate Professionals</t>
  </si>
  <si>
    <t>Nursing Professionals</t>
  </si>
  <si>
    <t>CAR</t>
  </si>
  <si>
    <t>Nurses</t>
  </si>
  <si>
    <t>Ratio of stock to graduates</t>
  </si>
  <si>
    <t>(blank)</t>
  </si>
  <si>
    <t>Average of Ratio of stock to graduates</t>
  </si>
  <si>
    <t>Estimated annual graduates</t>
  </si>
  <si>
    <t>Projected 2023</t>
  </si>
  <si>
    <t>Projected 2024</t>
  </si>
  <si>
    <t>Projected 2025</t>
  </si>
  <si>
    <t>Projected 2026</t>
  </si>
  <si>
    <t>Projected 2027</t>
  </si>
  <si>
    <t>Projected 2028</t>
  </si>
  <si>
    <t>Projected 2029</t>
  </si>
  <si>
    <t>Projected 2030</t>
  </si>
  <si>
    <t>iso codes</t>
  </si>
  <si>
    <t>Generalist Medical Practitioners</t>
  </si>
  <si>
    <t>Specialist Medical Practitioners</t>
  </si>
  <si>
    <t>Dentists</t>
  </si>
  <si>
    <t>Other Dental practitioners</t>
  </si>
  <si>
    <t>Pharmacists</t>
  </si>
  <si>
    <t>Other Pharmacy practitioners</t>
  </si>
  <si>
    <t>Midwifery personnel</t>
  </si>
  <si>
    <t>Nursing Personnel</t>
  </si>
  <si>
    <t>Medical and Pathology Laboratory scientists</t>
  </si>
  <si>
    <t>Paramedical Practitioners</t>
  </si>
  <si>
    <t>Other Health Workers</t>
  </si>
  <si>
    <t>Data Sorce(s)</t>
  </si>
  <si>
    <t>NHWA dataset, 2023</t>
  </si>
  <si>
    <t>Dent-2018;</t>
  </si>
  <si>
    <t>Med-2021; Pharm-2021;Mid-2021; Nur-2021;Biom-2021; others-2021</t>
  </si>
  <si>
    <t>2022 for all</t>
  </si>
  <si>
    <t>2018 dataset</t>
  </si>
  <si>
    <t>Cabo Verde</t>
  </si>
  <si>
    <t>2021 for all</t>
  </si>
  <si>
    <t>Democratic Republic of the Congo</t>
  </si>
  <si>
    <t>Nurs-2022</t>
  </si>
  <si>
    <t>pharmacist from 2018</t>
  </si>
  <si>
    <t xml:space="preserve">HLMA 2023; Ismaila (2023) </t>
  </si>
  <si>
    <t>HLMA data, Dentist-2018; CMHW-2022; Biom -2018;</t>
  </si>
  <si>
    <t>SADC dataset, 2022</t>
  </si>
  <si>
    <t>capacity-HLMA data extracted</t>
  </si>
  <si>
    <t>NHWA dataset, 2023; HLMA dataset, 2019; 2018 survey dataset</t>
  </si>
  <si>
    <t>Med-2021,2022; Nurs-2022; Midw-2022; Other-2021,2022, CHW-2021</t>
  </si>
  <si>
    <t>2030 starategic plan</t>
  </si>
  <si>
    <t>NHWA dataset, 2023; Other and Medical specialist from 2018 Survey dataset</t>
  </si>
  <si>
    <t>other occupations, Medical specialis taken from 2018 survey dataset</t>
  </si>
  <si>
    <t>NHWA dataset, 2023; Zambia HLMA</t>
  </si>
  <si>
    <t>2022 data set for -all</t>
  </si>
  <si>
    <t>Updated Annual graduated</t>
  </si>
  <si>
    <t>Sum of Latest count ever reported</t>
  </si>
  <si>
    <t>MAR</t>
  </si>
  <si>
    <t>AFG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</si>
  <si>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</si>
  <si>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</si>
  <si>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</si>
  <si>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</si>
  <si>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</si>
  <si>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</si>
  <si>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</si>
  <si>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</si>
  <si>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</si>
  <si>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BEL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</si>
  <si>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</si>
  <si>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</si>
  <si>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</si>
  <si>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</si>
  <si>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</si>
  <si>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</si>
  <si>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</si>
  <si>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</si>
  <si>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</si>
  <si>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</si>
  <si>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</si>
  <si>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</si>
  <si>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CAN</t>
  </si>
  <si>
    <t>CHE</t>
  </si>
  <si>
    <t>CHL</t>
  </si>
  <si>
    <t>CHN</t>
  </si>
  <si>
    <t>COK</t>
  </si>
  <si>
    <t>COL</t>
  </si>
  <si>
    <t>CRI</t>
  </si>
  <si>
    <t>CUB</t>
  </si>
  <si>
    <t>CYP</t>
  </si>
  <si>
    <t>CZE</t>
  </si>
  <si>
    <t>DEU</t>
  </si>
  <si>
    <t>DMA</t>
  </si>
  <si>
    <t>DNK</t>
  </si>
  <si>
    <t>DOM</t>
  </si>
  <si>
    <t>ECU</t>
  </si>
  <si>
    <t>EGY</t>
  </si>
  <si>
    <t>ESP</t>
  </si>
  <si>
    <t>EST</t>
  </si>
  <si>
    <t>FIN</t>
  </si>
  <si>
    <t>FJI</t>
  </si>
  <si>
    <t>FRA</t>
  </si>
  <si>
    <t>FSM</t>
  </si>
  <si>
    <t>GBR</t>
  </si>
  <si>
    <t>GEO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</si>
  <si>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</si>
  <si>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</si>
  <si>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</si>
  <si>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</si>
  <si>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</si>
  <si>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</si>
  <si>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</si>
  <si>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</si>
  <si>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</si>
  <si>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</si>
  <si>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</si>
  <si>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</si>
  <si>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</si>
  <si>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</si>
  <si>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</si>
  <si>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</si>
  <si>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</si>
  <si>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</si>
  <si>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</si>
  <si>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</si>
  <si>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KGZ</t>
  </si>
  <si>
    <t>KHM</t>
  </si>
  <si>
    <t>KIR</t>
  </si>
  <si>
    <t>KNA</t>
  </si>
  <si>
    <t>KOR</t>
  </si>
  <si>
    <t>KWT</t>
  </si>
  <si>
    <t>LAO</t>
  </si>
  <si>
    <t>LBN</t>
  </si>
  <si>
    <t>LBY</t>
  </si>
  <si>
    <t>LCA</t>
  </si>
  <si>
    <t>LKA</t>
  </si>
  <si>
    <t>LTU</t>
  </si>
  <si>
    <t>LUX</t>
  </si>
  <si>
    <t>LVA</t>
  </si>
  <si>
    <t>MCO</t>
  </si>
  <si>
    <t>MDA</t>
  </si>
  <si>
    <t>MDV</t>
  </si>
  <si>
    <t>MEX</t>
  </si>
  <si>
    <t>MHL</t>
  </si>
  <si>
    <t>MKD</t>
  </si>
  <si>
    <t>MLT</t>
  </si>
  <si>
    <t>MMR</t>
  </si>
  <si>
    <t>MNE</t>
  </si>
  <si>
    <t>MNG</t>
  </si>
  <si>
    <t>MYS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</si>
  <si>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</si>
  <si>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</si>
  <si>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</si>
  <si>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</si>
  <si>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</si>
  <si>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</si>
  <si>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</si>
  <si>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</si>
  <si>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</si>
  <si>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</si>
  <si>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</si>
  <si>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</si>
  <si>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</si>
  <si>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</si>
  <si>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</si>
  <si>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</si>
  <si>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</si>
  <si>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</si>
  <si>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QAT</t>
  </si>
  <si>
    <t>ROU</t>
  </si>
  <si>
    <t>RUS</t>
  </si>
  <si>
    <t>SAU</t>
  </si>
  <si>
    <t>SDN</t>
  </si>
  <si>
    <t>SGP</t>
  </si>
  <si>
    <t>SLB</t>
  </si>
  <si>
    <t>SLV</t>
  </si>
  <si>
    <t>SMR</t>
  </si>
  <si>
    <t>SOM</t>
  </si>
  <si>
    <t>SRB</t>
  </si>
  <si>
    <t>SUR</t>
  </si>
  <si>
    <t>SVK</t>
  </si>
  <si>
    <t>SVN</t>
  </si>
  <si>
    <t>SWE</t>
  </si>
  <si>
    <t>SYR</t>
  </si>
  <si>
    <t>THA</t>
  </si>
  <si>
    <t>TJK</t>
  </si>
  <si>
    <t>TKM</t>
  </si>
  <si>
    <t>TLS</t>
  </si>
  <si>
    <t>TON</t>
  </si>
  <si>
    <t>TTO</t>
  </si>
  <si>
    <t>TUN</t>
  </si>
  <si>
    <t>TUR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</si>
  <si>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</si>
  <si>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</si>
  <si>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</si>
  <si>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</si>
  <si>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</si>
  <si>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</si>
  <si>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</si>
  <si>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</si>
  <si>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</si>
  <si>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</si>
  <si>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Migrated</t>
  </si>
  <si>
    <t>Migration factor</t>
  </si>
  <si>
    <t>Trajectory</t>
  </si>
  <si>
    <t>Gap due to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</si>
</sst>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0_-;\-* #,##0.000_-;_-* &quot;-&quot;??_-;_-@_-"/>
    <numFmt numFmtId="167" formatCode="0.0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b/>
      <sz val="11"/>
      <color theme="1"/>
      <name val="Arial Nova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Arial Narrow"/>
      <family val="2"/>
    </font>
    <font>
      <b/>
      <sz val="11"/>
      <color rgb="FFFF0000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name val="Arial Narrow"/>
      <family val="2"/>
    </font>
    <font>
      <sz val="11"/>
      <color rgb="FFFF0000"/>
      <name val="Calibri"/>
      <family val="2"/>
      <scheme val="minor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2" applyNumberFormat="1" applyFont="1"/>
    <xf numFmtId="0" fontId="5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0" borderId="1" xfId="0" applyFont="1" applyBorder="1" applyAlignment="1">
      <alignment horizontal="left"/>
    </xf>
    <xf numFmtId="165" fontId="6" fillId="4" borderId="1" xfId="0" applyNumberFormat="1" applyFont="1" applyFill="1" applyBorder="1"/>
    <xf numFmtId="0" fontId="5" fillId="2" borderId="1" xfId="0" applyFont="1" applyFill="1" applyBorder="1" applyAlignment="1">
      <alignment horizontal="left"/>
    </xf>
    <xf numFmtId="165" fontId="5" fillId="3" borderId="1" xfId="0" applyNumberFormat="1" applyFont="1" applyFill="1" applyBorder="1"/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5" fontId="7" fillId="4" borderId="1" xfId="0" applyNumberFormat="1" applyFont="1" applyFill="1" applyBorder="1"/>
    <xf numFmtId="0" fontId="8" fillId="2" borderId="1" xfId="0" applyFont="1" applyFill="1" applyBorder="1" applyAlignment="1">
      <alignment wrapText="1"/>
    </xf>
    <xf numFmtId="165" fontId="9" fillId="0" borderId="0" xfId="1" applyNumberFormat="1" applyFont="1"/>
    <xf numFmtId="0" fontId="12" fillId="5" borderId="1" xfId="0" applyFont="1" applyFill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/>
    <xf numFmtId="165" fontId="6" fillId="0" borderId="1" xfId="0" applyNumberFormat="1" applyFont="1" applyBorder="1"/>
    <xf numFmtId="164" fontId="6" fillId="0" borderId="1" xfId="0" applyNumberFormat="1" applyFont="1" applyBorder="1"/>
    <xf numFmtId="165" fontId="6" fillId="0" borderId="1" xfId="1" applyNumberFormat="1" applyFont="1" applyBorder="1"/>
    <xf numFmtId="10" fontId="6" fillId="0" borderId="1" xfId="2" applyNumberFormat="1" applyFont="1" applyBorder="1"/>
    <xf numFmtId="0" fontId="5" fillId="0" borderId="1" xfId="0" applyFont="1" applyBorder="1"/>
    <xf numFmtId="165" fontId="5" fillId="0" borderId="1" xfId="1" applyNumberFormat="1" applyFont="1" applyBorder="1"/>
    <xf numFmtId="164" fontId="5" fillId="0" borderId="1" xfId="0" applyNumberFormat="1" applyFont="1" applyBorder="1"/>
    <xf numFmtId="0" fontId="2" fillId="0" borderId="8" xfId="0" applyFont="1" applyBorder="1"/>
    <xf numFmtId="0" fontId="8" fillId="0" borderId="1" xfId="0" applyFont="1" applyBorder="1" applyAlignment="1">
      <alignment vertical="top" wrapText="1"/>
    </xf>
    <xf numFmtId="0" fontId="12" fillId="5" borderId="9" xfId="0" applyFont="1" applyFill="1" applyBorder="1" applyAlignment="1">
      <alignment wrapText="1"/>
    </xf>
    <xf numFmtId="165" fontId="6" fillId="5" borderId="1" xfId="1" applyNumberFormat="1" applyFont="1" applyFill="1" applyBorder="1"/>
    <xf numFmtId="165" fontId="5" fillId="5" borderId="1" xfId="1" applyNumberFormat="1" applyFont="1" applyFill="1" applyBorder="1"/>
    <xf numFmtId="0" fontId="0" fillId="5" borderId="0" xfId="0" applyFill="1"/>
    <xf numFmtId="165" fontId="2" fillId="5" borderId="0" xfId="1" applyNumberFormat="1" applyFont="1" applyFill="1"/>
    <xf numFmtId="165" fontId="0" fillId="5" borderId="0" xfId="0" applyNumberFormat="1" applyFill="1"/>
    <xf numFmtId="9" fontId="0" fillId="0" borderId="0" xfId="2" applyFont="1"/>
    <xf numFmtId="0" fontId="13" fillId="0" borderId="0" xfId="0" applyFont="1"/>
    <xf numFmtId="167" fontId="0" fillId="5" borderId="0" xfId="2" applyNumberFormat="1" applyFont="1" applyFill="1"/>
    <xf numFmtId="43" fontId="0" fillId="0" borderId="0" xfId="0" applyNumberFormat="1"/>
    <xf numFmtId="0" fontId="14" fillId="5" borderId="1" xfId="0" applyFont="1" applyFill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Income!$A$64</c:f>
              <c:strCache>
                <c:ptCount val="1"/>
                <c:pt idx="0">
                  <c:v>High/Upper-Middle-Income Economies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Income!$B$63:$G$63</c:f>
              <c:strCache>
                <c:ptCount val="6"/>
                <c:pt idx="0">
                  <c:v>Nursing  Personnel  Stock By Age Group &lt; 25 years</c:v>
                </c:pt>
                <c:pt idx="1">
                  <c:v>Nursing  Personnel  Stock By Age Group 25-34 years</c:v>
                </c:pt>
                <c:pt idx="2">
                  <c:v>Nursing  Personnel  Stock By Age Group 35-44 years</c:v>
                </c:pt>
                <c:pt idx="3">
                  <c:v>Nursing  Personnel  Stock By Age Group 45-54 years</c:v>
                </c:pt>
                <c:pt idx="4">
                  <c:v>Nursing  Personnel  Stock By Age Group 55-64 years</c:v>
                </c:pt>
                <c:pt idx="5">
                  <c:v>Nursing  Personnel  Stock By Age Group ≥ 65 years</c:v>
                </c:pt>
              </c:strCache>
            </c:strRef>
          </c:cat>
          <c:val>
            <c:numRef>
              <c:f>Income!$B$64:$G$64</c:f>
              <c:numCache>
                <c:formatCode>0.00%</c:formatCode>
                <c:ptCount val="6"/>
                <c:pt idx="0">
                  <c:v>1.8679111475270328E-2</c:v>
                </c:pt>
                <c:pt idx="1">
                  <c:v>0.24613491771786639</c:v>
                </c:pt>
                <c:pt idx="2">
                  <c:v>0.31712615934178301</c:v>
                </c:pt>
                <c:pt idx="3">
                  <c:v>0.24329284860264971</c:v>
                </c:pt>
                <c:pt idx="4">
                  <c:v>0.13924057054727651</c:v>
                </c:pt>
                <c:pt idx="5">
                  <c:v>3.5526392315154053E-2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5-4E43-A92E-1FB03405E7AE}"/>
            </c:ext>
          </c:extLst>
        </c:ser>
        <c:ser>
          <c:idx val="1"/>
          <c:order val="1"/>
          <c:tx>
            <c:strRef>
              <c:f>Income!$A$65</c:f>
              <c:strCache>
                <c:ptCount val="1"/>
                <c:pt idx="0">
                  <c:v>Lower-Middle-Income Economies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Income!$B$63:$G$63</c:f>
              <c:strCache>
                <c:ptCount val="6"/>
                <c:pt idx="0">
                  <c:v>Nursing  Personnel  Stock By Age Group &lt; 25 years</c:v>
                </c:pt>
                <c:pt idx="1">
                  <c:v>Nursing  Personnel  Stock By Age Group 25-34 years</c:v>
                </c:pt>
                <c:pt idx="2">
                  <c:v>Nursing  Personnel  Stock By Age Group 35-44 years</c:v>
                </c:pt>
                <c:pt idx="3">
                  <c:v>Nursing  Personnel  Stock By Age Group 45-54 years</c:v>
                </c:pt>
                <c:pt idx="4">
                  <c:v>Nursing  Personnel  Stock By Age Group 55-64 years</c:v>
                </c:pt>
                <c:pt idx="5">
                  <c:v>Nursing  Personnel  Stock By Age Group ≥ 65 years</c:v>
                </c:pt>
              </c:strCache>
            </c:strRef>
          </c:cat>
          <c:val>
            <c:numRef>
              <c:f>Income!$B$65:$G$65</c:f>
              <c:numCache>
                <c:formatCode>0.00%</c:formatCode>
                <c:ptCount val="6"/>
                <c:pt idx="0">
                  <c:v>3.1079803713894617E-2</c:v>
                </c:pt>
                <c:pt idx="1">
                  <c:v>0.33653962637948021</c:v>
                </c:pt>
                <c:pt idx="2">
                  <c:v>0.34941395631522804</c:v>
                </c:pt>
                <c:pt idx="3">
                  <c:v>0.20169962632044125</c:v>
                </c:pt>
                <c:pt idx="4">
                  <c:v>7.3507084647192453E-2</c:v>
                </c:pt>
                <c:pt idx="5">
                  <c:v>7.7599026237634297E-3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5-4E43-A92E-1FB03405E7AE}"/>
            </c:ext>
          </c:extLst>
        </c:ser>
        <c:ser>
          <c:idx val="2"/>
          <c:order val="2"/>
          <c:tx>
            <c:strRef>
              <c:f>Income!$A$66</c:f>
              <c:strCache>
                <c:ptCount val="1"/>
                <c:pt idx="0">
                  <c:v>Low-Income Economies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Income!$B$63:$G$63</c:f>
              <c:strCache>
                <c:ptCount val="6"/>
                <c:pt idx="0">
                  <c:v>Nursing  Personnel  Stock By Age Group &lt; 25 years</c:v>
                </c:pt>
                <c:pt idx="1">
                  <c:v>Nursing  Personnel  Stock By Age Group 25-34 years</c:v>
                </c:pt>
                <c:pt idx="2">
                  <c:v>Nursing  Personnel  Stock By Age Group 35-44 years</c:v>
                </c:pt>
                <c:pt idx="3">
                  <c:v>Nursing  Personnel  Stock By Age Group 45-54 years</c:v>
                </c:pt>
                <c:pt idx="4">
                  <c:v>Nursing  Personnel  Stock By Age Group 55-64 years</c:v>
                </c:pt>
                <c:pt idx="5">
                  <c:v>Nursing  Personnel  Stock By Age Group ≥ 65 years</c:v>
                </c:pt>
              </c:strCache>
            </c:strRef>
          </c:cat>
          <c:val>
            <c:numRef>
              <c:f>Income!$B$66:$G$66</c:f>
              <c:numCache>
                <c:formatCode>0.00%</c:formatCode>
                <c:ptCount val="6"/>
                <c:pt idx="0">
                  <c:v>0.16765299086895941</c:v>
                </c:pt>
                <c:pt idx="1">
                  <c:v>0.35339731243898659</c:v>
                </c:pt>
                <c:pt idx="2">
                  <c:v>0.29951984150713429</c:v>
                </c:pt>
                <c:pt idx="3">
                  <c:v>0.1336555241914486</c:v>
                </c:pt>
                <c:pt idx="4">
                  <c:v>4.3048783589516915E-2</c:v>
                </c:pt>
                <c:pt idx="5">
                  <c:v>2.7255474039542516E-3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5-4E43-A92E-1FB03405E7AE}"/>
            </c:ext>
          </c:extLst>
        </c:ser>
        <c:ser>
          <c:idx val="3"/>
          <c:order val="3"/>
          <c:tx>
            <c:strRef>
              <c:f>Income!$A$67</c:f>
              <c:strCache>
                <c:ptCount val="1"/>
                <c:pt idx="0">
                  <c:v>AFRO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Income!$B$63:$G$63</c:f>
              <c:strCache>
                <c:ptCount val="6"/>
                <c:pt idx="0">
                  <c:v>Nursing  Personnel  Stock By Age Group &lt; 25 years</c:v>
                </c:pt>
                <c:pt idx="1">
                  <c:v>Nursing  Personnel  Stock By Age Group 25-34 years</c:v>
                </c:pt>
                <c:pt idx="2">
                  <c:v>Nursing  Personnel  Stock By Age Group 35-44 years</c:v>
                </c:pt>
                <c:pt idx="3">
                  <c:v>Nursing  Personnel  Stock By Age Group 45-54 years</c:v>
                </c:pt>
                <c:pt idx="4">
                  <c:v>Nursing  Personnel  Stock By Age Group 55-64 years</c:v>
                </c:pt>
                <c:pt idx="5">
                  <c:v>Nursing  Personnel  Stock By Age Group ≥ 65 years</c:v>
                </c:pt>
              </c:strCache>
            </c:strRef>
          </c:cat>
          <c:val>
            <c:numRef>
              <c:f>Income!$B$67:$G$67</c:f>
              <c:numCache>
                <c:formatCode>0.00%</c:formatCode>
                <c:ptCount val="6"/>
                <c:pt idx="0">
                  <c:v>2.8094911126753986E-2</c:v>
                </c:pt>
                <c:pt idx="1">
                  <c:v>0.42408199480095404</c:v>
                </c:pt>
                <c:pt idx="2">
                  <c:v>0.32237544168541793</c:v>
                </c:pt>
                <c:pt idx="3">
                  <c:v>0.14725787510182761</c:v>
                </c:pt>
                <c:pt idx="4">
                  <c:v>7.3303780982837616E-2</c:v>
                </c:pt>
                <c:pt idx="5">
                  <c:v>4.8859963022088162E-3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D5-4E43-A92E-1FB03405E7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03499632"/>
        <c:axId val="352565696"/>
      </c:barChart>
      <c:catAx>
        <c:axId val="2034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70C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52565696"/>
        <c:crosses val="autoZero"/>
        <c:auto val="1"/>
        <c:lblAlgn val="ctr"/>
        <c:lblOffset val="100"/>
        <c:noMultiLvlLbl val="0"/>
      </c:catAx>
      <c:valAx>
        <c:axId val="35256569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0349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Projections!$V$50:$AC$50</c:f>
              <c:numCache>
                <c:formatCode>_-* #,##0_-;\-* #,##0_-;_-* "-"??_-;_-@_-</c:formatCode>
                <c:ptCount val="8"/>
                <c:pt idx="0">
                  <c:v>1751813.4862019871</c:v>
                </c:pt>
                <c:pt idx="1">
                  <c:v>1816536.0591124315</c:v>
                </c:pt>
                <c:pt idx="2">
                  <c:v>1881091.5665167032</c:v>
                </c:pt>
                <c:pt idx="3">
                  <c:v>1945479.730075642</c:v>
                </c:pt>
                <c:pt idx="4">
                  <c:v>2009700.2951070415</c:v>
                </c:pt>
                <c:pt idx="5">
                  <c:v>2073753.0300113256</c:v>
                </c:pt>
                <c:pt idx="6">
                  <c:v>2137637.7257091203</c:v>
                </c:pt>
                <c:pt idx="7">
                  <c:v>2201354.1950904946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73-49CA-BE22-FF17E7C65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257712"/>
        <c:axId val="153299632"/>
      </c:scatterChart>
      <c:valAx>
        <c:axId val="31525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53299632"/>
        <c:crosses val="autoZero"/>
        <c:crossBetween val="midCat"/>
      </c:valAx>
      <c:valAx>
        <c:axId val="15329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1525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0.15267847769028872"/>
          <c:y val="0.19486111111111112"/>
          <c:w val="0.84732152230971125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Projections!$W$54:$AC$54</c:f>
              <c:numCache>
                <c:formatCode>_-* #,##0_-;\-* #,##0_-;_-* "-"??_-;_-@_-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6-476A-B730-4FAB71748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443039"/>
        <c:axId val="1744916992"/>
      </c:lineChart>
      <c:catAx>
        <c:axId val="1624443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744916992"/>
        <c:crosses val="autoZero"/>
        <c:auto val="1"/>
        <c:lblAlgn val="ctr"/>
        <c:lblOffset val="100"/>
        <c:noMultiLvlLbl val="0"/>
      </c:catAx>
      <c:valAx>
        <c:axId val="174491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2444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98424</xdr:colOff>
      <xdr:row>62</xdr:row>
      <xdr:rowOff>50800</xdr:rowOff>
    </xdr:from>
    <xdr:to>
      <xdr:col>21</xdr:col>
      <xdr:colOff>457200</xdr:colOff>
      <xdr:row>86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EDB14D-3C67-CA72-7A52-9A3867731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193675</xdr:colOff>
      <xdr:row>58</xdr:row>
      <xdr:rowOff>25400</xdr:rowOff>
    </xdr:from>
    <xdr:to>
      <xdr:col>27</xdr:col>
      <xdr:colOff>1114425</xdr:colOff>
      <xdr:row>73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D0D356-81ED-7937-F5CE-38DCCACE4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41275</xdr:colOff>
      <xdr:row>57</xdr:row>
      <xdr:rowOff>57150</xdr:rowOff>
    </xdr:from>
    <xdr:to>
      <xdr:col>37</xdr:col>
      <xdr:colOff>346075</xdr:colOff>
      <xdr:row>72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20FDF2-7433-F38C-ECB8-6149DC41E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4.67537222222" createdVersion="8" refreshedVersion="8" minRefreshableVersion="3" recordCount="24" xr:uid="{9B524274-ED2A-4414-8786-CFC875A32A66}">
  <cacheSource type="worksheet">
    <worksheetSource ref="A1:O25" sheet="proportions"/>
  </cacheSource>
  <cacheFields count="15">
    <cacheField name="Country" numFmtId="0">
      <sharedItems/>
    </cacheField>
    <cacheField name="Nursing  Personnel  Stock By Age Group &lt; 25 yrs" numFmtId="0">
      <sharedItems containsSemiMixedTypes="0" containsString="0" containsNumber="1" containsInteger="1" minValue="0" maxValue="16244"/>
    </cacheField>
    <cacheField name="Nursing  Personnel  Stock By Age Group 25-34 yrs" numFmtId="0">
      <sharedItems containsSemiMixedTypes="0" containsString="0" containsNumber="1" containsInteger="1" minValue="253" maxValue="245197"/>
    </cacheField>
    <cacheField name="Nursing  Personnel  Stock By Age Group 35-44 yrs" numFmtId="0">
      <sharedItems containsSemiMixedTypes="0" containsString="0" containsNumber="1" containsInteger="1" minValue="139" maxValue="186392"/>
    </cacheField>
    <cacheField name="Nursing  Personnel  Stock By Age Group 45-54 yrs" numFmtId="0">
      <sharedItems containsSemiMixedTypes="0" containsString="0" containsNumber="1" containsInteger="1" minValue="102" maxValue="85142"/>
    </cacheField>
    <cacheField name="Nursing  Personnel  Stock By Age Group 55-64 yrs" numFmtId="0">
      <sharedItems containsSemiMixedTypes="0" containsString="0" containsNumber="1" containsInteger="1" minValue="100" maxValue="54049"/>
    </cacheField>
    <cacheField name="Nursing  Personnel  Stock By Age Group ≥ 65 yrs" numFmtId="0">
      <sharedItems containsString="0" containsBlank="1" containsNumber="1" containsInteger="1" minValue="0" maxValue="15146"/>
    </cacheField>
    <cacheField name="Total" numFmtId="0">
      <sharedItems containsSemiMixedTypes="0" containsString="0" containsNumber="1" containsInteger="1" minValue="941" maxValue="578183"/>
    </cacheField>
    <cacheField name="Nursing  Personnel  Stock By Age Group &lt; 25 yrs2" numFmtId="0">
      <sharedItems containsSemiMixedTypes="0" containsString="0" containsNumber="1" minValue="0" maxValue="0.88558189271074672"/>
    </cacheField>
    <cacheField name="Nursing  Personnel  Stock By Age Group 25-34 yrs2" numFmtId="0">
      <sharedItems containsSemiMixedTypes="0" containsString="0" containsNumber="1" minValue="7.9754054535733379E-2" maxValue="0.66800437430397397"/>
    </cacheField>
    <cacheField name="Nursing  Personnel  Stock By Age Group 35-44 yrs2" numFmtId="0">
      <sharedItems containsSemiMixedTypes="0" containsString="0" containsNumber="1" minValue="1.2386383888789878E-2" maxValue="0.56322567025543591"/>
    </cacheField>
    <cacheField name="Nursing  Personnel  Stock By Age Group 45-54 yrs2" numFmtId="0">
      <sharedItems containsSemiMixedTypes="0" containsString="0" containsNumber="1" minValue="9.0892888968098374E-3" maxValue="0.35819499649286884"/>
    </cacheField>
    <cacheField name="Nursing  Personnel  Stock By Age Group 55-64 yrs2" numFmtId="0">
      <sharedItems containsSemiMixedTypes="0" containsString="0" containsNumber="1" minValue="7.925917751045921E-3" maxValue="0.18920148843591708"/>
    </cacheField>
    <cacheField name="Nursing  Personnel  Stock By Age Group ≥ 65 yrs2" numFmtId="0">
      <sharedItems containsSemiMixedTypes="0" containsString="0" containsNumber="1" minValue="0" maxValue="8.4477296726504753E-2"/>
    </cacheField>
    <cacheField name="Income" numFmtId="0">
      <sharedItems containsMixedTypes="1" containsNumber="1" containsInteger="1" minValue="0" maxValue="0" count="5">
        <s v="AFRO"/>
        <s v="High/Upper-Middle-Income Economies "/>
        <s v="Lower-Middle-Income Economies"/>
        <s v="Low-Income Economies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4.74825034722" createdVersion="8" refreshedVersion="8" minRefreshableVersion="3" recordCount="48" xr:uid="{EFCDF4EF-0863-42C9-931B-FD686F143797}">
  <cacheSource type="worksheet">
    <worksheetSource ref="A2:T50" sheet="Projections"/>
  </cacheSource>
  <cacheFields count="20">
    <cacheField name="Country" numFmtId="0">
      <sharedItems/>
    </cacheField>
    <cacheField name="Country code" numFmtId="0">
      <sharedItems/>
    </cacheField>
    <cacheField name="income level" numFmtId="0">
      <sharedItems containsBlank="1" count="4">
        <s v="Lower-Middle-Income Economies"/>
        <s v="High/Upper-Middle-Income Economies "/>
        <s v="Low-Income Economies"/>
        <m/>
      </sharedItems>
    </cacheField>
    <cacheField name="2013" numFmtId="165">
      <sharedItems containsSemiMixedTypes="0" containsString="0" containsNumber="1" containsInteger="1" minValue="0" maxValue="479279"/>
    </cacheField>
    <cacheField name="2018" numFmtId="165">
      <sharedItems containsSemiMixedTypes="0" containsString="0" containsNumber="1" containsInteger="1" minValue="355" maxValue="1248604"/>
    </cacheField>
    <cacheField name="Adjusted 2022" numFmtId="165">
      <sharedItems containsSemiMixedTypes="0" containsString="0" containsNumber="1" minValue="440" maxValue="1599096.3166420327"/>
    </cacheField>
    <cacheField name="Nursing  Personnel  Stock By Age Group &lt; 25 yrs (prop)" numFmtId="0">
      <sharedItems containsSemiMixedTypes="0" containsString="0" containsNumber="1" minValue="0" maxValue="0.88558189271074672"/>
    </cacheField>
    <cacheField name="Nursing  Personnel  Stock By Age Group 25-34 yrs  (prop)" numFmtId="0">
      <sharedItems containsSemiMixedTypes="0" containsString="0" containsNumber="1" minValue="7.9754054535733379E-2" maxValue="0.66800437430397397"/>
    </cacheField>
    <cacheField name="Nursing  Personnel  Stock By Age Group 35-44 yrs  (prop)" numFmtId="0">
      <sharedItems containsSemiMixedTypes="0" containsString="0" containsNumber="1" minValue="1.2386383888789878E-2" maxValue="0.56322567025543591"/>
    </cacheField>
    <cacheField name="Nursing  Personnel  Stock By Age Group 45-54 yrs  (prop)" numFmtId="0">
      <sharedItems containsSemiMixedTypes="0" containsString="0" containsNumber="1" minValue="9.0892888968098374E-3" maxValue="0.35819499649286884"/>
    </cacheField>
    <cacheField name="Nursing  Personnel  Stock By Age Group 55-64 yrs  (prop)" numFmtId="0">
      <sharedItems containsSemiMixedTypes="0" containsString="0" containsNumber="1" minValue="7.925917751045921E-3" maxValue="0.18920148843591708"/>
    </cacheField>
    <cacheField name="Nursing  Personnel  Stock By Age Group ≥ 65 yrs  (prop)" numFmtId="0">
      <sharedItems containsSemiMixedTypes="0" containsString="0" containsNumber="1" minValue="0" maxValue="8.4477296726504753E-2"/>
    </cacheField>
    <cacheField name="Nursing  Personnel  Stock By Age Group &lt; 25 yrs" numFmtId="165">
      <sharedItems containsSemiMixedTypes="0" containsString="0" containsNumber="1" minValue="0" maxValue="59083.680467590988"/>
    </cacheField>
    <cacheField name="Nursing  Personnel  Stock By Age Group 25-34 yrs " numFmtId="165">
      <sharedItems containsSemiMixedTypes="0" containsString="0" containsNumber="1" minValue="5320.9794745918634" maxValue="44567.484189991606"/>
    </cacheField>
    <cacheField name="Nursing  Personnel  Stock By Age Group 35-44 yrs " numFmtId="165">
      <sharedItems containsSemiMixedTypes="0" containsString="0" containsNumber="1" minValue="826.38675638912741" maxValue="37576.926319773105"/>
    </cacheField>
    <cacheField name="Nursing  Personnel  Stock By Age Group 45-54 yrs " numFmtId="165">
      <sharedItems containsSemiMixedTypes="0" containsString="0" containsNumber="1" minValue="606.41330324957539" maxValue="23897.822315555248"/>
    </cacheField>
    <cacheField name="Nursing  Personnel  Stock By Age Group 55-64 yrs " numFmtId="165">
      <sharedItems containsSemiMixedTypes="0" containsString="0" containsNumber="1" minValue="528.79625890020384" maxValue="12623.02264618636"/>
    </cacheField>
    <cacheField name="Nursing  Personnel  Stock By Age Group ≥ 65 yrs  " numFmtId="165">
      <sharedItems containsSemiMixedTypes="0" containsString="0" containsNumber="1" minValue="0" maxValue="5636.1016949845625"/>
    </cacheField>
    <cacheField name="Annual graduates (2017 survey)" numFmtId="165">
      <sharedItems containsString="0" containsBlank="1" containsNumber="1" containsInteger="1" minValue="0" maxValue="4445"/>
    </cacheField>
    <cacheField name="Ratio of stock to graduates" numFmtId="0">
      <sharedItems containsString="0" containsBlank="1" containsNumber="1" minValue="8.9718284586398709E-4" maxValue="0.186292215228289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57.49290740741" createdVersion="8" refreshedVersion="8" minRefreshableVersion="3" recordCount="48" xr:uid="{C7DFA359-1328-4816-B3FC-F94DF569AD21}">
  <cacheSource type="worksheet">
    <worksheetSource ref="C2:AC50" sheet="Projections"/>
  </cacheSource>
  <cacheFields count="27">
    <cacheField name="income level" numFmtId="0">
      <sharedItems count="4">
        <s v="Lower-Middle-Income Economies"/>
        <s v="High/Upper-Middle-Income Economies "/>
        <s v="Low-Income Economies"/>
        <s v="AFRO"/>
      </sharedItems>
    </cacheField>
    <cacheField name="2013" numFmtId="165">
      <sharedItems containsSemiMixedTypes="0" containsString="0" containsNumber="1" containsInteger="1" minValue="0" maxValue="479279"/>
    </cacheField>
    <cacheField name="2018" numFmtId="165">
      <sharedItems containsSemiMixedTypes="0" containsString="0" containsNumber="1" containsInteger="1" minValue="355" maxValue="1248604"/>
    </cacheField>
    <cacheField name="Adjusted 2022" numFmtId="165">
      <sharedItems containsSemiMixedTypes="0" containsString="0" containsNumber="1" minValue="440" maxValue="1599096.3166420327"/>
    </cacheField>
    <cacheField name="Nursing  Personnel  Stock By Age Group &lt; 25 yrs (prop)" numFmtId="0">
      <sharedItems containsSemiMixedTypes="0" containsString="0" containsNumber="1" minValue="0" maxValue="0.88558189271074672"/>
    </cacheField>
    <cacheField name="Nursing  Personnel  Stock By Age Group 25-34 yrs  (prop)" numFmtId="0">
      <sharedItems containsSemiMixedTypes="0" containsString="0" containsNumber="1" minValue="7.9754054535733379E-2" maxValue="0.66800437430397397"/>
    </cacheField>
    <cacheField name="Nursing  Personnel  Stock By Age Group 35-44 yrs  (prop)" numFmtId="0">
      <sharedItems containsSemiMixedTypes="0" containsString="0" containsNumber="1" minValue="1.2386383888789878E-2" maxValue="0.56322567025543591"/>
    </cacheField>
    <cacheField name="Nursing  Personnel  Stock By Age Group 45-54 yrs  (prop)" numFmtId="0">
      <sharedItems containsSemiMixedTypes="0" containsString="0" containsNumber="1" minValue="9.0892888968098374E-3" maxValue="0.35819499649286884"/>
    </cacheField>
    <cacheField name="Nursing  Personnel  Stock By Age Group 55-64 yrs  (prop)" numFmtId="0">
      <sharedItems containsSemiMixedTypes="0" containsString="0" containsNumber="1" minValue="7.925917751045921E-3" maxValue="0.18920148843591708"/>
    </cacheField>
    <cacheField name="Nursing  Personnel  Stock By Age Group ≥ 65 yrs  (prop)" numFmtId="0">
      <sharedItems containsSemiMixedTypes="0" containsString="0" containsNumber="1" minValue="0" maxValue="8.4477296726504753E-2"/>
    </cacheField>
    <cacheField name="Nursing  Personnel  Stock By Age Group &lt; 25 yrs" numFmtId="165">
      <sharedItems containsSemiMixedTypes="0" containsString="0" containsNumber="1" minValue="0" maxValue="59083.680467590988"/>
    </cacheField>
    <cacheField name="Nursing  Personnel  Stock By Age Group 25-34 yrs " numFmtId="165">
      <sharedItems containsSemiMixedTypes="0" containsString="0" containsNumber="1" minValue="5320.9794745918634" maxValue="44567.484189991606"/>
    </cacheField>
    <cacheField name="Nursing  Personnel  Stock By Age Group 35-44 yrs " numFmtId="165">
      <sharedItems containsSemiMixedTypes="0" containsString="0" containsNumber="1" minValue="826.38675638912741" maxValue="37576.926319773105"/>
    </cacheField>
    <cacheField name="Nursing  Personnel  Stock By Age Group 45-54 yrs " numFmtId="165">
      <sharedItems containsSemiMixedTypes="0" containsString="0" containsNumber="1" minValue="606.41330324957539" maxValue="23897.822315555248"/>
    </cacheField>
    <cacheField name="Nursing  Personnel  Stock By Age Group 55-64 yrs " numFmtId="165">
      <sharedItems containsSemiMixedTypes="0" containsString="0" containsNumber="1" minValue="528.79625890020384" maxValue="12623.02264618636"/>
    </cacheField>
    <cacheField name="Nursing  Personnel  Stock By Age Group ≥ 65 yrs  " numFmtId="165">
      <sharedItems containsSemiMixedTypes="0" containsString="0" containsNumber="1" minValue="0" maxValue="5636.1016949845625"/>
    </cacheField>
    <cacheField name="Updated Annual graduated" numFmtId="165">
      <sharedItems containsString="0" containsBlank="1" containsNumber="1" containsInteger="1" minValue="0" maxValue="24061"/>
    </cacheField>
    <cacheField name="Ratio of stock to graduates" numFmtId="164">
      <sharedItems containsString="0" containsBlank="1" containsNumber="1" minValue="7.939359811718609E-3" maxValue="0.8620812495508815"/>
    </cacheField>
    <cacheField name="Estimated annual graduates" numFmtId="165">
      <sharedItems containsSemiMixedTypes="0" containsString="0" containsNumber="1" minValue="0" maxValue="68601.231983943202"/>
    </cacheField>
    <cacheField name="Projected 2023" numFmtId="165">
      <sharedItems containsSemiMixedTypes="0" containsString="0" containsNumber="1" minValue="436.5856428455441" maxValue="1639304.0003408045"/>
    </cacheField>
    <cacheField name="Projected 2024" numFmtId="165">
      <sharedItems containsSemiMixedTypes="0" containsString="0" containsNumber="1" minValue="433.3764290651045" maxValue="1771306.6414612555"/>
    </cacheField>
    <cacheField name="Projected 2025" numFmtId="165">
      <sharedItems containsSemiMixedTypes="0" containsString="0" containsNumber="1" minValue="430.19080527956584" maxValue="1836838.5869059321"/>
    </cacheField>
    <cacheField name="Projected 2026" numFmtId="165">
      <sharedItems containsSemiMixedTypes="0" containsString="0" containsNumber="1" minValue="427.02859808575295" maxValue="1902192.2228077"/>
    </cacheField>
    <cacheField name="Projected 2027" numFmtId="165">
      <sharedItems containsSemiMixedTypes="0" containsString="0" containsNumber="1" minValue="423.88963535512681" maxValue="1967367.5312169264"/>
    </cacheField>
    <cacheField name="Projected 2028" numFmtId="165">
      <sharedItems containsSemiMixedTypes="0" containsString="0" containsNumber="1" minValue="420.77374622441516" maxValue="2032364.5128924591"/>
    </cacheField>
    <cacheField name="Projected 2029" numFmtId="165">
      <sharedItems containsSemiMixedTypes="0" containsString="0" containsNumber="1" minValue="417.68076108631175" maxValue="2097183.1868153838"/>
    </cacheField>
    <cacheField name="Projected 2030" numFmtId="165">
      <sharedItems containsSemiMixedTypes="0" containsString="0" containsNumber="1" minValue="414.61051158024424" maxValue="2161823.58971311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AFRO"/>
    <n v="16244"/>
    <n v="245197"/>
    <n v="186392"/>
    <n v="85142"/>
    <n v="42383"/>
    <n v="2825"/>
    <n v="578183"/>
    <n v="2.8094911126753986E-2"/>
    <n v="0.42408199480095404"/>
    <n v="0.32237544168541793"/>
    <n v="0.14725787510182761"/>
    <n v="7.3303780982837616E-2"/>
    <n v="4.8859963022088162E-3"/>
    <x v="0"/>
  </r>
  <r>
    <s v="BWA"/>
    <n v="227"/>
    <n v="2959"/>
    <n v="2657"/>
    <n v="1502"/>
    <n v="646"/>
    <n v="37"/>
    <n v="8028"/>
    <n v="2.8276033881415048E-2"/>
    <n v="0.36858495266567015"/>
    <n v="0.33096661684105633"/>
    <n v="0.18709516691579473"/>
    <n v="8.0468360737419031E-2"/>
    <n v="4.6088689586447438E-3"/>
    <x v="1"/>
  </r>
  <r>
    <s v="CIV"/>
    <n v="35"/>
    <n v="3771"/>
    <n v="6788"/>
    <n v="3016"/>
    <n v="1366"/>
    <n v="3"/>
    <n v="14979"/>
    <n v="2.3366045797449764E-3"/>
    <n v="0.25175245343480873"/>
    <n v="0.45316776820882571"/>
    <n v="0.20134855464316709"/>
    <n v="9.1194338740903935E-2"/>
    <n v="2.002803925495694E-4"/>
    <x v="2"/>
  </r>
  <r>
    <s v="CMR"/>
    <n v="296"/>
    <n v="6515"/>
    <n v="6221"/>
    <n v="2896"/>
    <n v="521"/>
    <n v="19"/>
    <n v="16468"/>
    <n v="1.7974253096915228E-2"/>
    <n v="0.39561573961622543"/>
    <n v="0.37776293417537044"/>
    <n v="0.17585620597522467"/>
    <n v="3.1637114403692011E-2"/>
    <n v="1.1537527325722614E-3"/>
    <x v="2"/>
  </r>
  <r>
    <s v="COG"/>
    <n v="75"/>
    <n v="710"/>
    <n v="2588"/>
    <n v="1522"/>
    <n v="675"/>
    <n v="3"/>
    <n v="5573"/>
    <n v="1.3457742687959805E-2"/>
    <n v="0.12739996411268617"/>
    <n v="0.46438184101919971"/>
    <n v="0.27310245828099766"/>
    <n v="0.12111968419163825"/>
    <n v="5.3830970751839223E-4"/>
    <x v="2"/>
  </r>
  <r>
    <s v="CPV"/>
    <n v="0"/>
    <n v="253"/>
    <n v="249"/>
    <n v="262"/>
    <n v="128"/>
    <n v="49"/>
    <n v="941"/>
    <n v="0"/>
    <n v="0.26886291179596172"/>
    <n v="0.26461211477151964"/>
    <n v="0.27842720510095642"/>
    <n v="0.13602550478214664"/>
    <n v="5.2072263549415514E-2"/>
    <x v="2"/>
  </r>
  <r>
    <s v="ERI"/>
    <n v="859"/>
    <n v="2083"/>
    <n v="940"/>
    <n v="916"/>
    <n v="209"/>
    <m/>
    <n v="5007"/>
    <n v="0.17155981625723987"/>
    <n v="0.41601757539444778"/>
    <n v="0.18773716796484921"/>
    <n v="0.18294387857000199"/>
    <n v="4.1741561813461156E-2"/>
    <n v="0"/>
    <x v="3"/>
  </r>
  <r>
    <s v="GAB"/>
    <n v="0"/>
    <n v="615"/>
    <n v="1660"/>
    <n v="1532"/>
    <n v="470"/>
    <n v="0"/>
    <n v="4277"/>
    <n v="0"/>
    <n v="0.14379237783493104"/>
    <n v="0.38812251578209023"/>
    <n v="0.35819499649286884"/>
    <n v="0.10989010989010989"/>
    <n v="0"/>
    <x v="1"/>
  </r>
  <r>
    <s v="GHA"/>
    <n v="39"/>
    <n v="66582"/>
    <n v="30701"/>
    <n v="1561"/>
    <n v="790"/>
    <n v="0"/>
    <n v="99673"/>
    <n v="3.9127948391239352E-4"/>
    <n v="0.66800437430397397"/>
    <n v="0.30801721629729212"/>
    <n v="1.5661212163775546E-2"/>
    <n v="7.925917751045921E-3"/>
    <n v="0"/>
    <x v="2"/>
  </r>
  <r>
    <s v="GNB"/>
    <n v="0"/>
    <n v="659"/>
    <n v="863"/>
    <n v="209"/>
    <n v="134"/>
    <n v="14"/>
    <n v="1879"/>
    <n v="0"/>
    <n v="0.35071846726982436"/>
    <n v="0.45928685470995212"/>
    <n v="0.11122937732836616"/>
    <n v="7.1314529004789781E-2"/>
    <n v="7.4507716870675887E-3"/>
    <x v="3"/>
  </r>
  <r>
    <s v="KEN"/>
    <n v="375"/>
    <n v="11055"/>
    <n v="12233"/>
    <n v="8664"/>
    <n v="3678"/>
    <n v="57"/>
    <n v="36062"/>
    <n v="1.0398757695080694E-2"/>
    <n v="0.30655537685097889"/>
    <n v="0.33922134102379237"/>
    <n v="0.24025289778714437"/>
    <n v="0.10199101547335145"/>
    <n v="1.5806111696522655E-3"/>
    <x v="2"/>
  </r>
  <r>
    <s v="MWI"/>
    <n v="310"/>
    <n v="4736"/>
    <n v="2722"/>
    <n v="1613"/>
    <n v="211"/>
    <m/>
    <n v="9592"/>
    <n v="3.2318598832360303E-2"/>
    <n v="0.493744787322769"/>
    <n v="0.28377814845704752"/>
    <n v="0.16816096747289408"/>
    <n v="2.1997497914929106E-2"/>
    <n v="0"/>
    <x v="3"/>
  </r>
  <r>
    <s v="NGA"/>
    <n v="9026"/>
    <n v="106455"/>
    <n v="89987"/>
    <n v="52923"/>
    <n v="31760"/>
    <n v="2353"/>
    <n v="292504"/>
    <n v="3.085769767251046E-2"/>
    <n v="0.36394374094029486"/>
    <n v="0.30764365615512951"/>
    <n v="0.18093085906517517"/>
    <n v="0.10857971173043787"/>
    <n v="8.0443344364521507E-3"/>
    <x v="2"/>
  </r>
  <r>
    <s v="SEN"/>
    <n v="15"/>
    <n v="1113"/>
    <n v="2668"/>
    <n v="709"/>
    <n v="203"/>
    <n v="29"/>
    <n v="4737"/>
    <n v="3.1665611146295125E-3"/>
    <n v="0.23495883470550982"/>
    <n v="0.56322567025543591"/>
    <n v="0.14967278868482162"/>
    <n v="4.2854127084652735E-2"/>
    <n v="6.122018154950391E-3"/>
    <x v="2"/>
  </r>
  <r>
    <s v="SWZ"/>
    <n v="156"/>
    <n v="2150"/>
    <n v="1684"/>
    <n v="1016"/>
    <n v="478"/>
    <n v="34"/>
    <n v="5518"/>
    <n v="2.8271112722000724E-2"/>
    <n v="0.38963392533526642"/>
    <n v="0.30518303733236679"/>
    <n v="0.18412468285610728"/>
    <n v="8.6625588981515039E-2"/>
    <n v="6.1616527727437476E-3"/>
    <x v="2"/>
  </r>
  <r>
    <s v="SYC"/>
    <n v="42"/>
    <n v="256"/>
    <n v="239"/>
    <n v="162"/>
    <n v="168"/>
    <n v="80"/>
    <n v="947"/>
    <n v="4.4350580781414996E-2"/>
    <n v="0.27032734952481519"/>
    <n v="0.25237592397043296"/>
    <n v="0.17106652587117213"/>
    <n v="0.17740232312565998"/>
    <n v="8.4477296726504753E-2"/>
    <x v="1"/>
  </r>
  <r>
    <s v="TCD"/>
    <n v="123"/>
    <n v="1494"/>
    <n v="1044"/>
    <n v="491"/>
    <n v="215"/>
    <n v="0"/>
    <n v="3367"/>
    <n v="3.653103653103653E-2"/>
    <n v="0.44371844371844371"/>
    <n v="0.31006831006831009"/>
    <n v="0.14582714582714582"/>
    <n v="6.3855063855063857E-2"/>
    <n v="0"/>
    <x v="3"/>
  </r>
  <r>
    <s v="TGO"/>
    <n v="121"/>
    <n v="987"/>
    <n v="1001"/>
    <n v="411"/>
    <n v="146"/>
    <n v="4"/>
    <n v="2670"/>
    <n v="4.5318352059925092E-2"/>
    <n v="0.36966292134831463"/>
    <n v="0.37490636704119851"/>
    <n v="0.15393258426966291"/>
    <n v="5.4681647940074907E-2"/>
    <n v="1.4981273408239701E-3"/>
    <x v="3"/>
  </r>
  <r>
    <s v="ZMB"/>
    <n v="4545"/>
    <n v="19288"/>
    <n v="7021"/>
    <n v="2197"/>
    <n v="585"/>
    <n v="143"/>
    <n v="33779"/>
    <n v="0.13455105242902396"/>
    <n v="0.57100565440066309"/>
    <n v="0.2078510317060896"/>
    <n v="6.5040409722016634E-2"/>
    <n v="1.7318452292844667E-2"/>
    <n v="4.2333994493620299E-3"/>
    <x v="2"/>
  </r>
  <r>
    <s v="BEN"/>
    <n v="206"/>
    <n v="876"/>
    <n v="2422"/>
    <n v="1649"/>
    <n v="289"/>
    <n v="42"/>
    <n v="5484"/>
    <n v="3.7563822027716992E-2"/>
    <n v="0.15973741794310722"/>
    <n v="0.44164843180160468"/>
    <n v="0.30069292487235594"/>
    <n v="5.2698760029175784E-2"/>
    <n v="7.658643326039387E-3"/>
    <x v="2"/>
  </r>
  <r>
    <s v="BDI"/>
    <n v="17"/>
    <n v="2407"/>
    <n v="3522"/>
    <n v="1236"/>
    <n v="292"/>
    <n v="44"/>
    <n v="7518"/>
    <n v="2.261239691407289E-3"/>
    <n v="0.32016493748337321"/>
    <n v="0.4684756584197925"/>
    <n v="0.16440542697525937"/>
    <n v="3.8840117052407558E-2"/>
    <n v="5.8526203777600422E-3"/>
    <x v="3"/>
  </r>
  <r>
    <s v="DZA"/>
    <n v="5302"/>
    <n v="16980"/>
    <n v="9040"/>
    <n v="20042"/>
    <n v="4745"/>
    <n v="302"/>
    <n v="56411"/>
    <n v="9.3988761057240605E-2"/>
    <n v="0.30100512311428623"/>
    <n v="0.16025243303610998"/>
    <n v="0.35528531669355268"/>
    <n v="8.4114800304905077E-2"/>
    <n v="5.3535657939054442E-3"/>
    <x v="2"/>
  </r>
  <r>
    <s v="UGA"/>
    <n v="9938"/>
    <n v="895"/>
    <n v="139"/>
    <n v="102"/>
    <n v="100"/>
    <n v="48"/>
    <n v="11222"/>
    <n v="0.88558189271074672"/>
    <n v="7.9754054535733379E-2"/>
    <n v="1.2386383888789878E-2"/>
    <n v="9.0892888968098374E-3"/>
    <n v="8.9110675458919982E-3"/>
    <n v="4.2773124220281591E-3"/>
    <x v="3"/>
  </r>
  <r>
    <s v="ZAF"/>
    <n v="597"/>
    <n v="57658"/>
    <n v="84855"/>
    <n v="73364"/>
    <n v="54049"/>
    <n v="15146"/>
    <n v="285669"/>
    <n v="2.0898312382512628E-3"/>
    <n v="0.20183499084604911"/>
    <n v="0.29703958077355258"/>
    <n v="0.25681470513076321"/>
    <n v="0.18920148843591708"/>
    <n v="5.3019403575466709E-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Algeria"/>
    <s v="DZA"/>
    <x v="0"/>
    <n v="0"/>
    <n v="57705"/>
    <n v="5043.8935155116633"/>
    <n v="9.3988761057240605E-2"/>
    <n v="0.30100512311428623"/>
    <n v="0.16025243303610998"/>
    <n v="0.35528531669355268"/>
    <n v="8.4114800304905077E-2"/>
    <n v="5.3535657939054442E-3"/>
    <n v="5423.6214568080695"/>
    <n v="17369.500629309889"/>
    <n v="9247.3666483487268"/>
    <n v="20501.739199801457"/>
    <n v="4853.8445515945477"/>
    <n v="308.92751413731366"/>
    <m/>
    <m/>
  </r>
  <r>
    <s v="Angola"/>
    <s v="AGO"/>
    <x v="0"/>
    <n v="0"/>
    <n v="46082"/>
    <n v="66717.353814379763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0"/>
    <m/>
  </r>
  <r>
    <s v="Benin"/>
    <s v="BEN"/>
    <x v="0"/>
    <n v="4880"/>
    <n v="3410"/>
    <n v="5893"/>
    <n v="3.7563822027716992E-2"/>
    <n v="0.15973741794310722"/>
    <n v="0.44164843180160468"/>
    <n v="0.30069292487235594"/>
    <n v="5.2698760029175784E-2"/>
    <n v="7.658643326039387E-3"/>
    <n v="2506.1588048435869"/>
    <n v="10657.25783030574"/>
    <n v="29465.61468607363"/>
    <n v="20061.436258189686"/>
    <n v="3515.9218184456149"/>
    <n v="510.96441652150804"/>
    <n v="140"/>
    <n v="2.3756999830307143E-2"/>
  </r>
  <r>
    <s v="Botswana"/>
    <s v="BWA"/>
    <x v="1"/>
    <n v="5816"/>
    <n v="7645"/>
    <n v="8028"/>
    <n v="2.8276033881415048E-2"/>
    <n v="0.36858495266567015"/>
    <n v="0.33096661684105633"/>
    <n v="0.18709516691579473"/>
    <n v="8.0468360737419031E-2"/>
    <n v="4.6088689586447438E-3"/>
    <n v="1886.5021569337578"/>
    <n v="24591.012697651931"/>
    <n v="22081.216876533013"/>
    <n v="12482.494448081516"/>
    <n v="5368.6360941815301"/>
    <n v="307.49154099801336"/>
    <n v="0"/>
    <m/>
  </r>
  <r>
    <s v="Burkina Faso"/>
    <s v="BFA"/>
    <x v="2"/>
    <n v="6196"/>
    <n v="10325"/>
    <n v="13961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Burundi"/>
    <s v="BDI"/>
    <x v="2"/>
    <n v="6573"/>
    <n v="9156"/>
    <n v="9372"/>
    <n v="2.261239691407289E-3"/>
    <n v="0.32016493748337321"/>
    <n v="0.4684756584197925"/>
    <n v="0.16440542697525937"/>
    <n v="3.8840117052407558E-2"/>
    <n v="5.8526203777600422E-3"/>
    <n v="150.86392855073902"/>
    <n v="21360.55741303699"/>
    <n v="31255.456256217814"/>
    <n v="10968.695040512554"/>
    <n v="2591.3098315774"/>
    <n v="390.47134448426567"/>
    <n v="0"/>
    <m/>
  </r>
  <r>
    <s v="Cameroon"/>
    <s v="CMR"/>
    <x v="0"/>
    <n v="18954"/>
    <n v="9925"/>
    <n v="16473"/>
    <n v="1.7974253096915228E-2"/>
    <n v="0.39561573961622543"/>
    <n v="0.37776293417537044"/>
    <n v="0.17585620597522467"/>
    <n v="3.1637114403692011E-2"/>
    <n v="1.1537527325722614E-3"/>
    <n v="1199.1946034161044"/>
    <n v="26394.435274513249"/>
    <n v="25203.343337336442"/>
    <n v="11732.660714503509"/>
    <n v="2110.7445553371304"/>
    <n v="76.975329273331042"/>
    <n v="0"/>
    <m/>
  </r>
  <r>
    <s v="Cape-Verde"/>
    <s v="CPV"/>
    <x v="0"/>
    <n v="403"/>
    <n v="768"/>
    <n v="941"/>
    <n v="0"/>
    <n v="0.26886291179596172"/>
    <n v="0.26461211477151964"/>
    <n v="0.27842720510095642"/>
    <n v="0.13602550478214664"/>
    <n v="5.2072263549415514E-2"/>
    <n v="0"/>
    <n v="17937.822013855555"/>
    <n v="17654.220084782741"/>
    <n v="18575.926354269392"/>
    <n v="9075.2617303300849"/>
    <n v="3474.1236311419852"/>
    <n v="6"/>
    <n v="6.376195536663124E-3"/>
  </r>
  <r>
    <s v="Central African Republic"/>
    <s v="CAF"/>
    <x v="2"/>
    <n v="322"/>
    <n v="1195"/>
    <n v="648.48014888337468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m/>
    <m/>
  </r>
  <r>
    <s v="Chad"/>
    <s v="TCD"/>
    <x v="2"/>
    <n v="3606"/>
    <n v="4799"/>
    <n v="3387.151734852408"/>
    <n v="3.653103653103653E-2"/>
    <n v="0.44371844371844371"/>
    <n v="0.31006831006831009"/>
    <n v="0.14582714582714582"/>
    <n v="6.3855063855063857E-2"/>
    <n v="0"/>
    <n v="2437.2540894471963"/>
    <n v="29603.720403529362"/>
    <n v="20686.937149454254"/>
    <n v="9729.2012838908413"/>
    <n v="4260.2408880581079"/>
    <n v="0"/>
    <n v="631"/>
    <n v="0.18629221522828981"/>
  </r>
  <r>
    <s v="Comoros"/>
    <s v="COM"/>
    <x v="0"/>
    <n v="0"/>
    <n v="747"/>
    <n v="784.97097407084357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m/>
    <m/>
  </r>
  <r>
    <s v="Congo"/>
    <s v="COG"/>
    <x v="0"/>
    <n v="3289"/>
    <n v="5081"/>
    <n v="5573"/>
    <n v="1.3457742687959805E-2"/>
    <n v="0.12739996411268617"/>
    <n v="0.46438184101919971"/>
    <n v="0.27310245828099766"/>
    <n v="0.12111968419163825"/>
    <n v="5.3830970751839223E-4"/>
    <n v="897.86498045549649"/>
    <n v="8499.7884816453679"/>
    <n v="30982.327592251"/>
    <n v="18220.67333671021"/>
    <n v="8080.784824099469"/>
    <n v="35.914599218219863"/>
    <n v="5"/>
    <n v="8.9718284586398709E-4"/>
  </r>
  <r>
    <s v="Cote d'Ivoire"/>
    <s v="CIV"/>
    <x v="0"/>
    <n v="8780"/>
    <n v="15163"/>
    <n v="19225.233489577877"/>
    <n v="2.3366045797449764E-3"/>
    <n v="0.25175245343480873"/>
    <n v="0.45316776820882571"/>
    <n v="0.20134855464316709"/>
    <n v="9.1194338740903935E-2"/>
    <n v="2.002803925495694E-4"/>
    <n v="155.89207447114572"/>
    <n v="16796.2575094483"/>
    <n v="30234.154328861063"/>
    <n v="13433.442760142156"/>
    <n v="6084.2449636452875"/>
    <n v="13.36217781181249"/>
    <n v="0"/>
    <m/>
  </r>
  <r>
    <s v="DRC"/>
    <s v="COD"/>
    <x v="2"/>
    <n v="59813"/>
    <n v="103785"/>
    <n v="115316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Equatorial Guinea"/>
    <s v="GNQ"/>
    <x v="1"/>
    <n v="0"/>
    <n v="355"/>
    <n v="1375"/>
    <n v="1.8679111475270328E-2"/>
    <n v="0.24613491771786639"/>
    <n v="0.31712615934178301"/>
    <n v="0.24329284860264971"/>
    <n v="0.13924057054727651"/>
    <n v="3.5526392315154053E-2"/>
    <n v="1246.2208892338517"/>
    <n v="16421.470391456143"/>
    <n v="21157.818176601111"/>
    <n v="16231.85506073131"/>
    <n v="9289.7624105187533"/>
    <n v="2370.2268858385951"/>
    <m/>
    <m/>
  </r>
  <r>
    <s v="Eritrea"/>
    <s v="ERI"/>
    <x v="2"/>
    <n v="4262"/>
    <n v="4971"/>
    <n v="5007"/>
    <n v="0.17155981625723987"/>
    <n v="0.41601757539444778"/>
    <n v="0.18773716796484921"/>
    <n v="0.18294387857000199"/>
    <n v="4.1741561813461156E-2"/>
    <n v="0"/>
    <n v="11446.016961564254"/>
    <n v="27755.591770591782"/>
    <n v="12525.327059220486"/>
    <n v="12205.531474729751"/>
    <n v="2784.8865482734914"/>
    <n v="0"/>
    <n v="43"/>
    <n v="8.5879768324345924E-3"/>
  </r>
  <r>
    <s v="Eswatini"/>
    <s v="SWZ"/>
    <x v="0"/>
    <n v="3735"/>
    <n v="4706"/>
    <n v="5242"/>
    <n v="2.8271112722000724E-2"/>
    <n v="0.38963392533526642"/>
    <n v="0.30518303733236679"/>
    <n v="0.18412468285610728"/>
    <n v="8.6625588981515039E-2"/>
    <n v="6.1616527727437476E-3"/>
    <n v="1886.1738301999353"/>
    <n v="25995.344454678598"/>
    <n v="20361.004679850583"/>
    <n v="12284.311612071373"/>
    <n v="5779.4300694587764"/>
    <n v="411.0891681204987"/>
    <n v="0"/>
    <m/>
  </r>
  <r>
    <s v="Ethiopia"/>
    <s v="ETH"/>
    <x v="2"/>
    <n v="0"/>
    <n v="61772"/>
    <n v="131262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4174"/>
    <n v="3.1798997424997331E-2"/>
  </r>
  <r>
    <s v="Gabon"/>
    <s v="GAB"/>
    <x v="1"/>
    <n v="0"/>
    <n v="6085"/>
    <n v="4751.5998777719578"/>
    <n v="0"/>
    <n v="0.14379237783493104"/>
    <n v="0.38812251578209023"/>
    <n v="0.35819499649286884"/>
    <n v="0.10989010989010989"/>
    <n v="0"/>
    <n v="0"/>
    <n v="9593.4469478240717"/>
    <n v="25894.507208760908"/>
    <n v="23897.822315555248"/>
    <n v="7331.5773422395341"/>
    <n v="0"/>
    <n v="0"/>
    <m/>
  </r>
  <r>
    <s v="Gambia"/>
    <s v="GMB"/>
    <x v="2"/>
    <n v="2386"/>
    <n v="1498"/>
    <n v="1429.4036697247707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Ghana"/>
    <s v="GHA"/>
    <x v="0"/>
    <n v="37404"/>
    <n v="125024"/>
    <n v="124204.27697797566"/>
    <n v="3.9127948391239352E-4"/>
    <n v="0.66800437430397397"/>
    <n v="0.30801721629729212"/>
    <n v="1.5661212163775546E-2"/>
    <n v="7.925917751045921E-3"/>
    <n v="0"/>
    <n v="26.105131768491074"/>
    <n v="44567.484189991606"/>
    <n v="20550.09360062678"/>
    <n v="1044.8746330926813"/>
    <n v="528.79625890020384"/>
    <n v="0"/>
    <n v="0"/>
    <m/>
  </r>
  <r>
    <s v="Guinea"/>
    <s v="GIN"/>
    <x v="2"/>
    <n v="5789"/>
    <n v="7195"/>
    <n v="5018.9871797472533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Guinea-Bissau"/>
    <s v="GNB"/>
    <x v="2"/>
    <n v="727"/>
    <n v="1264"/>
    <n v="1879"/>
    <n v="0"/>
    <n v="0.35071846726982436"/>
    <n v="0.45928685470995212"/>
    <n v="0.11122937732836616"/>
    <n v="7.1314529004789781E-2"/>
    <n v="7.4507716870675887E-3"/>
    <n v="0"/>
    <n v="23399.008070077842"/>
    <n v="30642.403587977507"/>
    <n v="7420.9297217697558"/>
    <n v="4757.916663718408"/>
    <n v="497.09577083625152"/>
    <n v="0"/>
    <m/>
  </r>
  <r>
    <s v="Kenya"/>
    <s v="KEN"/>
    <x v="0"/>
    <n v="40292"/>
    <n v="59901"/>
    <n v="109659"/>
    <n v="1.0398757695080694E-2"/>
    <n v="0.30655537685097889"/>
    <n v="0.33922134102379237"/>
    <n v="0.24025289778714437"/>
    <n v="0.10199101547335145"/>
    <n v="1.5806111696522655E-3"/>
    <n v="693.77759637270287"/>
    <n v="20452.563541067284"/>
    <n v="22631.950230472732"/>
    <n v="16029.037586594928"/>
    <n v="6804.5706652234694"/>
    <n v="105.45419464865084"/>
    <n v="1070"/>
    <n v="9.7575210425044911E-3"/>
  </r>
  <r>
    <s v="Lesotho"/>
    <s v="LSO"/>
    <x v="0"/>
    <n v="0"/>
    <n v="6866"/>
    <n v="1235.4801331049025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112"/>
    <n v="9.0653015778190807E-2"/>
  </r>
  <r>
    <s v="Liberia"/>
    <s v="LBR"/>
    <x v="2"/>
    <n v="0"/>
    <n v="8488"/>
    <n v="4423.7952883834278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17"/>
    <n v="3.8428541313023216E-3"/>
  </r>
  <r>
    <s v="Madagascar"/>
    <s v="MDG"/>
    <x v="2"/>
    <n v="3438"/>
    <n v="4560"/>
    <n v="4560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Malawi"/>
    <s v="MWI"/>
    <x v="2"/>
    <n v="3545"/>
    <n v="7957"/>
    <n v="9592"/>
    <n v="3.2318598832360303E-2"/>
    <n v="0.493744787322769"/>
    <n v="0.28377814845704752"/>
    <n v="0.16816096747289408"/>
    <n v="2.1997497914929106E-2"/>
    <n v="0"/>
    <n v="2156.2113930835831"/>
    <n v="32941.345669818867"/>
    <n v="18932.927135398426"/>
    <n v="11219.25476465748"/>
    <n v="1467.6148514214062"/>
    <n v="0"/>
    <n v="0"/>
    <m/>
  </r>
  <r>
    <s v="Mali"/>
    <s v="MLI"/>
    <x v="2"/>
    <n v="4257"/>
    <n v="5225"/>
    <n v="6327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Mauritania"/>
    <s v="MRT"/>
    <x v="0"/>
    <n v="3846"/>
    <n v="4066"/>
    <n v="6503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0"/>
    <m/>
  </r>
  <r>
    <s v="Mauritius"/>
    <s v="MUS"/>
    <x v="1"/>
    <n v="3963"/>
    <n v="4986"/>
    <n v="4598.8787431180344"/>
    <n v="1.8679111475270328E-2"/>
    <n v="0.24613491771786639"/>
    <n v="0.31712615934178301"/>
    <n v="0.24329284860264971"/>
    <n v="0.13924057054727651"/>
    <n v="3.5526392315154053E-2"/>
    <n v="1246.2208892338517"/>
    <n v="16421.470391456143"/>
    <n v="21157.818176601111"/>
    <n v="16231.85506073131"/>
    <n v="9289.7624105187533"/>
    <n v="2370.2268858385951"/>
    <n v="0"/>
    <m/>
  </r>
  <r>
    <s v="Mozambique"/>
    <s v="MOZ"/>
    <x v="2"/>
    <n v="6432"/>
    <n v="8153"/>
    <n v="17168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580"/>
    <n v="3.3783783783783786E-2"/>
  </r>
  <r>
    <s v="Namibia"/>
    <s v="NAM"/>
    <x v="1"/>
    <n v="4110"/>
    <n v="12956"/>
    <n v="15558.321723868956"/>
    <n v="1.8679111475270328E-2"/>
    <n v="0.24613491771786639"/>
    <n v="0.31712615934178301"/>
    <n v="0.24329284860264971"/>
    <n v="0.13924057054727651"/>
    <n v="3.5526392315154053E-2"/>
    <n v="1246.2208892338517"/>
    <n v="16421.470391456143"/>
    <n v="21157.818176601111"/>
    <n v="16231.85506073131"/>
    <n v="9289.7624105187533"/>
    <n v="2370.2268858385951"/>
    <n v="1414"/>
    <n v="9.0883838571784878E-2"/>
  </r>
  <r>
    <s v="Niger"/>
    <s v="NER"/>
    <x v="2"/>
    <n v="3533"/>
    <n v="4107"/>
    <n v="4565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282"/>
    <n v="6.1774370208105146E-2"/>
  </r>
  <r>
    <s v="Nigeria"/>
    <s v="NGA"/>
    <x v="0"/>
    <n v="74920"/>
    <n v="180709"/>
    <n v="220681"/>
    <n v="3.085769767251046E-2"/>
    <n v="0.36394374094029486"/>
    <n v="0.30764365615512951"/>
    <n v="0.18093085906517517"/>
    <n v="0.10857971173043787"/>
    <n v="8.0443344364521507E-3"/>
    <n v="2058.7439335140434"/>
    <n v="24281.363332842622"/>
    <n v="20525.170656451166"/>
    <n v="12071.228140190971"/>
    <n v="7244.1510445829845"/>
    <n v="536.69670679797741"/>
    <n v="0"/>
    <m/>
  </r>
  <r>
    <s v="Rwanda"/>
    <s v="RWA"/>
    <x v="2"/>
    <n v="9625"/>
    <n v="13345"/>
    <n v="13501.239749316621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355"/>
    <n v="2.6293881642829777E-2"/>
  </r>
  <r>
    <s v="Sao Tome and Principe"/>
    <s v="STP"/>
    <x v="0"/>
    <n v="442"/>
    <n v="406"/>
    <n v="440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m/>
    <m/>
  </r>
  <r>
    <s v="Senegal"/>
    <s v="SEN"/>
    <x v="0"/>
    <n v="1682"/>
    <n v="4577"/>
    <n v="4737"/>
    <n v="3.1665611146295125E-3"/>
    <n v="0.23495883470550982"/>
    <n v="0.56322567025543591"/>
    <n v="0.14967278868482162"/>
    <n v="4.2854127084652735E-2"/>
    <n v="6.122018154950391E-3"/>
    <n v="211.26457825959395"/>
    <n v="15675.831706861871"/>
    <n v="37576.926319773105"/>
    <n v="9985.7723990701397"/>
    <n v="2859.1139591131714"/>
    <n v="408.44485130188161"/>
    <n v="0"/>
    <m/>
  </r>
  <r>
    <s v="Seychelles"/>
    <s v="SYC"/>
    <x v="1"/>
    <n v="419"/>
    <n v="1272"/>
    <n v="1277"/>
    <n v="4.4350580781414996E-2"/>
    <n v="0.27032734952481519"/>
    <n v="0.25237592397043296"/>
    <n v="0.17106652587117213"/>
    <n v="0.17740232312565998"/>
    <n v="8.4477296726504753E-2"/>
    <n v="2958.9533898668956"/>
    <n v="18035.525423950599"/>
    <n v="16837.853813766382"/>
    <n v="11413.10593234374"/>
    <n v="11835.813559467582"/>
    <n v="5636.1016949845625"/>
    <m/>
    <m/>
  </r>
  <r>
    <s v="Sierra Leone"/>
    <s v="SLE"/>
    <x v="2"/>
    <n v="6106"/>
    <n v="5757"/>
    <n v="15666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1237"/>
    <n v="7.8960806842844372E-2"/>
  </r>
  <r>
    <s v="South Africa"/>
    <s v="ZAF"/>
    <x v="1"/>
    <n v="58722"/>
    <n v="287458"/>
    <n v="397261.24962174537"/>
    <n v="2.0898312382512628E-3"/>
    <n v="0.20183499084604911"/>
    <n v="0.29703958077355258"/>
    <n v="0.25681470513076321"/>
    <n v="0.18920148843591708"/>
    <n v="5.3019403575466709E-2"/>
    <n v="139.42801013475287"/>
    <n v="13465.89649639796"/>
    <n v="19817.694807344145"/>
    <n v="17133.997546944738"/>
    <n v="12623.02264618636"/>
    <n v="3537.3143073718038"/>
    <n v="4445"/>
    <n v="1.1189110451201401E-2"/>
  </r>
  <r>
    <s v="South Sudan"/>
    <s v="SSD"/>
    <x v="2"/>
    <n v="0"/>
    <n v="3726"/>
    <n v="4530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</r>
  <r>
    <s v="Tanzania"/>
    <s v="TZA"/>
    <x v="0"/>
    <n v="20800"/>
    <n v="31940"/>
    <n v="31940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0"/>
    <m/>
  </r>
  <r>
    <s v="Togo"/>
    <s v="TGO"/>
    <x v="2"/>
    <n v="1341"/>
    <n v="1966"/>
    <n v="2630"/>
    <n v="4.5318352059925092E-2"/>
    <n v="0.36966292134831463"/>
    <n v="0.37490636704119851"/>
    <n v="0.15393258426966291"/>
    <n v="5.4681647940074907E-2"/>
    <n v="1.4981273408239701E-3"/>
    <n v="3023.5205286666483"/>
    <n v="24662.931915652745"/>
    <n v="25012.760737151366"/>
    <n v="10269.974688280929"/>
    <n v="3648.214852771328"/>
    <n v="99.951091856748718"/>
    <n v="160"/>
    <n v="6.0836501901140684E-2"/>
  </r>
  <r>
    <s v="Uganda"/>
    <s v="UGA"/>
    <x v="2"/>
    <n v="40149"/>
    <n v="52907"/>
    <n v="74197"/>
    <n v="0.88558189271074672"/>
    <n v="7.9754054535733379E-2"/>
    <n v="1.2386383888789878E-2"/>
    <n v="9.0892888968098374E-3"/>
    <n v="8.9110675458919982E-3"/>
    <n v="4.2773124220281591E-3"/>
    <n v="59083.680467590988"/>
    <n v="5320.9794745918634"/>
    <n v="826.38675638912741"/>
    <n v="606.41330324957539"/>
    <n v="594.52284632311319"/>
    <n v="285.37096623509433"/>
    <n v="3631"/>
    <n v="4.8937288569618716E-2"/>
  </r>
  <r>
    <s v="Zambia"/>
    <s v="ZMB"/>
    <x v="0"/>
    <n v="0"/>
    <n v="20746"/>
    <n v="49975"/>
    <n v="0.13455105242902396"/>
    <n v="0.57100565440066309"/>
    <n v="0.2078510317060896"/>
    <n v="6.5040409722016634E-2"/>
    <n v="1.7318452292844667E-2"/>
    <n v="4.2333994493620299E-3"/>
    <n v="8976.8901710043538"/>
    <n v="38095.986274660492"/>
    <n v="13867.270823019046"/>
    <n v="4339.3240276560091"/>
    <n v="1155.4413091391741"/>
    <n v="282.441208900687"/>
    <n v="0"/>
    <m/>
  </r>
  <r>
    <s v="Zimbabwe"/>
    <s v="ZWE"/>
    <x v="0"/>
    <n v="18722"/>
    <n v="27874"/>
    <n v="46537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1597"/>
    <n v="3.4316780196402864E-2"/>
  </r>
  <r>
    <s v="AFRO"/>
    <s v="AFRO"/>
    <x v="3"/>
    <n v="479279"/>
    <n v="1248604"/>
    <n v="1599096.3166420327"/>
    <n v="2.8094911126753986E-2"/>
    <n v="0.42408199480095404"/>
    <n v="0.32237544168541793"/>
    <n v="0.14725787510182761"/>
    <n v="7.3303780982837616E-2"/>
    <n v="4.8859963022088162E-3"/>
    <n v="1874.4181260272005"/>
    <n v="28293.628493443211"/>
    <n v="21508.036403992977"/>
    <n v="9824.6557551223777"/>
    <n v="4890.6342917637803"/>
    <n v="325.98074403021678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0"/>
    <n v="57705"/>
    <n v="5043.8935155116633"/>
    <n v="9.3988761057240605E-2"/>
    <n v="0.30100512311428623"/>
    <n v="0.16025243303610998"/>
    <n v="0.35528531669355268"/>
    <n v="8.4114800304905077E-2"/>
    <n v="5.3535657939054442E-3"/>
    <n v="5423.6214568080695"/>
    <n v="17369.500629309889"/>
    <n v="9247.3666483487268"/>
    <n v="20501.739199801457"/>
    <n v="4853.8445515945477"/>
    <n v="308.92751413731366"/>
    <n v="0"/>
    <m/>
    <n v="0"/>
    <n v="57396.072485862685"/>
    <n v="56913.286568319265"/>
    <n v="56434.561594880266"/>
    <n v="55959.863406995442"/>
    <n v="55489.158133438519"/>
    <n v="55022.412187890368"/>
    <n v="54559.59226654251"/>
    <n v="54100.665345720779"/>
  </r>
  <r>
    <x v="0"/>
    <n v="0"/>
    <n v="46082"/>
    <n v="66717.353814379763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2950"/>
    <n v="4.421638196573946E-2"/>
    <n v="2950"/>
    <n v="68264.633645465001"/>
    <n v="69827.840225086329"/>
    <n v="71379.556128870725"/>
    <n v="72919.865821426341"/>
    <n v="74448.853146486596"/>
    <n v="75966.601331474085"/>
    <n v="77473.192992030876"/>
    <n v="78968.710136515525"/>
  </r>
  <r>
    <x v="0"/>
    <n v="4880"/>
    <n v="3410"/>
    <n v="5893"/>
    <n v="3.7563822027716992E-2"/>
    <n v="0.15973741794310722"/>
    <n v="0.44164843180160468"/>
    <n v="0.30069292487235594"/>
    <n v="5.2698760029175784E-2"/>
    <n v="7.658643326039387E-3"/>
    <n v="2506.1588048435869"/>
    <n v="10657.25783030574"/>
    <n v="29465.61468607363"/>
    <n v="20061.436258189686"/>
    <n v="3515.9218184456149"/>
    <n v="510.96441652150804"/>
    <n v="257"/>
    <n v="4.3611063974206686E-2"/>
    <n v="257"/>
    <n v="6027.76761487965"/>
    <n v="6175.9020269748316"/>
    <n v="6323.2557890865064"/>
    <n v="6469.8330151432892"/>
    <n v="6615.6377973939016"/>
    <n v="6760.6742065214203"/>
    <n v="6904.946291756929"/>
    <n v="7048.4580809925637"/>
  </r>
  <r>
    <x v="1"/>
    <n v="5816"/>
    <n v="7645"/>
    <n v="8028"/>
    <n v="2.8276033881415048E-2"/>
    <n v="0.36858495266567015"/>
    <n v="0.33096661684105633"/>
    <n v="0.18709516691579473"/>
    <n v="8.0468360737419031E-2"/>
    <n v="4.6088689586447438E-3"/>
    <n v="1886.5021569337578"/>
    <n v="24591.012697651931"/>
    <n v="22081.216876533013"/>
    <n v="12482.494448081516"/>
    <n v="5368.6360941815301"/>
    <n v="307.49154099801336"/>
    <n v="490"/>
    <n v="6.103637269556552E-2"/>
    <n v="490"/>
    <n v="8334"/>
    <n v="8609.9376681614358"/>
    <n v="8883.6549111406057"/>
    <n v="9155.1695963349648"/>
    <n v="9424.4994473659517"/>
    <n v="9691.6620452359275"/>
    <n v="9956.6748294758072"/>
    <n v="10219.555099283463"/>
  </r>
  <r>
    <x v="2"/>
    <n v="6196"/>
    <n v="10325"/>
    <n v="13961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1170"/>
    <n v="8.3804885036888474E-2"/>
    <n v="1170"/>
    <n v="14741.948632693395"/>
    <n v="15497.486337055736"/>
    <n v="16249.771543505196"/>
    <n v="16998.818253649653"/>
    <n v="17744.640408821764"/>
    <n v="18487.251890338448"/>
    <n v="19226.666519759241"/>
    <n v="19962.89805914355"/>
  </r>
  <r>
    <x v="2"/>
    <n v="6573"/>
    <n v="9156"/>
    <n v="9372"/>
    <n v="2.261239691407289E-3"/>
    <n v="0.32016493748337321"/>
    <n v="0.4684756584197925"/>
    <n v="0.16440542697525937"/>
    <n v="3.8840117052407558E-2"/>
    <n v="5.8526203777600422E-3"/>
    <n v="150.86392855073902"/>
    <n v="21360.55741303699"/>
    <n v="31255.456256217814"/>
    <n v="10968.695040512554"/>
    <n v="2591.3098315774"/>
    <n v="390.47134448426567"/>
    <n v="1467"/>
    <n v="0.15653008962868117"/>
    <n v="1467"/>
    <n v="10344.049241819634"/>
    <n v="11330.772833484818"/>
    <n v="12313.663979170138"/>
    <n v="13292.73756414064"/>
    <n v="14268.008415846823"/>
    <n v="15239.4913041492"/>
    <n v="16207.200941541969"/>
    <n v="17171.151983375832"/>
  </r>
  <r>
    <x v="0"/>
    <n v="18954"/>
    <n v="9925"/>
    <n v="16473"/>
    <n v="1.7974253096915228E-2"/>
    <n v="0.39561573961622543"/>
    <n v="0.37776293417537044"/>
    <n v="0.17585620597522467"/>
    <n v="3.1637114403692011E-2"/>
    <n v="1.1537527325722614E-3"/>
    <n v="1199.1946034161044"/>
    <n v="26394.435274513249"/>
    <n v="25203.343337336442"/>
    <n v="11732.660714503509"/>
    <n v="2110.7445553371304"/>
    <n v="76.975329273331042"/>
    <n v="2660"/>
    <n v="0.16147635524798154"/>
    <n v="2660"/>
    <n v="18315.994231236338"/>
    <n v="20120.047710745239"/>
    <n v="21918.393685621981"/>
    <n v="23711.050212764261"/>
    <n v="25498.035291942972"/>
    <n v="27279.366865982913"/>
    <n v="29055.062820942974"/>
    <n v="30825.140986295712"/>
  </r>
  <r>
    <x v="0"/>
    <n v="403"/>
    <n v="768"/>
    <n v="941"/>
    <n v="0"/>
    <n v="0.26886291179596172"/>
    <n v="0.26461211477151964"/>
    <n v="0.27842720510095642"/>
    <n v="0.13602550478214664"/>
    <n v="5.2072263549415514E-2"/>
    <n v="0"/>
    <n v="17937.822013855555"/>
    <n v="17654.220084782741"/>
    <n v="18575.926354269392"/>
    <n v="9075.2617303300849"/>
    <n v="3474.1236311419852"/>
    <n v="0"/>
    <m/>
    <n v="0"/>
    <n v="892"/>
    <n v="879.86652497343255"/>
    <n v="867.89809615339004"/>
    <n v="856.09246849051715"/>
    <n v="844.44742747385544"/>
    <n v="832.96078871544375"/>
    <n v="821.63039754056842"/>
    <n v="810.45412858358725"/>
  </r>
  <r>
    <x v="2"/>
    <n v="322"/>
    <n v="1195"/>
    <n v="648.48014888337468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  <n v="0"/>
    <n v="646.71268549706974"/>
    <n v="643.92866605281392"/>
    <n v="641.15663147361454"/>
    <n v="638.39653016608543"/>
    <n v="635.64831075894358"/>
    <n v="632.91192210205327"/>
    <n v="630.18731326547368"/>
    <n v="627.47443353851122"/>
  </r>
  <r>
    <x v="2"/>
    <n v="3606"/>
    <n v="4799"/>
    <n v="3387.151734852408"/>
    <n v="3.653103653103653E-2"/>
    <n v="0.44371844371844371"/>
    <n v="0.31006831006831009"/>
    <n v="0.14582714582714582"/>
    <n v="6.3855063855063857E-2"/>
    <n v="0"/>
    <n v="2437.2540894471963"/>
    <n v="29603.720403529362"/>
    <n v="20686.937149454254"/>
    <n v="9729.2012838908413"/>
    <n v="4260.2408880581079"/>
    <n v="0"/>
    <n v="2920"/>
    <n v="0.8620812495508815"/>
    <n v="2920"/>
    <n v="5431.1517348524076"/>
    <n v="7440.4710807688534"/>
    <n v="9436.9599051714285"/>
    <n v="11420.700137437188"/>
    <n v="13391.77318378263"/>
    <n v="15350.259930604334"/>
    <n v="17296.240747798278"/>
    <n v="19229.795492057958"/>
  </r>
  <r>
    <x v="0"/>
    <n v="0"/>
    <n v="747"/>
    <n v="784.97097407084357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40"/>
    <n v="5.0957298194811984E-2"/>
    <n v="40"/>
    <n v="806.87967574957304"/>
    <n v="828.94853848703076"/>
    <n v="850.85517944835749"/>
    <n v="872.6007910785363"/>
    <n v="894.18655705723461"/>
    <n v="915.61365236323593"/>
    <n v="936.88324333839705"/>
    <n v="957.99648775113587"/>
  </r>
  <r>
    <x v="0"/>
    <n v="3289"/>
    <n v="5081"/>
    <n v="5573"/>
    <n v="1.3457742687959805E-2"/>
    <n v="0.12739996411268617"/>
    <n v="0.46438184101919971"/>
    <n v="0.27310245828099766"/>
    <n v="0.12111968419163825"/>
    <n v="5.3830970751839223E-4"/>
    <n v="897.86498045549649"/>
    <n v="8499.7884816453679"/>
    <n v="30982.327592251"/>
    <n v="18220.67333671021"/>
    <n v="8080.784824099469"/>
    <n v="35.914599218219863"/>
    <n v="60"/>
    <n v="1.0766194150367845E-2"/>
    <n v="60"/>
    <n v="5612"/>
    <n v="5586.0276332316525"/>
    <n v="5560.3698429493743"/>
    <n v="5535.0228190127009"/>
    <n v="5509.9827974294676"/>
    <n v="5485.2460597968657"/>
    <n v="5460.8089327492635"/>
    <n v="5436.6677874127163"/>
  </r>
  <r>
    <x v="0"/>
    <n v="8780"/>
    <n v="15163"/>
    <n v="19225.233489577877"/>
    <n v="2.3366045797449764E-3"/>
    <n v="0.25175245343480873"/>
    <n v="0.45316776820882571"/>
    <n v="0.20134855464316709"/>
    <n v="9.1194338740903935E-2"/>
    <n v="2.002803925495694E-4"/>
    <n v="155.89207447114572"/>
    <n v="16796.2575094483"/>
    <n v="30234.154328861063"/>
    <n v="13433.442760142156"/>
    <n v="6084.2449636452875"/>
    <n v="13.36217781181249"/>
    <n v="1007"/>
    <n v="5.2379077764954124E-2"/>
    <n v="1007"/>
    <n v="19926.283052267729"/>
    <n v="20449.466631616167"/>
    <n v="20967.879072908727"/>
    <n v="21481.563886223412"/>
    <n v="21990.564184850951"/>
    <n v="22494.922688913262"/>
    <n v="22994.681728948945"/>
    <n v="23489.883249466042"/>
  </r>
  <r>
    <x v="2"/>
    <n v="59813"/>
    <n v="103785"/>
    <n v="115316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24061"/>
    <n v="0.20865274549932361"/>
    <n v="24061"/>
    <n v="131844.40077556562"/>
    <n v="148119.52666791796"/>
    <n v="164324.5901230271"/>
    <n v="180459.8927511629"/>
    <n v="196525.73486419968"/>
    <n v="212522.41548120574"/>
    <n v="228450.23233400859"/>
    <n v="244309.48187273645"/>
  </r>
  <r>
    <x v="1"/>
    <n v="0"/>
    <n v="355"/>
    <n v="1375"/>
    <n v="1.8679111475270328E-2"/>
    <n v="0.24613491771786639"/>
    <n v="0.31712615934178301"/>
    <n v="0.24329284860264971"/>
    <n v="0.13924057054727651"/>
    <n v="3.5526392315154053E-2"/>
    <n v="1246.2208892338517"/>
    <n v="16421.470391456143"/>
    <n v="21157.818176601111"/>
    <n v="16231.85506073131"/>
    <n v="9289.7624105187533"/>
    <n v="2370.2268858385951"/>
    <n v="962"/>
    <n v="0.69963636363636361"/>
    <n v="962"/>
    <n v="1999.551210566663"/>
    <n v="2645.109345426883"/>
    <n v="3281.6786919851656"/>
    <n v="3909.3844106426805"/>
    <n v="4528.3499190600287"/>
    <n v="5138.6969164232651"/>
    <n v="5740.5454073720339"/>
    <n v="6334.0137255945301"/>
  </r>
  <r>
    <x v="2"/>
    <n v="4262"/>
    <n v="4971"/>
    <n v="5007"/>
    <n v="0.17155981625723987"/>
    <n v="0.41601757539444778"/>
    <n v="0.18773716796484921"/>
    <n v="0.18294387857000199"/>
    <n v="4.1741561813461156E-2"/>
    <n v="0"/>
    <n v="11446.016961564254"/>
    <n v="27755.591770591782"/>
    <n v="12525.327059220486"/>
    <n v="12205.531474729751"/>
    <n v="2784.8865482734914"/>
    <n v="0"/>
    <n v="400"/>
    <n v="7.9888156580786893E-2"/>
    <n v="399.99999999999994"/>
    <n v="5287"/>
    <n v="5544.9312362692235"/>
    <n v="5801.7858272742114"/>
    <n v="6057.5682671004488"/>
    <n v="6312.2830310744057"/>
    <n v="6565.9345758418403"/>
    <n v="6818.5273394457763"/>
    <n v="7070.0657414041516"/>
  </r>
  <r>
    <x v="0"/>
    <n v="3735"/>
    <n v="4706"/>
    <n v="5242"/>
    <n v="2.8271112722000724E-2"/>
    <n v="0.38963392533526642"/>
    <n v="0.30518303733236679"/>
    <n v="0.18412468285610728"/>
    <n v="8.6625588981515039E-2"/>
    <n v="6.1616527727437476E-3"/>
    <n v="1886.1738301999353"/>
    <n v="25995.344454678598"/>
    <n v="20361.004679850583"/>
    <n v="12284.311612071373"/>
    <n v="5779.4300694587764"/>
    <n v="411.0891681204987"/>
    <n v="160"/>
    <n v="3.0522701259061428E-2"/>
    <n v="160"/>
    <n v="5321.7006161652771"/>
    <n v="5387.6010711394165"/>
    <n v="5452.9306595409271"/>
    <n v="5517.6943265351174"/>
    <n v="5581.8969744495107"/>
    <n v="5645.543463144928"/>
    <n v="5708.6386103833611"/>
    <n v="5771.1871921926531"/>
  </r>
  <r>
    <x v="2"/>
    <n v="0"/>
    <n v="61772"/>
    <n v="131262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6298"/>
    <n v="4.7980375127607382E-2"/>
    <n v="6298"/>
    <n v="135312.83919666216"/>
    <n v="139138.93388351615"/>
    <n v="142948.5576981534"/>
    <n v="146741.78154567527"/>
    <n v="150518.67602594529"/>
    <n v="154279.31143490315"/>
    <n v="158023.75776587307"/>
    <n v="161752.08471086656"/>
  </r>
  <r>
    <x v="1"/>
    <n v="0"/>
    <n v="6085"/>
    <n v="4751.5998777719578"/>
    <n v="0"/>
    <n v="0.14379237783493104"/>
    <n v="0.38812251578209023"/>
    <n v="0.35819499649286884"/>
    <n v="0.10989010989010989"/>
    <n v="0"/>
    <n v="0"/>
    <n v="9593.4469478240717"/>
    <n v="25894.507208760908"/>
    <n v="23897.822315555248"/>
    <n v="7331.5773422395341"/>
    <n v="0"/>
    <n v="95"/>
    <n v="1.9993265940680561E-2"/>
    <n v="95"/>
    <n v="4818.0998777719578"/>
    <n v="4831.6537252689695"/>
    <n v="4845.0586293868928"/>
    <n v="4858.3162268661581"/>
    <n v="4871.428136461036"/>
    <n v="4884.3959591372886"/>
    <n v="4897.2212782676479"/>
    <n v="4909.9056598251464"/>
  </r>
  <r>
    <x v="2"/>
    <n v="2386"/>
    <n v="1498"/>
    <n v="1429.4036697247707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137"/>
    <n v="9.5844164179583455E-2"/>
    <n v="137"/>
    <n v="1521.4077622635498"/>
    <n v="1610.7582869126404"/>
    <n v="1699.7241684218081"/>
    <n v="1788.307062632982"/>
    <n v="1876.508618259893"/>
    <n v="1964.3304769187598"/>
    <n v="2051.7742731588432"/>
    <n v="2138.8416344928678"/>
  </r>
  <r>
    <x v="0"/>
    <n v="37404"/>
    <n v="125024"/>
    <n v="124204.27697797566"/>
    <n v="3.9127948391239352E-4"/>
    <n v="0.66800437430397397"/>
    <n v="0.30801721629729212"/>
    <n v="1.5661212163775546E-2"/>
    <n v="7.925917751045921E-3"/>
    <n v="0"/>
    <n v="26.105131768491074"/>
    <n v="44567.484189991606"/>
    <n v="20550.09360062678"/>
    <n v="1044.8746330926813"/>
    <n v="528.79625890020384"/>
    <n v="0"/>
    <n v="21271"/>
    <n v="0.17125819269308937"/>
    <n v="21271"/>
    <n v="139093.97697797566"/>
    <n v="153873.43223585634"/>
    <n v="168641.17341905908"/>
    <n v="183397.20981206317"/>
    <n v="198141.55069198902"/>
    <n v="212874.20532860409"/>
    <n v="227595.18298432871"/>
    <n v="242304.49291424191"/>
  </r>
  <r>
    <x v="2"/>
    <n v="5789"/>
    <n v="7195"/>
    <n v="5018.9871797472533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964"/>
    <n v="0.19207062410718195"/>
    <n v="964"/>
    <n v="5680.1076922690136"/>
    <n v="6330.4555195880503"/>
    <n v="6978.0036786194696"/>
    <n v="7622.7642215946962"/>
    <n v="8264.7491488617616"/>
    <n v="8903.9704091086624"/>
    <n v="9540.4398995857446"/>
    <n v="10174.169466327137"/>
  </r>
  <r>
    <x v="2"/>
    <n v="727"/>
    <n v="1264"/>
    <n v="1879"/>
    <n v="0"/>
    <n v="0.35071846726982436"/>
    <n v="0.45928685470995212"/>
    <n v="0.11122937732836616"/>
    <n v="7.1314529004789781E-2"/>
    <n v="7.4507716870675887E-3"/>
    <n v="0"/>
    <n v="23399.008070077842"/>
    <n v="30642.403587977507"/>
    <n v="7420.9297217697558"/>
    <n v="4757.916663718408"/>
    <n v="497.09577083625152"/>
    <n v="0"/>
    <m/>
    <n v="0"/>
    <n v="1865"/>
    <n v="1851.6998403406067"/>
    <n v="1838.4945301433931"/>
    <n v="1825.3833929938874"/>
    <n v="1812.365757301435"/>
    <n v="1799.4409562647988"/>
    <n v="1786.6083278380036"/>
    <n v="1773.8672146964234"/>
  </r>
  <r>
    <x v="0"/>
    <n v="40292"/>
    <n v="59901"/>
    <n v="109659"/>
    <n v="1.0398757695080694E-2"/>
    <n v="0.30655537685097889"/>
    <n v="0.33922134102379237"/>
    <n v="0.24025289778714437"/>
    <n v="0.10199101547335145"/>
    <n v="1.5806111696522655E-3"/>
    <n v="693.77759637270287"/>
    <n v="20452.563541067284"/>
    <n v="22631.950230472732"/>
    <n v="16029.037586594928"/>
    <n v="6804.5706652234694"/>
    <n v="105.45419464865084"/>
    <n v="1070"/>
    <n v="9.7575210425044911E-3"/>
    <n v="1070"/>
    <n v="110234.6717597471"/>
    <n v="109859.37714843228"/>
    <n v="109487.91020496843"/>
    <n v="109120.23189058244"/>
    <n v="108756.30356466162"/>
    <n v="108396.08698069282"/>
    <n v="108039.54428224296"/>
    <n v="107686.63799898056"/>
  </r>
  <r>
    <x v="0"/>
    <n v="0"/>
    <n v="6866"/>
    <n v="1235.4801331049025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376"/>
    <n v="0.30433512439821198"/>
    <n v="376"/>
    <n v="1489.0929275784142"/>
    <n v="1741.3470395909101"/>
    <n v="1991.7469051669755"/>
    <n v="2240.3061543315862"/>
    <n v="2487.0383169193783"/>
    <n v="2731.9568233111177"/>
    <n v="2975.0750051647569"/>
    <n v="3216.4060961411178"/>
  </r>
  <r>
    <x v="2"/>
    <n v="0"/>
    <n v="8488"/>
    <n v="4423.7952883834278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63"/>
    <n v="1.4241165310120367E-2"/>
    <n v="62.999999999999993"/>
    <n v="4455.8380246195493"/>
    <n v="4480.7561839363707"/>
    <n v="4505.5670736084048"/>
    <n v="4530.2711554184234"/>
    <n v="4554.8688891612801"/>
    <n v="4579.360732652468"/>
    <n v="4603.7471417366396"/>
    <n v="4628.0285702960928"/>
  </r>
  <r>
    <x v="2"/>
    <n v="3438"/>
    <n v="4560"/>
    <n v="4560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2540"/>
    <n v="0.55701754385964908"/>
    <n v="2540"/>
    <n v="6325.5715038379685"/>
    <n v="8076.3406879630948"/>
    <n v="9819.5730237159623"/>
    <n v="11555.300956312021"/>
    <n v="13283.556791294021"/>
    <n v="15004.372695133274"/>
    <n v="16717.780695828347"/>
    <n v="18423.812683501175"/>
  </r>
  <r>
    <x v="2"/>
    <n v="3545"/>
    <n v="7957"/>
    <n v="9592"/>
    <n v="3.2318598832360303E-2"/>
    <n v="0.493744787322769"/>
    <n v="0.28377814845704752"/>
    <n v="0.16816096747289408"/>
    <n v="2.1997497914929106E-2"/>
    <n v="0"/>
    <n v="2156.2113930835831"/>
    <n v="32941.345669818867"/>
    <n v="18932.927135398426"/>
    <n v="11219.25476465748"/>
    <n v="1467.6148514214062"/>
    <n v="0"/>
    <n v="386"/>
    <n v="4.0241868223519599E-2"/>
    <n v="386"/>
    <n v="9862.2000000000007"/>
    <n v="10110.705627606339"/>
    <n v="10358.664605010166"/>
    <n v="10606.078134705151"/>
    <n v="10852.947416539775"/>
    <n v="11099.273647723159"/>
    <n v="11345.058022830857"/>
    <n v="11590.30173381066"/>
  </r>
  <r>
    <x v="2"/>
    <n v="4257"/>
    <n v="5225"/>
    <n v="6327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0"/>
    <m/>
    <n v="0"/>
    <n v="6309.7554615751815"/>
    <n v="6282.5927318383692"/>
    <n v="6255.5469343489713"/>
    <n v="6228.6175657278864"/>
    <n v="6201.8041247629981"/>
    <n v="6175.1061123998488"/>
    <n v="6148.5230317323485"/>
    <n v="6122.0543879935285"/>
  </r>
  <r>
    <x v="0"/>
    <n v="3846"/>
    <n v="4066"/>
    <n v="6503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113"/>
    <n v="1.7376595417499616E-2"/>
    <n v="113"/>
    <n v="6531.6373532376665"/>
    <n v="6562.7251912567463"/>
    <n v="6593.5845116417495"/>
    <n v="6624.2169941591837"/>
    <n v="6654.6243062280819"/>
    <n v="6684.8081030107651"/>
    <n v="6714.770027502941"/>
    <n v="6744.5117106231328"/>
  </r>
  <r>
    <x v="1"/>
    <n v="3963"/>
    <n v="4986"/>
    <n v="4598.8787431180344"/>
    <n v="1.8679111475270328E-2"/>
    <n v="0.24613491771786639"/>
    <n v="0.31712615934178301"/>
    <n v="0.24329284860264971"/>
    <n v="0.13924057054727651"/>
    <n v="3.5526392315154053E-2"/>
    <n v="1246.2208892338517"/>
    <n v="16421.470391456143"/>
    <n v="21157.818176601111"/>
    <n v="16231.85506073131"/>
    <n v="9289.7624105187533"/>
    <n v="2370.2268858385951"/>
    <n v="175"/>
    <n v="3.8052753676508157E-2"/>
    <n v="175"/>
    <n v="4557.9971726802005"/>
    <n v="4617.0313599925139"/>
    <n v="4675.2435519125111"/>
    <n v="4732.6451939509334"/>
    <n v="4789.2475722505778"/>
    <n v="4845.0618158053448"/>
    <n v="4900.098898648389"/>
    <n v="4954.3696420098004"/>
  </r>
  <r>
    <x v="2"/>
    <n v="6432"/>
    <n v="8153"/>
    <n v="17168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580"/>
    <n v="3.3783783783783786E-2"/>
    <n v="580"/>
    <n v="17527.207802168912"/>
    <n v="17857.755304608505"/>
    <n v="18186.879840258243"/>
    <n v="18514.587534817063"/>
    <n v="18840.884487613512"/>
    <n v="19165.776771719276"/>
    <n v="19489.270434062204"/>
    <n v="19811.371495538853"/>
  </r>
  <r>
    <x v="1"/>
    <n v="4110"/>
    <n v="12956"/>
    <n v="15558.321723868956"/>
    <n v="1.8679111475270328E-2"/>
    <n v="0.24613491771786639"/>
    <n v="0.31712615934178301"/>
    <n v="0.24329284860264971"/>
    <n v="0.13924057054727651"/>
    <n v="3.5526392315154053E-2"/>
    <n v="1246.2208892338517"/>
    <n v="16421.470391456143"/>
    <n v="21157.818176601111"/>
    <n v="16231.85506073131"/>
    <n v="9289.7624105187533"/>
    <n v="2370.2268858385951"/>
    <n v="200"/>
    <n v="1.2854856940846517E-2"/>
    <n v="200"/>
    <n v="15145.590682541402"/>
    <n v="15074.702613750143"/>
    <n v="15004.801594473234"/>
    <n v="14935.87388097692"/>
    <n v="14867.905920895981"/>
    <n v="14800.884350569102"/>
    <n v="14734.795992411353"/>
    <n v="14669.627852323245"/>
  </r>
  <r>
    <x v="2"/>
    <n v="3533"/>
    <n v="4107"/>
    <n v="4565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305"/>
    <n v="6.6812705366922229E-2"/>
    <n v="305"/>
    <n v="4766.0578761009492"/>
    <n v="4959.0405766926115"/>
    <n v="5151.1925102328441"/>
    <n v="5342.5172530727486"/>
    <n v="5533.0183661676701"/>
    <n v="5722.6993951434724"/>
    <n v="5911.5638703625336"/>
    <n v="6099.6153069894499"/>
  </r>
  <r>
    <x v="0"/>
    <n v="74920"/>
    <n v="180709"/>
    <n v="220681"/>
    <n v="3.085769767251046E-2"/>
    <n v="0.36394374094029486"/>
    <n v="0.30764365615512951"/>
    <n v="0.18093085906517517"/>
    <n v="0.10857971173043787"/>
    <n v="8.0443344364521507E-3"/>
    <n v="2058.7439335140434"/>
    <n v="24281.363332842622"/>
    <n v="20525.170656451166"/>
    <n v="12071.228140190971"/>
    <n v="7244.1510445829845"/>
    <n v="536.69670679797741"/>
    <n v="12835"/>
    <n v="5.8160874746806479E-2"/>
    <n v="12835"/>
    <n v="227890.26823222931"/>
    <n v="234400.34226914655"/>
    <n v="240839.73010983656"/>
    <n v="247209.19926298031"/>
    <n v="253509.50890367164"/>
    <n v="259741.40996390308"/>
    <n v="265905.64522206923"/>
    <n v="272002.94939149841"/>
  </r>
  <r>
    <x v="2"/>
    <n v="9625"/>
    <n v="13345"/>
    <n v="13501.239749316621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355"/>
    <n v="2.6293881642829777E-2"/>
    <n v="355"/>
    <n v="13712.941480367706"/>
    <n v="13902.408935351301"/>
    <n v="14091.06075598821"/>
    <n v="14278.900453485083"/>
    <n v="14465.93152393325"/>
    <n v="14652.157448373793"/>
    <n v="14837.581692862337"/>
    <n v="15022.207708533557"/>
  </r>
  <r>
    <x v="0"/>
    <n v="442"/>
    <n v="406"/>
    <n v="440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0"/>
    <m/>
    <n v="0"/>
    <n v="436.5856428455441"/>
    <n v="433.3764290651045"/>
    <n v="430.19080527956584"/>
    <n v="427.02859808575295"/>
    <n v="423.88963535512681"/>
    <n v="420.77374622441516"/>
    <n v="417.68076108631175"/>
    <n v="414.61051158024424"/>
  </r>
  <r>
    <x v="0"/>
    <n v="1682"/>
    <n v="4577"/>
    <n v="4737"/>
    <n v="3.1665611146295125E-3"/>
    <n v="0.23495883470550982"/>
    <n v="0.56322567025543591"/>
    <n v="0.14967278868482162"/>
    <n v="4.2854127084652735E-2"/>
    <n v="6.122018154950391E-3"/>
    <n v="211.26457825959395"/>
    <n v="15675.831706861871"/>
    <n v="37576.926319773105"/>
    <n v="9985.7723990701397"/>
    <n v="2859.1139591131714"/>
    <n v="408.44485130188161"/>
    <n v="582"/>
    <n v="0.12286257124762508"/>
    <n v="582"/>
    <n v="5115.3999999999996"/>
    <n v="5500.8783998311164"/>
    <n v="5884.7048656287579"/>
    <n v="6266.886476612025"/>
    <n v="6647.4302816626423"/>
    <n v="7026.3432994549676"/>
    <n v="7403.632518585443"/>
    <n v="7779.3048977014896"/>
  </r>
  <r>
    <x v="1"/>
    <n v="419"/>
    <n v="1272"/>
    <n v="1277"/>
    <n v="4.4350580781414996E-2"/>
    <n v="0.27032734952481519"/>
    <n v="0.25237592397043296"/>
    <n v="0.17106652587117213"/>
    <n v="0.17740232312565998"/>
    <n v="8.4477296726504753E-2"/>
    <n v="2958.9533898668956"/>
    <n v="18035.525423950599"/>
    <n v="16837.853813766382"/>
    <n v="11413.10593234374"/>
    <n v="11835.813559467582"/>
    <n v="5636.1016949845625"/>
    <n v="40"/>
    <n v="3.1323414252153486E-2"/>
    <n v="40"/>
    <n v="1197.1224920802536"/>
    <n v="1203.8852609641519"/>
    <n v="1210.5280567569737"/>
    <n v="1217.0530078092258"/>
    <n v="1223.4622047139828"/>
    <n v="1229.7577009767126"/>
    <n v="1235.9415136732187"/>
    <n v="1242.0156240959113"/>
  </r>
  <r>
    <x v="2"/>
    <n v="6106"/>
    <n v="5757"/>
    <n v="15666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1755"/>
    <n v="0.1120260436614324"/>
    <n v="1755"/>
    <n v="16851.801574369652"/>
    <n v="18007.756618462801"/>
    <n v="19158.735416702712"/>
    <n v="20304.759391222466"/>
    <n v="21445.849871935472"/>
    <n v="22582.028096932452"/>
    <n v="23713.315212876729"/>
    <n v="24839.732275397815"/>
  </r>
  <r>
    <x v="1"/>
    <n v="58722"/>
    <n v="287458"/>
    <n v="397261.24962174537"/>
    <n v="2.0898312382512628E-3"/>
    <n v="0.20183499084604911"/>
    <n v="0.29703958077355258"/>
    <n v="0.25681470513076321"/>
    <n v="0.18920148843591708"/>
    <n v="5.3019403575466709E-2"/>
    <n v="139.42801013475287"/>
    <n v="13465.89649639796"/>
    <n v="19817.694807344145"/>
    <n v="17133.997546944738"/>
    <n v="12623.02264618636"/>
    <n v="3537.3143073718038"/>
    <n v="3154"/>
    <n v="7.939359811718609E-3"/>
    <n v="3153.9999999999995"/>
    <n v="378406.49510315579"/>
    <n v="373454.78789242223"/>
    <n v="368596.76771914563"/>
    <n v="363830.66201063257"/>
    <n v="359154.73173152888"/>
    <n v="354567.27074928809"/>
    <n v="350066.60521164548"/>
    <n v="345651.09293587029"/>
  </r>
  <r>
    <x v="2"/>
    <n v="0"/>
    <n v="3726"/>
    <n v="4530"/>
    <n v="0.16765299086895941"/>
    <n v="0.35339731243898659"/>
    <n v="0.29951984150713429"/>
    <n v="0.1336555241914486"/>
    <n v="4.3048783589516915E-2"/>
    <n v="2.7255474039542516E-3"/>
    <n v="11185.363909843345"/>
    <n v="23577.733531042777"/>
    <n v="19983.171240258427"/>
    <n v="8917.1428967272695"/>
    <n v="2872.1009260204651"/>
    <n v="181.84131048748006"/>
    <n v="241"/>
    <n v="5.3200883002207502E-2"/>
    <n v="241"/>
    <n v="4686.3532702600869"/>
    <n v="4834.8790894845415"/>
    <n v="4982.7655231240715"/>
    <n v="5130.0153236558444"/>
    <n v="5276.6312317079482"/>
    <n v="5422.6159761104"/>
    <n v="5567.9722739459366"/>
    <n v="5712.7028306005841"/>
  </r>
  <r>
    <x v="0"/>
    <n v="20800"/>
    <n v="31940"/>
    <n v="31940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2920"/>
    <n v="9.142141515341265E-2"/>
    <n v="2920"/>
    <n v="33736.148710196991"/>
    <n v="35532.164116305918"/>
    <n v="37314.977536766397"/>
    <n v="39084.68601552608"/>
    <n v="40841.385883190858"/>
    <n v="42585.172762268427"/>
    <n v="44316.141572373293"/>
    <n v="46034.386535393554"/>
  </r>
  <r>
    <x v="2"/>
    <n v="1341"/>
    <n v="1966"/>
    <n v="2630"/>
    <n v="4.5318352059925092E-2"/>
    <n v="0.36966292134831463"/>
    <n v="0.37490636704119851"/>
    <n v="0.15393258426966291"/>
    <n v="5.4681647940074907E-2"/>
    <n v="1.4981273408239701E-3"/>
    <n v="3023.5205286666483"/>
    <n v="24662.931915652745"/>
    <n v="25012.760737151366"/>
    <n v="10269.974688280929"/>
    <n v="3648.214852771328"/>
    <n v="99.951091856748718"/>
    <n v="240"/>
    <n v="9.125475285171103E-2"/>
    <n v="240"/>
    <n v="2794.059925093633"/>
    <n v="2946.7815449788886"/>
    <n v="3098.6680578790042"/>
    <n v="3249.7240302965947"/>
    <n v="3399.9540037638867"/>
    <n v="3549.3624949792602"/>
    <n v="3697.953995943044"/>
    <n v="3845.7329740925688"/>
  </r>
  <r>
    <x v="2"/>
    <n v="40149"/>
    <n v="52907"/>
    <n v="74197"/>
    <n v="0.88558189271074672"/>
    <n v="7.9754054535733379E-2"/>
    <n v="1.2386383888789878E-2"/>
    <n v="9.0892888968098374E-3"/>
    <n v="8.9110675458919982E-3"/>
    <n v="4.2773124220281591E-3"/>
    <n v="59083.680467590988"/>
    <n v="5320.9794745918634"/>
    <n v="826.38675638912741"/>
    <n v="606.41330324957539"/>
    <n v="594.52284632311319"/>
    <n v="285.37096623509433"/>
    <n v="14001"/>
    <n v="0.18870035176624392"/>
    <n v="14001"/>
    <n v="83680.336250222783"/>
    <n v="93406.468137363903"/>
    <n v="103123.93300268437"/>
    <n v="112832.73856942586"/>
    <n v="122532.89255394784"/>
    <n v="132224.40266573365"/>
    <n v="141907.27660739669"/>
    <n v="151581.52207468648"/>
  </r>
  <r>
    <x v="0"/>
    <n v="0"/>
    <n v="20746"/>
    <n v="49975"/>
    <n v="0.13455105242902396"/>
    <n v="0.57100565440066309"/>
    <n v="0.2078510317060896"/>
    <n v="6.5040409722016634E-2"/>
    <n v="1.7318452292844667E-2"/>
    <n v="4.2333994493620299E-3"/>
    <n v="8976.8901710043538"/>
    <n v="38095.986274660492"/>
    <n v="13867.270823019046"/>
    <n v="4339.3240276560091"/>
    <n v="1155.4413091391741"/>
    <n v="282.441208900687"/>
    <n v="5272"/>
    <n v="0.10549274637318659"/>
    <n v="5272"/>
    <n v="53453.835862518135"/>
    <n v="57051.662091892678"/>
    <n v="60643.257443076087"/>
    <n v="64228.632706985023"/>
    <n v="67807.798655847961"/>
    <n v="71380.766043237541"/>
    <n v="74947.545604102881"/>
    <n v="78508.14805480183"/>
  </r>
  <r>
    <x v="0"/>
    <n v="18722"/>
    <n v="27874"/>
    <n v="46537"/>
    <n v="3.1079803713894617E-2"/>
    <n v="0.33653962637948021"/>
    <n v="0.34941395631522804"/>
    <n v="0.20169962632044125"/>
    <n v="7.3507084647192453E-2"/>
    <n v="7.7599026237634297E-3"/>
    <n v="2073.5622608613812"/>
    <n v="22453.033325718956"/>
    <n v="23311.974551165302"/>
    <n v="13456.865333449065"/>
    <n v="4904.1981742703019"/>
    <n v="517.72016891475857"/>
    <n v="1100"/>
    <n v="2.3637105958699528E-2"/>
    <n v="1100"/>
    <n v="46945.877411597918"/>
    <n v="47370.791953124819"/>
    <n v="47792.583071734531"/>
    <n v="48211.273726798339"/>
    <n v="48626.886708919868"/>
    <n v="49039.444641175673"/>
    <n v="49448.969980346657"/>
    <n v="49855.485018140476"/>
  </r>
  <r>
    <x v="3"/>
    <n v="479279"/>
    <n v="1248604"/>
    <n v="1599096.3166420327"/>
    <n v="2.8094911126753986E-2"/>
    <n v="0.42408199480095404"/>
    <n v="0.32237544168541793"/>
    <n v="0.14725787510182761"/>
    <n v="7.3303780982837616E-2"/>
    <n v="4.8859963022088162E-3"/>
    <n v="1874.4181260272005"/>
    <n v="28293.628493443211"/>
    <n v="21508.036403992977"/>
    <n v="9824.6557551223777"/>
    <n v="4890.6342917637803"/>
    <n v="325.98074403021678"/>
    <m/>
    <n v="4.2900000000000001E-2"/>
    <n v="68601.231983943202"/>
    <n v="1639304.0003408045"/>
    <n v="1771306.6414612555"/>
    <n v="1836838.5869059321"/>
    <n v="1902192.2228077"/>
    <n v="1967367.5312169264"/>
    <n v="2032364.5128924591"/>
    <n v="2097183.1868153838"/>
    <n v="2161823.58971311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BCFEF-C4E7-40BD-840F-DEA0DFB877C6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6">
        <item m="1" x="4"/>
        <item x="1"/>
        <item x="2"/>
        <item x="3"/>
        <item x="0"/>
        <item t="default"/>
      </items>
    </pivotField>
  </pivotFields>
  <rowFields count="1">
    <field x="14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Nursing  Personnel  Stock By Age Group &lt; 25 yrs2" fld="8" subtotal="average" baseField="0" baseItem="0"/>
    <dataField name="Average of Nursing  Personnel  Stock By Age Group 25-34 yrs2" fld="9" subtotal="average" baseField="0" baseItem="0"/>
    <dataField name="Average of Nursing  Personnel  Stock By Age Group 35-44 yrs2" fld="10" subtotal="average" baseField="0" baseItem="0"/>
    <dataField name="Average of Nursing  Personnel  Stock By Age Group 45-54 yrs2" fld="11" subtotal="average" baseField="0" baseItem="0"/>
    <dataField name="Average of Nursing  Personnel  Stock By Age Group 55-64 yrs2" fld="12" subtotal="average" baseField="0" baseItem="0"/>
    <dataField name="Average of Nursing  Personnel  Stock By Age Group ≥ 65 yrs2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09422-5ED4-46F2-8221-7EBB9572D8F4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0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dataField="1" numFmtId="166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atio of stock to graduates" fld="1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35835-D5CB-4E2B-8E9C-E997D88BB66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7">
    <pivotField axis="axisRow" showAll="0">
      <items count="5">
        <item x="3"/>
        <item x="1"/>
        <item x="0"/>
        <item x="2"/>
        <item t="default"/>
      </items>
    </pivotField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dataField="1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atio of stock to graduates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AA25-82FD-4CEE-A050-A6C1F5E68CEE}">
  <sheetPr filterMode="1"/>
  <dimension ref="A1:B49"/>
  <sheetViews>
    <sheetView workbookViewId="0">
      <selection activeCell="B2" sqref="B2"/>
    </sheetView>
  </sheetViews>
  <sheetFormatPr defaultRowHeight="14.5" x14ac:dyDescent="0.35"/>
  <cols>
    <col min="1" max="1" width="8.453125" bestFit="1" customWidth="1"/>
  </cols>
  <sheetData>
    <row r="1" spans="1:2" x14ac:dyDescent="0.35">
      <c r="A1" s="1"/>
      <c r="B1" s="1" t="s">
        <v>0</v>
      </c>
    </row>
    <row r="2" spans="1:2" hidden="1" x14ac:dyDescent="0.35">
      <c r="A2" s="2" t="s">
        <v>1</v>
      </c>
      <c r="B2" s="2" t="s">
        <v>2</v>
      </c>
    </row>
    <row r="3" spans="1:2" hidden="1" x14ac:dyDescent="0.35">
      <c r="A3" s="3" t="s">
        <v>3</v>
      </c>
      <c r="B3" s="3"/>
    </row>
    <row r="4" spans="1:2" hidden="1" x14ac:dyDescent="0.35">
      <c r="A4" s="3" t="s">
        <v>4</v>
      </c>
      <c r="B4" s="3">
        <v>2019</v>
      </c>
    </row>
    <row r="5" spans="1:2" hidden="1" x14ac:dyDescent="0.35">
      <c r="A5" s="3" t="s">
        <v>5</v>
      </c>
      <c r="B5" s="3">
        <v>2021</v>
      </c>
    </row>
    <row r="6" spans="1:2" hidden="1" x14ac:dyDescent="0.35">
      <c r="A6" s="3" t="s">
        <v>6</v>
      </c>
      <c r="B6" s="3">
        <v>2022</v>
      </c>
    </row>
    <row r="7" spans="1:2" hidden="1" x14ac:dyDescent="0.35">
      <c r="A7" s="3" t="s">
        <v>7</v>
      </c>
      <c r="B7" s="3">
        <v>2022</v>
      </c>
    </row>
    <row r="8" spans="1:2" hidden="1" x14ac:dyDescent="0.35">
      <c r="A8" s="3" t="s">
        <v>8</v>
      </c>
      <c r="B8" s="3"/>
    </row>
    <row r="9" spans="1:2" hidden="1" x14ac:dyDescent="0.35">
      <c r="A9" s="3" t="s">
        <v>9</v>
      </c>
      <c r="B9" s="3">
        <v>2022</v>
      </c>
    </row>
    <row r="10" spans="1:2" hidden="1" x14ac:dyDescent="0.35">
      <c r="A10" s="3" t="s">
        <v>10</v>
      </c>
      <c r="B10" s="3">
        <v>2022</v>
      </c>
    </row>
    <row r="11" spans="1:2" hidden="1" x14ac:dyDescent="0.35">
      <c r="A11" s="3" t="s">
        <v>11</v>
      </c>
      <c r="B11" s="3"/>
    </row>
    <row r="12" spans="1:2" hidden="1" x14ac:dyDescent="0.35">
      <c r="A12" s="3" t="s">
        <v>12</v>
      </c>
      <c r="B12" s="3">
        <v>2022</v>
      </c>
    </row>
    <row r="13" spans="1:2" hidden="1" x14ac:dyDescent="0.35">
      <c r="A13" s="3" t="s">
        <v>13</v>
      </c>
      <c r="B13" s="3"/>
    </row>
    <row r="14" spans="1:2" hidden="1" x14ac:dyDescent="0.35">
      <c r="A14" s="3" t="s">
        <v>14</v>
      </c>
      <c r="B14" s="3">
        <v>2022</v>
      </c>
    </row>
    <row r="15" spans="1:2" x14ac:dyDescent="0.35">
      <c r="A15" s="3" t="s">
        <v>15</v>
      </c>
      <c r="B15" s="3">
        <v>2018</v>
      </c>
    </row>
    <row r="16" spans="1:2" hidden="1" x14ac:dyDescent="0.35">
      <c r="A16" s="3" t="s">
        <v>16</v>
      </c>
      <c r="B16" s="3">
        <v>2022</v>
      </c>
    </row>
    <row r="17" spans="1:2" hidden="1" x14ac:dyDescent="0.35">
      <c r="A17" s="3" t="s">
        <v>17</v>
      </c>
      <c r="B17" s="3"/>
    </row>
    <row r="18" spans="1:2" hidden="1" x14ac:dyDescent="0.35">
      <c r="A18" s="3" t="s">
        <v>18</v>
      </c>
      <c r="B18" s="3">
        <v>2022</v>
      </c>
    </row>
    <row r="19" spans="1:2" hidden="1" x14ac:dyDescent="0.35">
      <c r="A19" s="3" t="s">
        <v>19</v>
      </c>
      <c r="B19" s="3">
        <v>2022</v>
      </c>
    </row>
    <row r="20" spans="1:2" hidden="1" x14ac:dyDescent="0.35">
      <c r="A20" s="3" t="s">
        <v>20</v>
      </c>
      <c r="B20" s="3"/>
    </row>
    <row r="21" spans="1:2" hidden="1" x14ac:dyDescent="0.35">
      <c r="A21" s="3" t="s">
        <v>21</v>
      </c>
      <c r="B21" s="3"/>
    </row>
    <row r="22" spans="1:2" hidden="1" x14ac:dyDescent="0.35">
      <c r="A22" s="3" t="s">
        <v>22</v>
      </c>
      <c r="B22" s="3">
        <v>2022</v>
      </c>
    </row>
    <row r="23" spans="1:2" hidden="1" x14ac:dyDescent="0.35">
      <c r="A23" s="3" t="s">
        <v>23</v>
      </c>
      <c r="B23" s="3"/>
    </row>
    <row r="24" spans="1:2" hidden="1" x14ac:dyDescent="0.35">
      <c r="A24" s="3" t="s">
        <v>24</v>
      </c>
      <c r="B24" s="3">
        <v>2022</v>
      </c>
    </row>
    <row r="25" spans="1:2" hidden="1" x14ac:dyDescent="0.35">
      <c r="A25" s="3" t="s">
        <v>25</v>
      </c>
      <c r="B25" s="3"/>
    </row>
    <row r="26" spans="1:2" hidden="1" x14ac:dyDescent="0.35">
      <c r="A26" s="3" t="s">
        <v>26</v>
      </c>
      <c r="B26" s="3"/>
    </row>
    <row r="27" spans="1:2" x14ac:dyDescent="0.35">
      <c r="A27" s="3" t="s">
        <v>27</v>
      </c>
      <c r="B27" s="3">
        <v>2018</v>
      </c>
    </row>
    <row r="28" spans="1:2" hidden="1" x14ac:dyDescent="0.35">
      <c r="A28" s="3" t="s">
        <v>28</v>
      </c>
      <c r="B28" s="3"/>
    </row>
    <row r="29" spans="1:2" hidden="1" x14ac:dyDescent="0.35">
      <c r="A29" s="3" t="s">
        <v>29</v>
      </c>
      <c r="B29" s="3">
        <v>2022</v>
      </c>
    </row>
    <row r="30" spans="1:2" hidden="1" x14ac:dyDescent="0.35">
      <c r="A30" s="3" t="s">
        <v>30</v>
      </c>
      <c r="B30" s="3"/>
    </row>
    <row r="31" spans="1:2" hidden="1" x14ac:dyDescent="0.35">
      <c r="A31" s="3" t="s">
        <v>31</v>
      </c>
      <c r="B31" s="3"/>
    </row>
    <row r="32" spans="1:2" hidden="1" x14ac:dyDescent="0.35">
      <c r="A32" s="3" t="s">
        <v>32</v>
      </c>
      <c r="B32" s="3">
        <v>2022</v>
      </c>
    </row>
    <row r="33" spans="1:2" hidden="1" x14ac:dyDescent="0.35">
      <c r="A33" s="3" t="s">
        <v>33</v>
      </c>
      <c r="B33" s="3"/>
    </row>
    <row r="34" spans="1:2" hidden="1" x14ac:dyDescent="0.35">
      <c r="A34" s="3" t="s">
        <v>34</v>
      </c>
      <c r="B34" s="3"/>
    </row>
    <row r="35" spans="1:2" hidden="1" x14ac:dyDescent="0.35">
      <c r="A35" s="3" t="s">
        <v>35</v>
      </c>
      <c r="B35" s="3">
        <v>2022</v>
      </c>
    </row>
    <row r="36" spans="1:2" hidden="1" x14ac:dyDescent="0.35">
      <c r="A36" s="3" t="s">
        <v>36</v>
      </c>
      <c r="B36" s="3"/>
    </row>
    <row r="37" spans="1:2" hidden="1" x14ac:dyDescent="0.35">
      <c r="A37" s="3" t="s">
        <v>37</v>
      </c>
      <c r="B37" s="3">
        <v>2022</v>
      </c>
    </row>
    <row r="38" spans="1:2" hidden="1" x14ac:dyDescent="0.35">
      <c r="A38" s="3" t="s">
        <v>38</v>
      </c>
      <c r="B38" s="3">
        <v>2020</v>
      </c>
    </row>
    <row r="39" spans="1:2" hidden="1" x14ac:dyDescent="0.35">
      <c r="A39" s="3" t="s">
        <v>39</v>
      </c>
      <c r="B39" s="3"/>
    </row>
    <row r="40" spans="1:2" hidden="1" x14ac:dyDescent="0.35">
      <c r="A40" s="3" t="s">
        <v>40</v>
      </c>
      <c r="B40" s="3"/>
    </row>
    <row r="41" spans="1:2" hidden="1" x14ac:dyDescent="0.35">
      <c r="A41" s="3" t="s">
        <v>41</v>
      </c>
      <c r="B41" s="3">
        <v>2022</v>
      </c>
    </row>
    <row r="42" spans="1:2" hidden="1" x14ac:dyDescent="0.35">
      <c r="A42" s="3" t="s">
        <v>42</v>
      </c>
      <c r="B42" s="3">
        <v>2022</v>
      </c>
    </row>
    <row r="43" spans="1:2" hidden="1" x14ac:dyDescent="0.35">
      <c r="A43" s="3" t="s">
        <v>43</v>
      </c>
      <c r="B43" s="3">
        <v>2022</v>
      </c>
    </row>
    <row r="44" spans="1:2" hidden="1" x14ac:dyDescent="0.35">
      <c r="A44" s="3" t="s">
        <v>44</v>
      </c>
      <c r="B44" s="3">
        <v>2022</v>
      </c>
    </row>
    <row r="45" spans="1:2" hidden="1" x14ac:dyDescent="0.35">
      <c r="A45" s="3" t="s">
        <v>45</v>
      </c>
      <c r="B45" s="3"/>
    </row>
    <row r="46" spans="1:2" x14ac:dyDescent="0.35">
      <c r="A46" s="3" t="s">
        <v>46</v>
      </c>
      <c r="B46" s="3">
        <v>2018</v>
      </c>
    </row>
    <row r="47" spans="1:2" x14ac:dyDescent="0.35">
      <c r="A47" s="3" t="s">
        <v>47</v>
      </c>
      <c r="B47" s="3">
        <v>2018</v>
      </c>
    </row>
    <row r="48" spans="1:2" hidden="1" x14ac:dyDescent="0.35">
      <c r="A48" s="3" t="s">
        <v>48</v>
      </c>
      <c r="B48" s="3">
        <v>2022</v>
      </c>
    </row>
    <row r="49" spans="1:2" hidden="1" x14ac:dyDescent="0.35">
      <c r="A49" s="3" t="s">
        <v>49</v>
      </c>
      <c r="B49" s="3">
        <v>2022</v>
      </c>
    </row>
  </sheetData>
  <autoFilter ref="A1:B49" xr:uid="{33DAAA25-82FD-4CEE-A050-A6C1F5E68CEE}">
    <filterColumn colId="1">
      <filters>
        <filter val="2018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FE3B-C481-4AC9-B155-ADCAA0A865D9}">
  <dimension ref="A3:G8"/>
  <sheetViews>
    <sheetView topLeftCell="F1" workbookViewId="0">
      <selection activeCell="A3" sqref="A3:G8"/>
    </sheetView>
  </sheetViews>
  <sheetFormatPr defaultRowHeight="14.5" x14ac:dyDescent="0.35"/>
  <cols>
    <col min="1" max="1" width="34.26953125" bestFit="1" customWidth="1"/>
    <col min="2" max="2" width="51.7265625" bestFit="1" customWidth="1"/>
    <col min="3" max="6" width="52.90625" bestFit="1" customWidth="1"/>
    <col min="7" max="7" width="51.7265625" bestFit="1" customWidth="1"/>
  </cols>
  <sheetData>
    <row r="3" spans="1:7" x14ac:dyDescent="0.35">
      <c r="A3" s="14" t="s">
        <v>50</v>
      </c>
      <c r="B3" t="s">
        <v>112</v>
      </c>
      <c r="C3" t="s">
        <v>113</v>
      </c>
      <c r="D3" t="s">
        <v>114</v>
      </c>
      <c r="E3" t="s">
        <v>115</v>
      </c>
      <c r="F3" t="s">
        <v>117</v>
      </c>
      <c r="G3" t="s">
        <v>116</v>
      </c>
    </row>
    <row r="4" spans="1:7" x14ac:dyDescent="0.35">
      <c r="A4" s="15" t="s">
        <v>66</v>
      </c>
      <c r="B4">
        <v>1.8679111475270328E-2</v>
      </c>
      <c r="C4">
        <v>0.24613491771786639</v>
      </c>
      <c r="D4">
        <v>0.31712615934178301</v>
      </c>
      <c r="E4">
        <v>0.24329284860264971</v>
      </c>
      <c r="F4">
        <v>0.13924057054727651</v>
      </c>
      <c r="G4">
        <v>3.5526392315154053E-2</v>
      </c>
    </row>
    <row r="5" spans="1:7" x14ac:dyDescent="0.35">
      <c r="A5" s="15" t="s">
        <v>62</v>
      </c>
      <c r="B5">
        <v>3.1079803713894617E-2</v>
      </c>
      <c r="C5">
        <v>0.33653962637948021</v>
      </c>
      <c r="D5">
        <v>0.34941395631522804</v>
      </c>
      <c r="E5">
        <v>0.20169962632044125</v>
      </c>
      <c r="F5">
        <v>7.3507084647192453E-2</v>
      </c>
      <c r="G5">
        <v>7.7599026237634297E-3</v>
      </c>
    </row>
    <row r="6" spans="1:7" x14ac:dyDescent="0.35">
      <c r="A6" s="15" t="s">
        <v>68</v>
      </c>
      <c r="B6">
        <v>0.16765299086895941</v>
      </c>
      <c r="C6">
        <v>0.35339731243898659</v>
      </c>
      <c r="D6">
        <v>0.29951984150713429</v>
      </c>
      <c r="E6">
        <v>0.1336555241914486</v>
      </c>
      <c r="F6">
        <v>4.3048783589516915E-2</v>
      </c>
      <c r="G6">
        <v>2.7255474039542516E-3</v>
      </c>
    </row>
    <row r="7" spans="1:7" x14ac:dyDescent="0.35">
      <c r="A7" s="15" t="s">
        <v>111</v>
      </c>
      <c r="B7">
        <v>2.8094911126753986E-2</v>
      </c>
      <c r="C7">
        <v>0.42408199480095404</v>
      </c>
      <c r="D7">
        <v>0.32237544168541793</v>
      </c>
      <c r="E7">
        <v>0.14725787510182761</v>
      </c>
      <c r="F7">
        <v>7.3303780982837616E-2</v>
      </c>
      <c r="G7">
        <v>4.8859963022088162E-3</v>
      </c>
    </row>
    <row r="8" spans="1:7" x14ac:dyDescent="0.35">
      <c r="A8" s="15" t="s">
        <v>51</v>
      </c>
      <c r="B8">
        <v>6.872249740322027E-2</v>
      </c>
      <c r="C8">
        <v>0.33003659872079533</v>
      </c>
      <c r="D8">
        <v>0.32835360189105112</v>
      </c>
      <c r="E8">
        <v>0.18651722727907752</v>
      </c>
      <c r="F8">
        <v>7.5570523502702977E-2</v>
      </c>
      <c r="G8">
        <v>1.0799551203152747E-2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E16E-0B44-4099-976C-5F1F98B9B821}">
  <dimension ref="A1:O25"/>
  <sheetViews>
    <sheetView topLeftCell="C8" workbookViewId="0">
      <selection activeCell="I1" sqref="I1:N1"/>
    </sheetView>
  </sheetViews>
  <sheetFormatPr defaultRowHeight="14.5" x14ac:dyDescent="0.35"/>
  <sheetData>
    <row r="1" spans="1:15" ht="87" x14ac:dyDescent="0.35">
      <c r="A1" s="4" t="s">
        <v>1</v>
      </c>
      <c r="B1" s="4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6" t="s">
        <v>57</v>
      </c>
      <c r="H1" s="12" t="s">
        <v>58</v>
      </c>
      <c r="I1" s="4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6" t="s">
        <v>57</v>
      </c>
      <c r="O1" s="12" t="s">
        <v>60</v>
      </c>
    </row>
    <row r="2" spans="1:15" x14ac:dyDescent="0.35">
      <c r="A2" s="7" t="s">
        <v>111</v>
      </c>
      <c r="B2" s="4">
        <v>16244</v>
      </c>
      <c r="C2" s="5">
        <v>245197</v>
      </c>
      <c r="D2" s="5">
        <v>186392</v>
      </c>
      <c r="E2" s="5">
        <v>85142</v>
      </c>
      <c r="F2" s="5">
        <v>42383</v>
      </c>
      <c r="G2" s="6">
        <v>2825</v>
      </c>
      <c r="H2">
        <f>SUM(B2:G2)</f>
        <v>578183</v>
      </c>
      <c r="I2">
        <f>B2/H2</f>
        <v>2.8094911126753986E-2</v>
      </c>
      <c r="J2">
        <f>C2/H2</f>
        <v>0.42408199480095404</v>
      </c>
      <c r="K2">
        <f>D2/H2</f>
        <v>0.32237544168541793</v>
      </c>
      <c r="L2">
        <f>E2/H2</f>
        <v>0.14725787510182761</v>
      </c>
      <c r="M2">
        <f>F2/H2</f>
        <v>7.3303780982837616E-2</v>
      </c>
      <c r="N2">
        <f>G2/H2</f>
        <v>4.8859963022088162E-3</v>
      </c>
      <c r="O2" t="s">
        <v>111</v>
      </c>
    </row>
    <row r="3" spans="1:15" x14ac:dyDescent="0.35">
      <c r="A3" s="8" t="s">
        <v>7</v>
      </c>
      <c r="B3" s="9">
        <v>227</v>
      </c>
      <c r="C3" s="10">
        <v>2959</v>
      </c>
      <c r="D3" s="10">
        <v>2657</v>
      </c>
      <c r="E3" s="10">
        <v>1502</v>
      </c>
      <c r="F3" s="10">
        <v>646</v>
      </c>
      <c r="G3" s="11">
        <v>37</v>
      </c>
      <c r="H3">
        <f t="shared" ref="H3:H25" si="0">SUM(B3:G3)</f>
        <v>8028</v>
      </c>
      <c r="I3">
        <f t="shared" ref="I3:I25" si="1">B3/H3</f>
        <v>2.8276033881415048E-2</v>
      </c>
      <c r="J3">
        <f t="shared" ref="J3:J25" si="2">C3/H3</f>
        <v>0.36858495266567015</v>
      </c>
      <c r="K3">
        <f t="shared" ref="K3:K25" si="3">D3/H3</f>
        <v>0.33096661684105633</v>
      </c>
      <c r="L3">
        <f t="shared" ref="L3:L25" si="4">E3/H3</f>
        <v>0.18709516691579473</v>
      </c>
      <c r="M3">
        <f t="shared" ref="M3:M25" si="5">F3/H3</f>
        <v>8.0468360737419031E-2</v>
      </c>
      <c r="N3">
        <f t="shared" ref="N3:N25" si="6">G3/H3</f>
        <v>4.6088689586447438E-3</v>
      </c>
      <c r="O3" t="str">
        <f>VLOOKUP(A3,Income!A$2:D$49,4,FALSE)</f>
        <v>High/Upper-Middle-Income Economies </v>
      </c>
    </row>
    <row r="4" spans="1:15" x14ac:dyDescent="0.35">
      <c r="A4" s="8" t="s">
        <v>9</v>
      </c>
      <c r="B4" s="9">
        <v>35</v>
      </c>
      <c r="C4" s="10">
        <v>3771</v>
      </c>
      <c r="D4" s="10">
        <v>6788</v>
      </c>
      <c r="E4" s="10">
        <v>3016</v>
      </c>
      <c r="F4" s="10">
        <v>1366</v>
      </c>
      <c r="G4" s="11">
        <v>3</v>
      </c>
      <c r="H4">
        <f t="shared" si="0"/>
        <v>14979</v>
      </c>
      <c r="I4">
        <f t="shared" si="1"/>
        <v>2.3366045797449764E-3</v>
      </c>
      <c r="J4">
        <f t="shared" si="2"/>
        <v>0.25175245343480873</v>
      </c>
      <c r="K4">
        <f t="shared" si="3"/>
        <v>0.45316776820882571</v>
      </c>
      <c r="L4">
        <f t="shared" si="4"/>
        <v>0.20134855464316709</v>
      </c>
      <c r="M4">
        <f t="shared" si="5"/>
        <v>9.1194338740903935E-2</v>
      </c>
      <c r="N4">
        <f t="shared" si="6"/>
        <v>2.002803925495694E-4</v>
      </c>
      <c r="O4" t="str">
        <f>VLOOKUP(A4,Income!A$2:D$49,4,FALSE)</f>
        <v>Lower-Middle-Income Economies</v>
      </c>
    </row>
    <row r="5" spans="1:15" x14ac:dyDescent="0.35">
      <c r="A5" s="8" t="s">
        <v>10</v>
      </c>
      <c r="B5" s="9">
        <v>296</v>
      </c>
      <c r="C5" s="10">
        <v>6515</v>
      </c>
      <c r="D5" s="10">
        <v>6221</v>
      </c>
      <c r="E5" s="10">
        <v>2896</v>
      </c>
      <c r="F5" s="10">
        <v>521</v>
      </c>
      <c r="G5" s="11">
        <v>19</v>
      </c>
      <c r="H5">
        <f t="shared" si="0"/>
        <v>16468</v>
      </c>
      <c r="I5">
        <f t="shared" si="1"/>
        <v>1.7974253096915228E-2</v>
      </c>
      <c r="J5">
        <f t="shared" si="2"/>
        <v>0.39561573961622543</v>
      </c>
      <c r="K5">
        <f t="shared" si="3"/>
        <v>0.37776293417537044</v>
      </c>
      <c r="L5">
        <f t="shared" si="4"/>
        <v>0.17585620597522467</v>
      </c>
      <c r="M5">
        <f t="shared" si="5"/>
        <v>3.1637114403692011E-2</v>
      </c>
      <c r="N5">
        <f t="shared" si="6"/>
        <v>1.1537527325722614E-3</v>
      </c>
      <c r="O5" t="str">
        <f>VLOOKUP(A5,Income!A$2:D$49,4,FALSE)</f>
        <v>Lower-Middle-Income Economies</v>
      </c>
    </row>
    <row r="6" spans="1:15" x14ac:dyDescent="0.35">
      <c r="A6" s="8" t="s">
        <v>12</v>
      </c>
      <c r="B6" s="9">
        <v>75</v>
      </c>
      <c r="C6" s="10">
        <v>710</v>
      </c>
      <c r="D6" s="10">
        <v>2588</v>
      </c>
      <c r="E6" s="10">
        <v>1522</v>
      </c>
      <c r="F6" s="10">
        <v>675</v>
      </c>
      <c r="G6" s="11">
        <v>3</v>
      </c>
      <c r="H6">
        <f t="shared" si="0"/>
        <v>5573</v>
      </c>
      <c r="I6">
        <f t="shared" si="1"/>
        <v>1.3457742687959805E-2</v>
      </c>
      <c r="J6">
        <f t="shared" si="2"/>
        <v>0.12739996411268617</v>
      </c>
      <c r="K6">
        <f t="shared" si="3"/>
        <v>0.46438184101919971</v>
      </c>
      <c r="L6">
        <f t="shared" si="4"/>
        <v>0.27310245828099766</v>
      </c>
      <c r="M6">
        <f t="shared" si="5"/>
        <v>0.12111968419163825</v>
      </c>
      <c r="N6">
        <f t="shared" si="6"/>
        <v>5.3830970751839223E-4</v>
      </c>
      <c r="O6" t="str">
        <f>VLOOKUP(A6,Income!A$2:D$49,4,FALSE)</f>
        <v>Lower-Middle-Income Economies</v>
      </c>
    </row>
    <row r="7" spans="1:15" x14ac:dyDescent="0.35">
      <c r="A7" s="8" t="s">
        <v>14</v>
      </c>
      <c r="B7" s="9">
        <v>0</v>
      </c>
      <c r="C7" s="10">
        <v>253</v>
      </c>
      <c r="D7" s="10">
        <v>249</v>
      </c>
      <c r="E7" s="10">
        <v>262</v>
      </c>
      <c r="F7" s="10">
        <v>128</v>
      </c>
      <c r="G7" s="11">
        <v>49</v>
      </c>
      <c r="H7">
        <f t="shared" si="0"/>
        <v>941</v>
      </c>
      <c r="I7">
        <f t="shared" si="1"/>
        <v>0</v>
      </c>
      <c r="J7">
        <f t="shared" si="2"/>
        <v>0.26886291179596172</v>
      </c>
      <c r="K7">
        <f t="shared" si="3"/>
        <v>0.26461211477151964</v>
      </c>
      <c r="L7">
        <f t="shared" si="4"/>
        <v>0.27842720510095642</v>
      </c>
      <c r="M7">
        <f t="shared" si="5"/>
        <v>0.13602550478214664</v>
      </c>
      <c r="N7">
        <f t="shared" si="6"/>
        <v>5.2072263549415514E-2</v>
      </c>
      <c r="O7" t="str">
        <f>VLOOKUP(A7,Income!A$2:D$49,4,FALSE)</f>
        <v>Lower-Middle-Income Economies</v>
      </c>
    </row>
    <row r="8" spans="1:15" x14ac:dyDescent="0.35">
      <c r="A8" s="8" t="s">
        <v>16</v>
      </c>
      <c r="B8" s="9">
        <v>859</v>
      </c>
      <c r="C8" s="10">
        <v>2083</v>
      </c>
      <c r="D8" s="10">
        <v>940</v>
      </c>
      <c r="E8" s="10">
        <v>916</v>
      </c>
      <c r="F8" s="10">
        <v>209</v>
      </c>
      <c r="G8" s="11"/>
      <c r="H8">
        <f t="shared" si="0"/>
        <v>5007</v>
      </c>
      <c r="I8">
        <f t="shared" si="1"/>
        <v>0.17155981625723987</v>
      </c>
      <c r="J8">
        <f t="shared" si="2"/>
        <v>0.41601757539444778</v>
      </c>
      <c r="K8">
        <f t="shared" si="3"/>
        <v>0.18773716796484921</v>
      </c>
      <c r="L8">
        <f t="shared" si="4"/>
        <v>0.18294387857000199</v>
      </c>
      <c r="M8">
        <f t="shared" si="5"/>
        <v>4.1741561813461156E-2</v>
      </c>
      <c r="N8">
        <f t="shared" si="6"/>
        <v>0</v>
      </c>
      <c r="O8" t="str">
        <f>VLOOKUP(A8,Income!A$2:D$49,4,FALSE)</f>
        <v>Low-Income Economies</v>
      </c>
    </row>
    <row r="9" spans="1:15" x14ac:dyDescent="0.35">
      <c r="A9" s="8" t="s">
        <v>18</v>
      </c>
      <c r="B9" s="9">
        <v>0</v>
      </c>
      <c r="C9" s="10">
        <v>615</v>
      </c>
      <c r="D9" s="10">
        <v>1660</v>
      </c>
      <c r="E9" s="10">
        <v>1532</v>
      </c>
      <c r="F9" s="10">
        <v>470</v>
      </c>
      <c r="G9" s="11">
        <v>0</v>
      </c>
      <c r="H9">
        <f t="shared" si="0"/>
        <v>4277</v>
      </c>
      <c r="I9">
        <f t="shared" si="1"/>
        <v>0</v>
      </c>
      <c r="J9">
        <f t="shared" si="2"/>
        <v>0.14379237783493104</v>
      </c>
      <c r="K9">
        <f t="shared" si="3"/>
        <v>0.38812251578209023</v>
      </c>
      <c r="L9">
        <f t="shared" si="4"/>
        <v>0.35819499649286884</v>
      </c>
      <c r="M9">
        <f t="shared" si="5"/>
        <v>0.10989010989010989</v>
      </c>
      <c r="N9">
        <f t="shared" si="6"/>
        <v>0</v>
      </c>
      <c r="O9" t="str">
        <f>VLOOKUP(A9,Income!A$2:D$49,4,FALSE)</f>
        <v>High/Upper-Middle-Income Economies </v>
      </c>
    </row>
    <row r="10" spans="1:15" x14ac:dyDescent="0.35">
      <c r="A10" s="8" t="s">
        <v>19</v>
      </c>
      <c r="B10" s="9">
        <v>39</v>
      </c>
      <c r="C10" s="10">
        <v>66582</v>
      </c>
      <c r="D10" s="10">
        <v>30701</v>
      </c>
      <c r="E10" s="10">
        <v>1561</v>
      </c>
      <c r="F10" s="10">
        <v>790</v>
      </c>
      <c r="G10" s="11">
        <v>0</v>
      </c>
      <c r="H10">
        <f t="shared" si="0"/>
        <v>99673</v>
      </c>
      <c r="I10">
        <f t="shared" si="1"/>
        <v>3.9127948391239352E-4</v>
      </c>
      <c r="J10">
        <f t="shared" si="2"/>
        <v>0.66800437430397397</v>
      </c>
      <c r="K10">
        <f t="shared" si="3"/>
        <v>0.30801721629729212</v>
      </c>
      <c r="L10">
        <f t="shared" si="4"/>
        <v>1.5661212163775546E-2</v>
      </c>
      <c r="M10">
        <f t="shared" si="5"/>
        <v>7.925917751045921E-3</v>
      </c>
      <c r="N10">
        <f t="shared" si="6"/>
        <v>0</v>
      </c>
      <c r="O10" t="str">
        <f>VLOOKUP(A10,Income!A$2:D$49,4,FALSE)</f>
        <v>Lower-Middle-Income Economies</v>
      </c>
    </row>
    <row r="11" spans="1:15" x14ac:dyDescent="0.35">
      <c r="A11" s="8" t="s">
        <v>22</v>
      </c>
      <c r="B11" s="9">
        <v>0</v>
      </c>
      <c r="C11" s="10">
        <v>659</v>
      </c>
      <c r="D11" s="10">
        <v>863</v>
      </c>
      <c r="E11" s="10">
        <v>209</v>
      </c>
      <c r="F11" s="10">
        <v>134</v>
      </c>
      <c r="G11" s="11">
        <v>14</v>
      </c>
      <c r="H11">
        <f t="shared" si="0"/>
        <v>1879</v>
      </c>
      <c r="I11">
        <f t="shared" si="1"/>
        <v>0</v>
      </c>
      <c r="J11">
        <f t="shared" si="2"/>
        <v>0.35071846726982436</v>
      </c>
      <c r="K11">
        <f t="shared" si="3"/>
        <v>0.45928685470995212</v>
      </c>
      <c r="L11">
        <f t="shared" si="4"/>
        <v>0.11122937732836616</v>
      </c>
      <c r="M11">
        <f t="shared" si="5"/>
        <v>7.1314529004789781E-2</v>
      </c>
      <c r="N11">
        <f t="shared" si="6"/>
        <v>7.4507716870675887E-3</v>
      </c>
      <c r="O11" t="str">
        <f>VLOOKUP(A11,Income!A$2:D$49,4,FALSE)</f>
        <v>Low-Income Economies</v>
      </c>
    </row>
    <row r="12" spans="1:15" x14ac:dyDescent="0.35">
      <c r="A12" s="8" t="s">
        <v>24</v>
      </c>
      <c r="B12" s="9">
        <v>375</v>
      </c>
      <c r="C12" s="10">
        <v>11055</v>
      </c>
      <c r="D12" s="10">
        <v>12233</v>
      </c>
      <c r="E12" s="10">
        <v>8664</v>
      </c>
      <c r="F12" s="10">
        <v>3678</v>
      </c>
      <c r="G12" s="11">
        <v>57</v>
      </c>
      <c r="H12">
        <f t="shared" si="0"/>
        <v>36062</v>
      </c>
      <c r="I12">
        <f t="shared" si="1"/>
        <v>1.0398757695080694E-2</v>
      </c>
      <c r="J12">
        <f t="shared" si="2"/>
        <v>0.30655537685097889</v>
      </c>
      <c r="K12">
        <f t="shared" si="3"/>
        <v>0.33922134102379237</v>
      </c>
      <c r="L12">
        <f t="shared" si="4"/>
        <v>0.24025289778714437</v>
      </c>
      <c r="M12">
        <f t="shared" si="5"/>
        <v>0.10199101547335145</v>
      </c>
      <c r="N12">
        <f t="shared" si="6"/>
        <v>1.5806111696522655E-3</v>
      </c>
      <c r="O12" t="str">
        <f>VLOOKUP(A12,Income!A$2:D$49,4,FALSE)</f>
        <v>Lower-Middle-Income Economies</v>
      </c>
    </row>
    <row r="13" spans="1:15" x14ac:dyDescent="0.35">
      <c r="A13" s="8" t="s">
        <v>32</v>
      </c>
      <c r="B13" s="9">
        <v>310</v>
      </c>
      <c r="C13" s="10">
        <v>4736</v>
      </c>
      <c r="D13" s="10">
        <v>2722</v>
      </c>
      <c r="E13" s="10">
        <v>1613</v>
      </c>
      <c r="F13" s="10">
        <v>211</v>
      </c>
      <c r="G13" s="11"/>
      <c r="H13">
        <f t="shared" si="0"/>
        <v>9592</v>
      </c>
      <c r="I13">
        <f t="shared" si="1"/>
        <v>3.2318598832360303E-2</v>
      </c>
      <c r="J13">
        <f t="shared" si="2"/>
        <v>0.493744787322769</v>
      </c>
      <c r="K13">
        <f t="shared" si="3"/>
        <v>0.28377814845704752</v>
      </c>
      <c r="L13">
        <f t="shared" si="4"/>
        <v>0.16816096747289408</v>
      </c>
      <c r="M13">
        <f t="shared" si="5"/>
        <v>2.1997497914929106E-2</v>
      </c>
      <c r="N13">
        <f t="shared" si="6"/>
        <v>0</v>
      </c>
      <c r="O13" t="str">
        <f>VLOOKUP(A13,Income!A$2:D$49,4,FALSE)</f>
        <v>Low-Income Economies</v>
      </c>
    </row>
    <row r="14" spans="1:15" x14ac:dyDescent="0.35">
      <c r="A14" s="8" t="s">
        <v>35</v>
      </c>
      <c r="B14" s="9">
        <v>9026</v>
      </c>
      <c r="C14" s="10">
        <v>106455</v>
      </c>
      <c r="D14" s="10">
        <v>89987</v>
      </c>
      <c r="E14" s="10">
        <v>52923</v>
      </c>
      <c r="F14" s="10">
        <v>31760</v>
      </c>
      <c r="G14" s="11">
        <v>2353</v>
      </c>
      <c r="H14">
        <f t="shared" si="0"/>
        <v>292504</v>
      </c>
      <c r="I14">
        <f t="shared" si="1"/>
        <v>3.085769767251046E-2</v>
      </c>
      <c r="J14">
        <f t="shared" si="2"/>
        <v>0.36394374094029486</v>
      </c>
      <c r="K14">
        <f t="shared" si="3"/>
        <v>0.30764365615512951</v>
      </c>
      <c r="L14">
        <f t="shared" si="4"/>
        <v>0.18093085906517517</v>
      </c>
      <c r="M14">
        <f t="shared" si="5"/>
        <v>0.10857971173043787</v>
      </c>
      <c r="N14">
        <f t="shared" si="6"/>
        <v>8.0443344364521507E-3</v>
      </c>
      <c r="O14" t="str">
        <f>VLOOKUP(A14,Income!A$2:D$49,4,FALSE)</f>
        <v>Lower-Middle-Income Economies</v>
      </c>
    </row>
    <row r="15" spans="1:15" x14ac:dyDescent="0.35">
      <c r="A15" s="8" t="s">
        <v>37</v>
      </c>
      <c r="B15" s="9">
        <v>15</v>
      </c>
      <c r="C15" s="10">
        <v>1113</v>
      </c>
      <c r="D15" s="10">
        <v>2668</v>
      </c>
      <c r="E15" s="10">
        <v>709</v>
      </c>
      <c r="F15" s="10">
        <v>203</v>
      </c>
      <c r="G15" s="11">
        <v>29</v>
      </c>
      <c r="H15">
        <f t="shared" si="0"/>
        <v>4737</v>
      </c>
      <c r="I15">
        <f t="shared" si="1"/>
        <v>3.1665611146295125E-3</v>
      </c>
      <c r="J15">
        <f t="shared" si="2"/>
        <v>0.23495883470550982</v>
      </c>
      <c r="K15">
        <f t="shared" si="3"/>
        <v>0.56322567025543591</v>
      </c>
      <c r="L15">
        <f t="shared" si="4"/>
        <v>0.14967278868482162</v>
      </c>
      <c r="M15">
        <f t="shared" si="5"/>
        <v>4.2854127084652735E-2</v>
      </c>
      <c r="N15">
        <f t="shared" si="6"/>
        <v>6.122018154950391E-3</v>
      </c>
      <c r="O15" t="str">
        <f>VLOOKUP(A15,Income!A$2:D$49,4,FALSE)</f>
        <v>Lower-Middle-Income Economies</v>
      </c>
    </row>
    <row r="16" spans="1:15" x14ac:dyDescent="0.35">
      <c r="A16" s="8" t="s">
        <v>41</v>
      </c>
      <c r="B16" s="9">
        <v>156</v>
      </c>
      <c r="C16" s="10">
        <v>2150</v>
      </c>
      <c r="D16" s="10">
        <v>1684</v>
      </c>
      <c r="E16" s="10">
        <v>1016</v>
      </c>
      <c r="F16" s="10">
        <v>478</v>
      </c>
      <c r="G16" s="11">
        <v>34</v>
      </c>
      <c r="H16">
        <f t="shared" si="0"/>
        <v>5518</v>
      </c>
      <c r="I16">
        <f t="shared" si="1"/>
        <v>2.8271112722000724E-2</v>
      </c>
      <c r="J16">
        <f t="shared" si="2"/>
        <v>0.38963392533526642</v>
      </c>
      <c r="K16">
        <f t="shared" si="3"/>
        <v>0.30518303733236679</v>
      </c>
      <c r="L16">
        <f t="shared" si="4"/>
        <v>0.18412468285610728</v>
      </c>
      <c r="M16">
        <f t="shared" si="5"/>
        <v>8.6625588981515039E-2</v>
      </c>
      <c r="N16">
        <f t="shared" si="6"/>
        <v>6.1616527727437476E-3</v>
      </c>
      <c r="O16" t="str">
        <f>VLOOKUP(A16,Income!A$2:D$49,4,FALSE)</f>
        <v>Lower-Middle-Income Economies</v>
      </c>
    </row>
    <row r="17" spans="1:15" x14ac:dyDescent="0.35">
      <c r="A17" s="8" t="s">
        <v>42</v>
      </c>
      <c r="B17" s="9">
        <v>42</v>
      </c>
      <c r="C17" s="10">
        <v>256</v>
      </c>
      <c r="D17" s="10">
        <v>239</v>
      </c>
      <c r="E17" s="10">
        <v>162</v>
      </c>
      <c r="F17" s="10">
        <v>168</v>
      </c>
      <c r="G17" s="11">
        <v>80</v>
      </c>
      <c r="H17">
        <f t="shared" si="0"/>
        <v>947</v>
      </c>
      <c r="I17">
        <f t="shared" si="1"/>
        <v>4.4350580781414996E-2</v>
      </c>
      <c r="J17">
        <f t="shared" si="2"/>
        <v>0.27032734952481519</v>
      </c>
      <c r="K17">
        <f t="shared" si="3"/>
        <v>0.25237592397043296</v>
      </c>
      <c r="L17">
        <f t="shared" si="4"/>
        <v>0.17106652587117213</v>
      </c>
      <c r="M17">
        <f t="shared" si="5"/>
        <v>0.17740232312565998</v>
      </c>
      <c r="N17">
        <f t="shared" si="6"/>
        <v>8.4477296726504753E-2</v>
      </c>
      <c r="O17" t="str">
        <f>VLOOKUP(A17,Income!A$2:D$49,4,FALSE)</f>
        <v>High/Upper-Middle-Income Economies </v>
      </c>
    </row>
    <row r="18" spans="1:15" x14ac:dyDescent="0.35">
      <c r="A18" s="8" t="s">
        <v>43</v>
      </c>
      <c r="B18" s="9">
        <v>123</v>
      </c>
      <c r="C18" s="10">
        <v>1494</v>
      </c>
      <c r="D18" s="10">
        <v>1044</v>
      </c>
      <c r="E18" s="10">
        <v>491</v>
      </c>
      <c r="F18" s="10">
        <v>215</v>
      </c>
      <c r="G18" s="11">
        <v>0</v>
      </c>
      <c r="H18">
        <f t="shared" si="0"/>
        <v>3367</v>
      </c>
      <c r="I18">
        <f t="shared" si="1"/>
        <v>3.653103653103653E-2</v>
      </c>
      <c r="J18">
        <f t="shared" si="2"/>
        <v>0.44371844371844371</v>
      </c>
      <c r="K18">
        <f t="shared" si="3"/>
        <v>0.31006831006831009</v>
      </c>
      <c r="L18">
        <f t="shared" si="4"/>
        <v>0.14582714582714582</v>
      </c>
      <c r="M18">
        <f t="shared" si="5"/>
        <v>6.3855063855063857E-2</v>
      </c>
      <c r="N18">
        <f t="shared" si="6"/>
        <v>0</v>
      </c>
      <c r="O18" t="str">
        <f>VLOOKUP(A18,Income!A$2:D$49,4,FALSE)</f>
        <v>Low-Income Economies</v>
      </c>
    </row>
    <row r="19" spans="1:15" x14ac:dyDescent="0.35">
      <c r="A19" s="8" t="s">
        <v>44</v>
      </c>
      <c r="B19" s="9">
        <v>121</v>
      </c>
      <c r="C19" s="10">
        <v>987</v>
      </c>
      <c r="D19" s="10">
        <v>1001</v>
      </c>
      <c r="E19" s="10">
        <v>411</v>
      </c>
      <c r="F19" s="10">
        <v>146</v>
      </c>
      <c r="G19" s="11">
        <v>4</v>
      </c>
      <c r="H19">
        <f t="shared" si="0"/>
        <v>2670</v>
      </c>
      <c r="I19">
        <f t="shared" si="1"/>
        <v>4.5318352059925092E-2</v>
      </c>
      <c r="J19">
        <f t="shared" si="2"/>
        <v>0.36966292134831463</v>
      </c>
      <c r="K19">
        <f t="shared" si="3"/>
        <v>0.37490636704119851</v>
      </c>
      <c r="L19">
        <f t="shared" si="4"/>
        <v>0.15393258426966291</v>
      </c>
      <c r="M19">
        <f t="shared" si="5"/>
        <v>5.4681647940074907E-2</v>
      </c>
      <c r="N19">
        <f t="shared" si="6"/>
        <v>1.4981273408239701E-3</v>
      </c>
      <c r="O19" t="str">
        <f>VLOOKUP(A19,Income!A$2:D$49,4,FALSE)</f>
        <v>Low-Income Economies</v>
      </c>
    </row>
    <row r="20" spans="1:15" x14ac:dyDescent="0.35">
      <c r="A20" s="8" t="s">
        <v>48</v>
      </c>
      <c r="B20" s="9">
        <v>4545</v>
      </c>
      <c r="C20" s="10">
        <v>19288</v>
      </c>
      <c r="D20" s="10">
        <v>7021</v>
      </c>
      <c r="E20" s="10">
        <v>2197</v>
      </c>
      <c r="F20" s="10">
        <v>585</v>
      </c>
      <c r="G20" s="11">
        <v>143</v>
      </c>
      <c r="H20">
        <f t="shared" si="0"/>
        <v>33779</v>
      </c>
      <c r="I20">
        <f t="shared" si="1"/>
        <v>0.13455105242902396</v>
      </c>
      <c r="J20">
        <f t="shared" si="2"/>
        <v>0.57100565440066309</v>
      </c>
      <c r="K20">
        <f t="shared" si="3"/>
        <v>0.2078510317060896</v>
      </c>
      <c r="L20">
        <f t="shared" si="4"/>
        <v>6.5040409722016634E-2</v>
      </c>
      <c r="M20">
        <f t="shared" si="5"/>
        <v>1.7318452292844667E-2</v>
      </c>
      <c r="N20">
        <f t="shared" si="6"/>
        <v>4.2333994493620299E-3</v>
      </c>
      <c r="O20" t="str">
        <f>VLOOKUP(A20,Income!A$2:D$49,4,FALSE)</f>
        <v>Lower-Middle-Income Economies</v>
      </c>
    </row>
    <row r="21" spans="1:15" x14ac:dyDescent="0.35">
      <c r="A21" s="8" t="s">
        <v>5</v>
      </c>
      <c r="B21" s="9">
        <v>206</v>
      </c>
      <c r="C21" s="10">
        <v>876</v>
      </c>
      <c r="D21" s="10">
        <v>2422</v>
      </c>
      <c r="E21" s="10">
        <v>1649</v>
      </c>
      <c r="F21" s="10">
        <v>289</v>
      </c>
      <c r="G21" s="11">
        <v>42</v>
      </c>
      <c r="H21">
        <f t="shared" si="0"/>
        <v>5484</v>
      </c>
      <c r="I21">
        <f t="shared" si="1"/>
        <v>3.7563822027716992E-2</v>
      </c>
      <c r="J21">
        <f t="shared" si="2"/>
        <v>0.15973741794310722</v>
      </c>
      <c r="K21">
        <f t="shared" si="3"/>
        <v>0.44164843180160468</v>
      </c>
      <c r="L21">
        <f t="shared" si="4"/>
        <v>0.30069292487235594</v>
      </c>
      <c r="M21">
        <f t="shared" si="5"/>
        <v>5.2698760029175784E-2</v>
      </c>
      <c r="N21">
        <f t="shared" si="6"/>
        <v>7.658643326039387E-3</v>
      </c>
      <c r="O21" t="str">
        <f>VLOOKUP(A21,Income!A$2:D$49,4,FALSE)</f>
        <v>Lower-Middle-Income Economies</v>
      </c>
    </row>
    <row r="22" spans="1:15" x14ac:dyDescent="0.35">
      <c r="A22" s="8" t="s">
        <v>4</v>
      </c>
      <c r="B22" s="9">
        <v>17</v>
      </c>
      <c r="C22" s="10">
        <v>2407</v>
      </c>
      <c r="D22" s="10">
        <v>3522</v>
      </c>
      <c r="E22" s="10">
        <v>1236</v>
      </c>
      <c r="F22" s="10">
        <v>292</v>
      </c>
      <c r="G22" s="11">
        <v>44</v>
      </c>
      <c r="H22">
        <f t="shared" si="0"/>
        <v>7518</v>
      </c>
      <c r="I22">
        <f t="shared" si="1"/>
        <v>2.261239691407289E-3</v>
      </c>
      <c r="J22">
        <f t="shared" si="2"/>
        <v>0.32016493748337321</v>
      </c>
      <c r="K22">
        <f t="shared" si="3"/>
        <v>0.4684756584197925</v>
      </c>
      <c r="L22">
        <f t="shared" si="4"/>
        <v>0.16440542697525937</v>
      </c>
      <c r="M22">
        <f t="shared" si="5"/>
        <v>3.8840117052407558E-2</v>
      </c>
      <c r="N22">
        <f t="shared" si="6"/>
        <v>5.8526203777600422E-3</v>
      </c>
      <c r="O22" t="str">
        <f>VLOOKUP(A22,Income!A$2:D$49,4,FALSE)</f>
        <v>Low-Income Economies</v>
      </c>
    </row>
    <row r="23" spans="1:15" x14ac:dyDescent="0.35">
      <c r="A23" s="8" t="s">
        <v>15</v>
      </c>
      <c r="B23" s="9">
        <v>5302</v>
      </c>
      <c r="C23" s="10">
        <v>16980</v>
      </c>
      <c r="D23" s="10">
        <v>9040</v>
      </c>
      <c r="E23" s="10">
        <v>20042</v>
      </c>
      <c r="F23" s="10">
        <v>4745</v>
      </c>
      <c r="G23" s="11">
        <v>302</v>
      </c>
      <c r="H23">
        <f t="shared" si="0"/>
        <v>56411</v>
      </c>
      <c r="I23">
        <f t="shared" si="1"/>
        <v>9.3988761057240605E-2</v>
      </c>
      <c r="J23">
        <f t="shared" si="2"/>
        <v>0.30100512311428623</v>
      </c>
      <c r="K23">
        <f t="shared" si="3"/>
        <v>0.16025243303610998</v>
      </c>
      <c r="L23">
        <f t="shared" si="4"/>
        <v>0.35528531669355268</v>
      </c>
      <c r="M23">
        <f t="shared" si="5"/>
        <v>8.4114800304905077E-2</v>
      </c>
      <c r="N23">
        <f t="shared" si="6"/>
        <v>5.3535657939054442E-3</v>
      </c>
      <c r="O23" t="str">
        <f>VLOOKUP(A23,Income!A$2:D$49,4,FALSE)</f>
        <v>Lower-Middle-Income Economies</v>
      </c>
    </row>
    <row r="24" spans="1:15" s="12" customFormat="1" x14ac:dyDescent="0.35">
      <c r="A24" s="8" t="s">
        <v>46</v>
      </c>
      <c r="B24" s="9">
        <v>9938</v>
      </c>
      <c r="C24" s="10">
        <v>895</v>
      </c>
      <c r="D24" s="10">
        <v>139</v>
      </c>
      <c r="E24" s="10">
        <v>102</v>
      </c>
      <c r="F24" s="10">
        <v>100</v>
      </c>
      <c r="G24" s="11">
        <v>48</v>
      </c>
      <c r="H24">
        <f t="shared" si="0"/>
        <v>11222</v>
      </c>
      <c r="I24">
        <f t="shared" si="1"/>
        <v>0.88558189271074672</v>
      </c>
      <c r="J24">
        <f t="shared" si="2"/>
        <v>7.9754054535733379E-2</v>
      </c>
      <c r="K24">
        <f t="shared" si="3"/>
        <v>1.2386383888789878E-2</v>
      </c>
      <c r="L24">
        <f t="shared" si="4"/>
        <v>9.0892888968098374E-3</v>
      </c>
      <c r="M24">
        <f t="shared" si="5"/>
        <v>8.9110675458919982E-3</v>
      </c>
      <c r="N24">
        <f t="shared" si="6"/>
        <v>4.2773124220281591E-3</v>
      </c>
      <c r="O24" t="str">
        <f>VLOOKUP(A24,Income!A$2:D$49,4,FALSE)</f>
        <v>Low-Income Economies</v>
      </c>
    </row>
    <row r="25" spans="1:15" s="12" customFormat="1" x14ac:dyDescent="0.35">
      <c r="A25" s="8" t="s">
        <v>47</v>
      </c>
      <c r="B25" s="9">
        <v>597</v>
      </c>
      <c r="C25" s="10">
        <v>57658</v>
      </c>
      <c r="D25" s="10">
        <v>84855</v>
      </c>
      <c r="E25" s="10">
        <v>73364</v>
      </c>
      <c r="F25" s="10">
        <v>54049</v>
      </c>
      <c r="G25" s="11">
        <v>15146</v>
      </c>
      <c r="H25">
        <f t="shared" si="0"/>
        <v>285669</v>
      </c>
      <c r="I25">
        <f t="shared" si="1"/>
        <v>2.0898312382512628E-3</v>
      </c>
      <c r="J25">
        <f t="shared" si="2"/>
        <v>0.20183499084604911</v>
      </c>
      <c r="K25">
        <f t="shared" si="3"/>
        <v>0.29703958077355258</v>
      </c>
      <c r="L25">
        <f t="shared" si="4"/>
        <v>0.25681470513076321</v>
      </c>
      <c r="M25">
        <f t="shared" si="5"/>
        <v>0.18920148843591708</v>
      </c>
      <c r="N25">
        <f t="shared" si="6"/>
        <v>5.3019403575466709E-2</v>
      </c>
      <c r="O25" t="str">
        <f>VLOOKUP(A25,Income!A$2:D$49,4,FALSE)</f>
        <v>High/Upper-Middle-Income Economies 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3604-A971-404A-A174-4A046D0329CB}">
  <dimension ref="A1:G67"/>
  <sheetViews>
    <sheetView topLeftCell="A57" workbookViewId="0">
      <selection activeCell="B66" sqref="B66:G66"/>
    </sheetView>
  </sheetViews>
  <sheetFormatPr defaultRowHeight="14.5" x14ac:dyDescent="0.35"/>
  <cols>
    <col min="1" max="1" width="34.26953125" bestFit="1" customWidth="1"/>
  </cols>
  <sheetData>
    <row r="1" spans="1:4" ht="29" x14ac:dyDescent="0.35">
      <c r="A1" s="13" t="s">
        <v>59</v>
      </c>
      <c r="B1" s="13" t="s">
        <v>1</v>
      </c>
      <c r="C1" s="13" t="s">
        <v>59</v>
      </c>
      <c r="D1" s="13" t="s">
        <v>60</v>
      </c>
    </row>
    <row r="2" spans="1:4" x14ac:dyDescent="0.35">
      <c r="A2" t="s">
        <v>15</v>
      </c>
      <c r="B2" t="s">
        <v>61</v>
      </c>
      <c r="C2" t="s">
        <v>15</v>
      </c>
      <c r="D2" t="s">
        <v>62</v>
      </c>
    </row>
    <row r="3" spans="1:4" x14ac:dyDescent="0.35">
      <c r="A3" t="s">
        <v>3</v>
      </c>
      <c r="B3" t="s">
        <v>63</v>
      </c>
      <c r="C3" t="s">
        <v>3</v>
      </c>
      <c r="D3" t="s">
        <v>62</v>
      </c>
    </row>
    <row r="4" spans="1:4" x14ac:dyDescent="0.35">
      <c r="A4" t="s">
        <v>5</v>
      </c>
      <c r="B4" t="s">
        <v>64</v>
      </c>
      <c r="C4" t="s">
        <v>5</v>
      </c>
      <c r="D4" t="s">
        <v>62</v>
      </c>
    </row>
    <row r="5" spans="1:4" x14ac:dyDescent="0.35">
      <c r="A5" t="s">
        <v>7</v>
      </c>
      <c r="B5" t="s">
        <v>65</v>
      </c>
      <c r="C5" t="s">
        <v>7</v>
      </c>
      <c r="D5" t="s">
        <v>66</v>
      </c>
    </row>
    <row r="6" spans="1:4" x14ac:dyDescent="0.35">
      <c r="A6" t="s">
        <v>6</v>
      </c>
      <c r="B6" t="s">
        <v>67</v>
      </c>
      <c r="C6" t="s">
        <v>6</v>
      </c>
      <c r="D6" t="s">
        <v>68</v>
      </c>
    </row>
    <row r="7" spans="1:4" x14ac:dyDescent="0.35">
      <c r="A7" t="s">
        <v>4</v>
      </c>
      <c r="B7" t="s">
        <v>69</v>
      </c>
      <c r="C7" t="s">
        <v>4</v>
      </c>
      <c r="D7" t="s">
        <v>68</v>
      </c>
    </row>
    <row r="8" spans="1:4" x14ac:dyDescent="0.35">
      <c r="A8" t="s">
        <v>10</v>
      </c>
      <c r="B8" t="s">
        <v>70</v>
      </c>
      <c r="C8" t="s">
        <v>10</v>
      </c>
      <c r="D8" t="s">
        <v>62</v>
      </c>
    </row>
    <row r="9" spans="1:4" x14ac:dyDescent="0.35">
      <c r="A9" t="s">
        <v>14</v>
      </c>
      <c r="B9" t="s">
        <v>71</v>
      </c>
      <c r="C9" t="s">
        <v>14</v>
      </c>
      <c r="D9" t="s">
        <v>62</v>
      </c>
    </row>
    <row r="10" spans="1:4" x14ac:dyDescent="0.35">
      <c r="A10" t="s">
        <v>8</v>
      </c>
      <c r="B10" t="s">
        <v>72</v>
      </c>
      <c r="C10" t="s">
        <v>8</v>
      </c>
      <c r="D10" t="s">
        <v>68</v>
      </c>
    </row>
    <row r="11" spans="1:4" x14ac:dyDescent="0.35">
      <c r="A11" t="s">
        <v>43</v>
      </c>
      <c r="B11" t="s">
        <v>73</v>
      </c>
      <c r="C11" t="s">
        <v>43</v>
      </c>
      <c r="D11" t="s">
        <v>68</v>
      </c>
    </row>
    <row r="12" spans="1:4" x14ac:dyDescent="0.35">
      <c r="A12" t="s">
        <v>13</v>
      </c>
      <c r="B12" t="s">
        <v>74</v>
      </c>
      <c r="C12" t="s">
        <v>13</v>
      </c>
      <c r="D12" t="s">
        <v>62</v>
      </c>
    </row>
    <row r="13" spans="1:4" x14ac:dyDescent="0.35">
      <c r="A13" t="s">
        <v>12</v>
      </c>
      <c r="B13" t="s">
        <v>75</v>
      </c>
      <c r="C13" t="s">
        <v>12</v>
      </c>
      <c r="D13" t="s">
        <v>62</v>
      </c>
    </row>
    <row r="14" spans="1:4" x14ac:dyDescent="0.35">
      <c r="A14" t="s">
        <v>9</v>
      </c>
      <c r="B14" t="s">
        <v>76</v>
      </c>
      <c r="C14" t="s">
        <v>9</v>
      </c>
      <c r="D14" t="s">
        <v>62</v>
      </c>
    </row>
    <row r="15" spans="1:4" x14ac:dyDescent="0.35">
      <c r="A15" t="s">
        <v>11</v>
      </c>
      <c r="B15" t="s">
        <v>77</v>
      </c>
      <c r="C15" t="s">
        <v>11</v>
      </c>
      <c r="D15" t="s">
        <v>68</v>
      </c>
    </row>
    <row r="16" spans="1:4" x14ac:dyDescent="0.35">
      <c r="A16" t="s">
        <v>23</v>
      </c>
      <c r="B16" t="s">
        <v>78</v>
      </c>
      <c r="C16" t="s">
        <v>23</v>
      </c>
      <c r="D16" t="s">
        <v>66</v>
      </c>
    </row>
    <row r="17" spans="1:4" x14ac:dyDescent="0.35">
      <c r="A17" t="s">
        <v>16</v>
      </c>
      <c r="B17" t="s">
        <v>79</v>
      </c>
      <c r="C17" t="s">
        <v>16</v>
      </c>
      <c r="D17" t="s">
        <v>68</v>
      </c>
    </row>
    <row r="18" spans="1:4" x14ac:dyDescent="0.35">
      <c r="A18" t="s">
        <v>41</v>
      </c>
      <c r="B18" t="s">
        <v>80</v>
      </c>
      <c r="C18" t="s">
        <v>41</v>
      </c>
      <c r="D18" t="s">
        <v>62</v>
      </c>
    </row>
    <row r="19" spans="1:4" x14ac:dyDescent="0.35">
      <c r="A19" t="s">
        <v>17</v>
      </c>
      <c r="B19" t="s">
        <v>81</v>
      </c>
      <c r="C19" t="s">
        <v>17</v>
      </c>
      <c r="D19" t="s">
        <v>68</v>
      </c>
    </row>
    <row r="20" spans="1:4" x14ac:dyDescent="0.35">
      <c r="A20" t="s">
        <v>18</v>
      </c>
      <c r="B20" t="s">
        <v>82</v>
      </c>
      <c r="C20" t="s">
        <v>18</v>
      </c>
      <c r="D20" t="s">
        <v>66</v>
      </c>
    </row>
    <row r="21" spans="1:4" x14ac:dyDescent="0.35">
      <c r="A21" t="s">
        <v>21</v>
      </c>
      <c r="B21" t="s">
        <v>83</v>
      </c>
      <c r="C21" t="s">
        <v>21</v>
      </c>
      <c r="D21" t="s">
        <v>68</v>
      </c>
    </row>
    <row r="22" spans="1:4" x14ac:dyDescent="0.35">
      <c r="A22" t="s">
        <v>19</v>
      </c>
      <c r="B22" t="s">
        <v>84</v>
      </c>
      <c r="C22" t="s">
        <v>19</v>
      </c>
      <c r="D22" t="s">
        <v>62</v>
      </c>
    </row>
    <row r="23" spans="1:4" x14ac:dyDescent="0.35">
      <c r="A23" t="s">
        <v>20</v>
      </c>
      <c r="B23" t="s">
        <v>85</v>
      </c>
      <c r="C23" t="s">
        <v>20</v>
      </c>
      <c r="D23" t="s">
        <v>68</v>
      </c>
    </row>
    <row r="24" spans="1:4" x14ac:dyDescent="0.35">
      <c r="A24" t="s">
        <v>22</v>
      </c>
      <c r="B24" t="s">
        <v>86</v>
      </c>
      <c r="C24" t="s">
        <v>22</v>
      </c>
      <c r="D24" t="s">
        <v>68</v>
      </c>
    </row>
    <row r="25" spans="1:4" x14ac:dyDescent="0.35">
      <c r="A25" t="s">
        <v>24</v>
      </c>
      <c r="B25" t="s">
        <v>87</v>
      </c>
      <c r="C25" t="s">
        <v>24</v>
      </c>
      <c r="D25" t="s">
        <v>62</v>
      </c>
    </row>
    <row r="26" spans="1:4" x14ac:dyDescent="0.35">
      <c r="A26" t="s">
        <v>26</v>
      </c>
      <c r="B26" t="s">
        <v>88</v>
      </c>
      <c r="C26" t="s">
        <v>26</v>
      </c>
      <c r="D26" t="s">
        <v>62</v>
      </c>
    </row>
    <row r="27" spans="1:4" x14ac:dyDescent="0.35">
      <c r="A27" t="s">
        <v>25</v>
      </c>
      <c r="B27" t="s">
        <v>89</v>
      </c>
      <c r="C27" t="s">
        <v>25</v>
      </c>
      <c r="D27" t="s">
        <v>68</v>
      </c>
    </row>
    <row r="28" spans="1:4" x14ac:dyDescent="0.35">
      <c r="A28" t="s">
        <v>27</v>
      </c>
      <c r="B28" t="s">
        <v>90</v>
      </c>
      <c r="C28" t="s">
        <v>27</v>
      </c>
      <c r="D28" t="s">
        <v>68</v>
      </c>
    </row>
    <row r="29" spans="1:4" x14ac:dyDescent="0.35">
      <c r="A29" t="s">
        <v>32</v>
      </c>
      <c r="B29" t="s">
        <v>91</v>
      </c>
      <c r="C29" t="s">
        <v>32</v>
      </c>
      <c r="D29" t="s">
        <v>68</v>
      </c>
    </row>
    <row r="30" spans="1:4" x14ac:dyDescent="0.35">
      <c r="A30" t="s">
        <v>28</v>
      </c>
      <c r="B30" t="s">
        <v>92</v>
      </c>
      <c r="C30" t="s">
        <v>28</v>
      </c>
      <c r="D30" t="s">
        <v>68</v>
      </c>
    </row>
    <row r="31" spans="1:4" x14ac:dyDescent="0.35">
      <c r="A31" t="s">
        <v>30</v>
      </c>
      <c r="B31" t="s">
        <v>93</v>
      </c>
      <c r="C31" t="s">
        <v>30</v>
      </c>
      <c r="D31" t="s">
        <v>62</v>
      </c>
    </row>
    <row r="32" spans="1:4" x14ac:dyDescent="0.35">
      <c r="A32" t="s">
        <v>31</v>
      </c>
      <c r="B32" t="s">
        <v>94</v>
      </c>
      <c r="C32" t="s">
        <v>31</v>
      </c>
      <c r="D32" t="s">
        <v>66</v>
      </c>
    </row>
    <row r="33" spans="1:4" x14ac:dyDescent="0.35">
      <c r="A33" t="s">
        <v>29</v>
      </c>
      <c r="B33" t="s">
        <v>95</v>
      </c>
      <c r="C33" t="s">
        <v>29</v>
      </c>
      <c r="D33" t="s">
        <v>68</v>
      </c>
    </row>
    <row r="34" spans="1:4" x14ac:dyDescent="0.35">
      <c r="A34" t="s">
        <v>33</v>
      </c>
      <c r="B34" t="s">
        <v>96</v>
      </c>
      <c r="C34" t="s">
        <v>33</v>
      </c>
      <c r="D34" t="s">
        <v>66</v>
      </c>
    </row>
    <row r="35" spans="1:4" x14ac:dyDescent="0.35">
      <c r="A35" t="s">
        <v>34</v>
      </c>
      <c r="B35" t="s">
        <v>97</v>
      </c>
      <c r="C35" t="s">
        <v>34</v>
      </c>
      <c r="D35" t="s">
        <v>68</v>
      </c>
    </row>
    <row r="36" spans="1:4" x14ac:dyDescent="0.35">
      <c r="A36" t="s">
        <v>35</v>
      </c>
      <c r="B36" t="s">
        <v>98</v>
      </c>
      <c r="C36" t="s">
        <v>35</v>
      </c>
      <c r="D36" t="s">
        <v>62</v>
      </c>
    </row>
    <row r="37" spans="1:4" x14ac:dyDescent="0.35">
      <c r="A37" t="s">
        <v>36</v>
      </c>
      <c r="B37" t="s">
        <v>99</v>
      </c>
      <c r="C37" t="s">
        <v>36</v>
      </c>
      <c r="D37" t="s">
        <v>68</v>
      </c>
    </row>
    <row r="38" spans="1:4" x14ac:dyDescent="0.35">
      <c r="A38" t="s">
        <v>40</v>
      </c>
      <c r="B38" t="s">
        <v>100</v>
      </c>
      <c r="C38" t="s">
        <v>40</v>
      </c>
      <c r="D38" t="s">
        <v>62</v>
      </c>
    </row>
    <row r="39" spans="1:4" x14ac:dyDescent="0.35">
      <c r="A39" t="s">
        <v>37</v>
      </c>
      <c r="B39" t="s">
        <v>101</v>
      </c>
      <c r="C39" t="s">
        <v>37</v>
      </c>
      <c r="D39" t="s">
        <v>62</v>
      </c>
    </row>
    <row r="40" spans="1:4" x14ac:dyDescent="0.35">
      <c r="A40" t="s">
        <v>42</v>
      </c>
      <c r="B40" t="s">
        <v>102</v>
      </c>
      <c r="C40" t="s">
        <v>42</v>
      </c>
      <c r="D40" t="s">
        <v>66</v>
      </c>
    </row>
    <row r="41" spans="1:4" x14ac:dyDescent="0.35">
      <c r="A41" t="s">
        <v>38</v>
      </c>
      <c r="B41" t="s">
        <v>103</v>
      </c>
      <c r="C41" t="s">
        <v>38</v>
      </c>
      <c r="D41" t="s">
        <v>68</v>
      </c>
    </row>
    <row r="42" spans="1:4" x14ac:dyDescent="0.35">
      <c r="A42" t="s">
        <v>47</v>
      </c>
      <c r="B42" t="s">
        <v>104</v>
      </c>
      <c r="C42" t="s">
        <v>47</v>
      </c>
      <c r="D42" t="s">
        <v>66</v>
      </c>
    </row>
    <row r="43" spans="1:4" x14ac:dyDescent="0.35">
      <c r="A43" t="s">
        <v>39</v>
      </c>
      <c r="B43" t="s">
        <v>105</v>
      </c>
      <c r="C43" t="s">
        <v>39</v>
      </c>
      <c r="D43" t="s">
        <v>68</v>
      </c>
    </row>
    <row r="44" spans="1:4" x14ac:dyDescent="0.35">
      <c r="A44" t="s">
        <v>45</v>
      </c>
      <c r="B44" t="s">
        <v>106</v>
      </c>
      <c r="C44" t="s">
        <v>45</v>
      </c>
      <c r="D44" t="s">
        <v>62</v>
      </c>
    </row>
    <row r="45" spans="1:4" x14ac:dyDescent="0.35">
      <c r="A45" t="s">
        <v>44</v>
      </c>
      <c r="B45" t="s">
        <v>107</v>
      </c>
      <c r="C45" t="s">
        <v>44</v>
      </c>
      <c r="D45" t="s">
        <v>68</v>
      </c>
    </row>
    <row r="46" spans="1:4" x14ac:dyDescent="0.35">
      <c r="A46" t="s">
        <v>46</v>
      </c>
      <c r="B46" t="s">
        <v>108</v>
      </c>
      <c r="C46" t="s">
        <v>46</v>
      </c>
      <c r="D46" t="s">
        <v>68</v>
      </c>
    </row>
    <row r="47" spans="1:4" x14ac:dyDescent="0.35">
      <c r="A47" t="s">
        <v>48</v>
      </c>
      <c r="B47" t="s">
        <v>109</v>
      </c>
      <c r="C47" t="s">
        <v>48</v>
      </c>
      <c r="D47" t="s">
        <v>62</v>
      </c>
    </row>
    <row r="48" spans="1:4" x14ac:dyDescent="0.35">
      <c r="A48" t="s">
        <v>49</v>
      </c>
      <c r="B48" t="s">
        <v>110</v>
      </c>
      <c r="C48" t="s">
        <v>49</v>
      </c>
      <c r="D48" t="s">
        <v>62</v>
      </c>
    </row>
    <row r="49" spans="1:7" x14ac:dyDescent="0.35">
      <c r="A49" t="s">
        <v>111</v>
      </c>
      <c r="B49" t="s">
        <v>111</v>
      </c>
      <c r="C49" t="s">
        <v>111</v>
      </c>
    </row>
    <row r="63" spans="1:7" s="13" customFormat="1" ht="87" x14ac:dyDescent="0.35">
      <c r="A63" s="13" t="s">
        <v>60</v>
      </c>
      <c r="B63" s="13" t="s">
        <v>118</v>
      </c>
      <c r="C63" s="13" t="s">
        <v>119</v>
      </c>
      <c r="D63" s="13" t="s">
        <v>120</v>
      </c>
      <c r="E63" s="13" t="s">
        <v>121</v>
      </c>
      <c r="F63" s="13" t="s">
        <v>122</v>
      </c>
      <c r="G63" s="13" t="s">
        <v>123</v>
      </c>
    </row>
    <row r="64" spans="1:7" x14ac:dyDescent="0.35">
      <c r="A64" t="s">
        <v>66</v>
      </c>
      <c r="B64" s="16">
        <v>1.8679111475270328E-2</v>
      </c>
      <c r="C64" s="16">
        <v>0.24613491771786639</v>
      </c>
      <c r="D64" s="16">
        <v>0.31712615934178301</v>
      </c>
      <c r="E64" s="16">
        <v>0.24329284860264971</v>
      </c>
      <c r="F64" s="16">
        <v>0.13924057054727651</v>
      </c>
      <c r="G64" s="16">
        <v>3.5526392315154053E-2</v>
      </c>
    </row>
    <row r="65" spans="1:7" x14ac:dyDescent="0.35">
      <c r="A65" t="s">
        <v>62</v>
      </c>
      <c r="B65" s="16">
        <v>3.1079803713894617E-2</v>
      </c>
      <c r="C65" s="16">
        <v>0.33653962637948021</v>
      </c>
      <c r="D65" s="16">
        <v>0.34941395631522804</v>
      </c>
      <c r="E65" s="16">
        <v>0.20169962632044125</v>
      </c>
      <c r="F65" s="16">
        <v>7.3507084647192453E-2</v>
      </c>
      <c r="G65" s="16">
        <v>7.7599026237634297E-3</v>
      </c>
    </row>
    <row r="66" spans="1:7" x14ac:dyDescent="0.35">
      <c r="A66" t="s">
        <v>68</v>
      </c>
      <c r="B66" s="16">
        <v>0.16765299086895941</v>
      </c>
      <c r="C66" s="16">
        <v>0.35339731243898659</v>
      </c>
      <c r="D66" s="16">
        <v>0.29951984150713429</v>
      </c>
      <c r="E66" s="16">
        <v>0.1336555241914486</v>
      </c>
      <c r="F66" s="16">
        <v>4.3048783589516915E-2</v>
      </c>
      <c r="G66" s="16">
        <v>2.7255474039542516E-3</v>
      </c>
    </row>
    <row r="67" spans="1:7" x14ac:dyDescent="0.35">
      <c r="A67" t="s">
        <v>111</v>
      </c>
      <c r="B67" s="16">
        <v>2.8094911126753986E-2</v>
      </c>
      <c r="C67" s="16">
        <v>0.42408199480095404</v>
      </c>
      <c r="D67" s="16">
        <v>0.32237544168541793</v>
      </c>
      <c r="E67" s="16">
        <v>0.14725787510182761</v>
      </c>
      <c r="F67" s="16">
        <v>7.3303780982837616E-2</v>
      </c>
      <c r="G67" s="16">
        <v>4.8859963022088162E-3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D53C-527C-47A0-BAEF-1CC9A4DA6647}">
  <dimension ref="A3:B8"/>
  <sheetViews>
    <sheetView workbookViewId="0">
      <selection activeCell="B6" sqref="B6"/>
    </sheetView>
  </sheetViews>
  <sheetFormatPr defaultRowHeight="14.5" x14ac:dyDescent="0.35"/>
  <cols>
    <col min="1" max="1" width="34.26953125" bestFit="1" customWidth="1"/>
    <col min="2" max="2" width="33.1796875" bestFit="1" customWidth="1"/>
  </cols>
  <sheetData>
    <row r="3" spans="1:2" x14ac:dyDescent="0.35">
      <c r="A3" s="14" t="s">
        <v>50</v>
      </c>
      <c r="B3" t="s">
        <v>144</v>
      </c>
    </row>
    <row r="4" spans="1:2" x14ac:dyDescent="0.35">
      <c r="A4" s="15" t="s">
        <v>66</v>
      </c>
      <c r="B4">
        <v>5.1036474511493138E-2</v>
      </c>
    </row>
    <row r="5" spans="1:2" x14ac:dyDescent="0.35">
      <c r="A5" s="15" t="s">
        <v>62</v>
      </c>
      <c r="B5">
        <v>2.7626282538322069E-2</v>
      </c>
    </row>
    <row r="6" spans="1:2" x14ac:dyDescent="0.35">
      <c r="A6" s="15" t="s">
        <v>68</v>
      </c>
      <c r="B6">
        <v>5.4110867656534653E-2</v>
      </c>
    </row>
    <row r="7" spans="1:2" x14ac:dyDescent="0.35">
      <c r="A7" s="15" t="s">
        <v>143</v>
      </c>
    </row>
    <row r="8" spans="1:2" x14ac:dyDescent="0.35">
      <c r="A8" s="15" t="s">
        <v>51</v>
      </c>
      <c r="B8">
        <v>4.4941073378792516E-2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915B-4F57-4ECB-A45B-C3695907E102}">
  <dimension ref="A3:B8"/>
  <sheetViews>
    <sheetView workbookViewId="0">
      <selection activeCell="A7" sqref="A7:XFD7"/>
    </sheetView>
  </sheetViews>
  <sheetFormatPr defaultRowHeight="14.5" x14ac:dyDescent="0.35"/>
  <cols>
    <col min="1" max="1" width="34.26953125" bestFit="1" customWidth="1"/>
    <col min="2" max="2" width="33.1796875" bestFit="1" customWidth="1"/>
  </cols>
  <sheetData>
    <row r="3" spans="1:2" x14ac:dyDescent="0.35">
      <c r="A3" s="14" t="s">
        <v>50</v>
      </c>
      <c r="B3" t="s">
        <v>144</v>
      </c>
    </row>
    <row r="4" spans="1:2" x14ac:dyDescent="0.35">
      <c r="A4" s="15" t="s">
        <v>111</v>
      </c>
      <c r="B4">
        <v>4.2900000000000001E-2</v>
      </c>
    </row>
    <row r="5" spans="1:2" x14ac:dyDescent="0.35">
      <c r="A5" s="15" t="s">
        <v>66</v>
      </c>
      <c r="B5">
        <v>0.12440519813626234</v>
      </c>
    </row>
    <row r="6" spans="1:2" x14ac:dyDescent="0.35">
      <c r="A6" s="15" t="s">
        <v>62</v>
      </c>
      <c r="B6">
        <v>8.1139451224259918E-2</v>
      </c>
    </row>
    <row r="7" spans="1:2" x14ac:dyDescent="0.35">
      <c r="A7" s="15" t="s">
        <v>68</v>
      </c>
      <c r="B7">
        <v>0.16169029273218635</v>
      </c>
    </row>
    <row r="8" spans="1:2" x14ac:dyDescent="0.35">
      <c r="A8" s="15" t="s">
        <v>51</v>
      </c>
      <c r="B8">
        <v>0.1219617351362226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29C4-6F88-4AD4-B716-858E84CF74CD}">
  <sheetPr>
    <tabColor rgb="FF00B050"/>
  </sheetPr>
  <dimension ref="A2:AG56"/>
  <sheetViews>
    <sheetView tabSelected="1" topLeftCell="A43" workbookViewId="0">
      <pane xSplit="1" topLeftCell="S1" activePane="topRight" state="frozen"/>
      <selection activeCell="A10" sqref="A10"/>
      <selection pane="topRight" activeCell="Y53" sqref="Y53"/>
    </sheetView>
  </sheetViews>
  <sheetFormatPr defaultRowHeight="14.5" x14ac:dyDescent="0.35"/>
  <cols>
    <col min="1" max="2" width="18.54296875" customWidth="1"/>
    <col min="3" max="3" width="29.7265625" bestFit="1" customWidth="1"/>
    <col min="5" max="5" width="9.1796875" bestFit="1" customWidth="1"/>
    <col min="6" max="6" width="10.08984375" bestFit="1" customWidth="1"/>
    <col min="13" max="13" width="12" customWidth="1"/>
    <col min="14" max="14" width="11" customWidth="1"/>
    <col min="15" max="17" width="10.08984375" bestFit="1" customWidth="1"/>
    <col min="18" max="18" width="9.08984375" bestFit="1" customWidth="1"/>
    <col min="19" max="19" width="8.7265625" customWidth="1"/>
    <col min="20" max="20" width="11.26953125" customWidth="1"/>
    <col min="21" max="21" width="12" customWidth="1"/>
    <col min="22" max="26" width="12.54296875" style="43" bestFit="1" customWidth="1"/>
    <col min="27" max="27" width="14.6328125" style="43" bestFit="1" customWidth="1"/>
    <col min="28" max="28" width="18.1796875" style="43" bestFit="1" customWidth="1"/>
    <col min="29" max="29" width="12.54296875" style="43" bestFit="1" customWidth="1"/>
  </cols>
  <sheetData>
    <row r="2" spans="1:33" ht="84" x14ac:dyDescent="0.35">
      <c r="A2" s="17" t="s">
        <v>1</v>
      </c>
      <c r="B2" s="17" t="s">
        <v>125</v>
      </c>
      <c r="C2" s="17" t="s">
        <v>126</v>
      </c>
      <c r="D2" s="18">
        <v>2013</v>
      </c>
      <c r="E2" s="18">
        <v>2018</v>
      </c>
      <c r="F2" s="18" t="s">
        <v>124</v>
      </c>
      <c r="G2" s="29" t="s">
        <v>127</v>
      </c>
      <c r="H2" s="29" t="s">
        <v>128</v>
      </c>
      <c r="I2" s="29" t="s">
        <v>129</v>
      </c>
      <c r="J2" s="29" t="s">
        <v>130</v>
      </c>
      <c r="K2" s="29" t="s">
        <v>131</v>
      </c>
      <c r="L2" s="29" t="s">
        <v>132</v>
      </c>
      <c r="M2" s="29" t="s">
        <v>52</v>
      </c>
      <c r="N2" s="29" t="s">
        <v>133</v>
      </c>
      <c r="O2" s="29" t="s">
        <v>134</v>
      </c>
      <c r="P2" s="29" t="s">
        <v>135</v>
      </c>
      <c r="Q2" s="29" t="s">
        <v>136</v>
      </c>
      <c r="R2" s="29" t="s">
        <v>137</v>
      </c>
      <c r="S2" s="26" t="s">
        <v>188</v>
      </c>
      <c r="T2" s="39" t="s">
        <v>142</v>
      </c>
      <c r="U2" s="29" t="s">
        <v>145</v>
      </c>
      <c r="V2" s="28" t="s">
        <v>146</v>
      </c>
      <c r="W2" s="28" t="s">
        <v>147</v>
      </c>
      <c r="X2" s="28" t="s">
        <v>148</v>
      </c>
      <c r="Y2" s="28" t="s">
        <v>149</v>
      </c>
      <c r="Z2" s="28" t="s">
        <v>150</v>
      </c>
      <c r="AA2" s="28" t="s">
        <v>151</v>
      </c>
      <c r="AB2" s="28" t="s">
        <v>152</v>
      </c>
      <c r="AC2" s="28" t="s">
        <v>153</v>
      </c>
      <c r="AD2" s="40" t="s">
        <v>335</v>
      </c>
      <c r="AE2" s="40" t="s">
        <v>336</v>
      </c>
      <c r="AF2" s="40" t="s">
        <v>337</v>
      </c>
    </row>
    <row r="3" spans="1:33" x14ac:dyDescent="0.35">
      <c r="A3" s="19" t="s">
        <v>61</v>
      </c>
      <c r="B3" s="19" t="s">
        <v>15</v>
      </c>
      <c r="C3" s="19" t="s">
        <v>62</v>
      </c>
      <c r="D3" s="20">
        <v>0</v>
      </c>
      <c r="E3" s="20">
        <v>57705</v>
      </c>
      <c r="F3" s="25">
        <v>104776</v>
      </c>
      <c r="G3" s="30">
        <v>9.3988761057240605E-2</v>
      </c>
      <c r="H3" s="30">
        <v>0.30100512311428623</v>
      </c>
      <c r="I3" s="30">
        <v>0.16025243303610998</v>
      </c>
      <c r="J3" s="30">
        <v>0.35528531669355268</v>
      </c>
      <c r="K3" s="30">
        <v>8.4114800304905077E-2</v>
      </c>
      <c r="L3" s="30">
        <v>5.3535657939054442E-3</v>
      </c>
      <c r="M3" s="31">
        <f>$E$3*G3</f>
        <v>5423.6214568080695</v>
      </c>
      <c r="N3" s="31">
        <f t="shared" ref="N3:Q3" si="0">$E$3*H3</f>
        <v>17369.500629309889</v>
      </c>
      <c r="O3" s="31">
        <f t="shared" si="0"/>
        <v>9247.3666483487268</v>
      </c>
      <c r="P3" s="31">
        <f t="shared" si="0"/>
        <v>20501.739199801457</v>
      </c>
      <c r="Q3" s="31">
        <f t="shared" si="0"/>
        <v>4853.8445515945477</v>
      </c>
      <c r="R3" s="31">
        <f>$E$3*L3</f>
        <v>308.92751413731366</v>
      </c>
      <c r="S3" s="31">
        <f>VLOOKUP(B3,'Edu updated'!B$2:J$48,9,FALSE)</f>
        <v>0</v>
      </c>
      <c r="T3" s="32">
        <v>8.1100000000000005E-2</v>
      </c>
      <c r="U3" s="33">
        <f>E3*T3</f>
        <v>4679.8755000000001</v>
      </c>
      <c r="V3" s="41">
        <f>F3*(1-L3)+0.7*U3-AD3*AE3</f>
        <v>107436.98764037776</v>
      </c>
      <c r="W3" s="41">
        <f>V3*(1-0.1*K3)+0.7*U3-AD3*AE3</f>
        <v>109755.19641430466</v>
      </c>
      <c r="X3" s="41">
        <f>W3*(1-0.1*K3)+0.7*U3-AD3*AE3</f>
        <v>112053.90562142317</v>
      </c>
      <c r="Y3" s="41">
        <f>X3*(1-0.1*K3)+0.7*U3-AD3*AE3</f>
        <v>114333.27928195009</v>
      </c>
      <c r="Z3" s="41">
        <f>Y3*(1-0.1*K3)+0.7*U3-AD3*AE3</f>
        <v>116593.48003644946</v>
      </c>
      <c r="AA3" s="41">
        <f>Z3*(1-0.1*K3)+0.7*U3-AD3*AE3</f>
        <v>118834.66915743746</v>
      </c>
      <c r="AB3" s="41">
        <f>AA3*(1-0.1*K3)+0.7*U3-AD3*AE3</f>
        <v>121057.00656088971</v>
      </c>
      <c r="AC3" s="41">
        <f>AB3*(1-0.1*K3)+0.7*U3-AD3*AE3</f>
        <v>123260.65081765183</v>
      </c>
      <c r="AD3">
        <f>VLOOKUP(B3,Migration!A$2:B$193,2,FALSE)</f>
        <v>1080</v>
      </c>
      <c r="AE3">
        <f>1/20</f>
        <v>0.05</v>
      </c>
      <c r="AF3" t="str">
        <f>IF(AC3&lt;V3,"Decreased","Increased")</f>
        <v>Increased</v>
      </c>
      <c r="AG3" s="49">
        <f>AD3/F3</f>
        <v>1.0307704054363594E-2</v>
      </c>
    </row>
    <row r="4" spans="1:33" x14ac:dyDescent="0.35">
      <c r="A4" s="19" t="s">
        <v>63</v>
      </c>
      <c r="B4" s="19" t="s">
        <v>3</v>
      </c>
      <c r="C4" s="23" t="s">
        <v>62</v>
      </c>
      <c r="D4" s="20">
        <v>0</v>
      </c>
      <c r="E4" s="20">
        <v>46082</v>
      </c>
      <c r="F4" s="20">
        <v>66717.353814379763</v>
      </c>
      <c r="G4" s="34">
        <v>3.1079803713894617E-2</v>
      </c>
      <c r="H4" s="34">
        <v>0.33653962637948021</v>
      </c>
      <c r="I4" s="34">
        <v>0.34941395631522804</v>
      </c>
      <c r="J4" s="34">
        <v>0.20169962632044125</v>
      </c>
      <c r="K4" s="34">
        <v>7.3507084647192453E-2</v>
      </c>
      <c r="L4" s="34">
        <v>7.7599026237634297E-3</v>
      </c>
      <c r="M4" s="33">
        <f>$F$4*G4</f>
        <v>2073.5622608613812</v>
      </c>
      <c r="N4" s="33">
        <f t="shared" ref="N4:R4" si="1">$F$4*H4</f>
        <v>22453.033325718956</v>
      </c>
      <c r="O4" s="33">
        <f t="shared" si="1"/>
        <v>23311.974551165302</v>
      </c>
      <c r="P4" s="33">
        <f t="shared" si="1"/>
        <v>13456.865333449065</v>
      </c>
      <c r="Q4" s="33">
        <f t="shared" si="1"/>
        <v>4904.1981742703019</v>
      </c>
      <c r="R4" s="33">
        <f t="shared" si="1"/>
        <v>517.72016891475857</v>
      </c>
      <c r="S4" s="31">
        <f>VLOOKUP(B4,'Edu updated'!B$2:J$48,9,FALSE)</f>
        <v>2950</v>
      </c>
      <c r="T4" s="32">
        <f>S4/F4</f>
        <v>4.421638196573946E-2</v>
      </c>
      <c r="U4" s="33">
        <f>T4*F4</f>
        <v>2950</v>
      </c>
      <c r="V4" s="41">
        <f>F4*(1-L4)+0.7*U4-AD4*AE4</f>
        <v>68260.683645465004</v>
      </c>
      <c r="W4" s="41">
        <f t="shared" ref="W4:W49" si="2">V4*(1-0.1*K4)+0.7*U4-AD4*AE4</f>
        <v>69819.969260384765</v>
      </c>
      <c r="X4" s="41">
        <f t="shared" ref="X4:X49" si="3">W4*(1-0.1*K4)+0.7*U4-AD4*AE4</f>
        <v>71367.793021336023</v>
      </c>
      <c r="Y4" s="41">
        <f t="shared" ref="Y4:Y49" si="4">X4*(1-0.1*K4)+0.7*U4-AD4*AE4</f>
        <v>72904.239181065757</v>
      </c>
      <c r="Z4" s="41">
        <f t="shared" ref="Z4:Z49" si="5">Y4*(1-0.1*K4)+0.7*U4-AD4*AE4</f>
        <v>74429.391373003586</v>
      </c>
      <c r="AA4" s="41">
        <f t="shared" ref="AA4:AA49" si="6">Z4*(1-0.1*K4)+0.7*U4-AD4*AE4</f>
        <v>75943.332615814157</v>
      </c>
      <c r="AB4" s="41">
        <f t="shared" ref="AB4:AB49" si="7">AA4*(1-0.1*K4)+0.7*U4-AD4*AE4</f>
        <v>77446.145317916104</v>
      </c>
      <c r="AC4" s="41">
        <f t="shared" ref="AC4:AC49" si="8">AB4*(1-0.1*K4)+0.7*U4-AD4*AE4</f>
        <v>78937.911281967827</v>
      </c>
      <c r="AD4">
        <f>VLOOKUP(B4,Migration!A$2:B$193,2,FALSE)</f>
        <v>79</v>
      </c>
      <c r="AE4">
        <f t="shared" ref="AE4:AE49" si="9">1/20</f>
        <v>0.05</v>
      </c>
      <c r="AF4" t="str">
        <f t="shared" ref="AF4:AF49" si="10">IF(AC4&lt;V4,"Decreased","Increased")</f>
        <v>Increased</v>
      </c>
      <c r="AG4" s="49">
        <f t="shared" ref="AG4:AG51" si="11">AD4/F4</f>
        <v>1.1840997204384464E-3</v>
      </c>
    </row>
    <row r="5" spans="1:33" x14ac:dyDescent="0.35">
      <c r="A5" s="19" t="s">
        <v>64</v>
      </c>
      <c r="B5" s="19" t="s">
        <v>5</v>
      </c>
      <c r="C5" s="19" t="s">
        <v>62</v>
      </c>
      <c r="D5" s="20">
        <v>4880</v>
      </c>
      <c r="E5" s="20">
        <v>3410</v>
      </c>
      <c r="F5" s="20">
        <v>5893</v>
      </c>
      <c r="G5" s="30">
        <v>3.7563822027716992E-2</v>
      </c>
      <c r="H5" s="30">
        <v>0.15973741794310722</v>
      </c>
      <c r="I5" s="30">
        <v>0.44164843180160468</v>
      </c>
      <c r="J5" s="30">
        <v>0.30069292487235594</v>
      </c>
      <c r="K5" s="30">
        <v>5.2698760029175784E-2</v>
      </c>
      <c r="L5" s="30">
        <v>7.658643326039387E-3</v>
      </c>
      <c r="M5" s="33">
        <f t="shared" ref="M5:M50" si="12">$F$4*G5</f>
        <v>2506.1588048435869</v>
      </c>
      <c r="N5" s="33">
        <f t="shared" ref="N5:N50" si="13">$F$4*H5</f>
        <v>10657.25783030574</v>
      </c>
      <c r="O5" s="33">
        <f t="shared" ref="O5:O50" si="14">$F$4*I5</f>
        <v>29465.61468607363</v>
      </c>
      <c r="P5" s="33">
        <f t="shared" ref="P5:P50" si="15">$F$4*J5</f>
        <v>20061.436258189686</v>
      </c>
      <c r="Q5" s="33">
        <f t="shared" ref="Q5:Q50" si="16">$F$4*K5</f>
        <v>3515.9218184456149</v>
      </c>
      <c r="R5" s="33">
        <f t="shared" ref="R5:R50" si="17">$F$4*L5</f>
        <v>510.96441652150804</v>
      </c>
      <c r="S5" s="31">
        <f>VLOOKUP(B5,'Edu updated'!B$2:J$48,9,FALSE)</f>
        <v>257</v>
      </c>
      <c r="T5" s="32">
        <f t="shared" ref="T5:T9" si="18">S5/F5</f>
        <v>4.3611063974206686E-2</v>
      </c>
      <c r="U5" s="33">
        <f t="shared" ref="U5:U50" si="19">T5*F5</f>
        <v>257</v>
      </c>
      <c r="V5" s="41">
        <f t="shared" ref="V5:V49" si="20">F5*(1-L5)+0.7*U5-AD5*AE5</f>
        <v>6027.4676148796498</v>
      </c>
      <c r="W5" s="41">
        <f t="shared" si="2"/>
        <v>6175.3036079376316</v>
      </c>
      <c r="X5" s="41">
        <f t="shared" si="3"/>
        <v>6322.3605236434296</v>
      </c>
      <c r="Y5" s="41">
        <f t="shared" si="4"/>
        <v>6468.6424676380866</v>
      </c>
      <c r="Z5" s="41">
        <f t="shared" si="5"/>
        <v>6614.1535239264267</v>
      </c>
      <c r="AA5" s="41">
        <f t="shared" si="6"/>
        <v>6758.8977549910733</v>
      </c>
      <c r="AB5" s="41">
        <f t="shared" si="7"/>
        <v>6902.8792019058719</v>
      </c>
      <c r="AC5" s="41">
        <f t="shared" si="8"/>
        <v>7046.1018844487089</v>
      </c>
      <c r="AD5">
        <f>VLOOKUP(B5,Migration!A$2:B$193,2,FALSE)</f>
        <v>6</v>
      </c>
      <c r="AE5">
        <f t="shared" si="9"/>
        <v>0.05</v>
      </c>
      <c r="AF5" t="str">
        <f t="shared" si="10"/>
        <v>Increased</v>
      </c>
      <c r="AG5" s="49">
        <f t="shared" si="11"/>
        <v>1.018157135584592E-3</v>
      </c>
    </row>
    <row r="6" spans="1:33" x14ac:dyDescent="0.35">
      <c r="A6" s="19" t="s">
        <v>65</v>
      </c>
      <c r="B6" s="19" t="s">
        <v>7</v>
      </c>
      <c r="C6" s="19" t="s">
        <v>66</v>
      </c>
      <c r="D6" s="20">
        <v>5816</v>
      </c>
      <c r="E6" s="20">
        <v>7645</v>
      </c>
      <c r="F6" s="20">
        <v>8028</v>
      </c>
      <c r="G6" s="30">
        <v>2.8276033881415048E-2</v>
      </c>
      <c r="H6" s="30">
        <v>0.36858495266567015</v>
      </c>
      <c r="I6" s="30">
        <v>0.33096661684105633</v>
      </c>
      <c r="J6" s="30">
        <v>0.18709516691579473</v>
      </c>
      <c r="K6" s="30">
        <v>8.0468360737419031E-2</v>
      </c>
      <c r="L6" s="30">
        <v>4.6088689586447438E-3</v>
      </c>
      <c r="M6" s="33">
        <f t="shared" si="12"/>
        <v>1886.5021569337578</v>
      </c>
      <c r="N6" s="33">
        <f t="shared" si="13"/>
        <v>24591.012697651931</v>
      </c>
      <c r="O6" s="33">
        <f t="shared" si="14"/>
        <v>22081.216876533013</v>
      </c>
      <c r="P6" s="33">
        <f t="shared" si="15"/>
        <v>12482.494448081516</v>
      </c>
      <c r="Q6" s="33">
        <f t="shared" si="16"/>
        <v>5368.6360941815301</v>
      </c>
      <c r="R6" s="33">
        <f t="shared" si="17"/>
        <v>307.49154099801336</v>
      </c>
      <c r="S6" s="31">
        <f>VLOOKUP(B6,'Edu updated'!B$2:J$48,9,FALSE)</f>
        <v>490</v>
      </c>
      <c r="T6" s="32">
        <f t="shared" si="18"/>
        <v>6.103637269556552E-2</v>
      </c>
      <c r="U6" s="33">
        <f t="shared" si="19"/>
        <v>490</v>
      </c>
      <c r="V6" s="41">
        <f t="shared" si="20"/>
        <v>8319.9</v>
      </c>
      <c r="W6" s="41">
        <f t="shared" si="2"/>
        <v>8581.8511285500736</v>
      </c>
      <c r="X6" s="41">
        <f t="shared" si="3"/>
        <v>8841.6943793093742</v>
      </c>
      <c r="Y6" s="41">
        <f t="shared" si="4"/>
        <v>9099.4467140249453</v>
      </c>
      <c r="Z6" s="41">
        <f t="shared" si="5"/>
        <v>9355.1249579554369</v>
      </c>
      <c r="AA6" s="41">
        <f t="shared" si="6"/>
        <v>9608.7458009693983</v>
      </c>
      <c r="AB6" s="41">
        <f t="shared" si="7"/>
        <v>9860.3257986347417</v>
      </c>
      <c r="AC6" s="41">
        <f t="shared" si="8"/>
        <v>10109.881373299439</v>
      </c>
      <c r="AD6">
        <f>VLOOKUP(B6,Migration!A$2:B$193,2,FALSE)</f>
        <v>282</v>
      </c>
      <c r="AE6">
        <f t="shared" si="9"/>
        <v>0.05</v>
      </c>
      <c r="AF6" t="str">
        <f t="shared" si="10"/>
        <v>Increased</v>
      </c>
      <c r="AG6" s="49">
        <f t="shared" si="11"/>
        <v>3.5127055306427506E-2</v>
      </c>
    </row>
    <row r="7" spans="1:33" x14ac:dyDescent="0.35">
      <c r="A7" s="19" t="s">
        <v>67</v>
      </c>
      <c r="B7" s="19" t="s">
        <v>6</v>
      </c>
      <c r="C7" s="19" t="s">
        <v>68</v>
      </c>
      <c r="D7" s="20">
        <v>6196</v>
      </c>
      <c r="E7" s="20">
        <v>10325</v>
      </c>
      <c r="F7" s="20">
        <v>13961</v>
      </c>
      <c r="G7" s="34">
        <v>0.16765299086895941</v>
      </c>
      <c r="H7" s="34">
        <v>0.35339731243898659</v>
      </c>
      <c r="I7" s="34">
        <v>0.29951984150713429</v>
      </c>
      <c r="J7" s="34">
        <v>0.1336555241914486</v>
      </c>
      <c r="K7" s="34">
        <v>4.3048783589516915E-2</v>
      </c>
      <c r="L7" s="34">
        <v>2.7255474039542516E-3</v>
      </c>
      <c r="M7" s="33">
        <f t="shared" si="12"/>
        <v>11185.363909843345</v>
      </c>
      <c r="N7" s="33">
        <f t="shared" si="13"/>
        <v>23577.733531042777</v>
      </c>
      <c r="O7" s="33">
        <f t="shared" si="14"/>
        <v>19983.171240258427</v>
      </c>
      <c r="P7" s="33">
        <f t="shared" si="15"/>
        <v>8917.1428967272695</v>
      </c>
      <c r="Q7" s="33">
        <f t="shared" si="16"/>
        <v>2872.1009260204651</v>
      </c>
      <c r="R7" s="33">
        <f t="shared" si="17"/>
        <v>181.84131048748006</v>
      </c>
      <c r="S7" s="31">
        <f>VLOOKUP(B7,'Edu updated'!B$2:J$48,9,FALSE)</f>
        <v>1170</v>
      </c>
      <c r="T7" s="32">
        <f t="shared" si="18"/>
        <v>8.3804885036888474E-2</v>
      </c>
      <c r="U7" s="33">
        <f t="shared" si="19"/>
        <v>1170</v>
      </c>
      <c r="V7" s="41">
        <f t="shared" si="20"/>
        <v>14738.298632693395</v>
      </c>
      <c r="W7" s="41">
        <f t="shared" si="2"/>
        <v>15490.202049861748</v>
      </c>
      <c r="X7" s="41">
        <f t="shared" si="3"/>
        <v>16238.86861428151</v>
      </c>
      <c r="Y7" s="41">
        <f t="shared" si="4"/>
        <v>16984.312260210027</v>
      </c>
      <c r="Z7" s="41">
        <f t="shared" si="5"/>
        <v>17726.546861919371</v>
      </c>
      <c r="AA7" s="41">
        <f t="shared" si="6"/>
        <v>18465.586233954549</v>
      </c>
      <c r="AB7" s="41">
        <f t="shared" si="7"/>
        <v>19201.444131390643</v>
      </c>
      <c r="AC7" s="41">
        <f t="shared" si="8"/>
        <v>19934.134250088799</v>
      </c>
      <c r="AD7">
        <f>VLOOKUP(B7,Migration!A$2:B$193,2,FALSE)</f>
        <v>73</v>
      </c>
      <c r="AE7">
        <f t="shared" si="9"/>
        <v>0.05</v>
      </c>
      <c r="AF7" t="str">
        <f t="shared" si="10"/>
        <v>Increased</v>
      </c>
      <c r="AG7" s="49">
        <f t="shared" si="11"/>
        <v>5.2288518014468877E-3</v>
      </c>
    </row>
    <row r="8" spans="1:33" x14ac:dyDescent="0.35">
      <c r="A8" s="19" t="s">
        <v>69</v>
      </c>
      <c r="B8" s="19" t="s">
        <v>4</v>
      </c>
      <c r="C8" s="19" t="s">
        <v>68</v>
      </c>
      <c r="D8" s="20">
        <v>6573</v>
      </c>
      <c r="E8" s="20">
        <v>9156</v>
      </c>
      <c r="F8" s="20">
        <v>9372</v>
      </c>
      <c r="G8" s="30">
        <v>2.261239691407289E-3</v>
      </c>
      <c r="H8" s="30">
        <v>0.32016493748337321</v>
      </c>
      <c r="I8" s="30">
        <v>0.4684756584197925</v>
      </c>
      <c r="J8" s="30">
        <v>0.16440542697525937</v>
      </c>
      <c r="K8" s="30">
        <v>3.8840117052407558E-2</v>
      </c>
      <c r="L8" s="30">
        <v>5.8526203777600422E-3</v>
      </c>
      <c r="M8" s="33">
        <f t="shared" si="12"/>
        <v>150.86392855073902</v>
      </c>
      <c r="N8" s="33">
        <f t="shared" si="13"/>
        <v>21360.55741303699</v>
      </c>
      <c r="O8" s="33">
        <f t="shared" si="14"/>
        <v>31255.456256217814</v>
      </c>
      <c r="P8" s="33">
        <f t="shared" si="15"/>
        <v>10968.695040512554</v>
      </c>
      <c r="Q8" s="33">
        <f t="shared" si="16"/>
        <v>2591.3098315774</v>
      </c>
      <c r="R8" s="33">
        <f t="shared" si="17"/>
        <v>390.47134448426567</v>
      </c>
      <c r="S8" s="31">
        <f>VLOOKUP(B8,'Edu updated'!B$2:J$48,9,FALSE)</f>
        <v>1467</v>
      </c>
      <c r="T8" s="32">
        <f t="shared" si="18"/>
        <v>0.15653008962868117</v>
      </c>
      <c r="U8" s="33">
        <f t="shared" si="19"/>
        <v>1467</v>
      </c>
      <c r="V8" s="41">
        <f t="shared" si="20"/>
        <v>10343.399241819634</v>
      </c>
      <c r="W8" s="41">
        <f t="shared" si="2"/>
        <v>11329.475358092428</v>
      </c>
      <c r="X8" s="41">
        <f t="shared" si="3"/>
        <v>12311.721543187359</v>
      </c>
      <c r="Y8" s="41">
        <f t="shared" si="4"/>
        <v>13290.152672601955</v>
      </c>
      <c r="Z8" s="41">
        <f t="shared" si="5"/>
        <v>14264.783564057132</v>
      </c>
      <c r="AA8" s="41">
        <f t="shared" si="6"/>
        <v>15235.628977721608</v>
      </c>
      <c r="AB8" s="41">
        <f t="shared" si="7"/>
        <v>16202.703616435432</v>
      </c>
      <c r="AC8" s="41">
        <f t="shared" si="8"/>
        <v>17166.02212593265</v>
      </c>
      <c r="AD8">
        <f>VLOOKUP(B8,Migration!A$2:B$193,2,FALSE)</f>
        <v>13</v>
      </c>
      <c r="AE8">
        <f t="shared" si="9"/>
        <v>0.05</v>
      </c>
      <c r="AF8" t="str">
        <f t="shared" si="10"/>
        <v>Increased</v>
      </c>
      <c r="AG8" s="49">
        <f t="shared" si="11"/>
        <v>1.3871105420401196E-3</v>
      </c>
    </row>
    <row r="9" spans="1:33" x14ac:dyDescent="0.35">
      <c r="A9" s="19" t="s">
        <v>70</v>
      </c>
      <c r="B9" s="19" t="s">
        <v>10</v>
      </c>
      <c r="C9" s="19" t="s">
        <v>62</v>
      </c>
      <c r="D9" s="20">
        <v>18954</v>
      </c>
      <c r="E9" s="20">
        <v>9925</v>
      </c>
      <c r="F9" s="20">
        <v>16473</v>
      </c>
      <c r="G9" s="30">
        <v>1.7974253096915228E-2</v>
      </c>
      <c r="H9" s="30">
        <v>0.39561573961622543</v>
      </c>
      <c r="I9" s="30">
        <v>0.37776293417537044</v>
      </c>
      <c r="J9" s="30">
        <v>0.17585620597522467</v>
      </c>
      <c r="K9" s="30">
        <v>3.1637114403692011E-2</v>
      </c>
      <c r="L9" s="30">
        <v>1.1537527325722614E-3</v>
      </c>
      <c r="M9" s="33">
        <f t="shared" si="12"/>
        <v>1199.1946034161044</v>
      </c>
      <c r="N9" s="33">
        <f t="shared" si="13"/>
        <v>26394.435274513249</v>
      </c>
      <c r="O9" s="33">
        <f t="shared" si="14"/>
        <v>25203.343337336442</v>
      </c>
      <c r="P9" s="33">
        <f t="shared" si="15"/>
        <v>11732.660714503509</v>
      </c>
      <c r="Q9" s="33">
        <f t="shared" si="16"/>
        <v>2110.7445553371304</v>
      </c>
      <c r="R9" s="33">
        <f t="shared" si="17"/>
        <v>76.975329273331042</v>
      </c>
      <c r="S9" s="31">
        <f>VLOOKUP(B9,'Edu updated'!B$2:J$48,9,FALSE)</f>
        <v>2660</v>
      </c>
      <c r="T9" s="32">
        <f t="shared" si="18"/>
        <v>0.16147635524798154</v>
      </c>
      <c r="U9" s="33">
        <f t="shared" si="19"/>
        <v>2660</v>
      </c>
      <c r="V9" s="41">
        <f t="shared" si="20"/>
        <v>17904.544231236338</v>
      </c>
      <c r="W9" s="41">
        <f t="shared" si="2"/>
        <v>19298.449419817378</v>
      </c>
      <c r="X9" s="41">
        <f t="shared" si="3"/>
        <v>20687.944694606515</v>
      </c>
      <c r="Y9" s="41">
        <f t="shared" si="4"/>
        <v>22073.04400729846</v>
      </c>
      <c r="Z9" s="41">
        <f t="shared" si="5"/>
        <v>23453.761265448797</v>
      </c>
      <c r="AA9" s="41">
        <f t="shared" si="6"/>
        <v>24830.110332613607</v>
      </c>
      <c r="AB9" s="41">
        <f t="shared" si="7"/>
        <v>26202.105028488688</v>
      </c>
      <c r="AC9" s="41">
        <f t="shared" si="8"/>
        <v>27569.759129048303</v>
      </c>
      <c r="AD9">
        <f>VLOOKUP(B9,Migration!A$2:B$193,2,FALSE)</f>
        <v>8229</v>
      </c>
      <c r="AE9">
        <f t="shared" si="9"/>
        <v>0.05</v>
      </c>
      <c r="AF9" t="str">
        <f t="shared" si="10"/>
        <v>Increased</v>
      </c>
      <c r="AG9" s="49">
        <f t="shared" si="11"/>
        <v>0.49954470952467672</v>
      </c>
    </row>
    <row r="10" spans="1:33" x14ac:dyDescent="0.35">
      <c r="A10" s="19" t="s">
        <v>71</v>
      </c>
      <c r="B10" s="19" t="s">
        <v>14</v>
      </c>
      <c r="C10" s="19" t="s">
        <v>62</v>
      </c>
      <c r="D10" s="20">
        <v>403</v>
      </c>
      <c r="E10" s="20">
        <v>768</v>
      </c>
      <c r="F10" s="20">
        <v>941</v>
      </c>
      <c r="G10" s="30">
        <v>0</v>
      </c>
      <c r="H10" s="30">
        <v>0.26886291179596172</v>
      </c>
      <c r="I10" s="30">
        <v>0.26461211477151964</v>
      </c>
      <c r="J10" s="30">
        <v>0.27842720510095642</v>
      </c>
      <c r="K10" s="30">
        <v>0.13602550478214664</v>
      </c>
      <c r="L10" s="30">
        <v>5.2072263549415514E-2</v>
      </c>
      <c r="M10" s="33">
        <f t="shared" si="12"/>
        <v>0</v>
      </c>
      <c r="N10" s="33">
        <f t="shared" si="13"/>
        <v>17937.822013855555</v>
      </c>
      <c r="O10" s="33">
        <f t="shared" si="14"/>
        <v>17654.220084782741</v>
      </c>
      <c r="P10" s="33">
        <f t="shared" si="15"/>
        <v>18575.926354269392</v>
      </c>
      <c r="Q10" s="33">
        <f t="shared" si="16"/>
        <v>9075.2617303300849</v>
      </c>
      <c r="R10" s="33">
        <f t="shared" si="17"/>
        <v>3474.1236311419852</v>
      </c>
      <c r="S10" s="31">
        <f>VLOOKUP(B10,'Edu updated'!B$2:J$48,9,FALSE)</f>
        <v>0</v>
      </c>
      <c r="T10" s="32">
        <v>8.1100000000000005E-2</v>
      </c>
      <c r="U10" s="33">
        <f t="shared" si="19"/>
        <v>76.315100000000001</v>
      </c>
      <c r="V10" s="41">
        <f t="shared" si="20"/>
        <v>931.72056999999995</v>
      </c>
      <c r="W10" s="41">
        <f t="shared" si="2"/>
        <v>958.767363914984</v>
      </c>
      <c r="X10" s="41">
        <f t="shared" si="3"/>
        <v>985.44625245046552</v>
      </c>
      <c r="Y10" s="41">
        <f t="shared" si="4"/>
        <v>1011.7622400579405</v>
      </c>
      <c r="Z10" s="41">
        <f t="shared" si="5"/>
        <v>1037.7202631156008</v>
      </c>
      <c r="AA10" s="41">
        <f t="shared" si="6"/>
        <v>1063.3251908543045</v>
      </c>
      <c r="AB10" s="41">
        <f t="shared" si="7"/>
        <v>1088.5818262709515</v>
      </c>
      <c r="AC10" s="41">
        <f t="shared" si="8"/>
        <v>1113.4949070294338</v>
      </c>
      <c r="AD10">
        <f>VLOOKUP(B10,Migration!A$2:B$193,2,FALSE)</f>
        <v>274</v>
      </c>
      <c r="AE10">
        <f t="shared" si="9"/>
        <v>0.05</v>
      </c>
      <c r="AF10" t="str">
        <f t="shared" si="10"/>
        <v>Increased</v>
      </c>
      <c r="AG10" s="49">
        <f t="shared" si="11"/>
        <v>0.29117959617428268</v>
      </c>
    </row>
    <row r="11" spans="1:33" x14ac:dyDescent="0.35">
      <c r="A11" s="19" t="s">
        <v>72</v>
      </c>
      <c r="B11" s="19" t="s">
        <v>8</v>
      </c>
      <c r="C11" s="23" t="s">
        <v>68</v>
      </c>
      <c r="D11" s="20">
        <v>322</v>
      </c>
      <c r="E11" s="20">
        <v>1195</v>
      </c>
      <c r="F11" s="20">
        <v>648.48014888337468</v>
      </c>
      <c r="G11" s="34">
        <v>0.16765299086895941</v>
      </c>
      <c r="H11" s="34">
        <v>0.35339731243898659</v>
      </c>
      <c r="I11" s="34">
        <v>0.29951984150713429</v>
      </c>
      <c r="J11" s="34">
        <v>0.1336555241914486</v>
      </c>
      <c r="K11" s="34">
        <v>4.3048783589516915E-2</v>
      </c>
      <c r="L11" s="34">
        <v>2.7255474039542516E-3</v>
      </c>
      <c r="M11" s="33">
        <f t="shared" si="12"/>
        <v>11185.363909843345</v>
      </c>
      <c r="N11" s="33">
        <f t="shared" si="13"/>
        <v>23577.733531042777</v>
      </c>
      <c r="O11" s="33">
        <f t="shared" si="14"/>
        <v>19983.171240258427</v>
      </c>
      <c r="P11" s="33">
        <f t="shared" si="15"/>
        <v>8917.1428967272695</v>
      </c>
      <c r="Q11" s="33">
        <f t="shared" si="16"/>
        <v>2872.1009260204651</v>
      </c>
      <c r="R11" s="33">
        <f t="shared" si="17"/>
        <v>181.84131048748006</v>
      </c>
      <c r="S11" s="31">
        <f>VLOOKUP(B11,'Edu updated'!B$2:J$48,9,FALSE)</f>
        <v>0</v>
      </c>
      <c r="T11" s="32">
        <v>0.16200000000000001</v>
      </c>
      <c r="U11" s="33">
        <f t="shared" si="19"/>
        <v>105.05378411910671</v>
      </c>
      <c r="V11" s="41">
        <f t="shared" si="20"/>
        <v>720.20033438044447</v>
      </c>
      <c r="W11" s="41">
        <f t="shared" si="2"/>
        <v>790.58760843023504</v>
      </c>
      <c r="X11" s="41">
        <f t="shared" si="3"/>
        <v>860.67187382722307</v>
      </c>
      <c r="Y11" s="41">
        <f t="shared" si="4"/>
        <v>930.45443498680061</v>
      </c>
      <c r="Z11" s="41">
        <f t="shared" si="5"/>
        <v>999.93659070901003</v>
      </c>
      <c r="AA11" s="41">
        <f t="shared" si="6"/>
        <v>1069.1196342027176</v>
      </c>
      <c r="AB11" s="41">
        <f t="shared" si="7"/>
        <v>1138.0048531096827</v>
      </c>
      <c r="AC11" s="41">
        <f t="shared" si="8"/>
        <v>1206.5935295285235</v>
      </c>
      <c r="AD11">
        <f>VLOOKUP(B11,Migration!A$2:B$193,2,FALSE)</f>
        <v>1</v>
      </c>
      <c r="AE11">
        <f t="shared" si="9"/>
        <v>0.05</v>
      </c>
      <c r="AF11" t="str">
        <f t="shared" si="10"/>
        <v>Increased</v>
      </c>
      <c r="AG11" s="49">
        <f t="shared" si="11"/>
        <v>1.5420672502032813E-3</v>
      </c>
    </row>
    <row r="12" spans="1:33" x14ac:dyDescent="0.35">
      <c r="A12" s="19" t="s">
        <v>73</v>
      </c>
      <c r="B12" s="19" t="s">
        <v>43</v>
      </c>
      <c r="C12" s="19" t="s">
        <v>68</v>
      </c>
      <c r="D12" s="20">
        <v>3606</v>
      </c>
      <c r="E12" s="20">
        <v>4799</v>
      </c>
      <c r="F12" s="20">
        <v>3387.151734852408</v>
      </c>
      <c r="G12" s="30">
        <v>3.653103653103653E-2</v>
      </c>
      <c r="H12" s="30">
        <v>0.44371844371844371</v>
      </c>
      <c r="I12" s="30">
        <v>0.31006831006831009</v>
      </c>
      <c r="J12" s="30">
        <v>0.14582714582714582</v>
      </c>
      <c r="K12" s="30">
        <v>6.3855063855063857E-2</v>
      </c>
      <c r="L12" s="30">
        <v>0</v>
      </c>
      <c r="M12" s="33">
        <f t="shared" si="12"/>
        <v>2437.2540894471963</v>
      </c>
      <c r="N12" s="33">
        <f t="shared" si="13"/>
        <v>29603.720403529362</v>
      </c>
      <c r="O12" s="33">
        <f t="shared" si="14"/>
        <v>20686.937149454254</v>
      </c>
      <c r="P12" s="33">
        <f t="shared" si="15"/>
        <v>9729.2012838908413</v>
      </c>
      <c r="Q12" s="33">
        <f t="shared" si="16"/>
        <v>4260.2408880581079</v>
      </c>
      <c r="R12" s="33">
        <f t="shared" si="17"/>
        <v>0</v>
      </c>
      <c r="S12" s="31">
        <f>VLOOKUP(B12,'Edu updated'!B$2:J$48,9,FALSE)</f>
        <v>2920</v>
      </c>
      <c r="T12" s="32">
        <f>S12/F12</f>
        <v>0.8620812495508815</v>
      </c>
      <c r="U12" s="33">
        <f t="shared" si="19"/>
        <v>2920</v>
      </c>
      <c r="V12" s="41">
        <f t="shared" si="20"/>
        <v>5427.8017348524072</v>
      </c>
      <c r="W12" s="41">
        <f t="shared" si="2"/>
        <v>7433.7924722152438</v>
      </c>
      <c r="X12" s="41">
        <f t="shared" si="3"/>
        <v>9426.9739429153833</v>
      </c>
      <c r="Y12" s="41">
        <f t="shared" si="4"/>
        <v>11407.427940606894</v>
      </c>
      <c r="Z12" s="41">
        <f t="shared" si="5"/>
        <v>13375.235736649945</v>
      </c>
      <c r="AA12" s="41">
        <f t="shared" si="6"/>
        <v>15330.478083445914</v>
      </c>
      <c r="AB12" s="41">
        <f t="shared" si="7"/>
        <v>17273.235217751204</v>
      </c>
      <c r="AC12" s="41">
        <f t="shared" si="8"/>
        <v>19203.5868639699</v>
      </c>
      <c r="AD12">
        <f>VLOOKUP(B12,Migration!A$2:B$193,2,FALSE)</f>
        <v>67</v>
      </c>
      <c r="AE12">
        <f t="shared" si="9"/>
        <v>0.05</v>
      </c>
      <c r="AF12" t="str">
        <f t="shared" si="10"/>
        <v>Increased</v>
      </c>
      <c r="AG12" s="49">
        <f t="shared" si="11"/>
        <v>1.978063141092776E-2</v>
      </c>
    </row>
    <row r="13" spans="1:33" x14ac:dyDescent="0.35">
      <c r="A13" s="19" t="s">
        <v>74</v>
      </c>
      <c r="B13" s="19" t="s">
        <v>13</v>
      </c>
      <c r="C13" s="23" t="s">
        <v>62</v>
      </c>
      <c r="D13" s="20">
        <v>0</v>
      </c>
      <c r="E13" s="20">
        <v>747</v>
      </c>
      <c r="F13" s="20">
        <v>784.97097407084357</v>
      </c>
      <c r="G13" s="34">
        <v>3.1079803713894617E-2</v>
      </c>
      <c r="H13" s="34">
        <v>0.33653962637948021</v>
      </c>
      <c r="I13" s="34">
        <v>0.34941395631522804</v>
      </c>
      <c r="J13" s="34">
        <v>0.20169962632044125</v>
      </c>
      <c r="K13" s="34">
        <v>7.3507084647192453E-2</v>
      </c>
      <c r="L13" s="34">
        <v>7.7599026237634297E-3</v>
      </c>
      <c r="M13" s="33">
        <f t="shared" si="12"/>
        <v>2073.5622608613812</v>
      </c>
      <c r="N13" s="33">
        <f t="shared" si="13"/>
        <v>22453.033325718956</v>
      </c>
      <c r="O13" s="33">
        <f t="shared" si="14"/>
        <v>23311.974551165302</v>
      </c>
      <c r="P13" s="33">
        <f t="shared" si="15"/>
        <v>13456.865333449065</v>
      </c>
      <c r="Q13" s="33">
        <f t="shared" si="16"/>
        <v>4904.1981742703019</v>
      </c>
      <c r="R13" s="33">
        <f t="shared" si="17"/>
        <v>517.72016891475857</v>
      </c>
      <c r="S13" s="31">
        <f>VLOOKUP(B13,'Edu updated'!B$2:J$48,9,FALSE)</f>
        <v>40</v>
      </c>
      <c r="T13" s="32">
        <f t="shared" ref="T13:T49" si="21">S13/F13</f>
        <v>5.0957298194811984E-2</v>
      </c>
      <c r="U13" s="33">
        <f t="shared" si="19"/>
        <v>40</v>
      </c>
      <c r="V13" s="41">
        <f t="shared" si="20"/>
        <v>806.87967574957304</v>
      </c>
      <c r="W13" s="41">
        <f t="shared" si="2"/>
        <v>828.94853848703076</v>
      </c>
      <c r="X13" s="41">
        <f t="shared" si="3"/>
        <v>850.85517944835749</v>
      </c>
      <c r="Y13" s="41">
        <f t="shared" si="4"/>
        <v>872.6007910785363</v>
      </c>
      <c r="Z13" s="41">
        <f t="shared" si="5"/>
        <v>894.18655705723461</v>
      </c>
      <c r="AA13" s="41">
        <f t="shared" si="6"/>
        <v>915.61365236323593</v>
      </c>
      <c r="AB13" s="41">
        <f t="shared" si="7"/>
        <v>936.88324333839705</v>
      </c>
      <c r="AC13" s="41">
        <f t="shared" si="8"/>
        <v>957.99648775113587</v>
      </c>
      <c r="AD13">
        <v>0</v>
      </c>
      <c r="AE13">
        <f t="shared" si="9"/>
        <v>0.05</v>
      </c>
      <c r="AF13" t="str">
        <f t="shared" si="10"/>
        <v>Increased</v>
      </c>
      <c r="AG13" s="49">
        <f t="shared" si="11"/>
        <v>0</v>
      </c>
    </row>
    <row r="14" spans="1:33" x14ac:dyDescent="0.35">
      <c r="A14" s="19" t="s">
        <v>75</v>
      </c>
      <c r="B14" s="19" t="s">
        <v>12</v>
      </c>
      <c r="C14" s="19" t="s">
        <v>62</v>
      </c>
      <c r="D14" s="20">
        <v>3289</v>
      </c>
      <c r="E14" s="20">
        <v>5081</v>
      </c>
      <c r="F14" s="20">
        <v>5573</v>
      </c>
      <c r="G14" s="30">
        <v>1.3457742687959805E-2</v>
      </c>
      <c r="H14" s="30">
        <v>0.12739996411268617</v>
      </c>
      <c r="I14" s="30">
        <v>0.46438184101919971</v>
      </c>
      <c r="J14" s="30">
        <v>0.27310245828099766</v>
      </c>
      <c r="K14" s="30">
        <v>0.12111968419163825</v>
      </c>
      <c r="L14" s="30">
        <v>5.3830970751839223E-4</v>
      </c>
      <c r="M14" s="33">
        <f t="shared" si="12"/>
        <v>897.86498045549649</v>
      </c>
      <c r="N14" s="33">
        <f t="shared" si="13"/>
        <v>8499.7884816453679</v>
      </c>
      <c r="O14" s="33">
        <f t="shared" si="14"/>
        <v>30982.327592251</v>
      </c>
      <c r="P14" s="33">
        <f t="shared" si="15"/>
        <v>18220.67333671021</v>
      </c>
      <c r="Q14" s="33">
        <f t="shared" si="16"/>
        <v>8080.784824099469</v>
      </c>
      <c r="R14" s="33">
        <f t="shared" si="17"/>
        <v>35.914599218219863</v>
      </c>
      <c r="S14" s="31">
        <f>VLOOKUP(B14,'Edu updated'!B$2:J$48,9,FALSE)</f>
        <v>60</v>
      </c>
      <c r="T14" s="32">
        <f t="shared" si="21"/>
        <v>1.0766194150367845E-2</v>
      </c>
      <c r="U14" s="33">
        <f t="shared" si="19"/>
        <v>60</v>
      </c>
      <c r="V14" s="41">
        <f t="shared" si="20"/>
        <v>5597.6</v>
      </c>
      <c r="W14" s="41">
        <f t="shared" si="2"/>
        <v>5557.4020455768896</v>
      </c>
      <c r="X14" s="41">
        <f t="shared" si="3"/>
        <v>5517.6909675082661</v>
      </c>
      <c r="Y14" s="41">
        <f t="shared" si="4"/>
        <v>5478.4608687631007</v>
      </c>
      <c r="Z14" s="41">
        <f t="shared" si="5"/>
        <v>5439.7059237350177</v>
      </c>
      <c r="AA14" s="41">
        <f t="shared" si="6"/>
        <v>5401.4203773772015</v>
      </c>
      <c r="AB14" s="41">
        <f t="shared" si="7"/>
        <v>5363.5985443477812</v>
      </c>
      <c r="AC14" s="41">
        <f t="shared" si="8"/>
        <v>5326.2348081655682</v>
      </c>
      <c r="AD14">
        <f>VLOOKUP(B14,Migration!A$2:B$193,2,FALSE)</f>
        <v>288</v>
      </c>
      <c r="AE14">
        <f t="shared" si="9"/>
        <v>0.05</v>
      </c>
      <c r="AF14" t="str">
        <f t="shared" si="10"/>
        <v>Decreased</v>
      </c>
      <c r="AG14" s="49">
        <f t="shared" si="11"/>
        <v>5.1677731921765654E-2</v>
      </c>
    </row>
    <row r="15" spans="1:33" x14ac:dyDescent="0.35">
      <c r="A15" s="19" t="s">
        <v>76</v>
      </c>
      <c r="B15" s="19" t="s">
        <v>9</v>
      </c>
      <c r="C15" s="19" t="s">
        <v>62</v>
      </c>
      <c r="D15" s="20">
        <v>8780</v>
      </c>
      <c r="E15" s="20">
        <v>15163</v>
      </c>
      <c r="F15" s="20">
        <v>19225.233489577877</v>
      </c>
      <c r="G15" s="30">
        <v>2.3366045797449764E-3</v>
      </c>
      <c r="H15" s="30">
        <v>0.25175245343480873</v>
      </c>
      <c r="I15" s="30">
        <v>0.45316776820882571</v>
      </c>
      <c r="J15" s="30">
        <v>0.20134855464316709</v>
      </c>
      <c r="K15" s="30">
        <v>9.1194338740903935E-2</v>
      </c>
      <c r="L15" s="30">
        <v>2.002803925495694E-4</v>
      </c>
      <c r="M15" s="33">
        <f t="shared" si="12"/>
        <v>155.89207447114572</v>
      </c>
      <c r="N15" s="33">
        <f t="shared" si="13"/>
        <v>16796.2575094483</v>
      </c>
      <c r="O15" s="33">
        <f t="shared" si="14"/>
        <v>30234.154328861063</v>
      </c>
      <c r="P15" s="33">
        <f t="shared" si="15"/>
        <v>13433.442760142156</v>
      </c>
      <c r="Q15" s="33">
        <f t="shared" si="16"/>
        <v>6084.2449636452875</v>
      </c>
      <c r="R15" s="33">
        <f t="shared" si="17"/>
        <v>13.36217781181249</v>
      </c>
      <c r="S15" s="31">
        <f>VLOOKUP(B15,'Edu updated'!B$2:J$48,9,FALSE)</f>
        <v>1007</v>
      </c>
      <c r="T15" s="32">
        <f t="shared" si="21"/>
        <v>5.2379077764954124E-2</v>
      </c>
      <c r="U15" s="33">
        <f t="shared" si="19"/>
        <v>1007</v>
      </c>
      <c r="V15" s="41">
        <f t="shared" si="20"/>
        <v>19907.283052267729</v>
      </c>
      <c r="W15" s="41">
        <f t="shared" si="2"/>
        <v>20411.639900859773</v>
      </c>
      <c r="X15" s="41">
        <f t="shared" si="3"/>
        <v>20911.397300522138</v>
      </c>
      <c r="Y15" s="41">
        <f t="shared" si="4"/>
        <v>21406.597195625196</v>
      </c>
      <c r="Z15" s="41">
        <f t="shared" si="5"/>
        <v>21897.281148030404</v>
      </c>
      <c r="AA15" s="41">
        <f t="shared" si="6"/>
        <v>22383.490340578577</v>
      </c>
      <c r="AB15" s="41">
        <f t="shared" si="7"/>
        <v>22865.265580546329</v>
      </c>
      <c r="AC15" s="41">
        <f t="shared" si="8"/>
        <v>23342.647303071022</v>
      </c>
      <c r="AD15">
        <f>VLOOKUP(B15,Migration!A$2:B$193,2,FALSE)</f>
        <v>380</v>
      </c>
      <c r="AE15">
        <f t="shared" si="9"/>
        <v>0.05</v>
      </c>
      <c r="AF15" t="str">
        <f t="shared" si="10"/>
        <v>Increased</v>
      </c>
      <c r="AG15" s="49">
        <f t="shared" si="11"/>
        <v>1.97656897226242E-2</v>
      </c>
    </row>
    <row r="16" spans="1:33" x14ac:dyDescent="0.35">
      <c r="A16" s="19" t="s">
        <v>77</v>
      </c>
      <c r="B16" s="19" t="s">
        <v>11</v>
      </c>
      <c r="C16" s="23" t="s">
        <v>68</v>
      </c>
      <c r="D16" s="20">
        <v>59813</v>
      </c>
      <c r="E16" s="20">
        <v>103785</v>
      </c>
      <c r="F16" s="20">
        <v>115316</v>
      </c>
      <c r="G16" s="34">
        <v>0.16765299086895941</v>
      </c>
      <c r="H16" s="34">
        <v>0.35339731243898659</v>
      </c>
      <c r="I16" s="34">
        <v>0.29951984150713429</v>
      </c>
      <c r="J16" s="34">
        <v>0.1336555241914486</v>
      </c>
      <c r="K16" s="34">
        <v>4.3048783589516915E-2</v>
      </c>
      <c r="L16" s="34">
        <v>2.7255474039542516E-3</v>
      </c>
      <c r="M16" s="33">
        <f t="shared" si="12"/>
        <v>11185.363909843345</v>
      </c>
      <c r="N16" s="33">
        <f t="shared" si="13"/>
        <v>23577.733531042777</v>
      </c>
      <c r="O16" s="33">
        <f t="shared" si="14"/>
        <v>19983.171240258427</v>
      </c>
      <c r="P16" s="33">
        <f t="shared" si="15"/>
        <v>8917.1428967272695</v>
      </c>
      <c r="Q16" s="33">
        <f t="shared" si="16"/>
        <v>2872.1009260204651</v>
      </c>
      <c r="R16" s="33">
        <f t="shared" si="17"/>
        <v>181.84131048748006</v>
      </c>
      <c r="S16" s="31">
        <f>VLOOKUP(B16,'Edu updated'!B$2:J$48,9,FALSE)</f>
        <v>24061</v>
      </c>
      <c r="T16" s="32">
        <f t="shared" si="21"/>
        <v>0.20865274549932361</v>
      </c>
      <c r="U16" s="33">
        <f t="shared" si="19"/>
        <v>24061</v>
      </c>
      <c r="V16" s="41">
        <f t="shared" si="20"/>
        <v>131840.90077556562</v>
      </c>
      <c r="W16" s="41">
        <f t="shared" si="2"/>
        <v>148112.54173499221</v>
      </c>
      <c r="X16" s="41">
        <f t="shared" si="3"/>
        <v>164314.13525938793</v>
      </c>
      <c r="Y16" s="41">
        <f t="shared" si="4"/>
        <v>180445.98289443995</v>
      </c>
      <c r="Z16" s="41">
        <f t="shared" si="5"/>
        <v>196508.38488771793</v>
      </c>
      <c r="AA16" s="41">
        <f t="shared" si="6"/>
        <v>212501.64019426226</v>
      </c>
      <c r="AB16" s="41">
        <f t="shared" si="7"/>
        <v>228426.04648214826</v>
      </c>
      <c r="AC16" s="41">
        <f t="shared" si="8"/>
        <v>244281.90013802639</v>
      </c>
      <c r="AD16">
        <f>VLOOKUP(B16,Migration!A$2:B$193,2,FALSE)</f>
        <v>70</v>
      </c>
      <c r="AE16">
        <f t="shared" si="9"/>
        <v>0.05</v>
      </c>
      <c r="AF16" t="str">
        <f t="shared" si="10"/>
        <v>Increased</v>
      </c>
      <c r="AG16" s="49">
        <f t="shared" si="11"/>
        <v>6.070276457733532E-4</v>
      </c>
    </row>
    <row r="17" spans="1:33" x14ac:dyDescent="0.35">
      <c r="A17" s="19" t="s">
        <v>78</v>
      </c>
      <c r="B17" s="19" t="s">
        <v>23</v>
      </c>
      <c r="C17" s="23" t="s">
        <v>66</v>
      </c>
      <c r="D17" s="20">
        <v>0</v>
      </c>
      <c r="E17" s="20">
        <v>355</v>
      </c>
      <c r="F17" s="20">
        <v>1375</v>
      </c>
      <c r="G17" s="34">
        <v>1.8679111475270328E-2</v>
      </c>
      <c r="H17" s="34">
        <v>0.24613491771786639</v>
      </c>
      <c r="I17" s="34">
        <v>0.31712615934178301</v>
      </c>
      <c r="J17" s="34">
        <v>0.24329284860264971</v>
      </c>
      <c r="K17" s="34">
        <v>0.13924057054727651</v>
      </c>
      <c r="L17" s="34">
        <v>3.5526392315154053E-2</v>
      </c>
      <c r="M17" s="33">
        <f t="shared" si="12"/>
        <v>1246.2208892338517</v>
      </c>
      <c r="N17" s="33">
        <f t="shared" si="13"/>
        <v>16421.470391456143</v>
      </c>
      <c r="O17" s="33">
        <f t="shared" si="14"/>
        <v>21157.818176601111</v>
      </c>
      <c r="P17" s="33">
        <f t="shared" si="15"/>
        <v>16231.85506073131</v>
      </c>
      <c r="Q17" s="33">
        <f t="shared" si="16"/>
        <v>9289.7624105187533</v>
      </c>
      <c r="R17" s="33">
        <f t="shared" si="17"/>
        <v>2370.2268858385951</v>
      </c>
      <c r="S17" s="31">
        <f>VLOOKUP(B17,'Edu updated'!B$2:J$48,9,FALSE)</f>
        <v>962</v>
      </c>
      <c r="T17" s="32">
        <f t="shared" si="21"/>
        <v>0.69963636363636361</v>
      </c>
      <c r="U17" s="33">
        <f t="shared" si="19"/>
        <v>962</v>
      </c>
      <c r="V17" s="41">
        <f t="shared" si="20"/>
        <v>1999.051210566663</v>
      </c>
      <c r="W17" s="41">
        <f t="shared" si="2"/>
        <v>2644.1163074554106</v>
      </c>
      <c r="X17" s="41">
        <f t="shared" si="3"/>
        <v>3280.1994811310656</v>
      </c>
      <c r="Y17" s="41">
        <f t="shared" si="4"/>
        <v>3907.4257964049089</v>
      </c>
      <c r="Z17" s="41">
        <f t="shared" si="5"/>
        <v>4525.9185766786522</v>
      </c>
      <c r="AA17" s="41">
        <f t="shared" si="6"/>
        <v>5135.7994281919264</v>
      </c>
      <c r="AB17" s="41">
        <f t="shared" si="7"/>
        <v>5737.1882639321439</v>
      </c>
      <c r="AC17" s="41">
        <f t="shared" si="8"/>
        <v>6330.2033272114386</v>
      </c>
      <c r="AD17">
        <f>VLOOKUP(B17,Migration!A$2:B$193,2,FALSE)</f>
        <v>10</v>
      </c>
      <c r="AE17">
        <f t="shared" si="9"/>
        <v>0.05</v>
      </c>
      <c r="AF17" t="str">
        <f t="shared" si="10"/>
        <v>Increased</v>
      </c>
      <c r="AG17" s="49">
        <f t="shared" si="11"/>
        <v>7.2727272727272727E-3</v>
      </c>
    </row>
    <row r="18" spans="1:33" x14ac:dyDescent="0.35">
      <c r="A18" s="19" t="s">
        <v>79</v>
      </c>
      <c r="B18" s="19" t="s">
        <v>16</v>
      </c>
      <c r="C18" s="19" t="s">
        <v>68</v>
      </c>
      <c r="D18" s="20">
        <v>4262</v>
      </c>
      <c r="E18" s="20">
        <v>4971</v>
      </c>
      <c r="F18" s="20">
        <v>5007</v>
      </c>
      <c r="G18" s="30">
        <v>0.17155981625723987</v>
      </c>
      <c r="H18" s="30">
        <v>0.41601757539444778</v>
      </c>
      <c r="I18" s="30">
        <v>0.18773716796484921</v>
      </c>
      <c r="J18" s="30">
        <v>0.18294387857000199</v>
      </c>
      <c r="K18" s="30">
        <v>4.1741561813461156E-2</v>
      </c>
      <c r="L18" s="30">
        <v>0</v>
      </c>
      <c r="M18" s="33">
        <f t="shared" si="12"/>
        <v>11446.016961564254</v>
      </c>
      <c r="N18" s="33">
        <f t="shared" si="13"/>
        <v>27755.591770591782</v>
      </c>
      <c r="O18" s="33">
        <f t="shared" si="14"/>
        <v>12525.327059220486</v>
      </c>
      <c r="P18" s="33">
        <f t="shared" si="15"/>
        <v>12205.531474729751</v>
      </c>
      <c r="Q18" s="33">
        <f t="shared" si="16"/>
        <v>2784.8865482734914</v>
      </c>
      <c r="R18" s="33">
        <f t="shared" si="17"/>
        <v>0</v>
      </c>
      <c r="S18" s="31">
        <f>VLOOKUP(B18,'Edu updated'!B$2:J$48,9,FALSE)</f>
        <v>400</v>
      </c>
      <c r="T18" s="32">
        <f t="shared" si="21"/>
        <v>7.9888156580786893E-2</v>
      </c>
      <c r="U18" s="33">
        <f t="shared" si="19"/>
        <v>399.99999999999994</v>
      </c>
      <c r="V18" s="41">
        <f t="shared" si="20"/>
        <v>5198.7</v>
      </c>
      <c r="W18" s="41">
        <f t="shared" si="2"/>
        <v>5368.699814260036</v>
      </c>
      <c r="X18" s="41">
        <f t="shared" si="3"/>
        <v>5537.9900227445505</v>
      </c>
      <c r="Y18" s="41">
        <f t="shared" si="4"/>
        <v>5706.5735874588781</v>
      </c>
      <c r="Z18" s="41">
        <f t="shared" si="5"/>
        <v>5874.4534580444797</v>
      </c>
      <c r="AA18" s="41">
        <f t="shared" si="6"/>
        <v>6041.6325718305534</v>
      </c>
      <c r="AB18" s="41">
        <f t="shared" si="7"/>
        <v>6208.1138538854248</v>
      </c>
      <c r="AC18" s="41">
        <f t="shared" si="8"/>
        <v>6373.9002170677286</v>
      </c>
      <c r="AD18">
        <f>VLOOKUP(B18,Migration!A$2:B$193,2,FALSE)</f>
        <v>1766</v>
      </c>
      <c r="AE18">
        <f t="shared" si="9"/>
        <v>0.05</v>
      </c>
      <c r="AF18" t="str">
        <f t="shared" si="10"/>
        <v>Increased</v>
      </c>
      <c r="AG18" s="49">
        <f t="shared" si="11"/>
        <v>0.35270621130417418</v>
      </c>
    </row>
    <row r="19" spans="1:33" x14ac:dyDescent="0.35">
      <c r="A19" s="19" t="s">
        <v>80</v>
      </c>
      <c r="B19" s="19" t="s">
        <v>41</v>
      </c>
      <c r="C19" s="19" t="s">
        <v>62</v>
      </c>
      <c r="D19" s="20">
        <v>3735</v>
      </c>
      <c r="E19" s="20">
        <v>4706</v>
      </c>
      <c r="F19" s="20">
        <v>5242</v>
      </c>
      <c r="G19" s="30">
        <v>2.8271112722000724E-2</v>
      </c>
      <c r="H19" s="30">
        <v>0.38963392533526642</v>
      </c>
      <c r="I19" s="30">
        <v>0.30518303733236679</v>
      </c>
      <c r="J19" s="30">
        <v>0.18412468285610728</v>
      </c>
      <c r="K19" s="30">
        <v>8.6625588981515039E-2</v>
      </c>
      <c r="L19" s="30">
        <v>6.1616527727437476E-3</v>
      </c>
      <c r="M19" s="33">
        <f t="shared" si="12"/>
        <v>1886.1738301999353</v>
      </c>
      <c r="N19" s="33">
        <f t="shared" si="13"/>
        <v>25995.344454678598</v>
      </c>
      <c r="O19" s="33">
        <f t="shared" si="14"/>
        <v>20361.004679850583</v>
      </c>
      <c r="P19" s="33">
        <f t="shared" si="15"/>
        <v>12284.311612071373</v>
      </c>
      <c r="Q19" s="33">
        <f t="shared" si="16"/>
        <v>5779.4300694587764</v>
      </c>
      <c r="R19" s="33">
        <f t="shared" si="17"/>
        <v>411.0891681204987</v>
      </c>
      <c r="S19" s="31">
        <f>VLOOKUP(B19,'Edu updated'!B$2:J$48,9,FALSE)</f>
        <v>160</v>
      </c>
      <c r="T19" s="32">
        <f t="shared" si="21"/>
        <v>3.0522701259061428E-2</v>
      </c>
      <c r="U19" s="33">
        <f t="shared" si="19"/>
        <v>160</v>
      </c>
      <c r="V19" s="41">
        <f t="shared" si="20"/>
        <v>5315.6006161652767</v>
      </c>
      <c r="W19" s="41">
        <f t="shared" si="2"/>
        <v>5375.4539127486942</v>
      </c>
      <c r="X19" s="41">
        <f t="shared" si="3"/>
        <v>5434.7887266252092</v>
      </c>
      <c r="Y19" s="41">
        <f t="shared" si="4"/>
        <v>5493.6095491818078</v>
      </c>
      <c r="Z19" s="41">
        <f t="shared" si="5"/>
        <v>5551.9208328985724</v>
      </c>
      <c r="AA19" s="41">
        <f t="shared" si="6"/>
        <v>5609.726991685714</v>
      </c>
      <c r="AB19" s="41">
        <f t="shared" si="7"/>
        <v>5667.0324012176861</v>
      </c>
      <c r="AC19" s="41">
        <f t="shared" si="8"/>
        <v>5723.8413992644046</v>
      </c>
      <c r="AD19">
        <f>VLOOKUP(B19,Migration!A$2:B$193,2,FALSE)</f>
        <v>122</v>
      </c>
      <c r="AE19">
        <f t="shared" si="9"/>
        <v>0.05</v>
      </c>
      <c r="AF19" t="str">
        <f t="shared" si="10"/>
        <v>Increased</v>
      </c>
      <c r="AG19" s="49">
        <f t="shared" si="11"/>
        <v>2.327355971003434E-2</v>
      </c>
    </row>
    <row r="20" spans="1:33" x14ac:dyDescent="0.35">
      <c r="A20" s="19" t="s">
        <v>81</v>
      </c>
      <c r="B20" s="19" t="s">
        <v>17</v>
      </c>
      <c r="C20" s="23" t="s">
        <v>68</v>
      </c>
      <c r="D20" s="20">
        <v>0</v>
      </c>
      <c r="E20" s="20">
        <v>61772</v>
      </c>
      <c r="F20" s="20">
        <v>131262</v>
      </c>
      <c r="G20" s="34">
        <v>0.16765299086895941</v>
      </c>
      <c r="H20" s="34">
        <v>0.35339731243898659</v>
      </c>
      <c r="I20" s="34">
        <v>0.29951984150713429</v>
      </c>
      <c r="J20" s="34">
        <v>0.1336555241914486</v>
      </c>
      <c r="K20" s="34">
        <v>4.3048783589516915E-2</v>
      </c>
      <c r="L20" s="34">
        <v>2.7255474039542516E-3</v>
      </c>
      <c r="M20" s="33">
        <f t="shared" si="12"/>
        <v>11185.363909843345</v>
      </c>
      <c r="N20" s="33">
        <f t="shared" si="13"/>
        <v>23577.733531042777</v>
      </c>
      <c r="O20" s="33">
        <f t="shared" si="14"/>
        <v>19983.171240258427</v>
      </c>
      <c r="P20" s="33">
        <f t="shared" si="15"/>
        <v>8917.1428967272695</v>
      </c>
      <c r="Q20" s="33">
        <f t="shared" si="16"/>
        <v>2872.1009260204651</v>
      </c>
      <c r="R20" s="33">
        <f t="shared" si="17"/>
        <v>181.84131048748006</v>
      </c>
      <c r="S20" s="31">
        <f>VLOOKUP(B20,'Edu updated'!B$2:J$48,9,FALSE)</f>
        <v>6298</v>
      </c>
      <c r="T20" s="32">
        <f t="shared" si="21"/>
        <v>4.7980375127607382E-2</v>
      </c>
      <c r="U20" s="33">
        <f t="shared" si="19"/>
        <v>6298</v>
      </c>
      <c r="V20" s="41">
        <f t="shared" si="20"/>
        <v>134997.13919666214</v>
      </c>
      <c r="W20" s="41">
        <f t="shared" si="2"/>
        <v>138508.89293361406</v>
      </c>
      <c r="X20" s="41">
        <f t="shared" si="3"/>
        <v>142005.5289979018</v>
      </c>
      <c r="Y20" s="41">
        <f t="shared" si="4"/>
        <v>145487.11246926725</v>
      </c>
      <c r="Z20" s="41">
        <f t="shared" si="5"/>
        <v>148953.70814729194</v>
      </c>
      <c r="AA20" s="41">
        <f t="shared" si="6"/>
        <v>152405.38055260305</v>
      </c>
      <c r="AB20" s="41">
        <f t="shared" si="7"/>
        <v>155842.19392807435</v>
      </c>
      <c r="AC20" s="41">
        <f t="shared" si="8"/>
        <v>159264.21224002182</v>
      </c>
      <c r="AD20">
        <f>VLOOKUP(B20,Migration!A$2:B$193,2,FALSE)</f>
        <v>6314</v>
      </c>
      <c r="AE20">
        <f t="shared" si="9"/>
        <v>0.05</v>
      </c>
      <c r="AF20" t="str">
        <f t="shared" si="10"/>
        <v>Increased</v>
      </c>
      <c r="AG20" s="49">
        <f t="shared" si="11"/>
        <v>4.8102268744952839E-2</v>
      </c>
    </row>
    <row r="21" spans="1:33" x14ac:dyDescent="0.35">
      <c r="A21" s="19" t="s">
        <v>82</v>
      </c>
      <c r="B21" s="19" t="s">
        <v>18</v>
      </c>
      <c r="C21" s="19" t="s">
        <v>66</v>
      </c>
      <c r="D21" s="20">
        <v>0</v>
      </c>
      <c r="E21" s="20">
        <v>6085</v>
      </c>
      <c r="F21" s="20">
        <v>4751.5998777719578</v>
      </c>
      <c r="G21" s="30">
        <v>0</v>
      </c>
      <c r="H21" s="30">
        <v>0.14379237783493104</v>
      </c>
      <c r="I21" s="30">
        <v>0.38812251578209023</v>
      </c>
      <c r="J21" s="30">
        <v>0.35819499649286884</v>
      </c>
      <c r="K21" s="30">
        <v>0.10989010989010989</v>
      </c>
      <c r="L21" s="30">
        <v>0</v>
      </c>
      <c r="M21" s="33">
        <f t="shared" si="12"/>
        <v>0</v>
      </c>
      <c r="N21" s="33">
        <f t="shared" si="13"/>
        <v>9593.4469478240717</v>
      </c>
      <c r="O21" s="33">
        <f t="shared" si="14"/>
        <v>25894.507208760908</v>
      </c>
      <c r="P21" s="33">
        <f t="shared" si="15"/>
        <v>23897.822315555248</v>
      </c>
      <c r="Q21" s="33">
        <f t="shared" si="16"/>
        <v>7331.5773422395341</v>
      </c>
      <c r="R21" s="33">
        <f t="shared" si="17"/>
        <v>0</v>
      </c>
      <c r="S21" s="31">
        <f>VLOOKUP(B21,'Edu updated'!B$2:J$48,9,FALSE)</f>
        <v>95</v>
      </c>
      <c r="T21" s="32">
        <f t="shared" si="21"/>
        <v>1.9993265940680561E-2</v>
      </c>
      <c r="U21" s="33">
        <f t="shared" si="19"/>
        <v>95</v>
      </c>
      <c r="V21" s="41">
        <f t="shared" si="20"/>
        <v>4812.7998777719577</v>
      </c>
      <c r="W21" s="41">
        <f t="shared" si="2"/>
        <v>4821.111967027211</v>
      </c>
      <c r="X21" s="41">
        <f t="shared" si="3"/>
        <v>4829.3327146422962</v>
      </c>
      <c r="Y21" s="41">
        <f t="shared" si="4"/>
        <v>4837.4631243715021</v>
      </c>
      <c r="Z21" s="41">
        <f t="shared" si="5"/>
        <v>4845.5041889388485</v>
      </c>
      <c r="AA21" s="41">
        <f t="shared" si="6"/>
        <v>4853.4568901593011</v>
      </c>
      <c r="AB21" s="41">
        <f t="shared" si="7"/>
        <v>4861.3221990586499</v>
      </c>
      <c r="AC21" s="41">
        <f t="shared" si="8"/>
        <v>4869.1010759920709</v>
      </c>
      <c r="AD21">
        <f>VLOOKUP(B21,Migration!A$2:B$193,2,FALSE)</f>
        <v>106</v>
      </c>
      <c r="AE21">
        <f t="shared" si="9"/>
        <v>0.05</v>
      </c>
      <c r="AF21" t="str">
        <f t="shared" si="10"/>
        <v>Increased</v>
      </c>
      <c r="AG21" s="49">
        <f t="shared" si="11"/>
        <v>2.2308275681180417E-2</v>
      </c>
    </row>
    <row r="22" spans="1:33" x14ac:dyDescent="0.35">
      <c r="A22" s="19" t="s">
        <v>83</v>
      </c>
      <c r="B22" s="19" t="s">
        <v>21</v>
      </c>
      <c r="C22" s="23" t="s">
        <v>68</v>
      </c>
      <c r="D22" s="20">
        <v>2386</v>
      </c>
      <c r="E22" s="20">
        <v>1498</v>
      </c>
      <c r="F22" s="20">
        <v>1429.4036697247707</v>
      </c>
      <c r="G22" s="34">
        <v>0.16765299086895941</v>
      </c>
      <c r="H22" s="34">
        <v>0.35339731243898659</v>
      </c>
      <c r="I22" s="34">
        <v>0.29951984150713429</v>
      </c>
      <c r="J22" s="34">
        <v>0.1336555241914486</v>
      </c>
      <c r="K22" s="34">
        <v>4.3048783589516915E-2</v>
      </c>
      <c r="L22" s="34">
        <v>2.7255474039542516E-3</v>
      </c>
      <c r="M22" s="33">
        <f t="shared" si="12"/>
        <v>11185.363909843345</v>
      </c>
      <c r="N22" s="33">
        <f t="shared" si="13"/>
        <v>23577.733531042777</v>
      </c>
      <c r="O22" s="33">
        <f t="shared" si="14"/>
        <v>19983.171240258427</v>
      </c>
      <c r="P22" s="33">
        <f t="shared" si="15"/>
        <v>8917.1428967272695</v>
      </c>
      <c r="Q22" s="33">
        <f t="shared" si="16"/>
        <v>2872.1009260204651</v>
      </c>
      <c r="R22" s="33">
        <f t="shared" si="17"/>
        <v>181.84131048748006</v>
      </c>
      <c r="S22" s="31">
        <f>VLOOKUP(B22,'Edu updated'!B$2:J$48,9,FALSE)</f>
        <v>137</v>
      </c>
      <c r="T22" s="32">
        <f t="shared" si="21"/>
        <v>9.5844164179583455E-2</v>
      </c>
      <c r="U22" s="33">
        <f t="shared" si="19"/>
        <v>137</v>
      </c>
      <c r="V22" s="41">
        <f t="shared" si="20"/>
        <v>1501.1577622635498</v>
      </c>
      <c r="W22" s="41">
        <f t="shared" si="2"/>
        <v>1570.3454606994092</v>
      </c>
      <c r="X22" s="41">
        <f t="shared" si="3"/>
        <v>1639.2353145095665</v>
      </c>
      <c r="Y22" s="41">
        <f t="shared" si="4"/>
        <v>1707.8286058789049</v>
      </c>
      <c r="Z22" s="41">
        <f t="shared" si="5"/>
        <v>1776.1266114726584</v>
      </c>
      <c r="AA22" s="41">
        <f t="shared" si="6"/>
        <v>1844.1306024601718</v>
      </c>
      <c r="AB22" s="41">
        <f t="shared" si="7"/>
        <v>1911.8418445385605</v>
      </c>
      <c r="AC22" s="41">
        <f t="shared" si="8"/>
        <v>1979.2615979562684</v>
      </c>
      <c r="AD22">
        <f>VLOOKUP(B22,Migration!A$2:B$193,2,FALSE)</f>
        <v>405</v>
      </c>
      <c r="AE22">
        <f t="shared" si="9"/>
        <v>0.05</v>
      </c>
      <c r="AF22" t="str">
        <f t="shared" si="10"/>
        <v>Increased</v>
      </c>
      <c r="AG22" s="49">
        <f t="shared" si="11"/>
        <v>0.28333493790314818</v>
      </c>
    </row>
    <row r="23" spans="1:33" x14ac:dyDescent="0.35">
      <c r="A23" s="19" t="s">
        <v>84</v>
      </c>
      <c r="B23" s="19" t="s">
        <v>19</v>
      </c>
      <c r="C23" s="19" t="s">
        <v>62</v>
      </c>
      <c r="D23" s="20">
        <v>37404</v>
      </c>
      <c r="E23" s="20">
        <v>125024</v>
      </c>
      <c r="F23" s="20">
        <v>124204.27697797566</v>
      </c>
      <c r="G23" s="30">
        <v>3.9127948391239352E-4</v>
      </c>
      <c r="H23" s="30">
        <v>0.66800437430397397</v>
      </c>
      <c r="I23" s="30">
        <v>0.30801721629729212</v>
      </c>
      <c r="J23" s="30">
        <v>1.5661212163775546E-2</v>
      </c>
      <c r="K23" s="30">
        <v>7.925917751045921E-3</v>
      </c>
      <c r="L23" s="30">
        <v>0</v>
      </c>
      <c r="M23" s="33">
        <f t="shared" si="12"/>
        <v>26.105131768491074</v>
      </c>
      <c r="N23" s="33">
        <f t="shared" si="13"/>
        <v>44567.484189991606</v>
      </c>
      <c r="O23" s="33">
        <f t="shared" si="14"/>
        <v>20550.09360062678</v>
      </c>
      <c r="P23" s="33">
        <f t="shared" si="15"/>
        <v>1044.8746330926813</v>
      </c>
      <c r="Q23" s="33">
        <f t="shared" si="16"/>
        <v>528.79625890020384</v>
      </c>
      <c r="R23" s="33">
        <f t="shared" si="17"/>
        <v>0</v>
      </c>
      <c r="S23" s="31">
        <f>VLOOKUP(B23,'Edu updated'!B$2:J$48,9,FALSE)</f>
        <v>21271</v>
      </c>
      <c r="T23" s="32">
        <f t="shared" si="21"/>
        <v>0.17125819269308937</v>
      </c>
      <c r="U23" s="33">
        <f t="shared" si="19"/>
        <v>21271</v>
      </c>
      <c r="V23" s="41">
        <f t="shared" si="20"/>
        <v>138466.27697797565</v>
      </c>
      <c r="W23" s="41">
        <f t="shared" si="2"/>
        <v>152618.52974571355</v>
      </c>
      <c r="X23" s="41">
        <f t="shared" si="3"/>
        <v>166759.56555430853</v>
      </c>
      <c r="Y23" s="41">
        <f t="shared" si="4"/>
        <v>180889.39329423016</v>
      </c>
      <c r="Z23" s="41">
        <f t="shared" si="5"/>
        <v>195008.0218489015</v>
      </c>
      <c r="AA23" s="41">
        <f t="shared" si="6"/>
        <v>209115.46009470464</v>
      </c>
      <c r="AB23" s="41">
        <f t="shared" si="7"/>
        <v>223211.71690098636</v>
      </c>
      <c r="AC23" s="41">
        <f t="shared" si="8"/>
        <v>237296.80113006366</v>
      </c>
      <c r="AD23">
        <f>VLOOKUP(B23,Migration!A$2:B$193,2,FALSE)</f>
        <v>12554</v>
      </c>
      <c r="AE23">
        <f t="shared" si="9"/>
        <v>0.05</v>
      </c>
      <c r="AF23" t="str">
        <f t="shared" si="10"/>
        <v>Increased</v>
      </c>
      <c r="AG23" s="49">
        <f t="shared" si="11"/>
        <v>0.10107542433684566</v>
      </c>
    </row>
    <row r="24" spans="1:33" x14ac:dyDescent="0.35">
      <c r="A24" s="19" t="s">
        <v>85</v>
      </c>
      <c r="B24" s="19" t="s">
        <v>20</v>
      </c>
      <c r="C24" s="23" t="s">
        <v>68</v>
      </c>
      <c r="D24" s="20">
        <v>5789</v>
      </c>
      <c r="E24" s="20">
        <v>7195</v>
      </c>
      <c r="F24" s="20">
        <v>5018.9871797472533</v>
      </c>
      <c r="G24" s="34">
        <v>0.16765299086895941</v>
      </c>
      <c r="H24" s="34">
        <v>0.35339731243898659</v>
      </c>
      <c r="I24" s="34">
        <v>0.29951984150713429</v>
      </c>
      <c r="J24" s="34">
        <v>0.1336555241914486</v>
      </c>
      <c r="K24" s="34">
        <v>4.3048783589516915E-2</v>
      </c>
      <c r="L24" s="34">
        <v>2.7255474039542516E-3</v>
      </c>
      <c r="M24" s="33">
        <f t="shared" si="12"/>
        <v>11185.363909843345</v>
      </c>
      <c r="N24" s="33">
        <f t="shared" si="13"/>
        <v>23577.733531042777</v>
      </c>
      <c r="O24" s="33">
        <f t="shared" si="14"/>
        <v>19983.171240258427</v>
      </c>
      <c r="P24" s="33">
        <f t="shared" si="15"/>
        <v>8917.1428967272695</v>
      </c>
      <c r="Q24" s="33">
        <f t="shared" si="16"/>
        <v>2872.1009260204651</v>
      </c>
      <c r="R24" s="33">
        <f t="shared" si="17"/>
        <v>181.84131048748006</v>
      </c>
      <c r="S24" s="31">
        <f>VLOOKUP(B24,'Edu updated'!B$2:J$48,9,FALSE)</f>
        <v>964</v>
      </c>
      <c r="T24" s="32">
        <f t="shared" si="21"/>
        <v>0.19207062410718195</v>
      </c>
      <c r="U24" s="33">
        <f t="shared" si="19"/>
        <v>964</v>
      </c>
      <c r="V24" s="41">
        <f t="shared" si="20"/>
        <v>5663.8576922690136</v>
      </c>
      <c r="W24" s="41">
        <f t="shared" si="2"/>
        <v>6298.025473861383</v>
      </c>
      <c r="X24" s="41">
        <f t="shared" si="3"/>
        <v>6929.4632402948309</v>
      </c>
      <c r="Y24" s="41">
        <f t="shared" si="4"/>
        <v>7558.182743952535</v>
      </c>
      <c r="Z24" s="41">
        <f t="shared" si="5"/>
        <v>8184.1956866250912</v>
      </c>
      <c r="AA24" s="41">
        <f t="shared" si="6"/>
        <v>8807.5137197283129</v>
      </c>
      <c r="AB24" s="41">
        <f t="shared" si="7"/>
        <v>9428.148444520084</v>
      </c>
      <c r="AC24" s="41">
        <f t="shared" si="8"/>
        <v>10046.111412316284</v>
      </c>
      <c r="AD24">
        <f>VLOOKUP(B24,Migration!A$2:B$193,2,FALSE)</f>
        <v>325</v>
      </c>
      <c r="AE24">
        <f t="shared" si="9"/>
        <v>0.05</v>
      </c>
      <c r="AF24" t="str">
        <f t="shared" si="10"/>
        <v>Increased</v>
      </c>
      <c r="AG24" s="49">
        <f t="shared" si="11"/>
        <v>6.4754100451072757E-2</v>
      </c>
    </row>
    <row r="25" spans="1:33" x14ac:dyDescent="0.35">
      <c r="A25" s="19" t="s">
        <v>86</v>
      </c>
      <c r="B25" s="19" t="s">
        <v>22</v>
      </c>
      <c r="C25" s="19" t="s">
        <v>68</v>
      </c>
      <c r="D25" s="20">
        <v>727</v>
      </c>
      <c r="E25" s="20">
        <v>1264</v>
      </c>
      <c r="F25" s="20">
        <v>1879</v>
      </c>
      <c r="G25" s="30">
        <v>0</v>
      </c>
      <c r="H25" s="30">
        <v>0.35071846726982436</v>
      </c>
      <c r="I25" s="30">
        <v>0.45928685470995212</v>
      </c>
      <c r="J25" s="30">
        <v>0.11122937732836616</v>
      </c>
      <c r="K25" s="30">
        <v>7.1314529004789781E-2</v>
      </c>
      <c r="L25" s="30">
        <v>7.4507716870675887E-3</v>
      </c>
      <c r="M25" s="33">
        <f t="shared" si="12"/>
        <v>0</v>
      </c>
      <c r="N25" s="33">
        <f t="shared" si="13"/>
        <v>23399.008070077842</v>
      </c>
      <c r="O25" s="33">
        <f t="shared" si="14"/>
        <v>30642.403587977507</v>
      </c>
      <c r="P25" s="33">
        <f t="shared" si="15"/>
        <v>7420.9297217697558</v>
      </c>
      <c r="Q25" s="33">
        <f t="shared" si="16"/>
        <v>4757.916663718408</v>
      </c>
      <c r="R25" s="33">
        <f t="shared" si="17"/>
        <v>497.09577083625152</v>
      </c>
      <c r="S25" s="31">
        <f>VLOOKUP(B25,'Edu updated'!B$2:J$48,9,FALSE)</f>
        <v>0</v>
      </c>
      <c r="T25" s="32">
        <v>0.16200000000000001</v>
      </c>
      <c r="U25" s="33">
        <f t="shared" si="19"/>
        <v>304.39800000000002</v>
      </c>
      <c r="V25" s="41">
        <f t="shared" si="20"/>
        <v>2075.4785999999999</v>
      </c>
      <c r="W25" s="41">
        <f t="shared" si="2"/>
        <v>2271.1560221181476</v>
      </c>
      <c r="X25" s="41">
        <f t="shared" si="3"/>
        <v>2465.4379799167727</v>
      </c>
      <c r="Y25" s="41">
        <f t="shared" si="4"/>
        <v>2658.3344250839441</v>
      </c>
      <c r="Z25" s="41">
        <f t="shared" si="5"/>
        <v>2849.855238337736</v>
      </c>
      <c r="AA25" s="41">
        <f t="shared" si="6"/>
        <v>3040.0102299323471</v>
      </c>
      <c r="AB25" s="41">
        <f t="shared" si="7"/>
        <v>3228.8091401606102</v>
      </c>
      <c r="AC25" s="41">
        <f t="shared" si="8"/>
        <v>3416.2616398529185</v>
      </c>
      <c r="AD25">
        <f>VLOOKUP(B25,Migration!A$2:B$193,2,FALSE)</f>
        <v>52</v>
      </c>
      <c r="AE25">
        <f t="shared" si="9"/>
        <v>0.05</v>
      </c>
      <c r="AF25" t="str">
        <f t="shared" si="10"/>
        <v>Increased</v>
      </c>
      <c r="AG25" s="49">
        <f t="shared" si="11"/>
        <v>2.7674294837679615E-2</v>
      </c>
    </row>
    <row r="26" spans="1:33" x14ac:dyDescent="0.35">
      <c r="A26" s="19" t="s">
        <v>87</v>
      </c>
      <c r="B26" s="19" t="s">
        <v>24</v>
      </c>
      <c r="C26" s="19" t="s">
        <v>62</v>
      </c>
      <c r="D26" s="20">
        <v>40292</v>
      </c>
      <c r="E26" s="20">
        <v>59901</v>
      </c>
      <c r="F26" s="20">
        <v>109659</v>
      </c>
      <c r="G26" s="30">
        <v>1.0398757695080694E-2</v>
      </c>
      <c r="H26" s="30">
        <v>0.30655537685097889</v>
      </c>
      <c r="I26" s="30">
        <v>0.33922134102379237</v>
      </c>
      <c r="J26" s="30">
        <v>0.24025289778714437</v>
      </c>
      <c r="K26" s="30">
        <v>0.10199101547335145</v>
      </c>
      <c r="L26" s="30">
        <v>1.5806111696522655E-3</v>
      </c>
      <c r="M26" s="33">
        <f t="shared" si="12"/>
        <v>693.77759637270287</v>
      </c>
      <c r="N26" s="33">
        <f t="shared" si="13"/>
        <v>20452.563541067284</v>
      </c>
      <c r="O26" s="33">
        <f t="shared" si="14"/>
        <v>22631.950230472732</v>
      </c>
      <c r="P26" s="33">
        <f t="shared" si="15"/>
        <v>16029.037586594928</v>
      </c>
      <c r="Q26" s="33">
        <f t="shared" si="16"/>
        <v>6804.5706652234694</v>
      </c>
      <c r="R26" s="33">
        <f t="shared" si="17"/>
        <v>105.45419464865084</v>
      </c>
      <c r="S26" s="31">
        <f>VLOOKUP(B26,'Edu updated'!B$2:J$48,9,FALSE)</f>
        <v>1070</v>
      </c>
      <c r="T26" s="32">
        <f t="shared" si="21"/>
        <v>9.7575210425044911E-3</v>
      </c>
      <c r="U26" s="33">
        <f t="shared" si="19"/>
        <v>1070</v>
      </c>
      <c r="V26" s="41">
        <f t="shared" si="20"/>
        <v>109501.27175974711</v>
      </c>
      <c r="W26" s="41">
        <f t="shared" si="2"/>
        <v>108400.05716950711</v>
      </c>
      <c r="X26" s="41">
        <f t="shared" si="3"/>
        <v>107310.07397869838</v>
      </c>
      <c r="Y26" s="41">
        <f t="shared" si="4"/>
        <v>106231.20763713759</v>
      </c>
      <c r="Z26" s="41">
        <f t="shared" si="5"/>
        <v>105163.34476295038</v>
      </c>
      <c r="AA26" s="41">
        <f t="shared" si="6"/>
        <v>104106.37313065563</v>
      </c>
      <c r="AB26" s="41">
        <f t="shared" si="7"/>
        <v>103060.18165937132</v>
      </c>
      <c r="AC26" s="41">
        <f t="shared" si="8"/>
        <v>102024.66040114059</v>
      </c>
      <c r="AD26">
        <f>VLOOKUP(B26,Migration!A$2:B$193,2,FALSE)</f>
        <v>14668</v>
      </c>
      <c r="AE26">
        <f t="shared" si="9"/>
        <v>0.05</v>
      </c>
      <c r="AF26" t="str">
        <f t="shared" si="10"/>
        <v>Decreased</v>
      </c>
      <c r="AG26" s="49">
        <f t="shared" si="11"/>
        <v>0.13376011088921111</v>
      </c>
    </row>
    <row r="27" spans="1:33" x14ac:dyDescent="0.35">
      <c r="A27" s="19" t="s">
        <v>88</v>
      </c>
      <c r="B27" s="19" t="s">
        <v>26</v>
      </c>
      <c r="C27" s="23" t="s">
        <v>62</v>
      </c>
      <c r="D27" s="20">
        <v>0</v>
      </c>
      <c r="E27" s="20">
        <v>6866</v>
      </c>
      <c r="F27" s="25">
        <v>1235.4801331049025</v>
      </c>
      <c r="G27" s="34">
        <v>3.1079803713894617E-2</v>
      </c>
      <c r="H27" s="34">
        <v>0.33653962637948021</v>
      </c>
      <c r="I27" s="34">
        <v>0.34941395631522804</v>
      </c>
      <c r="J27" s="34">
        <v>0.20169962632044125</v>
      </c>
      <c r="K27" s="34">
        <v>7.3507084647192453E-2</v>
      </c>
      <c r="L27" s="34">
        <v>7.7599026237634297E-3</v>
      </c>
      <c r="M27" s="33">
        <f t="shared" si="12"/>
        <v>2073.5622608613812</v>
      </c>
      <c r="N27" s="33">
        <f t="shared" si="13"/>
        <v>22453.033325718956</v>
      </c>
      <c r="O27" s="33">
        <f t="shared" si="14"/>
        <v>23311.974551165302</v>
      </c>
      <c r="P27" s="33">
        <f t="shared" si="15"/>
        <v>13456.865333449065</v>
      </c>
      <c r="Q27" s="33">
        <f t="shared" si="16"/>
        <v>4904.1981742703019</v>
      </c>
      <c r="R27" s="33">
        <f t="shared" si="17"/>
        <v>517.72016891475857</v>
      </c>
      <c r="S27" s="31">
        <f>VLOOKUP(B27,'Edu updated'!B$2:J$48,9,FALSE)</f>
        <v>376</v>
      </c>
      <c r="T27" s="32">
        <f t="shared" si="21"/>
        <v>0.30433512439821198</v>
      </c>
      <c r="U27" s="33">
        <f t="shared" si="19"/>
        <v>376</v>
      </c>
      <c r="V27" s="41">
        <f t="shared" si="20"/>
        <v>1484.5429275784143</v>
      </c>
      <c r="W27" s="41">
        <f t="shared" si="2"/>
        <v>1732.2804853144246</v>
      </c>
      <c r="X27" s="41">
        <f t="shared" si="3"/>
        <v>1978.196996487756</v>
      </c>
      <c r="Y27" s="41">
        <f t="shared" si="4"/>
        <v>2222.305847080791</v>
      </c>
      <c r="Z27" s="41">
        <f t="shared" si="5"/>
        <v>2464.6203246794589</v>
      </c>
      <c r="AA27" s="41">
        <f t="shared" si="6"/>
        <v>2705.1536191965183</v>
      </c>
      <c r="AB27" s="41">
        <f t="shared" si="7"/>
        <v>2943.9188235895244</v>
      </c>
      <c r="AC27" s="41">
        <f t="shared" si="8"/>
        <v>3180.9289345735183</v>
      </c>
      <c r="AD27">
        <f>VLOOKUP(B27,Migration!A$2:B$193,2,FALSE)</f>
        <v>91</v>
      </c>
      <c r="AE27">
        <f t="shared" si="9"/>
        <v>0.05</v>
      </c>
      <c r="AF27" t="str">
        <f t="shared" si="10"/>
        <v>Increased</v>
      </c>
      <c r="AG27" s="49">
        <f t="shared" si="11"/>
        <v>7.3655575319780023E-2</v>
      </c>
    </row>
    <row r="28" spans="1:33" x14ac:dyDescent="0.35">
      <c r="A28" s="19" t="s">
        <v>89</v>
      </c>
      <c r="B28" s="19" t="s">
        <v>25</v>
      </c>
      <c r="C28" s="23" t="s">
        <v>68</v>
      </c>
      <c r="D28" s="20">
        <v>0</v>
      </c>
      <c r="E28" s="20">
        <v>8488</v>
      </c>
      <c r="F28" s="20">
        <v>4423.7952883834278</v>
      </c>
      <c r="G28" s="34">
        <v>0.16765299086895941</v>
      </c>
      <c r="H28" s="34">
        <v>0.35339731243898659</v>
      </c>
      <c r="I28" s="34">
        <v>0.29951984150713429</v>
      </c>
      <c r="J28" s="34">
        <v>0.1336555241914486</v>
      </c>
      <c r="K28" s="34">
        <v>4.3048783589516915E-2</v>
      </c>
      <c r="L28" s="34">
        <v>2.7255474039542516E-3</v>
      </c>
      <c r="M28" s="33">
        <f t="shared" si="12"/>
        <v>11185.363909843345</v>
      </c>
      <c r="N28" s="33">
        <f t="shared" si="13"/>
        <v>23577.733531042777</v>
      </c>
      <c r="O28" s="33">
        <f t="shared" si="14"/>
        <v>19983.171240258427</v>
      </c>
      <c r="P28" s="33">
        <f t="shared" si="15"/>
        <v>8917.1428967272695</v>
      </c>
      <c r="Q28" s="33">
        <f t="shared" si="16"/>
        <v>2872.1009260204651</v>
      </c>
      <c r="R28" s="33">
        <f t="shared" si="17"/>
        <v>181.84131048748006</v>
      </c>
      <c r="S28" s="31">
        <f>VLOOKUP(B28,'Edu updated'!B$2:J$48,9,FALSE)</f>
        <v>63</v>
      </c>
      <c r="T28" s="32">
        <f t="shared" si="21"/>
        <v>1.4241165310120367E-2</v>
      </c>
      <c r="U28" s="33">
        <f t="shared" si="19"/>
        <v>62.999999999999993</v>
      </c>
      <c r="V28" s="41">
        <f t="shared" si="20"/>
        <v>4171.1380246195495</v>
      </c>
      <c r="W28" s="41">
        <f t="shared" si="2"/>
        <v>3912.5817828051649</v>
      </c>
      <c r="X28" s="41">
        <f t="shared" si="3"/>
        <v>3655.1385941607386</v>
      </c>
      <c r="Y28" s="41">
        <f t="shared" si="4"/>
        <v>3398.8036671277673</v>
      </c>
      <c r="Z28" s="41">
        <f t="shared" si="5"/>
        <v>3143.5722307748238</v>
      </c>
      <c r="AA28" s="41">
        <f t="shared" si="6"/>
        <v>2889.4395347087598</v>
      </c>
      <c r="AB28" s="41">
        <f t="shared" si="7"/>
        <v>2636.4008489862927</v>
      </c>
      <c r="AC28" s="41">
        <f t="shared" si="8"/>
        <v>2384.4514640259699</v>
      </c>
      <c r="AD28">
        <f>VLOOKUP(B28,Migration!A$2:B$193,2,FALSE)</f>
        <v>5694</v>
      </c>
      <c r="AE28">
        <f t="shared" si="9"/>
        <v>0.05</v>
      </c>
      <c r="AF28" t="str">
        <f t="shared" si="10"/>
        <v>Decreased</v>
      </c>
      <c r="AG28" s="49">
        <f t="shared" si="11"/>
        <v>1.28713008374326</v>
      </c>
    </row>
    <row r="29" spans="1:33" x14ac:dyDescent="0.35">
      <c r="A29" s="19" t="s">
        <v>90</v>
      </c>
      <c r="B29" s="19" t="s">
        <v>27</v>
      </c>
      <c r="C29" s="23" t="s">
        <v>68</v>
      </c>
      <c r="D29" s="20">
        <v>3438</v>
      </c>
      <c r="E29" s="20">
        <v>4560</v>
      </c>
      <c r="F29" s="20">
        <v>4560</v>
      </c>
      <c r="G29" s="34">
        <v>0.16765299086895941</v>
      </c>
      <c r="H29" s="34">
        <v>0.35339731243898659</v>
      </c>
      <c r="I29" s="34">
        <v>0.29951984150713429</v>
      </c>
      <c r="J29" s="34">
        <v>0.1336555241914486</v>
      </c>
      <c r="K29" s="34">
        <v>4.3048783589516915E-2</v>
      </c>
      <c r="L29" s="34">
        <v>2.7255474039542516E-3</v>
      </c>
      <c r="M29" s="33">
        <f t="shared" si="12"/>
        <v>11185.363909843345</v>
      </c>
      <c r="N29" s="33">
        <f t="shared" si="13"/>
        <v>23577.733531042777</v>
      </c>
      <c r="O29" s="33">
        <f t="shared" si="14"/>
        <v>19983.171240258427</v>
      </c>
      <c r="P29" s="33">
        <f t="shared" si="15"/>
        <v>8917.1428967272695</v>
      </c>
      <c r="Q29" s="33">
        <f t="shared" si="16"/>
        <v>2872.1009260204651</v>
      </c>
      <c r="R29" s="33">
        <f t="shared" si="17"/>
        <v>181.84131048748006</v>
      </c>
      <c r="S29" s="31">
        <f>VLOOKUP(B29,'Edu updated'!B$2:J$48,9,FALSE)</f>
        <v>2540</v>
      </c>
      <c r="T29" s="32">
        <f t="shared" si="21"/>
        <v>0.55701754385964908</v>
      </c>
      <c r="U29" s="33">
        <f t="shared" si="19"/>
        <v>2540</v>
      </c>
      <c r="V29" s="41">
        <f t="shared" si="20"/>
        <v>6325.4215038379689</v>
      </c>
      <c r="W29" s="41">
        <f t="shared" si="2"/>
        <v>8076.0413336948495</v>
      </c>
      <c r="X29" s="41">
        <f t="shared" si="3"/>
        <v>9819.1249581314278</v>
      </c>
      <c r="Y29" s="41">
        <f t="shared" si="4"/>
        <v>11554.704819595327</v>
      </c>
      <c r="Z29" s="41">
        <f t="shared" si="5"/>
        <v>13282.813220873377</v>
      </c>
      <c r="AA29" s="41">
        <f t="shared" si="6"/>
        <v>15003.482325692843</v>
      </c>
      <c r="AB29" s="41">
        <f t="shared" si="7"/>
        <v>16716.744159320053</v>
      </c>
      <c r="AC29" s="41">
        <f t="shared" si="8"/>
        <v>18422.630609156462</v>
      </c>
      <c r="AD29">
        <f>VLOOKUP(B29,Migration!A$2:B$193,2,FALSE)</f>
        <v>3</v>
      </c>
      <c r="AE29">
        <f t="shared" si="9"/>
        <v>0.05</v>
      </c>
      <c r="AF29" t="str">
        <f t="shared" si="10"/>
        <v>Increased</v>
      </c>
      <c r="AG29" s="49">
        <f t="shared" si="11"/>
        <v>6.5789473684210525E-4</v>
      </c>
    </row>
    <row r="30" spans="1:33" x14ac:dyDescent="0.35">
      <c r="A30" s="19" t="s">
        <v>91</v>
      </c>
      <c r="B30" s="19" t="s">
        <v>32</v>
      </c>
      <c r="C30" s="19" t="s">
        <v>68</v>
      </c>
      <c r="D30" s="20">
        <v>3545</v>
      </c>
      <c r="E30" s="20">
        <v>7957</v>
      </c>
      <c r="F30" s="20">
        <v>9592</v>
      </c>
      <c r="G30" s="30">
        <v>3.2318598832360303E-2</v>
      </c>
      <c r="H30" s="30">
        <v>0.493744787322769</v>
      </c>
      <c r="I30" s="30">
        <v>0.28377814845704752</v>
      </c>
      <c r="J30" s="30">
        <v>0.16816096747289408</v>
      </c>
      <c r="K30" s="30">
        <v>2.1997497914929106E-2</v>
      </c>
      <c r="L30" s="30">
        <v>0</v>
      </c>
      <c r="M30" s="33">
        <f t="shared" si="12"/>
        <v>2156.2113930835831</v>
      </c>
      <c r="N30" s="33">
        <f t="shared" si="13"/>
        <v>32941.345669818867</v>
      </c>
      <c r="O30" s="33">
        <f t="shared" si="14"/>
        <v>18932.927135398426</v>
      </c>
      <c r="P30" s="33">
        <f t="shared" si="15"/>
        <v>11219.25476465748</v>
      </c>
      <c r="Q30" s="33">
        <f t="shared" si="16"/>
        <v>1467.6148514214062</v>
      </c>
      <c r="R30" s="33">
        <f t="shared" si="17"/>
        <v>0</v>
      </c>
      <c r="S30" s="31">
        <f>VLOOKUP(B30,'Edu updated'!B$2:J$48,9,FALSE)</f>
        <v>386</v>
      </c>
      <c r="T30" s="32">
        <f t="shared" si="21"/>
        <v>4.0241868223519599E-2</v>
      </c>
      <c r="U30" s="33">
        <f t="shared" si="19"/>
        <v>386</v>
      </c>
      <c r="V30" s="41">
        <f t="shared" si="20"/>
        <v>9852.2000000000007</v>
      </c>
      <c r="W30" s="41">
        <f t="shared" si="2"/>
        <v>10090.727625104255</v>
      </c>
      <c r="X30" s="41">
        <f t="shared" si="3"/>
        <v>10328.73054911492</v>
      </c>
      <c r="Y30" s="41">
        <f t="shared" si="4"/>
        <v>10566.209926243118</v>
      </c>
      <c r="Z30" s="41">
        <f t="shared" si="5"/>
        <v>10803.166908160994</v>
      </c>
      <c r="AA30" s="41">
        <f t="shared" si="6"/>
        <v>11039.602644007304</v>
      </c>
      <c r="AB30" s="41">
        <f t="shared" si="7"/>
        <v>11275.518280392984</v>
      </c>
      <c r="AC30" s="41">
        <f t="shared" si="8"/>
        <v>11510.914961406716</v>
      </c>
      <c r="AD30">
        <f>VLOOKUP(B30,Migration!A$2:B$193,2,FALSE)</f>
        <v>200</v>
      </c>
      <c r="AE30">
        <f t="shared" si="9"/>
        <v>0.05</v>
      </c>
      <c r="AF30" t="str">
        <f t="shared" si="10"/>
        <v>Increased</v>
      </c>
      <c r="AG30" s="49">
        <f t="shared" si="11"/>
        <v>2.0850708924103418E-2</v>
      </c>
    </row>
    <row r="31" spans="1:33" x14ac:dyDescent="0.35">
      <c r="A31" s="19" t="s">
        <v>92</v>
      </c>
      <c r="B31" s="19" t="s">
        <v>28</v>
      </c>
      <c r="C31" s="23" t="s">
        <v>68</v>
      </c>
      <c r="D31" s="20">
        <v>4257</v>
      </c>
      <c r="E31" s="20">
        <v>5225</v>
      </c>
      <c r="F31" s="20">
        <v>6327</v>
      </c>
      <c r="G31" s="34">
        <v>0.16765299086895941</v>
      </c>
      <c r="H31" s="34">
        <v>0.35339731243898659</v>
      </c>
      <c r="I31" s="34">
        <v>0.29951984150713429</v>
      </c>
      <c r="J31" s="34">
        <v>0.1336555241914486</v>
      </c>
      <c r="K31" s="34">
        <v>4.3048783589516915E-2</v>
      </c>
      <c r="L31" s="34">
        <v>2.7255474039542516E-3</v>
      </c>
      <c r="M31" s="33">
        <f t="shared" si="12"/>
        <v>11185.363909843345</v>
      </c>
      <c r="N31" s="33">
        <f t="shared" si="13"/>
        <v>23577.733531042777</v>
      </c>
      <c r="O31" s="33">
        <f t="shared" si="14"/>
        <v>19983.171240258427</v>
      </c>
      <c r="P31" s="33">
        <f t="shared" si="15"/>
        <v>8917.1428967272695</v>
      </c>
      <c r="Q31" s="33">
        <f t="shared" si="16"/>
        <v>2872.1009260204651</v>
      </c>
      <c r="R31" s="33">
        <f t="shared" si="17"/>
        <v>181.84131048748006</v>
      </c>
      <c r="S31" s="31">
        <f>VLOOKUP(B31,'Edu updated'!B$2:J$48,9,FALSE)</f>
        <v>0</v>
      </c>
      <c r="T31" s="32">
        <v>0.16200000000000001</v>
      </c>
      <c r="U31" s="33">
        <f t="shared" si="19"/>
        <v>1024.9739999999999</v>
      </c>
      <c r="V31" s="41">
        <f t="shared" si="20"/>
        <v>7024.6372615751807</v>
      </c>
      <c r="W31" s="41">
        <f t="shared" si="2"/>
        <v>7709.2788526483391</v>
      </c>
      <c r="X31" s="41">
        <f t="shared" si="3"/>
        <v>8390.9731449524497</v>
      </c>
      <c r="Y31" s="41">
        <f t="shared" si="4"/>
        <v>9069.7328262501978</v>
      </c>
      <c r="Z31" s="41">
        <f t="shared" si="5"/>
        <v>9745.5705296849992</v>
      </c>
      <c r="AA31" s="41">
        <f t="shared" si="6"/>
        <v>10418.49883401612</v>
      </c>
      <c r="AB31" s="41">
        <f t="shared" si="7"/>
        <v>11088.530263852799</v>
      </c>
      <c r="AC31" s="41">
        <f t="shared" si="8"/>
        <v>11755.677289887359</v>
      </c>
      <c r="AD31">
        <f>VLOOKUP(B31,Migration!A$2:B$193,2,FALSE)</f>
        <v>52</v>
      </c>
      <c r="AE31">
        <f t="shared" si="9"/>
        <v>0.05</v>
      </c>
      <c r="AF31" t="str">
        <f t="shared" si="10"/>
        <v>Increased</v>
      </c>
      <c r="AG31" s="49">
        <f t="shared" si="11"/>
        <v>8.2187450608503243E-3</v>
      </c>
    </row>
    <row r="32" spans="1:33" x14ac:dyDescent="0.35">
      <c r="A32" s="19" t="s">
        <v>93</v>
      </c>
      <c r="B32" s="19" t="s">
        <v>30</v>
      </c>
      <c r="C32" s="23" t="s">
        <v>62</v>
      </c>
      <c r="D32" s="20">
        <v>3846</v>
      </c>
      <c r="E32" s="20">
        <v>4066</v>
      </c>
      <c r="F32" s="20">
        <v>6503</v>
      </c>
      <c r="G32" s="34">
        <v>3.1079803713894617E-2</v>
      </c>
      <c r="H32" s="34">
        <v>0.33653962637948021</v>
      </c>
      <c r="I32" s="34">
        <v>0.34941395631522804</v>
      </c>
      <c r="J32" s="34">
        <v>0.20169962632044125</v>
      </c>
      <c r="K32" s="34">
        <v>7.3507084647192453E-2</v>
      </c>
      <c r="L32" s="34">
        <v>7.7599026237634297E-3</v>
      </c>
      <c r="M32" s="33">
        <f t="shared" si="12"/>
        <v>2073.5622608613812</v>
      </c>
      <c r="N32" s="33">
        <f t="shared" si="13"/>
        <v>22453.033325718956</v>
      </c>
      <c r="O32" s="33">
        <f t="shared" si="14"/>
        <v>23311.974551165302</v>
      </c>
      <c r="P32" s="33">
        <f t="shared" si="15"/>
        <v>13456.865333449065</v>
      </c>
      <c r="Q32" s="33">
        <f t="shared" si="16"/>
        <v>4904.1981742703019</v>
      </c>
      <c r="R32" s="33">
        <f t="shared" si="17"/>
        <v>517.72016891475857</v>
      </c>
      <c r="S32" s="31">
        <f>VLOOKUP(B32,'Edu updated'!B$2:J$48,9,FALSE)</f>
        <v>113</v>
      </c>
      <c r="T32" s="32">
        <f t="shared" si="21"/>
        <v>1.7376595417499616E-2</v>
      </c>
      <c r="U32" s="33">
        <f t="shared" si="19"/>
        <v>113</v>
      </c>
      <c r="V32" s="41">
        <f t="shared" si="20"/>
        <v>6531.0373532376661</v>
      </c>
      <c r="W32" s="41">
        <f t="shared" si="2"/>
        <v>6561.5296016818247</v>
      </c>
      <c r="X32" s="41">
        <f t="shared" si="3"/>
        <v>6591.7977104972369</v>
      </c>
      <c r="Y32" s="41">
        <f t="shared" si="4"/>
        <v>6621.8433272689681</v>
      </c>
      <c r="Z32" s="41">
        <f t="shared" si="5"/>
        <v>6651.6680874711674</v>
      </c>
      <c r="AA32" s="41">
        <f t="shared" si="6"/>
        <v>6681.2736145560903</v>
      </c>
      <c r="AB32" s="41">
        <f t="shared" si="7"/>
        <v>6710.6615200424676</v>
      </c>
      <c r="AC32" s="41">
        <f t="shared" si="8"/>
        <v>6739.8334036032256</v>
      </c>
      <c r="AD32">
        <f>VLOOKUP(B32,Migration!A$2:B$193,2,FALSE)</f>
        <v>12</v>
      </c>
      <c r="AE32">
        <f t="shared" si="9"/>
        <v>0.05</v>
      </c>
      <c r="AF32" t="str">
        <f t="shared" si="10"/>
        <v>Increased</v>
      </c>
      <c r="AG32" s="49">
        <f t="shared" si="11"/>
        <v>1.8453021682300476E-3</v>
      </c>
    </row>
    <row r="33" spans="1:33" x14ac:dyDescent="0.35">
      <c r="A33" s="19" t="s">
        <v>94</v>
      </c>
      <c r="B33" s="19" t="s">
        <v>31</v>
      </c>
      <c r="C33" s="23" t="s">
        <v>66</v>
      </c>
      <c r="D33" s="20">
        <v>3963</v>
      </c>
      <c r="E33" s="20">
        <v>4986</v>
      </c>
      <c r="F33" s="20">
        <v>4598.8787431180344</v>
      </c>
      <c r="G33" s="34">
        <v>1.8679111475270328E-2</v>
      </c>
      <c r="H33" s="34">
        <v>0.24613491771786639</v>
      </c>
      <c r="I33" s="34">
        <v>0.31712615934178301</v>
      </c>
      <c r="J33" s="34">
        <v>0.24329284860264971</v>
      </c>
      <c r="K33" s="34">
        <v>0.13924057054727651</v>
      </c>
      <c r="L33" s="34">
        <v>3.5526392315154053E-2</v>
      </c>
      <c r="M33" s="33">
        <f t="shared" si="12"/>
        <v>1246.2208892338517</v>
      </c>
      <c r="N33" s="33">
        <f t="shared" si="13"/>
        <v>16421.470391456143</v>
      </c>
      <c r="O33" s="33">
        <f t="shared" si="14"/>
        <v>21157.818176601111</v>
      </c>
      <c r="P33" s="33">
        <f t="shared" si="15"/>
        <v>16231.85506073131</v>
      </c>
      <c r="Q33" s="33">
        <f t="shared" si="16"/>
        <v>9289.7624105187533</v>
      </c>
      <c r="R33" s="33">
        <f t="shared" si="17"/>
        <v>2370.2268858385951</v>
      </c>
      <c r="S33" s="31">
        <f>VLOOKUP(B33,'Edu updated'!B$2:J$48,9,FALSE)</f>
        <v>175</v>
      </c>
      <c r="T33" s="32">
        <f t="shared" si="21"/>
        <v>3.8052753676508157E-2</v>
      </c>
      <c r="U33" s="33">
        <f t="shared" si="19"/>
        <v>175</v>
      </c>
      <c r="V33" s="41">
        <f t="shared" si="20"/>
        <v>4534.2471726802005</v>
      </c>
      <c r="W33" s="41">
        <f t="shared" si="2"/>
        <v>4569.8620563475642</v>
      </c>
      <c r="X33" s="41">
        <f t="shared" si="3"/>
        <v>4604.9810363427459</v>
      </c>
      <c r="Y33" s="41">
        <f t="shared" si="4"/>
        <v>4639.6110176567709</v>
      </c>
      <c r="Z33" s="41">
        <f t="shared" si="5"/>
        <v>4673.7588091351745</v>
      </c>
      <c r="AA33" s="41">
        <f t="shared" si="6"/>
        <v>4707.4311248167405</v>
      </c>
      <c r="AB33" s="41">
        <f t="shared" si="7"/>
        <v>4740.6345852535915</v>
      </c>
      <c r="AC33" s="41">
        <f t="shared" si="8"/>
        <v>4773.3757188129057</v>
      </c>
      <c r="AD33">
        <f>VLOOKUP(B33,Migration!A$2:B$193,2,FALSE)</f>
        <v>475</v>
      </c>
      <c r="AE33">
        <f t="shared" si="9"/>
        <v>0.05</v>
      </c>
      <c r="AF33" t="str">
        <f t="shared" si="10"/>
        <v>Increased</v>
      </c>
      <c r="AG33" s="49">
        <f t="shared" si="11"/>
        <v>0.10328604569337929</v>
      </c>
    </row>
    <row r="34" spans="1:33" x14ac:dyDescent="0.35">
      <c r="A34" s="19" t="s">
        <v>95</v>
      </c>
      <c r="B34" s="19" t="s">
        <v>29</v>
      </c>
      <c r="C34" s="19" t="s">
        <v>68</v>
      </c>
      <c r="D34" s="20">
        <v>6432</v>
      </c>
      <c r="E34" s="20">
        <v>8153</v>
      </c>
      <c r="F34" s="20">
        <v>17168</v>
      </c>
      <c r="G34" s="34">
        <v>0.16765299086895941</v>
      </c>
      <c r="H34" s="34">
        <v>0.35339731243898659</v>
      </c>
      <c r="I34" s="34">
        <v>0.29951984150713429</v>
      </c>
      <c r="J34" s="34">
        <v>0.1336555241914486</v>
      </c>
      <c r="K34" s="34">
        <v>4.3048783589516915E-2</v>
      </c>
      <c r="L34" s="34">
        <v>2.7255474039542516E-3</v>
      </c>
      <c r="M34" s="33">
        <f t="shared" si="12"/>
        <v>11185.363909843345</v>
      </c>
      <c r="N34" s="33">
        <f t="shared" si="13"/>
        <v>23577.733531042777</v>
      </c>
      <c r="O34" s="33">
        <f t="shared" si="14"/>
        <v>19983.171240258427</v>
      </c>
      <c r="P34" s="33">
        <f t="shared" si="15"/>
        <v>8917.1428967272695</v>
      </c>
      <c r="Q34" s="33">
        <f t="shared" si="16"/>
        <v>2872.1009260204651</v>
      </c>
      <c r="R34" s="33">
        <f t="shared" si="17"/>
        <v>181.84131048748006</v>
      </c>
      <c r="S34" s="31">
        <f>VLOOKUP(B34,'Edu updated'!B$2:J$48,9,FALSE)</f>
        <v>580</v>
      </c>
      <c r="T34" s="32">
        <f t="shared" si="21"/>
        <v>3.3783783783783786E-2</v>
      </c>
      <c r="U34" s="33">
        <f t="shared" si="19"/>
        <v>580</v>
      </c>
      <c r="V34" s="41">
        <f t="shared" si="20"/>
        <v>17525.707802168912</v>
      </c>
      <c r="W34" s="41">
        <f t="shared" si="2"/>
        <v>17854.761761926045</v>
      </c>
      <c r="X34" s="41">
        <f t="shared" si="3"/>
        <v>18182.399184412894</v>
      </c>
      <c r="Y34" s="41">
        <f t="shared" si="4"/>
        <v>18508.626167650094</v>
      </c>
      <c r="Z34" s="41">
        <f t="shared" si="5"/>
        <v>18833.44878340705</v>
      </c>
      <c r="AA34" s="41">
        <f t="shared" si="6"/>
        <v>19156.873077314936</v>
      </c>
      <c r="AB34" s="41">
        <f t="shared" si="7"/>
        <v>19478.90506897922</v>
      </c>
      <c r="AC34" s="41">
        <f t="shared" si="8"/>
        <v>19799.550752091698</v>
      </c>
      <c r="AD34">
        <f>VLOOKUP(B34,Migration!A$2:B$193,2,FALSE)</f>
        <v>30</v>
      </c>
      <c r="AE34">
        <f t="shared" si="9"/>
        <v>0.05</v>
      </c>
      <c r="AF34" t="str">
        <f t="shared" si="10"/>
        <v>Increased</v>
      </c>
      <c r="AG34" s="49">
        <f t="shared" si="11"/>
        <v>1.7474370922646784E-3</v>
      </c>
    </row>
    <row r="35" spans="1:33" x14ac:dyDescent="0.35">
      <c r="A35" s="19" t="s">
        <v>96</v>
      </c>
      <c r="B35" s="19" t="s">
        <v>33</v>
      </c>
      <c r="C35" s="23" t="s">
        <v>66</v>
      </c>
      <c r="D35" s="20">
        <v>4110</v>
      </c>
      <c r="E35" s="20">
        <v>12956</v>
      </c>
      <c r="F35" s="20">
        <v>15558.321723868956</v>
      </c>
      <c r="G35" s="34">
        <v>1.8679111475270328E-2</v>
      </c>
      <c r="H35" s="34">
        <v>0.24613491771786639</v>
      </c>
      <c r="I35" s="34">
        <v>0.31712615934178301</v>
      </c>
      <c r="J35" s="34">
        <v>0.24329284860264971</v>
      </c>
      <c r="K35" s="34">
        <v>0.13924057054727651</v>
      </c>
      <c r="L35" s="34">
        <v>3.5526392315154053E-2</v>
      </c>
      <c r="M35" s="33">
        <f t="shared" si="12"/>
        <v>1246.2208892338517</v>
      </c>
      <c r="N35" s="33">
        <f t="shared" si="13"/>
        <v>16421.470391456143</v>
      </c>
      <c r="O35" s="33">
        <f t="shared" si="14"/>
        <v>21157.818176601111</v>
      </c>
      <c r="P35" s="33">
        <f t="shared" si="15"/>
        <v>16231.85506073131</v>
      </c>
      <c r="Q35" s="33">
        <f t="shared" si="16"/>
        <v>9289.7624105187533</v>
      </c>
      <c r="R35" s="33">
        <f t="shared" si="17"/>
        <v>2370.2268858385951</v>
      </c>
      <c r="S35" s="31">
        <f>VLOOKUP(B35,'Edu updated'!B$2:J$48,9,FALSE)</f>
        <v>200</v>
      </c>
      <c r="T35" s="32">
        <f t="shared" si="21"/>
        <v>1.2854856940846517E-2</v>
      </c>
      <c r="U35" s="33">
        <f t="shared" si="19"/>
        <v>200</v>
      </c>
      <c r="V35" s="41">
        <f t="shared" si="20"/>
        <v>15142.090682541402</v>
      </c>
      <c r="W35" s="41">
        <f t="shared" si="2"/>
        <v>15067.751347949836</v>
      </c>
      <c r="X35" s="41">
        <f t="shared" si="3"/>
        <v>14994.447118494532</v>
      </c>
      <c r="Y35" s="41">
        <f t="shared" si="4"/>
        <v>14922.163581312518</v>
      </c>
      <c r="Z35" s="41">
        <f t="shared" si="5"/>
        <v>14850.886524226344</v>
      </c>
      <c r="AA35" s="41">
        <f t="shared" si="6"/>
        <v>14780.60193294973</v>
      </c>
      <c r="AB35" s="41">
        <f t="shared" si="7"/>
        <v>14711.29598833212</v>
      </c>
      <c r="AC35" s="41">
        <f t="shared" si="8"/>
        <v>14642.955063641597</v>
      </c>
      <c r="AD35">
        <f>VLOOKUP(B35,Migration!A$2:B$193,2,FALSE)</f>
        <v>70</v>
      </c>
      <c r="AE35">
        <f t="shared" si="9"/>
        <v>0.05</v>
      </c>
      <c r="AF35" t="str">
        <f t="shared" si="10"/>
        <v>Decreased</v>
      </c>
      <c r="AG35" s="49">
        <f t="shared" si="11"/>
        <v>4.4991999292962812E-3</v>
      </c>
    </row>
    <row r="36" spans="1:33" x14ac:dyDescent="0.35">
      <c r="A36" s="19" t="s">
        <v>97</v>
      </c>
      <c r="B36" s="19" t="s">
        <v>34</v>
      </c>
      <c r="C36" s="23" t="s">
        <v>68</v>
      </c>
      <c r="D36" s="20">
        <v>3533</v>
      </c>
      <c r="E36" s="20">
        <v>4107</v>
      </c>
      <c r="F36" s="20">
        <v>4565</v>
      </c>
      <c r="G36" s="34">
        <v>0.16765299086895941</v>
      </c>
      <c r="H36" s="34">
        <v>0.35339731243898659</v>
      </c>
      <c r="I36" s="34">
        <v>0.29951984150713429</v>
      </c>
      <c r="J36" s="34">
        <v>0.1336555241914486</v>
      </c>
      <c r="K36" s="34">
        <v>4.3048783589516915E-2</v>
      </c>
      <c r="L36" s="34">
        <v>2.7255474039542516E-3</v>
      </c>
      <c r="M36" s="33">
        <f t="shared" si="12"/>
        <v>11185.363909843345</v>
      </c>
      <c r="N36" s="33">
        <f t="shared" si="13"/>
        <v>23577.733531042777</v>
      </c>
      <c r="O36" s="33">
        <f t="shared" si="14"/>
        <v>19983.171240258427</v>
      </c>
      <c r="P36" s="33">
        <f t="shared" si="15"/>
        <v>8917.1428967272695</v>
      </c>
      <c r="Q36" s="33">
        <f t="shared" si="16"/>
        <v>2872.1009260204651</v>
      </c>
      <c r="R36" s="33">
        <f t="shared" si="17"/>
        <v>181.84131048748006</v>
      </c>
      <c r="S36" s="31">
        <f>VLOOKUP(B36,'Edu updated'!B$2:J$48,9,FALSE)</f>
        <v>305</v>
      </c>
      <c r="T36" s="32">
        <f t="shared" si="21"/>
        <v>6.6812705366922229E-2</v>
      </c>
      <c r="U36" s="33">
        <f t="shared" si="19"/>
        <v>305</v>
      </c>
      <c r="V36" s="41">
        <f t="shared" si="20"/>
        <v>4762.4578761009489</v>
      </c>
      <c r="W36" s="41">
        <f t="shared" si="2"/>
        <v>4951.8560742547024</v>
      </c>
      <c r="X36" s="41">
        <f t="shared" si="3"/>
        <v>5140.4389362040001</v>
      </c>
      <c r="Y36" s="41">
        <f t="shared" si="4"/>
        <v>5328.2099718720228</v>
      </c>
      <c r="Z36" s="41">
        <f t="shared" si="5"/>
        <v>5515.1726760721604</v>
      </c>
      <c r="AA36" s="41">
        <f t="shared" si="6"/>
        <v>5701.3305285730557</v>
      </c>
      <c r="AB36" s="41">
        <f t="shared" si="7"/>
        <v>5886.6869941633704</v>
      </c>
      <c r="AC36" s="41">
        <f t="shared" si="8"/>
        <v>6071.2455227162736</v>
      </c>
      <c r="AD36">
        <f>VLOOKUP(B36,Migration!A$2:B$193,2,FALSE)</f>
        <v>72</v>
      </c>
      <c r="AE36">
        <f t="shared" si="9"/>
        <v>0.05</v>
      </c>
      <c r="AF36" t="str">
        <f t="shared" si="10"/>
        <v>Increased</v>
      </c>
      <c r="AG36" s="49">
        <f t="shared" si="11"/>
        <v>1.5772179627601315E-2</v>
      </c>
    </row>
    <row r="37" spans="1:33" x14ac:dyDescent="0.35">
      <c r="A37" s="19" t="s">
        <v>98</v>
      </c>
      <c r="B37" s="19" t="s">
        <v>35</v>
      </c>
      <c r="C37" s="19" t="s">
        <v>62</v>
      </c>
      <c r="D37" s="20">
        <v>74920</v>
      </c>
      <c r="E37" s="20">
        <v>180709</v>
      </c>
      <c r="F37" s="20">
        <v>220681</v>
      </c>
      <c r="G37" s="30">
        <v>3.085769767251046E-2</v>
      </c>
      <c r="H37" s="30">
        <v>0.36394374094029486</v>
      </c>
      <c r="I37" s="30">
        <v>0.30764365615512951</v>
      </c>
      <c r="J37" s="30">
        <v>0.18093085906517517</v>
      </c>
      <c r="K37" s="30">
        <v>0.10857971173043787</v>
      </c>
      <c r="L37" s="30">
        <v>8.0443344364521507E-3</v>
      </c>
      <c r="M37" s="33">
        <f t="shared" si="12"/>
        <v>2058.7439335140434</v>
      </c>
      <c r="N37" s="33">
        <f t="shared" si="13"/>
        <v>24281.363332842622</v>
      </c>
      <c r="O37" s="33">
        <f t="shared" si="14"/>
        <v>20525.170656451166</v>
      </c>
      <c r="P37" s="33">
        <f t="shared" si="15"/>
        <v>12071.228140190971</v>
      </c>
      <c r="Q37" s="33">
        <f t="shared" si="16"/>
        <v>7244.1510445829845</v>
      </c>
      <c r="R37" s="33">
        <f t="shared" si="17"/>
        <v>536.69670679797741</v>
      </c>
      <c r="S37" s="31">
        <f>VLOOKUP(B37,'Edu updated'!B$2:J$48,9,FALSE)</f>
        <v>12835</v>
      </c>
      <c r="T37" s="32">
        <f t="shared" si="21"/>
        <v>5.8160874746806479E-2</v>
      </c>
      <c r="U37" s="33">
        <f t="shared" si="19"/>
        <v>12835</v>
      </c>
      <c r="V37" s="41">
        <f t="shared" si="20"/>
        <v>225845.26823222931</v>
      </c>
      <c r="W37" s="41">
        <f t="shared" si="2"/>
        <v>230332.54682019542</v>
      </c>
      <c r="X37" s="41">
        <f t="shared" si="3"/>
        <v>234771.10266660797</v>
      </c>
      <c r="Y37" s="41">
        <f t="shared" si="4"/>
        <v>239161.46480159025</v>
      </c>
      <c r="Z37" s="41">
        <f t="shared" si="5"/>
        <v>243504.15651107166</v>
      </c>
      <c r="AA37" s="41">
        <f t="shared" si="6"/>
        <v>247799.69539915811</v>
      </c>
      <c r="AB37" s="41">
        <f t="shared" si="7"/>
        <v>252048.59344982501</v>
      </c>
      <c r="AC37" s="41">
        <f t="shared" si="8"/>
        <v>256251.35708794059</v>
      </c>
      <c r="AD37">
        <f>VLOOKUP(B37,Migration!A$2:B$193,2,FALSE)</f>
        <v>40900</v>
      </c>
      <c r="AE37">
        <f t="shared" si="9"/>
        <v>0.05</v>
      </c>
      <c r="AF37" t="str">
        <f t="shared" si="10"/>
        <v>Increased</v>
      </c>
      <c r="AG37" s="49">
        <f t="shared" si="11"/>
        <v>0.18533539362246862</v>
      </c>
    </row>
    <row r="38" spans="1:33" x14ac:dyDescent="0.35">
      <c r="A38" s="19" t="s">
        <v>99</v>
      </c>
      <c r="B38" s="19" t="s">
        <v>36</v>
      </c>
      <c r="C38" s="23" t="s">
        <v>68</v>
      </c>
      <c r="D38" s="20">
        <v>9625</v>
      </c>
      <c r="E38" s="20">
        <v>13345</v>
      </c>
      <c r="F38" s="20">
        <v>13501.239749316621</v>
      </c>
      <c r="G38" s="34">
        <v>0.16765299086895941</v>
      </c>
      <c r="H38" s="34">
        <v>0.35339731243898659</v>
      </c>
      <c r="I38" s="34">
        <v>0.29951984150713429</v>
      </c>
      <c r="J38" s="34">
        <v>0.1336555241914486</v>
      </c>
      <c r="K38" s="34">
        <v>4.3048783589516915E-2</v>
      </c>
      <c r="L38" s="34">
        <v>2.7255474039542516E-3</v>
      </c>
      <c r="M38" s="33">
        <f t="shared" si="12"/>
        <v>11185.363909843345</v>
      </c>
      <c r="N38" s="33">
        <f t="shared" si="13"/>
        <v>23577.733531042777</v>
      </c>
      <c r="O38" s="33">
        <f t="shared" si="14"/>
        <v>19983.171240258427</v>
      </c>
      <c r="P38" s="33">
        <f t="shared" si="15"/>
        <v>8917.1428967272695</v>
      </c>
      <c r="Q38" s="33">
        <f t="shared" si="16"/>
        <v>2872.1009260204651</v>
      </c>
      <c r="R38" s="33">
        <f t="shared" si="17"/>
        <v>181.84131048748006</v>
      </c>
      <c r="S38" s="31">
        <f>VLOOKUP(B38,'Edu updated'!B$2:J$48,9,FALSE)</f>
        <v>355</v>
      </c>
      <c r="T38" s="32">
        <f t="shared" si="21"/>
        <v>2.6293881642829777E-2</v>
      </c>
      <c r="U38" s="33">
        <f t="shared" si="19"/>
        <v>355</v>
      </c>
      <c r="V38" s="41">
        <f t="shared" si="20"/>
        <v>13708.741480367706</v>
      </c>
      <c r="W38" s="41">
        <f t="shared" si="2"/>
        <v>13894.027015840407</v>
      </c>
      <c r="X38" s="41">
        <f t="shared" si="3"/>
        <v>14078.514919621226</v>
      </c>
      <c r="Y38" s="41">
        <f t="shared" si="4"/>
        <v>14262.20862541757</v>
      </c>
      <c r="Z38" s="41">
        <f t="shared" si="5"/>
        <v>14445.111552155156</v>
      </c>
      <c r="AA38" s="41">
        <f t="shared" si="6"/>
        <v>14627.22710404164</v>
      </c>
      <c r="AB38" s="41">
        <f t="shared" si="7"/>
        <v>14808.55867062998</v>
      </c>
      <c r="AC38" s="41">
        <f t="shared" si="8"/>
        <v>14989.109626881518</v>
      </c>
      <c r="AD38">
        <f>VLOOKUP(B38,Migration!A$2:B$193,2,FALSE)</f>
        <v>84</v>
      </c>
      <c r="AE38">
        <f t="shared" si="9"/>
        <v>0.05</v>
      </c>
      <c r="AF38" t="str">
        <f t="shared" si="10"/>
        <v>Increased</v>
      </c>
      <c r="AG38" s="49">
        <f t="shared" si="11"/>
        <v>6.2216508675991588E-3</v>
      </c>
    </row>
    <row r="39" spans="1:33" x14ac:dyDescent="0.35">
      <c r="A39" s="19" t="s">
        <v>100</v>
      </c>
      <c r="B39" s="19" t="s">
        <v>40</v>
      </c>
      <c r="C39" s="23" t="s">
        <v>62</v>
      </c>
      <c r="D39" s="20">
        <v>442</v>
      </c>
      <c r="E39" s="20">
        <v>406</v>
      </c>
      <c r="F39" s="20">
        <v>440</v>
      </c>
      <c r="G39" s="34">
        <v>3.1079803713894617E-2</v>
      </c>
      <c r="H39" s="34">
        <v>0.33653962637948021</v>
      </c>
      <c r="I39" s="34">
        <v>0.34941395631522804</v>
      </c>
      <c r="J39" s="34">
        <v>0.20169962632044125</v>
      </c>
      <c r="K39" s="34">
        <v>7.3507084647192453E-2</v>
      </c>
      <c r="L39" s="34">
        <v>7.7599026237634297E-3</v>
      </c>
      <c r="M39" s="33">
        <f t="shared" si="12"/>
        <v>2073.5622608613812</v>
      </c>
      <c r="N39" s="33">
        <f t="shared" si="13"/>
        <v>22453.033325718956</v>
      </c>
      <c r="O39" s="33">
        <f t="shared" si="14"/>
        <v>23311.974551165302</v>
      </c>
      <c r="P39" s="33">
        <f t="shared" si="15"/>
        <v>13456.865333449065</v>
      </c>
      <c r="Q39" s="33">
        <f t="shared" si="16"/>
        <v>4904.1981742703019</v>
      </c>
      <c r="R39" s="33">
        <f t="shared" si="17"/>
        <v>517.72016891475857</v>
      </c>
      <c r="S39" s="31">
        <f>VLOOKUP(B39,'Edu updated'!B$2:J$48,9,FALSE)</f>
        <v>0</v>
      </c>
      <c r="T39" s="32">
        <v>8.1100000000000005E-2</v>
      </c>
      <c r="U39" s="33">
        <f t="shared" si="19"/>
        <v>35.684000000000005</v>
      </c>
      <c r="V39" s="41">
        <f t="shared" si="20"/>
        <v>461.51444284554407</v>
      </c>
      <c r="W39" s="41">
        <f t="shared" si="2"/>
        <v>483.05078472392916</v>
      </c>
      <c r="X39" s="41">
        <f t="shared" si="3"/>
        <v>504.42881923176969</v>
      </c>
      <c r="Y39" s="41">
        <f t="shared" si="4"/>
        <v>525.64971004039444</v>
      </c>
      <c r="Z39" s="41">
        <f t="shared" si="5"/>
        <v>546.71461226732333</v>
      </c>
      <c r="AA39" s="41">
        <f t="shared" si="6"/>
        <v>567.62467253914429</v>
      </c>
      <c r="AB39" s="41">
        <f t="shared" si="7"/>
        <v>588.38102905392736</v>
      </c>
      <c r="AC39" s="41">
        <f t="shared" si="8"/>
        <v>608.98481164318048</v>
      </c>
      <c r="AD39">
        <f>VLOOKUP(B39,Migration!A$2:B$193,2,FALSE)</f>
        <v>1</v>
      </c>
      <c r="AE39">
        <f t="shared" si="9"/>
        <v>0.05</v>
      </c>
      <c r="AF39" t="str">
        <f t="shared" si="10"/>
        <v>Increased</v>
      </c>
      <c r="AG39" s="49">
        <f t="shared" si="11"/>
        <v>2.2727272727272726E-3</v>
      </c>
    </row>
    <row r="40" spans="1:33" x14ac:dyDescent="0.35">
      <c r="A40" s="19" t="s">
        <v>101</v>
      </c>
      <c r="B40" s="19" t="s">
        <v>37</v>
      </c>
      <c r="C40" s="19" t="s">
        <v>62</v>
      </c>
      <c r="D40" s="20">
        <v>1682</v>
      </c>
      <c r="E40" s="20">
        <v>4577</v>
      </c>
      <c r="F40" s="20">
        <v>4737</v>
      </c>
      <c r="G40" s="30">
        <v>3.1665611146295125E-3</v>
      </c>
      <c r="H40" s="30">
        <v>0.23495883470550982</v>
      </c>
      <c r="I40" s="30">
        <v>0.56322567025543591</v>
      </c>
      <c r="J40" s="30">
        <v>0.14967278868482162</v>
      </c>
      <c r="K40" s="30">
        <v>4.2854127084652735E-2</v>
      </c>
      <c r="L40" s="30">
        <v>6.122018154950391E-3</v>
      </c>
      <c r="M40" s="33">
        <f t="shared" si="12"/>
        <v>211.26457825959395</v>
      </c>
      <c r="N40" s="33">
        <f t="shared" si="13"/>
        <v>15675.831706861871</v>
      </c>
      <c r="O40" s="33">
        <f t="shared" si="14"/>
        <v>37576.926319773105</v>
      </c>
      <c r="P40" s="33">
        <f t="shared" si="15"/>
        <v>9985.7723990701397</v>
      </c>
      <c r="Q40" s="33">
        <f t="shared" si="16"/>
        <v>2859.1139591131714</v>
      </c>
      <c r="R40" s="33">
        <f t="shared" si="17"/>
        <v>408.44485130188161</v>
      </c>
      <c r="S40" s="31">
        <f>VLOOKUP(B40,'Edu updated'!B$2:J$48,9,FALSE)</f>
        <v>582</v>
      </c>
      <c r="T40" s="32">
        <f t="shared" si="21"/>
        <v>0.12286257124762508</v>
      </c>
      <c r="U40" s="33">
        <f t="shared" si="19"/>
        <v>582</v>
      </c>
      <c r="V40" s="41">
        <f t="shared" si="20"/>
        <v>5090.45</v>
      </c>
      <c r="W40" s="41">
        <f t="shared" si="2"/>
        <v>5451.0853208781928</v>
      </c>
      <c r="X40" s="41">
        <f t="shared" si="3"/>
        <v>5810.1751705691722</v>
      </c>
      <c r="Y40" s="41">
        <f t="shared" si="4"/>
        <v>6167.7261720548058</v>
      </c>
      <c r="Z40" s="41">
        <f t="shared" si="5"/>
        <v>6523.7449199347484</v>
      </c>
      <c r="AA40" s="41">
        <f t="shared" si="6"/>
        <v>6878.2379805480741</v>
      </c>
      <c r="AB40" s="41">
        <f t="shared" si="7"/>
        <v>7231.2118920943849</v>
      </c>
      <c r="AC40" s="41">
        <f t="shared" si="8"/>
        <v>7582.6731647543984</v>
      </c>
      <c r="AD40">
        <f>VLOOKUP(B40,Migration!A$2:B$193,2,FALSE)</f>
        <v>499</v>
      </c>
      <c r="AE40">
        <f t="shared" si="9"/>
        <v>0.05</v>
      </c>
      <c r="AF40" t="str">
        <f t="shared" si="10"/>
        <v>Increased</v>
      </c>
      <c r="AG40" s="49">
        <f t="shared" si="11"/>
        <v>0.10534093308000844</v>
      </c>
    </row>
    <row r="41" spans="1:33" x14ac:dyDescent="0.35">
      <c r="A41" s="19" t="s">
        <v>102</v>
      </c>
      <c r="B41" s="19" t="s">
        <v>42</v>
      </c>
      <c r="C41" s="19" t="s">
        <v>66</v>
      </c>
      <c r="D41" s="20">
        <v>419</v>
      </c>
      <c r="E41" s="20">
        <v>1272</v>
      </c>
      <c r="F41" s="20">
        <v>1277</v>
      </c>
      <c r="G41" s="30">
        <v>4.4350580781414996E-2</v>
      </c>
      <c r="H41" s="30">
        <v>0.27032734952481519</v>
      </c>
      <c r="I41" s="30">
        <v>0.25237592397043296</v>
      </c>
      <c r="J41" s="30">
        <v>0.17106652587117213</v>
      </c>
      <c r="K41" s="30">
        <v>0.17740232312565998</v>
      </c>
      <c r="L41" s="30">
        <v>8.4477296726504753E-2</v>
      </c>
      <c r="M41" s="33">
        <f t="shared" si="12"/>
        <v>2958.9533898668956</v>
      </c>
      <c r="N41" s="33">
        <f t="shared" si="13"/>
        <v>18035.525423950599</v>
      </c>
      <c r="O41" s="33">
        <f t="shared" si="14"/>
        <v>16837.853813766382</v>
      </c>
      <c r="P41" s="33">
        <f t="shared" si="15"/>
        <v>11413.10593234374</v>
      </c>
      <c r="Q41" s="33">
        <f t="shared" si="16"/>
        <v>11835.813559467582</v>
      </c>
      <c r="R41" s="33">
        <f t="shared" si="17"/>
        <v>5636.1016949845625</v>
      </c>
      <c r="S41" s="31">
        <f>VLOOKUP(B41,'Edu updated'!B$2:J$48,9,FALSE)</f>
        <v>40</v>
      </c>
      <c r="T41" s="32">
        <f t="shared" si="21"/>
        <v>3.1323414252153486E-2</v>
      </c>
      <c r="U41" s="33">
        <f t="shared" si="19"/>
        <v>40</v>
      </c>
      <c r="V41" s="41">
        <f t="shared" si="20"/>
        <v>1193.9224920802535</v>
      </c>
      <c r="W41" s="41">
        <f t="shared" si="2"/>
        <v>1197.542029707552</v>
      </c>
      <c r="X41" s="41">
        <f t="shared" si="3"/>
        <v>1201.0973558964781</v>
      </c>
      <c r="Y41" s="41">
        <f t="shared" si="4"/>
        <v>1204.5896097728657</v>
      </c>
      <c r="Z41" s="41">
        <f t="shared" si="5"/>
        <v>1208.0199102541917</v>
      </c>
      <c r="AA41" s="41">
        <f t="shared" si="6"/>
        <v>1211.389356408077</v>
      </c>
      <c r="AB41" s="41">
        <f t="shared" si="7"/>
        <v>1214.6990278044277</v>
      </c>
      <c r="AC41" s="41">
        <f t="shared" si="8"/>
        <v>1217.9499848613291</v>
      </c>
      <c r="AD41">
        <f>VLOOKUP(B41,Migration!A$2:B$193,2,FALSE)</f>
        <v>64</v>
      </c>
      <c r="AE41">
        <f t="shared" si="9"/>
        <v>0.05</v>
      </c>
      <c r="AF41" t="str">
        <f t="shared" si="10"/>
        <v>Increased</v>
      </c>
      <c r="AG41" s="49">
        <f t="shared" si="11"/>
        <v>5.0117462803445575E-2</v>
      </c>
    </row>
    <row r="42" spans="1:33" x14ac:dyDescent="0.35">
      <c r="A42" s="19" t="s">
        <v>103</v>
      </c>
      <c r="B42" s="19" t="s">
        <v>38</v>
      </c>
      <c r="C42" s="19" t="s">
        <v>68</v>
      </c>
      <c r="D42" s="20">
        <v>6106</v>
      </c>
      <c r="E42" s="20">
        <v>5757</v>
      </c>
      <c r="F42" s="20">
        <v>15666</v>
      </c>
      <c r="G42" s="34">
        <v>0.16765299086895941</v>
      </c>
      <c r="H42" s="34">
        <v>0.35339731243898659</v>
      </c>
      <c r="I42" s="34">
        <v>0.29951984150713429</v>
      </c>
      <c r="J42" s="34">
        <v>0.1336555241914486</v>
      </c>
      <c r="K42" s="34">
        <v>4.3048783589516915E-2</v>
      </c>
      <c r="L42" s="34">
        <v>2.7255474039542516E-3</v>
      </c>
      <c r="M42" s="33">
        <f t="shared" si="12"/>
        <v>11185.363909843345</v>
      </c>
      <c r="N42" s="33">
        <f t="shared" si="13"/>
        <v>23577.733531042777</v>
      </c>
      <c r="O42" s="33">
        <f t="shared" si="14"/>
        <v>19983.171240258427</v>
      </c>
      <c r="P42" s="33">
        <f t="shared" si="15"/>
        <v>8917.1428967272695</v>
      </c>
      <c r="Q42" s="33">
        <f t="shared" si="16"/>
        <v>2872.1009260204651</v>
      </c>
      <c r="R42" s="33">
        <f t="shared" si="17"/>
        <v>181.84131048748006</v>
      </c>
      <c r="S42" s="31">
        <f>VLOOKUP(B42,'Edu updated'!B$2:J$48,9,FALSE)</f>
        <v>1755</v>
      </c>
      <c r="T42" s="32">
        <f t="shared" si="21"/>
        <v>0.1120260436614324</v>
      </c>
      <c r="U42" s="33">
        <f t="shared" si="19"/>
        <v>1755</v>
      </c>
      <c r="V42" s="41">
        <f t="shared" si="20"/>
        <v>16554.451574369654</v>
      </c>
      <c r="W42" s="41">
        <f t="shared" si="2"/>
        <v>17414.336674042839</v>
      </c>
      <c r="X42" s="41">
        <f t="shared" si="3"/>
        <v>18270.520072959254</v>
      </c>
      <c r="Y42" s="41">
        <f t="shared" si="4"/>
        <v>19123.01770649038</v>
      </c>
      <c r="Z42" s="41">
        <f t="shared" si="5"/>
        <v>19971.845441407862</v>
      </c>
      <c r="AA42" s="41">
        <f t="shared" si="6"/>
        <v>20817.019076178818</v>
      </c>
      <c r="AB42" s="41">
        <f t="shared" si="7"/>
        <v>21658.554341259893</v>
      </c>
      <c r="AC42" s="41">
        <f t="shared" si="8"/>
        <v>22496.466899390027</v>
      </c>
      <c r="AD42">
        <f>VLOOKUP(B42,Migration!A$2:B$193,2,FALSE)</f>
        <v>5947</v>
      </c>
      <c r="AE42">
        <f t="shared" si="9"/>
        <v>0.05</v>
      </c>
      <c r="AF42" t="str">
        <f t="shared" si="10"/>
        <v>Increased</v>
      </c>
      <c r="AG42" s="49">
        <f t="shared" si="11"/>
        <v>0.37961189837865439</v>
      </c>
    </row>
    <row r="43" spans="1:33" x14ac:dyDescent="0.35">
      <c r="A43" s="19" t="s">
        <v>104</v>
      </c>
      <c r="B43" s="19" t="s">
        <v>47</v>
      </c>
      <c r="C43" s="23" t="s">
        <v>66</v>
      </c>
      <c r="D43" s="20">
        <v>58722</v>
      </c>
      <c r="E43" s="20">
        <v>287458</v>
      </c>
      <c r="F43" s="20">
        <v>397261.24962174537</v>
      </c>
      <c r="G43" s="30">
        <v>2.0898312382512628E-3</v>
      </c>
      <c r="H43" s="30">
        <v>0.20183499084604911</v>
      </c>
      <c r="I43" s="30">
        <v>0.29703958077355258</v>
      </c>
      <c r="J43" s="30">
        <v>0.25681470513076321</v>
      </c>
      <c r="K43" s="30">
        <v>0.18920148843591708</v>
      </c>
      <c r="L43" s="30">
        <v>5.3019403575466709E-2</v>
      </c>
      <c r="M43" s="33">
        <f t="shared" si="12"/>
        <v>139.42801013475287</v>
      </c>
      <c r="N43" s="33">
        <f t="shared" si="13"/>
        <v>13465.89649639796</v>
      </c>
      <c r="O43" s="33">
        <f t="shared" si="14"/>
        <v>19817.694807344145</v>
      </c>
      <c r="P43" s="33">
        <f t="shared" si="15"/>
        <v>17133.997546944738</v>
      </c>
      <c r="Q43" s="33">
        <f t="shared" si="16"/>
        <v>12623.02264618636</v>
      </c>
      <c r="R43" s="33">
        <f t="shared" si="17"/>
        <v>3537.3143073718038</v>
      </c>
      <c r="S43" s="31">
        <f>VLOOKUP(B43,'Edu updated'!B$2:J$48,9,FALSE)</f>
        <v>3154</v>
      </c>
      <c r="T43" s="32">
        <f t="shared" si="21"/>
        <v>7.939359811718609E-3</v>
      </c>
      <c r="U43" s="33">
        <f t="shared" si="19"/>
        <v>3153.9999999999995</v>
      </c>
      <c r="V43" s="41">
        <f t="shared" si="20"/>
        <v>377948.74510315579</v>
      </c>
      <c r="W43" s="41">
        <f t="shared" si="2"/>
        <v>372547.94859055534</v>
      </c>
      <c r="X43" s="41">
        <f t="shared" si="3"/>
        <v>367249.33595184726</v>
      </c>
      <c r="Y43" s="41">
        <f t="shared" si="4"/>
        <v>362050.97385292809</v>
      </c>
      <c r="Z43" s="41">
        <f t="shared" si="5"/>
        <v>356950.96553866332</v>
      </c>
      <c r="AA43" s="41">
        <f t="shared" si="6"/>
        <v>351947.45014080801</v>
      </c>
      <c r="AB43" s="41">
        <f t="shared" si="7"/>
        <v>347038.60199902131</v>
      </c>
      <c r="AC43" s="41">
        <f t="shared" si="8"/>
        <v>342222.62999472785</v>
      </c>
      <c r="AD43">
        <f>VLOOKUP(B43,Migration!A$2:B$193,2,FALSE)</f>
        <v>9155</v>
      </c>
      <c r="AE43">
        <f t="shared" si="9"/>
        <v>0.05</v>
      </c>
      <c r="AF43" t="str">
        <f t="shared" si="10"/>
        <v>Decreased</v>
      </c>
      <c r="AG43" s="49">
        <f t="shared" si="11"/>
        <v>2.3045288229639783E-2</v>
      </c>
    </row>
    <row r="44" spans="1:33" x14ac:dyDescent="0.35">
      <c r="A44" s="19" t="s">
        <v>105</v>
      </c>
      <c r="B44" s="19" t="s">
        <v>39</v>
      </c>
      <c r="C44" s="23" t="s">
        <v>68</v>
      </c>
      <c r="D44" s="20">
        <v>0</v>
      </c>
      <c r="E44" s="20">
        <v>3726</v>
      </c>
      <c r="F44" s="20">
        <v>4530</v>
      </c>
      <c r="G44" s="34">
        <v>0.16765299086895941</v>
      </c>
      <c r="H44" s="34">
        <v>0.35339731243898659</v>
      </c>
      <c r="I44" s="34">
        <v>0.29951984150713429</v>
      </c>
      <c r="J44" s="34">
        <v>0.1336555241914486</v>
      </c>
      <c r="K44" s="34">
        <v>4.3048783589516915E-2</v>
      </c>
      <c r="L44" s="34">
        <v>2.7255474039542516E-3</v>
      </c>
      <c r="M44" s="33">
        <f t="shared" si="12"/>
        <v>11185.363909843345</v>
      </c>
      <c r="N44" s="33">
        <f t="shared" si="13"/>
        <v>23577.733531042777</v>
      </c>
      <c r="O44" s="33">
        <f t="shared" si="14"/>
        <v>19983.171240258427</v>
      </c>
      <c r="P44" s="33">
        <f t="shared" si="15"/>
        <v>8917.1428967272695</v>
      </c>
      <c r="Q44" s="33">
        <f t="shared" si="16"/>
        <v>2872.1009260204651</v>
      </c>
      <c r="R44" s="33">
        <f t="shared" si="17"/>
        <v>181.84131048748006</v>
      </c>
      <c r="S44" s="31">
        <f>VLOOKUP(B44,'Edu updated'!B$2:J$48,9,FALSE)</f>
        <v>241</v>
      </c>
      <c r="T44" s="32">
        <f t="shared" si="21"/>
        <v>5.3200883002207502E-2</v>
      </c>
      <c r="U44" s="33">
        <f t="shared" si="19"/>
        <v>241</v>
      </c>
      <c r="V44" s="41">
        <f t="shared" si="20"/>
        <v>4679.8532702600869</v>
      </c>
      <c r="W44" s="41">
        <f t="shared" si="2"/>
        <v>4821.9070711938748</v>
      </c>
      <c r="X44" s="41">
        <f t="shared" si="3"/>
        <v>4963.3493477942166</v>
      </c>
      <c r="Y44" s="41">
        <f t="shared" si="4"/>
        <v>5104.1827325989798</v>
      </c>
      <c r="Z44" s="41">
        <f t="shared" si="5"/>
        <v>5244.4098468132797</v>
      </c>
      <c r="AA44" s="41">
        <f t="shared" si="6"/>
        <v>5384.03330035826</v>
      </c>
      <c r="AB44" s="41">
        <f t="shared" si="7"/>
        <v>5523.0556919196724</v>
      </c>
      <c r="AC44" s="41">
        <f t="shared" si="8"/>
        <v>5661.4796089962429</v>
      </c>
      <c r="AD44">
        <f>VLOOKUP(B44,Migration!A$2:B$193,2,FALSE)</f>
        <v>130</v>
      </c>
      <c r="AE44">
        <f t="shared" si="9"/>
        <v>0.05</v>
      </c>
      <c r="AF44" t="str">
        <f t="shared" si="10"/>
        <v>Increased</v>
      </c>
      <c r="AG44" s="49">
        <f t="shared" si="11"/>
        <v>2.8697571743929361E-2</v>
      </c>
    </row>
    <row r="45" spans="1:33" x14ac:dyDescent="0.35">
      <c r="A45" s="19" t="s">
        <v>106</v>
      </c>
      <c r="B45" s="19" t="s">
        <v>45</v>
      </c>
      <c r="C45" s="23" t="s">
        <v>62</v>
      </c>
      <c r="D45" s="20">
        <v>20800</v>
      </c>
      <c r="E45" s="20">
        <v>31940</v>
      </c>
      <c r="F45" s="20">
        <v>31940</v>
      </c>
      <c r="G45" s="34">
        <v>3.1079803713894617E-2</v>
      </c>
      <c r="H45" s="34">
        <v>0.33653962637948021</v>
      </c>
      <c r="I45" s="34">
        <v>0.34941395631522804</v>
      </c>
      <c r="J45" s="34">
        <v>0.20169962632044125</v>
      </c>
      <c r="K45" s="34">
        <v>7.3507084647192453E-2</v>
      </c>
      <c r="L45" s="34">
        <v>7.7599026237634297E-3</v>
      </c>
      <c r="M45" s="33">
        <f t="shared" si="12"/>
        <v>2073.5622608613812</v>
      </c>
      <c r="N45" s="33">
        <f t="shared" si="13"/>
        <v>22453.033325718956</v>
      </c>
      <c r="O45" s="33">
        <f t="shared" si="14"/>
        <v>23311.974551165302</v>
      </c>
      <c r="P45" s="33">
        <f t="shared" si="15"/>
        <v>13456.865333449065</v>
      </c>
      <c r="Q45" s="33">
        <f t="shared" si="16"/>
        <v>4904.1981742703019</v>
      </c>
      <c r="R45" s="33">
        <f t="shared" si="17"/>
        <v>517.72016891475857</v>
      </c>
      <c r="S45" s="31">
        <f>VLOOKUP(B45,'Edu updated'!B$2:J$48,9,FALSE)</f>
        <v>4607</v>
      </c>
      <c r="T45" s="32">
        <f t="shared" si="21"/>
        <v>0.14423919849718222</v>
      </c>
      <c r="U45" s="33">
        <f t="shared" si="19"/>
        <v>4607</v>
      </c>
      <c r="V45" s="41">
        <f t="shared" si="20"/>
        <v>34866.098710196995</v>
      </c>
      <c r="W45" s="41">
        <f t="shared" si="2"/>
        <v>37783.758183276223</v>
      </c>
      <c r="X45" s="41">
        <f t="shared" si="3"/>
        <v>40679.970792169515</v>
      </c>
      <c r="Y45" s="41">
        <f t="shared" si="4"/>
        <v>43554.894186522986</v>
      </c>
      <c r="Z45" s="41">
        <f t="shared" si="5"/>
        <v>46408.684857146167</v>
      </c>
      <c r="AA45" s="41">
        <f t="shared" si="6"/>
        <v>49241.498144530262</v>
      </c>
      <c r="AB45" s="41">
        <f t="shared" si="7"/>
        <v>52053.488247303816</v>
      </c>
      <c r="AC45" s="41">
        <f t="shared" si="8"/>
        <v>54844.8082306262</v>
      </c>
      <c r="AD45">
        <f>VLOOKUP(B45,Migration!A$2:B$193,2,FALSE)</f>
        <v>1019</v>
      </c>
      <c r="AE45">
        <f t="shared" si="9"/>
        <v>0.05</v>
      </c>
      <c r="AF45" t="str">
        <f t="shared" si="10"/>
        <v>Increased</v>
      </c>
      <c r="AG45" s="49">
        <f t="shared" si="11"/>
        <v>3.1903569192235443E-2</v>
      </c>
    </row>
    <row r="46" spans="1:33" x14ac:dyDescent="0.35">
      <c r="A46" s="19" t="s">
        <v>107</v>
      </c>
      <c r="B46" s="19" t="s">
        <v>44</v>
      </c>
      <c r="C46" s="19" t="s">
        <v>68</v>
      </c>
      <c r="D46" s="20">
        <v>1341</v>
      </c>
      <c r="E46" s="20">
        <v>1966</v>
      </c>
      <c r="F46" s="20">
        <v>2630</v>
      </c>
      <c r="G46" s="30">
        <v>4.5318352059925092E-2</v>
      </c>
      <c r="H46" s="30">
        <v>0.36966292134831463</v>
      </c>
      <c r="I46" s="30">
        <v>0.37490636704119851</v>
      </c>
      <c r="J46" s="30">
        <v>0.15393258426966291</v>
      </c>
      <c r="K46" s="30">
        <v>5.4681647940074907E-2</v>
      </c>
      <c r="L46" s="30">
        <v>1.4981273408239701E-3</v>
      </c>
      <c r="M46" s="33">
        <f t="shared" si="12"/>
        <v>3023.5205286666483</v>
      </c>
      <c r="N46" s="33">
        <f t="shared" si="13"/>
        <v>24662.931915652745</v>
      </c>
      <c r="O46" s="33">
        <f t="shared" si="14"/>
        <v>25012.760737151366</v>
      </c>
      <c r="P46" s="33">
        <f t="shared" si="15"/>
        <v>10269.974688280929</v>
      </c>
      <c r="Q46" s="33">
        <f t="shared" si="16"/>
        <v>3648.214852771328</v>
      </c>
      <c r="R46" s="33">
        <f t="shared" si="17"/>
        <v>99.951091856748718</v>
      </c>
      <c r="S46" s="31">
        <f>VLOOKUP(B46,'Edu updated'!B$2:J$48,9,FALSE)</f>
        <v>240</v>
      </c>
      <c r="T46" s="32">
        <f t="shared" si="21"/>
        <v>9.125475285171103E-2</v>
      </c>
      <c r="U46" s="33">
        <f t="shared" si="19"/>
        <v>240</v>
      </c>
      <c r="V46" s="41">
        <f t="shared" si="20"/>
        <v>2738.2599250936328</v>
      </c>
      <c r="W46" s="41">
        <f t="shared" si="2"/>
        <v>2835.4866685743941</v>
      </c>
      <c r="X46" s="41">
        <f t="shared" si="3"/>
        <v>2932.181760199418</v>
      </c>
      <c r="Y46" s="41">
        <f t="shared" si="4"/>
        <v>3028.3481071286647</v>
      </c>
      <c r="Z46" s="41">
        <f t="shared" si="5"/>
        <v>3123.9886006252646</v>
      </c>
      <c r="AA46" s="41">
        <f t="shared" si="6"/>
        <v>3219.1061161424445</v>
      </c>
      <c r="AB46" s="41">
        <f t="shared" si="7"/>
        <v>3313.7035134099801</v>
      </c>
      <c r="AC46" s="41">
        <f t="shared" si="8"/>
        <v>3407.7836365201724</v>
      </c>
      <c r="AD46">
        <f>VLOOKUP(B46,Migration!A$2:B$193,2,FALSE)</f>
        <v>1116</v>
      </c>
      <c r="AE46">
        <f t="shared" si="9"/>
        <v>0.05</v>
      </c>
      <c r="AF46" t="str">
        <f t="shared" si="10"/>
        <v>Increased</v>
      </c>
      <c r="AG46" s="49">
        <f t="shared" si="11"/>
        <v>0.42433460076045626</v>
      </c>
    </row>
    <row r="47" spans="1:33" x14ac:dyDescent="0.35">
      <c r="A47" s="19" t="s">
        <v>108</v>
      </c>
      <c r="B47" s="19" t="s">
        <v>46</v>
      </c>
      <c r="C47" s="23" t="s">
        <v>68</v>
      </c>
      <c r="D47" s="20">
        <v>40149</v>
      </c>
      <c r="E47" s="20">
        <v>52907</v>
      </c>
      <c r="F47" s="20">
        <v>74197</v>
      </c>
      <c r="G47" s="30">
        <v>0.88558189271074672</v>
      </c>
      <c r="H47" s="30">
        <v>7.9754054535733379E-2</v>
      </c>
      <c r="I47" s="30">
        <v>1.2386383888789878E-2</v>
      </c>
      <c r="J47" s="30">
        <v>9.0892888968098374E-3</v>
      </c>
      <c r="K47" s="30">
        <v>8.9110675458919982E-3</v>
      </c>
      <c r="L47" s="30">
        <v>4.2773124220281591E-3</v>
      </c>
      <c r="M47" s="33">
        <f t="shared" si="12"/>
        <v>59083.680467590988</v>
      </c>
      <c r="N47" s="33">
        <f t="shared" si="13"/>
        <v>5320.9794745918634</v>
      </c>
      <c r="O47" s="33">
        <f t="shared" si="14"/>
        <v>826.38675638912741</v>
      </c>
      <c r="P47" s="33">
        <f t="shared" si="15"/>
        <v>606.41330324957539</v>
      </c>
      <c r="Q47" s="33">
        <f t="shared" si="16"/>
        <v>594.52284632311319</v>
      </c>
      <c r="R47" s="33">
        <f t="shared" si="17"/>
        <v>285.37096623509433</v>
      </c>
      <c r="S47" s="31">
        <f>VLOOKUP(B47,'Edu updated'!B$2:J$48,9,FALSE)</f>
        <v>14001</v>
      </c>
      <c r="T47" s="32">
        <f t="shared" si="21"/>
        <v>0.18870035176624392</v>
      </c>
      <c r="U47" s="33">
        <f t="shared" si="19"/>
        <v>14001</v>
      </c>
      <c r="V47" s="41">
        <f t="shared" si="20"/>
        <v>83645.686250222789</v>
      </c>
      <c r="W47" s="41">
        <f t="shared" si="2"/>
        <v>93337.199014212965</v>
      </c>
      <c r="X47" s="41">
        <f t="shared" si="3"/>
        <v>103020.07560571696</v>
      </c>
      <c r="Y47" s="41">
        <f t="shared" si="4"/>
        <v>112694.32372048641</v>
      </c>
      <c r="Z47" s="41">
        <f t="shared" si="5"/>
        <v>122359.95104741522</v>
      </c>
      <c r="AA47" s="41">
        <f t="shared" si="6"/>
        <v>132016.96526854567</v>
      </c>
      <c r="AB47" s="41">
        <f t="shared" si="7"/>
        <v>141665.3740590745</v>
      </c>
      <c r="AC47" s="41">
        <f t="shared" si="8"/>
        <v>151305.18508735907</v>
      </c>
      <c r="AD47">
        <f>VLOOKUP(B47,Migration!A$2:B$193,2,FALSE)</f>
        <v>693</v>
      </c>
      <c r="AE47">
        <f t="shared" si="9"/>
        <v>0.05</v>
      </c>
      <c r="AF47" t="str">
        <f t="shared" si="10"/>
        <v>Increased</v>
      </c>
      <c r="AG47" s="49">
        <f t="shared" si="11"/>
        <v>9.3400002695526781E-3</v>
      </c>
    </row>
    <row r="48" spans="1:33" x14ac:dyDescent="0.35">
      <c r="A48" s="19" t="s">
        <v>109</v>
      </c>
      <c r="B48" s="19" t="s">
        <v>48</v>
      </c>
      <c r="C48" s="19" t="s">
        <v>62</v>
      </c>
      <c r="D48" s="20">
        <v>0</v>
      </c>
      <c r="E48" s="20">
        <v>20746</v>
      </c>
      <c r="F48" s="20">
        <v>49975</v>
      </c>
      <c r="G48" s="30">
        <v>0.13455105242902396</v>
      </c>
      <c r="H48" s="30">
        <v>0.57100565440066309</v>
      </c>
      <c r="I48" s="30">
        <v>0.2078510317060896</v>
      </c>
      <c r="J48" s="30">
        <v>6.5040409722016634E-2</v>
      </c>
      <c r="K48" s="30">
        <v>1.7318452292844667E-2</v>
      </c>
      <c r="L48" s="30">
        <v>4.2333994493620299E-3</v>
      </c>
      <c r="M48" s="33">
        <f t="shared" si="12"/>
        <v>8976.8901710043538</v>
      </c>
      <c r="N48" s="33">
        <f t="shared" si="13"/>
        <v>38095.986274660492</v>
      </c>
      <c r="O48" s="33">
        <f t="shared" si="14"/>
        <v>13867.270823019046</v>
      </c>
      <c r="P48" s="33">
        <f t="shared" si="15"/>
        <v>4339.3240276560091</v>
      </c>
      <c r="Q48" s="33">
        <f t="shared" si="16"/>
        <v>1155.4413091391741</v>
      </c>
      <c r="R48" s="33">
        <f t="shared" si="17"/>
        <v>282.441208900687</v>
      </c>
      <c r="S48" s="31">
        <f>VLOOKUP(B48,'Edu updated'!B$2:J$48,9,FALSE)</f>
        <v>5272</v>
      </c>
      <c r="T48" s="32">
        <f t="shared" si="21"/>
        <v>0.10549274637318659</v>
      </c>
      <c r="U48" s="33">
        <f t="shared" si="19"/>
        <v>5272</v>
      </c>
      <c r="V48" s="41">
        <f t="shared" si="20"/>
        <v>53363.485862518137</v>
      </c>
      <c r="W48" s="41">
        <f t="shared" si="2"/>
        <v>56871.118564109151</v>
      </c>
      <c r="X48" s="41">
        <f t="shared" si="3"/>
        <v>60372.676588739829</v>
      </c>
      <c r="Y48" s="41">
        <f t="shared" si="4"/>
        <v>63868.170456810491</v>
      </c>
      <c r="Z48" s="41">
        <f t="shared" si="5"/>
        <v>67357.61067050173</v>
      </c>
      <c r="AA48" s="41">
        <f t="shared" si="6"/>
        <v>70841.007713806015</v>
      </c>
      <c r="AB48" s="41">
        <f t="shared" si="7"/>
        <v>74318.372052559149</v>
      </c>
      <c r="AC48" s="41">
        <f t="shared" si="8"/>
        <v>77789.714134471724</v>
      </c>
      <c r="AD48">
        <f>VLOOKUP(B48,Migration!A$2:B$193,2,FALSE)</f>
        <v>1807</v>
      </c>
      <c r="AE48">
        <f t="shared" si="9"/>
        <v>0.05</v>
      </c>
      <c r="AF48" t="str">
        <f t="shared" si="10"/>
        <v>Increased</v>
      </c>
      <c r="AG48" s="49">
        <f t="shared" si="11"/>
        <v>3.6158079039519758E-2</v>
      </c>
    </row>
    <row r="49" spans="1:33" x14ac:dyDescent="0.35">
      <c r="A49" s="19" t="s">
        <v>110</v>
      </c>
      <c r="B49" s="19" t="s">
        <v>49</v>
      </c>
      <c r="C49" s="19" t="s">
        <v>62</v>
      </c>
      <c r="D49" s="20">
        <v>18722</v>
      </c>
      <c r="E49" s="20">
        <v>27874</v>
      </c>
      <c r="F49" s="20">
        <v>46537</v>
      </c>
      <c r="G49" s="34">
        <v>3.1079803713894617E-2</v>
      </c>
      <c r="H49" s="34">
        <v>0.33653962637948021</v>
      </c>
      <c r="I49" s="34">
        <v>0.34941395631522804</v>
      </c>
      <c r="J49" s="34">
        <v>0.20169962632044125</v>
      </c>
      <c r="K49" s="34">
        <v>7.3507084647192453E-2</v>
      </c>
      <c r="L49" s="34">
        <v>7.7599026237634297E-3</v>
      </c>
      <c r="M49" s="33">
        <f t="shared" si="12"/>
        <v>2073.5622608613812</v>
      </c>
      <c r="N49" s="33">
        <f t="shared" si="13"/>
        <v>22453.033325718956</v>
      </c>
      <c r="O49" s="33">
        <f t="shared" si="14"/>
        <v>23311.974551165302</v>
      </c>
      <c r="P49" s="33">
        <f t="shared" si="15"/>
        <v>13456.865333449065</v>
      </c>
      <c r="Q49" s="33">
        <f t="shared" si="16"/>
        <v>4904.1981742703019</v>
      </c>
      <c r="R49" s="33">
        <f t="shared" si="17"/>
        <v>517.72016891475857</v>
      </c>
      <c r="S49" s="31">
        <f>VLOOKUP(B49,'Edu updated'!B$2:J$48,9,FALSE)</f>
        <v>1100</v>
      </c>
      <c r="T49" s="32">
        <f t="shared" si="21"/>
        <v>2.3637105958699528E-2</v>
      </c>
      <c r="U49" s="33">
        <f t="shared" si="19"/>
        <v>1100</v>
      </c>
      <c r="V49" s="41">
        <f t="shared" si="20"/>
        <v>46568.527411597919</v>
      </c>
      <c r="W49" s="41">
        <f t="shared" si="2"/>
        <v>46618.865742963979</v>
      </c>
      <c r="X49" s="41">
        <f t="shared" si="3"/>
        <v>46668.834051931568</v>
      </c>
      <c r="Y49" s="41">
        <f t="shared" si="4"/>
        <v>46718.435058427458</v>
      </c>
      <c r="Z49" s="41">
        <f t="shared" si="5"/>
        <v>46767.671462385042</v>
      </c>
      <c r="AA49" s="41">
        <f t="shared" si="6"/>
        <v>46816.54594389128</v>
      </c>
      <c r="AB49" s="41">
        <f t="shared" si="7"/>
        <v>46865.061163332604</v>
      </c>
      <c r="AC49" s="41">
        <f t="shared" si="8"/>
        <v>46913.219761539716</v>
      </c>
      <c r="AD49">
        <f>VLOOKUP(B49,Migration!A$2:B$193,2,FALSE)</f>
        <v>7547</v>
      </c>
      <c r="AE49">
        <f t="shared" si="9"/>
        <v>0.05</v>
      </c>
      <c r="AF49" t="str">
        <f t="shared" si="10"/>
        <v>Increased</v>
      </c>
      <c r="AG49" s="49">
        <f t="shared" si="11"/>
        <v>0.16217203515482304</v>
      </c>
    </row>
    <row r="50" spans="1:33" s="38" customFormat="1" ht="15" thickBot="1" x14ac:dyDescent="0.4">
      <c r="A50" s="21" t="s">
        <v>111</v>
      </c>
      <c r="B50" s="24" t="s">
        <v>111</v>
      </c>
      <c r="C50" s="24" t="s">
        <v>111</v>
      </c>
      <c r="D50" s="22">
        <f>SUM(D3:D49)</f>
        <v>479279</v>
      </c>
      <c r="E50" s="22">
        <f t="shared" ref="E50:F50" si="22">SUM(E3:E49)</f>
        <v>1248604</v>
      </c>
      <c r="F50" s="22">
        <f t="shared" si="22"/>
        <v>1698828.4231265213</v>
      </c>
      <c r="G50" s="35">
        <v>2.8094911126753986E-2</v>
      </c>
      <c r="H50" s="35">
        <v>0.42408199480095404</v>
      </c>
      <c r="I50" s="35">
        <v>0.32237544168541793</v>
      </c>
      <c r="J50" s="35">
        <v>0.14725787510182761</v>
      </c>
      <c r="K50" s="35">
        <v>7.3303780982837616E-2</v>
      </c>
      <c r="L50" s="35">
        <v>4.8859963022088162E-3</v>
      </c>
      <c r="M50" s="36">
        <f t="shared" si="12"/>
        <v>1874.4181260272005</v>
      </c>
      <c r="N50" s="36">
        <f t="shared" si="13"/>
        <v>28293.628493443211</v>
      </c>
      <c r="O50" s="36">
        <f t="shared" si="14"/>
        <v>21508.036403992977</v>
      </c>
      <c r="P50" s="36">
        <f t="shared" si="15"/>
        <v>9824.6557551223777</v>
      </c>
      <c r="Q50" s="36">
        <f t="shared" si="16"/>
        <v>4890.6342917637803</v>
      </c>
      <c r="R50" s="36">
        <f t="shared" si="17"/>
        <v>325.98074403021678</v>
      </c>
      <c r="S50" s="31"/>
      <c r="T50" s="37">
        <v>4.2900000000000001E-2</v>
      </c>
      <c r="U50" s="36">
        <f t="shared" si="19"/>
        <v>72879.73935212777</v>
      </c>
      <c r="V50" s="42">
        <f>SUM(V3:V49)</f>
        <v>1751813.4862019871</v>
      </c>
      <c r="W50" s="42">
        <f t="shared" ref="W50:AC50" si="23">SUM(W3:W49)</f>
        <v>1816536.0591124315</v>
      </c>
      <c r="X50" s="42">
        <f t="shared" si="23"/>
        <v>1881091.5665167032</v>
      </c>
      <c r="Y50" s="42">
        <f t="shared" si="23"/>
        <v>1945479.730075642</v>
      </c>
      <c r="Z50" s="42">
        <f t="shared" si="23"/>
        <v>2009700.2951070415</v>
      </c>
      <c r="AA50" s="42">
        <f t="shared" si="23"/>
        <v>2073753.0300113256</v>
      </c>
      <c r="AB50" s="42">
        <f t="shared" si="23"/>
        <v>2137637.7257091203</v>
      </c>
      <c r="AC50" s="42">
        <f t="shared" si="23"/>
        <v>2201354.1950904946</v>
      </c>
      <c r="AD50" s="36">
        <f t="shared" ref="AD50" si="24">SUM(AD3:AD49)</f>
        <v>122825</v>
      </c>
      <c r="AG50" s="49"/>
    </row>
    <row r="51" spans="1:33" x14ac:dyDescent="0.35">
      <c r="V51" s="50" t="s">
        <v>146</v>
      </c>
      <c r="W51" s="50" t="s">
        <v>147</v>
      </c>
      <c r="X51" s="50" t="s">
        <v>148</v>
      </c>
      <c r="Y51" s="50" t="s">
        <v>149</v>
      </c>
      <c r="Z51" s="50" t="s">
        <v>150</v>
      </c>
      <c r="AA51" s="50" t="s">
        <v>151</v>
      </c>
      <c r="AB51" s="50" t="s">
        <v>152</v>
      </c>
      <c r="AC51" s="50" t="s">
        <v>153</v>
      </c>
      <c r="AD51" s="46">
        <f>AD50/F50</f>
        <v>7.2299826355596911E-2</v>
      </c>
      <c r="AG51" s="49" t="e">
        <f t="shared" si="11"/>
        <v>#DIV/0!</v>
      </c>
    </row>
    <row r="53" spans="1:33" x14ac:dyDescent="0.35">
      <c r="V53" s="44">
        <v>1751813.4862019871</v>
      </c>
      <c r="W53" s="44">
        <v>1816536.0591124315</v>
      </c>
      <c r="X53" s="44">
        <v>1881091.5665167032</v>
      </c>
      <c r="Y53" s="44">
        <v>1945479.730075642</v>
      </c>
      <c r="Z53" s="44">
        <v>2009700.2951070415</v>
      </c>
      <c r="AA53" s="44">
        <v>2073753.0300113256</v>
      </c>
      <c r="AB53" s="44">
        <v>2137637.7257091203</v>
      </c>
      <c r="AC53" s="44">
        <v>2201354.1950904946</v>
      </c>
    </row>
    <row r="54" spans="1:33" x14ac:dyDescent="0.35">
      <c r="V54" s="45"/>
      <c r="W54" s="45"/>
      <c r="X54" s="45"/>
      <c r="Y54" s="45"/>
      <c r="Z54" s="45"/>
      <c r="AA54" s="45"/>
      <c r="AB54" s="45"/>
      <c r="AC54" s="45"/>
      <c r="AD54" t="s">
        <v>338</v>
      </c>
    </row>
    <row r="55" spans="1:33" x14ac:dyDescent="0.35">
      <c r="V55" s="44">
        <v>1757954.7362019867</v>
      </c>
      <c r="W55" s="44">
        <v>1828768.3764030761</v>
      </c>
      <c r="X55" s="44">
        <v>1899365.3183213398</v>
      </c>
      <c r="Y55" s="44">
        <v>1969745.8265527072</v>
      </c>
      <c r="Z55" s="44">
        <v>2039910.1824519292</v>
      </c>
      <c r="AA55" s="44">
        <v>2109858.6836561831</v>
      </c>
      <c r="AB55" s="44">
        <v>2179591.6436190577</v>
      </c>
      <c r="AC55" s="44">
        <v>2249109.3911547032</v>
      </c>
    </row>
    <row r="56" spans="1:33" x14ac:dyDescent="0.35">
      <c r="V56" s="48">
        <f>V53/V55-1</f>
        <v>-3.493406214353123E-3</v>
      </c>
      <c r="W56" s="48">
        <f t="shared" ref="W56:AC56" si="25">W53/W55-1</f>
        <v>-6.6888280924366494E-3</v>
      </c>
      <c r="X56" s="48">
        <f t="shared" si="25"/>
        <v>-9.6209779279253782E-3</v>
      </c>
      <c r="Y56" s="48">
        <f t="shared" si="25"/>
        <v>-1.2319404945527301E-2</v>
      </c>
      <c r="Z56" s="48">
        <f t="shared" si="25"/>
        <v>-1.480942033858379E-2</v>
      </c>
      <c r="AA56" s="48">
        <f t="shared" si="25"/>
        <v>-1.7112830316336591E-2</v>
      </c>
      <c r="AB56" s="48">
        <f t="shared" si="25"/>
        <v>-1.9248522094843401E-2</v>
      </c>
      <c r="AC56" s="48">
        <f t="shared" si="25"/>
        <v>-2.1232936135530012E-2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6FF0-6246-49F7-91E1-43626815A25C}">
  <dimension ref="A1:D43"/>
  <sheetViews>
    <sheetView topLeftCell="A19" workbookViewId="0">
      <selection activeCell="H45" sqref="H45"/>
    </sheetView>
  </sheetViews>
  <sheetFormatPr defaultRowHeight="14.5" x14ac:dyDescent="0.35"/>
  <cols>
    <col min="1" max="1" width="12.6328125" bestFit="1" customWidth="1"/>
  </cols>
  <sheetData>
    <row r="1" spans="1:4" s="13" customFormat="1" ht="58" x14ac:dyDescent="0.35">
      <c r="A1" s="13" t="s">
        <v>50</v>
      </c>
      <c r="B1" s="13" t="s">
        <v>138</v>
      </c>
      <c r="C1" s="13" t="s">
        <v>139</v>
      </c>
      <c r="D1" s="13" t="s">
        <v>141</v>
      </c>
    </row>
    <row r="2" spans="1:4" x14ac:dyDescent="0.35">
      <c r="A2" t="s">
        <v>63</v>
      </c>
      <c r="D2">
        <f>B2+C2</f>
        <v>0</v>
      </c>
    </row>
    <row r="3" spans="1:4" x14ac:dyDescent="0.35">
      <c r="A3" t="s">
        <v>64</v>
      </c>
      <c r="B3">
        <v>140</v>
      </c>
      <c r="D3">
        <f t="shared" ref="D3:D43" si="0">B3+C3</f>
        <v>140</v>
      </c>
    </row>
    <row r="4" spans="1:4" x14ac:dyDescent="0.35">
      <c r="A4" t="s">
        <v>65</v>
      </c>
      <c r="D4">
        <f t="shared" si="0"/>
        <v>0</v>
      </c>
    </row>
    <row r="5" spans="1:4" x14ac:dyDescent="0.35">
      <c r="A5" t="s">
        <v>67</v>
      </c>
      <c r="D5">
        <f t="shared" si="0"/>
        <v>0</v>
      </c>
    </row>
    <row r="6" spans="1:4" x14ac:dyDescent="0.35">
      <c r="A6" t="s">
        <v>69</v>
      </c>
      <c r="D6">
        <f t="shared" si="0"/>
        <v>0</v>
      </c>
    </row>
    <row r="7" spans="1:4" x14ac:dyDescent="0.35">
      <c r="A7" t="s">
        <v>70</v>
      </c>
      <c r="D7">
        <f t="shared" si="0"/>
        <v>0</v>
      </c>
    </row>
    <row r="8" spans="1:4" x14ac:dyDescent="0.35">
      <c r="A8" t="s">
        <v>71</v>
      </c>
      <c r="C8">
        <v>6</v>
      </c>
      <c r="D8">
        <f t="shared" si="0"/>
        <v>6</v>
      </c>
    </row>
    <row r="9" spans="1:4" x14ac:dyDescent="0.35">
      <c r="A9" t="s">
        <v>140</v>
      </c>
      <c r="D9">
        <f t="shared" si="0"/>
        <v>0</v>
      </c>
    </row>
    <row r="10" spans="1:4" x14ac:dyDescent="0.35">
      <c r="A10" t="s">
        <v>73</v>
      </c>
      <c r="B10">
        <v>208</v>
      </c>
      <c r="C10">
        <v>423</v>
      </c>
      <c r="D10">
        <f t="shared" si="0"/>
        <v>631</v>
      </c>
    </row>
    <row r="11" spans="1:4" x14ac:dyDescent="0.35">
      <c r="A11" t="s">
        <v>75</v>
      </c>
      <c r="C11">
        <v>5</v>
      </c>
      <c r="D11">
        <f t="shared" si="0"/>
        <v>5</v>
      </c>
    </row>
    <row r="12" spans="1:4" x14ac:dyDescent="0.35">
      <c r="A12" t="s">
        <v>76</v>
      </c>
      <c r="D12">
        <f t="shared" si="0"/>
        <v>0</v>
      </c>
    </row>
    <row r="13" spans="1:4" x14ac:dyDescent="0.35">
      <c r="A13" t="s">
        <v>77</v>
      </c>
      <c r="D13">
        <f t="shared" si="0"/>
        <v>0</v>
      </c>
    </row>
    <row r="14" spans="1:4" x14ac:dyDescent="0.35">
      <c r="A14" t="s">
        <v>79</v>
      </c>
      <c r="C14">
        <v>43</v>
      </c>
      <c r="D14">
        <f t="shared" si="0"/>
        <v>43</v>
      </c>
    </row>
    <row r="15" spans="1:4" x14ac:dyDescent="0.35">
      <c r="A15" t="s">
        <v>80</v>
      </c>
      <c r="D15">
        <f t="shared" si="0"/>
        <v>0</v>
      </c>
    </row>
    <row r="16" spans="1:4" x14ac:dyDescent="0.35">
      <c r="A16" t="s">
        <v>81</v>
      </c>
      <c r="B16">
        <v>4174</v>
      </c>
      <c r="D16">
        <f t="shared" si="0"/>
        <v>4174</v>
      </c>
    </row>
    <row r="17" spans="1:4" x14ac:dyDescent="0.35">
      <c r="A17" t="s">
        <v>82</v>
      </c>
      <c r="D17">
        <f t="shared" si="0"/>
        <v>0</v>
      </c>
    </row>
    <row r="18" spans="1:4" x14ac:dyDescent="0.35">
      <c r="A18" t="s">
        <v>83</v>
      </c>
      <c r="D18">
        <f t="shared" si="0"/>
        <v>0</v>
      </c>
    </row>
    <row r="19" spans="1:4" x14ac:dyDescent="0.35">
      <c r="A19" t="s">
        <v>84</v>
      </c>
      <c r="D19">
        <f t="shared" si="0"/>
        <v>0</v>
      </c>
    </row>
    <row r="20" spans="1:4" x14ac:dyDescent="0.35">
      <c r="A20" t="s">
        <v>85</v>
      </c>
      <c r="D20">
        <f t="shared" si="0"/>
        <v>0</v>
      </c>
    </row>
    <row r="21" spans="1:4" x14ac:dyDescent="0.35">
      <c r="A21" t="s">
        <v>86</v>
      </c>
      <c r="D21">
        <f t="shared" si="0"/>
        <v>0</v>
      </c>
    </row>
    <row r="22" spans="1:4" x14ac:dyDescent="0.35">
      <c r="A22" t="s">
        <v>87</v>
      </c>
      <c r="B22">
        <v>1070</v>
      </c>
      <c r="D22">
        <f t="shared" si="0"/>
        <v>1070</v>
      </c>
    </row>
    <row r="23" spans="1:4" x14ac:dyDescent="0.35">
      <c r="A23" t="s">
        <v>88</v>
      </c>
      <c r="B23">
        <v>112</v>
      </c>
      <c r="D23">
        <f t="shared" si="0"/>
        <v>112</v>
      </c>
    </row>
    <row r="24" spans="1:4" x14ac:dyDescent="0.35">
      <c r="A24" t="s">
        <v>89</v>
      </c>
      <c r="C24">
        <v>17</v>
      </c>
      <c r="D24">
        <f t="shared" si="0"/>
        <v>17</v>
      </c>
    </row>
    <row r="25" spans="1:4" x14ac:dyDescent="0.35">
      <c r="A25" t="s">
        <v>90</v>
      </c>
      <c r="D25">
        <f t="shared" si="0"/>
        <v>0</v>
      </c>
    </row>
    <row r="26" spans="1:4" x14ac:dyDescent="0.35">
      <c r="A26" t="s">
        <v>91</v>
      </c>
      <c r="D26">
        <f t="shared" si="0"/>
        <v>0</v>
      </c>
    </row>
    <row r="27" spans="1:4" x14ac:dyDescent="0.35">
      <c r="A27" t="s">
        <v>92</v>
      </c>
      <c r="D27">
        <f t="shared" si="0"/>
        <v>0</v>
      </c>
    </row>
    <row r="28" spans="1:4" x14ac:dyDescent="0.35">
      <c r="A28" t="s">
        <v>93</v>
      </c>
      <c r="D28">
        <f t="shared" si="0"/>
        <v>0</v>
      </c>
    </row>
    <row r="29" spans="1:4" x14ac:dyDescent="0.35">
      <c r="A29" t="s">
        <v>94</v>
      </c>
      <c r="D29">
        <f t="shared" si="0"/>
        <v>0</v>
      </c>
    </row>
    <row r="30" spans="1:4" x14ac:dyDescent="0.35">
      <c r="A30" t="s">
        <v>95</v>
      </c>
      <c r="B30">
        <v>580</v>
      </c>
      <c r="D30">
        <f t="shared" si="0"/>
        <v>580</v>
      </c>
    </row>
    <row r="31" spans="1:4" x14ac:dyDescent="0.35">
      <c r="A31" t="s">
        <v>96</v>
      </c>
      <c r="B31">
        <v>1414</v>
      </c>
      <c r="D31">
        <f t="shared" si="0"/>
        <v>1414</v>
      </c>
    </row>
    <row r="32" spans="1:4" x14ac:dyDescent="0.35">
      <c r="A32" t="s">
        <v>97</v>
      </c>
      <c r="B32">
        <v>282</v>
      </c>
      <c r="D32">
        <f t="shared" si="0"/>
        <v>282</v>
      </c>
    </row>
    <row r="33" spans="1:4" x14ac:dyDescent="0.35">
      <c r="A33" t="s">
        <v>98</v>
      </c>
      <c r="D33">
        <f t="shared" si="0"/>
        <v>0</v>
      </c>
    </row>
    <row r="34" spans="1:4" x14ac:dyDescent="0.35">
      <c r="A34" t="s">
        <v>99</v>
      </c>
      <c r="B34">
        <v>355</v>
      </c>
      <c r="D34">
        <f t="shared" si="0"/>
        <v>355</v>
      </c>
    </row>
    <row r="35" spans="1:4" x14ac:dyDescent="0.35">
      <c r="A35" t="s">
        <v>101</v>
      </c>
      <c r="D35">
        <f t="shared" si="0"/>
        <v>0</v>
      </c>
    </row>
    <row r="36" spans="1:4" x14ac:dyDescent="0.35">
      <c r="A36" t="s">
        <v>103</v>
      </c>
      <c r="B36" s="27">
        <f>275+961+1</f>
        <v>1237</v>
      </c>
      <c r="D36">
        <f t="shared" si="0"/>
        <v>1237</v>
      </c>
    </row>
    <row r="37" spans="1:4" x14ac:dyDescent="0.35">
      <c r="A37" t="s">
        <v>104</v>
      </c>
      <c r="B37">
        <v>4445</v>
      </c>
      <c r="D37">
        <f t="shared" si="0"/>
        <v>4445</v>
      </c>
    </row>
    <row r="38" spans="1:4" x14ac:dyDescent="0.35">
      <c r="A38" t="s">
        <v>105</v>
      </c>
      <c r="D38">
        <f t="shared" si="0"/>
        <v>0</v>
      </c>
    </row>
    <row r="39" spans="1:4" x14ac:dyDescent="0.35">
      <c r="A39" t="s">
        <v>106</v>
      </c>
      <c r="D39">
        <f t="shared" si="0"/>
        <v>0</v>
      </c>
    </row>
    <row r="40" spans="1:4" x14ac:dyDescent="0.35">
      <c r="A40" t="s">
        <v>107</v>
      </c>
      <c r="B40">
        <v>160</v>
      </c>
      <c r="D40">
        <f t="shared" si="0"/>
        <v>160</v>
      </c>
    </row>
    <row r="41" spans="1:4" x14ac:dyDescent="0.35">
      <c r="A41" t="s">
        <v>108</v>
      </c>
      <c r="B41" s="27">
        <v>3631</v>
      </c>
      <c r="D41">
        <f t="shared" si="0"/>
        <v>3631</v>
      </c>
    </row>
    <row r="42" spans="1:4" x14ac:dyDescent="0.35">
      <c r="A42" t="s">
        <v>109</v>
      </c>
      <c r="D42">
        <f t="shared" si="0"/>
        <v>0</v>
      </c>
    </row>
    <row r="43" spans="1:4" x14ac:dyDescent="0.35">
      <c r="A43" t="s">
        <v>110</v>
      </c>
      <c r="B43" s="27">
        <v>1597</v>
      </c>
      <c r="D43">
        <f t="shared" si="0"/>
        <v>1597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EDE8-E96C-44E5-8782-7AC8A3620DFF}">
  <dimension ref="A1:O48"/>
  <sheetViews>
    <sheetView topLeftCell="D31" workbookViewId="0">
      <selection activeCell="I44" sqref="I44"/>
    </sheetView>
  </sheetViews>
  <sheetFormatPr defaultRowHeight="14.5" x14ac:dyDescent="0.35"/>
  <cols>
    <col min="1" max="1" width="29.36328125" bestFit="1" customWidth="1"/>
    <col min="3" max="3" width="27.54296875" bestFit="1" customWidth="1"/>
    <col min="4" max="4" width="26.7265625" bestFit="1" customWidth="1"/>
    <col min="5" max="5" width="7.54296875" bestFit="1" customWidth="1"/>
    <col min="6" max="6" width="22.81640625" bestFit="1" customWidth="1"/>
    <col min="7" max="7" width="10.81640625" bestFit="1" customWidth="1"/>
    <col min="8" max="8" width="25.6328125" bestFit="1" customWidth="1"/>
    <col min="9" max="9" width="18.26953125" bestFit="1" customWidth="1"/>
    <col min="10" max="10" width="16" bestFit="1" customWidth="1"/>
    <col min="11" max="11" width="37.81640625" bestFit="1" customWidth="1"/>
    <col min="12" max="12" width="22.1796875" bestFit="1" customWidth="1"/>
  </cols>
  <sheetData>
    <row r="1" spans="1:15" x14ac:dyDescent="0.35">
      <c r="A1" t="s">
        <v>1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58</v>
      </c>
      <c r="O1" t="s">
        <v>166</v>
      </c>
    </row>
    <row r="2" spans="1:15" x14ac:dyDescent="0.35">
      <c r="A2" t="s">
        <v>61</v>
      </c>
      <c r="B2" t="s">
        <v>15</v>
      </c>
      <c r="C2">
        <v>0</v>
      </c>
      <c r="N2">
        <v>0</v>
      </c>
      <c r="O2" t="s">
        <v>167</v>
      </c>
    </row>
    <row r="3" spans="1:15" x14ac:dyDescent="0.35">
      <c r="A3" t="s">
        <v>63</v>
      </c>
      <c r="B3" t="s">
        <v>3</v>
      </c>
      <c r="C3">
        <v>611</v>
      </c>
      <c r="E3">
        <v>145</v>
      </c>
      <c r="G3">
        <v>529</v>
      </c>
      <c r="J3">
        <v>2950</v>
      </c>
      <c r="N3">
        <v>4235</v>
      </c>
      <c r="O3" t="s">
        <v>168</v>
      </c>
    </row>
    <row r="4" spans="1:15" x14ac:dyDescent="0.35">
      <c r="A4" t="s">
        <v>64</v>
      </c>
      <c r="B4" t="s">
        <v>5</v>
      </c>
      <c r="C4">
        <v>780</v>
      </c>
      <c r="D4">
        <v>385</v>
      </c>
      <c r="G4">
        <v>143</v>
      </c>
      <c r="I4">
        <v>247</v>
      </c>
      <c r="J4">
        <v>257</v>
      </c>
      <c r="K4">
        <v>1113</v>
      </c>
      <c r="M4">
        <v>1194</v>
      </c>
      <c r="N4">
        <v>4119</v>
      </c>
      <c r="O4" t="s">
        <v>169</v>
      </c>
    </row>
    <row r="5" spans="1:15" x14ac:dyDescent="0.35">
      <c r="A5" t="s">
        <v>65</v>
      </c>
      <c r="B5" t="s">
        <v>7</v>
      </c>
      <c r="C5">
        <v>60</v>
      </c>
      <c r="D5">
        <v>48</v>
      </c>
      <c r="E5">
        <v>7</v>
      </c>
      <c r="F5">
        <v>10</v>
      </c>
      <c r="G5">
        <v>95</v>
      </c>
      <c r="H5">
        <v>60</v>
      </c>
      <c r="I5">
        <v>40</v>
      </c>
      <c r="J5">
        <v>490</v>
      </c>
      <c r="K5">
        <v>189</v>
      </c>
      <c r="L5">
        <v>30</v>
      </c>
      <c r="M5">
        <v>597</v>
      </c>
      <c r="N5">
        <v>1626</v>
      </c>
      <c r="O5" t="s">
        <v>170</v>
      </c>
    </row>
    <row r="6" spans="1:15" x14ac:dyDescent="0.35">
      <c r="A6" t="s">
        <v>67</v>
      </c>
      <c r="B6" t="s">
        <v>6</v>
      </c>
      <c r="C6">
        <v>1492</v>
      </c>
      <c r="D6">
        <v>385</v>
      </c>
      <c r="E6">
        <v>62</v>
      </c>
      <c r="G6">
        <v>594</v>
      </c>
      <c r="I6">
        <v>1170</v>
      </c>
      <c r="J6">
        <v>1170</v>
      </c>
      <c r="N6">
        <v>4873</v>
      </c>
      <c r="O6" t="s">
        <v>167</v>
      </c>
    </row>
    <row r="7" spans="1:15" x14ac:dyDescent="0.35">
      <c r="A7" t="s">
        <v>69</v>
      </c>
      <c r="B7" t="s">
        <v>4</v>
      </c>
      <c r="C7">
        <v>325</v>
      </c>
      <c r="D7">
        <v>240</v>
      </c>
      <c r="G7">
        <v>39</v>
      </c>
      <c r="I7">
        <v>196</v>
      </c>
      <c r="J7">
        <v>1467</v>
      </c>
      <c r="K7">
        <v>322</v>
      </c>
      <c r="M7">
        <v>194</v>
      </c>
      <c r="N7">
        <v>2783</v>
      </c>
      <c r="O7" t="s">
        <v>171</v>
      </c>
    </row>
    <row r="8" spans="1:15" x14ac:dyDescent="0.35">
      <c r="A8" t="s">
        <v>70</v>
      </c>
      <c r="B8" t="s">
        <v>10</v>
      </c>
      <c r="C8">
        <v>800</v>
      </c>
      <c r="J8">
        <v>2660</v>
      </c>
      <c r="K8">
        <v>800</v>
      </c>
      <c r="N8">
        <v>4260</v>
      </c>
      <c r="O8" t="s">
        <v>167</v>
      </c>
    </row>
    <row r="9" spans="1:15" x14ac:dyDescent="0.35">
      <c r="A9" t="s">
        <v>172</v>
      </c>
      <c r="B9" t="s">
        <v>14</v>
      </c>
      <c r="F9">
        <v>7</v>
      </c>
      <c r="M9">
        <v>83</v>
      </c>
      <c r="N9">
        <v>90</v>
      </c>
      <c r="O9" t="s">
        <v>167</v>
      </c>
    </row>
    <row r="10" spans="1:15" x14ac:dyDescent="0.35">
      <c r="A10" t="s">
        <v>72</v>
      </c>
      <c r="B10" t="s">
        <v>8</v>
      </c>
      <c r="C10">
        <v>18</v>
      </c>
      <c r="N10">
        <v>18</v>
      </c>
      <c r="O10" t="s">
        <v>167</v>
      </c>
    </row>
    <row r="11" spans="1:15" x14ac:dyDescent="0.35">
      <c r="A11" t="s">
        <v>73</v>
      </c>
      <c r="B11" t="s">
        <v>43</v>
      </c>
      <c r="C11">
        <v>330</v>
      </c>
      <c r="D11">
        <v>30</v>
      </c>
      <c r="G11">
        <v>80</v>
      </c>
      <c r="H11">
        <v>180</v>
      </c>
      <c r="I11">
        <v>2084</v>
      </c>
      <c r="J11">
        <v>2920</v>
      </c>
      <c r="K11">
        <v>220</v>
      </c>
      <c r="N11">
        <v>5844</v>
      </c>
      <c r="O11" t="s">
        <v>167</v>
      </c>
    </row>
    <row r="12" spans="1:15" x14ac:dyDescent="0.35">
      <c r="A12" t="s">
        <v>74</v>
      </c>
      <c r="B12" t="s">
        <v>13</v>
      </c>
      <c r="I12">
        <v>29</v>
      </c>
      <c r="J12">
        <v>40</v>
      </c>
      <c r="N12">
        <v>69</v>
      </c>
      <c r="O12" t="s">
        <v>173</v>
      </c>
    </row>
    <row r="13" spans="1:15" x14ac:dyDescent="0.35">
      <c r="A13" t="s">
        <v>75</v>
      </c>
      <c r="B13" t="s">
        <v>12</v>
      </c>
      <c r="C13">
        <v>60</v>
      </c>
      <c r="D13">
        <v>315</v>
      </c>
      <c r="F13">
        <v>10</v>
      </c>
      <c r="H13">
        <v>5</v>
      </c>
      <c r="I13">
        <v>120</v>
      </c>
      <c r="J13">
        <v>60</v>
      </c>
      <c r="L13">
        <v>50</v>
      </c>
      <c r="M13">
        <v>408</v>
      </c>
      <c r="N13">
        <v>1028</v>
      </c>
      <c r="O13" t="s">
        <v>170</v>
      </c>
    </row>
    <row r="14" spans="1:15" x14ac:dyDescent="0.35">
      <c r="A14" t="s">
        <v>76</v>
      </c>
      <c r="B14" t="s">
        <v>9</v>
      </c>
      <c r="C14">
        <v>254</v>
      </c>
      <c r="D14">
        <v>48</v>
      </c>
      <c r="H14">
        <v>151</v>
      </c>
      <c r="J14">
        <v>1007</v>
      </c>
      <c r="K14">
        <v>1106</v>
      </c>
      <c r="M14">
        <v>450</v>
      </c>
      <c r="N14">
        <v>3016</v>
      </c>
      <c r="O14" t="s">
        <v>167</v>
      </c>
    </row>
    <row r="15" spans="1:15" x14ac:dyDescent="0.35">
      <c r="A15" t="s">
        <v>174</v>
      </c>
      <c r="B15" t="s">
        <v>11</v>
      </c>
      <c r="C15">
        <v>6020</v>
      </c>
      <c r="E15">
        <v>66</v>
      </c>
      <c r="G15">
        <v>178</v>
      </c>
      <c r="H15">
        <v>328</v>
      </c>
      <c r="I15">
        <v>3453</v>
      </c>
      <c r="J15">
        <v>24061</v>
      </c>
      <c r="K15">
        <v>2571</v>
      </c>
      <c r="M15">
        <v>3151</v>
      </c>
      <c r="N15">
        <v>39828</v>
      </c>
      <c r="O15" t="s">
        <v>167</v>
      </c>
    </row>
    <row r="16" spans="1:15" x14ac:dyDescent="0.35">
      <c r="A16" t="s">
        <v>78</v>
      </c>
      <c r="B16" t="s">
        <v>23</v>
      </c>
      <c r="C16">
        <v>767</v>
      </c>
      <c r="I16">
        <v>492</v>
      </c>
      <c r="J16">
        <v>962</v>
      </c>
      <c r="K16">
        <v>27</v>
      </c>
      <c r="M16">
        <v>1304</v>
      </c>
      <c r="N16">
        <v>3552</v>
      </c>
      <c r="O16" t="s">
        <v>167</v>
      </c>
    </row>
    <row r="17" spans="1:15" x14ac:dyDescent="0.35">
      <c r="A17" t="s">
        <v>79</v>
      </c>
      <c r="B17" t="s">
        <v>16</v>
      </c>
      <c r="J17">
        <v>400</v>
      </c>
      <c r="M17">
        <v>1023</v>
      </c>
      <c r="N17">
        <v>1423</v>
      </c>
      <c r="O17" t="s">
        <v>175</v>
      </c>
    </row>
    <row r="18" spans="1:15" x14ac:dyDescent="0.35">
      <c r="A18" t="s">
        <v>80</v>
      </c>
      <c r="B18" t="s">
        <v>41</v>
      </c>
      <c r="G18">
        <v>44</v>
      </c>
      <c r="H18">
        <v>30</v>
      </c>
      <c r="I18">
        <v>80</v>
      </c>
      <c r="J18">
        <v>160</v>
      </c>
      <c r="K18">
        <v>78</v>
      </c>
      <c r="M18">
        <v>58</v>
      </c>
      <c r="N18">
        <v>450</v>
      </c>
      <c r="O18" t="s">
        <v>167</v>
      </c>
    </row>
    <row r="19" spans="1:15" x14ac:dyDescent="0.35">
      <c r="A19" t="s">
        <v>81</v>
      </c>
      <c r="B19" t="s">
        <v>17</v>
      </c>
      <c r="C19">
        <v>3114</v>
      </c>
      <c r="D19">
        <v>880</v>
      </c>
      <c r="E19">
        <v>189</v>
      </c>
      <c r="F19">
        <v>64</v>
      </c>
      <c r="G19">
        <v>699</v>
      </c>
      <c r="H19">
        <v>2878</v>
      </c>
      <c r="I19">
        <v>2440</v>
      </c>
      <c r="J19">
        <v>6298</v>
      </c>
      <c r="K19">
        <v>1220</v>
      </c>
      <c r="L19">
        <v>1613</v>
      </c>
      <c r="M19">
        <v>3672</v>
      </c>
      <c r="N19">
        <v>23067</v>
      </c>
      <c r="O19" t="s">
        <v>176</v>
      </c>
    </row>
    <row r="20" spans="1:15" x14ac:dyDescent="0.35">
      <c r="A20" t="s">
        <v>82</v>
      </c>
      <c r="B20" t="s">
        <v>18</v>
      </c>
      <c r="C20">
        <v>46</v>
      </c>
      <c r="D20">
        <v>16</v>
      </c>
      <c r="G20">
        <v>2</v>
      </c>
      <c r="I20">
        <v>34</v>
      </c>
      <c r="J20">
        <v>95</v>
      </c>
      <c r="K20">
        <v>6</v>
      </c>
      <c r="N20">
        <v>199</v>
      </c>
      <c r="O20" t="s">
        <v>167</v>
      </c>
    </row>
    <row r="21" spans="1:15" x14ac:dyDescent="0.35">
      <c r="A21" t="s">
        <v>83</v>
      </c>
      <c r="B21" t="s">
        <v>21</v>
      </c>
      <c r="C21">
        <v>23</v>
      </c>
      <c r="J21">
        <v>137</v>
      </c>
      <c r="K21">
        <v>6</v>
      </c>
      <c r="N21">
        <v>166</v>
      </c>
      <c r="O21" t="s">
        <v>167</v>
      </c>
    </row>
    <row r="22" spans="1:15" x14ac:dyDescent="0.35">
      <c r="A22" t="s">
        <v>84</v>
      </c>
      <c r="B22" t="s">
        <v>19</v>
      </c>
      <c r="C22">
        <v>1566</v>
      </c>
      <c r="G22">
        <v>343</v>
      </c>
      <c r="I22">
        <v>4827</v>
      </c>
      <c r="J22">
        <v>21271</v>
      </c>
      <c r="K22">
        <v>396</v>
      </c>
      <c r="N22">
        <v>28403</v>
      </c>
      <c r="O22" t="s">
        <v>177</v>
      </c>
    </row>
    <row r="23" spans="1:15" x14ac:dyDescent="0.35">
      <c r="A23" t="s">
        <v>85</v>
      </c>
      <c r="B23" t="s">
        <v>20</v>
      </c>
      <c r="C23">
        <v>767</v>
      </c>
      <c r="D23">
        <v>74</v>
      </c>
      <c r="G23">
        <v>113</v>
      </c>
      <c r="H23">
        <v>34</v>
      </c>
      <c r="I23">
        <v>492</v>
      </c>
      <c r="J23">
        <v>964</v>
      </c>
      <c r="K23">
        <v>27</v>
      </c>
      <c r="M23">
        <v>1304</v>
      </c>
      <c r="N23">
        <v>3775</v>
      </c>
      <c r="O23" t="s">
        <v>167</v>
      </c>
    </row>
    <row r="24" spans="1:15" x14ac:dyDescent="0.35">
      <c r="A24" t="s">
        <v>86</v>
      </c>
      <c r="B24" t="s">
        <v>22</v>
      </c>
      <c r="K24">
        <v>23</v>
      </c>
      <c r="M24">
        <v>489</v>
      </c>
      <c r="N24">
        <v>512</v>
      </c>
      <c r="O24" t="s">
        <v>167</v>
      </c>
    </row>
    <row r="25" spans="1:15" x14ac:dyDescent="0.35">
      <c r="A25" t="s">
        <v>87</v>
      </c>
      <c r="B25" t="s">
        <v>24</v>
      </c>
      <c r="C25">
        <v>558</v>
      </c>
      <c r="E25">
        <v>36</v>
      </c>
      <c r="G25">
        <v>379</v>
      </c>
      <c r="H25">
        <v>20</v>
      </c>
      <c r="J25">
        <v>1070</v>
      </c>
      <c r="K25">
        <v>519</v>
      </c>
      <c r="M25">
        <v>366</v>
      </c>
      <c r="N25">
        <v>2948</v>
      </c>
      <c r="O25" t="s">
        <v>178</v>
      </c>
    </row>
    <row r="26" spans="1:15" x14ac:dyDescent="0.35">
      <c r="A26" t="s">
        <v>88</v>
      </c>
      <c r="B26" t="s">
        <v>26</v>
      </c>
      <c r="C26">
        <v>8</v>
      </c>
      <c r="D26">
        <v>22</v>
      </c>
      <c r="E26">
        <v>8</v>
      </c>
      <c r="G26">
        <v>33</v>
      </c>
      <c r="H26">
        <v>20</v>
      </c>
      <c r="I26">
        <v>69</v>
      </c>
      <c r="J26">
        <v>376</v>
      </c>
      <c r="K26">
        <v>20</v>
      </c>
      <c r="N26">
        <v>556</v>
      </c>
      <c r="O26" t="s">
        <v>167</v>
      </c>
    </row>
    <row r="27" spans="1:15" x14ac:dyDescent="0.35">
      <c r="A27" t="s">
        <v>89</v>
      </c>
      <c r="B27" t="s">
        <v>25</v>
      </c>
      <c r="C27">
        <v>29</v>
      </c>
      <c r="D27">
        <v>50</v>
      </c>
      <c r="G27">
        <v>22</v>
      </c>
      <c r="J27">
        <v>63</v>
      </c>
      <c r="K27">
        <v>56</v>
      </c>
      <c r="M27">
        <v>50</v>
      </c>
      <c r="N27">
        <v>270</v>
      </c>
      <c r="O27" t="s">
        <v>167</v>
      </c>
    </row>
    <row r="28" spans="1:15" x14ac:dyDescent="0.35">
      <c r="A28" t="s">
        <v>90</v>
      </c>
      <c r="B28" t="s">
        <v>27</v>
      </c>
      <c r="C28">
        <v>316</v>
      </c>
      <c r="D28">
        <v>156</v>
      </c>
      <c r="I28">
        <v>2473</v>
      </c>
      <c r="J28">
        <v>2540</v>
      </c>
      <c r="K28">
        <v>116</v>
      </c>
      <c r="M28">
        <v>297</v>
      </c>
      <c r="N28">
        <v>5898</v>
      </c>
      <c r="O28" t="s">
        <v>167</v>
      </c>
    </row>
    <row r="29" spans="1:15" x14ac:dyDescent="0.35">
      <c r="A29" t="s">
        <v>91</v>
      </c>
      <c r="B29" t="s">
        <v>32</v>
      </c>
      <c r="C29">
        <v>115</v>
      </c>
      <c r="D29">
        <v>167</v>
      </c>
      <c r="G29">
        <v>110</v>
      </c>
      <c r="H29">
        <v>189</v>
      </c>
      <c r="I29">
        <v>1171</v>
      </c>
      <c r="J29">
        <v>386</v>
      </c>
      <c r="K29">
        <v>175</v>
      </c>
      <c r="M29">
        <v>616</v>
      </c>
      <c r="N29">
        <v>2929</v>
      </c>
      <c r="O29" t="s">
        <v>167</v>
      </c>
    </row>
    <row r="30" spans="1:15" x14ac:dyDescent="0.35">
      <c r="A30" t="s">
        <v>92</v>
      </c>
      <c r="B30" t="s">
        <v>28</v>
      </c>
      <c r="N30">
        <v>0</v>
      </c>
      <c r="O30" t="s">
        <v>167</v>
      </c>
    </row>
    <row r="31" spans="1:15" x14ac:dyDescent="0.35">
      <c r="A31" t="s">
        <v>93</v>
      </c>
      <c r="B31" t="s">
        <v>30</v>
      </c>
      <c r="D31">
        <v>76</v>
      </c>
      <c r="J31">
        <v>113</v>
      </c>
      <c r="M31">
        <v>366</v>
      </c>
      <c r="N31">
        <v>555</v>
      </c>
      <c r="O31" t="s">
        <v>167</v>
      </c>
    </row>
    <row r="32" spans="1:15" x14ac:dyDescent="0.35">
      <c r="A32" t="s">
        <v>94</v>
      </c>
      <c r="B32" t="s">
        <v>31</v>
      </c>
      <c r="C32">
        <v>432</v>
      </c>
      <c r="I32">
        <v>40</v>
      </c>
      <c r="J32">
        <v>175</v>
      </c>
      <c r="M32">
        <v>39</v>
      </c>
      <c r="N32">
        <v>686</v>
      </c>
      <c r="O32" t="s">
        <v>179</v>
      </c>
    </row>
    <row r="33" spans="1:15" x14ac:dyDescent="0.35">
      <c r="A33" t="s">
        <v>95</v>
      </c>
      <c r="B33" t="s">
        <v>29</v>
      </c>
      <c r="C33">
        <v>819</v>
      </c>
      <c r="D33">
        <v>146</v>
      </c>
      <c r="E33">
        <v>161</v>
      </c>
      <c r="H33">
        <v>112</v>
      </c>
      <c r="I33">
        <v>140</v>
      </c>
      <c r="J33">
        <v>580</v>
      </c>
      <c r="K33">
        <v>248</v>
      </c>
      <c r="L33">
        <v>20</v>
      </c>
      <c r="N33">
        <v>2226</v>
      </c>
      <c r="O33" t="s">
        <v>180</v>
      </c>
    </row>
    <row r="34" spans="1:15" x14ac:dyDescent="0.35">
      <c r="A34" t="s">
        <v>96</v>
      </c>
      <c r="B34" t="s">
        <v>33</v>
      </c>
      <c r="C34">
        <v>475</v>
      </c>
      <c r="D34">
        <v>3</v>
      </c>
      <c r="G34">
        <v>247</v>
      </c>
      <c r="H34">
        <v>31</v>
      </c>
      <c r="I34">
        <v>1414</v>
      </c>
      <c r="J34">
        <v>200</v>
      </c>
      <c r="K34">
        <v>121</v>
      </c>
      <c r="M34">
        <v>175</v>
      </c>
      <c r="N34">
        <v>2666</v>
      </c>
      <c r="O34" t="s">
        <v>181</v>
      </c>
    </row>
    <row r="35" spans="1:15" x14ac:dyDescent="0.35">
      <c r="A35" t="s">
        <v>97</v>
      </c>
      <c r="B35" t="s">
        <v>34</v>
      </c>
      <c r="C35">
        <v>370</v>
      </c>
      <c r="D35">
        <v>14</v>
      </c>
      <c r="I35">
        <v>124</v>
      </c>
      <c r="J35">
        <v>305</v>
      </c>
      <c r="K35">
        <v>45</v>
      </c>
      <c r="M35">
        <v>1891</v>
      </c>
      <c r="N35">
        <v>2749</v>
      </c>
      <c r="O35" t="s">
        <v>182</v>
      </c>
    </row>
    <row r="36" spans="1:15" x14ac:dyDescent="0.35">
      <c r="A36" t="s">
        <v>98</v>
      </c>
      <c r="B36" t="s">
        <v>35</v>
      </c>
      <c r="C36">
        <v>4340</v>
      </c>
      <c r="E36">
        <v>459</v>
      </c>
      <c r="I36">
        <v>375</v>
      </c>
      <c r="J36">
        <v>12835</v>
      </c>
      <c r="K36">
        <v>1774</v>
      </c>
      <c r="N36">
        <v>19783</v>
      </c>
      <c r="O36" t="s">
        <v>167</v>
      </c>
    </row>
    <row r="37" spans="1:15" x14ac:dyDescent="0.35">
      <c r="A37" t="s">
        <v>99</v>
      </c>
      <c r="B37" t="s">
        <v>36</v>
      </c>
      <c r="C37">
        <v>11</v>
      </c>
      <c r="G37">
        <v>95</v>
      </c>
      <c r="I37">
        <v>176</v>
      </c>
      <c r="J37">
        <v>355</v>
      </c>
      <c r="M37">
        <v>81</v>
      </c>
      <c r="N37">
        <v>718</v>
      </c>
      <c r="O37" t="s">
        <v>167</v>
      </c>
    </row>
    <row r="38" spans="1:15" x14ac:dyDescent="0.35">
      <c r="A38" t="s">
        <v>100</v>
      </c>
      <c r="B38" t="s">
        <v>40</v>
      </c>
      <c r="N38">
        <v>0</v>
      </c>
      <c r="O38" t="s">
        <v>167</v>
      </c>
    </row>
    <row r="39" spans="1:15" x14ac:dyDescent="0.35">
      <c r="A39" t="s">
        <v>101</v>
      </c>
      <c r="B39" t="s">
        <v>37</v>
      </c>
      <c r="C39">
        <v>434</v>
      </c>
      <c r="D39">
        <v>137</v>
      </c>
      <c r="E39">
        <v>67</v>
      </c>
      <c r="G39">
        <v>171</v>
      </c>
      <c r="I39">
        <v>104</v>
      </c>
      <c r="J39">
        <v>582</v>
      </c>
      <c r="K39">
        <v>36</v>
      </c>
      <c r="M39">
        <v>710</v>
      </c>
      <c r="N39">
        <v>2241</v>
      </c>
      <c r="O39" t="s">
        <v>167</v>
      </c>
    </row>
    <row r="40" spans="1:15" x14ac:dyDescent="0.35">
      <c r="A40" t="s">
        <v>102</v>
      </c>
      <c r="B40" t="s">
        <v>42</v>
      </c>
      <c r="C40">
        <v>10</v>
      </c>
      <c r="H40">
        <v>20</v>
      </c>
      <c r="I40">
        <v>10</v>
      </c>
      <c r="J40">
        <v>40</v>
      </c>
      <c r="M40">
        <v>80</v>
      </c>
      <c r="N40">
        <v>160</v>
      </c>
      <c r="O40" t="s">
        <v>167</v>
      </c>
    </row>
    <row r="41" spans="1:15" x14ac:dyDescent="0.35">
      <c r="A41" t="s">
        <v>103</v>
      </c>
      <c r="B41" t="s">
        <v>38</v>
      </c>
      <c r="C41">
        <v>217</v>
      </c>
      <c r="G41">
        <v>69</v>
      </c>
      <c r="H41">
        <v>51</v>
      </c>
      <c r="I41">
        <v>120</v>
      </c>
      <c r="J41">
        <v>1755</v>
      </c>
      <c r="K41">
        <v>90</v>
      </c>
      <c r="M41">
        <v>186</v>
      </c>
      <c r="N41">
        <v>2488</v>
      </c>
      <c r="O41" t="s">
        <v>167</v>
      </c>
    </row>
    <row r="42" spans="1:15" x14ac:dyDescent="0.35">
      <c r="A42" t="s">
        <v>104</v>
      </c>
      <c r="B42" t="s">
        <v>47</v>
      </c>
      <c r="C42">
        <v>998</v>
      </c>
      <c r="E42">
        <v>805</v>
      </c>
      <c r="G42">
        <v>1291</v>
      </c>
      <c r="J42">
        <v>3154</v>
      </c>
      <c r="K42">
        <v>451</v>
      </c>
      <c r="M42">
        <v>13559</v>
      </c>
      <c r="N42">
        <v>20258</v>
      </c>
      <c r="O42" t="s">
        <v>183</v>
      </c>
    </row>
    <row r="43" spans="1:15" x14ac:dyDescent="0.35">
      <c r="A43" t="s">
        <v>105</v>
      </c>
      <c r="B43" t="s">
        <v>39</v>
      </c>
      <c r="I43">
        <v>307</v>
      </c>
      <c r="J43">
        <v>241</v>
      </c>
      <c r="K43">
        <v>681</v>
      </c>
      <c r="M43">
        <v>484</v>
      </c>
      <c r="N43">
        <v>1713</v>
      </c>
      <c r="O43" t="s">
        <v>167</v>
      </c>
    </row>
    <row r="44" spans="1:15" x14ac:dyDescent="0.35">
      <c r="A44" t="s">
        <v>106</v>
      </c>
      <c r="B44" t="s">
        <v>45</v>
      </c>
      <c r="C44">
        <v>330</v>
      </c>
      <c r="D44">
        <v>1597</v>
      </c>
      <c r="E44">
        <v>80</v>
      </c>
      <c r="H44">
        <v>629</v>
      </c>
      <c r="I44">
        <v>2084</v>
      </c>
      <c r="J44" s="47">
        <v>4607</v>
      </c>
      <c r="K44">
        <v>17</v>
      </c>
      <c r="M44">
        <v>5457</v>
      </c>
      <c r="N44">
        <v>13114</v>
      </c>
      <c r="O44" t="s">
        <v>184</v>
      </c>
    </row>
    <row r="45" spans="1:15" x14ac:dyDescent="0.35">
      <c r="A45" t="s">
        <v>107</v>
      </c>
      <c r="B45" t="s">
        <v>44</v>
      </c>
      <c r="C45">
        <v>77</v>
      </c>
      <c r="D45">
        <v>37</v>
      </c>
      <c r="G45">
        <v>60</v>
      </c>
      <c r="I45">
        <v>130</v>
      </c>
      <c r="J45">
        <v>240</v>
      </c>
      <c r="K45">
        <v>215</v>
      </c>
      <c r="M45">
        <v>250</v>
      </c>
      <c r="N45">
        <v>1009</v>
      </c>
      <c r="O45" t="s">
        <v>185</v>
      </c>
    </row>
    <row r="46" spans="1:15" x14ac:dyDescent="0.35">
      <c r="A46" t="s">
        <v>108</v>
      </c>
      <c r="B46" t="s">
        <v>46</v>
      </c>
      <c r="C46">
        <v>1997</v>
      </c>
      <c r="D46">
        <v>246</v>
      </c>
      <c r="E46">
        <v>41</v>
      </c>
      <c r="F46">
        <v>220</v>
      </c>
      <c r="G46">
        <v>120</v>
      </c>
      <c r="H46">
        <v>1860</v>
      </c>
      <c r="I46">
        <v>8990</v>
      </c>
      <c r="J46">
        <v>14001</v>
      </c>
      <c r="K46">
        <v>3610</v>
      </c>
      <c r="M46">
        <v>1020</v>
      </c>
      <c r="N46">
        <v>32105</v>
      </c>
      <c r="O46" t="s">
        <v>167</v>
      </c>
    </row>
    <row r="47" spans="1:15" x14ac:dyDescent="0.35">
      <c r="A47" t="s">
        <v>109</v>
      </c>
      <c r="B47" t="s">
        <v>48</v>
      </c>
      <c r="C47">
        <v>100</v>
      </c>
      <c r="F47">
        <v>36</v>
      </c>
      <c r="H47">
        <v>180</v>
      </c>
      <c r="I47">
        <v>1939</v>
      </c>
      <c r="J47">
        <v>5272</v>
      </c>
      <c r="K47">
        <v>282</v>
      </c>
      <c r="L47">
        <v>100</v>
      </c>
      <c r="M47">
        <v>400</v>
      </c>
      <c r="N47">
        <v>8309</v>
      </c>
      <c r="O47" t="s">
        <v>186</v>
      </c>
    </row>
    <row r="48" spans="1:15" x14ac:dyDescent="0.35">
      <c r="A48" t="s">
        <v>110</v>
      </c>
      <c r="B48" t="s">
        <v>49</v>
      </c>
      <c r="C48">
        <v>265</v>
      </c>
      <c r="D48">
        <v>30</v>
      </c>
      <c r="E48">
        <v>80</v>
      </c>
      <c r="F48">
        <v>30</v>
      </c>
      <c r="G48">
        <v>155</v>
      </c>
      <c r="H48">
        <v>30</v>
      </c>
      <c r="I48">
        <v>270</v>
      </c>
      <c r="J48">
        <v>1100</v>
      </c>
      <c r="K48">
        <v>358</v>
      </c>
      <c r="M48">
        <v>421</v>
      </c>
      <c r="N48">
        <v>2739</v>
      </c>
      <c r="O48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A0C8-D819-4555-ABB6-16E6735CC7B8}">
  <dimension ref="A1:B193"/>
  <sheetViews>
    <sheetView workbookViewId="0">
      <selection activeCell="E9" sqref="E9"/>
    </sheetView>
  </sheetViews>
  <sheetFormatPr defaultRowHeight="14.5" x14ac:dyDescent="0.35"/>
  <sheetData>
    <row r="1" spans="1:2" x14ac:dyDescent="0.35">
      <c r="A1" t="s">
        <v>50</v>
      </c>
      <c r="B1" t="s">
        <v>189</v>
      </c>
    </row>
    <row r="2" spans="1:2" x14ac:dyDescent="0.35">
      <c r="A2" t="s">
        <v>190</v>
      </c>
      <c r="B2">
        <v>4593</v>
      </c>
    </row>
    <row r="3" spans="1:2" x14ac:dyDescent="0.35">
      <c r="A3" t="s">
        <v>191</v>
      </c>
      <c r="B3">
        <v>778</v>
      </c>
    </row>
    <row r="4" spans="1:2" x14ac:dyDescent="0.35">
      <c r="A4" t="s">
        <v>3</v>
      </c>
      <c r="B4">
        <v>79</v>
      </c>
    </row>
    <row r="5" spans="1:2" x14ac:dyDescent="0.35">
      <c r="A5" t="s">
        <v>192</v>
      </c>
      <c r="B5">
        <v>1976</v>
      </c>
    </row>
    <row r="6" spans="1:2" x14ac:dyDescent="0.35">
      <c r="A6" t="s">
        <v>193</v>
      </c>
      <c r="B6">
        <v>23</v>
      </c>
    </row>
    <row r="7" spans="1:2" x14ac:dyDescent="0.35">
      <c r="A7" t="s">
        <v>194</v>
      </c>
      <c r="B7">
        <v>569</v>
      </c>
    </row>
    <row r="8" spans="1:2" x14ac:dyDescent="0.35">
      <c r="A8" t="s">
        <v>195</v>
      </c>
      <c r="B8">
        <v>2919</v>
      </c>
    </row>
    <row r="9" spans="1:2" x14ac:dyDescent="0.35">
      <c r="A9" t="s">
        <v>196</v>
      </c>
      <c r="B9">
        <v>1994</v>
      </c>
    </row>
    <row r="10" spans="1:2" x14ac:dyDescent="0.35">
      <c r="A10" t="s">
        <v>197</v>
      </c>
      <c r="B10">
        <v>915</v>
      </c>
    </row>
    <row r="11" spans="1:2" x14ac:dyDescent="0.35">
      <c r="A11" t="s">
        <v>198</v>
      </c>
      <c r="B11">
        <v>5337</v>
      </c>
    </row>
    <row r="12" spans="1:2" x14ac:dyDescent="0.35">
      <c r="A12" t="s">
        <v>199</v>
      </c>
      <c r="B12">
        <v>1169</v>
      </c>
    </row>
    <row r="13" spans="1:2" x14ac:dyDescent="0.35">
      <c r="A13" t="s">
        <v>200</v>
      </c>
      <c r="B13">
        <v>1036</v>
      </c>
    </row>
    <row r="14" spans="1:2" x14ac:dyDescent="0.35">
      <c r="A14" t="s">
        <v>4</v>
      </c>
      <c r="B14">
        <v>13</v>
      </c>
    </row>
    <row r="15" spans="1:2" x14ac:dyDescent="0.35">
      <c r="A15" t="s">
        <v>201</v>
      </c>
      <c r="B15">
        <v>14143</v>
      </c>
    </row>
    <row r="16" spans="1:2" x14ac:dyDescent="0.35">
      <c r="A16" t="s">
        <v>5</v>
      </c>
      <c r="B16">
        <v>6</v>
      </c>
    </row>
    <row r="17" spans="1:2" x14ac:dyDescent="0.35">
      <c r="A17" t="s">
        <v>6</v>
      </c>
      <c r="B17">
        <v>73</v>
      </c>
    </row>
    <row r="18" spans="1:2" x14ac:dyDescent="0.35">
      <c r="A18" t="s">
        <v>202</v>
      </c>
      <c r="B18">
        <v>1313</v>
      </c>
    </row>
    <row r="19" spans="1:2" x14ac:dyDescent="0.35">
      <c r="A19" t="s">
        <v>203</v>
      </c>
      <c r="B19">
        <v>2183</v>
      </c>
    </row>
    <row r="20" spans="1:2" x14ac:dyDescent="0.35">
      <c r="A20" t="s">
        <v>204</v>
      </c>
      <c r="B20">
        <v>11</v>
      </c>
    </row>
    <row r="21" spans="1:2" x14ac:dyDescent="0.35">
      <c r="A21" t="s">
        <v>205</v>
      </c>
      <c r="B21">
        <v>919</v>
      </c>
    </row>
    <row r="22" spans="1:2" x14ac:dyDescent="0.35">
      <c r="A22" t="s">
        <v>206</v>
      </c>
      <c r="B22">
        <v>2962</v>
      </c>
    </row>
    <row r="23" spans="1:2" x14ac:dyDescent="0.35">
      <c r="A23" t="s">
        <v>207</v>
      </c>
      <c r="B23">
        <v>1338</v>
      </c>
    </row>
    <row r="24" spans="1:2" x14ac:dyDescent="0.35">
      <c r="A24" t="s">
        <v>208</v>
      </c>
      <c r="B24">
        <v>1110</v>
      </c>
    </row>
    <row r="25" spans="1:2" x14ac:dyDescent="0.35">
      <c r="A25" t="s">
        <v>209</v>
      </c>
      <c r="B25">
        <v>1687</v>
      </c>
    </row>
    <row r="26" spans="1:2" x14ac:dyDescent="0.35">
      <c r="A26" t="s">
        <v>210</v>
      </c>
      <c r="B26">
        <v>6034</v>
      </c>
    </row>
    <row r="27" spans="1:2" x14ac:dyDescent="0.35">
      <c r="A27" t="s">
        <v>211</v>
      </c>
      <c r="B27">
        <v>2307</v>
      </c>
    </row>
    <row r="28" spans="1:2" x14ac:dyDescent="0.35">
      <c r="A28" t="s">
        <v>212</v>
      </c>
      <c r="B28">
        <v>4</v>
      </c>
    </row>
    <row r="29" spans="1:2" x14ac:dyDescent="0.35">
      <c r="A29" t="s">
        <v>213</v>
      </c>
      <c r="B29">
        <v>78</v>
      </c>
    </row>
    <row r="30" spans="1:2" x14ac:dyDescent="0.35">
      <c r="A30" t="s">
        <v>7</v>
      </c>
      <c r="B30">
        <v>282</v>
      </c>
    </row>
    <row r="31" spans="1:2" x14ac:dyDescent="0.35">
      <c r="A31" t="s">
        <v>8</v>
      </c>
      <c r="B31">
        <v>1</v>
      </c>
    </row>
    <row r="32" spans="1:2" x14ac:dyDescent="0.35">
      <c r="A32" t="s">
        <v>214</v>
      </c>
      <c r="B32">
        <v>18519</v>
      </c>
    </row>
    <row r="33" spans="1:2" x14ac:dyDescent="0.35">
      <c r="A33" t="s">
        <v>215</v>
      </c>
      <c r="B33">
        <v>1499</v>
      </c>
    </row>
    <row r="34" spans="1:2" x14ac:dyDescent="0.35">
      <c r="A34" t="s">
        <v>216</v>
      </c>
      <c r="B34">
        <v>2065</v>
      </c>
    </row>
    <row r="35" spans="1:2" x14ac:dyDescent="0.35">
      <c r="A35" t="s">
        <v>217</v>
      </c>
      <c r="B35">
        <v>22035</v>
      </c>
    </row>
    <row r="36" spans="1:2" x14ac:dyDescent="0.35">
      <c r="A36" t="s">
        <v>9</v>
      </c>
      <c r="B36">
        <v>380</v>
      </c>
    </row>
    <row r="37" spans="1:2" x14ac:dyDescent="0.35">
      <c r="A37" t="s">
        <v>10</v>
      </c>
      <c r="B37">
        <v>8229</v>
      </c>
    </row>
    <row r="38" spans="1:2" x14ac:dyDescent="0.35">
      <c r="A38" t="s">
        <v>11</v>
      </c>
      <c r="B38">
        <v>70</v>
      </c>
    </row>
    <row r="39" spans="1:2" x14ac:dyDescent="0.35">
      <c r="A39" t="s">
        <v>12</v>
      </c>
      <c r="B39">
        <v>288</v>
      </c>
    </row>
    <row r="40" spans="1:2" x14ac:dyDescent="0.35">
      <c r="A40" t="s">
        <v>218</v>
      </c>
      <c r="B40">
        <v>4</v>
      </c>
    </row>
    <row r="41" spans="1:2" x14ac:dyDescent="0.35">
      <c r="A41" t="s">
        <v>219</v>
      </c>
      <c r="B41">
        <v>9410</v>
      </c>
    </row>
    <row r="42" spans="1:2" x14ac:dyDescent="0.35">
      <c r="A42" t="s">
        <v>14</v>
      </c>
      <c r="B42">
        <v>274</v>
      </c>
    </row>
    <row r="43" spans="1:2" x14ac:dyDescent="0.35">
      <c r="A43" t="s">
        <v>220</v>
      </c>
      <c r="B43">
        <v>1702</v>
      </c>
    </row>
    <row r="44" spans="1:2" x14ac:dyDescent="0.35">
      <c r="A44" t="s">
        <v>221</v>
      </c>
      <c r="B44">
        <v>18135</v>
      </c>
    </row>
    <row r="45" spans="1:2" x14ac:dyDescent="0.35">
      <c r="A45" t="s">
        <v>222</v>
      </c>
      <c r="B45">
        <v>565</v>
      </c>
    </row>
    <row r="46" spans="1:2" x14ac:dyDescent="0.35">
      <c r="A46" t="s">
        <v>223</v>
      </c>
      <c r="B46">
        <v>1593</v>
      </c>
    </row>
    <row r="47" spans="1:2" x14ac:dyDescent="0.35">
      <c r="A47" t="s">
        <v>224</v>
      </c>
      <c r="B47">
        <v>35443</v>
      </c>
    </row>
    <row r="48" spans="1:2" x14ac:dyDescent="0.35">
      <c r="A48" t="s">
        <v>225</v>
      </c>
      <c r="B48">
        <v>498</v>
      </c>
    </row>
    <row r="49" spans="1:2" x14ac:dyDescent="0.35">
      <c r="A49" t="s">
        <v>226</v>
      </c>
      <c r="B49">
        <v>1513</v>
      </c>
    </row>
    <row r="50" spans="1:2" x14ac:dyDescent="0.35">
      <c r="A50" t="s">
        <v>227</v>
      </c>
      <c r="B50">
        <v>10421</v>
      </c>
    </row>
    <row r="51" spans="1:2" x14ac:dyDescent="0.35">
      <c r="A51" t="s">
        <v>15</v>
      </c>
      <c r="B51">
        <v>1080</v>
      </c>
    </row>
    <row r="52" spans="1:2" x14ac:dyDescent="0.35">
      <c r="A52" t="s">
        <v>228</v>
      </c>
      <c r="B52">
        <v>5377</v>
      </c>
    </row>
    <row r="53" spans="1:2" x14ac:dyDescent="0.35">
      <c r="A53" t="s">
        <v>229</v>
      </c>
      <c r="B53">
        <v>1134</v>
      </c>
    </row>
    <row r="54" spans="1:2" x14ac:dyDescent="0.35">
      <c r="A54" t="s">
        <v>16</v>
      </c>
      <c r="B54">
        <v>1766</v>
      </c>
    </row>
    <row r="55" spans="1:2" x14ac:dyDescent="0.35">
      <c r="A55" t="s">
        <v>230</v>
      </c>
      <c r="B55">
        <v>10016</v>
      </c>
    </row>
    <row r="56" spans="1:2" x14ac:dyDescent="0.35">
      <c r="A56" t="s">
        <v>231</v>
      </c>
      <c r="B56">
        <v>1205</v>
      </c>
    </row>
    <row r="57" spans="1:2" x14ac:dyDescent="0.35">
      <c r="A57" t="s">
        <v>17</v>
      </c>
      <c r="B57">
        <v>6314</v>
      </c>
    </row>
    <row r="58" spans="1:2" x14ac:dyDescent="0.35">
      <c r="A58" t="s">
        <v>232</v>
      </c>
      <c r="B58">
        <v>1945</v>
      </c>
    </row>
    <row r="59" spans="1:2" x14ac:dyDescent="0.35">
      <c r="A59" t="s">
        <v>233</v>
      </c>
      <c r="B59">
        <v>1364</v>
      </c>
    </row>
    <row r="60" spans="1:2" x14ac:dyDescent="0.35">
      <c r="A60" t="s">
        <v>234</v>
      </c>
      <c r="B60">
        <v>17613</v>
      </c>
    </row>
    <row r="61" spans="1:2" x14ac:dyDescent="0.35">
      <c r="A61" t="s">
        <v>235</v>
      </c>
      <c r="B61">
        <v>52</v>
      </c>
    </row>
    <row r="62" spans="1:2" x14ac:dyDescent="0.35">
      <c r="A62" t="s">
        <v>18</v>
      </c>
      <c r="B62">
        <v>106</v>
      </c>
    </row>
    <row r="63" spans="1:2" x14ac:dyDescent="0.35">
      <c r="A63" t="s">
        <v>236</v>
      </c>
      <c r="B63">
        <v>47183</v>
      </c>
    </row>
    <row r="64" spans="1:2" x14ac:dyDescent="0.35">
      <c r="A64" t="s">
        <v>237</v>
      </c>
      <c r="B64">
        <v>1388</v>
      </c>
    </row>
    <row r="65" spans="1:2" x14ac:dyDescent="0.35">
      <c r="A65" t="s">
        <v>19</v>
      </c>
      <c r="B65">
        <v>12554</v>
      </c>
    </row>
    <row r="66" spans="1:2" x14ac:dyDescent="0.35">
      <c r="A66" t="s">
        <v>20</v>
      </c>
      <c r="B66">
        <v>325</v>
      </c>
    </row>
    <row r="67" spans="1:2" x14ac:dyDescent="0.35">
      <c r="A67" t="s">
        <v>21</v>
      </c>
      <c r="B67">
        <v>405</v>
      </c>
    </row>
    <row r="68" spans="1:2" x14ac:dyDescent="0.35">
      <c r="A68" t="s">
        <v>22</v>
      </c>
      <c r="B68">
        <v>52</v>
      </c>
    </row>
    <row r="69" spans="1:2" x14ac:dyDescent="0.35">
      <c r="A69" t="s">
        <v>23</v>
      </c>
      <c r="B69">
        <v>10</v>
      </c>
    </row>
    <row r="70" spans="1:2" x14ac:dyDescent="0.35">
      <c r="A70" t="s">
        <v>238</v>
      </c>
      <c r="B70">
        <v>1752</v>
      </c>
    </row>
    <row r="71" spans="1:2" x14ac:dyDescent="0.35">
      <c r="A71" t="s">
        <v>239</v>
      </c>
      <c r="B71">
        <v>1540</v>
      </c>
    </row>
    <row r="72" spans="1:2" x14ac:dyDescent="0.35">
      <c r="A72" t="s">
        <v>240</v>
      </c>
      <c r="B72">
        <v>3865</v>
      </c>
    </row>
    <row r="73" spans="1:2" x14ac:dyDescent="0.35">
      <c r="A73" t="s">
        <v>241</v>
      </c>
      <c r="B73">
        <v>11803</v>
      </c>
    </row>
    <row r="74" spans="1:2" x14ac:dyDescent="0.35">
      <c r="A74" t="s">
        <v>242</v>
      </c>
      <c r="B74">
        <v>2568</v>
      </c>
    </row>
    <row r="75" spans="1:2" x14ac:dyDescent="0.35">
      <c r="A75" t="s">
        <v>243</v>
      </c>
      <c r="B75">
        <v>959</v>
      </c>
    </row>
    <row r="76" spans="1:2" x14ac:dyDescent="0.35">
      <c r="A76" t="s">
        <v>244</v>
      </c>
      <c r="B76">
        <v>34828</v>
      </c>
    </row>
    <row r="77" spans="1:2" x14ac:dyDescent="0.35">
      <c r="A77" t="s">
        <v>245</v>
      </c>
      <c r="B77">
        <v>1634</v>
      </c>
    </row>
    <row r="78" spans="1:2" x14ac:dyDescent="0.35">
      <c r="A78" t="s">
        <v>246</v>
      </c>
      <c r="B78">
        <v>3282</v>
      </c>
    </row>
    <row r="79" spans="1:2" x14ac:dyDescent="0.35">
      <c r="A79" t="s">
        <v>247</v>
      </c>
      <c r="B79">
        <v>91232</v>
      </c>
    </row>
    <row r="80" spans="1:2" x14ac:dyDescent="0.35">
      <c r="A80" t="s">
        <v>248</v>
      </c>
      <c r="B80">
        <v>7675</v>
      </c>
    </row>
    <row r="81" spans="1:2" x14ac:dyDescent="0.35">
      <c r="A81" t="s">
        <v>249</v>
      </c>
      <c r="B81">
        <v>6893</v>
      </c>
    </row>
    <row r="82" spans="1:2" x14ac:dyDescent="0.35">
      <c r="A82" t="s">
        <v>250</v>
      </c>
      <c r="B82">
        <v>1739</v>
      </c>
    </row>
    <row r="83" spans="1:2" x14ac:dyDescent="0.35">
      <c r="A83" t="s">
        <v>251</v>
      </c>
      <c r="B83">
        <v>309</v>
      </c>
    </row>
    <row r="84" spans="1:2" x14ac:dyDescent="0.35">
      <c r="A84" t="s">
        <v>252</v>
      </c>
      <c r="B84">
        <v>541</v>
      </c>
    </row>
    <row r="85" spans="1:2" x14ac:dyDescent="0.35">
      <c r="A85" t="s">
        <v>253</v>
      </c>
      <c r="B85">
        <v>8746</v>
      </c>
    </row>
    <row r="86" spans="1:2" x14ac:dyDescent="0.35">
      <c r="A86" t="s">
        <v>254</v>
      </c>
      <c r="B86">
        <v>38437</v>
      </c>
    </row>
    <row r="87" spans="1:2" x14ac:dyDescent="0.35">
      <c r="A87" t="s">
        <v>255</v>
      </c>
      <c r="B87">
        <v>927</v>
      </c>
    </row>
    <row r="88" spans="1:2" x14ac:dyDescent="0.35">
      <c r="A88" t="s">
        <v>256</v>
      </c>
      <c r="B88">
        <v>9665</v>
      </c>
    </row>
    <row r="89" spans="1:2" x14ac:dyDescent="0.35">
      <c r="A89" t="s">
        <v>257</v>
      </c>
      <c r="B89">
        <v>2043</v>
      </c>
    </row>
    <row r="90" spans="1:2" x14ac:dyDescent="0.35">
      <c r="A90" t="s">
        <v>24</v>
      </c>
      <c r="B90">
        <v>14668</v>
      </c>
    </row>
    <row r="91" spans="1:2" x14ac:dyDescent="0.35">
      <c r="A91" t="s">
        <v>258</v>
      </c>
      <c r="B91">
        <v>4</v>
      </c>
    </row>
    <row r="92" spans="1:2" x14ac:dyDescent="0.35">
      <c r="A92" t="s">
        <v>259</v>
      </c>
      <c r="B92">
        <v>1498</v>
      </c>
    </row>
    <row r="93" spans="1:2" x14ac:dyDescent="0.35">
      <c r="A93" t="s">
        <v>260</v>
      </c>
      <c r="B93">
        <v>1</v>
      </c>
    </row>
    <row r="94" spans="1:2" x14ac:dyDescent="0.35">
      <c r="A94" t="s">
        <v>261</v>
      </c>
      <c r="B94">
        <v>2065</v>
      </c>
    </row>
    <row r="95" spans="1:2" x14ac:dyDescent="0.35">
      <c r="A95" t="s">
        <v>262</v>
      </c>
      <c r="B95">
        <v>422</v>
      </c>
    </row>
    <row r="96" spans="1:2" x14ac:dyDescent="0.35">
      <c r="A96" t="s">
        <v>263</v>
      </c>
      <c r="B96">
        <v>239</v>
      </c>
    </row>
    <row r="97" spans="1:2" x14ac:dyDescent="0.35">
      <c r="A97" t="s">
        <v>264</v>
      </c>
      <c r="B97">
        <v>2261</v>
      </c>
    </row>
    <row r="98" spans="1:2" x14ac:dyDescent="0.35">
      <c r="A98" t="s">
        <v>265</v>
      </c>
      <c r="B98">
        <v>2678</v>
      </c>
    </row>
    <row r="99" spans="1:2" x14ac:dyDescent="0.35">
      <c r="A99" t="s">
        <v>25</v>
      </c>
      <c r="B99">
        <v>5694</v>
      </c>
    </row>
    <row r="100" spans="1:2" x14ac:dyDescent="0.35">
      <c r="A100" t="s">
        <v>266</v>
      </c>
      <c r="B100">
        <v>168</v>
      </c>
    </row>
    <row r="101" spans="1:2" x14ac:dyDescent="0.35">
      <c r="A101" t="s">
        <v>267</v>
      </c>
      <c r="B101">
        <v>697</v>
      </c>
    </row>
    <row r="102" spans="1:2" x14ac:dyDescent="0.35">
      <c r="A102" t="s">
        <v>268</v>
      </c>
      <c r="B102">
        <v>996</v>
      </c>
    </row>
    <row r="103" spans="1:2" x14ac:dyDescent="0.35">
      <c r="A103" t="s">
        <v>26</v>
      </c>
      <c r="B103">
        <v>91</v>
      </c>
    </row>
    <row r="104" spans="1:2" x14ac:dyDescent="0.35">
      <c r="A104" t="s">
        <v>269</v>
      </c>
      <c r="B104">
        <v>1189</v>
      </c>
    </row>
    <row r="105" spans="1:2" x14ac:dyDescent="0.35">
      <c r="A105" t="s">
        <v>270</v>
      </c>
      <c r="B105">
        <v>57</v>
      </c>
    </row>
    <row r="106" spans="1:2" x14ac:dyDescent="0.35">
      <c r="A106" t="s">
        <v>271</v>
      </c>
      <c r="B106">
        <v>644</v>
      </c>
    </row>
    <row r="107" spans="1:2" x14ac:dyDescent="0.35">
      <c r="A107" t="s">
        <v>272</v>
      </c>
      <c r="B107">
        <v>108</v>
      </c>
    </row>
    <row r="108" spans="1:2" x14ac:dyDescent="0.35">
      <c r="A108" t="s">
        <v>273</v>
      </c>
      <c r="B108">
        <v>756</v>
      </c>
    </row>
    <row r="109" spans="1:2" x14ac:dyDescent="0.35">
      <c r="A109" t="s">
        <v>27</v>
      </c>
      <c r="B109">
        <v>3</v>
      </c>
    </row>
    <row r="110" spans="1:2" x14ac:dyDescent="0.35">
      <c r="A110" t="s">
        <v>274</v>
      </c>
      <c r="B110">
        <v>7</v>
      </c>
    </row>
    <row r="111" spans="1:2" x14ac:dyDescent="0.35">
      <c r="A111" t="s">
        <v>275</v>
      </c>
      <c r="B111">
        <v>38878</v>
      </c>
    </row>
    <row r="112" spans="1:2" x14ac:dyDescent="0.35">
      <c r="A112" t="s">
        <v>276</v>
      </c>
      <c r="B112">
        <v>111</v>
      </c>
    </row>
    <row r="113" spans="1:2" x14ac:dyDescent="0.35">
      <c r="A113" t="s">
        <v>277</v>
      </c>
      <c r="B113">
        <v>228</v>
      </c>
    </row>
    <row r="114" spans="1:2" x14ac:dyDescent="0.35">
      <c r="A114" t="s">
        <v>28</v>
      </c>
      <c r="B114">
        <v>52</v>
      </c>
    </row>
    <row r="115" spans="1:2" x14ac:dyDescent="0.35">
      <c r="A115" t="s">
        <v>278</v>
      </c>
      <c r="B115">
        <v>124</v>
      </c>
    </row>
    <row r="116" spans="1:2" x14ac:dyDescent="0.35">
      <c r="A116" t="s">
        <v>279</v>
      </c>
      <c r="B116">
        <v>963</v>
      </c>
    </row>
    <row r="117" spans="1:2" x14ac:dyDescent="0.35">
      <c r="A117" t="s">
        <v>280</v>
      </c>
      <c r="B117">
        <v>498</v>
      </c>
    </row>
    <row r="118" spans="1:2" x14ac:dyDescent="0.35">
      <c r="A118" t="s">
        <v>281</v>
      </c>
      <c r="B118">
        <v>8</v>
      </c>
    </row>
    <row r="119" spans="1:2" x14ac:dyDescent="0.35">
      <c r="A119" t="s">
        <v>29</v>
      </c>
      <c r="B119">
        <v>30</v>
      </c>
    </row>
    <row r="120" spans="1:2" x14ac:dyDescent="0.35">
      <c r="A120" t="s">
        <v>30</v>
      </c>
      <c r="B120">
        <v>12</v>
      </c>
    </row>
    <row r="121" spans="1:2" x14ac:dyDescent="0.35">
      <c r="A121" t="s">
        <v>31</v>
      </c>
      <c r="B121">
        <v>475</v>
      </c>
    </row>
    <row r="122" spans="1:2" x14ac:dyDescent="0.35">
      <c r="A122" t="s">
        <v>32</v>
      </c>
      <c r="B122">
        <v>200</v>
      </c>
    </row>
    <row r="123" spans="1:2" x14ac:dyDescent="0.35">
      <c r="A123" t="s">
        <v>282</v>
      </c>
      <c r="B123">
        <v>1732</v>
      </c>
    </row>
    <row r="124" spans="1:2" x14ac:dyDescent="0.35">
      <c r="A124" t="s">
        <v>33</v>
      </c>
      <c r="B124">
        <v>70</v>
      </c>
    </row>
    <row r="125" spans="1:2" x14ac:dyDescent="0.35">
      <c r="A125" t="s">
        <v>34</v>
      </c>
      <c r="B125">
        <v>72</v>
      </c>
    </row>
    <row r="126" spans="1:2" x14ac:dyDescent="0.35">
      <c r="A126" t="s">
        <v>35</v>
      </c>
      <c r="B126">
        <v>40900</v>
      </c>
    </row>
    <row r="127" spans="1:2" x14ac:dyDescent="0.35">
      <c r="A127" t="s">
        <v>283</v>
      </c>
      <c r="B127">
        <v>2372</v>
      </c>
    </row>
    <row r="128" spans="1:2" x14ac:dyDescent="0.35">
      <c r="A128" t="s">
        <v>284</v>
      </c>
      <c r="B128">
        <v>2</v>
      </c>
    </row>
    <row r="129" spans="1:2" x14ac:dyDescent="0.35">
      <c r="A129" t="s">
        <v>285</v>
      </c>
      <c r="B129">
        <v>4007</v>
      </c>
    </row>
    <row r="130" spans="1:2" x14ac:dyDescent="0.35">
      <c r="A130" t="s">
        <v>286</v>
      </c>
      <c r="B130">
        <v>680</v>
      </c>
    </row>
    <row r="131" spans="1:2" x14ac:dyDescent="0.35">
      <c r="A131" t="s">
        <v>287</v>
      </c>
      <c r="B131">
        <v>2630</v>
      </c>
    </row>
    <row r="132" spans="1:2" x14ac:dyDescent="0.35">
      <c r="A132" t="s">
        <v>288</v>
      </c>
      <c r="B132">
        <v>12</v>
      </c>
    </row>
    <row r="133" spans="1:2" x14ac:dyDescent="0.35">
      <c r="A133" t="s">
        <v>289</v>
      </c>
      <c r="B133">
        <v>8950</v>
      </c>
    </row>
    <row r="134" spans="1:2" x14ac:dyDescent="0.35">
      <c r="A134" t="s">
        <v>290</v>
      </c>
      <c r="B134">
        <v>46</v>
      </c>
    </row>
    <row r="135" spans="1:2" x14ac:dyDescent="0.35">
      <c r="A135" t="s">
        <v>291</v>
      </c>
      <c r="B135">
        <v>6626</v>
      </c>
    </row>
    <row r="136" spans="1:2" x14ac:dyDescent="0.35">
      <c r="A136" t="s">
        <v>292</v>
      </c>
      <c r="B136">
        <v>3811</v>
      </c>
    </row>
    <row r="137" spans="1:2" x14ac:dyDescent="0.35">
      <c r="A137" t="s">
        <v>293</v>
      </c>
      <c r="B137">
        <v>9167</v>
      </c>
    </row>
    <row r="138" spans="1:2" x14ac:dyDescent="0.35">
      <c r="A138" t="s">
        <v>294</v>
      </c>
      <c r="B138">
        <v>183349</v>
      </c>
    </row>
    <row r="139" spans="1:2" x14ac:dyDescent="0.35">
      <c r="A139" t="s">
        <v>295</v>
      </c>
      <c r="B139">
        <v>1</v>
      </c>
    </row>
    <row r="140" spans="1:2" x14ac:dyDescent="0.35">
      <c r="A140" t="s">
        <v>296</v>
      </c>
      <c r="B140">
        <v>4</v>
      </c>
    </row>
    <row r="141" spans="1:2" x14ac:dyDescent="0.35">
      <c r="A141" t="s">
        <v>297</v>
      </c>
      <c r="B141">
        <v>29627</v>
      </c>
    </row>
    <row r="142" spans="1:2" x14ac:dyDescent="0.35">
      <c r="A142" t="s">
        <v>298</v>
      </c>
      <c r="B142">
        <v>14</v>
      </c>
    </row>
    <row r="143" spans="1:2" x14ac:dyDescent="0.35">
      <c r="A143" t="s">
        <v>299</v>
      </c>
      <c r="B143">
        <v>8278</v>
      </c>
    </row>
    <row r="144" spans="1:2" x14ac:dyDescent="0.35">
      <c r="A144" t="s">
        <v>300</v>
      </c>
      <c r="B144">
        <v>279</v>
      </c>
    </row>
    <row r="145" spans="1:2" x14ac:dyDescent="0.35">
      <c r="A145" t="s">
        <v>301</v>
      </c>
      <c r="B145">
        <v>31</v>
      </c>
    </row>
    <row r="146" spans="1:2" x14ac:dyDescent="0.35">
      <c r="A146" t="s">
        <v>302</v>
      </c>
      <c r="B146">
        <v>27755</v>
      </c>
    </row>
    <row r="147" spans="1:2" x14ac:dyDescent="0.35">
      <c r="A147" t="s">
        <v>303</v>
      </c>
      <c r="B147">
        <v>18634</v>
      </c>
    </row>
    <row r="148" spans="1:2" x14ac:dyDescent="0.35">
      <c r="A148" t="s">
        <v>36</v>
      </c>
      <c r="B148">
        <v>84</v>
      </c>
    </row>
    <row r="149" spans="1:2" x14ac:dyDescent="0.35">
      <c r="A149" t="s">
        <v>304</v>
      </c>
      <c r="B149">
        <v>746</v>
      </c>
    </row>
    <row r="150" spans="1:2" x14ac:dyDescent="0.35">
      <c r="A150" t="s">
        <v>305</v>
      </c>
      <c r="B150">
        <v>125</v>
      </c>
    </row>
    <row r="151" spans="1:2" x14ac:dyDescent="0.35">
      <c r="A151" t="s">
        <v>37</v>
      </c>
      <c r="B151">
        <v>499</v>
      </c>
    </row>
    <row r="152" spans="1:2" x14ac:dyDescent="0.35">
      <c r="A152" t="s">
        <v>306</v>
      </c>
      <c r="B152">
        <v>1216</v>
      </c>
    </row>
    <row r="153" spans="1:2" x14ac:dyDescent="0.35">
      <c r="A153" t="s">
        <v>307</v>
      </c>
      <c r="B153">
        <v>1</v>
      </c>
    </row>
    <row r="154" spans="1:2" x14ac:dyDescent="0.35">
      <c r="A154" t="s">
        <v>38</v>
      </c>
      <c r="B154">
        <v>5947</v>
      </c>
    </row>
    <row r="155" spans="1:2" x14ac:dyDescent="0.35">
      <c r="A155" t="s">
        <v>308</v>
      </c>
      <c r="B155">
        <v>7126</v>
      </c>
    </row>
    <row r="156" spans="1:2" x14ac:dyDescent="0.35">
      <c r="A156" t="s">
        <v>309</v>
      </c>
      <c r="B156">
        <v>33</v>
      </c>
    </row>
    <row r="157" spans="1:2" x14ac:dyDescent="0.35">
      <c r="A157" t="s">
        <v>310</v>
      </c>
      <c r="B157">
        <v>2499</v>
      </c>
    </row>
    <row r="158" spans="1:2" x14ac:dyDescent="0.35">
      <c r="A158" t="s">
        <v>311</v>
      </c>
      <c r="B158">
        <v>1198</v>
      </c>
    </row>
    <row r="159" spans="1:2" x14ac:dyDescent="0.35">
      <c r="A159" t="s">
        <v>39</v>
      </c>
      <c r="B159">
        <v>130</v>
      </c>
    </row>
    <row r="160" spans="1:2" x14ac:dyDescent="0.35">
      <c r="A160" t="s">
        <v>40</v>
      </c>
      <c r="B160">
        <v>1</v>
      </c>
    </row>
    <row r="161" spans="1:2" x14ac:dyDescent="0.35">
      <c r="A161" t="s">
        <v>312</v>
      </c>
      <c r="B161">
        <v>418</v>
      </c>
    </row>
    <row r="162" spans="1:2" x14ac:dyDescent="0.35">
      <c r="A162" t="s">
        <v>313</v>
      </c>
      <c r="B162">
        <v>735</v>
      </c>
    </row>
    <row r="163" spans="1:2" x14ac:dyDescent="0.35">
      <c r="A163" t="s">
        <v>314</v>
      </c>
      <c r="B163">
        <v>98</v>
      </c>
    </row>
    <row r="164" spans="1:2" x14ac:dyDescent="0.35">
      <c r="A164" t="s">
        <v>315</v>
      </c>
      <c r="B164">
        <v>1959</v>
      </c>
    </row>
    <row r="165" spans="1:2" x14ac:dyDescent="0.35">
      <c r="A165" t="s">
        <v>41</v>
      </c>
      <c r="B165">
        <v>122</v>
      </c>
    </row>
    <row r="166" spans="1:2" x14ac:dyDescent="0.35">
      <c r="A166" t="s">
        <v>42</v>
      </c>
      <c r="B166">
        <v>64</v>
      </c>
    </row>
    <row r="167" spans="1:2" x14ac:dyDescent="0.35">
      <c r="A167" t="s">
        <v>316</v>
      </c>
      <c r="B167">
        <v>755</v>
      </c>
    </row>
    <row r="168" spans="1:2" x14ac:dyDescent="0.35">
      <c r="A168" t="s">
        <v>43</v>
      </c>
      <c r="B168">
        <v>67</v>
      </c>
    </row>
    <row r="169" spans="1:2" x14ac:dyDescent="0.35">
      <c r="A169" t="s">
        <v>44</v>
      </c>
      <c r="B169">
        <v>1116</v>
      </c>
    </row>
    <row r="170" spans="1:2" x14ac:dyDescent="0.35">
      <c r="A170" t="s">
        <v>317</v>
      </c>
      <c r="B170">
        <v>6299</v>
      </c>
    </row>
    <row r="171" spans="1:2" x14ac:dyDescent="0.35">
      <c r="A171" t="s">
        <v>318</v>
      </c>
      <c r="B171">
        <v>4</v>
      </c>
    </row>
    <row r="172" spans="1:2" x14ac:dyDescent="0.35">
      <c r="A172" t="s">
        <v>319</v>
      </c>
      <c r="B172">
        <v>1</v>
      </c>
    </row>
    <row r="173" spans="1:2" x14ac:dyDescent="0.35">
      <c r="A173" t="s">
        <v>320</v>
      </c>
      <c r="B173">
        <v>0</v>
      </c>
    </row>
    <row r="174" spans="1:2" x14ac:dyDescent="0.35">
      <c r="A174" t="s">
        <v>321</v>
      </c>
      <c r="B174">
        <v>567</v>
      </c>
    </row>
    <row r="175" spans="1:2" x14ac:dyDescent="0.35">
      <c r="A175" t="s">
        <v>322</v>
      </c>
      <c r="B175">
        <v>9236</v>
      </c>
    </row>
    <row r="176" spans="1:2" x14ac:dyDescent="0.35">
      <c r="A176" t="s">
        <v>323</v>
      </c>
      <c r="B176">
        <v>1888</v>
      </c>
    </row>
    <row r="177" spans="1:2" x14ac:dyDescent="0.35">
      <c r="A177" t="s">
        <v>324</v>
      </c>
      <c r="B177">
        <v>1612</v>
      </c>
    </row>
    <row r="178" spans="1:2" x14ac:dyDescent="0.35">
      <c r="A178" t="s">
        <v>45</v>
      </c>
      <c r="B178">
        <v>1019</v>
      </c>
    </row>
    <row r="179" spans="1:2" x14ac:dyDescent="0.35">
      <c r="A179" t="s">
        <v>46</v>
      </c>
      <c r="B179">
        <v>693</v>
      </c>
    </row>
    <row r="180" spans="1:2" x14ac:dyDescent="0.35">
      <c r="A180" t="s">
        <v>325</v>
      </c>
      <c r="B180">
        <v>9732</v>
      </c>
    </row>
    <row r="181" spans="1:2" x14ac:dyDescent="0.35">
      <c r="A181" t="s">
        <v>326</v>
      </c>
      <c r="B181">
        <v>426</v>
      </c>
    </row>
    <row r="182" spans="1:2" x14ac:dyDescent="0.35">
      <c r="A182" t="s">
        <v>327</v>
      </c>
      <c r="B182">
        <v>11980</v>
      </c>
    </row>
    <row r="183" spans="1:2" x14ac:dyDescent="0.35">
      <c r="A183" t="s">
        <v>328</v>
      </c>
      <c r="B183">
        <v>1559</v>
      </c>
    </row>
    <row r="184" spans="1:2" x14ac:dyDescent="0.35">
      <c r="A184" t="s">
        <v>329</v>
      </c>
      <c r="B184">
        <v>1439</v>
      </c>
    </row>
    <row r="185" spans="1:2" x14ac:dyDescent="0.35">
      <c r="A185" t="s">
        <v>330</v>
      </c>
      <c r="B185">
        <v>2657</v>
      </c>
    </row>
    <row r="186" spans="1:2" x14ac:dyDescent="0.35">
      <c r="A186" t="s">
        <v>331</v>
      </c>
      <c r="B186">
        <v>15773</v>
      </c>
    </row>
    <row r="187" spans="1:2" x14ac:dyDescent="0.35">
      <c r="A187" t="s">
        <v>332</v>
      </c>
      <c r="B187">
        <v>2</v>
      </c>
    </row>
    <row r="188" spans="1:2" x14ac:dyDescent="0.35">
      <c r="A188" t="s">
        <v>333</v>
      </c>
      <c r="B188">
        <v>348</v>
      </c>
    </row>
    <row r="189" spans="1:2" x14ac:dyDescent="0.35">
      <c r="A189" t="s">
        <v>334</v>
      </c>
      <c r="B189">
        <v>247</v>
      </c>
    </row>
    <row r="190" spans="1:2" x14ac:dyDescent="0.35">
      <c r="A190" t="s">
        <v>47</v>
      </c>
      <c r="B190">
        <v>9155</v>
      </c>
    </row>
    <row r="191" spans="1:2" x14ac:dyDescent="0.35">
      <c r="A191" t="s">
        <v>48</v>
      </c>
      <c r="B191">
        <v>1807</v>
      </c>
    </row>
    <row r="192" spans="1:2" x14ac:dyDescent="0.35">
      <c r="A192" t="s">
        <v>49</v>
      </c>
      <c r="B192">
        <v>7547</v>
      </c>
    </row>
    <row r="193" spans="1:2" x14ac:dyDescent="0.35">
      <c r="A193" t="s">
        <v>51</v>
      </c>
      <c r="B193">
        <v>1062626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Available</vt:lpstr>
      <vt:lpstr>Sheet4</vt:lpstr>
      <vt:lpstr>proportions</vt:lpstr>
      <vt:lpstr>Income</vt:lpstr>
      <vt:lpstr>Sheet7</vt:lpstr>
      <vt:lpstr>Sheet2</vt:lpstr>
      <vt:lpstr>Projections</vt:lpstr>
      <vt:lpstr>Education</vt:lpstr>
      <vt:lpstr>Edu updated</vt:lpstr>
      <vt:lpstr>Migration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2024-02-22T12:54:43Z</dcterms:created>
  <dcterms:modified xsi:type="dcterms:W3CDTF">2024-04-06T17:44:31Z</dcterms:modified>
</cp:coreProperties>
</file>