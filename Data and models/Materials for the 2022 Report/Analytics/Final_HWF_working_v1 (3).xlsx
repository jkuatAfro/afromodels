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9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0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1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2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3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4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5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16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"/>
    </mc:Choice>
  </mc:AlternateContent>
  <xr:revisionPtr revIDLastSave="0" documentId="13_ncr:1_{3D867BC7-2B2C-4C66-87C6-076DB075376C}" xr6:coauthVersionLast="47" xr6:coauthVersionMax="47" xr10:uidLastSave="{00000000-0000-0000-0000-000000000000}"/>
  <bookViews>
    <workbookView xWindow="-110" yWindow="-110" windowWidth="19420" windowHeight="10300" firstSheet="14" activeTab="16" xr2:uid="{D7026AA1-5BC8-405D-B603-1275BE2C63A6}"/>
  </bookViews>
  <sheets>
    <sheet name="Sheet1" sheetId="1" r:id="rId1"/>
    <sheet name="Doctors nurses and midwives" sheetId="2" r:id="rId2"/>
    <sheet name="Income level " sheetId="23" r:id="rId3"/>
    <sheet name="Economic groups" sheetId="4" r:id="rId4"/>
    <sheet name="Country codes" sheetId="7" r:id="rId5"/>
    <sheet name="Sheet4" sheetId="14" r:id="rId6"/>
    <sheet name="Sheet7" sheetId="17" r:id="rId7"/>
    <sheet name="Econ pivot" sheetId="22" r:id="rId8"/>
    <sheet name="Core and others density F" sheetId="13" r:id="rId9"/>
    <sheet name="Sheet2" sheetId="12" r:id="rId10"/>
    <sheet name="Pop" sheetId="3" r:id="rId11"/>
    <sheet name="Density and stock all" sheetId="8" r:id="rId12"/>
    <sheet name="Core density Final " sheetId="16" r:id="rId13"/>
    <sheet name="Core stock Final" sheetId="15" r:id="rId14"/>
    <sheet name="Age groups" sheetId="11" r:id="rId15"/>
    <sheet name="Midwifrey final" sheetId="18" r:id="rId16"/>
    <sheet name="Community health workers" sheetId="19" r:id="rId17"/>
    <sheet name="Other workers" sheetId="20" r:id="rId18"/>
    <sheet name="SDG 3c " sheetId="24" r:id="rId19"/>
    <sheet name="Sheet8" sheetId="21" r:id="rId20"/>
    <sheet name="SDG 3c all countries" sheetId="25" r:id="rId21"/>
    <sheet name="Med doctors" sheetId="26" r:id="rId22"/>
    <sheet name="nurses and midwives" sheetId="27" r:id="rId23"/>
    <sheet name="Dentists" sheetId="28" r:id="rId24"/>
    <sheet name="Pharmacists" sheetId="29" r:id="rId25"/>
    <sheet name="Synthesis" sheetId="30" r:id="rId26"/>
  </sheets>
  <definedNames>
    <definedName name="_xlnm._FilterDatabase" localSheetId="16" hidden="1">'Community health workers'!$B$1:$D$48</definedName>
    <definedName name="_xlnm._FilterDatabase" localSheetId="8" hidden="1">'Core and others density F'!$A$1:$AF$48</definedName>
    <definedName name="_xlnm._FilterDatabase" localSheetId="1" hidden="1">'Doctors nurses and midwives'!$B$191:$O$239</definedName>
    <definedName name="_xlnm._FilterDatabase" localSheetId="3" hidden="1">'Economic groups'!$L$4:$T$52</definedName>
    <definedName name="_xlnm._FilterDatabase" localSheetId="15" hidden="1">'Midwifrey final'!$A$52:$D$99</definedName>
    <definedName name="_xlnm._FilterDatabase" localSheetId="19" hidden="1">Sheet8!$A$7:$H$55</definedName>
  </definedNames>
  <calcPr calcId="191029"/>
  <pivotCaches>
    <pivotCache cacheId="0" r:id="rId27"/>
    <pivotCache cacheId="1" r:id="rId2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30" l="1"/>
  <c r="H5" i="30"/>
  <c r="H6" i="30"/>
  <c r="H7" i="30"/>
  <c r="H3" i="30"/>
  <c r="G4" i="30"/>
  <c r="G5" i="30"/>
  <c r="G6" i="30"/>
  <c r="G7" i="30"/>
  <c r="G3" i="30"/>
  <c r="F4" i="30"/>
  <c r="F5" i="30"/>
  <c r="F6" i="30"/>
  <c r="F7" i="30"/>
  <c r="F3" i="30"/>
  <c r="O137" i="4" l="1"/>
  <c r="O138" i="4"/>
  <c r="O139" i="4"/>
  <c r="O140" i="4"/>
  <c r="O141" i="4"/>
  <c r="O142" i="4"/>
  <c r="O143" i="4"/>
  <c r="O144" i="4"/>
  <c r="O136" i="4"/>
  <c r="O119" i="4"/>
  <c r="O120" i="4"/>
  <c r="O121" i="4"/>
  <c r="O122" i="4"/>
  <c r="O123" i="4"/>
  <c r="O124" i="4"/>
  <c r="O125" i="4"/>
  <c r="O126" i="4"/>
  <c r="O118" i="4"/>
  <c r="F9" i="21" l="1"/>
  <c r="G9" i="21"/>
  <c r="H9" i="21"/>
  <c r="F10" i="21"/>
  <c r="G10" i="21"/>
  <c r="H10" i="21"/>
  <c r="F11" i="21"/>
  <c r="G11" i="21"/>
  <c r="H11" i="21"/>
  <c r="F12" i="21"/>
  <c r="G12" i="21"/>
  <c r="H12" i="21"/>
  <c r="F13" i="21"/>
  <c r="G13" i="21"/>
  <c r="H13" i="21"/>
  <c r="F14" i="21"/>
  <c r="G14" i="21"/>
  <c r="H14" i="21"/>
  <c r="F15" i="21"/>
  <c r="G15" i="21"/>
  <c r="H15" i="21"/>
  <c r="F16" i="21"/>
  <c r="G16" i="21"/>
  <c r="H16" i="21"/>
  <c r="F17" i="21"/>
  <c r="G17" i="21"/>
  <c r="H17" i="21"/>
  <c r="F18" i="21"/>
  <c r="G18" i="21"/>
  <c r="H18" i="21"/>
  <c r="F19" i="21"/>
  <c r="G19" i="21"/>
  <c r="H19" i="21"/>
  <c r="F20" i="21"/>
  <c r="G20" i="21"/>
  <c r="H20" i="21"/>
  <c r="F21" i="21"/>
  <c r="G21" i="21"/>
  <c r="H21" i="21"/>
  <c r="F22" i="21"/>
  <c r="G22" i="21"/>
  <c r="H22" i="21"/>
  <c r="F23" i="21"/>
  <c r="G23" i="21"/>
  <c r="H23" i="21"/>
  <c r="F24" i="21"/>
  <c r="G24" i="21"/>
  <c r="H24" i="21"/>
  <c r="F25" i="21"/>
  <c r="G25" i="21"/>
  <c r="H25" i="21"/>
  <c r="F26" i="21"/>
  <c r="G26" i="21"/>
  <c r="H26" i="21"/>
  <c r="F27" i="21"/>
  <c r="G27" i="21"/>
  <c r="H27" i="21"/>
  <c r="F28" i="21"/>
  <c r="G28" i="21"/>
  <c r="H28" i="21"/>
  <c r="F29" i="21"/>
  <c r="G29" i="21"/>
  <c r="H29" i="21"/>
  <c r="F30" i="21"/>
  <c r="G30" i="21"/>
  <c r="H30" i="21"/>
  <c r="F31" i="21"/>
  <c r="G31" i="21"/>
  <c r="H31" i="21"/>
  <c r="F32" i="21"/>
  <c r="G32" i="21"/>
  <c r="H32" i="21"/>
  <c r="F33" i="21"/>
  <c r="G33" i="21"/>
  <c r="H33" i="21"/>
  <c r="F34" i="21"/>
  <c r="G34" i="21"/>
  <c r="H34" i="21"/>
  <c r="F35" i="21"/>
  <c r="G35" i="21"/>
  <c r="H35" i="21"/>
  <c r="F36" i="21"/>
  <c r="G36" i="21"/>
  <c r="H36" i="21"/>
  <c r="F37" i="21"/>
  <c r="G37" i="21"/>
  <c r="H37" i="21"/>
  <c r="F38" i="21"/>
  <c r="G38" i="21"/>
  <c r="H38" i="21"/>
  <c r="F39" i="21"/>
  <c r="G39" i="21"/>
  <c r="H39" i="21"/>
  <c r="F40" i="21"/>
  <c r="G40" i="21"/>
  <c r="H40" i="21"/>
  <c r="F41" i="21"/>
  <c r="G41" i="21"/>
  <c r="H41" i="21"/>
  <c r="F42" i="21"/>
  <c r="G42" i="21"/>
  <c r="H42" i="21"/>
  <c r="F43" i="21"/>
  <c r="G43" i="21"/>
  <c r="H43" i="21"/>
  <c r="F44" i="21"/>
  <c r="G44" i="21"/>
  <c r="H44" i="21"/>
  <c r="F45" i="21"/>
  <c r="G45" i="21"/>
  <c r="H45" i="21"/>
  <c r="F46" i="21"/>
  <c r="G46" i="21"/>
  <c r="H46" i="21"/>
  <c r="F47" i="21"/>
  <c r="G47" i="21"/>
  <c r="H47" i="21"/>
  <c r="F48" i="21"/>
  <c r="G48" i="21"/>
  <c r="H48" i="21"/>
  <c r="F49" i="21"/>
  <c r="G49" i="21"/>
  <c r="H49" i="21"/>
  <c r="F50" i="21"/>
  <c r="G50" i="21"/>
  <c r="H50" i="21"/>
  <c r="F51" i="21"/>
  <c r="G51" i="21"/>
  <c r="H51" i="21"/>
  <c r="F52" i="21"/>
  <c r="G52" i="21"/>
  <c r="H52" i="21"/>
  <c r="F53" i="21"/>
  <c r="G53" i="21"/>
  <c r="H53" i="21"/>
  <c r="F54" i="21"/>
  <c r="G54" i="21"/>
  <c r="H54" i="21"/>
  <c r="F55" i="21"/>
  <c r="G55" i="21"/>
  <c r="H55" i="21"/>
  <c r="G8" i="21"/>
  <c r="H8" i="21"/>
  <c r="F8" i="21"/>
  <c r="C2" i="21"/>
  <c r="D2" i="21"/>
  <c r="B2" i="21"/>
  <c r="F1" i="21"/>
  <c r="C100" i="18"/>
  <c r="D100" i="18"/>
  <c r="B100" i="18"/>
  <c r="C57" i="16"/>
  <c r="D57" i="16"/>
  <c r="G54" i="16" s="1"/>
  <c r="B57" i="16"/>
  <c r="E57" i="16" s="1"/>
  <c r="F57" i="16"/>
  <c r="G56" i="16"/>
  <c r="F56" i="16"/>
  <c r="G55" i="16"/>
  <c r="F55" i="16"/>
  <c r="E55" i="16"/>
  <c r="F54" i="16"/>
  <c r="F54" i="15"/>
  <c r="G54" i="15"/>
  <c r="F55" i="15"/>
  <c r="G55" i="15"/>
  <c r="F56" i="15"/>
  <c r="G56" i="15"/>
  <c r="F57" i="15"/>
  <c r="G57" i="15"/>
  <c r="E54" i="15"/>
  <c r="E57" i="15"/>
  <c r="E56" i="15"/>
  <c r="E55" i="15"/>
  <c r="V3" i="13"/>
  <c r="V4" i="13"/>
  <c r="V5" i="13"/>
  <c r="V6" i="13"/>
  <c r="V7" i="13"/>
  <c r="V8" i="13"/>
  <c r="V9" i="13"/>
  <c r="V10" i="13"/>
  <c r="V11" i="13"/>
  <c r="V12" i="13"/>
  <c r="V13" i="13"/>
  <c r="V14" i="13"/>
  <c r="V15" i="13"/>
  <c r="V16" i="13"/>
  <c r="V17" i="13"/>
  <c r="V18" i="13"/>
  <c r="V19" i="13"/>
  <c r="V20" i="13"/>
  <c r="V21" i="13"/>
  <c r="V22" i="13"/>
  <c r="V23" i="13"/>
  <c r="V24" i="13"/>
  <c r="V25" i="13"/>
  <c r="V26" i="13"/>
  <c r="V27" i="13"/>
  <c r="V28" i="13"/>
  <c r="V29" i="13"/>
  <c r="V30" i="13"/>
  <c r="V31" i="13"/>
  <c r="V32" i="13"/>
  <c r="V33" i="13"/>
  <c r="V34" i="13"/>
  <c r="V35" i="13"/>
  <c r="V36" i="13"/>
  <c r="V37" i="13"/>
  <c r="V38" i="13"/>
  <c r="V39" i="13"/>
  <c r="V40" i="13"/>
  <c r="V41" i="13"/>
  <c r="V42" i="13"/>
  <c r="V43" i="13"/>
  <c r="V44" i="13"/>
  <c r="V45" i="13"/>
  <c r="V46" i="13"/>
  <c r="V47" i="13"/>
  <c r="V48" i="13"/>
  <c r="V2" i="13"/>
  <c r="G57" i="16" l="1"/>
  <c r="E56" i="16"/>
  <c r="E54" i="16"/>
  <c r="C13" i="8"/>
  <c r="C14" i="8"/>
  <c r="C12" i="8"/>
  <c r="P11" i="8"/>
  <c r="P12" i="8"/>
  <c r="P13" i="8"/>
  <c r="S10" i="8"/>
  <c r="S9" i="8"/>
  <c r="S8" i="8"/>
  <c r="F9" i="8"/>
  <c r="F10" i="8"/>
  <c r="F8" i="8"/>
  <c r="Q12" i="8"/>
  <c r="D14" i="8"/>
  <c r="D12" i="8"/>
  <c r="AB43" i="11" l="1"/>
  <c r="AA43" i="11"/>
  <c r="AB42" i="11"/>
  <c r="AA42" i="11"/>
  <c r="AB41" i="11"/>
  <c r="AA41" i="11"/>
  <c r="AB40" i="11"/>
  <c r="AA40" i="11"/>
  <c r="AB39" i="11"/>
  <c r="AA39" i="11"/>
  <c r="AB38" i="11"/>
  <c r="AA38" i="11"/>
  <c r="AB32" i="11"/>
  <c r="AA32" i="11"/>
  <c r="AB31" i="11"/>
  <c r="AA31" i="11"/>
  <c r="AB30" i="11"/>
  <c r="AA30" i="11"/>
  <c r="AB29" i="11"/>
  <c r="AA29" i="11"/>
  <c r="AB28" i="11"/>
  <c r="AA28" i="11"/>
  <c r="AB27" i="11"/>
  <c r="AA27" i="11"/>
  <c r="AB20" i="11"/>
  <c r="AA20" i="11"/>
  <c r="AB19" i="11"/>
  <c r="AA19" i="11"/>
  <c r="AB18" i="11"/>
  <c r="AA18" i="11"/>
  <c r="AB17" i="11"/>
  <c r="AA17" i="11"/>
  <c r="AB16" i="11"/>
  <c r="AA16" i="11"/>
  <c r="AB15" i="11"/>
  <c r="AA15" i="11"/>
  <c r="AB4" i="11"/>
  <c r="AB5" i="11"/>
  <c r="AB6" i="11"/>
  <c r="AB7" i="11"/>
  <c r="AB8" i="11"/>
  <c r="AB3" i="11"/>
  <c r="AA4" i="11"/>
  <c r="AA5" i="11"/>
  <c r="AA6" i="11"/>
  <c r="AA7" i="11"/>
  <c r="AA8" i="11"/>
  <c r="AA3" i="11"/>
  <c r="U38" i="11"/>
  <c r="V38" i="11"/>
  <c r="W38" i="11"/>
  <c r="X38" i="11"/>
  <c r="Y38" i="11"/>
  <c r="U39" i="11"/>
  <c r="V39" i="11"/>
  <c r="W39" i="11"/>
  <c r="X39" i="11"/>
  <c r="Y39" i="11"/>
  <c r="U40" i="11"/>
  <c r="V40" i="11"/>
  <c r="W40" i="11"/>
  <c r="X40" i="11"/>
  <c r="Y40" i="11"/>
  <c r="U41" i="11"/>
  <c r="V41" i="11"/>
  <c r="W41" i="11"/>
  <c r="X41" i="11"/>
  <c r="Y41" i="11"/>
  <c r="U42" i="11"/>
  <c r="V42" i="11"/>
  <c r="W42" i="11"/>
  <c r="X42" i="11"/>
  <c r="Y42" i="11"/>
  <c r="U43" i="11"/>
  <c r="V43" i="11"/>
  <c r="W43" i="11"/>
  <c r="X43" i="11"/>
  <c r="Y43" i="11"/>
  <c r="T43" i="11"/>
  <c r="T42" i="11"/>
  <c r="T41" i="11"/>
  <c r="T40" i="11"/>
  <c r="T39" i="11"/>
  <c r="T38" i="11"/>
  <c r="U27" i="11"/>
  <c r="V27" i="11"/>
  <c r="W27" i="11"/>
  <c r="X27" i="11"/>
  <c r="Y27" i="11"/>
  <c r="U28" i="11"/>
  <c r="V28" i="11"/>
  <c r="W28" i="11"/>
  <c r="X28" i="11"/>
  <c r="Y28" i="11"/>
  <c r="U29" i="11"/>
  <c r="V29" i="11"/>
  <c r="W29" i="11"/>
  <c r="X29" i="11"/>
  <c r="Y29" i="11"/>
  <c r="U30" i="11"/>
  <c r="V30" i="11"/>
  <c r="W30" i="11"/>
  <c r="X30" i="11"/>
  <c r="Y30" i="11"/>
  <c r="U31" i="11"/>
  <c r="V31" i="11"/>
  <c r="W31" i="11"/>
  <c r="X31" i="11"/>
  <c r="Y31" i="11"/>
  <c r="U32" i="11"/>
  <c r="V32" i="11"/>
  <c r="W32" i="11"/>
  <c r="X32" i="11"/>
  <c r="Y32" i="11"/>
  <c r="T32" i="11"/>
  <c r="T31" i="11"/>
  <c r="T30" i="11"/>
  <c r="T29" i="11"/>
  <c r="T28" i="11"/>
  <c r="T27" i="11"/>
  <c r="U15" i="11"/>
  <c r="V15" i="11"/>
  <c r="W15" i="11"/>
  <c r="X15" i="11"/>
  <c r="Y15" i="11"/>
  <c r="U16" i="11"/>
  <c r="V16" i="11"/>
  <c r="W16" i="11"/>
  <c r="X16" i="11"/>
  <c r="Y16" i="11"/>
  <c r="U18" i="11"/>
  <c r="V18" i="11"/>
  <c r="W18" i="11"/>
  <c r="X18" i="11"/>
  <c r="Y18" i="11"/>
  <c r="U19" i="11"/>
  <c r="V19" i="11"/>
  <c r="W19" i="11"/>
  <c r="X19" i="11"/>
  <c r="Y19" i="11"/>
  <c r="U20" i="11"/>
  <c r="V20" i="11"/>
  <c r="W20" i="11"/>
  <c r="X20" i="11"/>
  <c r="Y20" i="11"/>
  <c r="T20" i="11"/>
  <c r="T19" i="11"/>
  <c r="T18" i="11"/>
  <c r="T16" i="11"/>
  <c r="T15" i="11"/>
  <c r="U4" i="11"/>
  <c r="V4" i="11"/>
  <c r="W4" i="11"/>
  <c r="X4" i="11"/>
  <c r="Y4" i="11"/>
  <c r="U5" i="11"/>
  <c r="V5" i="11"/>
  <c r="W5" i="11"/>
  <c r="X5" i="11"/>
  <c r="Y5" i="11"/>
  <c r="U6" i="11"/>
  <c r="V6" i="11"/>
  <c r="W6" i="11"/>
  <c r="X6" i="11"/>
  <c r="Y6" i="11"/>
  <c r="U7" i="11"/>
  <c r="V7" i="11"/>
  <c r="W7" i="11"/>
  <c r="X7" i="11"/>
  <c r="Y7" i="11"/>
  <c r="U8" i="11"/>
  <c r="V8" i="11"/>
  <c r="W8" i="11"/>
  <c r="X8" i="11"/>
  <c r="Y8" i="11"/>
  <c r="T8" i="11"/>
  <c r="T7" i="11"/>
  <c r="T6" i="11"/>
  <c r="T5" i="11"/>
  <c r="T4" i="11"/>
  <c r="U3" i="11"/>
  <c r="V3" i="11"/>
  <c r="W3" i="11"/>
  <c r="X3" i="11"/>
  <c r="Y3" i="11"/>
  <c r="T3" i="11"/>
  <c r="H55" i="11"/>
  <c r="K55" i="11" s="1"/>
  <c r="H54" i="11"/>
  <c r="M54" i="11" s="1"/>
  <c r="M53" i="11"/>
  <c r="L53" i="11"/>
  <c r="H53" i="11"/>
  <c r="I53" i="11" s="1"/>
  <c r="N52" i="11"/>
  <c r="M52" i="11"/>
  <c r="L52" i="11"/>
  <c r="K52" i="11"/>
  <c r="J52" i="11"/>
  <c r="H52" i="11"/>
  <c r="I52" i="11" s="1"/>
  <c r="H46" i="11"/>
  <c r="N46" i="11"/>
  <c r="N45" i="11"/>
  <c r="M45" i="11"/>
  <c r="H45" i="11"/>
  <c r="I45" i="11" s="1"/>
  <c r="L44" i="11"/>
  <c r="K44" i="11"/>
  <c r="I44" i="11"/>
  <c r="H44" i="11"/>
  <c r="M44" i="11" s="1"/>
  <c r="M43" i="11"/>
  <c r="L43" i="11"/>
  <c r="H43" i="11"/>
  <c r="K43" i="11" s="1"/>
  <c r="L36" i="11"/>
  <c r="H34" i="11"/>
  <c r="M34" i="11" s="1"/>
  <c r="H37" i="11"/>
  <c r="N37" i="11" s="1"/>
  <c r="H36" i="11"/>
  <c r="M36" i="11" s="1"/>
  <c r="H35" i="11"/>
  <c r="L35" i="11" s="1"/>
  <c r="H27" i="11"/>
  <c r="J27" i="11" s="1"/>
  <c r="L27" i="11"/>
  <c r="H26" i="11"/>
  <c r="M26" i="11" s="1"/>
  <c r="M25" i="11"/>
  <c r="H25" i="11"/>
  <c r="L25" i="11" s="1"/>
  <c r="N24" i="11"/>
  <c r="L24" i="11"/>
  <c r="K24" i="11"/>
  <c r="J24" i="11"/>
  <c r="I24" i="11"/>
  <c r="M24" i="11"/>
  <c r="M15" i="11"/>
  <c r="I13" i="11"/>
  <c r="H13" i="11"/>
  <c r="N16" i="11"/>
  <c r="L16" i="11"/>
  <c r="H16" i="11"/>
  <c r="M16" i="11" s="1"/>
  <c r="H15" i="11"/>
  <c r="L14" i="11"/>
  <c r="H14" i="11"/>
  <c r="K14" i="11" s="1"/>
  <c r="J13" i="11"/>
  <c r="I4" i="11"/>
  <c r="J4" i="11"/>
  <c r="K4" i="11"/>
  <c r="L4" i="11"/>
  <c r="M4" i="11"/>
  <c r="N4" i="11"/>
  <c r="I5" i="11"/>
  <c r="J5" i="11"/>
  <c r="K5" i="11"/>
  <c r="L5" i="11"/>
  <c r="M5" i="11"/>
  <c r="N5" i="11"/>
  <c r="I6" i="11"/>
  <c r="J6" i="11"/>
  <c r="K6" i="11"/>
  <c r="L6" i="11"/>
  <c r="M6" i="11"/>
  <c r="N6" i="11"/>
  <c r="M3" i="11"/>
  <c r="J3" i="11"/>
  <c r="K3" i="11"/>
  <c r="L3" i="11"/>
  <c r="N3" i="11"/>
  <c r="I3" i="11"/>
  <c r="H4" i="11"/>
  <c r="H5" i="11"/>
  <c r="H6" i="11"/>
  <c r="H3" i="11"/>
  <c r="I55" i="11" l="1"/>
  <c r="J55" i="11"/>
  <c r="J53" i="11"/>
  <c r="L55" i="11"/>
  <c r="K53" i="11"/>
  <c r="M55" i="11"/>
  <c r="N55" i="11"/>
  <c r="N54" i="11"/>
  <c r="N53" i="11"/>
  <c r="I54" i="11"/>
  <c r="J54" i="11"/>
  <c r="K54" i="11"/>
  <c r="L54" i="11"/>
  <c r="N44" i="11"/>
  <c r="J45" i="11"/>
  <c r="K45" i="11"/>
  <c r="J44" i="11"/>
  <c r="L45" i="11"/>
  <c r="N43" i="11"/>
  <c r="I46" i="11"/>
  <c r="J46" i="11"/>
  <c r="K46" i="11"/>
  <c r="I43" i="11"/>
  <c r="L46" i="11"/>
  <c r="J43" i="11"/>
  <c r="M46" i="11"/>
  <c r="J34" i="11"/>
  <c r="N34" i="11"/>
  <c r="M35" i="11"/>
  <c r="N35" i="11"/>
  <c r="I34" i="11"/>
  <c r="K34" i="11"/>
  <c r="N36" i="11"/>
  <c r="L34" i="11"/>
  <c r="I37" i="11"/>
  <c r="I36" i="11"/>
  <c r="J37" i="11"/>
  <c r="I35" i="11"/>
  <c r="J36" i="11"/>
  <c r="K37" i="11"/>
  <c r="J35" i="11"/>
  <c r="K36" i="11"/>
  <c r="L37" i="11"/>
  <c r="K35" i="11"/>
  <c r="M37" i="11"/>
  <c r="N27" i="11"/>
  <c r="J25" i="11"/>
  <c r="I27" i="11"/>
  <c r="N26" i="11"/>
  <c r="N25" i="11"/>
  <c r="I26" i="11"/>
  <c r="I25" i="11"/>
  <c r="J26" i="11"/>
  <c r="K27" i="11"/>
  <c r="K26" i="11"/>
  <c r="K25" i="11"/>
  <c r="L26" i="11"/>
  <c r="M27" i="11"/>
  <c r="M14" i="11"/>
  <c r="K13" i="11"/>
  <c r="I16" i="11"/>
  <c r="L13" i="11"/>
  <c r="J16" i="11"/>
  <c r="N13" i="11"/>
  <c r="N15" i="11"/>
  <c r="M13" i="11"/>
  <c r="N14" i="11"/>
  <c r="I15" i="11"/>
  <c r="I14" i="11"/>
  <c r="J15" i="11"/>
  <c r="K16" i="11"/>
  <c r="J14" i="11"/>
  <c r="K15" i="11"/>
  <c r="L15" i="11"/>
  <c r="T184" i="4"/>
  <c r="T183" i="4"/>
  <c r="T186" i="4"/>
  <c r="T185" i="4"/>
  <c r="S184" i="4"/>
  <c r="S183" i="4"/>
  <c r="S186" i="4"/>
  <c r="S185" i="4"/>
  <c r="R184" i="4"/>
  <c r="R183" i="4"/>
  <c r="R186" i="4"/>
  <c r="R185" i="4"/>
  <c r="M248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192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L4" i="2"/>
  <c r="K4" i="2"/>
  <c r="D54" i="2"/>
  <c r="H5" i="2"/>
  <c r="J5" i="2" s="1"/>
  <c r="H6" i="2"/>
  <c r="J6" i="2" s="1"/>
  <c r="H7" i="2"/>
  <c r="J7" i="2" s="1"/>
  <c r="H8" i="2"/>
  <c r="J8" i="2" s="1"/>
  <c r="H9" i="2"/>
  <c r="J9" i="2" s="1"/>
  <c r="H10" i="2"/>
  <c r="J10" i="2" s="1"/>
  <c r="H11" i="2"/>
  <c r="J11" i="2" s="1"/>
  <c r="H12" i="2"/>
  <c r="J12" i="2" s="1"/>
  <c r="H13" i="2"/>
  <c r="J13" i="2" s="1"/>
  <c r="H14" i="2"/>
  <c r="J14" i="2" s="1"/>
  <c r="H15" i="2"/>
  <c r="J15" i="2" s="1"/>
  <c r="H16" i="2"/>
  <c r="J16" i="2" s="1"/>
  <c r="H17" i="2"/>
  <c r="J17" i="2" s="1"/>
  <c r="H18" i="2"/>
  <c r="J18" i="2" s="1"/>
  <c r="H19" i="2"/>
  <c r="J19" i="2" s="1"/>
  <c r="H20" i="2"/>
  <c r="J20" i="2" s="1"/>
  <c r="H21" i="2"/>
  <c r="J21" i="2" s="1"/>
  <c r="H22" i="2"/>
  <c r="J22" i="2" s="1"/>
  <c r="H23" i="2"/>
  <c r="J23" i="2" s="1"/>
  <c r="H24" i="2"/>
  <c r="J24" i="2" s="1"/>
  <c r="H25" i="2"/>
  <c r="J25" i="2" s="1"/>
  <c r="H26" i="2"/>
  <c r="J26" i="2" s="1"/>
  <c r="H27" i="2"/>
  <c r="J27" i="2" s="1"/>
  <c r="H28" i="2"/>
  <c r="J28" i="2" s="1"/>
  <c r="H29" i="2"/>
  <c r="J29" i="2" s="1"/>
  <c r="H30" i="2"/>
  <c r="J30" i="2" s="1"/>
  <c r="H31" i="2"/>
  <c r="J31" i="2" s="1"/>
  <c r="H32" i="2"/>
  <c r="J32" i="2" s="1"/>
  <c r="H33" i="2"/>
  <c r="J33" i="2" s="1"/>
  <c r="H34" i="2"/>
  <c r="J34" i="2" s="1"/>
  <c r="H35" i="2"/>
  <c r="J35" i="2" s="1"/>
  <c r="H36" i="2"/>
  <c r="J36" i="2" s="1"/>
  <c r="H37" i="2"/>
  <c r="J37" i="2" s="1"/>
  <c r="H38" i="2"/>
  <c r="J38" i="2" s="1"/>
  <c r="H39" i="2"/>
  <c r="J39" i="2" s="1"/>
  <c r="H40" i="2"/>
  <c r="J40" i="2" s="1"/>
  <c r="H41" i="2"/>
  <c r="J41" i="2" s="1"/>
  <c r="H42" i="2"/>
  <c r="J42" i="2" s="1"/>
  <c r="H43" i="2"/>
  <c r="J43" i="2" s="1"/>
  <c r="H44" i="2"/>
  <c r="J44" i="2" s="1"/>
  <c r="H45" i="2"/>
  <c r="J45" i="2" s="1"/>
  <c r="H46" i="2"/>
  <c r="J46" i="2" s="1"/>
  <c r="H47" i="2"/>
  <c r="J47" i="2" s="1"/>
  <c r="H48" i="2"/>
  <c r="J48" i="2" s="1"/>
  <c r="H49" i="2"/>
  <c r="J49" i="2" s="1"/>
  <c r="H50" i="2"/>
  <c r="J50" i="2" s="1"/>
  <c r="H51" i="2"/>
  <c r="J51" i="2" s="1"/>
  <c r="H4" i="2"/>
  <c r="J4" i="2" s="1"/>
  <c r="G5" i="2"/>
  <c r="I5" i="2" s="1"/>
  <c r="G6" i="2"/>
  <c r="I6" i="2" s="1"/>
  <c r="G7" i="2"/>
  <c r="I7" i="2" s="1"/>
  <c r="G8" i="2"/>
  <c r="I8" i="2" s="1"/>
  <c r="G9" i="2"/>
  <c r="I9" i="2" s="1"/>
  <c r="G10" i="2"/>
  <c r="I10" i="2" s="1"/>
  <c r="G11" i="2"/>
  <c r="I11" i="2" s="1"/>
  <c r="G12" i="2"/>
  <c r="I12" i="2" s="1"/>
  <c r="G13" i="2"/>
  <c r="I13" i="2" s="1"/>
  <c r="G14" i="2"/>
  <c r="I14" i="2" s="1"/>
  <c r="G15" i="2"/>
  <c r="I15" i="2" s="1"/>
  <c r="G16" i="2"/>
  <c r="I16" i="2" s="1"/>
  <c r="G17" i="2"/>
  <c r="I17" i="2" s="1"/>
  <c r="G18" i="2"/>
  <c r="I18" i="2" s="1"/>
  <c r="G19" i="2"/>
  <c r="I19" i="2" s="1"/>
  <c r="G20" i="2"/>
  <c r="I20" i="2" s="1"/>
  <c r="G21" i="2"/>
  <c r="I21" i="2" s="1"/>
  <c r="G22" i="2"/>
  <c r="I22" i="2" s="1"/>
  <c r="G23" i="2"/>
  <c r="I23" i="2" s="1"/>
  <c r="G24" i="2"/>
  <c r="I24" i="2" s="1"/>
  <c r="G25" i="2"/>
  <c r="I25" i="2" s="1"/>
  <c r="G26" i="2"/>
  <c r="I26" i="2" s="1"/>
  <c r="G27" i="2"/>
  <c r="I27" i="2" s="1"/>
  <c r="G28" i="2"/>
  <c r="I28" i="2" s="1"/>
  <c r="G29" i="2"/>
  <c r="I29" i="2" s="1"/>
  <c r="G30" i="2"/>
  <c r="I30" i="2" s="1"/>
  <c r="G31" i="2"/>
  <c r="I31" i="2" s="1"/>
  <c r="G32" i="2"/>
  <c r="I32" i="2" s="1"/>
  <c r="G33" i="2"/>
  <c r="I33" i="2" s="1"/>
  <c r="G34" i="2"/>
  <c r="I34" i="2" s="1"/>
  <c r="G35" i="2"/>
  <c r="I35" i="2" s="1"/>
  <c r="G36" i="2"/>
  <c r="I36" i="2" s="1"/>
  <c r="G37" i="2"/>
  <c r="I37" i="2" s="1"/>
  <c r="G38" i="2"/>
  <c r="I38" i="2" s="1"/>
  <c r="G39" i="2"/>
  <c r="I39" i="2" s="1"/>
  <c r="G40" i="2"/>
  <c r="I40" i="2" s="1"/>
  <c r="G41" i="2"/>
  <c r="I41" i="2" s="1"/>
  <c r="G42" i="2"/>
  <c r="I42" i="2" s="1"/>
  <c r="G43" i="2"/>
  <c r="I43" i="2" s="1"/>
  <c r="G44" i="2"/>
  <c r="I44" i="2" s="1"/>
  <c r="G45" i="2"/>
  <c r="I45" i="2" s="1"/>
  <c r="G46" i="2"/>
  <c r="I46" i="2" s="1"/>
  <c r="G47" i="2"/>
  <c r="I47" i="2" s="1"/>
  <c r="G48" i="2"/>
  <c r="I48" i="2" s="1"/>
  <c r="G49" i="2"/>
  <c r="I49" i="2" s="1"/>
  <c r="G50" i="2"/>
  <c r="I50" i="2" s="1"/>
  <c r="G51" i="2"/>
  <c r="I51" i="2" s="1"/>
  <c r="G4" i="2"/>
  <c r="I4" i="2" s="1"/>
  <c r="D15" i="8"/>
  <c r="D16" i="8"/>
  <c r="Q16" i="8"/>
  <c r="Q14" i="8"/>
  <c r="Q15" i="8"/>
  <c r="H63" i="2" l="1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8" i="2"/>
  <c r="G99" i="2"/>
  <c r="G100" i="2"/>
  <c r="G101" i="2"/>
  <c r="G102" i="2"/>
  <c r="G103" i="2"/>
  <c r="G104" i="2"/>
  <c r="G105" i="2"/>
  <c r="G106" i="2"/>
  <c r="G108" i="2"/>
  <c r="G109" i="2"/>
  <c r="N249" i="2"/>
  <c r="N270" i="2"/>
  <c r="N274" i="2"/>
  <c r="N257" i="2"/>
  <c r="N279" i="2"/>
  <c r="N258" i="2"/>
  <c r="N268" i="2"/>
  <c r="N275" i="2"/>
  <c r="N282" i="2"/>
  <c r="N262" i="2"/>
  <c r="N286" i="2"/>
  <c r="N264" i="2"/>
  <c r="N254" i="2"/>
  <c r="N284" i="2"/>
  <c r="N252" i="2"/>
  <c r="N276" i="2"/>
  <c r="N269" i="2"/>
  <c r="N285" i="2"/>
  <c r="N277" i="2"/>
  <c r="N260" i="2"/>
  <c r="N291" i="2"/>
  <c r="N283" i="2"/>
  <c r="N259" i="2"/>
  <c r="N265" i="2"/>
  <c r="N281" i="2"/>
  <c r="N248" i="2"/>
  <c r="N261" i="2"/>
  <c r="N271" i="2"/>
  <c r="N289" i="2"/>
  <c r="N292" i="2"/>
  <c r="N287" i="2"/>
  <c r="N290" i="2"/>
  <c r="N278" i="2"/>
  <c r="N253" i="2"/>
  <c r="N293" i="2"/>
  <c r="N255" i="2"/>
  <c r="N272" i="2"/>
  <c r="N295" i="2"/>
  <c r="N251" i="2"/>
  <c r="N280" i="2"/>
  <c r="N263" i="2"/>
  <c r="N288" i="2"/>
  <c r="N256" i="2"/>
  <c r="M249" i="2"/>
  <c r="M270" i="2"/>
  <c r="M274" i="2"/>
  <c r="M257" i="2"/>
  <c r="M279" i="2"/>
  <c r="M258" i="2"/>
  <c r="M268" i="2"/>
  <c r="M275" i="2"/>
  <c r="M282" i="2"/>
  <c r="M262" i="2"/>
  <c r="M286" i="2"/>
  <c r="M264" i="2"/>
  <c r="M254" i="2"/>
  <c r="M284" i="2"/>
  <c r="M252" i="2"/>
  <c r="M276" i="2"/>
  <c r="M269" i="2"/>
  <c r="M285" i="2"/>
  <c r="M277" i="2"/>
  <c r="M260" i="2"/>
  <c r="M291" i="2"/>
  <c r="M283" i="2"/>
  <c r="M259" i="2"/>
  <c r="M265" i="2"/>
  <c r="M281" i="2"/>
  <c r="M261" i="2"/>
  <c r="M271" i="2"/>
  <c r="M289" i="2"/>
  <c r="M292" i="2"/>
  <c r="M287" i="2"/>
  <c r="M278" i="2"/>
  <c r="M253" i="2"/>
  <c r="M293" i="2"/>
  <c r="M255" i="2"/>
  <c r="M272" i="2"/>
  <c r="M295" i="2"/>
  <c r="M251" i="2"/>
  <c r="M280" i="2"/>
  <c r="M288" i="2"/>
  <c r="M256" i="2"/>
  <c r="L139" i="2"/>
  <c r="M139" i="2"/>
  <c r="L140" i="2"/>
  <c r="M140" i="2"/>
  <c r="L141" i="2"/>
  <c r="M141" i="2"/>
  <c r="L142" i="2"/>
  <c r="M142" i="2"/>
  <c r="L143" i="2"/>
  <c r="M143" i="2"/>
  <c r="L144" i="2"/>
  <c r="M144" i="2"/>
  <c r="L145" i="2"/>
  <c r="M145" i="2"/>
  <c r="L146" i="2"/>
  <c r="M146" i="2"/>
  <c r="L147" i="2"/>
  <c r="M147" i="2"/>
  <c r="L148" i="2"/>
  <c r="M148" i="2"/>
  <c r="L149" i="2"/>
  <c r="M149" i="2"/>
  <c r="L150" i="2"/>
  <c r="M150" i="2"/>
  <c r="L151" i="2"/>
  <c r="M151" i="2"/>
  <c r="L152" i="2"/>
  <c r="M152" i="2"/>
  <c r="L153" i="2"/>
  <c r="M153" i="2"/>
  <c r="L154" i="2"/>
  <c r="M154" i="2"/>
  <c r="L155" i="2"/>
  <c r="M155" i="2"/>
  <c r="L156" i="2"/>
  <c r="M156" i="2"/>
  <c r="L157" i="2"/>
  <c r="M157" i="2"/>
  <c r="L158" i="2"/>
  <c r="M158" i="2"/>
  <c r="L159" i="2"/>
  <c r="M159" i="2"/>
  <c r="L160" i="2"/>
  <c r="M160" i="2"/>
  <c r="L161" i="2"/>
  <c r="M161" i="2"/>
  <c r="L162" i="2"/>
  <c r="M162" i="2"/>
  <c r="L163" i="2"/>
  <c r="M163" i="2"/>
  <c r="L164" i="2"/>
  <c r="M164" i="2"/>
  <c r="L165" i="2"/>
  <c r="M165" i="2"/>
  <c r="L166" i="2"/>
  <c r="M166" i="2"/>
  <c r="L167" i="2"/>
  <c r="M167" i="2"/>
  <c r="L168" i="2"/>
  <c r="M168" i="2"/>
  <c r="L169" i="2"/>
  <c r="M169" i="2"/>
  <c r="L170" i="2"/>
  <c r="M170" i="2"/>
  <c r="L171" i="2"/>
  <c r="M171" i="2"/>
  <c r="L172" i="2"/>
  <c r="M172" i="2"/>
  <c r="L173" i="2"/>
  <c r="M173" i="2"/>
  <c r="L174" i="2"/>
  <c r="M174" i="2"/>
  <c r="L175" i="2"/>
  <c r="M175" i="2"/>
  <c r="L176" i="2"/>
  <c r="M176" i="2"/>
  <c r="L177" i="2"/>
  <c r="M177" i="2"/>
  <c r="L178" i="2"/>
  <c r="M178" i="2"/>
  <c r="L179" i="2"/>
  <c r="M179" i="2"/>
  <c r="L180" i="2"/>
  <c r="M180" i="2"/>
  <c r="L181" i="2"/>
  <c r="M181" i="2"/>
  <c r="L182" i="2"/>
  <c r="M182" i="2"/>
  <c r="L183" i="2"/>
  <c r="M183" i="2"/>
  <c r="L184" i="2"/>
  <c r="M184" i="2"/>
  <c r="L185" i="2"/>
  <c r="M185" i="2"/>
  <c r="M138" i="2"/>
  <c r="L138" i="2"/>
  <c r="I139" i="2"/>
  <c r="J139" i="2"/>
  <c r="K139" i="2"/>
  <c r="I140" i="2"/>
  <c r="J140" i="2"/>
  <c r="K140" i="2"/>
  <c r="I141" i="2"/>
  <c r="J141" i="2"/>
  <c r="K141" i="2"/>
  <c r="I142" i="2"/>
  <c r="J142" i="2"/>
  <c r="K142" i="2"/>
  <c r="I143" i="2"/>
  <c r="J143" i="2"/>
  <c r="K143" i="2"/>
  <c r="I144" i="2"/>
  <c r="J144" i="2"/>
  <c r="K144" i="2"/>
  <c r="I145" i="2"/>
  <c r="J145" i="2"/>
  <c r="K145" i="2"/>
  <c r="I146" i="2"/>
  <c r="J146" i="2"/>
  <c r="K146" i="2"/>
  <c r="I147" i="2"/>
  <c r="J147" i="2"/>
  <c r="K147" i="2"/>
  <c r="I148" i="2"/>
  <c r="J148" i="2"/>
  <c r="K148" i="2"/>
  <c r="I149" i="2"/>
  <c r="J149" i="2"/>
  <c r="K149" i="2"/>
  <c r="I150" i="2"/>
  <c r="J150" i="2"/>
  <c r="K150" i="2"/>
  <c r="I151" i="2"/>
  <c r="J151" i="2"/>
  <c r="K151" i="2"/>
  <c r="I152" i="2"/>
  <c r="J152" i="2"/>
  <c r="K152" i="2"/>
  <c r="I153" i="2"/>
  <c r="J153" i="2"/>
  <c r="K153" i="2"/>
  <c r="I154" i="2"/>
  <c r="J154" i="2"/>
  <c r="K154" i="2"/>
  <c r="I155" i="2"/>
  <c r="J155" i="2"/>
  <c r="K155" i="2"/>
  <c r="I156" i="2"/>
  <c r="J156" i="2"/>
  <c r="K156" i="2"/>
  <c r="I157" i="2"/>
  <c r="J157" i="2"/>
  <c r="K157" i="2"/>
  <c r="I158" i="2"/>
  <c r="J158" i="2"/>
  <c r="K158" i="2"/>
  <c r="I159" i="2"/>
  <c r="J159" i="2"/>
  <c r="K159" i="2"/>
  <c r="I160" i="2"/>
  <c r="J160" i="2"/>
  <c r="K160" i="2"/>
  <c r="I161" i="2"/>
  <c r="J161" i="2"/>
  <c r="K161" i="2"/>
  <c r="I162" i="2"/>
  <c r="J162" i="2"/>
  <c r="K162" i="2"/>
  <c r="I163" i="2"/>
  <c r="J163" i="2"/>
  <c r="K163" i="2"/>
  <c r="I164" i="2"/>
  <c r="J164" i="2"/>
  <c r="K164" i="2"/>
  <c r="I165" i="2"/>
  <c r="J165" i="2"/>
  <c r="K165" i="2"/>
  <c r="I166" i="2"/>
  <c r="J166" i="2"/>
  <c r="K166" i="2"/>
  <c r="I167" i="2"/>
  <c r="J167" i="2"/>
  <c r="K167" i="2"/>
  <c r="I168" i="2"/>
  <c r="J168" i="2"/>
  <c r="K168" i="2"/>
  <c r="I169" i="2"/>
  <c r="J169" i="2"/>
  <c r="K169" i="2"/>
  <c r="I170" i="2"/>
  <c r="J170" i="2"/>
  <c r="K170" i="2"/>
  <c r="I171" i="2"/>
  <c r="J171" i="2"/>
  <c r="K171" i="2"/>
  <c r="I172" i="2"/>
  <c r="J172" i="2"/>
  <c r="K172" i="2"/>
  <c r="I173" i="2"/>
  <c r="J173" i="2"/>
  <c r="K173" i="2"/>
  <c r="I174" i="2"/>
  <c r="J174" i="2"/>
  <c r="K174" i="2"/>
  <c r="I175" i="2"/>
  <c r="J175" i="2"/>
  <c r="K175" i="2"/>
  <c r="I176" i="2"/>
  <c r="J176" i="2"/>
  <c r="K176" i="2"/>
  <c r="I177" i="2"/>
  <c r="J177" i="2"/>
  <c r="K177" i="2"/>
  <c r="I178" i="2"/>
  <c r="J178" i="2"/>
  <c r="K178" i="2"/>
  <c r="I179" i="2"/>
  <c r="J179" i="2"/>
  <c r="K179" i="2"/>
  <c r="I180" i="2"/>
  <c r="J180" i="2"/>
  <c r="K180" i="2"/>
  <c r="I181" i="2"/>
  <c r="J181" i="2"/>
  <c r="K181" i="2"/>
  <c r="I182" i="2"/>
  <c r="J182" i="2"/>
  <c r="K182" i="2"/>
  <c r="I183" i="2"/>
  <c r="J183" i="2"/>
  <c r="K183" i="2"/>
  <c r="I184" i="2"/>
  <c r="J184" i="2"/>
  <c r="K184" i="2"/>
  <c r="I185" i="2"/>
  <c r="J185" i="2"/>
  <c r="K185" i="2"/>
  <c r="J138" i="2"/>
  <c r="K138" i="2"/>
  <c r="I138" i="2"/>
  <c r="F66" i="2"/>
  <c r="F68" i="2"/>
  <c r="F64" i="2"/>
  <c r="F74" i="2"/>
  <c r="F78" i="2"/>
  <c r="F80" i="2"/>
  <c r="F93" i="2"/>
  <c r="F75" i="2"/>
  <c r="F83" i="2"/>
  <c r="F97" i="2"/>
  <c r="I97" i="2" s="1"/>
  <c r="F72" i="2"/>
  <c r="F100" i="2"/>
  <c r="F103" i="2"/>
  <c r="F73" i="2"/>
  <c r="F107" i="2"/>
  <c r="I107" i="2" s="1"/>
  <c r="F105" i="2"/>
  <c r="F89" i="2"/>
  <c r="F95" i="2"/>
  <c r="I95" i="2" s="1"/>
  <c r="F65" i="2"/>
  <c r="I65" i="2" s="1"/>
  <c r="F91" i="2"/>
  <c r="F76" i="2"/>
  <c r="F84" i="2"/>
  <c r="F63" i="2"/>
  <c r="I63" i="2" s="1"/>
  <c r="F71" i="2"/>
  <c r="F77" i="2"/>
  <c r="F104" i="2"/>
  <c r="I104" i="2" s="1"/>
  <c r="F94" i="2"/>
  <c r="F62" i="2"/>
  <c r="I62" i="2" s="1"/>
  <c r="F86" i="2"/>
  <c r="F85" i="2"/>
  <c r="I85" i="2" s="1"/>
  <c r="F92" i="2"/>
  <c r="I92" i="2" s="1"/>
  <c r="F108" i="2"/>
  <c r="F101" i="2"/>
  <c r="F88" i="2"/>
  <c r="F99" i="2"/>
  <c r="F82" i="2"/>
  <c r="F67" i="2"/>
  <c r="I67" i="2" s="1"/>
  <c r="F106" i="2"/>
  <c r="I106" i="2" s="1"/>
  <c r="F79" i="2"/>
  <c r="F102" i="2"/>
  <c r="F81" i="2"/>
  <c r="I81" i="2" s="1"/>
  <c r="F90" i="2"/>
  <c r="F70" i="2"/>
  <c r="F109" i="2"/>
  <c r="F87" i="2"/>
  <c r="F96" i="2"/>
  <c r="I96" i="2" s="1"/>
  <c r="F98" i="2"/>
  <c r="F69" i="2"/>
  <c r="E66" i="2"/>
  <c r="E68" i="2"/>
  <c r="E64" i="2"/>
  <c r="E74" i="2"/>
  <c r="E78" i="2"/>
  <c r="E80" i="2"/>
  <c r="E93" i="2"/>
  <c r="E75" i="2"/>
  <c r="E83" i="2"/>
  <c r="E72" i="2"/>
  <c r="E100" i="2"/>
  <c r="E103" i="2"/>
  <c r="E73" i="2"/>
  <c r="E105" i="2"/>
  <c r="E89" i="2"/>
  <c r="E95" i="2"/>
  <c r="E91" i="2"/>
  <c r="E76" i="2"/>
  <c r="E84" i="2"/>
  <c r="E71" i="2"/>
  <c r="E77" i="2"/>
  <c r="E94" i="2"/>
  <c r="E86" i="2"/>
  <c r="E85" i="2"/>
  <c r="E108" i="2"/>
  <c r="E101" i="2"/>
  <c r="E88" i="2"/>
  <c r="E99" i="2"/>
  <c r="E82" i="2"/>
  <c r="E79" i="2"/>
  <c r="E102" i="2"/>
  <c r="E81" i="2"/>
  <c r="E90" i="2"/>
  <c r="E70" i="2"/>
  <c r="E109" i="2"/>
  <c r="E87" i="2"/>
  <c r="E98" i="2"/>
  <c r="E69" i="2"/>
  <c r="I77" i="2" l="1"/>
  <c r="I73" i="2"/>
  <c r="I98" i="2"/>
  <c r="I79" i="2"/>
  <c r="I101" i="2"/>
  <c r="I70" i="2"/>
  <c r="I99" i="2"/>
  <c r="I94" i="2"/>
  <c r="I72" i="2"/>
  <c r="I89" i="2"/>
  <c r="I83" i="2"/>
  <c r="I66" i="2"/>
  <c r="I69" i="2"/>
  <c r="I102" i="2"/>
  <c r="I108" i="2"/>
  <c r="I71" i="2"/>
  <c r="I105" i="2"/>
  <c r="I75" i="2"/>
  <c r="I93" i="2"/>
  <c r="I80" i="2"/>
  <c r="I87" i="2"/>
  <c r="I86" i="2"/>
  <c r="I76" i="2"/>
  <c r="I103" i="2"/>
  <c r="I78" i="2"/>
  <c r="I84" i="2"/>
  <c r="I109" i="2"/>
  <c r="I82" i="2"/>
  <c r="I91" i="2"/>
  <c r="I100" i="2"/>
  <c r="I74" i="2"/>
  <c r="I64" i="2"/>
  <c r="I90" i="2"/>
  <c r="I88" i="2"/>
  <c r="I68" i="2"/>
</calcChain>
</file>

<file path=xl/sharedStrings.xml><?xml version="1.0" encoding="utf-8"?>
<sst xmlns="http://schemas.openxmlformats.org/spreadsheetml/2006/main" count="2205" uniqueCount="285">
  <si>
    <t xml:space="preserve">Community Health Workers </t>
  </si>
  <si>
    <t>Dieticians and nutritionists</t>
  </si>
  <si>
    <t>Environmental and occupational health &amp; hygiene workers</t>
  </si>
  <si>
    <t>Personal care workers in health service</t>
  </si>
  <si>
    <t xml:space="preserve">Managerial staff </t>
  </si>
  <si>
    <t xml:space="preserve">Medical and dental Prosthetic Technicians </t>
  </si>
  <si>
    <t xml:space="preserve">Medical and Pathology Laboratory scientists </t>
  </si>
  <si>
    <t xml:space="preserve">Medical Assistants </t>
  </si>
  <si>
    <t xml:space="preserve">Medical Imaging and Therapeutic Equipment Technicians </t>
  </si>
  <si>
    <t xml:space="preserve">Medical Records and Health Information Technicians </t>
  </si>
  <si>
    <t xml:space="preserve">Optometrists and Ophthalmic Opticians </t>
  </si>
  <si>
    <t xml:space="preserve">Other non-medical professional staff </t>
  </si>
  <si>
    <t xml:space="preserve">Other non-medical support staff </t>
  </si>
  <si>
    <t xml:space="preserve">Medical and Pathology Laboratory Technicians </t>
  </si>
  <si>
    <t xml:space="preserve">Paramedical Practitioners </t>
  </si>
  <si>
    <t>Physiotherapists and physiotherapy assistants</t>
  </si>
  <si>
    <t>Social workers</t>
  </si>
  <si>
    <t xml:space="preserve">Audiologists and Speech Therapists </t>
  </si>
  <si>
    <t>Traditional and complementary medicine practitioners</t>
  </si>
  <si>
    <t xml:space="preserve"> Medical Doctors </t>
  </si>
  <si>
    <t xml:space="preserve"> Generalist Medical Practitioners </t>
  </si>
  <si>
    <t xml:space="preserve"> Specialist Medical Practitioners </t>
  </si>
  <si>
    <t xml:space="preserve"> Nursing Personnel </t>
  </si>
  <si>
    <t xml:space="preserve"> Nursing Professionals </t>
  </si>
  <si>
    <t xml:space="preserve"> Nursing Associate Professionals </t>
  </si>
  <si>
    <t xml:space="preserve"> Midwifery personnel </t>
  </si>
  <si>
    <t xml:space="preserve"> Midwifery Professionals </t>
  </si>
  <si>
    <t xml:space="preserve"> Midwifery Associate Professionals </t>
  </si>
  <si>
    <t xml:space="preserve"> Pharmacists1 </t>
  </si>
  <si>
    <t xml:space="preserve"> Pharmaceutical Technicians and Assistants </t>
  </si>
  <si>
    <t xml:space="preserve"> Dentists </t>
  </si>
  <si>
    <t xml:space="preserve"> Dental Assistants and Therapists </t>
  </si>
  <si>
    <t xml:space="preserve"> Psychologists </t>
  </si>
  <si>
    <t>Cadres</t>
  </si>
  <si>
    <t>Medical Doctors (old)</t>
  </si>
  <si>
    <t>Nursing Personnel (old)</t>
  </si>
  <si>
    <t>Midwifery personnel (old)</t>
  </si>
  <si>
    <t>Pharmacists (old)</t>
  </si>
  <si>
    <t>Dentists (old)</t>
  </si>
  <si>
    <t>Medical Doctors</t>
  </si>
  <si>
    <t>Nursing Personnel</t>
  </si>
  <si>
    <t>Midwifery personnel</t>
  </si>
  <si>
    <t>Pharmacists</t>
  </si>
  <si>
    <t>Dentists</t>
  </si>
  <si>
    <t>Row Labels</t>
  </si>
  <si>
    <t>Algeria</t>
  </si>
  <si>
    <t>Angola</t>
  </si>
  <si>
    <t>Benin</t>
  </si>
  <si>
    <t>Botswana</t>
  </si>
  <si>
    <t>Burkina Faso</t>
  </si>
  <si>
    <t>Burundi</t>
  </si>
  <si>
    <t>Cameroon</t>
  </si>
  <si>
    <t>Cape-Verde</t>
  </si>
  <si>
    <t>Central African Republic</t>
  </si>
  <si>
    <t>Chad</t>
  </si>
  <si>
    <t>Comoros</t>
  </si>
  <si>
    <t>Congo</t>
  </si>
  <si>
    <t>Cote d'Ivoire</t>
  </si>
  <si>
    <t>DRC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</si>
  <si>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</si>
  <si>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</si>
  <si>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</si>
  <si>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</si>
  <si>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</si>
  <si>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</si>
  <si>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</si>
  <si>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</si>
  <si>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</si>
  <si>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</si>
  <si>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</si>
  <si>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</si>
  <si>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</si>
  <si>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</si>
  <si>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</si>
  <si>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</si>
  <si>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</si>
  <si>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</si>
  <si>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</si>
  <si>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</si>
  <si>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</si>
  <si>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</si>
  <si>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</si>
  <si>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</si>
  <si>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</si>
  <si>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</si>
  <si>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South Africa</t>
  </si>
  <si>
    <t>South Sudan</t>
  </si>
  <si>
    <t>Tanzania</t>
  </si>
  <si>
    <t>Togo</t>
  </si>
  <si>
    <t>Uganda</t>
  </si>
  <si>
    <t>Zambia</t>
  </si>
  <si>
    <t>Zimbabwe</t>
  </si>
  <si>
    <t>Grand Total</t>
  </si>
  <si>
    <t>Country</t>
  </si>
  <si>
    <t>Density per 10,000 (2013)</t>
  </si>
  <si>
    <t>Density per 10,000 (2018)</t>
  </si>
  <si>
    <t>Density per 10,000 (2022)</t>
  </si>
  <si>
    <t>Doctors, nurses and midwives</t>
  </si>
  <si>
    <t>AFRO</t>
  </si>
  <si>
    <t>percentage change in density</t>
  </si>
  <si>
    <t>Between 2013 and 2018</t>
  </si>
  <si>
    <t>Between 2018 and 2022</t>
  </si>
  <si>
    <t>perenctage change in the stock</t>
  </si>
  <si>
    <t>Stock change between 2013 and 2018</t>
  </si>
  <si>
    <t>2013 or latest</t>
  </si>
  <si>
    <t>2018 or latest</t>
  </si>
  <si>
    <t>Adjusted 2022</t>
  </si>
  <si>
    <t>Pop 2013</t>
  </si>
  <si>
    <t>Pop 2018</t>
  </si>
  <si>
    <t>Pop 2022</t>
  </si>
  <si>
    <t>Density</t>
  </si>
  <si>
    <t>Stock change between 2018 and 2022</t>
  </si>
  <si>
    <t>Percentage change in Stock between 2013 and 2022</t>
  </si>
  <si>
    <t>Percentage change in density between 2013 and 2022</t>
  </si>
  <si>
    <t>Annual growth between 2013 and 2018</t>
  </si>
  <si>
    <t>Annual growth between 2018 and 2022</t>
  </si>
  <si>
    <t>Stock 2013 or latest</t>
  </si>
  <si>
    <t>stock 2018 or latest</t>
  </si>
  <si>
    <t>Stock Adjusted 2022</t>
  </si>
  <si>
    <t>Density 2013</t>
  </si>
  <si>
    <t>Density 2018</t>
  </si>
  <si>
    <t>Density 2022</t>
  </si>
  <si>
    <t>Income</t>
  </si>
  <si>
    <t>COMESA</t>
  </si>
  <si>
    <t>UMA</t>
  </si>
  <si>
    <t>ECCAS</t>
  </si>
  <si>
    <t>CEN-SAD</t>
  </si>
  <si>
    <t>EAC</t>
  </si>
  <si>
    <t>IGAD</t>
  </si>
  <si>
    <t>ECOWAS</t>
  </si>
  <si>
    <t>SADC</t>
  </si>
  <si>
    <t>Lower-Middle-Income Economies</t>
  </si>
  <si>
    <t>Low-Income Economies</t>
  </si>
  <si>
    <t>High/Upper-Middle-Income Economies </t>
  </si>
  <si>
    <t>Income group</t>
  </si>
  <si>
    <t>Average of Density 2013</t>
  </si>
  <si>
    <t>Average of Density 2018</t>
  </si>
  <si>
    <t>Average of Density 2022</t>
  </si>
  <si>
    <t xml:space="preserve"> Stock Adjusted 2022</t>
  </si>
  <si>
    <t>Economic block</t>
  </si>
  <si>
    <t xml:space="preserve">Density 2013 </t>
  </si>
  <si>
    <t xml:space="preserve">Density 2018 </t>
  </si>
  <si>
    <t>Country Code</t>
  </si>
  <si>
    <t>BFA</t>
  </si>
  <si>
    <t>CAF</t>
  </si>
  <si>
    <t>STP</t>
  </si>
  <si>
    <t>COD</t>
  </si>
  <si>
    <t>ETH</t>
  </si>
  <si>
    <t>NGA</t>
  </si>
  <si>
    <t>GAB</t>
  </si>
  <si>
    <t>MRT</t>
  </si>
  <si>
    <t>SWZ</t>
  </si>
  <si>
    <t>LSO</t>
  </si>
  <si>
    <t>DZA</t>
  </si>
  <si>
    <t>AGO</t>
  </si>
  <si>
    <t>BEN</t>
  </si>
  <si>
    <t>BWA</t>
  </si>
  <si>
    <t>BDI</t>
  </si>
  <si>
    <t>CIV</t>
  </si>
  <si>
    <t>CPV</t>
  </si>
  <si>
    <t>CMR</t>
  </si>
  <si>
    <t>TCD</t>
  </si>
  <si>
    <t>GNQ</t>
  </si>
  <si>
    <t>GMB</t>
  </si>
  <si>
    <t>GHA</t>
  </si>
  <si>
    <t>GIN</t>
  </si>
  <si>
    <t>GNB</t>
  </si>
  <si>
    <t>KEN</t>
  </si>
  <si>
    <t>LBR</t>
  </si>
  <si>
    <t>MDG</t>
  </si>
  <si>
    <t>MWI</t>
  </si>
  <si>
    <t>MLI</t>
  </si>
  <si>
    <t>MUS</t>
  </si>
  <si>
    <t>MOZ</t>
  </si>
  <si>
    <t>NAM</t>
  </si>
  <si>
    <t>RWA</t>
  </si>
  <si>
    <t>SEN</t>
  </si>
  <si>
    <t>SYC</t>
  </si>
  <si>
    <t>SLE</t>
  </si>
  <si>
    <t>ZAF</t>
  </si>
  <si>
    <t>SSD</t>
  </si>
  <si>
    <t>COG</t>
  </si>
  <si>
    <t>NER</t>
  </si>
  <si>
    <t>UGA</t>
  </si>
  <si>
    <t>ZMB</t>
  </si>
  <si>
    <t>ZWE</t>
  </si>
  <si>
    <t>ERI</t>
  </si>
  <si>
    <t>TGO</t>
  </si>
  <si>
    <t>COM</t>
  </si>
  <si>
    <t>TZA</t>
  </si>
  <si>
    <t>country code</t>
  </si>
  <si>
    <t xml:space="preserve"> Density 2013</t>
  </si>
  <si>
    <t xml:space="preserve"> Density 2018</t>
  </si>
  <si>
    <t xml:space="preserve"> Density 2022</t>
  </si>
  <si>
    <t>Core health workforce*</t>
  </si>
  <si>
    <t>Other workers</t>
  </si>
  <si>
    <t>Total</t>
  </si>
  <si>
    <t xml:space="preserve"> Density per 10,000 (2013)</t>
  </si>
  <si>
    <t xml:space="preserve"> Density per 10,000 (2018)</t>
  </si>
  <si>
    <t xml:space="preserve"> Density per 10,000 (2022)</t>
  </si>
  <si>
    <t>All workers</t>
  </si>
  <si>
    <t>Stock (2013)</t>
  </si>
  <si>
    <t>Stock (2018)</t>
  </si>
  <si>
    <t>Stock (2022)</t>
  </si>
  <si>
    <t>SDG threshold</t>
  </si>
  <si>
    <t>MDG Threshold</t>
  </si>
  <si>
    <t>Deviation 10 years</t>
  </si>
  <si>
    <t>Deviation 18 to 22</t>
  </si>
  <si>
    <t>Percentage Deviation 10 years</t>
  </si>
  <si>
    <t>Percentage Deviation 18 to 22</t>
  </si>
  <si>
    <t>SDG</t>
  </si>
  <si>
    <t>improved</t>
  </si>
  <si>
    <t>over 10years</t>
  </si>
  <si>
    <t>Stock 2013</t>
  </si>
  <si>
    <t>Stock 2018</t>
  </si>
  <si>
    <t>Stock 2022</t>
  </si>
  <si>
    <t xml:space="preserve"> Stock 2013</t>
  </si>
  <si>
    <t xml:space="preserve"> Stock 2022</t>
  </si>
  <si>
    <t>Stock</t>
  </si>
  <si>
    <t xml:space="preserve">Percentage </t>
  </si>
  <si>
    <t>Percentage of regional 2022</t>
  </si>
  <si>
    <t>Percentage of regional 2018</t>
  </si>
  <si>
    <t>Percentage of regional 2013</t>
  </si>
  <si>
    <t>Medical doctors</t>
  </si>
  <si>
    <t>Nurses</t>
  </si>
  <si>
    <t>Midwives</t>
  </si>
  <si>
    <t>Community health workers</t>
  </si>
  <si>
    <t xml:space="preserve">&lt; 25 </t>
  </si>
  <si>
    <t xml:space="preserve">25–34 </t>
  </si>
  <si>
    <t xml:space="preserve">35–44 </t>
  </si>
  <si>
    <t xml:space="preserve">45–54 </t>
  </si>
  <si>
    <t xml:space="preserve">55–64 </t>
  </si>
  <si>
    <t xml:space="preserve">≥ 65 </t>
  </si>
  <si>
    <t>Midwifrey</t>
  </si>
  <si>
    <t>Below 45</t>
  </si>
  <si>
    <t>above 55</t>
  </si>
  <si>
    <t>Annual growth</t>
  </si>
  <si>
    <t>,</t>
  </si>
  <si>
    <t>Others 2013</t>
  </si>
  <si>
    <t>Others 2018</t>
  </si>
  <si>
    <t>Others 2022</t>
  </si>
  <si>
    <t>Total 2013</t>
  </si>
  <si>
    <t>Total 2018</t>
  </si>
  <si>
    <t>Total 2022</t>
  </si>
  <si>
    <t>Condition</t>
  </si>
  <si>
    <t>Sum of Stock 2013</t>
  </si>
  <si>
    <t>Sum of Stock 2018</t>
  </si>
  <si>
    <t>Sum of Stock 2022</t>
  </si>
  <si>
    <t xml:space="preserve"> Stock 2018</t>
  </si>
  <si>
    <t>Other  Density per 10,000 (2013)</t>
  </si>
  <si>
    <t>Other Density per 10,000 (2018)</t>
  </si>
  <si>
    <t xml:space="preserve"> Other Density per 10,000 (2022)</t>
  </si>
  <si>
    <t xml:space="preserve"> Total Density per 10,000 (2013)</t>
  </si>
  <si>
    <t xml:space="preserve"> Total Density per 10,000 (2018)</t>
  </si>
  <si>
    <t xml:space="preserve"> Total Density per 10,000 (2022)</t>
  </si>
  <si>
    <t>Average of  Density per 10,000 (2013)</t>
  </si>
  <si>
    <t>Average of  Density per 10,000 (2018)</t>
  </si>
  <si>
    <t>Average of  Density per 10,000 (2022)</t>
  </si>
  <si>
    <t>Total number of data elements</t>
  </si>
  <si>
    <t>SNo</t>
  </si>
  <si>
    <t>Number of occupations reported in 2013</t>
  </si>
  <si>
    <t>Number of occupations reported in 2018</t>
  </si>
  <si>
    <t>Number of occupations reported in 2022</t>
  </si>
  <si>
    <t>Cabo Verde</t>
  </si>
  <si>
    <t>SDG 3c Occuaptions</t>
  </si>
  <si>
    <t>SDG 3c Occupations</t>
  </si>
  <si>
    <t xml:space="preserve"> Stock proportion 2013</t>
  </si>
  <si>
    <t xml:space="preserve"> Stock proportion 2018</t>
  </si>
  <si>
    <t xml:space="preserve"> Stock proportion 2022</t>
  </si>
  <si>
    <t>SDG 3c occupations</t>
  </si>
  <si>
    <t>S No</t>
  </si>
  <si>
    <t>For atleast 70% of UHC  service coverage</t>
  </si>
  <si>
    <t>Nurses and Midwives</t>
  </si>
  <si>
    <t xml:space="preserve">Target (80.29) for at least 70% UHC service index </t>
  </si>
  <si>
    <t>Medical Doctors* density</t>
  </si>
  <si>
    <t xml:space="preserve">Target (7.77) for at least 70% UHC service index </t>
  </si>
  <si>
    <t>Midwives and nurses</t>
  </si>
  <si>
    <t xml:space="preserve">Target (58.64) for at least 70% UHC service index </t>
  </si>
  <si>
    <t xml:space="preserve">Target (5.28) for at least 70% UHC service index </t>
  </si>
  <si>
    <t xml:space="preserve"> Pharmacists</t>
  </si>
  <si>
    <t xml:space="preserve"> Pharmaceutical Technicians and Assistants</t>
  </si>
  <si>
    <t xml:space="preserve">Target (14.72) for at least 70% UHC service index </t>
  </si>
  <si>
    <t>SDG 3c</t>
  </si>
  <si>
    <t>Nurses and midwives</t>
  </si>
  <si>
    <t>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</si>
</sst>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8"/>
      <name val="Calibri"/>
      <family val="2"/>
      <scheme val="minor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sz val="11"/>
      <name val="Arial Narrow"/>
      <family val="2"/>
    </font>
    <font>
      <sz val="11"/>
      <color rgb="FFFF0000"/>
      <name val="Arial Narrow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  <border>
      <left/>
      <right style="medium">
        <color rgb="FF8EAADB"/>
      </right>
      <top/>
      <bottom style="medium">
        <color rgb="FF8EAADB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3" fillId="0" borderId="1" xfId="0" applyFont="1" applyBorder="1"/>
    <xf numFmtId="0" fontId="0" fillId="0" borderId="1" xfId="0" applyBorder="1"/>
    <xf numFmtId="2" fontId="0" fillId="0" borderId="0" xfId="0" applyNumberFormat="1"/>
    <xf numFmtId="0" fontId="0" fillId="0" borderId="0" xfId="0" applyAlignment="1">
      <alignment wrapText="1"/>
    </xf>
    <xf numFmtId="9" fontId="0" fillId="0" borderId="0" xfId="2" applyFont="1"/>
    <xf numFmtId="164" fontId="0" fillId="0" borderId="0" xfId="2" applyNumberFormat="1" applyFont="1"/>
    <xf numFmtId="0" fontId="0" fillId="0" borderId="0" xfId="0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3" xfId="0" applyFont="1" applyFill="1" applyBorder="1"/>
    <xf numFmtId="165" fontId="0" fillId="0" borderId="0" xfId="1" applyNumberFormat="1" applyFont="1"/>
    <xf numFmtId="43" fontId="0" fillId="0" borderId="0" xfId="0" applyNumberFormat="1"/>
    <xf numFmtId="0" fontId="2" fillId="2" borderId="2" xfId="0" applyFont="1" applyFill="1" applyBorder="1" applyAlignment="1">
      <alignment wrapText="1"/>
    </xf>
    <xf numFmtId="0" fontId="0" fillId="0" borderId="0" xfId="0" pivotButton="1"/>
    <xf numFmtId="0" fontId="3" fillId="3" borderId="1" xfId="0" applyFont="1" applyFill="1" applyBorder="1" applyAlignment="1">
      <alignment wrapText="1"/>
    </xf>
    <xf numFmtId="0" fontId="3" fillId="0" borderId="0" xfId="0" applyFont="1"/>
    <xf numFmtId="166" fontId="0" fillId="0" borderId="0" xfId="0" applyNumberFormat="1"/>
    <xf numFmtId="0" fontId="5" fillId="0" borderId="1" xfId="0" applyFont="1" applyBorder="1"/>
    <xf numFmtId="0" fontId="5" fillId="2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9" fontId="0" fillId="0" borderId="0" xfId="2" applyFont="1" applyAlignment="1">
      <alignment wrapText="1"/>
    </xf>
    <xf numFmtId="164" fontId="0" fillId="0" borderId="0" xfId="0" applyNumberFormat="1"/>
    <xf numFmtId="9" fontId="0" fillId="0" borderId="0" xfId="0" applyNumberFormat="1"/>
    <xf numFmtId="0" fontId="5" fillId="4" borderId="0" xfId="0" applyFont="1" applyFill="1" applyAlignment="1">
      <alignment wrapText="1"/>
    </xf>
    <xf numFmtId="1" fontId="0" fillId="0" borderId="0" xfId="0" applyNumberFormat="1"/>
    <xf numFmtId="2" fontId="0" fillId="0" borderId="0" xfId="1" applyNumberFormat="1" applyFont="1"/>
    <xf numFmtId="0" fontId="7" fillId="0" borderId="4" xfId="0" applyFont="1" applyBorder="1" applyAlignment="1">
      <alignment horizontal="justify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6" borderId="4" xfId="0" applyFont="1" applyFill="1" applyBorder="1" applyAlignment="1">
      <alignment horizontal="justify" vertical="center" wrapText="1"/>
    </xf>
    <xf numFmtId="0" fontId="9" fillId="6" borderId="5" xfId="0" applyFont="1" applyFill="1" applyBorder="1" applyAlignment="1">
      <alignment horizontal="justify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justify" vertical="center"/>
    </xf>
    <xf numFmtId="0" fontId="8" fillId="7" borderId="8" xfId="0" applyFont="1" applyFill="1" applyBorder="1" applyAlignment="1">
      <alignment horizontal="justify" vertical="center"/>
    </xf>
    <xf numFmtId="0" fontId="8" fillId="7" borderId="8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justify" vertical="center"/>
    </xf>
    <xf numFmtId="0" fontId="8" fillId="0" borderId="8" xfId="0" applyFont="1" applyBorder="1" applyAlignment="1">
      <alignment horizontal="justify" vertical="center"/>
    </xf>
    <xf numFmtId="0" fontId="8" fillId="0" borderId="8" xfId="0" applyFont="1" applyBorder="1" applyAlignment="1">
      <alignment horizontal="center" vertical="center"/>
    </xf>
    <xf numFmtId="0" fontId="8" fillId="7" borderId="7" xfId="0" applyFont="1" applyFill="1" applyBorder="1" applyAlignment="1">
      <alignment horizontal="justify" vertical="center"/>
    </xf>
    <xf numFmtId="0" fontId="0" fillId="0" borderId="8" xfId="0" applyBorder="1" applyAlignment="1">
      <alignment vertical="top"/>
    </xf>
    <xf numFmtId="0" fontId="7" fillId="0" borderId="7" xfId="0" applyFont="1" applyBorder="1" applyAlignment="1">
      <alignment horizontal="justify" vertical="center"/>
    </xf>
    <xf numFmtId="0" fontId="7" fillId="0" borderId="8" xfId="0" applyFont="1" applyBorder="1" applyAlignment="1">
      <alignment horizontal="justify" vertical="center"/>
    </xf>
    <xf numFmtId="0" fontId="7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10" fillId="0" borderId="1" xfId="0" applyFont="1" applyBorder="1"/>
    <xf numFmtId="0" fontId="10" fillId="0" borderId="1" xfId="0" applyFont="1" applyBorder="1" applyAlignment="1">
      <alignment horizontal="left"/>
    </xf>
    <xf numFmtId="43" fontId="10" fillId="0" borderId="1" xfId="0" applyNumberFormat="1" applyFont="1" applyBorder="1"/>
    <xf numFmtId="43" fontId="11" fillId="0" borderId="1" xfId="0" applyNumberFormat="1" applyFont="1" applyBorder="1"/>
    <xf numFmtId="0" fontId="10" fillId="8" borderId="1" xfId="0" applyFont="1" applyFill="1" applyBorder="1"/>
    <xf numFmtId="0" fontId="6" fillId="2" borderId="1" xfId="0" applyFont="1" applyFill="1" applyBorder="1" applyAlignment="1">
      <alignment horizontal="left"/>
    </xf>
    <xf numFmtId="43" fontId="6" fillId="2" borderId="1" xfId="0" applyNumberFormat="1" applyFont="1" applyFill="1" applyBorder="1"/>
    <xf numFmtId="43" fontId="10" fillId="0" borderId="9" xfId="0" applyNumberFormat="1" applyFont="1" applyBorder="1"/>
    <xf numFmtId="0" fontId="3" fillId="0" borderId="1" xfId="0" applyFont="1" applyBorder="1" applyAlignment="1">
      <alignment wrapText="1"/>
    </xf>
    <xf numFmtId="43" fontId="10" fillId="10" borderId="1" xfId="0" applyNumberFormat="1" applyFont="1" applyFill="1" applyBorder="1"/>
    <xf numFmtId="0" fontId="3" fillId="0" borderId="1" xfId="0" applyFont="1" applyBorder="1" applyAlignment="1">
      <alignment horizontal="left"/>
    </xf>
    <xf numFmtId="43" fontId="3" fillId="10" borderId="1" xfId="0" applyNumberFormat="1" applyFont="1" applyFill="1" applyBorder="1"/>
    <xf numFmtId="0" fontId="5" fillId="2" borderId="1" xfId="0" applyFont="1" applyFill="1" applyBorder="1" applyAlignment="1">
      <alignment horizontal="left"/>
    </xf>
    <xf numFmtId="43" fontId="5" fillId="11" borderId="1" xfId="0" applyNumberFormat="1" applyFont="1" applyFill="1" applyBorder="1"/>
    <xf numFmtId="43" fontId="10" fillId="10" borderId="9" xfId="0" applyNumberFormat="1" applyFont="1" applyFill="1" applyBorder="1"/>
    <xf numFmtId="43" fontId="3" fillId="0" borderId="1" xfId="0" applyNumberFormat="1" applyFont="1" applyBorder="1"/>
    <xf numFmtId="43" fontId="5" fillId="2" borderId="1" xfId="0" applyNumberFormat="1" applyFont="1" applyFill="1" applyBorder="1"/>
    <xf numFmtId="0" fontId="10" fillId="0" borderId="9" xfId="0" applyFont="1" applyBorder="1"/>
    <xf numFmtId="0" fontId="12" fillId="0" borderId="0" xfId="0" applyFont="1"/>
    <xf numFmtId="43" fontId="12" fillId="0" borderId="0" xfId="0" applyNumberFormat="1" applyFont="1"/>
    <xf numFmtId="0" fontId="13" fillId="0" borderId="1" xfId="0" applyFont="1" applyBorder="1"/>
    <xf numFmtId="2" fontId="12" fillId="8" borderId="0" xfId="0" applyNumberFormat="1" applyFont="1" applyFill="1"/>
    <xf numFmtId="2" fontId="12" fillId="0" borderId="0" xfId="0" applyNumberFormat="1" applyFont="1"/>
    <xf numFmtId="0" fontId="5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1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'Doctors nurses and midwives'!$D$3</c:f>
              <c:strCache>
                <c:ptCount val="1"/>
                <c:pt idx="0">
                  <c:v>Density per 10,000 (2022)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2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B36-421A-8377-72A15ECD212B}"/>
              </c:ext>
            </c:extLst>
          </c:dPt>
          <c:cat>
            <c:strRef>
              <c:f>'Doctors nurses and midwives'!$A$4:$A$51</c:f>
              <c:strCache>
                <c:ptCount val="48"/>
                <c:pt idx="0">
                  <c:v>Niger</c:v>
                </c:pt>
                <c:pt idx="1">
                  <c:v>Central African Republic</c:v>
                </c:pt>
                <c:pt idx="2">
                  <c:v>Chad</c:v>
                </c:pt>
                <c:pt idx="3">
                  <c:v>Guinea</c:v>
                </c:pt>
                <c:pt idx="4">
                  <c:v>Madagascar</c:v>
                </c:pt>
                <c:pt idx="5">
                  <c:v>Malawi</c:v>
                </c:pt>
                <c:pt idx="6">
                  <c:v>Mali</c:v>
                </c:pt>
                <c:pt idx="7">
                  <c:v>Togo</c:v>
                </c:pt>
                <c:pt idx="8">
                  <c:v>Senegal</c:v>
                </c:pt>
                <c:pt idx="9">
                  <c:v>Tanzania</c:v>
                </c:pt>
                <c:pt idx="10">
                  <c:v>South Sudan</c:v>
                </c:pt>
                <c:pt idx="11">
                  <c:v>Gambia</c:v>
                </c:pt>
                <c:pt idx="12">
                  <c:v>Cameroon</c:v>
                </c:pt>
                <c:pt idx="13">
                  <c:v>Benin</c:v>
                </c:pt>
                <c:pt idx="14">
                  <c:v>Burundi</c:v>
                </c:pt>
                <c:pt idx="15">
                  <c:v>Equatorial Guinea</c:v>
                </c:pt>
                <c:pt idx="16">
                  <c:v>Mozambique</c:v>
                </c:pt>
                <c:pt idx="17">
                  <c:v>Cote d'Ivoire</c:v>
                </c:pt>
                <c:pt idx="18">
                  <c:v>Burkina Faso</c:v>
                </c:pt>
                <c:pt idx="19">
                  <c:v>Liberia</c:v>
                </c:pt>
                <c:pt idx="20">
                  <c:v>Guinea-Bissau</c:v>
                </c:pt>
                <c:pt idx="21">
                  <c:v>Rwanda</c:v>
                </c:pt>
                <c:pt idx="22">
                  <c:v>Congo</c:v>
                </c:pt>
                <c:pt idx="23">
                  <c:v>Algeria</c:v>
                </c:pt>
                <c:pt idx="24">
                  <c:v>DRC</c:v>
                </c:pt>
                <c:pt idx="25">
                  <c:v>Eritrea</c:v>
                </c:pt>
                <c:pt idx="26">
                  <c:v>Ethiopia</c:v>
                </c:pt>
                <c:pt idx="27">
                  <c:v>AFRO</c:v>
                </c:pt>
                <c:pt idx="28">
                  <c:v>Mauritania</c:v>
                </c:pt>
                <c:pt idx="29">
                  <c:v>Lesotho</c:v>
                </c:pt>
                <c:pt idx="30">
                  <c:v>Comoros</c:v>
                </c:pt>
                <c:pt idx="31">
                  <c:v>Nigeria</c:v>
                </c:pt>
                <c:pt idx="32">
                  <c:v>Angola</c:v>
                </c:pt>
                <c:pt idx="33">
                  <c:v>Sierra Leone</c:v>
                </c:pt>
                <c:pt idx="34">
                  <c:v>Kenya</c:v>
                </c:pt>
                <c:pt idx="35">
                  <c:v>Uganda</c:v>
                </c:pt>
                <c:pt idx="36">
                  <c:v>Sao Tome and Principe</c:v>
                </c:pt>
                <c:pt idx="37">
                  <c:v>Gabon</c:v>
                </c:pt>
                <c:pt idx="38">
                  <c:v>Zambia</c:v>
                </c:pt>
                <c:pt idx="39">
                  <c:v>Botswana</c:v>
                </c:pt>
                <c:pt idx="40">
                  <c:v>Zimbabwe</c:v>
                </c:pt>
                <c:pt idx="41">
                  <c:v>Ghana</c:v>
                </c:pt>
                <c:pt idx="42">
                  <c:v>Eswatini</c:v>
                </c:pt>
                <c:pt idx="43">
                  <c:v>Mauritius</c:v>
                </c:pt>
                <c:pt idx="44">
                  <c:v>Cape-Verde</c:v>
                </c:pt>
                <c:pt idx="45">
                  <c:v>Namibia</c:v>
                </c:pt>
                <c:pt idx="46">
                  <c:v>South Africa</c:v>
                </c:pt>
                <c:pt idx="47">
                  <c:v>Seychelles</c:v>
                </c:pt>
              </c:strCache>
            </c:strRef>
          </c:cat>
          <c:val>
            <c:numRef>
              <c:f>'Doctors nurses and midwives'!$D$4:$D$51</c:f>
              <c:numCache>
                <c:formatCode>0.00</c:formatCode>
                <c:ptCount val="48"/>
                <c:pt idx="0">
                  <c:v>2.3259582036922208</c:v>
                </c:pt>
                <c:pt idx="1">
                  <c:v>2.3872297370504008</c:v>
                </c:pt>
                <c:pt idx="2">
                  <c:v>3.2716188953202665</c:v>
                </c:pt>
                <c:pt idx="3">
                  <c:v>4.5119996321234597</c:v>
                </c:pt>
                <c:pt idx="4">
                  <c:v>4.654914605753655</c:v>
                </c:pt>
                <c:pt idx="5">
                  <c:v>5.5434395125336913</c:v>
                </c:pt>
                <c:pt idx="6">
                  <c:v>5.5984926364175651</c:v>
                </c:pt>
                <c:pt idx="7">
                  <c:v>5.9036930685343147</c:v>
                </c:pt>
                <c:pt idx="8">
                  <c:v>6.108947758593815</c:v>
                </c:pt>
                <c:pt idx="9">
                  <c:v>6.2037247448568724</c:v>
                </c:pt>
                <c:pt idx="10">
                  <c:v>7.3360946163777347</c:v>
                </c:pt>
                <c:pt idx="11">
                  <c:v>7.6950371510478712</c:v>
                </c:pt>
                <c:pt idx="12">
                  <c:v>7.8475241743670043</c:v>
                </c:pt>
                <c:pt idx="13">
                  <c:v>7.905420140578082</c:v>
                </c:pt>
                <c:pt idx="14">
                  <c:v>8.1970005510432156</c:v>
                </c:pt>
                <c:pt idx="15">
                  <c:v>10.007213798082931</c:v>
                </c:pt>
                <c:pt idx="16">
                  <c:v>11.001373890249562</c:v>
                </c:pt>
                <c:pt idx="17">
                  <c:v>11.710635712808925</c:v>
                </c:pt>
                <c:pt idx="18">
                  <c:v>11.721918929906732</c:v>
                </c:pt>
                <c:pt idx="19">
                  <c:v>12.006604382306818</c:v>
                </c:pt>
                <c:pt idx="20">
                  <c:v>12.380872332200333</c:v>
                </c:pt>
                <c:pt idx="21">
                  <c:v>12.440746230594545</c:v>
                </c:pt>
                <c:pt idx="22">
                  <c:v>12.82557799981813</c:v>
                </c:pt>
                <c:pt idx="23">
                  <c:v>13.840368451121652</c:v>
                </c:pt>
                <c:pt idx="24">
                  <c:v>14.104125276326323</c:v>
                </c:pt>
                <c:pt idx="25">
                  <c:v>14.584070867806926</c:v>
                </c:pt>
                <c:pt idx="26">
                  <c:v>15.362628950222767</c:v>
                </c:pt>
                <c:pt idx="27">
                  <c:v>19.071857926988567</c:v>
                </c:pt>
                <c:pt idx="28">
                  <c:v>19.247819150386611</c:v>
                </c:pt>
                <c:pt idx="29">
                  <c:v>19.737356151637165</c:v>
                </c:pt>
                <c:pt idx="30">
                  <c:v>20.614550700647715</c:v>
                </c:pt>
                <c:pt idx="31">
                  <c:v>20.758052766628868</c:v>
                </c:pt>
                <c:pt idx="32">
                  <c:v>21.19840588956373</c:v>
                </c:pt>
                <c:pt idx="33">
                  <c:v>22.128310502389212</c:v>
                </c:pt>
                <c:pt idx="34">
                  <c:v>22.689931885967603</c:v>
                </c:pt>
                <c:pt idx="35">
                  <c:v>24.594032165143432</c:v>
                </c:pt>
                <c:pt idx="36">
                  <c:v>25.080738156916041</c:v>
                </c:pt>
                <c:pt idx="37">
                  <c:v>29.037302117617038</c:v>
                </c:pt>
                <c:pt idx="38">
                  <c:v>32.824990914279496</c:v>
                </c:pt>
                <c:pt idx="39">
                  <c:v>34.292718386067548</c:v>
                </c:pt>
                <c:pt idx="40">
                  <c:v>36.315960905902422</c:v>
                </c:pt>
                <c:pt idx="41">
                  <c:v>45.6484849222892</c:v>
                </c:pt>
                <c:pt idx="42">
                  <c:v>49.456152913797929</c:v>
                </c:pt>
                <c:pt idx="43">
                  <c:v>53.864572698360966</c:v>
                </c:pt>
                <c:pt idx="44">
                  <c:v>60.895271765381224</c:v>
                </c:pt>
                <c:pt idx="45">
                  <c:v>66.896135970779099</c:v>
                </c:pt>
                <c:pt idx="46">
                  <c:v>74.345193320567816</c:v>
                </c:pt>
                <c:pt idx="47">
                  <c:v>213.24893351885851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41-49A5-AB79-BEF35EE98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5388576"/>
        <c:axId val="279880672"/>
      </c:barChart>
      <c:lineChart>
        <c:grouping val="standard"/>
        <c:varyColors val="0"/>
        <c:ser>
          <c:idx val="3"/>
          <c:order val="3"/>
          <c:tx>
            <c:strRef>
              <c:f>'Doctors nurses and midwives'!$E$3</c:f>
              <c:strCache>
                <c:ptCount val="1"/>
                <c:pt idx="0">
                  <c:v>SDG threshold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'Doctors nurses and midwives'!$A$4:$A$51</c:f>
              <c:strCache>
                <c:ptCount val="48"/>
                <c:pt idx="0">
                  <c:v>Niger</c:v>
                </c:pt>
                <c:pt idx="1">
                  <c:v>Central African Republic</c:v>
                </c:pt>
                <c:pt idx="2">
                  <c:v>Chad</c:v>
                </c:pt>
                <c:pt idx="3">
                  <c:v>Guinea</c:v>
                </c:pt>
                <c:pt idx="4">
                  <c:v>Madagascar</c:v>
                </c:pt>
                <c:pt idx="5">
                  <c:v>Malawi</c:v>
                </c:pt>
                <c:pt idx="6">
                  <c:v>Mali</c:v>
                </c:pt>
                <c:pt idx="7">
                  <c:v>Togo</c:v>
                </c:pt>
                <c:pt idx="8">
                  <c:v>Senegal</c:v>
                </c:pt>
                <c:pt idx="9">
                  <c:v>Tanzania</c:v>
                </c:pt>
                <c:pt idx="10">
                  <c:v>South Sudan</c:v>
                </c:pt>
                <c:pt idx="11">
                  <c:v>Gambia</c:v>
                </c:pt>
                <c:pt idx="12">
                  <c:v>Cameroon</c:v>
                </c:pt>
                <c:pt idx="13">
                  <c:v>Benin</c:v>
                </c:pt>
                <c:pt idx="14">
                  <c:v>Burundi</c:v>
                </c:pt>
                <c:pt idx="15">
                  <c:v>Equatorial Guinea</c:v>
                </c:pt>
                <c:pt idx="16">
                  <c:v>Mozambique</c:v>
                </c:pt>
                <c:pt idx="17">
                  <c:v>Cote d'Ivoire</c:v>
                </c:pt>
                <c:pt idx="18">
                  <c:v>Burkina Faso</c:v>
                </c:pt>
                <c:pt idx="19">
                  <c:v>Liberia</c:v>
                </c:pt>
                <c:pt idx="20">
                  <c:v>Guinea-Bissau</c:v>
                </c:pt>
                <c:pt idx="21">
                  <c:v>Rwanda</c:v>
                </c:pt>
                <c:pt idx="22">
                  <c:v>Congo</c:v>
                </c:pt>
                <c:pt idx="23">
                  <c:v>Algeria</c:v>
                </c:pt>
                <c:pt idx="24">
                  <c:v>DRC</c:v>
                </c:pt>
                <c:pt idx="25">
                  <c:v>Eritrea</c:v>
                </c:pt>
                <c:pt idx="26">
                  <c:v>Ethiopia</c:v>
                </c:pt>
                <c:pt idx="27">
                  <c:v>AFRO</c:v>
                </c:pt>
                <c:pt idx="28">
                  <c:v>Mauritania</c:v>
                </c:pt>
                <c:pt idx="29">
                  <c:v>Lesotho</c:v>
                </c:pt>
                <c:pt idx="30">
                  <c:v>Comoros</c:v>
                </c:pt>
                <c:pt idx="31">
                  <c:v>Nigeria</c:v>
                </c:pt>
                <c:pt idx="32">
                  <c:v>Angola</c:v>
                </c:pt>
                <c:pt idx="33">
                  <c:v>Sierra Leone</c:v>
                </c:pt>
                <c:pt idx="34">
                  <c:v>Kenya</c:v>
                </c:pt>
                <c:pt idx="35">
                  <c:v>Uganda</c:v>
                </c:pt>
                <c:pt idx="36">
                  <c:v>Sao Tome and Principe</c:v>
                </c:pt>
                <c:pt idx="37">
                  <c:v>Gabon</c:v>
                </c:pt>
                <c:pt idx="38">
                  <c:v>Zambia</c:v>
                </c:pt>
                <c:pt idx="39">
                  <c:v>Botswana</c:v>
                </c:pt>
                <c:pt idx="40">
                  <c:v>Zimbabwe</c:v>
                </c:pt>
                <c:pt idx="41">
                  <c:v>Ghana</c:v>
                </c:pt>
                <c:pt idx="42">
                  <c:v>Eswatini</c:v>
                </c:pt>
                <c:pt idx="43">
                  <c:v>Mauritius</c:v>
                </c:pt>
                <c:pt idx="44">
                  <c:v>Cape-Verde</c:v>
                </c:pt>
                <c:pt idx="45">
                  <c:v>Namibia</c:v>
                </c:pt>
                <c:pt idx="46">
                  <c:v>South Africa</c:v>
                </c:pt>
                <c:pt idx="47">
                  <c:v>Seychelles</c:v>
                </c:pt>
              </c:strCache>
            </c:strRef>
          </c:cat>
          <c:val>
            <c:numRef>
              <c:f>'Doctors nurses and midwives'!$E$4:$E$51</c:f>
              <c:numCache>
                <c:formatCode>General</c:formatCode>
                <c:ptCount val="48"/>
                <c:pt idx="0">
                  <c:v>44.5</c:v>
                </c:pt>
                <c:pt idx="1">
                  <c:v>44.5</c:v>
                </c:pt>
                <c:pt idx="2">
                  <c:v>44.5</c:v>
                </c:pt>
                <c:pt idx="3">
                  <c:v>44.5</c:v>
                </c:pt>
                <c:pt idx="4">
                  <c:v>44.5</c:v>
                </c:pt>
                <c:pt idx="5">
                  <c:v>44.5</c:v>
                </c:pt>
                <c:pt idx="6">
                  <c:v>44.5</c:v>
                </c:pt>
                <c:pt idx="7">
                  <c:v>44.5</c:v>
                </c:pt>
                <c:pt idx="8">
                  <c:v>44.5</c:v>
                </c:pt>
                <c:pt idx="9">
                  <c:v>44.5</c:v>
                </c:pt>
                <c:pt idx="10">
                  <c:v>44.5</c:v>
                </c:pt>
                <c:pt idx="11">
                  <c:v>44.5</c:v>
                </c:pt>
                <c:pt idx="12">
                  <c:v>44.5</c:v>
                </c:pt>
                <c:pt idx="13">
                  <c:v>44.5</c:v>
                </c:pt>
                <c:pt idx="14">
                  <c:v>44.5</c:v>
                </c:pt>
                <c:pt idx="15">
                  <c:v>44.5</c:v>
                </c:pt>
                <c:pt idx="16">
                  <c:v>44.5</c:v>
                </c:pt>
                <c:pt idx="17">
                  <c:v>44.5</c:v>
                </c:pt>
                <c:pt idx="18">
                  <c:v>44.5</c:v>
                </c:pt>
                <c:pt idx="19">
                  <c:v>44.5</c:v>
                </c:pt>
                <c:pt idx="20">
                  <c:v>44.5</c:v>
                </c:pt>
                <c:pt idx="21">
                  <c:v>44.5</c:v>
                </c:pt>
                <c:pt idx="22">
                  <c:v>44.5</c:v>
                </c:pt>
                <c:pt idx="23">
                  <c:v>44.5</c:v>
                </c:pt>
                <c:pt idx="24">
                  <c:v>44.5</c:v>
                </c:pt>
                <c:pt idx="25">
                  <c:v>44.5</c:v>
                </c:pt>
                <c:pt idx="26">
                  <c:v>44.5</c:v>
                </c:pt>
                <c:pt idx="27">
                  <c:v>44.5</c:v>
                </c:pt>
                <c:pt idx="28">
                  <c:v>44.5</c:v>
                </c:pt>
                <c:pt idx="29">
                  <c:v>44.5</c:v>
                </c:pt>
                <c:pt idx="30">
                  <c:v>44.5</c:v>
                </c:pt>
                <c:pt idx="31">
                  <c:v>44.5</c:v>
                </c:pt>
                <c:pt idx="32">
                  <c:v>44.5</c:v>
                </c:pt>
                <c:pt idx="33">
                  <c:v>44.5</c:v>
                </c:pt>
                <c:pt idx="34">
                  <c:v>44.5</c:v>
                </c:pt>
                <c:pt idx="35">
                  <c:v>44.5</c:v>
                </c:pt>
                <c:pt idx="36">
                  <c:v>44.5</c:v>
                </c:pt>
                <c:pt idx="37">
                  <c:v>44.5</c:v>
                </c:pt>
                <c:pt idx="38">
                  <c:v>44.5</c:v>
                </c:pt>
                <c:pt idx="39">
                  <c:v>44.5</c:v>
                </c:pt>
                <c:pt idx="40">
                  <c:v>44.5</c:v>
                </c:pt>
                <c:pt idx="41">
                  <c:v>44.5</c:v>
                </c:pt>
                <c:pt idx="42">
                  <c:v>44.5</c:v>
                </c:pt>
                <c:pt idx="43">
                  <c:v>44.5</c:v>
                </c:pt>
                <c:pt idx="44">
                  <c:v>44.5</c:v>
                </c:pt>
                <c:pt idx="45">
                  <c:v>44.5</c:v>
                </c:pt>
                <c:pt idx="46">
                  <c:v>44.5</c:v>
                </c:pt>
                <c:pt idx="47">
                  <c:v>44.5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35-4771-B961-9B15AF2CA4CF}"/>
            </c:ext>
          </c:extLst>
        </c:ser>
        <c:ser>
          <c:idx val="4"/>
          <c:order val="4"/>
          <c:tx>
            <c:strRef>
              <c:f>'Doctors nurses and midwives'!$F$3</c:f>
              <c:strCache>
                <c:ptCount val="1"/>
                <c:pt idx="0">
                  <c:v>MDG Threshold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'Doctors nurses and midwives'!$A$4:$A$51</c:f>
              <c:strCache>
                <c:ptCount val="48"/>
                <c:pt idx="0">
                  <c:v>Niger</c:v>
                </c:pt>
                <c:pt idx="1">
                  <c:v>Central African Republic</c:v>
                </c:pt>
                <c:pt idx="2">
                  <c:v>Chad</c:v>
                </c:pt>
                <c:pt idx="3">
                  <c:v>Guinea</c:v>
                </c:pt>
                <c:pt idx="4">
                  <c:v>Madagascar</c:v>
                </c:pt>
                <c:pt idx="5">
                  <c:v>Malawi</c:v>
                </c:pt>
                <c:pt idx="6">
                  <c:v>Mali</c:v>
                </c:pt>
                <c:pt idx="7">
                  <c:v>Togo</c:v>
                </c:pt>
                <c:pt idx="8">
                  <c:v>Senegal</c:v>
                </c:pt>
                <c:pt idx="9">
                  <c:v>Tanzania</c:v>
                </c:pt>
                <c:pt idx="10">
                  <c:v>South Sudan</c:v>
                </c:pt>
                <c:pt idx="11">
                  <c:v>Gambia</c:v>
                </c:pt>
                <c:pt idx="12">
                  <c:v>Cameroon</c:v>
                </c:pt>
                <c:pt idx="13">
                  <c:v>Benin</c:v>
                </c:pt>
                <c:pt idx="14">
                  <c:v>Burundi</c:v>
                </c:pt>
                <c:pt idx="15">
                  <c:v>Equatorial Guinea</c:v>
                </c:pt>
                <c:pt idx="16">
                  <c:v>Mozambique</c:v>
                </c:pt>
                <c:pt idx="17">
                  <c:v>Cote d'Ivoire</c:v>
                </c:pt>
                <c:pt idx="18">
                  <c:v>Burkina Faso</c:v>
                </c:pt>
                <c:pt idx="19">
                  <c:v>Liberia</c:v>
                </c:pt>
                <c:pt idx="20">
                  <c:v>Guinea-Bissau</c:v>
                </c:pt>
                <c:pt idx="21">
                  <c:v>Rwanda</c:v>
                </c:pt>
                <c:pt idx="22">
                  <c:v>Congo</c:v>
                </c:pt>
                <c:pt idx="23">
                  <c:v>Algeria</c:v>
                </c:pt>
                <c:pt idx="24">
                  <c:v>DRC</c:v>
                </c:pt>
                <c:pt idx="25">
                  <c:v>Eritrea</c:v>
                </c:pt>
                <c:pt idx="26">
                  <c:v>Ethiopia</c:v>
                </c:pt>
                <c:pt idx="27">
                  <c:v>AFRO</c:v>
                </c:pt>
                <c:pt idx="28">
                  <c:v>Mauritania</c:v>
                </c:pt>
                <c:pt idx="29">
                  <c:v>Lesotho</c:v>
                </c:pt>
                <c:pt idx="30">
                  <c:v>Comoros</c:v>
                </c:pt>
                <c:pt idx="31">
                  <c:v>Nigeria</c:v>
                </c:pt>
                <c:pt idx="32">
                  <c:v>Angola</c:v>
                </c:pt>
                <c:pt idx="33">
                  <c:v>Sierra Leone</c:v>
                </c:pt>
                <c:pt idx="34">
                  <c:v>Kenya</c:v>
                </c:pt>
                <c:pt idx="35">
                  <c:v>Uganda</c:v>
                </c:pt>
                <c:pt idx="36">
                  <c:v>Sao Tome and Principe</c:v>
                </c:pt>
                <c:pt idx="37">
                  <c:v>Gabon</c:v>
                </c:pt>
                <c:pt idx="38">
                  <c:v>Zambia</c:v>
                </c:pt>
                <c:pt idx="39">
                  <c:v>Botswana</c:v>
                </c:pt>
                <c:pt idx="40">
                  <c:v>Zimbabwe</c:v>
                </c:pt>
                <c:pt idx="41">
                  <c:v>Ghana</c:v>
                </c:pt>
                <c:pt idx="42">
                  <c:v>Eswatini</c:v>
                </c:pt>
                <c:pt idx="43">
                  <c:v>Mauritius</c:v>
                </c:pt>
                <c:pt idx="44">
                  <c:v>Cape-Verde</c:v>
                </c:pt>
                <c:pt idx="45">
                  <c:v>Namibia</c:v>
                </c:pt>
                <c:pt idx="46">
                  <c:v>South Africa</c:v>
                </c:pt>
                <c:pt idx="47">
                  <c:v>Seychelles</c:v>
                </c:pt>
              </c:strCache>
            </c:strRef>
          </c:cat>
          <c:val>
            <c:numRef>
              <c:f>'Doctors nurses and midwives'!$F$4:$F$51</c:f>
              <c:numCache>
                <c:formatCode>0.00</c:formatCode>
                <c:ptCount val="48"/>
                <c:pt idx="0">
                  <c:v>22.8</c:v>
                </c:pt>
                <c:pt idx="1">
                  <c:v>22.8</c:v>
                </c:pt>
                <c:pt idx="2">
                  <c:v>22.8</c:v>
                </c:pt>
                <c:pt idx="3">
                  <c:v>22.8</c:v>
                </c:pt>
                <c:pt idx="4">
                  <c:v>22.8</c:v>
                </c:pt>
                <c:pt idx="5">
                  <c:v>22.8</c:v>
                </c:pt>
                <c:pt idx="6">
                  <c:v>22.8</c:v>
                </c:pt>
                <c:pt idx="7">
                  <c:v>22.8</c:v>
                </c:pt>
                <c:pt idx="8">
                  <c:v>22.8</c:v>
                </c:pt>
                <c:pt idx="9">
                  <c:v>22.8</c:v>
                </c:pt>
                <c:pt idx="10">
                  <c:v>22.8</c:v>
                </c:pt>
                <c:pt idx="11">
                  <c:v>22.8</c:v>
                </c:pt>
                <c:pt idx="12">
                  <c:v>22.8</c:v>
                </c:pt>
                <c:pt idx="13">
                  <c:v>22.8</c:v>
                </c:pt>
                <c:pt idx="14">
                  <c:v>22.8</c:v>
                </c:pt>
                <c:pt idx="15">
                  <c:v>22.8</c:v>
                </c:pt>
                <c:pt idx="16">
                  <c:v>22.8</c:v>
                </c:pt>
                <c:pt idx="17">
                  <c:v>22.8</c:v>
                </c:pt>
                <c:pt idx="18">
                  <c:v>22.8</c:v>
                </c:pt>
                <c:pt idx="19">
                  <c:v>22.8</c:v>
                </c:pt>
                <c:pt idx="20">
                  <c:v>22.8</c:v>
                </c:pt>
                <c:pt idx="21">
                  <c:v>22.8</c:v>
                </c:pt>
                <c:pt idx="22">
                  <c:v>22.8</c:v>
                </c:pt>
                <c:pt idx="23">
                  <c:v>22.8</c:v>
                </c:pt>
                <c:pt idx="24">
                  <c:v>22.8</c:v>
                </c:pt>
                <c:pt idx="25">
                  <c:v>22.8</c:v>
                </c:pt>
                <c:pt idx="26">
                  <c:v>22.8</c:v>
                </c:pt>
                <c:pt idx="27">
                  <c:v>22.8</c:v>
                </c:pt>
                <c:pt idx="28">
                  <c:v>22.8</c:v>
                </c:pt>
                <c:pt idx="29">
                  <c:v>22.8</c:v>
                </c:pt>
                <c:pt idx="30">
                  <c:v>22.8</c:v>
                </c:pt>
                <c:pt idx="31">
                  <c:v>22.8</c:v>
                </c:pt>
                <c:pt idx="32">
                  <c:v>22.8</c:v>
                </c:pt>
                <c:pt idx="33">
                  <c:v>22.8</c:v>
                </c:pt>
                <c:pt idx="34">
                  <c:v>22.8</c:v>
                </c:pt>
                <c:pt idx="35">
                  <c:v>22.8</c:v>
                </c:pt>
                <c:pt idx="36">
                  <c:v>22.8</c:v>
                </c:pt>
                <c:pt idx="37">
                  <c:v>22.8</c:v>
                </c:pt>
                <c:pt idx="38">
                  <c:v>22.8</c:v>
                </c:pt>
                <c:pt idx="39">
                  <c:v>22.8</c:v>
                </c:pt>
                <c:pt idx="40">
                  <c:v>22.8</c:v>
                </c:pt>
                <c:pt idx="41">
                  <c:v>22.8</c:v>
                </c:pt>
                <c:pt idx="42">
                  <c:v>22.8</c:v>
                </c:pt>
                <c:pt idx="43">
                  <c:v>22.8</c:v>
                </c:pt>
                <c:pt idx="44">
                  <c:v>22.8</c:v>
                </c:pt>
                <c:pt idx="45">
                  <c:v>22.8</c:v>
                </c:pt>
                <c:pt idx="46">
                  <c:v>22.8</c:v>
                </c:pt>
                <c:pt idx="47">
                  <c:v>22.8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35-4771-B961-9B15AF2CA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388576"/>
        <c:axId val="279880672"/>
      </c:lineChart>
      <c:scatterChart>
        <c:scatterStyle val="lineMarker"/>
        <c:varyColors val="0"/>
        <c:ser>
          <c:idx val="0"/>
          <c:order val="0"/>
          <c:tx>
            <c:strRef>
              <c:f>'Doctors nurses and midwives'!$B$3</c:f>
              <c:strCache>
                <c:ptCount val="1"/>
                <c:pt idx="0">
                  <c:v>Density per 10,000 (2013)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'Doctors nurses and midwives'!$A$4:$A$51</c:f>
              <c:strCache>
                <c:ptCount val="48"/>
                <c:pt idx="0">
                  <c:v>Niger</c:v>
                </c:pt>
                <c:pt idx="1">
                  <c:v>Central African Republic</c:v>
                </c:pt>
                <c:pt idx="2">
                  <c:v>Chad</c:v>
                </c:pt>
                <c:pt idx="3">
                  <c:v>Guinea</c:v>
                </c:pt>
                <c:pt idx="4">
                  <c:v>Madagascar</c:v>
                </c:pt>
                <c:pt idx="5">
                  <c:v>Malawi</c:v>
                </c:pt>
                <c:pt idx="6">
                  <c:v>Mali</c:v>
                </c:pt>
                <c:pt idx="7">
                  <c:v>Togo</c:v>
                </c:pt>
                <c:pt idx="8">
                  <c:v>Senegal</c:v>
                </c:pt>
                <c:pt idx="9">
                  <c:v>Tanzania</c:v>
                </c:pt>
                <c:pt idx="10">
                  <c:v>South Sudan</c:v>
                </c:pt>
                <c:pt idx="11">
                  <c:v>Gambia</c:v>
                </c:pt>
                <c:pt idx="12">
                  <c:v>Cameroon</c:v>
                </c:pt>
                <c:pt idx="13">
                  <c:v>Benin</c:v>
                </c:pt>
                <c:pt idx="14">
                  <c:v>Burundi</c:v>
                </c:pt>
                <c:pt idx="15">
                  <c:v>Equatorial Guinea</c:v>
                </c:pt>
                <c:pt idx="16">
                  <c:v>Mozambique</c:v>
                </c:pt>
                <c:pt idx="17">
                  <c:v>Cote d'Ivoire</c:v>
                </c:pt>
                <c:pt idx="18">
                  <c:v>Burkina Faso</c:v>
                </c:pt>
                <c:pt idx="19">
                  <c:v>Liberia</c:v>
                </c:pt>
                <c:pt idx="20">
                  <c:v>Guinea-Bissau</c:v>
                </c:pt>
                <c:pt idx="21">
                  <c:v>Rwanda</c:v>
                </c:pt>
                <c:pt idx="22">
                  <c:v>Congo</c:v>
                </c:pt>
                <c:pt idx="23">
                  <c:v>Algeria</c:v>
                </c:pt>
                <c:pt idx="24">
                  <c:v>DRC</c:v>
                </c:pt>
                <c:pt idx="25">
                  <c:v>Eritrea</c:v>
                </c:pt>
                <c:pt idx="26">
                  <c:v>Ethiopia</c:v>
                </c:pt>
                <c:pt idx="27">
                  <c:v>AFRO</c:v>
                </c:pt>
                <c:pt idx="28">
                  <c:v>Mauritania</c:v>
                </c:pt>
                <c:pt idx="29">
                  <c:v>Lesotho</c:v>
                </c:pt>
                <c:pt idx="30">
                  <c:v>Comoros</c:v>
                </c:pt>
                <c:pt idx="31">
                  <c:v>Nigeria</c:v>
                </c:pt>
                <c:pt idx="32">
                  <c:v>Angola</c:v>
                </c:pt>
                <c:pt idx="33">
                  <c:v>Sierra Leone</c:v>
                </c:pt>
                <c:pt idx="34">
                  <c:v>Kenya</c:v>
                </c:pt>
                <c:pt idx="35">
                  <c:v>Uganda</c:v>
                </c:pt>
                <c:pt idx="36">
                  <c:v>Sao Tome and Principe</c:v>
                </c:pt>
                <c:pt idx="37">
                  <c:v>Gabon</c:v>
                </c:pt>
                <c:pt idx="38">
                  <c:v>Zambia</c:v>
                </c:pt>
                <c:pt idx="39">
                  <c:v>Botswana</c:v>
                </c:pt>
                <c:pt idx="40">
                  <c:v>Zimbabwe</c:v>
                </c:pt>
                <c:pt idx="41">
                  <c:v>Ghana</c:v>
                </c:pt>
                <c:pt idx="42">
                  <c:v>Eswatini</c:v>
                </c:pt>
                <c:pt idx="43">
                  <c:v>Mauritius</c:v>
                </c:pt>
                <c:pt idx="44">
                  <c:v>Cape-Verde</c:v>
                </c:pt>
                <c:pt idx="45">
                  <c:v>Namibia</c:v>
                </c:pt>
                <c:pt idx="46">
                  <c:v>South Africa</c:v>
                </c:pt>
                <c:pt idx="47">
                  <c:v>Seychelles</c:v>
                </c:pt>
              </c:strCache>
            </c:strRef>
          </c:xVal>
          <c:yVal>
            <c:numRef>
              <c:f>'Doctors nurses and midwives'!$B$4:$B$51</c:f>
              <c:numCache>
                <c:formatCode>0.00</c:formatCode>
                <c:ptCount val="48"/>
                <c:pt idx="0">
                  <c:v>2.8928013902601908</c:v>
                </c:pt>
                <c:pt idx="1">
                  <c:v>2.4154446026630016</c:v>
                </c:pt>
                <c:pt idx="2">
                  <c:v>3.5031261239275127</c:v>
                </c:pt>
                <c:pt idx="3">
                  <c:v>7.3565659589902852</c:v>
                </c:pt>
                <c:pt idx="4">
                  <c:v>4.392474018702714</c:v>
                </c:pt>
                <c:pt idx="5">
                  <c:v>2.3669598366604268</c:v>
                </c:pt>
                <c:pt idx="6">
                  <c:v>4.8159164598162238</c:v>
                </c:pt>
                <c:pt idx="7">
                  <c:v>3.5138186512143079</c:v>
                </c:pt>
                <c:pt idx="8">
                  <c:v>4.1395850727945103</c:v>
                </c:pt>
                <c:pt idx="9">
                  <c:v>4.5237262498154065</c:v>
                </c:pt>
                <c:pt idx="11">
                  <c:v>13.450237767542902</c:v>
                </c:pt>
                <c:pt idx="12">
                  <c:v>9.6718647797215773</c:v>
                </c:pt>
                <c:pt idx="13">
                  <c:v>5.6486101756176508</c:v>
                </c:pt>
                <c:pt idx="14">
                  <c:v>7.056451364601136</c:v>
                </c:pt>
                <c:pt idx="15">
                  <c:v>0</c:v>
                </c:pt>
                <c:pt idx="16">
                  <c:v>4.811155322381663</c:v>
                </c:pt>
                <c:pt idx="17">
                  <c:v>7.9535303053381696</c:v>
                </c:pt>
                <c:pt idx="18">
                  <c:v>4.8706064429504705</c:v>
                </c:pt>
                <c:pt idx="19">
                  <c:v>2.1999802363171792</c:v>
                </c:pt>
                <c:pt idx="20">
                  <c:v>7.2684328251615025</c:v>
                </c:pt>
                <c:pt idx="21">
                  <c:v>10.22488301985268</c:v>
                </c:pt>
                <c:pt idx="22">
                  <c:v>9.4675580794092156</c:v>
                </c:pt>
                <c:pt idx="23">
                  <c:v>2.931267462129866</c:v>
                </c:pt>
                <c:pt idx="24">
                  <c:v>9.2276042229827286</c:v>
                </c:pt>
                <c:pt idx="25">
                  <c:v>13.451172154071436</c:v>
                </c:pt>
                <c:pt idx="26">
                  <c:v>0.71329713375271953</c:v>
                </c:pt>
                <c:pt idx="27">
                  <c:v>8.1311655295716356</c:v>
                </c:pt>
                <c:pt idx="28">
                  <c:v>12.920259078445698</c:v>
                </c:pt>
                <c:pt idx="29">
                  <c:v>0</c:v>
                </c:pt>
                <c:pt idx="30">
                  <c:v>5.9766154198107619</c:v>
                </c:pt>
                <c:pt idx="31">
                  <c:v>13.847614492517481</c:v>
                </c:pt>
                <c:pt idx="32">
                  <c:v>1.147359073900709E-2</c:v>
                </c:pt>
                <c:pt idx="33">
                  <c:v>11.906918137676456</c:v>
                </c:pt>
                <c:pt idx="34">
                  <c:v>10.933559038450477</c:v>
                </c:pt>
                <c:pt idx="35">
                  <c:v>14.322054728228531</c:v>
                </c:pt>
                <c:pt idx="36">
                  <c:v>27.663516672946013</c:v>
                </c:pt>
                <c:pt idx="37">
                  <c:v>2.2973079178531046</c:v>
                </c:pt>
                <c:pt idx="38">
                  <c:v>1.8201538354901259</c:v>
                </c:pt>
                <c:pt idx="39">
                  <c:v>36.693639678921613</c:v>
                </c:pt>
                <c:pt idx="40">
                  <c:v>14.633259467438902</c:v>
                </c:pt>
                <c:pt idx="41">
                  <c:v>18.681157033578607</c:v>
                </c:pt>
                <c:pt idx="42">
                  <c:v>33.398341618089297</c:v>
                </c:pt>
                <c:pt idx="43">
                  <c:v>46.556438932153817</c:v>
                </c:pt>
                <c:pt idx="44">
                  <c:v>13.168129792199135</c:v>
                </c:pt>
                <c:pt idx="45">
                  <c:v>18.643598804269427</c:v>
                </c:pt>
                <c:pt idx="46">
                  <c:v>10.899955183999529</c:v>
                </c:pt>
                <c:pt idx="47">
                  <c:v>52.939595094815644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41-49A5-AB79-BEF35EE9820A}"/>
            </c:ext>
          </c:extLst>
        </c:ser>
        <c:ser>
          <c:idx val="1"/>
          <c:order val="1"/>
          <c:tx>
            <c:strRef>
              <c:f>'Doctors nurses and midwives'!$C$3</c:f>
              <c:strCache>
                <c:ptCount val="1"/>
                <c:pt idx="0">
                  <c:v>Density per 10,000 (2018)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'Doctors nurses and midwives'!$A$4:$A$51</c:f>
              <c:strCache>
                <c:ptCount val="48"/>
                <c:pt idx="0">
                  <c:v>Niger</c:v>
                </c:pt>
                <c:pt idx="1">
                  <c:v>Central African Republic</c:v>
                </c:pt>
                <c:pt idx="2">
                  <c:v>Chad</c:v>
                </c:pt>
                <c:pt idx="3">
                  <c:v>Guinea</c:v>
                </c:pt>
                <c:pt idx="4">
                  <c:v>Madagascar</c:v>
                </c:pt>
                <c:pt idx="5">
                  <c:v>Malawi</c:v>
                </c:pt>
                <c:pt idx="6">
                  <c:v>Mali</c:v>
                </c:pt>
                <c:pt idx="7">
                  <c:v>Togo</c:v>
                </c:pt>
                <c:pt idx="8">
                  <c:v>Senegal</c:v>
                </c:pt>
                <c:pt idx="9">
                  <c:v>Tanzania</c:v>
                </c:pt>
                <c:pt idx="10">
                  <c:v>South Sudan</c:v>
                </c:pt>
                <c:pt idx="11">
                  <c:v>Gambia</c:v>
                </c:pt>
                <c:pt idx="12">
                  <c:v>Cameroon</c:v>
                </c:pt>
                <c:pt idx="13">
                  <c:v>Benin</c:v>
                </c:pt>
                <c:pt idx="14">
                  <c:v>Burundi</c:v>
                </c:pt>
                <c:pt idx="15">
                  <c:v>Equatorial Guinea</c:v>
                </c:pt>
                <c:pt idx="16">
                  <c:v>Mozambique</c:v>
                </c:pt>
                <c:pt idx="17">
                  <c:v>Cote d'Ivoire</c:v>
                </c:pt>
                <c:pt idx="18">
                  <c:v>Burkina Faso</c:v>
                </c:pt>
                <c:pt idx="19">
                  <c:v>Liberia</c:v>
                </c:pt>
                <c:pt idx="20">
                  <c:v>Guinea-Bissau</c:v>
                </c:pt>
                <c:pt idx="21">
                  <c:v>Rwanda</c:v>
                </c:pt>
                <c:pt idx="22">
                  <c:v>Congo</c:v>
                </c:pt>
                <c:pt idx="23">
                  <c:v>Algeria</c:v>
                </c:pt>
                <c:pt idx="24">
                  <c:v>DRC</c:v>
                </c:pt>
                <c:pt idx="25">
                  <c:v>Eritrea</c:v>
                </c:pt>
                <c:pt idx="26">
                  <c:v>Ethiopia</c:v>
                </c:pt>
                <c:pt idx="27">
                  <c:v>AFRO</c:v>
                </c:pt>
                <c:pt idx="28">
                  <c:v>Mauritania</c:v>
                </c:pt>
                <c:pt idx="29">
                  <c:v>Lesotho</c:v>
                </c:pt>
                <c:pt idx="30">
                  <c:v>Comoros</c:v>
                </c:pt>
                <c:pt idx="31">
                  <c:v>Nigeria</c:v>
                </c:pt>
                <c:pt idx="32">
                  <c:v>Angola</c:v>
                </c:pt>
                <c:pt idx="33">
                  <c:v>Sierra Leone</c:v>
                </c:pt>
                <c:pt idx="34">
                  <c:v>Kenya</c:v>
                </c:pt>
                <c:pt idx="35">
                  <c:v>Uganda</c:v>
                </c:pt>
                <c:pt idx="36">
                  <c:v>Sao Tome and Principe</c:v>
                </c:pt>
                <c:pt idx="37">
                  <c:v>Gabon</c:v>
                </c:pt>
                <c:pt idx="38">
                  <c:v>Zambia</c:v>
                </c:pt>
                <c:pt idx="39">
                  <c:v>Botswana</c:v>
                </c:pt>
                <c:pt idx="40">
                  <c:v>Zimbabwe</c:v>
                </c:pt>
                <c:pt idx="41">
                  <c:v>Ghana</c:v>
                </c:pt>
                <c:pt idx="42">
                  <c:v>Eswatini</c:v>
                </c:pt>
                <c:pt idx="43">
                  <c:v>Mauritius</c:v>
                </c:pt>
                <c:pt idx="44">
                  <c:v>Cape-Verde</c:v>
                </c:pt>
                <c:pt idx="45">
                  <c:v>Namibia</c:v>
                </c:pt>
                <c:pt idx="46">
                  <c:v>South Africa</c:v>
                </c:pt>
                <c:pt idx="47">
                  <c:v>Seychelles</c:v>
                </c:pt>
              </c:strCache>
            </c:strRef>
          </c:xVal>
          <c:yVal>
            <c:numRef>
              <c:f>'Doctors nurses and midwives'!$C$4:$C$51</c:f>
              <c:numCache>
                <c:formatCode>0.00</c:formatCode>
                <c:ptCount val="48"/>
                <c:pt idx="0">
                  <c:v>2.6921133834178046</c:v>
                </c:pt>
                <c:pt idx="1">
                  <c:v>3.8745539552247603</c:v>
                </c:pt>
                <c:pt idx="2">
                  <c:v>4.1898949065668809</c:v>
                </c:pt>
                <c:pt idx="3">
                  <c:v>8.6404755702460996</c:v>
                </c:pt>
                <c:pt idx="4">
                  <c:v>5.1343672169908219</c:v>
                </c:pt>
                <c:pt idx="5">
                  <c:v>5.8346408238772041</c:v>
                </c:pt>
                <c:pt idx="6">
                  <c:v>5.6816648371565428</c:v>
                </c:pt>
                <c:pt idx="7">
                  <c:v>4.7994955434409654</c:v>
                </c:pt>
                <c:pt idx="8">
                  <c:v>6.7255609647542736</c:v>
                </c:pt>
                <c:pt idx="9">
                  <c:v>5.9949620284355545</c:v>
                </c:pt>
                <c:pt idx="10">
                  <c:v>5.6265652762618057</c:v>
                </c:pt>
                <c:pt idx="11">
                  <c:v>8.6546958371362877</c:v>
                </c:pt>
                <c:pt idx="12">
                  <c:v>5.532615644537457</c:v>
                </c:pt>
                <c:pt idx="13">
                  <c:v>4.4997424142428715</c:v>
                </c:pt>
                <c:pt idx="14">
                  <c:v>9.0486143330486115</c:v>
                </c:pt>
                <c:pt idx="15">
                  <c:v>4.3406144033169749</c:v>
                </c:pt>
                <c:pt idx="16">
                  <c:v>5.6576497894388753</c:v>
                </c:pt>
                <c:pt idx="17">
                  <c:v>10.286738773730915</c:v>
                </c:pt>
                <c:pt idx="18">
                  <c:v>9.1101124651180712</c:v>
                </c:pt>
                <c:pt idx="19">
                  <c:v>20.673331300360314</c:v>
                </c:pt>
                <c:pt idx="20">
                  <c:v>10.384661040040173</c:v>
                </c:pt>
                <c:pt idx="21">
                  <c:v>13.137769631395951</c:v>
                </c:pt>
                <c:pt idx="22">
                  <c:v>12.302745309647277</c:v>
                </c:pt>
                <c:pt idx="23">
                  <c:v>33.34867189542053</c:v>
                </c:pt>
                <c:pt idx="24">
                  <c:v>15.957885045423644</c:v>
                </c:pt>
                <c:pt idx="25">
                  <c:v>15.371333363034999</c:v>
                </c:pt>
                <c:pt idx="26">
                  <c:v>8.0263161233659783</c:v>
                </c:pt>
                <c:pt idx="27">
                  <c:v>16.782768937571596</c:v>
                </c:pt>
                <c:pt idx="28">
                  <c:v>15.32999829185372</c:v>
                </c:pt>
                <c:pt idx="29">
                  <c:v>48.420917581620159</c:v>
                </c:pt>
                <c:pt idx="30">
                  <c:v>18.729546761714161</c:v>
                </c:pt>
                <c:pt idx="31">
                  <c:v>19.430950036054032</c:v>
                </c:pt>
                <c:pt idx="32">
                  <c:v>17.303129774304679</c:v>
                </c:pt>
                <c:pt idx="33">
                  <c:v>8.5405928117822025</c:v>
                </c:pt>
                <c:pt idx="34">
                  <c:v>13.601302528457378</c:v>
                </c:pt>
                <c:pt idx="35">
                  <c:v>18.626825060920165</c:v>
                </c:pt>
                <c:pt idx="36">
                  <c:v>24.415171473995002</c:v>
                </c:pt>
                <c:pt idx="37">
                  <c:v>37.344694587596827</c:v>
                </c:pt>
                <c:pt idx="38">
                  <c:v>15.810254075868269</c:v>
                </c:pt>
                <c:pt idx="39">
                  <c:v>34.95949369515526</c:v>
                </c:pt>
                <c:pt idx="40">
                  <c:v>21.095941957658759</c:v>
                </c:pt>
                <c:pt idx="41">
                  <c:v>45.368349257282176</c:v>
                </c:pt>
                <c:pt idx="42">
                  <c:v>43.070333993291264</c:v>
                </c:pt>
                <c:pt idx="43">
                  <c:v>61.356442098331627</c:v>
                </c:pt>
                <c:pt idx="44">
                  <c:v>21.83117516323049</c:v>
                </c:pt>
                <c:pt idx="45">
                  <c:v>59.883263799993379</c:v>
                </c:pt>
                <c:pt idx="46">
                  <c:v>57.719411712334747</c:v>
                </c:pt>
                <c:pt idx="47">
                  <c:v>161.97709042589301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41-49A5-AB79-BEF35EE98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388576"/>
        <c:axId val="279880672"/>
      </c:scatterChart>
      <c:catAx>
        <c:axId val="15538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279880672"/>
        <c:crosses val="autoZero"/>
        <c:auto val="1"/>
        <c:lblAlgn val="ctr"/>
        <c:lblOffset val="100"/>
        <c:noMultiLvlLbl val="0"/>
      </c:catAx>
      <c:valAx>
        <c:axId val="27988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Density per 10,000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5538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'Doctors nurses and midwives'!$F$61</c:f>
              <c:strCache>
                <c:ptCount val="1"/>
                <c:pt idx="0">
                  <c:v>Between 2018 and 2022</c:v>
                </c:pt>
              </c:strCache>
            </c:strRef>
          </c:tx>
          <c:spPr>
            <a:solidFill>
              <a:srgbClr val="00B0F0"/>
            </a:solidFill>
            <a:ln w="25400">
              <a:noFill/>
            </a:ln>
            <a:effectLst/>
          </c:spPr>
          <c:invertIfNegative val="0"/>
          <c:dPt>
            <c:idx val="26"/>
            <c:invertIfNegative val="0"/>
            <c:bubble3D val="0"/>
            <c:spPr>
              <a:solidFill>
                <a:srgbClr val="92D05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D63-4AC1-9416-01EA4B58FCEF}"/>
              </c:ext>
            </c:extLst>
          </c:dPt>
          <c:cat>
            <c:strRef>
              <c:f>'Doctors nurses and midwives'!$A$62:$A$109</c:f>
              <c:strCache>
                <c:ptCount val="48"/>
                <c:pt idx="0">
                  <c:v>Lesotho</c:v>
                </c:pt>
                <c:pt idx="1">
                  <c:v>Algeria</c:v>
                </c:pt>
                <c:pt idx="2">
                  <c:v>Guinea</c:v>
                </c:pt>
                <c:pt idx="3">
                  <c:v>Liberia</c:v>
                </c:pt>
                <c:pt idx="4">
                  <c:v>Central African Republic</c:v>
                </c:pt>
                <c:pt idx="5">
                  <c:v>Gabon</c:v>
                </c:pt>
                <c:pt idx="6">
                  <c:v>Chad</c:v>
                </c:pt>
                <c:pt idx="7">
                  <c:v>Niger</c:v>
                </c:pt>
                <c:pt idx="8">
                  <c:v>Mauritius</c:v>
                </c:pt>
                <c:pt idx="9">
                  <c:v>DRC</c:v>
                </c:pt>
                <c:pt idx="10">
                  <c:v>Gambia</c:v>
                </c:pt>
                <c:pt idx="11">
                  <c:v>Burundi</c:v>
                </c:pt>
                <c:pt idx="12">
                  <c:v>Madagascar</c:v>
                </c:pt>
                <c:pt idx="13">
                  <c:v>Senegal</c:v>
                </c:pt>
                <c:pt idx="14">
                  <c:v>Rwanda</c:v>
                </c:pt>
                <c:pt idx="15">
                  <c:v>Eritrea</c:v>
                </c:pt>
                <c:pt idx="16">
                  <c:v>Malawi</c:v>
                </c:pt>
                <c:pt idx="17">
                  <c:v>Botswana</c:v>
                </c:pt>
                <c:pt idx="18">
                  <c:v>Mali</c:v>
                </c:pt>
                <c:pt idx="19">
                  <c:v>Ghana</c:v>
                </c:pt>
                <c:pt idx="20">
                  <c:v>Sao Tome and Principe</c:v>
                </c:pt>
                <c:pt idx="21">
                  <c:v>Tanzania</c:v>
                </c:pt>
                <c:pt idx="22">
                  <c:v>Congo</c:v>
                </c:pt>
                <c:pt idx="23">
                  <c:v>Nigeria</c:v>
                </c:pt>
                <c:pt idx="24">
                  <c:v>Comoros</c:v>
                </c:pt>
                <c:pt idx="25">
                  <c:v>Namibia</c:v>
                </c:pt>
                <c:pt idx="26">
                  <c:v>AFRO</c:v>
                </c:pt>
                <c:pt idx="27">
                  <c:v>Cote d'Ivoire</c:v>
                </c:pt>
                <c:pt idx="28">
                  <c:v>Eswatini</c:v>
                </c:pt>
                <c:pt idx="29">
                  <c:v>Guinea-Bissau</c:v>
                </c:pt>
                <c:pt idx="30">
                  <c:v>Angola</c:v>
                </c:pt>
                <c:pt idx="31">
                  <c:v>Togo</c:v>
                </c:pt>
                <c:pt idx="32">
                  <c:v>Mauritania</c:v>
                </c:pt>
                <c:pt idx="33">
                  <c:v>Burkina Faso</c:v>
                </c:pt>
                <c:pt idx="34">
                  <c:v>South Africa</c:v>
                </c:pt>
                <c:pt idx="35">
                  <c:v>South Sudan</c:v>
                </c:pt>
                <c:pt idx="36">
                  <c:v>Seychelles</c:v>
                </c:pt>
                <c:pt idx="37">
                  <c:v>Uganda</c:v>
                </c:pt>
                <c:pt idx="38">
                  <c:v>Cameroon</c:v>
                </c:pt>
                <c:pt idx="39">
                  <c:v>Kenya</c:v>
                </c:pt>
                <c:pt idx="40">
                  <c:v>Zimbabwe</c:v>
                </c:pt>
                <c:pt idx="41">
                  <c:v>Benin</c:v>
                </c:pt>
                <c:pt idx="42">
                  <c:v>Ethiopia</c:v>
                </c:pt>
                <c:pt idx="43">
                  <c:v>Mozambique</c:v>
                </c:pt>
                <c:pt idx="44">
                  <c:v>Zambia</c:v>
                </c:pt>
                <c:pt idx="45">
                  <c:v>Equatorial Guinea</c:v>
                </c:pt>
                <c:pt idx="46">
                  <c:v>Sierra Leone</c:v>
                </c:pt>
                <c:pt idx="47">
                  <c:v>Cape-Verde</c:v>
                </c:pt>
              </c:strCache>
            </c:strRef>
          </c:cat>
          <c:val>
            <c:numRef>
              <c:f>'Doctors nurses and midwives'!$F$62:$F$109</c:f>
              <c:numCache>
                <c:formatCode>0.0%</c:formatCode>
                <c:ptCount val="48"/>
                <c:pt idx="0">
                  <c:v>-0.59237955128861164</c:v>
                </c:pt>
                <c:pt idx="1">
                  <c:v>-0.58497992080391592</c:v>
                </c:pt>
                <c:pt idx="2">
                  <c:v>-0.47780656337242</c:v>
                </c:pt>
                <c:pt idx="3">
                  <c:v>-0.41922256225354659</c:v>
                </c:pt>
                <c:pt idx="4">
                  <c:v>-0.38386979130042359</c:v>
                </c:pt>
                <c:pt idx="5">
                  <c:v>-0.22245174479854754</c:v>
                </c:pt>
                <c:pt idx="6">
                  <c:v>-0.21916444963986748</c:v>
                </c:pt>
                <c:pt idx="7">
                  <c:v>-0.13601031144562237</c:v>
                </c:pt>
                <c:pt idx="8">
                  <c:v>-0.1221040390178422</c:v>
                </c:pt>
                <c:pt idx="9">
                  <c:v>-0.11616575528778714</c:v>
                </c:pt>
                <c:pt idx="10">
                  <c:v>-0.11088300549750497</c:v>
                </c:pt>
                <c:pt idx="11">
                  <c:v>-9.4115380616346223E-2</c:v>
                </c:pt>
                <c:pt idx="12">
                  <c:v>-9.33810518364456E-2</c:v>
                </c:pt>
                <c:pt idx="13">
                  <c:v>-9.1682048440547781E-2</c:v>
                </c:pt>
                <c:pt idx="14">
                  <c:v>-5.3054926396006834E-2</c:v>
                </c:pt>
                <c:pt idx="15">
                  <c:v>-5.1216278811653616E-2</c:v>
                </c:pt>
                <c:pt idx="16">
                  <c:v>-4.9909038128246819E-2</c:v>
                </c:pt>
                <c:pt idx="17">
                  <c:v>-1.9072796502774124E-2</c:v>
                </c:pt>
                <c:pt idx="18">
                  <c:v>-1.4638702409028797E-2</c:v>
                </c:pt>
                <c:pt idx="19">
                  <c:v>6.1746938029061758E-3</c:v>
                </c:pt>
                <c:pt idx="20">
                  <c:v>2.7260373068849625E-2</c:v>
                </c:pt>
                <c:pt idx="21">
                  <c:v>3.48230256390459E-2</c:v>
                </c:pt>
                <c:pt idx="22">
                  <c:v>4.2497237568664491E-2</c:v>
                </c:pt>
                <c:pt idx="23">
                  <c:v>6.8298396532974648E-2</c:v>
                </c:pt>
                <c:pt idx="24">
                  <c:v>0.10064332911604505</c:v>
                </c:pt>
                <c:pt idx="25">
                  <c:v>0.11710905060566346</c:v>
                </c:pt>
                <c:pt idx="26">
                  <c:v>0.13639519187399321</c:v>
                </c:pt>
                <c:pt idx="27">
                  <c:v>0.13842063752160136</c:v>
                </c:pt>
                <c:pt idx="28">
                  <c:v>0.14826490366899256</c:v>
                </c:pt>
                <c:pt idx="29">
                  <c:v>0.19222690894419769</c:v>
                </c:pt>
                <c:pt idx="30">
                  <c:v>0.225119742270186</c:v>
                </c:pt>
                <c:pt idx="31">
                  <c:v>0.23006532980374486</c:v>
                </c:pt>
                <c:pt idx="32">
                  <c:v>0.25556564220981037</c:v>
                </c:pt>
                <c:pt idx="33">
                  <c:v>0.28669310887094634</c:v>
                </c:pt>
                <c:pt idx="34">
                  <c:v>0.2880448901851872</c:v>
                </c:pt>
                <c:pt idx="35">
                  <c:v>0.30383177945670459</c:v>
                </c:pt>
                <c:pt idx="36">
                  <c:v>0.31653762243879263</c:v>
                </c:pt>
                <c:pt idx="37">
                  <c:v>0.32035556702267576</c:v>
                </c:pt>
                <c:pt idx="38">
                  <c:v>0.41841123232826349</c:v>
                </c:pt>
                <c:pt idx="39">
                  <c:v>0.6682175724342948</c:v>
                </c:pt>
                <c:pt idx="40">
                  <c:v>0.72146666779760094</c:v>
                </c:pt>
                <c:pt idx="41">
                  <c:v>0.75686059618776003</c:v>
                </c:pt>
                <c:pt idx="42">
                  <c:v>0.91403237974885243</c:v>
                </c:pt>
                <c:pt idx="43">
                  <c:v>0.94451305748648617</c:v>
                </c:pt>
                <c:pt idx="44">
                  <c:v>1.0761836436506991</c:v>
                </c:pt>
                <c:pt idx="45">
                  <c:v>1.30548324919986</c:v>
                </c:pt>
                <c:pt idx="46">
                  <c:v>1.5909572075444258</c:v>
                </c:pt>
                <c:pt idx="47">
                  <c:v>1.78937213915745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DE-4D48-8AE4-FAE511F37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29030848"/>
        <c:axId val="279936720"/>
      </c:barChart>
      <c:scatterChart>
        <c:scatterStyle val="lineMarker"/>
        <c:varyColors val="0"/>
        <c:ser>
          <c:idx val="0"/>
          <c:order val="0"/>
          <c:tx>
            <c:strRef>
              <c:f>'Doctors nurses and midwives'!$E$61</c:f>
              <c:strCache>
                <c:ptCount val="1"/>
                <c:pt idx="0">
                  <c:v>Between 2013 and 2018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'Doctors nurses and midwives'!$A$62:$A$109</c:f>
              <c:strCache>
                <c:ptCount val="48"/>
                <c:pt idx="0">
                  <c:v>Lesotho</c:v>
                </c:pt>
                <c:pt idx="1">
                  <c:v>Algeria</c:v>
                </c:pt>
                <c:pt idx="2">
                  <c:v>Guinea</c:v>
                </c:pt>
                <c:pt idx="3">
                  <c:v>Liberia</c:v>
                </c:pt>
                <c:pt idx="4">
                  <c:v>Central African Republic</c:v>
                </c:pt>
                <c:pt idx="5">
                  <c:v>Gabon</c:v>
                </c:pt>
                <c:pt idx="6">
                  <c:v>Chad</c:v>
                </c:pt>
                <c:pt idx="7">
                  <c:v>Niger</c:v>
                </c:pt>
                <c:pt idx="8">
                  <c:v>Mauritius</c:v>
                </c:pt>
                <c:pt idx="9">
                  <c:v>DRC</c:v>
                </c:pt>
                <c:pt idx="10">
                  <c:v>Gambia</c:v>
                </c:pt>
                <c:pt idx="11">
                  <c:v>Burundi</c:v>
                </c:pt>
                <c:pt idx="12">
                  <c:v>Madagascar</c:v>
                </c:pt>
                <c:pt idx="13">
                  <c:v>Senegal</c:v>
                </c:pt>
                <c:pt idx="14">
                  <c:v>Rwanda</c:v>
                </c:pt>
                <c:pt idx="15">
                  <c:v>Eritrea</c:v>
                </c:pt>
                <c:pt idx="16">
                  <c:v>Malawi</c:v>
                </c:pt>
                <c:pt idx="17">
                  <c:v>Botswana</c:v>
                </c:pt>
                <c:pt idx="18">
                  <c:v>Mali</c:v>
                </c:pt>
                <c:pt idx="19">
                  <c:v>Ghana</c:v>
                </c:pt>
                <c:pt idx="20">
                  <c:v>Sao Tome and Principe</c:v>
                </c:pt>
                <c:pt idx="21">
                  <c:v>Tanzania</c:v>
                </c:pt>
                <c:pt idx="22">
                  <c:v>Congo</c:v>
                </c:pt>
                <c:pt idx="23">
                  <c:v>Nigeria</c:v>
                </c:pt>
                <c:pt idx="24">
                  <c:v>Comoros</c:v>
                </c:pt>
                <c:pt idx="25">
                  <c:v>Namibia</c:v>
                </c:pt>
                <c:pt idx="26">
                  <c:v>AFRO</c:v>
                </c:pt>
                <c:pt idx="27">
                  <c:v>Cote d'Ivoire</c:v>
                </c:pt>
                <c:pt idx="28">
                  <c:v>Eswatini</c:v>
                </c:pt>
                <c:pt idx="29">
                  <c:v>Guinea-Bissau</c:v>
                </c:pt>
                <c:pt idx="30">
                  <c:v>Angola</c:v>
                </c:pt>
                <c:pt idx="31">
                  <c:v>Togo</c:v>
                </c:pt>
                <c:pt idx="32">
                  <c:v>Mauritania</c:v>
                </c:pt>
                <c:pt idx="33">
                  <c:v>Burkina Faso</c:v>
                </c:pt>
                <c:pt idx="34">
                  <c:v>South Africa</c:v>
                </c:pt>
                <c:pt idx="35">
                  <c:v>South Sudan</c:v>
                </c:pt>
                <c:pt idx="36">
                  <c:v>Seychelles</c:v>
                </c:pt>
                <c:pt idx="37">
                  <c:v>Uganda</c:v>
                </c:pt>
                <c:pt idx="38">
                  <c:v>Cameroon</c:v>
                </c:pt>
                <c:pt idx="39">
                  <c:v>Kenya</c:v>
                </c:pt>
                <c:pt idx="40">
                  <c:v>Zimbabwe</c:v>
                </c:pt>
                <c:pt idx="41">
                  <c:v>Benin</c:v>
                </c:pt>
                <c:pt idx="42">
                  <c:v>Ethiopia</c:v>
                </c:pt>
                <c:pt idx="43">
                  <c:v>Mozambique</c:v>
                </c:pt>
                <c:pt idx="44">
                  <c:v>Zambia</c:v>
                </c:pt>
                <c:pt idx="45">
                  <c:v>Equatorial Guinea</c:v>
                </c:pt>
                <c:pt idx="46">
                  <c:v>Sierra Leone</c:v>
                </c:pt>
                <c:pt idx="47">
                  <c:v>Cape-Verde</c:v>
                </c:pt>
              </c:strCache>
            </c:strRef>
          </c:xVal>
          <c:yVal>
            <c:numRef>
              <c:f>'Doctors nurses and midwives'!$E$62:$E$109</c:f>
              <c:numCache>
                <c:formatCode>0.0%</c:formatCode>
                <c:ptCount val="48"/>
                <c:pt idx="2">
                  <c:v>0.17452567113692208</c:v>
                </c:pt>
                <c:pt idx="4">
                  <c:v>0.60407485684130624</c:v>
                </c:pt>
                <c:pt idx="6">
                  <c:v>0.19604454945213357</c:v>
                </c:pt>
                <c:pt idx="7">
                  <c:v>-6.9374969024173297E-2</c:v>
                </c:pt>
                <c:pt idx="8">
                  <c:v>0.31789379741319329</c:v>
                </c:pt>
                <c:pt idx="9">
                  <c:v>0.72936383700529162</c:v>
                </c:pt>
                <c:pt idx="10">
                  <c:v>-0.35653956556655481</c:v>
                </c:pt>
                <c:pt idx="11">
                  <c:v>0.28231796203417636</c:v>
                </c:pt>
                <c:pt idx="12">
                  <c:v>0.16890098726348773</c:v>
                </c:pt>
                <c:pt idx="13">
                  <c:v>0.62469446731627332</c:v>
                </c:pt>
                <c:pt idx="14">
                  <c:v>0.28488214543751722</c:v>
                </c:pt>
                <c:pt idx="15">
                  <c:v>0.14275047460323848</c:v>
                </c:pt>
                <c:pt idx="16">
                  <c:v>1.4650358377476196</c:v>
                </c:pt>
                <c:pt idx="17">
                  <c:v>-4.7260124613981006E-2</c:v>
                </c:pt>
                <c:pt idx="18">
                  <c:v>0.1797681468447557</c:v>
                </c:pt>
                <c:pt idx="19">
                  <c:v>1.4285620626032127</c:v>
                </c:pt>
                <c:pt idx="20">
                  <c:v>-0.11742343670021473</c:v>
                </c:pt>
                <c:pt idx="21">
                  <c:v>0.32522652728603607</c:v>
                </c:pt>
                <c:pt idx="22">
                  <c:v>0.29946341035966262</c:v>
                </c:pt>
                <c:pt idx="23">
                  <c:v>0.40319836651673763</c:v>
                </c:pt>
                <c:pt idx="24">
                  <c:v>2.1338049123306639</c:v>
                </c:pt>
                <c:pt idx="25">
                  <c:v>2.2120013109421759</c:v>
                </c:pt>
                <c:pt idx="26">
                  <c:v>1.0640053232879816</c:v>
                </c:pt>
                <c:pt idx="27">
                  <c:v>0.29335507363651669</c:v>
                </c:pt>
                <c:pt idx="28">
                  <c:v>0.28959498905069575</c:v>
                </c:pt>
                <c:pt idx="29">
                  <c:v>0.42873454152194485</c:v>
                </c:pt>
                <c:pt idx="31">
                  <c:v>0.36589164662278528</c:v>
                </c:pt>
                <c:pt idx="32">
                  <c:v>0.18650858305373183</c:v>
                </c:pt>
                <c:pt idx="33">
                  <c:v>0.87042672649187236</c:v>
                </c:pt>
                <c:pt idx="36">
                  <c:v>2.059658656923792</c:v>
                </c:pt>
                <c:pt idx="37">
                  <c:v>0.30056932572719491</c:v>
                </c:pt>
                <c:pt idx="38">
                  <c:v>-0.42796805264095888</c:v>
                </c:pt>
                <c:pt idx="39">
                  <c:v>0.24399589197123664</c:v>
                </c:pt>
                <c:pt idx="40">
                  <c:v>0.44164340177253403</c:v>
                </c:pt>
                <c:pt idx="41">
                  <c:v>-0.20338945787653964</c:v>
                </c:pt>
                <c:pt idx="43">
                  <c:v>0.17594411536025253</c:v>
                </c:pt>
                <c:pt idx="46">
                  <c:v>-0.28272012009911796</c:v>
                </c:pt>
                <c:pt idx="47">
                  <c:v>0.65787970712161314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DE-4D48-8AE4-FAE511F37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8490032"/>
        <c:axId val="1528482592"/>
      </c:scatterChart>
      <c:catAx>
        <c:axId val="152903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279936720"/>
        <c:crosses val="autoZero"/>
        <c:auto val="1"/>
        <c:lblAlgn val="ctr"/>
        <c:lblOffset val="100"/>
        <c:noMultiLvlLbl val="0"/>
      </c:catAx>
      <c:valAx>
        <c:axId val="27993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529030848"/>
        <c:crosses val="autoZero"/>
        <c:crossBetween val="between"/>
      </c:valAx>
      <c:valAx>
        <c:axId val="152848259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528490032"/>
        <c:crosses val="max"/>
        <c:crossBetween val="midCat"/>
      </c:valAx>
      <c:valAx>
        <c:axId val="1528490032"/>
        <c:scaling>
          <c:orientation val="minMax"/>
        </c:scaling>
        <c:delete val="1"/>
        <c:axPos val="t"/>
        <c:majorTickMark val="out"/>
        <c:minorTickMark val="none"/>
        <c:tickLblPos val="nextTo"/>
        <c:crossAx val="1528482592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5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5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'Doctors nurses and midwives'!$N$191</c:f>
              <c:strCache>
                <c:ptCount val="1"/>
                <c:pt idx="0">
                  <c:v>Stock change between 2018 and 2022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2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AF9-4CBE-ACC3-04FCB8E2B7C8}"/>
              </c:ext>
            </c:extLst>
          </c:dPt>
          <c:cat>
            <c:strRef>
              <c:f>'Doctors nurses and midwives'!$B$192:$B$239</c:f>
              <c:strCache>
                <c:ptCount val="48"/>
                <c:pt idx="0">
                  <c:v>Lesotho</c:v>
                </c:pt>
                <c:pt idx="1">
                  <c:v>Algeria</c:v>
                </c:pt>
                <c:pt idx="2">
                  <c:v>Guinea</c:v>
                </c:pt>
                <c:pt idx="3">
                  <c:v>Liberia</c:v>
                </c:pt>
                <c:pt idx="4">
                  <c:v>Central African Republic</c:v>
                </c:pt>
                <c:pt idx="5">
                  <c:v>Gabon</c:v>
                </c:pt>
                <c:pt idx="6">
                  <c:v>Mauritius</c:v>
                </c:pt>
                <c:pt idx="7">
                  <c:v>Chad</c:v>
                </c:pt>
                <c:pt idx="8">
                  <c:v>Gambia</c:v>
                </c:pt>
                <c:pt idx="9">
                  <c:v>Madagascar</c:v>
                </c:pt>
                <c:pt idx="10">
                  <c:v>Niger</c:v>
                </c:pt>
                <c:pt idx="11">
                  <c:v>DRC</c:v>
                </c:pt>
                <c:pt idx="12">
                  <c:v>Senegal</c:v>
                </c:pt>
                <c:pt idx="13">
                  <c:v>Eritrea</c:v>
                </c:pt>
                <c:pt idx="14">
                  <c:v>Burundi</c:v>
                </c:pt>
                <c:pt idx="15">
                  <c:v>Rwanda</c:v>
                </c:pt>
                <c:pt idx="16">
                  <c:v>Botswana</c:v>
                </c:pt>
                <c:pt idx="17">
                  <c:v>Malawi</c:v>
                </c:pt>
                <c:pt idx="18">
                  <c:v>Ghana</c:v>
                </c:pt>
                <c:pt idx="19">
                  <c:v>Sao Tome and Principe</c:v>
                </c:pt>
                <c:pt idx="20">
                  <c:v>Mali</c:v>
                </c:pt>
                <c:pt idx="21">
                  <c:v>Congo</c:v>
                </c:pt>
                <c:pt idx="22">
                  <c:v>Tanzania</c:v>
                </c:pt>
                <c:pt idx="23">
                  <c:v>Nigeria</c:v>
                </c:pt>
                <c:pt idx="24">
                  <c:v>Comoros</c:v>
                </c:pt>
                <c:pt idx="25">
                  <c:v>Eswatini</c:v>
                </c:pt>
                <c:pt idx="26">
                  <c:v>Namibia</c:v>
                </c:pt>
                <c:pt idx="27">
                  <c:v>AFRO</c:v>
                </c:pt>
                <c:pt idx="28">
                  <c:v>Cote d'Ivoire</c:v>
                </c:pt>
                <c:pt idx="29">
                  <c:v>Guinea-Bissau</c:v>
                </c:pt>
                <c:pt idx="30">
                  <c:v>South Africa</c:v>
                </c:pt>
                <c:pt idx="31">
                  <c:v>Togo</c:v>
                </c:pt>
                <c:pt idx="32">
                  <c:v>Seychelles</c:v>
                </c:pt>
                <c:pt idx="33">
                  <c:v>South Sudan</c:v>
                </c:pt>
                <c:pt idx="34">
                  <c:v>Mauritania</c:v>
                </c:pt>
                <c:pt idx="35">
                  <c:v>Angola</c:v>
                </c:pt>
                <c:pt idx="36">
                  <c:v>Burkina Faso</c:v>
                </c:pt>
                <c:pt idx="37">
                  <c:v>Uganda</c:v>
                </c:pt>
                <c:pt idx="38">
                  <c:v>Cameroon</c:v>
                </c:pt>
                <c:pt idx="39">
                  <c:v>Kenya</c:v>
                </c:pt>
                <c:pt idx="40">
                  <c:v>Zimbabwe</c:v>
                </c:pt>
                <c:pt idx="41">
                  <c:v>Benin</c:v>
                </c:pt>
                <c:pt idx="42">
                  <c:v>Ethiopia</c:v>
                </c:pt>
                <c:pt idx="43">
                  <c:v>Mozambique</c:v>
                </c:pt>
                <c:pt idx="44">
                  <c:v>Zambia</c:v>
                </c:pt>
                <c:pt idx="45">
                  <c:v>Equatorial Guinea</c:v>
                </c:pt>
                <c:pt idx="46">
                  <c:v>Sierra Leone</c:v>
                </c:pt>
                <c:pt idx="47">
                  <c:v>Cape-Verde</c:v>
                </c:pt>
              </c:strCache>
            </c:strRef>
          </c:cat>
          <c:val>
            <c:numRef>
              <c:f>'Doctors nurses and midwives'!$N$192:$N$239</c:f>
              <c:numCache>
                <c:formatCode>0.0%</c:formatCode>
                <c:ptCount val="48"/>
                <c:pt idx="0">
                  <c:v>-0.57238655344332534</c:v>
                </c:pt>
                <c:pt idx="1">
                  <c:v>-0.5555194293821264</c:v>
                </c:pt>
                <c:pt idx="2">
                  <c:v>-0.42354960142446724</c:v>
                </c:pt>
                <c:pt idx="3">
                  <c:v>-0.37013065955109681</c:v>
                </c:pt>
                <c:pt idx="4">
                  <c:v>-0.32529395792951055</c:v>
                </c:pt>
                <c:pt idx="5">
                  <c:v>-0.1525788299630926</c:v>
                </c:pt>
                <c:pt idx="6">
                  <c:v>-0.11933389003816874</c:v>
                </c:pt>
                <c:pt idx="7">
                  <c:v>-0.11312434068669809</c:v>
                </c:pt>
                <c:pt idx="8">
                  <c:v>-1.5940029752441884E-2</c:v>
                </c:pt>
                <c:pt idx="9">
                  <c:v>0</c:v>
                </c:pt>
                <c:pt idx="10">
                  <c:v>2.9394199135889458E-3</c:v>
                </c:pt>
                <c:pt idx="11">
                  <c:v>4.8372228300660926E-3</c:v>
                </c:pt>
                <c:pt idx="12">
                  <c:v>9.8833632969367209E-3</c:v>
                </c:pt>
                <c:pt idx="13">
                  <c:v>1.4504842810292228E-2</c:v>
                </c:pt>
                <c:pt idx="14">
                  <c:v>1.5921785319361823E-2</c:v>
                </c:pt>
                <c:pt idx="15">
                  <c:v>4.1013104307374933E-2</c:v>
                </c:pt>
                <c:pt idx="16">
                  <c:v>5.2508751458576426E-2</c:v>
                </c:pt>
                <c:pt idx="17">
                  <c:v>5.5478564447660493E-2</c:v>
                </c:pt>
                <c:pt idx="18">
                  <c:v>9.1087622562391043E-2</c:v>
                </c:pt>
                <c:pt idx="19">
                  <c:v>0.10520265537800215</c:v>
                </c:pt>
                <c:pt idx="20">
                  <c:v>0.11681131948158201</c:v>
                </c:pt>
                <c:pt idx="21">
                  <c:v>0.14392200035832334</c:v>
                </c:pt>
                <c:pt idx="22">
                  <c:v>0.1667767408470926</c:v>
                </c:pt>
                <c:pt idx="23">
                  <c:v>0.17682354222980862</c:v>
                </c:pt>
                <c:pt idx="24">
                  <c:v>0.1863624305851744</c:v>
                </c:pt>
                <c:pt idx="25">
                  <c:v>0.18907563025210083</c:v>
                </c:pt>
                <c:pt idx="26">
                  <c:v>0.19202566457510439</c:v>
                </c:pt>
                <c:pt idx="27">
                  <c:v>0.25741369307941053</c:v>
                </c:pt>
                <c:pt idx="28">
                  <c:v>0.2574942028315485</c:v>
                </c:pt>
                <c:pt idx="29">
                  <c:v>0.30408892659257386</c:v>
                </c:pt>
                <c:pt idx="30">
                  <c:v>0.34542211807960871</c:v>
                </c:pt>
                <c:pt idx="31">
                  <c:v>0.35266701191092698</c:v>
                </c:pt>
                <c:pt idx="32">
                  <c:v>0.36783867575687718</c:v>
                </c:pt>
                <c:pt idx="33">
                  <c:v>0.36878098820311167</c:v>
                </c:pt>
                <c:pt idx="34">
                  <c:v>0.39239876192290946</c:v>
                </c:pt>
                <c:pt idx="35">
                  <c:v>0.3941747669218259</c:v>
                </c:pt>
                <c:pt idx="36">
                  <c:v>0.43061685865001614</c:v>
                </c:pt>
                <c:pt idx="37">
                  <c:v>0.50272573810898502</c:v>
                </c:pt>
                <c:pt idx="38">
                  <c:v>0.57892460717889582</c:v>
                </c:pt>
                <c:pt idx="39">
                  <c:v>0.80427711464021312</c:v>
                </c:pt>
                <c:pt idx="40">
                  <c:v>0.86652385102769369</c:v>
                </c:pt>
                <c:pt idx="41">
                  <c:v>0.96463800483900985</c:v>
                </c:pt>
                <c:pt idx="42">
                  <c:v>1.1250280281626979</c:v>
                </c:pt>
                <c:pt idx="43">
                  <c:v>1.1788310206043131</c:v>
                </c:pt>
                <c:pt idx="44">
                  <c:v>1.330153551544381</c:v>
                </c:pt>
                <c:pt idx="45">
                  <c:v>1.5707304368281423</c:v>
                </c:pt>
                <c:pt idx="46">
                  <c:v>1.8363121834971701</c:v>
                </c:pt>
                <c:pt idx="47">
                  <c:v>1.896551724137931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F9-4CBE-ACC3-04FCB8E2B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29033728"/>
        <c:axId val="154026896"/>
      </c:barChart>
      <c:scatterChart>
        <c:scatterStyle val="lineMarker"/>
        <c:varyColors val="0"/>
        <c:ser>
          <c:idx val="0"/>
          <c:order val="0"/>
          <c:tx>
            <c:strRef>
              <c:f>'Doctors nurses and midwives'!$M$191</c:f>
              <c:strCache>
                <c:ptCount val="1"/>
                <c:pt idx="0">
                  <c:v>Stock change between 2013 and 2018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'Doctors nurses and midwives'!$B$192:$B$239</c:f>
              <c:strCache>
                <c:ptCount val="48"/>
                <c:pt idx="0">
                  <c:v>Lesotho</c:v>
                </c:pt>
                <c:pt idx="1">
                  <c:v>Algeria</c:v>
                </c:pt>
                <c:pt idx="2">
                  <c:v>Guinea</c:v>
                </c:pt>
                <c:pt idx="3">
                  <c:v>Liberia</c:v>
                </c:pt>
                <c:pt idx="4">
                  <c:v>Central African Republic</c:v>
                </c:pt>
                <c:pt idx="5">
                  <c:v>Gabon</c:v>
                </c:pt>
                <c:pt idx="6">
                  <c:v>Mauritius</c:v>
                </c:pt>
                <c:pt idx="7">
                  <c:v>Chad</c:v>
                </c:pt>
                <c:pt idx="8">
                  <c:v>Gambia</c:v>
                </c:pt>
                <c:pt idx="9">
                  <c:v>Madagascar</c:v>
                </c:pt>
                <c:pt idx="10">
                  <c:v>Niger</c:v>
                </c:pt>
                <c:pt idx="11">
                  <c:v>DRC</c:v>
                </c:pt>
                <c:pt idx="12">
                  <c:v>Senegal</c:v>
                </c:pt>
                <c:pt idx="13">
                  <c:v>Eritrea</c:v>
                </c:pt>
                <c:pt idx="14">
                  <c:v>Burundi</c:v>
                </c:pt>
                <c:pt idx="15">
                  <c:v>Rwanda</c:v>
                </c:pt>
                <c:pt idx="16">
                  <c:v>Botswana</c:v>
                </c:pt>
                <c:pt idx="17">
                  <c:v>Malawi</c:v>
                </c:pt>
                <c:pt idx="18">
                  <c:v>Ghana</c:v>
                </c:pt>
                <c:pt idx="19">
                  <c:v>Sao Tome and Principe</c:v>
                </c:pt>
                <c:pt idx="20">
                  <c:v>Mali</c:v>
                </c:pt>
                <c:pt idx="21">
                  <c:v>Congo</c:v>
                </c:pt>
                <c:pt idx="22">
                  <c:v>Tanzania</c:v>
                </c:pt>
                <c:pt idx="23">
                  <c:v>Nigeria</c:v>
                </c:pt>
                <c:pt idx="24">
                  <c:v>Comoros</c:v>
                </c:pt>
                <c:pt idx="25">
                  <c:v>Eswatini</c:v>
                </c:pt>
                <c:pt idx="26">
                  <c:v>Namibia</c:v>
                </c:pt>
                <c:pt idx="27">
                  <c:v>AFRO</c:v>
                </c:pt>
                <c:pt idx="28">
                  <c:v>Cote d'Ivoire</c:v>
                </c:pt>
                <c:pt idx="29">
                  <c:v>Guinea-Bissau</c:v>
                </c:pt>
                <c:pt idx="30">
                  <c:v>South Africa</c:v>
                </c:pt>
                <c:pt idx="31">
                  <c:v>Togo</c:v>
                </c:pt>
                <c:pt idx="32">
                  <c:v>Seychelles</c:v>
                </c:pt>
                <c:pt idx="33">
                  <c:v>South Sudan</c:v>
                </c:pt>
                <c:pt idx="34">
                  <c:v>Mauritania</c:v>
                </c:pt>
                <c:pt idx="35">
                  <c:v>Angola</c:v>
                </c:pt>
                <c:pt idx="36">
                  <c:v>Burkina Faso</c:v>
                </c:pt>
                <c:pt idx="37">
                  <c:v>Uganda</c:v>
                </c:pt>
                <c:pt idx="38">
                  <c:v>Cameroon</c:v>
                </c:pt>
                <c:pt idx="39">
                  <c:v>Kenya</c:v>
                </c:pt>
                <c:pt idx="40">
                  <c:v>Zimbabwe</c:v>
                </c:pt>
                <c:pt idx="41">
                  <c:v>Benin</c:v>
                </c:pt>
                <c:pt idx="42">
                  <c:v>Ethiopia</c:v>
                </c:pt>
                <c:pt idx="43">
                  <c:v>Mozambique</c:v>
                </c:pt>
                <c:pt idx="44">
                  <c:v>Zambia</c:v>
                </c:pt>
                <c:pt idx="45">
                  <c:v>Equatorial Guinea</c:v>
                </c:pt>
                <c:pt idx="46">
                  <c:v>Sierra Leone</c:v>
                </c:pt>
                <c:pt idx="47">
                  <c:v>Cape-Verde</c:v>
                </c:pt>
              </c:strCache>
            </c:strRef>
          </c:xVal>
          <c:yVal>
            <c:numRef>
              <c:f>'Doctors nurses and midwives'!$M$192:$M$239</c:f>
              <c:numCache>
                <c:formatCode>0.0%</c:formatCode>
                <c:ptCount val="48"/>
                <c:pt idx="2">
                  <c:v>0.33382515676872004</c:v>
                </c:pt>
                <c:pt idx="4">
                  <c:v>0.7017241379310345</c:v>
                </c:pt>
                <c:pt idx="6">
                  <c:v>0.32268264270261277</c:v>
                </c:pt>
                <c:pt idx="7">
                  <c:v>0.41209503239740819</c:v>
                </c:pt>
                <c:pt idx="8">
                  <c:v>-0.25962211336599023</c:v>
                </c:pt>
                <c:pt idx="9">
                  <c:v>0.33037351606987742</c:v>
                </c:pt>
                <c:pt idx="10">
                  <c:v>0.12638991845811712</c:v>
                </c:pt>
                <c:pt idx="11">
                  <c:v>1.0501726020122149</c:v>
                </c:pt>
                <c:pt idx="12">
                  <c:v>0.86122956645344706</c:v>
                </c:pt>
                <c:pt idx="13">
                  <c:v>0.19440685611186287</c:v>
                </c:pt>
                <c:pt idx="14">
                  <c:v>0.45210834962301033</c:v>
                </c:pt>
                <c:pt idx="15">
                  <c:v>0.45044489472293192</c:v>
                </c:pt>
                <c:pt idx="16">
                  <c:v>5.3343166175024583E-2</c:v>
                </c:pt>
                <c:pt idx="17">
                  <c:v>1.8254679673081993</c:v>
                </c:pt>
                <c:pt idx="18">
                  <c:v>1.7236926547519495</c:v>
                </c:pt>
                <c:pt idx="19">
                  <c:v>-3.7313432835820892E-2</c:v>
                </c:pt>
                <c:pt idx="20">
                  <c:v>0.38307485651483697</c:v>
                </c:pt>
                <c:pt idx="21">
                  <c:v>0.46444979216801574</c:v>
                </c:pt>
                <c:pt idx="22">
                  <c:v>0.56299088909833495</c:v>
                </c:pt>
                <c:pt idx="23">
                  <c:v>0.59322019888077904</c:v>
                </c:pt>
                <c:pt idx="24">
                  <c:v>2.4784688995215309</c:v>
                </c:pt>
                <c:pt idx="25">
                  <c:v>0.33815261044176709</c:v>
                </c:pt>
                <c:pt idx="26">
                  <c:v>2.5051094890510948</c:v>
                </c:pt>
                <c:pt idx="27">
                  <c:v>1.353978797113907</c:v>
                </c:pt>
                <c:pt idx="28">
                  <c:v>0.46746125006994571</c:v>
                </c:pt>
                <c:pt idx="29">
                  <c:v>0.61993517017828204</c:v>
                </c:pt>
                <c:pt idx="31">
                  <c:v>0.54665598718462149</c:v>
                </c:pt>
                <c:pt idx="32">
                  <c:v>2.26171875</c:v>
                </c:pt>
                <c:pt idx="34">
                  <c:v>0.35380479735318443</c:v>
                </c:pt>
                <c:pt idx="36">
                  <c:v>1.1627473806752038</c:v>
                </c:pt>
                <c:pt idx="37">
                  <c:v>0.53071121756170947</c:v>
                </c:pt>
                <c:pt idx="38">
                  <c:v>-0.33690197390431581</c:v>
                </c:pt>
                <c:pt idx="39">
                  <c:v>0.38732796994323521</c:v>
                </c:pt>
                <c:pt idx="40">
                  <c:v>0.60082677959265984</c:v>
                </c:pt>
                <c:pt idx="41">
                  <c:v>-7.7279752704791344E-2</c:v>
                </c:pt>
                <c:pt idx="43">
                  <c:v>0.37023623343485063</c:v>
                </c:pt>
                <c:pt idx="46">
                  <c:v>-0.19040154347039673</c:v>
                </c:pt>
                <c:pt idx="47">
                  <c:v>0.75386779184247543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F9-4CBE-ACC3-04FCB8E2B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033728"/>
        <c:axId val="154026896"/>
      </c:scatterChart>
      <c:catAx>
        <c:axId val="152903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54026896"/>
        <c:crosses val="autoZero"/>
        <c:auto val="1"/>
        <c:lblAlgn val="ctr"/>
        <c:lblOffset val="100"/>
        <c:noMultiLvlLbl val="0"/>
      </c:catAx>
      <c:valAx>
        <c:axId val="15402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52903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'Doctors nurses and midwives'!$M$247</c:f>
              <c:strCache>
                <c:ptCount val="1"/>
                <c:pt idx="0">
                  <c:v>Percentage change in Stock between 2013 and 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'Doctors nurses and midwives'!$B$248:$B$295</c:f>
              <c:strCache>
                <c:ptCount val="48"/>
                <c:pt idx="0">
                  <c:v>AFRO</c:v>
                </c:pt>
                <c:pt idx="1">
                  <c:v>Algeria</c:v>
                </c:pt>
                <c:pt idx="2">
                  <c:v>Angola</c:v>
                </c:pt>
                <c:pt idx="3">
                  <c:v>Benin</c:v>
                </c:pt>
                <c:pt idx="4">
                  <c:v>Botswana</c:v>
                </c:pt>
                <c:pt idx="5">
                  <c:v>Burkina Faso</c:v>
                </c:pt>
                <c:pt idx="6">
                  <c:v>Burundi</c:v>
                </c:pt>
                <c:pt idx="7">
                  <c:v>Cameroon</c:v>
                </c:pt>
                <c:pt idx="8">
                  <c:v>Cape-Verde</c:v>
                </c:pt>
                <c:pt idx="9">
                  <c:v>Central African Republic</c:v>
                </c:pt>
                <c:pt idx="10">
                  <c:v>Chad</c:v>
                </c:pt>
                <c:pt idx="11">
                  <c:v>Comoros</c:v>
                </c:pt>
                <c:pt idx="12">
                  <c:v>Congo</c:v>
                </c:pt>
                <c:pt idx="13">
                  <c:v>Cote d'Ivoire</c:v>
                </c:pt>
                <c:pt idx="14">
                  <c:v>DRC</c:v>
                </c:pt>
                <c:pt idx="15">
                  <c:v>Equatorial Guinea</c:v>
                </c:pt>
                <c:pt idx="16">
                  <c:v>Eritrea</c:v>
                </c:pt>
                <c:pt idx="17">
                  <c:v>Eswatini</c:v>
                </c:pt>
                <c:pt idx="18">
                  <c:v>Ethiopia</c:v>
                </c:pt>
                <c:pt idx="19">
                  <c:v>Gabon</c:v>
                </c:pt>
                <c:pt idx="20">
                  <c:v>Gambia</c:v>
                </c:pt>
                <c:pt idx="21">
                  <c:v>Ghana</c:v>
                </c:pt>
                <c:pt idx="22">
                  <c:v>Guinea</c:v>
                </c:pt>
                <c:pt idx="23">
                  <c:v>Guinea-Bissau</c:v>
                </c:pt>
                <c:pt idx="24">
                  <c:v>Kenya</c:v>
                </c:pt>
                <c:pt idx="25">
                  <c:v>Lesotho</c:v>
                </c:pt>
                <c:pt idx="26">
                  <c:v>Liberia</c:v>
                </c:pt>
                <c:pt idx="27">
                  <c:v>Madagascar</c:v>
                </c:pt>
                <c:pt idx="28">
                  <c:v>Malawi</c:v>
                </c:pt>
                <c:pt idx="29">
                  <c:v>Mali</c:v>
                </c:pt>
                <c:pt idx="30">
                  <c:v>Mauritania</c:v>
                </c:pt>
                <c:pt idx="31">
                  <c:v>Mauritius</c:v>
                </c:pt>
                <c:pt idx="32">
                  <c:v>Mozambique</c:v>
                </c:pt>
                <c:pt idx="33">
                  <c:v>Namibia</c:v>
                </c:pt>
                <c:pt idx="34">
                  <c:v>Niger</c:v>
                </c:pt>
                <c:pt idx="35">
                  <c:v>Nigeria</c:v>
                </c:pt>
                <c:pt idx="36">
                  <c:v>Rwanda</c:v>
                </c:pt>
                <c:pt idx="37">
                  <c:v>Sao Tome and Principe</c:v>
                </c:pt>
                <c:pt idx="38">
                  <c:v>Senegal</c:v>
                </c:pt>
                <c:pt idx="39">
                  <c:v>Seychelles</c:v>
                </c:pt>
                <c:pt idx="40">
                  <c:v>Sierra Leone</c:v>
                </c:pt>
                <c:pt idx="41">
                  <c:v>South Africa</c:v>
                </c:pt>
                <c:pt idx="42">
                  <c:v>South Sudan</c:v>
                </c:pt>
                <c:pt idx="43">
                  <c:v>Tanzania</c:v>
                </c:pt>
                <c:pt idx="44">
                  <c:v>Togo</c:v>
                </c:pt>
                <c:pt idx="45">
                  <c:v>Uganda</c:v>
                </c:pt>
                <c:pt idx="46">
                  <c:v>Zambia</c:v>
                </c:pt>
                <c:pt idx="47">
                  <c:v>Zimbabwe</c:v>
                </c:pt>
              </c:strCache>
            </c:strRef>
          </c:cat>
          <c:val>
            <c:numRef>
              <c:f>'Doctors nurses and midwives'!$M$248:$M$295</c:f>
              <c:numCache>
                <c:formatCode>0%</c:formatCode>
                <c:ptCount val="48"/>
                <c:pt idx="0">
                  <c:v>2.9599251727096263</c:v>
                </c:pt>
                <c:pt idx="1">
                  <c:v>5.5792905884156312</c:v>
                </c:pt>
                <c:pt idx="3">
                  <c:v>1.8128112656706166</c:v>
                </c:pt>
                <c:pt idx="4">
                  <c:v>1.108652900688299</c:v>
                </c:pt>
                <c:pt idx="5">
                  <c:v>3.0940628637951106</c:v>
                </c:pt>
                <c:pt idx="6">
                  <c:v>1.4752285070261606</c:v>
                </c:pt>
                <c:pt idx="7">
                  <c:v>1.0469817903742293</c:v>
                </c:pt>
                <c:pt idx="8">
                  <c:v>5.0801687763713081</c:v>
                </c:pt>
                <c:pt idx="9">
                  <c:v>1.1481635577992639</c:v>
                </c:pt>
                <c:pt idx="10">
                  <c:v>1.2523527128704899</c:v>
                </c:pt>
                <c:pt idx="11">
                  <c:v>4.1267248183513008</c:v>
                </c:pt>
                <c:pt idx="12">
                  <c:v>1.6752163356811673</c:v>
                </c:pt>
                <c:pt idx="13">
                  <c:v>1.845324014842894</c:v>
                </c:pt>
                <c:pt idx="14">
                  <c:v>2.0600897437282444</c:v>
                </c:pt>
                <c:pt idx="16">
                  <c:v>1.2117315398113009</c:v>
                </c:pt>
                <c:pt idx="17">
                  <c:v>1.591164658634538</c:v>
                </c:pt>
                <c:pt idx="20">
                  <c:v>0.72857624109301367</c:v>
                </c:pt>
                <c:pt idx="21">
                  <c:v>2.9717873432639519</c:v>
                </c:pt>
                <c:pt idx="22">
                  <c:v>0.76888404324940107</c:v>
                </c:pt>
                <c:pt idx="23">
                  <c:v>2.1125395172273542</c:v>
                </c:pt>
                <c:pt idx="24">
                  <c:v>2.5031241066688446</c:v>
                </c:pt>
                <c:pt idx="26">
                  <c:v>6.5366727856853322</c:v>
                </c:pt>
                <c:pt idx="27">
                  <c:v>1.3303735160698775</c:v>
                </c:pt>
                <c:pt idx="28">
                  <c:v>2.9822208740273077</c:v>
                </c:pt>
                <c:pt idx="29">
                  <c:v>1.5446336554461348</c:v>
                </c:pt>
                <c:pt idx="30">
                  <c:v>1.8850361237198694</c:v>
                </c:pt>
                <c:pt idx="31">
                  <c:v>1.1648417776629447</c:v>
                </c:pt>
                <c:pt idx="32">
                  <c:v>2.9855132109638651</c:v>
                </c:pt>
                <c:pt idx="33">
                  <c:v>4.1781804680946362</c:v>
                </c:pt>
                <c:pt idx="34">
                  <c:v>1.1297008514148987</c:v>
                </c:pt>
                <c:pt idx="35">
                  <c:v>1.8749390379989586</c:v>
                </c:pt>
                <c:pt idx="36">
                  <c:v>1.5099321424823029</c:v>
                </c:pt>
                <c:pt idx="37">
                  <c:v>1.0639637503265842</c:v>
                </c:pt>
                <c:pt idx="38">
                  <c:v>1.8796247744377066</c:v>
                </c:pt>
                <c:pt idx="39">
                  <c:v>4.4615050556913767</c:v>
                </c:pt>
                <c:pt idx="40">
                  <c:v>2.2962739659954177</c:v>
                </c:pt>
                <c:pt idx="41">
                  <c:v>7.5828863053326758</c:v>
                </c:pt>
                <c:pt idx="43">
                  <c:v>1.8236614155558548</c:v>
                </c:pt>
                <c:pt idx="44">
                  <c:v>2.0921105326391669</c:v>
                </c:pt>
                <c:pt idx="45">
                  <c:v>2.3002391442421231</c:v>
                </c:pt>
                <c:pt idx="47">
                  <c:v>2.9879813654735523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8-4B2B-9F6E-BCE6D0329AC2}"/>
            </c:ext>
          </c:extLst>
        </c:ser>
        <c:ser>
          <c:idx val="1"/>
          <c:order val="1"/>
          <c:tx>
            <c:strRef>
              <c:f>'Doctors nurses and midwives'!$N$247</c:f>
              <c:strCache>
                <c:ptCount val="1"/>
                <c:pt idx="0">
                  <c:v>Percentage change in density between 2013 and 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'Doctors nurses and midwives'!$B$248:$B$295</c:f>
              <c:strCache>
                <c:ptCount val="48"/>
                <c:pt idx="0">
                  <c:v>AFRO</c:v>
                </c:pt>
                <c:pt idx="1">
                  <c:v>Algeria</c:v>
                </c:pt>
                <c:pt idx="2">
                  <c:v>Angola</c:v>
                </c:pt>
                <c:pt idx="3">
                  <c:v>Benin</c:v>
                </c:pt>
                <c:pt idx="4">
                  <c:v>Botswana</c:v>
                </c:pt>
                <c:pt idx="5">
                  <c:v>Burkina Faso</c:v>
                </c:pt>
                <c:pt idx="6">
                  <c:v>Burundi</c:v>
                </c:pt>
                <c:pt idx="7">
                  <c:v>Cameroon</c:v>
                </c:pt>
                <c:pt idx="8">
                  <c:v>Cape-Verde</c:v>
                </c:pt>
                <c:pt idx="9">
                  <c:v>Central African Republic</c:v>
                </c:pt>
                <c:pt idx="10">
                  <c:v>Chad</c:v>
                </c:pt>
                <c:pt idx="11">
                  <c:v>Comoros</c:v>
                </c:pt>
                <c:pt idx="12">
                  <c:v>Congo</c:v>
                </c:pt>
                <c:pt idx="13">
                  <c:v>Cote d'Ivoire</c:v>
                </c:pt>
                <c:pt idx="14">
                  <c:v>DRC</c:v>
                </c:pt>
                <c:pt idx="15">
                  <c:v>Equatorial Guinea</c:v>
                </c:pt>
                <c:pt idx="16">
                  <c:v>Eritrea</c:v>
                </c:pt>
                <c:pt idx="17">
                  <c:v>Eswatini</c:v>
                </c:pt>
                <c:pt idx="18">
                  <c:v>Ethiopia</c:v>
                </c:pt>
                <c:pt idx="19">
                  <c:v>Gabon</c:v>
                </c:pt>
                <c:pt idx="20">
                  <c:v>Gambia</c:v>
                </c:pt>
                <c:pt idx="21">
                  <c:v>Ghana</c:v>
                </c:pt>
                <c:pt idx="22">
                  <c:v>Guinea</c:v>
                </c:pt>
                <c:pt idx="23">
                  <c:v>Guinea-Bissau</c:v>
                </c:pt>
                <c:pt idx="24">
                  <c:v>Kenya</c:v>
                </c:pt>
                <c:pt idx="25">
                  <c:v>Lesotho</c:v>
                </c:pt>
                <c:pt idx="26">
                  <c:v>Liberia</c:v>
                </c:pt>
                <c:pt idx="27">
                  <c:v>Madagascar</c:v>
                </c:pt>
                <c:pt idx="28">
                  <c:v>Malawi</c:v>
                </c:pt>
                <c:pt idx="29">
                  <c:v>Mali</c:v>
                </c:pt>
                <c:pt idx="30">
                  <c:v>Mauritania</c:v>
                </c:pt>
                <c:pt idx="31">
                  <c:v>Mauritius</c:v>
                </c:pt>
                <c:pt idx="32">
                  <c:v>Mozambique</c:v>
                </c:pt>
                <c:pt idx="33">
                  <c:v>Namibia</c:v>
                </c:pt>
                <c:pt idx="34">
                  <c:v>Niger</c:v>
                </c:pt>
                <c:pt idx="35">
                  <c:v>Nigeria</c:v>
                </c:pt>
                <c:pt idx="36">
                  <c:v>Rwanda</c:v>
                </c:pt>
                <c:pt idx="37">
                  <c:v>Sao Tome and Principe</c:v>
                </c:pt>
                <c:pt idx="38">
                  <c:v>Senegal</c:v>
                </c:pt>
                <c:pt idx="39">
                  <c:v>Seychelles</c:v>
                </c:pt>
                <c:pt idx="40">
                  <c:v>Sierra Leone</c:v>
                </c:pt>
                <c:pt idx="41">
                  <c:v>South Africa</c:v>
                </c:pt>
                <c:pt idx="42">
                  <c:v>South Sudan</c:v>
                </c:pt>
                <c:pt idx="43">
                  <c:v>Tanzania</c:v>
                </c:pt>
                <c:pt idx="44">
                  <c:v>Togo</c:v>
                </c:pt>
                <c:pt idx="45">
                  <c:v>Uganda</c:v>
                </c:pt>
                <c:pt idx="46">
                  <c:v>Zambia</c:v>
                </c:pt>
                <c:pt idx="47">
                  <c:v>Zimbabwe</c:v>
                </c:pt>
              </c:strCache>
            </c:strRef>
          </c:cat>
          <c:val>
            <c:numRef>
              <c:f>'Doctors nurses and midwives'!$N$248:$N$295</c:f>
              <c:numCache>
                <c:formatCode>0%</c:formatCode>
                <c:ptCount val="48"/>
                <c:pt idx="0">
                  <c:v>1.3455257253867894</c:v>
                </c:pt>
                <c:pt idx="1">
                  <c:v>3.7216327509961187</c:v>
                </c:pt>
                <c:pt idx="3">
                  <c:v>0.3995336719644772</c:v>
                </c:pt>
                <c:pt idx="4">
                  <c:v>-6.5431538377297108E-2</c:v>
                </c:pt>
                <c:pt idx="5">
                  <c:v>1.4066651796251342</c:v>
                </c:pt>
                <c:pt idx="6">
                  <c:v>0.16163211896615245</c:v>
                </c:pt>
                <c:pt idx="7">
                  <c:v>-0.18862346061532639</c:v>
                </c:pt>
                <c:pt idx="8">
                  <c:v>3.6244434651195405</c:v>
                </c:pt>
                <c:pt idx="9">
                  <c:v>-1.168102368462301E-2</c:v>
                </c:pt>
                <c:pt idx="10">
                  <c:v>-6.6085895973306538E-2</c:v>
                </c:pt>
                <c:pt idx="11">
                  <c:v>2.449201471507839</c:v>
                </c:pt>
                <c:pt idx="12">
                  <c:v>0.35468701562150412</c:v>
                </c:pt>
                <c:pt idx="13">
                  <c:v>0.47238210747108139</c:v>
                </c:pt>
                <c:pt idx="14">
                  <c:v>0.52847098071218601</c:v>
                </c:pt>
                <c:pt idx="15">
                  <c:v>9.0072137980829314</c:v>
                </c:pt>
                <c:pt idx="16">
                  <c:v>8.4223047683809518E-2</c:v>
                </c:pt>
                <c:pt idx="17">
                  <c:v>0.48079666587431291</c:v>
                </c:pt>
                <c:pt idx="20">
                  <c:v>-0.42788839245526533</c:v>
                </c:pt>
                <c:pt idx="21">
                  <c:v>1.4435576897211426</c:v>
                </c:pt>
                <c:pt idx="22">
                  <c:v>-0.38667040338169584</c:v>
                </c:pt>
                <c:pt idx="23">
                  <c:v>0.70337576614051378</c:v>
                </c:pt>
                <c:pt idx="24">
                  <c:v>1.0752558070224922</c:v>
                </c:pt>
                <c:pt idx="26">
                  <c:v>4.4575964747784136</c:v>
                </c:pt>
                <c:pt idx="27">
                  <c:v>5.9747783580163541E-2</c:v>
                </c:pt>
                <c:pt idx="28">
                  <c:v>1.3420082701339782</c:v>
                </c:pt>
                <c:pt idx="29">
                  <c:v>0.16249787203144411</c:v>
                </c:pt>
                <c:pt idx="30">
                  <c:v>0.48973941106931113</c:v>
                </c:pt>
                <c:pt idx="31">
                  <c:v>0.15697364175248049</c:v>
                </c:pt>
                <c:pt idx="32">
                  <c:v>1.2866386871924052</c:v>
                </c:pt>
                <c:pt idx="33">
                  <c:v>2.5881557350107602</c:v>
                </c:pt>
                <c:pt idx="34">
                  <c:v>-0.19594956932628743</c:v>
                </c:pt>
                <c:pt idx="35">
                  <c:v>0.49903456496752002</c:v>
                </c:pt>
                <c:pt idx="36">
                  <c:v>0.21671281778378623</c:v>
                </c:pt>
                <c:pt idx="37">
                  <c:v>-9.3364070322839401E-2</c:v>
                </c:pt>
                <c:pt idx="38">
                  <c:v>0.47573915046269305</c:v>
                </c:pt>
                <c:pt idx="39">
                  <c:v>3.0281557336607197</c:v>
                </c:pt>
                <c:pt idx="40">
                  <c:v>0.85844147465579046</c:v>
                </c:pt>
                <c:pt idx="41">
                  <c:v>5.8206879813324406</c:v>
                </c:pt>
                <c:pt idx="42">
                  <c:v>6.3360946163777347</c:v>
                </c:pt>
                <c:pt idx="43">
                  <c:v>0.37137492462326138</c:v>
                </c:pt>
                <c:pt idx="44">
                  <c:v>0.68013595877923649</c:v>
                </c:pt>
                <c:pt idx="45">
                  <c:v>0.71721394952282957</c:v>
                </c:pt>
                <c:pt idx="47">
                  <c:v>1.4817410630017624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8-4B2B-9F6E-BCE6D0329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78100208"/>
        <c:axId val="1528483584"/>
      </c:barChart>
      <c:catAx>
        <c:axId val="27810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528483584"/>
        <c:crosses val="autoZero"/>
        <c:auto val="1"/>
        <c:lblAlgn val="ctr"/>
        <c:lblOffset val="100"/>
        <c:noMultiLvlLbl val="0"/>
      </c:catAx>
      <c:valAx>
        <c:axId val="152848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27810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'Doctors nurses and midwives'!$B$314</c:f>
              <c:strCache>
                <c:ptCount val="1"/>
                <c:pt idx="0">
                  <c:v> Density 2013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nurses and midwives'!$A$315:$A$318</c:f>
              <c:strCache>
                <c:ptCount val="4"/>
                <c:pt idx="0">
                  <c:v>AFRO</c:v>
                </c:pt>
                <c:pt idx="1">
                  <c:v>Low-Income Economies</c:v>
                </c:pt>
                <c:pt idx="2">
                  <c:v>Lower-Middle-Income Economies</c:v>
                </c:pt>
                <c:pt idx="3">
                  <c:v>High/Upper-Middle-Income Economies </c:v>
                </c:pt>
              </c:strCache>
            </c:strRef>
          </c:cat>
          <c:val>
            <c:numRef>
              <c:f>'Doctors nurses and midwives'!$B$315:$B$318</c:f>
              <c:numCache>
                <c:formatCode>0.0</c:formatCode>
                <c:ptCount val="4"/>
                <c:pt idx="0">
                  <c:v>8.1311655295716356</c:v>
                </c:pt>
                <c:pt idx="1">
                  <c:v>6.2742809713216214</c:v>
                </c:pt>
                <c:pt idx="2">
                  <c:v>10.441590640238523</c:v>
                </c:pt>
                <c:pt idx="3">
                  <c:v>24.147219373144736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7A-4565-8E65-A397D6855C15}"/>
            </c:ext>
          </c:extLst>
        </c:ser>
        <c:ser>
          <c:idx val="1"/>
          <c:order val="1"/>
          <c:tx>
            <c:strRef>
              <c:f>'Doctors nurses and midwives'!$C$314</c:f>
              <c:strCache>
                <c:ptCount val="1"/>
                <c:pt idx="0">
                  <c:v> Density 2018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nurses and midwives'!$A$315:$A$318</c:f>
              <c:strCache>
                <c:ptCount val="4"/>
                <c:pt idx="0">
                  <c:v>AFRO</c:v>
                </c:pt>
                <c:pt idx="1">
                  <c:v>Low-Income Economies</c:v>
                </c:pt>
                <c:pt idx="2">
                  <c:v>Lower-Middle-Income Economies</c:v>
                </c:pt>
                <c:pt idx="3">
                  <c:v>High/Upper-Middle-Income Economies </c:v>
                </c:pt>
              </c:strCache>
            </c:strRef>
          </c:cat>
          <c:val>
            <c:numRef>
              <c:f>'Doctors nurses and midwives'!$C$315:$C$318</c:f>
              <c:numCache>
                <c:formatCode>0.0</c:formatCode>
                <c:ptCount val="4"/>
                <c:pt idx="0">
                  <c:v>16.782768937571596</c:v>
                </c:pt>
                <c:pt idx="1">
                  <c:v>9.0315980149641959</c:v>
                </c:pt>
                <c:pt idx="2">
                  <c:v>20.163058311899942</c:v>
                </c:pt>
                <c:pt idx="3">
                  <c:v>59.654430103231675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7A-4565-8E65-A397D6855C15}"/>
            </c:ext>
          </c:extLst>
        </c:ser>
        <c:ser>
          <c:idx val="2"/>
          <c:order val="2"/>
          <c:tx>
            <c:strRef>
              <c:f>'Doctors nurses and midwives'!$D$314</c:f>
              <c:strCache>
                <c:ptCount val="1"/>
                <c:pt idx="0">
                  <c:v> Density 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nurses and midwives'!$A$315:$A$318</c:f>
              <c:strCache>
                <c:ptCount val="4"/>
                <c:pt idx="0">
                  <c:v>AFRO</c:v>
                </c:pt>
                <c:pt idx="1">
                  <c:v>Low-Income Economies</c:v>
                </c:pt>
                <c:pt idx="2">
                  <c:v>Lower-Middle-Income Economies</c:v>
                </c:pt>
                <c:pt idx="3">
                  <c:v>High/Upper-Middle-Income Economies </c:v>
                </c:pt>
              </c:strCache>
            </c:strRef>
          </c:cat>
          <c:val>
            <c:numRef>
              <c:f>'Doctors nurses and midwives'!$D$315:$D$318</c:f>
              <c:numCache>
                <c:formatCode>0.0</c:formatCode>
                <c:ptCount val="4"/>
                <c:pt idx="0">
                  <c:v>19.071857926988567</c:v>
                </c:pt>
                <c:pt idx="1">
                  <c:v>9.8928648636686223</c:v>
                </c:pt>
                <c:pt idx="2">
                  <c:v>23.205785005554873</c:v>
                </c:pt>
                <c:pt idx="3">
                  <c:v>68.813152830047713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7A-4565-8E65-A397D6855C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15239904"/>
        <c:axId val="316972496"/>
      </c:barChart>
      <c:catAx>
        <c:axId val="31523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16972496"/>
        <c:crosses val="autoZero"/>
        <c:auto val="1"/>
        <c:lblAlgn val="ctr"/>
        <c:lblOffset val="100"/>
        <c:noMultiLvlLbl val="0"/>
      </c:catAx>
      <c:valAx>
        <c:axId val="31697249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1523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'Economic groups'!$C$117</c:f>
              <c:strCache>
                <c:ptCount val="1"/>
                <c:pt idx="0">
                  <c:v>Density 2013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groups'!$B$118:$B$126</c:f>
              <c:strCache>
                <c:ptCount val="9"/>
                <c:pt idx="0">
                  <c:v>COMESA</c:v>
                </c:pt>
                <c:pt idx="1">
                  <c:v>UMA</c:v>
                </c:pt>
                <c:pt idx="2">
                  <c:v>ECCAS</c:v>
                </c:pt>
                <c:pt idx="3">
                  <c:v>CEN-SAD</c:v>
                </c:pt>
                <c:pt idx="4">
                  <c:v>EAC</c:v>
                </c:pt>
                <c:pt idx="5">
                  <c:v>IGAD</c:v>
                </c:pt>
                <c:pt idx="6">
                  <c:v>ECOWAS</c:v>
                </c:pt>
                <c:pt idx="7">
                  <c:v>SADC</c:v>
                </c:pt>
                <c:pt idx="8">
                  <c:v>AFRO</c:v>
                </c:pt>
              </c:strCache>
            </c:strRef>
          </c:cat>
          <c:val>
            <c:numRef>
              <c:f>'Economic groups'!$C$118:$C$126</c:f>
            </c:numRef>
          </c:val>
          <c:extLst>
            <c:ext xmlns:c16="http://schemas.microsoft.com/office/drawing/2014/chart" uri="{C3380CC4-5D6E-409C-BE32-E72D297353CC}">
              <c16:uniqueId val="{00000000-669C-4A75-8806-099D32C63B7D}"/>
            </c:ext>
          </c:extLst>
        </c:ser>
        <c:ser>
          <c:idx val="1"/>
          <c:order val="1"/>
          <c:tx>
            <c:strRef>
              <c:f>'Economic groups'!$D$117</c:f>
              <c:strCache>
                <c:ptCount val="1"/>
                <c:pt idx="0">
                  <c:v>Density 2018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groups'!$B$118:$B$126</c:f>
              <c:strCache>
                <c:ptCount val="9"/>
                <c:pt idx="0">
                  <c:v>COMESA</c:v>
                </c:pt>
                <c:pt idx="1">
                  <c:v>UMA</c:v>
                </c:pt>
                <c:pt idx="2">
                  <c:v>ECCAS</c:v>
                </c:pt>
                <c:pt idx="3">
                  <c:v>CEN-SAD</c:v>
                </c:pt>
                <c:pt idx="4">
                  <c:v>EAC</c:v>
                </c:pt>
                <c:pt idx="5">
                  <c:v>IGAD</c:v>
                </c:pt>
                <c:pt idx="6">
                  <c:v>ECOWAS</c:v>
                </c:pt>
                <c:pt idx="7">
                  <c:v>SADC</c:v>
                </c:pt>
                <c:pt idx="8">
                  <c:v>AFRO</c:v>
                </c:pt>
              </c:strCache>
            </c:strRef>
          </c:cat>
          <c:val>
            <c:numRef>
              <c:f>'Economic groups'!$D$118:$D$126</c:f>
            </c:numRef>
          </c:val>
          <c:extLst>
            <c:ext xmlns:c16="http://schemas.microsoft.com/office/drawing/2014/chart" uri="{C3380CC4-5D6E-409C-BE32-E72D297353CC}">
              <c16:uniqueId val="{00000001-669C-4A75-8806-099D32C63B7D}"/>
            </c:ext>
          </c:extLst>
        </c:ser>
        <c:ser>
          <c:idx val="2"/>
          <c:order val="2"/>
          <c:tx>
            <c:strRef>
              <c:f>'Economic groups'!$E$117</c:f>
              <c:strCache>
                <c:ptCount val="1"/>
                <c:pt idx="0">
                  <c:v>Density 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groups'!$B$118:$B$126</c:f>
              <c:strCache>
                <c:ptCount val="9"/>
                <c:pt idx="0">
                  <c:v>COMESA</c:v>
                </c:pt>
                <c:pt idx="1">
                  <c:v>UMA</c:v>
                </c:pt>
                <c:pt idx="2">
                  <c:v>ECCAS</c:v>
                </c:pt>
                <c:pt idx="3">
                  <c:v>CEN-SAD</c:v>
                </c:pt>
                <c:pt idx="4">
                  <c:v>EAC</c:v>
                </c:pt>
                <c:pt idx="5">
                  <c:v>IGAD</c:v>
                </c:pt>
                <c:pt idx="6">
                  <c:v>ECOWAS</c:v>
                </c:pt>
                <c:pt idx="7">
                  <c:v>SADC</c:v>
                </c:pt>
                <c:pt idx="8">
                  <c:v>AFRO</c:v>
                </c:pt>
              </c:strCache>
            </c:strRef>
          </c:cat>
          <c:val>
            <c:numRef>
              <c:f>'Economic groups'!$E$118:$E$126</c:f>
            </c:numRef>
          </c:val>
          <c:extLst>
            <c:ext xmlns:c16="http://schemas.microsoft.com/office/drawing/2014/chart" uri="{C3380CC4-5D6E-409C-BE32-E72D297353CC}">
              <c16:uniqueId val="{00000002-669C-4A75-8806-099D32C63B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278096368"/>
        <c:axId val="1528470192"/>
      </c:barChart>
      <c:catAx>
        <c:axId val="27809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528470192"/>
        <c:crosses val="autoZero"/>
        <c:auto val="1"/>
        <c:lblAlgn val="ctr"/>
        <c:lblOffset val="100"/>
        <c:noMultiLvlLbl val="0"/>
      </c:catAx>
      <c:valAx>
        <c:axId val="15284701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Density per 10,000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27809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'Economic groups'!$B$136</c:f>
              <c:strCache>
                <c:ptCount val="1"/>
                <c:pt idx="0">
                  <c:v>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groups'!$L$135:$N$135</c:f>
              <c:strCache>
                <c:ptCount val="3"/>
                <c:pt idx="0">
                  <c:v>Stock 2013</c:v>
                </c:pt>
                <c:pt idx="1">
                  <c:v>Stock 2018</c:v>
                </c:pt>
                <c:pt idx="2">
                  <c:v>Stock 2022</c:v>
                </c:pt>
              </c:strCache>
            </c:strRef>
          </c:cat>
          <c:val>
            <c:numRef>
              <c:f>'Economic groups'!$L$136:$N$136</c:f>
              <c:numCache>
                <c:formatCode>_-* #,##0_-;\-* #,##0_-;_-* "-"??_-;_-@_-</c:formatCode>
                <c:ptCount val="3"/>
                <c:pt idx="0">
                  <c:v>15975</c:v>
                </c:pt>
                <c:pt idx="1">
                  <c:v>182445</c:v>
                </c:pt>
                <c:pt idx="2">
                  <c:v>230179.98773006134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9-4B3E-BAA1-53FDF2694095}"/>
            </c:ext>
          </c:extLst>
        </c:ser>
        <c:ser>
          <c:idx val="1"/>
          <c:order val="1"/>
          <c:tx>
            <c:strRef>
              <c:f>'Economic groups'!$B$137</c:f>
              <c:strCache>
                <c:ptCount val="1"/>
                <c:pt idx="0">
                  <c:v>ECCAS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groups'!$L$135:$N$135</c:f>
              <c:strCache>
                <c:ptCount val="3"/>
                <c:pt idx="0">
                  <c:v>Stock 2013</c:v>
                </c:pt>
                <c:pt idx="1">
                  <c:v>Stock 2018</c:v>
                </c:pt>
                <c:pt idx="2">
                  <c:v>Stock 2022</c:v>
                </c:pt>
              </c:strCache>
            </c:strRef>
          </c:cat>
          <c:val>
            <c:numRef>
              <c:f>'Economic groups'!$L$137:$N$137</c:f>
              <c:numCache>
                <c:formatCode>_-* #,##0_-;\-* #,##0_-;_-* "-"??_-;_-@_-</c:formatCode>
                <c:ptCount val="3"/>
                <c:pt idx="0">
                  <c:v>109016</c:v>
                </c:pt>
                <c:pt idx="1">
                  <c:v>252587</c:v>
                </c:pt>
                <c:pt idx="2">
                  <c:v>279600.07518400007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99-4B3E-BAA1-53FDF2694095}"/>
            </c:ext>
          </c:extLst>
        </c:ser>
        <c:ser>
          <c:idx val="2"/>
          <c:order val="2"/>
          <c:tx>
            <c:strRef>
              <c:f>'Economic groups'!$B$138</c:f>
              <c:strCache>
                <c:ptCount val="1"/>
                <c:pt idx="0">
                  <c:v>EAC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groups'!$L$135:$N$135</c:f>
              <c:strCache>
                <c:ptCount val="3"/>
                <c:pt idx="0">
                  <c:v>Stock 2013</c:v>
                </c:pt>
                <c:pt idx="1">
                  <c:v>Stock 2018</c:v>
                </c:pt>
                <c:pt idx="2">
                  <c:v>Stock 2022</c:v>
                </c:pt>
              </c:strCache>
            </c:strRef>
          </c:cat>
          <c:val>
            <c:numRef>
              <c:f>'Economic groups'!$L$138:$N$138</c:f>
              <c:numCache>
                <c:formatCode>_-* #,##0_-;\-* #,##0_-;_-* "-"??_-;_-@_-</c:formatCode>
                <c:ptCount val="3"/>
                <c:pt idx="0">
                  <c:v>214449</c:v>
                </c:pt>
                <c:pt idx="1">
                  <c:v>365323</c:v>
                </c:pt>
                <c:pt idx="2">
                  <c:v>482827.6128782818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99-4B3E-BAA1-53FDF2694095}"/>
            </c:ext>
          </c:extLst>
        </c:ser>
        <c:ser>
          <c:idx val="3"/>
          <c:order val="3"/>
          <c:tx>
            <c:strRef>
              <c:f>'Economic groups'!$B$139</c:f>
              <c:strCache>
                <c:ptCount val="1"/>
                <c:pt idx="0">
                  <c:v>IGAD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groups'!$L$135:$N$135</c:f>
              <c:strCache>
                <c:ptCount val="3"/>
                <c:pt idx="0">
                  <c:v>Stock 2013</c:v>
                </c:pt>
                <c:pt idx="1">
                  <c:v>Stock 2018</c:v>
                </c:pt>
                <c:pt idx="2">
                  <c:v>Stock 2022</c:v>
                </c:pt>
              </c:strCache>
            </c:strRef>
          </c:cat>
          <c:val>
            <c:numRef>
              <c:f>'Economic groups'!$L$139:$N$139</c:f>
              <c:numCache>
                <c:formatCode>_-* #,##0_-;\-* #,##0_-;_-* "-"??_-;_-@_-</c:formatCode>
                <c:ptCount val="3"/>
                <c:pt idx="0">
                  <c:v>115575</c:v>
                </c:pt>
                <c:pt idx="1">
                  <c:v>271578</c:v>
                </c:pt>
                <c:pt idx="2">
                  <c:v>497843.33949740557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99-4B3E-BAA1-53FDF2694095}"/>
            </c:ext>
          </c:extLst>
        </c:ser>
        <c:ser>
          <c:idx val="4"/>
          <c:order val="4"/>
          <c:tx>
            <c:strRef>
              <c:f>'Economic groups'!$B$140</c:f>
              <c:strCache>
                <c:ptCount val="1"/>
                <c:pt idx="0">
                  <c:v>ECOWAS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groups'!$L$135:$N$135</c:f>
              <c:strCache>
                <c:ptCount val="3"/>
                <c:pt idx="0">
                  <c:v>Stock 2013</c:v>
                </c:pt>
                <c:pt idx="1">
                  <c:v>Stock 2018</c:v>
                </c:pt>
                <c:pt idx="2">
                  <c:v>Stock 2022</c:v>
                </c:pt>
              </c:strCache>
            </c:strRef>
          </c:cat>
          <c:val>
            <c:numRef>
              <c:f>'Economic groups'!$L$140:$N$140</c:f>
              <c:numCache>
                <c:formatCode>_-* #,##0_-;\-* #,##0_-;_-* "-"??_-;_-@_-</c:formatCode>
                <c:ptCount val="3"/>
                <c:pt idx="0">
                  <c:v>398397</c:v>
                </c:pt>
                <c:pt idx="1">
                  <c:v>709367</c:v>
                </c:pt>
                <c:pt idx="2">
                  <c:v>813445.03110033995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99-4B3E-BAA1-53FDF2694095}"/>
            </c:ext>
          </c:extLst>
        </c:ser>
        <c:ser>
          <c:idx val="5"/>
          <c:order val="5"/>
          <c:tx>
            <c:strRef>
              <c:f>'Economic groups'!$B$141</c:f>
              <c:strCache>
                <c:ptCount val="1"/>
                <c:pt idx="0">
                  <c:v>COMESA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groups'!$L$135:$N$135</c:f>
              <c:strCache>
                <c:ptCount val="3"/>
                <c:pt idx="0">
                  <c:v>Stock 2013</c:v>
                </c:pt>
                <c:pt idx="1">
                  <c:v>Stock 2018</c:v>
                </c:pt>
                <c:pt idx="2">
                  <c:v>Stock 2022</c:v>
                </c:pt>
              </c:strCache>
            </c:strRef>
          </c:cat>
          <c:val>
            <c:numRef>
              <c:f>'Economic groups'!$L$141:$N$141</c:f>
              <c:numCache>
                <c:formatCode>_-* #,##0_-;\-* #,##0_-;_-* "-"??_-;_-@_-</c:formatCode>
                <c:ptCount val="3"/>
                <c:pt idx="0">
                  <c:v>253821</c:v>
                </c:pt>
                <c:pt idx="1">
                  <c:v>545989</c:v>
                </c:pt>
                <c:pt idx="2">
                  <c:v>837072.9584268207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199-4B3E-BAA1-53FDF2694095}"/>
            </c:ext>
          </c:extLst>
        </c:ser>
        <c:ser>
          <c:idx val="6"/>
          <c:order val="6"/>
          <c:tx>
            <c:strRef>
              <c:f>'Economic groups'!$B$142</c:f>
              <c:strCache>
                <c:ptCount val="1"/>
                <c:pt idx="0">
                  <c:v>CEN-SAD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groups'!$L$135:$N$135</c:f>
              <c:strCache>
                <c:ptCount val="3"/>
                <c:pt idx="0">
                  <c:v>Stock 2013</c:v>
                </c:pt>
                <c:pt idx="1">
                  <c:v>Stock 2018</c:v>
                </c:pt>
                <c:pt idx="2">
                  <c:v>Stock 2022</c:v>
                </c:pt>
              </c:strCache>
            </c:strRef>
          </c:cat>
          <c:val>
            <c:numRef>
              <c:f>'Economic groups'!$L$142:$N$142</c:f>
              <c:numCache>
                <c:formatCode>_-* #,##0_-;\-* #,##0_-;_-* "-"??_-;_-@_-</c:formatCode>
                <c:ptCount val="3"/>
                <c:pt idx="0">
                  <c:v>466758</c:v>
                </c:pt>
                <c:pt idx="1">
                  <c:v>805683</c:v>
                </c:pt>
                <c:pt idx="2">
                  <c:v>971659.76364137139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99-4B3E-BAA1-53FDF2694095}"/>
            </c:ext>
          </c:extLst>
        </c:ser>
        <c:ser>
          <c:idx val="7"/>
          <c:order val="7"/>
          <c:tx>
            <c:strRef>
              <c:f>'Economic groups'!$B$143</c:f>
              <c:strCache>
                <c:ptCount val="1"/>
                <c:pt idx="0">
                  <c:v>SADC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groups'!$L$135:$N$135</c:f>
              <c:strCache>
                <c:ptCount val="3"/>
                <c:pt idx="0">
                  <c:v>Stock 2013</c:v>
                </c:pt>
                <c:pt idx="1">
                  <c:v>Stock 2018</c:v>
                </c:pt>
                <c:pt idx="2">
                  <c:v>Stock 2022</c:v>
                </c:pt>
              </c:strCache>
            </c:strRef>
          </c:cat>
          <c:val>
            <c:numRef>
              <c:f>'Economic groups'!$L$143:$N$143</c:f>
              <c:numCache>
                <c:formatCode>_-* #,##0_-;\-* #,##0_-;_-* "-"??_-;_-@_-</c:formatCode>
                <c:ptCount val="3"/>
                <c:pt idx="0">
                  <c:v>258926</c:v>
                </c:pt>
                <c:pt idx="1">
                  <c:v>761160</c:v>
                </c:pt>
                <c:pt idx="2">
                  <c:v>988194.19093283126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199-4B3E-BAA1-53FDF26940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59430208"/>
        <c:axId val="1310993520"/>
      </c:barChart>
      <c:catAx>
        <c:axId val="135943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310993520"/>
        <c:crosses val="autoZero"/>
        <c:auto val="1"/>
        <c:lblAlgn val="ctr"/>
        <c:lblOffset val="100"/>
        <c:noMultiLvlLbl val="0"/>
      </c:catAx>
      <c:valAx>
        <c:axId val="1310993520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35943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'Economic groups'!$N$183</c:f>
              <c:strCache>
                <c:ptCount val="1"/>
                <c:pt idx="0">
                  <c:v>High/Upper-Middle-Income Economies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groups'!$O$182:$Q$182</c:f>
              <c:strCache>
                <c:ptCount val="3"/>
                <c:pt idx="0">
                  <c:v> Stock 2013</c:v>
                </c:pt>
                <c:pt idx="1">
                  <c:v>Stock 2018</c:v>
                </c:pt>
                <c:pt idx="2">
                  <c:v> Stock 2022</c:v>
                </c:pt>
              </c:strCache>
            </c:strRef>
          </c:cat>
          <c:val>
            <c:numRef>
              <c:f>'Economic groups'!$O$183:$Q$183</c:f>
              <c:numCache>
                <c:formatCode>_-* #,##0_-;\-* #,##0_-;_-* "-"??_-;_-@_-</c:formatCode>
                <c:ptCount val="3"/>
                <c:pt idx="0">
                  <c:v>77927</c:v>
                </c:pt>
                <c:pt idx="1">
                  <c:v>372393</c:v>
                </c:pt>
                <c:pt idx="2">
                  <c:v>489371.50211883901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2-407F-87F3-8568D0861CDC}"/>
            </c:ext>
          </c:extLst>
        </c:ser>
        <c:ser>
          <c:idx val="1"/>
          <c:order val="1"/>
          <c:tx>
            <c:strRef>
              <c:f>'Economic groups'!$N$184</c:f>
              <c:strCache>
                <c:ptCount val="1"/>
                <c:pt idx="0">
                  <c:v>Low-Income Economies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groups'!$O$182:$Q$182</c:f>
              <c:strCache>
                <c:ptCount val="3"/>
                <c:pt idx="0">
                  <c:v> Stock 2013</c:v>
                </c:pt>
                <c:pt idx="1">
                  <c:v>Stock 2018</c:v>
                </c:pt>
                <c:pt idx="2">
                  <c:v> Stock 2022</c:v>
                </c:pt>
              </c:strCache>
            </c:strRef>
          </c:cat>
          <c:val>
            <c:numRef>
              <c:f>'Economic groups'!$O$184:$Q$184</c:f>
              <c:numCache>
                <c:formatCode>_-* #,##0_-;\-* #,##0_-;_-* "-"??_-;_-@_-</c:formatCode>
                <c:ptCount val="3"/>
                <c:pt idx="0">
                  <c:v>226435</c:v>
                </c:pt>
                <c:pt idx="1">
                  <c:v>464797</c:v>
                </c:pt>
                <c:pt idx="2">
                  <c:v>641874.56390030531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C2-407F-87F3-8568D0861CDC}"/>
            </c:ext>
          </c:extLst>
        </c:ser>
        <c:ser>
          <c:idx val="2"/>
          <c:order val="2"/>
          <c:tx>
            <c:strRef>
              <c:f>'Economic groups'!$N$185</c:f>
              <c:strCache>
                <c:ptCount val="1"/>
                <c:pt idx="0">
                  <c:v>Lower-Middle-Income Economies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groups'!$O$182:$Q$182</c:f>
              <c:strCache>
                <c:ptCount val="3"/>
                <c:pt idx="0">
                  <c:v> Stock 2013</c:v>
                </c:pt>
                <c:pt idx="1">
                  <c:v>Stock 2018</c:v>
                </c:pt>
                <c:pt idx="2">
                  <c:v> Stock 2022</c:v>
                </c:pt>
              </c:strCache>
            </c:strRef>
          </c:cat>
          <c:val>
            <c:numRef>
              <c:f>'Economic groups'!$O$185:$Q$185</c:f>
              <c:numCache>
                <c:formatCode>_-* #,##0_-;\-* #,##0_-;_-* "-"??_-;_-@_-</c:formatCode>
                <c:ptCount val="3"/>
                <c:pt idx="0">
                  <c:v>463461</c:v>
                </c:pt>
                <c:pt idx="1">
                  <c:v>970242</c:v>
                </c:pt>
                <c:pt idx="2">
                  <c:v>1141443.6800907608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C2-407F-87F3-8568D0861C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3508048"/>
        <c:axId val="1471539216"/>
      </c:barChart>
      <c:catAx>
        <c:axId val="131350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471539216"/>
        <c:crosses val="autoZero"/>
        <c:auto val="1"/>
        <c:lblAlgn val="ctr"/>
        <c:lblOffset val="100"/>
        <c:noMultiLvlLbl val="0"/>
      </c:catAx>
      <c:valAx>
        <c:axId val="1471539216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31350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'Economic groups'!$N$183</c:f>
              <c:strCache>
                <c:ptCount val="1"/>
                <c:pt idx="0">
                  <c:v>High/Upper-Middle-Income Economies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groups'!$R$182:$T$182</c:f>
              <c:strCache>
                <c:ptCount val="3"/>
                <c:pt idx="0">
                  <c:v>Percentage of regional 2013</c:v>
                </c:pt>
                <c:pt idx="1">
                  <c:v>Percentage of regional 2018</c:v>
                </c:pt>
                <c:pt idx="2">
                  <c:v>Percentage of regional 2022</c:v>
                </c:pt>
              </c:strCache>
            </c:strRef>
          </c:cat>
          <c:val>
            <c:numRef>
              <c:f>'Economic groups'!$R$183:$T$183</c:f>
              <c:numCache>
                <c:formatCode>0%</c:formatCode>
                <c:ptCount val="3"/>
                <c:pt idx="0">
                  <c:v>0.10149083838332533</c:v>
                </c:pt>
                <c:pt idx="1">
                  <c:v>0.20603430723811464</c:v>
                </c:pt>
                <c:pt idx="2">
                  <c:v>0.21532701634989179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3-4E60-9F85-BA39C8205061}"/>
            </c:ext>
          </c:extLst>
        </c:ser>
        <c:ser>
          <c:idx val="1"/>
          <c:order val="1"/>
          <c:tx>
            <c:strRef>
              <c:f>'Economic groups'!$N$184</c:f>
              <c:strCache>
                <c:ptCount val="1"/>
                <c:pt idx="0">
                  <c:v>Low-Income Economies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groups'!$R$182:$T$182</c:f>
              <c:strCache>
                <c:ptCount val="3"/>
                <c:pt idx="0">
                  <c:v>Percentage of regional 2013</c:v>
                </c:pt>
                <c:pt idx="1">
                  <c:v>Percentage of regional 2018</c:v>
                </c:pt>
                <c:pt idx="2">
                  <c:v>Percentage of regional 2022</c:v>
                </c:pt>
              </c:strCache>
            </c:strRef>
          </c:cat>
          <c:val>
            <c:numRef>
              <c:f>'Economic groups'!$R$184:$T$184</c:f>
              <c:numCache>
                <c:formatCode>0%</c:formatCode>
                <c:ptCount val="3"/>
                <c:pt idx="0">
                  <c:v>0.29490520601753267</c:v>
                </c:pt>
                <c:pt idx="1">
                  <c:v>0.25715877554452948</c:v>
                </c:pt>
                <c:pt idx="2">
                  <c:v>0.28242947151012704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33-4E60-9F85-BA39C8205061}"/>
            </c:ext>
          </c:extLst>
        </c:ser>
        <c:ser>
          <c:idx val="2"/>
          <c:order val="2"/>
          <c:tx>
            <c:strRef>
              <c:f>'Economic groups'!$N$185</c:f>
              <c:strCache>
                <c:ptCount val="1"/>
                <c:pt idx="0">
                  <c:v>Lower-Middle-Income Economies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groups'!$R$182:$T$182</c:f>
              <c:strCache>
                <c:ptCount val="3"/>
                <c:pt idx="0">
                  <c:v>Percentage of regional 2013</c:v>
                </c:pt>
                <c:pt idx="1">
                  <c:v>Percentage of regional 2018</c:v>
                </c:pt>
                <c:pt idx="2">
                  <c:v>Percentage of regional 2022</c:v>
                </c:pt>
              </c:strCache>
            </c:strRef>
          </c:cat>
          <c:val>
            <c:numRef>
              <c:f>'Economic groups'!$R$185:$T$185</c:f>
              <c:numCache>
                <c:formatCode>0%</c:formatCode>
                <c:ptCount val="3"/>
                <c:pt idx="0">
                  <c:v>0.60360395559914204</c:v>
                </c:pt>
                <c:pt idx="1">
                  <c:v>0.53680691721735585</c:v>
                </c:pt>
                <c:pt idx="2">
                  <c:v>0.50224351213998109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33-4E60-9F85-BA39C82050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73061408"/>
        <c:axId val="1471525328"/>
      </c:barChart>
      <c:catAx>
        <c:axId val="127306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471525328"/>
        <c:crosses val="autoZero"/>
        <c:auto val="1"/>
        <c:lblAlgn val="ctr"/>
        <c:lblOffset val="100"/>
        <c:noMultiLvlLbl val="0"/>
      </c:catAx>
      <c:valAx>
        <c:axId val="147152532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27306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'Economic groups'!$C$117</c:f>
              <c:strCache>
                <c:ptCount val="1"/>
                <c:pt idx="0">
                  <c:v>Density 2013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groups'!$B$118:$B$126</c:f>
              <c:strCache>
                <c:ptCount val="9"/>
                <c:pt idx="0">
                  <c:v>COMESA</c:v>
                </c:pt>
                <c:pt idx="1">
                  <c:v>UMA</c:v>
                </c:pt>
                <c:pt idx="2">
                  <c:v>ECCAS</c:v>
                </c:pt>
                <c:pt idx="3">
                  <c:v>CEN-SAD</c:v>
                </c:pt>
                <c:pt idx="4">
                  <c:v>EAC</c:v>
                </c:pt>
                <c:pt idx="5">
                  <c:v>IGAD</c:v>
                </c:pt>
                <c:pt idx="6">
                  <c:v>ECOWAS</c:v>
                </c:pt>
                <c:pt idx="7">
                  <c:v>SADC</c:v>
                </c:pt>
                <c:pt idx="8">
                  <c:v>AFRO</c:v>
                </c:pt>
              </c:strCache>
            </c:strRef>
          </c:cat>
          <c:val>
            <c:numRef>
              <c:f>'Economic groups'!$C$118:$C$126</c:f>
            </c:numRef>
          </c:val>
          <c:extLst>
            <c:ext xmlns:c16="http://schemas.microsoft.com/office/drawing/2014/chart" uri="{C3380CC4-5D6E-409C-BE32-E72D297353CC}">
              <c16:uniqueId val="{00000000-DEB8-48C6-99E1-A623D951902F}"/>
            </c:ext>
          </c:extLst>
        </c:ser>
        <c:ser>
          <c:idx val="1"/>
          <c:order val="1"/>
          <c:tx>
            <c:strRef>
              <c:f>'Economic groups'!$D$117</c:f>
              <c:strCache>
                <c:ptCount val="1"/>
                <c:pt idx="0">
                  <c:v>Density 2018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groups'!$B$118:$B$126</c:f>
              <c:strCache>
                <c:ptCount val="9"/>
                <c:pt idx="0">
                  <c:v>COMESA</c:v>
                </c:pt>
                <c:pt idx="1">
                  <c:v>UMA</c:v>
                </c:pt>
                <c:pt idx="2">
                  <c:v>ECCAS</c:v>
                </c:pt>
                <c:pt idx="3">
                  <c:v>CEN-SAD</c:v>
                </c:pt>
                <c:pt idx="4">
                  <c:v>EAC</c:v>
                </c:pt>
                <c:pt idx="5">
                  <c:v>IGAD</c:v>
                </c:pt>
                <c:pt idx="6">
                  <c:v>ECOWAS</c:v>
                </c:pt>
                <c:pt idx="7">
                  <c:v>SADC</c:v>
                </c:pt>
                <c:pt idx="8">
                  <c:v>AFRO</c:v>
                </c:pt>
              </c:strCache>
            </c:strRef>
          </c:cat>
          <c:val>
            <c:numRef>
              <c:f>'Economic groups'!$D$118:$D$126</c:f>
            </c:numRef>
          </c:val>
          <c:extLst>
            <c:ext xmlns:c16="http://schemas.microsoft.com/office/drawing/2014/chart" uri="{C3380CC4-5D6E-409C-BE32-E72D297353CC}">
              <c16:uniqueId val="{00000001-DEB8-48C6-99E1-A623D951902F}"/>
            </c:ext>
          </c:extLst>
        </c:ser>
        <c:ser>
          <c:idx val="2"/>
          <c:order val="2"/>
          <c:tx>
            <c:strRef>
              <c:f>'Economic groups'!$E$117</c:f>
              <c:strCache>
                <c:ptCount val="1"/>
                <c:pt idx="0">
                  <c:v>Density 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groups'!$B$118:$B$126</c:f>
              <c:strCache>
                <c:ptCount val="9"/>
                <c:pt idx="0">
                  <c:v>COMESA</c:v>
                </c:pt>
                <c:pt idx="1">
                  <c:v>UMA</c:v>
                </c:pt>
                <c:pt idx="2">
                  <c:v>ECCAS</c:v>
                </c:pt>
                <c:pt idx="3">
                  <c:v>CEN-SAD</c:v>
                </c:pt>
                <c:pt idx="4">
                  <c:v>EAC</c:v>
                </c:pt>
                <c:pt idx="5">
                  <c:v>IGAD</c:v>
                </c:pt>
                <c:pt idx="6">
                  <c:v>ECOWAS</c:v>
                </c:pt>
                <c:pt idx="7">
                  <c:v>SADC</c:v>
                </c:pt>
                <c:pt idx="8">
                  <c:v>AFRO</c:v>
                </c:pt>
              </c:strCache>
            </c:strRef>
          </c:cat>
          <c:val>
            <c:numRef>
              <c:f>'Economic groups'!$E$118:$E$126</c:f>
            </c:numRef>
          </c:val>
          <c:extLst>
            <c:ext xmlns:c16="http://schemas.microsoft.com/office/drawing/2014/chart" uri="{C3380CC4-5D6E-409C-BE32-E72D297353CC}">
              <c16:uniqueId val="{00000002-DEB8-48C6-99E1-A623D951902F}"/>
            </c:ext>
          </c:extLst>
        </c:ser>
        <c:ser>
          <c:idx val="3"/>
          <c:order val="3"/>
          <c:tx>
            <c:strRef>
              <c:f>'Economic groups'!$F$117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groups'!$B$118:$B$126</c:f>
              <c:strCache>
                <c:ptCount val="9"/>
                <c:pt idx="0">
                  <c:v>COMESA</c:v>
                </c:pt>
                <c:pt idx="1">
                  <c:v>UMA</c:v>
                </c:pt>
                <c:pt idx="2">
                  <c:v>ECCAS</c:v>
                </c:pt>
                <c:pt idx="3">
                  <c:v>CEN-SAD</c:v>
                </c:pt>
                <c:pt idx="4">
                  <c:v>EAC</c:v>
                </c:pt>
                <c:pt idx="5">
                  <c:v>IGAD</c:v>
                </c:pt>
                <c:pt idx="6">
                  <c:v>ECOWAS</c:v>
                </c:pt>
                <c:pt idx="7">
                  <c:v>SADC</c:v>
                </c:pt>
                <c:pt idx="8">
                  <c:v>AFRO</c:v>
                </c:pt>
              </c:strCache>
            </c:strRef>
          </c:cat>
          <c:val>
            <c:numRef>
              <c:f>'Economic groups'!$F$118:$F$126</c:f>
            </c:numRef>
          </c:val>
          <c:extLst>
            <c:ext xmlns:c16="http://schemas.microsoft.com/office/drawing/2014/chart" uri="{C3380CC4-5D6E-409C-BE32-E72D297353CC}">
              <c16:uniqueId val="{00000003-DEB8-48C6-99E1-A623D951902F}"/>
            </c:ext>
          </c:extLst>
        </c:ser>
        <c:ser>
          <c:idx val="4"/>
          <c:order val="4"/>
          <c:tx>
            <c:strRef>
              <c:f>'Economic groups'!$G$117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groups'!$B$118:$B$126</c:f>
              <c:strCache>
                <c:ptCount val="9"/>
                <c:pt idx="0">
                  <c:v>COMESA</c:v>
                </c:pt>
                <c:pt idx="1">
                  <c:v>UMA</c:v>
                </c:pt>
                <c:pt idx="2">
                  <c:v>ECCAS</c:v>
                </c:pt>
                <c:pt idx="3">
                  <c:v>CEN-SAD</c:v>
                </c:pt>
                <c:pt idx="4">
                  <c:v>EAC</c:v>
                </c:pt>
                <c:pt idx="5">
                  <c:v>IGAD</c:v>
                </c:pt>
                <c:pt idx="6">
                  <c:v>ECOWAS</c:v>
                </c:pt>
                <c:pt idx="7">
                  <c:v>SADC</c:v>
                </c:pt>
                <c:pt idx="8">
                  <c:v>AFRO</c:v>
                </c:pt>
              </c:strCache>
            </c:strRef>
          </c:cat>
          <c:val>
            <c:numRef>
              <c:f>'Economic groups'!$G$118:$G$126</c:f>
            </c:numRef>
          </c:val>
          <c:extLst>
            <c:ext xmlns:c16="http://schemas.microsoft.com/office/drawing/2014/chart" uri="{C3380CC4-5D6E-409C-BE32-E72D297353CC}">
              <c16:uniqueId val="{00000004-DEB8-48C6-99E1-A623D951902F}"/>
            </c:ext>
          </c:extLst>
        </c:ser>
        <c:ser>
          <c:idx val="5"/>
          <c:order val="5"/>
          <c:tx>
            <c:strRef>
              <c:f>'Economic groups'!$H$117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groups'!$B$118:$B$126</c:f>
              <c:strCache>
                <c:ptCount val="9"/>
                <c:pt idx="0">
                  <c:v>COMESA</c:v>
                </c:pt>
                <c:pt idx="1">
                  <c:v>UMA</c:v>
                </c:pt>
                <c:pt idx="2">
                  <c:v>ECCAS</c:v>
                </c:pt>
                <c:pt idx="3">
                  <c:v>CEN-SAD</c:v>
                </c:pt>
                <c:pt idx="4">
                  <c:v>EAC</c:v>
                </c:pt>
                <c:pt idx="5">
                  <c:v>IGAD</c:v>
                </c:pt>
                <c:pt idx="6">
                  <c:v>ECOWAS</c:v>
                </c:pt>
                <c:pt idx="7">
                  <c:v>SADC</c:v>
                </c:pt>
                <c:pt idx="8">
                  <c:v>AFRO</c:v>
                </c:pt>
              </c:strCache>
            </c:strRef>
          </c:cat>
          <c:val>
            <c:numRef>
              <c:f>'Economic groups'!$H$118:$H$126</c:f>
            </c:numRef>
          </c:val>
          <c:extLst>
            <c:ext xmlns:c16="http://schemas.microsoft.com/office/drawing/2014/chart" uri="{C3380CC4-5D6E-409C-BE32-E72D297353CC}">
              <c16:uniqueId val="{00000005-DEB8-48C6-99E1-A623D951902F}"/>
            </c:ext>
          </c:extLst>
        </c:ser>
        <c:ser>
          <c:idx val="6"/>
          <c:order val="6"/>
          <c:tx>
            <c:strRef>
              <c:f>'Economic groups'!$I$117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groups'!$B$118:$B$126</c:f>
              <c:strCache>
                <c:ptCount val="9"/>
                <c:pt idx="0">
                  <c:v>COMESA</c:v>
                </c:pt>
                <c:pt idx="1">
                  <c:v>UMA</c:v>
                </c:pt>
                <c:pt idx="2">
                  <c:v>ECCAS</c:v>
                </c:pt>
                <c:pt idx="3">
                  <c:v>CEN-SAD</c:v>
                </c:pt>
                <c:pt idx="4">
                  <c:v>EAC</c:v>
                </c:pt>
                <c:pt idx="5">
                  <c:v>IGAD</c:v>
                </c:pt>
                <c:pt idx="6">
                  <c:v>ECOWAS</c:v>
                </c:pt>
                <c:pt idx="7">
                  <c:v>SADC</c:v>
                </c:pt>
                <c:pt idx="8">
                  <c:v>AFRO</c:v>
                </c:pt>
              </c:strCache>
            </c:strRef>
          </c:cat>
          <c:val>
            <c:numRef>
              <c:f>'Economic groups'!$I$118:$I$126</c:f>
            </c:numRef>
          </c:val>
          <c:extLst>
            <c:ext xmlns:c16="http://schemas.microsoft.com/office/drawing/2014/chart" uri="{C3380CC4-5D6E-409C-BE32-E72D297353CC}">
              <c16:uniqueId val="{00000006-DEB8-48C6-99E1-A623D951902F}"/>
            </c:ext>
          </c:extLst>
        </c:ser>
        <c:ser>
          <c:idx val="7"/>
          <c:order val="7"/>
          <c:tx>
            <c:strRef>
              <c:f>'Economic groups'!$J$117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groups'!$B$118:$B$126</c:f>
              <c:strCache>
                <c:ptCount val="9"/>
                <c:pt idx="0">
                  <c:v>COMESA</c:v>
                </c:pt>
                <c:pt idx="1">
                  <c:v>UMA</c:v>
                </c:pt>
                <c:pt idx="2">
                  <c:v>ECCAS</c:v>
                </c:pt>
                <c:pt idx="3">
                  <c:v>CEN-SAD</c:v>
                </c:pt>
                <c:pt idx="4">
                  <c:v>EAC</c:v>
                </c:pt>
                <c:pt idx="5">
                  <c:v>IGAD</c:v>
                </c:pt>
                <c:pt idx="6">
                  <c:v>ECOWAS</c:v>
                </c:pt>
                <c:pt idx="7">
                  <c:v>SADC</c:v>
                </c:pt>
                <c:pt idx="8">
                  <c:v>AFRO</c:v>
                </c:pt>
              </c:strCache>
            </c:strRef>
          </c:cat>
          <c:val>
            <c:numRef>
              <c:f>'Economic groups'!$J$118:$J$126</c:f>
            </c:numRef>
          </c:val>
          <c:extLst>
            <c:ext xmlns:c16="http://schemas.microsoft.com/office/drawing/2014/chart" uri="{C3380CC4-5D6E-409C-BE32-E72D297353CC}">
              <c16:uniqueId val="{00000007-DEB8-48C6-99E1-A623D951902F}"/>
            </c:ext>
          </c:extLst>
        </c:ser>
        <c:ser>
          <c:idx val="8"/>
          <c:order val="8"/>
          <c:tx>
            <c:strRef>
              <c:f>'Economic groups'!$K$117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groups'!$B$118:$B$126</c:f>
              <c:strCache>
                <c:ptCount val="9"/>
                <c:pt idx="0">
                  <c:v>COMESA</c:v>
                </c:pt>
                <c:pt idx="1">
                  <c:v>UMA</c:v>
                </c:pt>
                <c:pt idx="2">
                  <c:v>ECCAS</c:v>
                </c:pt>
                <c:pt idx="3">
                  <c:v>CEN-SAD</c:v>
                </c:pt>
                <c:pt idx="4">
                  <c:v>EAC</c:v>
                </c:pt>
                <c:pt idx="5">
                  <c:v>IGAD</c:v>
                </c:pt>
                <c:pt idx="6">
                  <c:v>ECOWAS</c:v>
                </c:pt>
                <c:pt idx="7">
                  <c:v>SADC</c:v>
                </c:pt>
                <c:pt idx="8">
                  <c:v>AFRO</c:v>
                </c:pt>
              </c:strCache>
            </c:strRef>
          </c:cat>
          <c:val>
            <c:numRef>
              <c:f>'Economic groups'!$K$118:$K$126</c:f>
            </c:numRef>
          </c:val>
          <c:extLst>
            <c:ext xmlns:c16="http://schemas.microsoft.com/office/drawing/2014/chart" uri="{C3380CC4-5D6E-409C-BE32-E72D297353CC}">
              <c16:uniqueId val="{00000008-DEB8-48C6-99E1-A623D951902F}"/>
            </c:ext>
          </c:extLst>
        </c:ser>
        <c:ser>
          <c:idx val="9"/>
          <c:order val="9"/>
          <c:tx>
            <c:strRef>
              <c:f>'Economic groups'!$L$117</c:f>
              <c:strCache>
                <c:ptCount val="1"/>
                <c:pt idx="0">
                  <c:v>Density 2013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groups'!$B$118:$B$126</c:f>
              <c:strCache>
                <c:ptCount val="9"/>
                <c:pt idx="0">
                  <c:v>COMESA</c:v>
                </c:pt>
                <c:pt idx="1">
                  <c:v>UMA</c:v>
                </c:pt>
                <c:pt idx="2">
                  <c:v>ECCAS</c:v>
                </c:pt>
                <c:pt idx="3">
                  <c:v>CEN-SAD</c:v>
                </c:pt>
                <c:pt idx="4">
                  <c:v>EAC</c:v>
                </c:pt>
                <c:pt idx="5">
                  <c:v>IGAD</c:v>
                </c:pt>
                <c:pt idx="6">
                  <c:v>ECOWAS</c:v>
                </c:pt>
                <c:pt idx="7">
                  <c:v>SADC</c:v>
                </c:pt>
                <c:pt idx="8">
                  <c:v>AFRO</c:v>
                </c:pt>
              </c:strCache>
            </c:strRef>
          </c:cat>
          <c:val>
            <c:numRef>
              <c:f>'Economic groups'!$L$118:$L$126</c:f>
              <c:numCache>
                <c:formatCode>0.00</c:formatCode>
                <c:ptCount val="9"/>
                <c:pt idx="0">
                  <c:v>16.011102372628731</c:v>
                </c:pt>
                <c:pt idx="1">
                  <c:v>7.9257632702877814</c:v>
                </c:pt>
                <c:pt idx="2">
                  <c:v>7.2103115068107044</c:v>
                </c:pt>
                <c:pt idx="3">
                  <c:v>9.4036695910718553</c:v>
                </c:pt>
                <c:pt idx="4">
                  <c:v>8.274673867078711</c:v>
                </c:pt>
                <c:pt idx="5">
                  <c:v>8.1126853886107622</c:v>
                </c:pt>
                <c:pt idx="6">
                  <c:v>8.5806586398108422</c:v>
                </c:pt>
                <c:pt idx="7">
                  <c:v>17.237382938525396</c:v>
                </c:pt>
                <c:pt idx="8">
                  <c:v>11.13650671070585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EB8-48C6-99E1-A623D951902F}"/>
            </c:ext>
          </c:extLst>
        </c:ser>
        <c:ser>
          <c:idx val="10"/>
          <c:order val="10"/>
          <c:tx>
            <c:strRef>
              <c:f>'Economic groups'!$M$117</c:f>
              <c:strCache>
                <c:ptCount val="1"/>
                <c:pt idx="0">
                  <c:v>Density 2018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groups'!$B$118:$B$126</c:f>
              <c:strCache>
                <c:ptCount val="9"/>
                <c:pt idx="0">
                  <c:v>COMESA</c:v>
                </c:pt>
                <c:pt idx="1">
                  <c:v>UMA</c:v>
                </c:pt>
                <c:pt idx="2">
                  <c:v>ECCAS</c:v>
                </c:pt>
                <c:pt idx="3">
                  <c:v>CEN-SAD</c:v>
                </c:pt>
                <c:pt idx="4">
                  <c:v>EAC</c:v>
                </c:pt>
                <c:pt idx="5">
                  <c:v>IGAD</c:v>
                </c:pt>
                <c:pt idx="6">
                  <c:v>ECOWAS</c:v>
                </c:pt>
                <c:pt idx="7">
                  <c:v>SADC</c:v>
                </c:pt>
                <c:pt idx="8">
                  <c:v>AFRO</c:v>
                </c:pt>
              </c:strCache>
            </c:strRef>
          </c:cat>
          <c:val>
            <c:numRef>
              <c:f>'Economic groups'!$M$118:$M$126</c:f>
              <c:numCache>
                <c:formatCode>0.00</c:formatCode>
                <c:ptCount val="9"/>
                <c:pt idx="0">
                  <c:v>32.699469790275039</c:v>
                </c:pt>
                <c:pt idx="1">
                  <c:v>28.905622304897829</c:v>
                </c:pt>
                <c:pt idx="2">
                  <c:v>14.169017321325024</c:v>
                </c:pt>
                <c:pt idx="3">
                  <c:v>14.099347770867247</c:v>
                </c:pt>
                <c:pt idx="4">
                  <c:v>12.244111721602234</c:v>
                </c:pt>
                <c:pt idx="5">
                  <c:v>13.543276680812443</c:v>
                </c:pt>
                <c:pt idx="6">
                  <c:v>13.76851492779284</c:v>
                </c:pt>
                <c:pt idx="7">
                  <c:v>42.392925904082645</c:v>
                </c:pt>
                <c:pt idx="8">
                  <c:v>23.576970255075228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EB8-48C6-99E1-A623D951902F}"/>
            </c:ext>
          </c:extLst>
        </c:ser>
        <c:ser>
          <c:idx val="11"/>
          <c:order val="11"/>
          <c:tx>
            <c:strRef>
              <c:f>'Economic groups'!$N$117</c:f>
              <c:strCache>
                <c:ptCount val="1"/>
                <c:pt idx="0">
                  <c:v>Density 2022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groups'!$B$118:$B$126</c:f>
              <c:strCache>
                <c:ptCount val="9"/>
                <c:pt idx="0">
                  <c:v>COMESA</c:v>
                </c:pt>
                <c:pt idx="1">
                  <c:v>UMA</c:v>
                </c:pt>
                <c:pt idx="2">
                  <c:v>ECCAS</c:v>
                </c:pt>
                <c:pt idx="3">
                  <c:v>CEN-SAD</c:v>
                </c:pt>
                <c:pt idx="4">
                  <c:v>EAC</c:v>
                </c:pt>
                <c:pt idx="5">
                  <c:v>IGAD</c:v>
                </c:pt>
                <c:pt idx="6">
                  <c:v>ECOWAS</c:v>
                </c:pt>
                <c:pt idx="7">
                  <c:v>SADC</c:v>
                </c:pt>
                <c:pt idx="8">
                  <c:v>AFRO</c:v>
                </c:pt>
              </c:strCache>
            </c:strRef>
          </c:cat>
          <c:val>
            <c:numRef>
              <c:f>'Economic groups'!$N$118:$N$126</c:f>
              <c:numCache>
                <c:formatCode>0.00</c:formatCode>
                <c:ptCount val="9"/>
                <c:pt idx="0">
                  <c:v>38.792442271695698</c:v>
                </c:pt>
                <c:pt idx="1">
                  <c:v>34.484053560396248</c:v>
                </c:pt>
                <c:pt idx="2">
                  <c:v>14.099253915174625</c:v>
                </c:pt>
                <c:pt idx="3">
                  <c:v>16.786014442543152</c:v>
                </c:pt>
                <c:pt idx="4">
                  <c:v>14.52773240438823</c:v>
                </c:pt>
                <c:pt idx="5">
                  <c:v>18.690047269250705</c:v>
                </c:pt>
                <c:pt idx="6">
                  <c:v>16.861092108143549</c:v>
                </c:pt>
                <c:pt idx="7">
                  <c:v>47.008835570767104</c:v>
                </c:pt>
                <c:pt idx="8">
                  <c:v>26.824343944304964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EB8-48C6-99E1-A623D95190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918931935"/>
        <c:axId val="918921855"/>
      </c:barChart>
      <c:catAx>
        <c:axId val="91893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918921855"/>
        <c:crosses val="autoZero"/>
        <c:auto val="1"/>
        <c:lblAlgn val="ctr"/>
        <c:lblOffset val="100"/>
        <c:noMultiLvlLbl val="0"/>
      </c:catAx>
      <c:valAx>
        <c:axId val="918921855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91893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/>
              <a:t>(b) 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'Density and stock all'!$B$8</c:f>
              <c:strCache>
                <c:ptCount val="1"/>
                <c:pt idx="0">
                  <c:v>SDG 3c Occupations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'Density and stock all'!$C$7:$E$7</c:f>
              <c:strCache>
                <c:ptCount val="3"/>
                <c:pt idx="0">
                  <c:v> Density per 10,000 (2013)</c:v>
                </c:pt>
                <c:pt idx="1">
                  <c:v> Density per 10,000 (2018)</c:v>
                </c:pt>
                <c:pt idx="2">
                  <c:v> Density per 10,000 (2022)</c:v>
                </c:pt>
              </c:strCache>
            </c:strRef>
          </c:cat>
          <c:val>
            <c:numRef>
              <c:f>'Density and stock all'!$C$8:$E$8</c:f>
              <c:numCache>
                <c:formatCode>0.00</c:formatCode>
                <c:ptCount val="3"/>
                <c:pt idx="0">
                  <c:v>11.13650671070585</c:v>
                </c:pt>
                <c:pt idx="1">
                  <c:v>23.576970255075228</c:v>
                </c:pt>
                <c:pt idx="2">
                  <c:v>26.824343944304964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F-4B7E-975D-B7E1E5219B55}"/>
            </c:ext>
          </c:extLst>
        </c:ser>
        <c:ser>
          <c:idx val="1"/>
          <c:order val="1"/>
          <c:tx>
            <c:strRef>
              <c:f>'Density and stock all'!$B$9</c:f>
              <c:strCache>
                <c:ptCount val="1"/>
                <c:pt idx="0">
                  <c:v>Other workers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'Density and stock all'!$C$7:$E$7</c:f>
              <c:strCache>
                <c:ptCount val="3"/>
                <c:pt idx="0">
                  <c:v> Density per 10,000 (2013)</c:v>
                </c:pt>
                <c:pt idx="1">
                  <c:v> Density per 10,000 (2018)</c:v>
                </c:pt>
                <c:pt idx="2">
                  <c:v> Density per 10,000 (2022)</c:v>
                </c:pt>
              </c:strCache>
            </c:strRef>
          </c:cat>
          <c:val>
            <c:numRef>
              <c:f>'Density and stock all'!$C$9:$E$9</c:f>
              <c:numCache>
                <c:formatCode>0.00</c:formatCode>
                <c:ptCount val="3"/>
                <c:pt idx="0">
                  <c:v>8.3497580937222491</c:v>
                </c:pt>
                <c:pt idx="1">
                  <c:v>26.690656580821251</c:v>
                </c:pt>
                <c:pt idx="2">
                  <c:v>27.342382346071645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2F-4B7E-975D-B7E1E5219B55}"/>
            </c:ext>
          </c:extLst>
        </c:ser>
        <c:ser>
          <c:idx val="2"/>
          <c:order val="2"/>
          <c:tx>
            <c:strRef>
              <c:f>'Density and stock all'!$B$10</c:f>
              <c:strCache>
                <c:ptCount val="1"/>
                <c:pt idx="0">
                  <c:v>All workers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'Density and stock all'!$C$7:$E$7</c:f>
              <c:strCache>
                <c:ptCount val="3"/>
                <c:pt idx="0">
                  <c:v> Density per 10,000 (2013)</c:v>
                </c:pt>
                <c:pt idx="1">
                  <c:v> Density per 10,000 (2018)</c:v>
                </c:pt>
                <c:pt idx="2">
                  <c:v> Density per 10,000 (2022)</c:v>
                </c:pt>
              </c:strCache>
            </c:strRef>
          </c:cat>
          <c:val>
            <c:numRef>
              <c:f>'Density and stock all'!$C$10:$E$10</c:f>
              <c:numCache>
                <c:formatCode>0.00</c:formatCode>
                <c:ptCount val="3"/>
                <c:pt idx="0">
                  <c:v>19.486264804428103</c:v>
                </c:pt>
                <c:pt idx="1">
                  <c:v>50.267626835896493</c:v>
                </c:pt>
                <c:pt idx="2">
                  <c:v>54.166726290376602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2F-4B7E-975D-B7E1E5219B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73054208"/>
        <c:axId val="1343246352"/>
      </c:barChart>
      <c:catAx>
        <c:axId val="127305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343246352"/>
        <c:crosses val="autoZero"/>
        <c:auto val="1"/>
        <c:lblAlgn val="ctr"/>
        <c:lblOffset val="100"/>
        <c:noMultiLvlLbl val="0"/>
      </c:catAx>
      <c:valAx>
        <c:axId val="1343246352"/>
        <c:scaling>
          <c:orientation val="minMax"/>
          <c:max val="100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27305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/>
              <a:t>(a) Stock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'Density and stock all'!$O$8</c:f>
              <c:strCache>
                <c:ptCount val="1"/>
                <c:pt idx="0">
                  <c:v>SDG 3c Occuaptions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'Density and stock all'!$P$7:$R$7</c:f>
              <c:strCache>
                <c:ptCount val="3"/>
                <c:pt idx="0">
                  <c:v>Stock (2013)</c:v>
                </c:pt>
                <c:pt idx="1">
                  <c:v>Stock (2018)</c:v>
                </c:pt>
                <c:pt idx="2">
                  <c:v>Stock (2022)</c:v>
                </c:pt>
              </c:strCache>
            </c:strRef>
          </c:cat>
          <c:val>
            <c:numRef>
              <c:f>'Density and stock all'!$P$8:$R$8</c:f>
              <c:numCache>
                <c:formatCode>_-* #,##0_-;\-* #,##0_-;_-* "-"??_-;_-@_-</c:formatCode>
                <c:ptCount val="3"/>
                <c:pt idx="0">
                  <c:v>841834</c:v>
                </c:pt>
                <c:pt idx="1">
                  <c:v>1994699</c:v>
                </c:pt>
                <c:pt idx="2">
                  <c:v>2609320.8581257504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A-4259-B634-0C99EB494BFC}"/>
            </c:ext>
          </c:extLst>
        </c:ser>
        <c:ser>
          <c:idx val="1"/>
          <c:order val="1"/>
          <c:tx>
            <c:strRef>
              <c:f>'Density and stock all'!$O$9</c:f>
              <c:strCache>
                <c:ptCount val="1"/>
                <c:pt idx="0">
                  <c:v>Other workers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'Density and stock all'!$P$7:$R$7</c:f>
              <c:strCache>
                <c:ptCount val="3"/>
                <c:pt idx="0">
                  <c:v>Stock (2013)</c:v>
                </c:pt>
                <c:pt idx="1">
                  <c:v>Stock (2018)</c:v>
                </c:pt>
                <c:pt idx="2">
                  <c:v>Stock (2022)</c:v>
                </c:pt>
              </c:strCache>
            </c:strRef>
          </c:cat>
          <c:val>
            <c:numRef>
              <c:f>'Density and stock all'!$P$9:$R$9</c:f>
              <c:numCache>
                <c:formatCode>_-* #,##0_-;\-* #,##0_-;_-* "-"??_-;_-@_-</c:formatCode>
                <c:ptCount val="3"/>
                <c:pt idx="0">
                  <c:v>724195</c:v>
                </c:pt>
                <c:pt idx="1">
                  <c:v>2312731</c:v>
                </c:pt>
                <c:pt idx="2">
                  <c:v>2488957.6157619865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AA-4259-B634-0C99EB494BFC}"/>
            </c:ext>
          </c:extLst>
        </c:ser>
        <c:ser>
          <c:idx val="2"/>
          <c:order val="2"/>
          <c:tx>
            <c:strRef>
              <c:f>'Density and stock all'!$O$10</c:f>
              <c:strCache>
                <c:ptCount val="1"/>
                <c:pt idx="0">
                  <c:v>All workers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'Density and stock all'!$P$7:$R$7</c:f>
              <c:strCache>
                <c:ptCount val="3"/>
                <c:pt idx="0">
                  <c:v>Stock (2013)</c:v>
                </c:pt>
                <c:pt idx="1">
                  <c:v>Stock (2018)</c:v>
                </c:pt>
                <c:pt idx="2">
                  <c:v>Stock (2022)</c:v>
                </c:pt>
              </c:strCache>
            </c:strRef>
          </c:cat>
          <c:val>
            <c:numRef>
              <c:f>'Density and stock all'!$P$10:$R$10</c:f>
              <c:numCache>
                <c:formatCode>_-* #,##0_-;\-* #,##0_-;_-* "-"??_-;_-@_-</c:formatCode>
                <c:ptCount val="3"/>
                <c:pt idx="0">
                  <c:v>1566029</c:v>
                </c:pt>
                <c:pt idx="1">
                  <c:v>4307430</c:v>
                </c:pt>
                <c:pt idx="2">
                  <c:v>5098278.4738877341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AA-4259-B634-0C99EB494B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73047968"/>
        <c:axId val="1311003440"/>
      </c:barChart>
      <c:catAx>
        <c:axId val="127304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311003440"/>
        <c:crosses val="autoZero"/>
        <c:auto val="1"/>
        <c:lblAlgn val="ctr"/>
        <c:lblOffset val="100"/>
        <c:noMultiLvlLbl val="0"/>
      </c:catAx>
      <c:valAx>
        <c:axId val="1311003440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27304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'Core density Final '!$B$1</c:f>
              <c:strCache>
                <c:ptCount val="1"/>
                <c:pt idx="0">
                  <c:v> Density 2013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density Final '!$A$2:$A$5</c:f>
              <c:strCache>
                <c:ptCount val="4"/>
                <c:pt idx="0">
                  <c:v>Low-Income Economies</c:v>
                </c:pt>
                <c:pt idx="1">
                  <c:v>Lower-Middle-Income Economies</c:v>
                </c:pt>
                <c:pt idx="2">
                  <c:v>High/Upper-Middle-Income Economies </c:v>
                </c:pt>
                <c:pt idx="3">
                  <c:v>AFRO</c:v>
                </c:pt>
              </c:strCache>
            </c:strRef>
          </c:cat>
          <c:val>
            <c:numRef>
              <c:f>'Core density Final '!$B$2:$B$5</c:f>
              <c:numCache>
                <c:formatCode>0.00</c:formatCode>
                <c:ptCount val="4"/>
                <c:pt idx="0">
                  <c:v>6.3547751604872342</c:v>
                </c:pt>
                <c:pt idx="1">
                  <c:v>10.916495025810013</c:v>
                </c:pt>
                <c:pt idx="2">
                  <c:v>26.078875934650398</c:v>
                </c:pt>
                <c:pt idx="3">
                  <c:v>11.136506710705849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DC-4714-8744-64E7CF58064D}"/>
            </c:ext>
          </c:extLst>
        </c:ser>
        <c:ser>
          <c:idx val="1"/>
          <c:order val="1"/>
          <c:tx>
            <c:strRef>
              <c:f>'Core density Final '!$C$1</c:f>
              <c:strCache>
                <c:ptCount val="1"/>
                <c:pt idx="0">
                  <c:v> Density 2018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density Final '!$A$2:$A$5</c:f>
              <c:strCache>
                <c:ptCount val="4"/>
                <c:pt idx="0">
                  <c:v>Low-Income Economies</c:v>
                </c:pt>
                <c:pt idx="1">
                  <c:v>Lower-Middle-Income Economies</c:v>
                </c:pt>
                <c:pt idx="2">
                  <c:v>High/Upper-Middle-Income Economies </c:v>
                </c:pt>
                <c:pt idx="3">
                  <c:v>AFRO</c:v>
                </c:pt>
              </c:strCache>
            </c:strRef>
          </c:cat>
          <c:val>
            <c:numRef>
              <c:f>'Core density Final '!$C$2:$C$5</c:f>
              <c:numCache>
                <c:formatCode>0.00</c:formatCode>
                <c:ptCount val="4"/>
                <c:pt idx="0">
                  <c:v>9.7650585826332765</c:v>
                </c:pt>
                <c:pt idx="1">
                  <c:v>22.434036104186966</c:v>
                </c:pt>
                <c:pt idx="2">
                  <c:v>68.114955110526367</c:v>
                </c:pt>
                <c:pt idx="3">
                  <c:v>23.576970255075217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DC-4714-8744-64E7CF58064D}"/>
            </c:ext>
          </c:extLst>
        </c:ser>
        <c:ser>
          <c:idx val="2"/>
          <c:order val="2"/>
          <c:tx>
            <c:strRef>
              <c:f>'Core density Final '!$D$1</c:f>
              <c:strCache>
                <c:ptCount val="1"/>
                <c:pt idx="0">
                  <c:v> Density 2022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density Final '!$A$2:$A$5</c:f>
              <c:strCache>
                <c:ptCount val="4"/>
                <c:pt idx="0">
                  <c:v>Low-Income Economies</c:v>
                </c:pt>
                <c:pt idx="1">
                  <c:v>Lower-Middle-Income Economies</c:v>
                </c:pt>
                <c:pt idx="2">
                  <c:v>High/Upper-Middle-Income Economies </c:v>
                </c:pt>
                <c:pt idx="3">
                  <c:v>AFRO</c:v>
                </c:pt>
              </c:strCache>
            </c:strRef>
          </c:cat>
          <c:val>
            <c:numRef>
              <c:f>'Core density Final '!$D$2:$D$5</c:f>
              <c:numCache>
                <c:formatCode>0.00</c:formatCode>
                <c:ptCount val="4"/>
                <c:pt idx="0">
                  <c:v>10.762837813162198</c:v>
                </c:pt>
                <c:pt idx="1">
                  <c:v>26.458951925105207</c:v>
                </c:pt>
                <c:pt idx="2">
                  <c:v>76.000640675561172</c:v>
                </c:pt>
                <c:pt idx="3">
                  <c:v>26.824343944304967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DC-4714-8744-64E7CF5806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251086367"/>
        <c:axId val="294519967"/>
      </c:barChart>
      <c:catAx>
        <c:axId val="25108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294519967"/>
        <c:crosses val="autoZero"/>
        <c:auto val="1"/>
        <c:lblAlgn val="ctr"/>
        <c:lblOffset val="100"/>
        <c:noMultiLvlLbl val="0"/>
      </c:catAx>
      <c:valAx>
        <c:axId val="29451996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25108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'Core density Final '!$B$63</c:f>
              <c:strCache>
                <c:ptCount val="1"/>
                <c:pt idx="0">
                  <c:v> Stock 2013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density Final '!$A$64:$A$66</c:f>
              <c:strCache>
                <c:ptCount val="3"/>
                <c:pt idx="0">
                  <c:v>Low-Income Economies</c:v>
                </c:pt>
                <c:pt idx="1">
                  <c:v>Lower-Middle-Income Economies</c:v>
                </c:pt>
                <c:pt idx="2">
                  <c:v>High/Upper-Middle-Income Economies </c:v>
                </c:pt>
              </c:strCache>
            </c:strRef>
          </c:cat>
          <c:val>
            <c:numRef>
              <c:f>'Core density Final '!$B$64:$B$66</c:f>
              <c:numCache>
                <c:formatCode>0%</c:formatCode>
                <c:ptCount val="3"/>
                <c:pt idx="0">
                  <c:v>0.27495800834843925</c:v>
                </c:pt>
                <c:pt idx="1">
                  <c:v>0.59409574809285437</c:v>
                </c:pt>
                <c:pt idx="2">
                  <c:v>0.13094624355870635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D-4B19-9BDD-5C8016EDA35D}"/>
            </c:ext>
          </c:extLst>
        </c:ser>
        <c:ser>
          <c:idx val="1"/>
          <c:order val="1"/>
          <c:tx>
            <c:strRef>
              <c:f>'Core density Final '!$C$63</c:f>
              <c:strCache>
                <c:ptCount val="1"/>
                <c:pt idx="0">
                  <c:v> Stock 2018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density Final '!$A$64:$A$66</c:f>
              <c:strCache>
                <c:ptCount val="3"/>
                <c:pt idx="0">
                  <c:v>Low-Income Economies</c:v>
                </c:pt>
                <c:pt idx="1">
                  <c:v>Lower-Middle-Income Economies</c:v>
                </c:pt>
                <c:pt idx="2">
                  <c:v>High/Upper-Middle-Income Economies </c:v>
                </c:pt>
              </c:strCache>
            </c:strRef>
          </c:cat>
          <c:val>
            <c:numRef>
              <c:f>'Core density Final '!$C$64:$C$66</c:f>
              <c:numCache>
                <c:formatCode>0%</c:formatCode>
                <c:ptCount val="3"/>
                <c:pt idx="0">
                  <c:v>0.25111357653460498</c:v>
                </c:pt>
                <c:pt idx="1">
                  <c:v>0.54844314856527221</c:v>
                </c:pt>
                <c:pt idx="2">
                  <c:v>0.20044327490012279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8D-4B19-9BDD-5C8016EDA35D}"/>
            </c:ext>
          </c:extLst>
        </c:ser>
        <c:ser>
          <c:idx val="2"/>
          <c:order val="2"/>
          <c:tx>
            <c:strRef>
              <c:f>'Core density Final '!$D$63</c:f>
              <c:strCache>
                <c:ptCount val="1"/>
                <c:pt idx="0">
                  <c:v> Stock 2022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density Final '!$A$64:$A$66</c:f>
              <c:strCache>
                <c:ptCount val="3"/>
                <c:pt idx="0">
                  <c:v>Low-Income Economies</c:v>
                </c:pt>
                <c:pt idx="1">
                  <c:v>Lower-Middle-Income Economies</c:v>
                </c:pt>
                <c:pt idx="2">
                  <c:v>High/Upper-Middle-Income Economies </c:v>
                </c:pt>
              </c:strCache>
            </c:strRef>
          </c:cat>
          <c:val>
            <c:numRef>
              <c:f>'Core density Final '!$D$64:$D$66</c:f>
              <c:numCache>
                <c:formatCode>0%</c:formatCode>
                <c:ptCount val="3"/>
                <c:pt idx="0">
                  <c:v>0.26993890782408869</c:v>
                </c:pt>
                <c:pt idx="1">
                  <c:v>0.53198369664042322</c:v>
                </c:pt>
                <c:pt idx="2">
                  <c:v>0.19807739553548806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8D-4B19-9BDD-5C8016EDA3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251098847"/>
        <c:axId val="294513519"/>
      </c:barChart>
      <c:catAx>
        <c:axId val="25109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294513519"/>
        <c:crosses val="autoZero"/>
        <c:auto val="1"/>
        <c:lblAlgn val="ctr"/>
        <c:lblOffset val="100"/>
        <c:noMultiLvlLbl val="0"/>
      </c:catAx>
      <c:valAx>
        <c:axId val="294513519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25109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'Core stock Final'!$B$1</c:f>
              <c:strCache>
                <c:ptCount val="1"/>
                <c:pt idx="0">
                  <c:v> Stock 2013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stock Final'!$A$2:$A$5</c:f>
              <c:strCache>
                <c:ptCount val="4"/>
                <c:pt idx="0">
                  <c:v>Low-Income Economies</c:v>
                </c:pt>
                <c:pt idx="1">
                  <c:v>Lower-Middle-Income Economies</c:v>
                </c:pt>
                <c:pt idx="2">
                  <c:v>High/Upper-Middle-Income Economies </c:v>
                </c:pt>
                <c:pt idx="3">
                  <c:v>AFRO</c:v>
                </c:pt>
              </c:strCache>
            </c:strRef>
          </c:cat>
          <c:val>
            <c:numRef>
              <c:f>'Core stock Final'!$B$2:$B$5</c:f>
              <c:numCache>
                <c:formatCode>_-* #,##0_-;\-* #,##0_-;_-* "-"??_-;_-@_-</c:formatCode>
                <c:ptCount val="4"/>
                <c:pt idx="0">
                  <c:v>231469</c:v>
                </c:pt>
                <c:pt idx="1">
                  <c:v>500130</c:v>
                </c:pt>
                <c:pt idx="2">
                  <c:v>110235</c:v>
                </c:pt>
                <c:pt idx="3">
                  <c:v>841834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9-4671-A0B1-8A25CC17537A}"/>
            </c:ext>
          </c:extLst>
        </c:ser>
        <c:ser>
          <c:idx val="1"/>
          <c:order val="1"/>
          <c:tx>
            <c:strRef>
              <c:f>'Core stock Final'!$C$1</c:f>
              <c:strCache>
                <c:ptCount val="1"/>
                <c:pt idx="0">
                  <c:v> Stock 2018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stock Final'!$A$2:$A$5</c:f>
              <c:strCache>
                <c:ptCount val="4"/>
                <c:pt idx="0">
                  <c:v>Low-Income Economies</c:v>
                </c:pt>
                <c:pt idx="1">
                  <c:v>Lower-Middle-Income Economies</c:v>
                </c:pt>
                <c:pt idx="2">
                  <c:v>High/Upper-Middle-Income Economies </c:v>
                </c:pt>
                <c:pt idx="3">
                  <c:v>AFRO</c:v>
                </c:pt>
              </c:strCache>
            </c:strRef>
          </c:cat>
          <c:val>
            <c:numRef>
              <c:f>'Core stock Final'!$C$2:$C$5</c:f>
              <c:numCache>
                <c:formatCode>_-* #,##0_-;\-* #,##0_-;_-* "-"??_-;_-@_-</c:formatCode>
                <c:ptCount val="4"/>
                <c:pt idx="0">
                  <c:v>500896</c:v>
                </c:pt>
                <c:pt idx="1">
                  <c:v>1093979</c:v>
                </c:pt>
                <c:pt idx="2">
                  <c:v>399824</c:v>
                </c:pt>
                <c:pt idx="3">
                  <c:v>1994699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79-4671-A0B1-8A25CC17537A}"/>
            </c:ext>
          </c:extLst>
        </c:ser>
        <c:ser>
          <c:idx val="2"/>
          <c:order val="2"/>
          <c:tx>
            <c:strRef>
              <c:f>'Core stock Final'!$D$1</c:f>
              <c:strCache>
                <c:ptCount val="1"/>
                <c:pt idx="0">
                  <c:v> Stock 2022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stock Final'!$A$2:$A$5</c:f>
              <c:strCache>
                <c:ptCount val="4"/>
                <c:pt idx="0">
                  <c:v>Low-Income Economies</c:v>
                </c:pt>
                <c:pt idx="1">
                  <c:v>Lower-Middle-Income Economies</c:v>
                </c:pt>
                <c:pt idx="2">
                  <c:v>High/Upper-Middle-Income Economies </c:v>
                </c:pt>
                <c:pt idx="3">
                  <c:v>AFRO</c:v>
                </c:pt>
              </c:strCache>
            </c:strRef>
          </c:cat>
          <c:val>
            <c:numRef>
              <c:f>'Core stock Final'!$D$2:$D$5</c:f>
              <c:numCache>
                <c:formatCode>_-* #,##0_-;\-* #,##0_-;_-* "-"??_-;_-@_-</c:formatCode>
                <c:ptCount val="4"/>
                <c:pt idx="0">
                  <c:v>706258.00230736472</c:v>
                </c:pt>
                <c:pt idx="1">
                  <c:v>1386731.0884352727</c:v>
                </c:pt>
                <c:pt idx="2">
                  <c:v>516331.76738311263</c:v>
                </c:pt>
                <c:pt idx="3">
                  <c:v>2609320.85812575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79-4671-A0B1-8A25CC1753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251086367"/>
        <c:axId val="294519967"/>
      </c:barChart>
      <c:catAx>
        <c:axId val="25108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294519967"/>
        <c:crosses val="autoZero"/>
        <c:auto val="1"/>
        <c:lblAlgn val="ctr"/>
        <c:lblOffset val="100"/>
        <c:noMultiLvlLbl val="0"/>
      </c:catAx>
      <c:valAx>
        <c:axId val="294519967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25108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'Core stock Final'!$B$63</c:f>
              <c:strCache>
                <c:ptCount val="1"/>
                <c:pt idx="0">
                  <c:v> Stock proportion 2013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stock Final'!$A$64:$A$66</c:f>
              <c:strCache>
                <c:ptCount val="3"/>
                <c:pt idx="0">
                  <c:v>Low-Income Economies</c:v>
                </c:pt>
                <c:pt idx="1">
                  <c:v>Lower-Middle-Income Economies</c:v>
                </c:pt>
                <c:pt idx="2">
                  <c:v>High/Upper-Middle-Income Economies </c:v>
                </c:pt>
              </c:strCache>
            </c:strRef>
          </c:cat>
          <c:val>
            <c:numRef>
              <c:f>'Core stock Final'!$B$64:$B$66</c:f>
              <c:numCache>
                <c:formatCode>0%</c:formatCode>
                <c:ptCount val="3"/>
                <c:pt idx="0">
                  <c:v>0.27495800834843925</c:v>
                </c:pt>
                <c:pt idx="1">
                  <c:v>0.59409574809285437</c:v>
                </c:pt>
                <c:pt idx="2">
                  <c:v>0.13094624355870635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F-4CC7-A9E0-BD5A1567A95A}"/>
            </c:ext>
          </c:extLst>
        </c:ser>
        <c:ser>
          <c:idx val="1"/>
          <c:order val="1"/>
          <c:tx>
            <c:strRef>
              <c:f>'Core stock Final'!$C$63</c:f>
              <c:strCache>
                <c:ptCount val="1"/>
                <c:pt idx="0">
                  <c:v> Stock proportion 2018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stock Final'!$A$64:$A$66</c:f>
              <c:strCache>
                <c:ptCount val="3"/>
                <c:pt idx="0">
                  <c:v>Low-Income Economies</c:v>
                </c:pt>
                <c:pt idx="1">
                  <c:v>Lower-Middle-Income Economies</c:v>
                </c:pt>
                <c:pt idx="2">
                  <c:v>High/Upper-Middle-Income Economies </c:v>
                </c:pt>
              </c:strCache>
            </c:strRef>
          </c:cat>
          <c:val>
            <c:numRef>
              <c:f>'Core stock Final'!$C$64:$C$66</c:f>
              <c:numCache>
                <c:formatCode>0%</c:formatCode>
                <c:ptCount val="3"/>
                <c:pt idx="0">
                  <c:v>0.25111357653460498</c:v>
                </c:pt>
                <c:pt idx="1">
                  <c:v>0.54844314856527221</c:v>
                </c:pt>
                <c:pt idx="2">
                  <c:v>0.20044327490012279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8F-4CC7-A9E0-BD5A1567A95A}"/>
            </c:ext>
          </c:extLst>
        </c:ser>
        <c:ser>
          <c:idx val="2"/>
          <c:order val="2"/>
          <c:tx>
            <c:strRef>
              <c:f>'Core stock Final'!$D$63</c:f>
              <c:strCache>
                <c:ptCount val="1"/>
                <c:pt idx="0">
                  <c:v> Stock proportion 2022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stock Final'!$A$64:$A$66</c:f>
              <c:strCache>
                <c:ptCount val="3"/>
                <c:pt idx="0">
                  <c:v>Low-Income Economies</c:v>
                </c:pt>
                <c:pt idx="1">
                  <c:v>Lower-Middle-Income Economies</c:v>
                </c:pt>
                <c:pt idx="2">
                  <c:v>High/Upper-Middle-Income Economies </c:v>
                </c:pt>
              </c:strCache>
            </c:strRef>
          </c:cat>
          <c:val>
            <c:numRef>
              <c:f>'Core stock Final'!$D$64:$D$66</c:f>
              <c:numCache>
                <c:formatCode>0%</c:formatCode>
                <c:ptCount val="3"/>
                <c:pt idx="0">
                  <c:v>0.26993890782408869</c:v>
                </c:pt>
                <c:pt idx="1">
                  <c:v>0.53198369664042322</c:v>
                </c:pt>
                <c:pt idx="2">
                  <c:v>0.19807739553548806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8F-4CC7-A9E0-BD5A1567A9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251098847"/>
        <c:axId val="294513519"/>
      </c:barChart>
      <c:catAx>
        <c:axId val="25109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294513519"/>
        <c:crosses val="autoZero"/>
        <c:auto val="1"/>
        <c:lblAlgn val="ctr"/>
        <c:lblOffset val="100"/>
        <c:noMultiLvlLbl val="0"/>
      </c:catAx>
      <c:valAx>
        <c:axId val="294513519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25109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groups'!$T$2</c:f>
              <c:strCache>
                <c:ptCount val="1"/>
                <c:pt idx="0">
                  <c:v>&lt; 25 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groups'!$S$3:$S$8</c:f>
              <c:strCache>
                <c:ptCount val="6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  <c:pt idx="5">
                  <c:v>Community health workers</c:v>
                </c:pt>
              </c:strCache>
            </c:strRef>
          </c:cat>
          <c:val>
            <c:numRef>
              <c:f>'Age groups'!$T$3:$T$8</c:f>
              <c:numCache>
                <c:formatCode>0.0%</c:formatCode>
                <c:ptCount val="6"/>
                <c:pt idx="0">
                  <c:v>2.8195701357466064E-2</c:v>
                </c:pt>
                <c:pt idx="1">
                  <c:v>3.4070827357644315E-2</c:v>
                </c:pt>
                <c:pt idx="2">
                  <c:v>2.6533668031884439E-2</c:v>
                </c:pt>
                <c:pt idx="3">
                  <c:v>3.9601256315717599E-2</c:v>
                </c:pt>
                <c:pt idx="4">
                  <c:v>8.1049862029134306E-2</c:v>
                </c:pt>
                <c:pt idx="5">
                  <c:v>1.7915522427095595E-2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B-4231-A97E-B455056B19F2}"/>
            </c:ext>
          </c:extLst>
        </c:ser>
        <c:ser>
          <c:idx val="1"/>
          <c:order val="1"/>
          <c:tx>
            <c:strRef>
              <c:f>'Age groups'!$U$2</c:f>
              <c:strCache>
                <c:ptCount val="1"/>
                <c:pt idx="0">
                  <c:v>25–34 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groups'!$S$3:$S$8</c:f>
              <c:strCache>
                <c:ptCount val="6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  <c:pt idx="5">
                  <c:v>Community health workers</c:v>
                </c:pt>
              </c:strCache>
            </c:strRef>
          </c:cat>
          <c:val>
            <c:numRef>
              <c:f>'Age groups'!$U$3:$U$8</c:f>
              <c:numCache>
                <c:formatCode>0.0%</c:formatCode>
                <c:ptCount val="6"/>
                <c:pt idx="0">
                  <c:v>0.51725113122171951</c:v>
                </c:pt>
                <c:pt idx="1">
                  <c:v>0.5313663245081135</c:v>
                </c:pt>
                <c:pt idx="2">
                  <c:v>0.44316730523627074</c:v>
                </c:pt>
                <c:pt idx="3">
                  <c:v>0.35559197050389185</c:v>
                </c:pt>
                <c:pt idx="4">
                  <c:v>0.50324071103125201</c:v>
                </c:pt>
                <c:pt idx="5">
                  <c:v>0.34248724990192231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8B-4231-A97E-B455056B19F2}"/>
            </c:ext>
          </c:extLst>
        </c:ser>
        <c:ser>
          <c:idx val="2"/>
          <c:order val="2"/>
          <c:tx>
            <c:strRef>
              <c:f>'Age groups'!$V$2</c:f>
              <c:strCache>
                <c:ptCount val="1"/>
                <c:pt idx="0">
                  <c:v>35–44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groups'!$S$3:$S$8</c:f>
              <c:strCache>
                <c:ptCount val="6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  <c:pt idx="5">
                  <c:v>Community health workers</c:v>
                </c:pt>
              </c:strCache>
            </c:strRef>
          </c:cat>
          <c:val>
            <c:numRef>
              <c:f>'Age groups'!$V$3:$V$8</c:f>
              <c:numCache>
                <c:formatCode>0.0%</c:formatCode>
                <c:ptCount val="6"/>
                <c:pt idx="0">
                  <c:v>0.25757918552036196</c:v>
                </c:pt>
                <c:pt idx="1">
                  <c:v>0.32704341707355067</c:v>
                </c:pt>
                <c:pt idx="2">
                  <c:v>0.37933236446910645</c:v>
                </c:pt>
                <c:pt idx="3">
                  <c:v>0.32882698347671718</c:v>
                </c:pt>
                <c:pt idx="4">
                  <c:v>0.29820958737085285</c:v>
                </c:pt>
                <c:pt idx="5">
                  <c:v>0.40068000523080949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8B-4231-A97E-B455056B19F2}"/>
            </c:ext>
          </c:extLst>
        </c:ser>
        <c:ser>
          <c:idx val="3"/>
          <c:order val="3"/>
          <c:tx>
            <c:strRef>
              <c:f>'Age groups'!$W$2</c:f>
              <c:strCache>
                <c:ptCount val="1"/>
                <c:pt idx="0">
                  <c:v>45–54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groups'!$S$3:$S$8</c:f>
              <c:strCache>
                <c:ptCount val="6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  <c:pt idx="5">
                  <c:v>Community health workers</c:v>
                </c:pt>
              </c:strCache>
            </c:strRef>
          </c:cat>
          <c:val>
            <c:numRef>
              <c:f>'Age groups'!$W$3:$W$8</c:f>
              <c:numCache>
                <c:formatCode>0.0%</c:formatCode>
                <c:ptCount val="6"/>
                <c:pt idx="0">
                  <c:v>0.12055995475113122</c:v>
                </c:pt>
                <c:pt idx="1">
                  <c:v>6.5606351150286568E-2</c:v>
                </c:pt>
                <c:pt idx="2">
                  <c:v>0.10435108116439865</c:v>
                </c:pt>
                <c:pt idx="3">
                  <c:v>0.17765942919568484</c:v>
                </c:pt>
                <c:pt idx="4">
                  <c:v>7.732785728036963E-2</c:v>
                </c:pt>
                <c:pt idx="5">
                  <c:v>0.17627827906368509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8B-4231-A97E-B455056B19F2}"/>
            </c:ext>
          </c:extLst>
        </c:ser>
        <c:ser>
          <c:idx val="4"/>
          <c:order val="4"/>
          <c:tx>
            <c:strRef>
              <c:f>'Age groups'!$X$2</c:f>
              <c:strCache>
                <c:ptCount val="1"/>
                <c:pt idx="0">
                  <c:v>55–64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groups'!$S$3:$S$8</c:f>
              <c:strCache>
                <c:ptCount val="6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  <c:pt idx="5">
                  <c:v>Community health workers</c:v>
                </c:pt>
              </c:strCache>
            </c:strRef>
          </c:cat>
          <c:val>
            <c:numRef>
              <c:f>'Age groups'!$X$3:$X$8</c:f>
              <c:numCache>
                <c:formatCode>0.0%</c:formatCode>
                <c:ptCount val="6"/>
                <c:pt idx="0">
                  <c:v>6.097285067873303E-2</c:v>
                </c:pt>
                <c:pt idx="1">
                  <c:v>3.9248862604809559E-2</c:v>
                </c:pt>
                <c:pt idx="2">
                  <c:v>4.0207865415951026E-2</c:v>
                </c:pt>
                <c:pt idx="3">
                  <c:v>8.7668988119623106E-2</c:v>
                </c:pt>
                <c:pt idx="4">
                  <c:v>3.4524802669575819E-2</c:v>
                </c:pt>
                <c:pt idx="5">
                  <c:v>6.2442788021446316E-2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8B-4231-A97E-B455056B19F2}"/>
            </c:ext>
          </c:extLst>
        </c:ser>
        <c:ser>
          <c:idx val="5"/>
          <c:order val="5"/>
          <c:tx>
            <c:strRef>
              <c:f>'Age groups'!$Y$2</c:f>
              <c:strCache>
                <c:ptCount val="1"/>
                <c:pt idx="0">
                  <c:v>≥ 65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groups'!$S$3:$S$8</c:f>
              <c:strCache>
                <c:ptCount val="6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  <c:pt idx="5">
                  <c:v>Community health workers</c:v>
                </c:pt>
              </c:strCache>
            </c:strRef>
          </c:cat>
          <c:val>
            <c:numRef>
              <c:f>'Age groups'!$Y$3:$Y$8</c:f>
              <c:numCache>
                <c:formatCode>0.0%</c:formatCode>
                <c:ptCount val="6"/>
                <c:pt idx="0">
                  <c:v>1.5441176470588236E-2</c:v>
                </c:pt>
                <c:pt idx="1">
                  <c:v>2.6642173055953936E-3</c:v>
                </c:pt>
                <c:pt idx="2">
                  <c:v>6.4077156823886903E-3</c:v>
                </c:pt>
                <c:pt idx="3">
                  <c:v>1.0651372388365424E-2</c:v>
                </c:pt>
                <c:pt idx="4">
                  <c:v>5.6471796188153761E-3</c:v>
                </c:pt>
                <c:pt idx="5">
                  <c:v>1.9615535504119262E-4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8B-4231-A97E-B455056B19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495778336"/>
        <c:axId val="1618162832"/>
      </c:barChart>
      <c:catAx>
        <c:axId val="149577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618162832"/>
        <c:crosses val="autoZero"/>
        <c:auto val="1"/>
        <c:lblAlgn val="ctr"/>
        <c:lblOffset val="100"/>
        <c:noMultiLvlLbl val="0"/>
      </c:catAx>
      <c:valAx>
        <c:axId val="16181628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49577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GB"/>
              <a:t>High/Upper-Middle-Income Economies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groups'!$S$15</c:f>
              <c:strCache>
                <c:ptCount val="1"/>
                <c:pt idx="0">
                  <c:v>Medical doctors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groups'!$T$14:$Y$14</c:f>
              <c:strCache>
                <c:ptCount val="6"/>
                <c:pt idx="0">
                  <c:v>&lt; 25 </c:v>
                </c:pt>
                <c:pt idx="1">
                  <c:v>25–34 </c:v>
                </c:pt>
                <c:pt idx="2">
                  <c:v>35–44 </c:v>
                </c:pt>
                <c:pt idx="3">
                  <c:v>45–54 </c:v>
                </c:pt>
                <c:pt idx="4">
                  <c:v>55–64 </c:v>
                </c:pt>
                <c:pt idx="5">
                  <c:v>≥ 65 </c:v>
                </c:pt>
              </c:strCache>
            </c:strRef>
          </c:cat>
          <c:val>
            <c:numRef>
              <c:f>'Age groups'!$T$15:$Y$15</c:f>
              <c:numCache>
                <c:formatCode>0.0%</c:formatCode>
                <c:ptCount val="6"/>
                <c:pt idx="0">
                  <c:v>4.5855665638027177E-2</c:v>
                </c:pt>
                <c:pt idx="1">
                  <c:v>0.58892317687185314</c:v>
                </c:pt>
                <c:pt idx="2">
                  <c:v>0.20004331113637594</c:v>
                </c:pt>
                <c:pt idx="3">
                  <c:v>0.1089816469059607</c:v>
                </c:pt>
                <c:pt idx="4">
                  <c:v>4.9753667911861837E-2</c:v>
                </c:pt>
                <c:pt idx="5">
                  <c:v>6.4425315359211734E-3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F-40E1-A22C-B280A679CB7C}"/>
            </c:ext>
          </c:extLst>
        </c:ser>
        <c:ser>
          <c:idx val="1"/>
          <c:order val="1"/>
          <c:tx>
            <c:strRef>
              <c:f>'Age groups'!$S$16</c:f>
              <c:strCache>
                <c:ptCount val="1"/>
                <c:pt idx="0">
                  <c:v>Nurses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groups'!$T$14:$Y$14</c:f>
              <c:strCache>
                <c:ptCount val="6"/>
                <c:pt idx="0">
                  <c:v>&lt; 25 </c:v>
                </c:pt>
                <c:pt idx="1">
                  <c:v>25–34 </c:v>
                </c:pt>
                <c:pt idx="2">
                  <c:v>35–44 </c:v>
                </c:pt>
                <c:pt idx="3">
                  <c:v>45–54 </c:v>
                </c:pt>
                <c:pt idx="4">
                  <c:v>55–64 </c:v>
                </c:pt>
                <c:pt idx="5">
                  <c:v>≥ 65 </c:v>
                </c:pt>
              </c:strCache>
            </c:strRef>
          </c:cat>
          <c:val>
            <c:numRef>
              <c:f>'Age groups'!$T$16:$Y$16</c:f>
              <c:numCache>
                <c:formatCode>0.0%</c:formatCode>
                <c:ptCount val="6"/>
                <c:pt idx="0">
                  <c:v>2.2107113125520304E-2</c:v>
                </c:pt>
                <c:pt idx="1">
                  <c:v>0.36832855425030064</c:v>
                </c:pt>
                <c:pt idx="2">
                  <c:v>0.36000369993525111</c:v>
                </c:pt>
                <c:pt idx="3">
                  <c:v>0.13893256868004811</c:v>
                </c:pt>
                <c:pt idx="4">
                  <c:v>0.10692812875774674</c:v>
                </c:pt>
                <c:pt idx="5">
                  <c:v>3.6999352511331053E-3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3F-40E1-A22C-B280A679CB7C}"/>
            </c:ext>
          </c:extLst>
        </c:ser>
        <c:ser>
          <c:idx val="2"/>
          <c:order val="2"/>
          <c:tx>
            <c:strRef>
              <c:f>'Age groups'!$S$17</c:f>
              <c:strCache>
                <c:ptCount val="1"/>
                <c:pt idx="0">
                  <c:v>Midwives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groups'!$T$14:$Y$14</c:f>
              <c:strCache>
                <c:ptCount val="6"/>
                <c:pt idx="0">
                  <c:v>&lt; 25 </c:v>
                </c:pt>
                <c:pt idx="1">
                  <c:v>25–34 </c:v>
                </c:pt>
                <c:pt idx="2">
                  <c:v>35–44 </c:v>
                </c:pt>
                <c:pt idx="3">
                  <c:v>45–54 </c:v>
                </c:pt>
                <c:pt idx="4">
                  <c:v>55–64 </c:v>
                </c:pt>
                <c:pt idx="5">
                  <c:v>≥ 65 </c:v>
                </c:pt>
              </c:strCache>
            </c:strRef>
          </c:cat>
          <c:val>
            <c:numRef>
              <c:f>'Age groups'!$T$17:$Y$17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3F-40E1-A22C-B280A679CB7C}"/>
            </c:ext>
          </c:extLst>
        </c:ser>
        <c:ser>
          <c:idx val="3"/>
          <c:order val="3"/>
          <c:tx>
            <c:strRef>
              <c:f>'Age groups'!$S$18</c:f>
              <c:strCache>
                <c:ptCount val="1"/>
                <c:pt idx="0">
                  <c:v>Dentists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groups'!$T$14:$Y$14</c:f>
              <c:strCache>
                <c:ptCount val="6"/>
                <c:pt idx="0">
                  <c:v>&lt; 25 </c:v>
                </c:pt>
                <c:pt idx="1">
                  <c:v>25–34 </c:v>
                </c:pt>
                <c:pt idx="2">
                  <c:v>35–44 </c:v>
                </c:pt>
                <c:pt idx="3">
                  <c:v>45–54 </c:v>
                </c:pt>
                <c:pt idx="4">
                  <c:v>55–64 </c:v>
                </c:pt>
                <c:pt idx="5">
                  <c:v>≥ 65 </c:v>
                </c:pt>
              </c:strCache>
            </c:strRef>
          </c:cat>
          <c:val>
            <c:numRef>
              <c:f>'Age groups'!$T$18:$Y$18</c:f>
              <c:numCache>
                <c:formatCode>0.0%</c:formatCode>
                <c:ptCount val="6"/>
                <c:pt idx="0">
                  <c:v>4.9419853889127632E-2</c:v>
                </c:pt>
                <c:pt idx="1">
                  <c:v>0.26987537602062744</c:v>
                </c:pt>
                <c:pt idx="2">
                  <c:v>0.30339492909325311</c:v>
                </c:pt>
                <c:pt idx="3">
                  <c:v>0.23248818220885259</c:v>
                </c:pt>
                <c:pt idx="4">
                  <c:v>0.14396218306832831</c:v>
                </c:pt>
                <c:pt idx="5">
                  <c:v>8.5947571981091536E-4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3F-40E1-A22C-B280A679CB7C}"/>
            </c:ext>
          </c:extLst>
        </c:ser>
        <c:ser>
          <c:idx val="4"/>
          <c:order val="4"/>
          <c:tx>
            <c:strRef>
              <c:f>'Age groups'!$S$19</c:f>
              <c:strCache>
                <c:ptCount val="1"/>
                <c:pt idx="0">
                  <c:v>Pharmacists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groups'!$T$14:$Y$14</c:f>
              <c:strCache>
                <c:ptCount val="6"/>
                <c:pt idx="0">
                  <c:v>&lt; 25 </c:v>
                </c:pt>
                <c:pt idx="1">
                  <c:v>25–34 </c:v>
                </c:pt>
                <c:pt idx="2">
                  <c:v>35–44 </c:v>
                </c:pt>
                <c:pt idx="3">
                  <c:v>45–54 </c:v>
                </c:pt>
                <c:pt idx="4">
                  <c:v>55–64 </c:v>
                </c:pt>
                <c:pt idx="5">
                  <c:v>≥ 65 </c:v>
                </c:pt>
              </c:strCache>
            </c:strRef>
          </c:cat>
          <c:val>
            <c:numRef>
              <c:f>'Age groups'!$T$19:$Y$19</c:f>
              <c:numCache>
                <c:formatCode>0.0%</c:formatCode>
                <c:ptCount val="6"/>
                <c:pt idx="0">
                  <c:v>0.18644507920020773</c:v>
                </c:pt>
                <c:pt idx="1">
                  <c:v>0.48039470267462997</c:v>
                </c:pt>
                <c:pt idx="2">
                  <c:v>0.23734095040249287</c:v>
                </c:pt>
                <c:pt idx="3">
                  <c:v>5.8166709945468707E-2</c:v>
                </c:pt>
                <c:pt idx="4">
                  <c:v>3.7392884964944167E-2</c:v>
                </c:pt>
                <c:pt idx="5">
                  <c:v>2.5967281225655674E-4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3F-40E1-A22C-B280A679CB7C}"/>
            </c:ext>
          </c:extLst>
        </c:ser>
        <c:ser>
          <c:idx val="5"/>
          <c:order val="5"/>
          <c:tx>
            <c:strRef>
              <c:f>'Age groups'!$S$20</c:f>
              <c:strCache>
                <c:ptCount val="1"/>
                <c:pt idx="0">
                  <c:v>Community health workers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groups'!$T$14:$Y$14</c:f>
              <c:strCache>
                <c:ptCount val="6"/>
                <c:pt idx="0">
                  <c:v>&lt; 25 </c:v>
                </c:pt>
                <c:pt idx="1">
                  <c:v>25–34 </c:v>
                </c:pt>
                <c:pt idx="2">
                  <c:v>35–44 </c:v>
                </c:pt>
                <c:pt idx="3">
                  <c:v>45–54 </c:v>
                </c:pt>
                <c:pt idx="4">
                  <c:v>55–64 </c:v>
                </c:pt>
                <c:pt idx="5">
                  <c:v>≥ 65 </c:v>
                </c:pt>
              </c:strCache>
            </c:strRef>
          </c:cat>
          <c:val>
            <c:numRef>
              <c:f>'Age groups'!$T$20:$Y$20</c:f>
              <c:numCache>
                <c:formatCode>0.0%</c:formatCode>
                <c:ptCount val="6"/>
                <c:pt idx="0">
                  <c:v>4.7921408889421349E-4</c:v>
                </c:pt>
                <c:pt idx="1">
                  <c:v>0.2024679525578052</c:v>
                </c:pt>
                <c:pt idx="2">
                  <c:v>0.40110219240445671</c:v>
                </c:pt>
                <c:pt idx="3">
                  <c:v>0.2893255061698814</c:v>
                </c:pt>
                <c:pt idx="4">
                  <c:v>0.10650533125673894</c:v>
                </c:pt>
                <c:pt idx="5">
                  <c:v>1.1980352222355337E-4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3F-40E1-A22C-B280A679CB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495784576"/>
        <c:axId val="1629000032"/>
      </c:barChart>
      <c:catAx>
        <c:axId val="149578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629000032"/>
        <c:crosses val="autoZero"/>
        <c:auto val="1"/>
        <c:lblAlgn val="ctr"/>
        <c:lblOffset val="100"/>
        <c:noMultiLvlLbl val="0"/>
      </c:catAx>
      <c:valAx>
        <c:axId val="16290000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49578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GB"/>
              <a:t>Lower-Middle-Income Economies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groups'!$T$14</c:f>
              <c:strCache>
                <c:ptCount val="1"/>
                <c:pt idx="0">
                  <c:v>&lt; 25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groups'!$S$27:$S$32</c:f>
              <c:strCache>
                <c:ptCount val="6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  <c:pt idx="5">
                  <c:v>Community health workers</c:v>
                </c:pt>
              </c:strCache>
            </c:strRef>
          </c:cat>
          <c:val>
            <c:numRef>
              <c:f>'Age groups'!$T$27:$T$32</c:f>
              <c:numCache>
                <c:formatCode>0.0%</c:formatCode>
                <c:ptCount val="6"/>
                <c:pt idx="0">
                  <c:v>6.4147696158961117E-3</c:v>
                </c:pt>
                <c:pt idx="1">
                  <c:v>3.3770269080296379E-2</c:v>
                </c:pt>
                <c:pt idx="2">
                  <c:v>2.643892769057004E-2</c:v>
                </c:pt>
                <c:pt idx="3">
                  <c:v>3.6471168063085264E-2</c:v>
                </c:pt>
                <c:pt idx="4">
                  <c:v>4.8932384341637013E-2</c:v>
                </c:pt>
                <c:pt idx="5">
                  <c:v>3.2399907428835917E-2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B-45D0-AF76-DE3A709D699E}"/>
            </c:ext>
          </c:extLst>
        </c:ser>
        <c:ser>
          <c:idx val="1"/>
          <c:order val="1"/>
          <c:tx>
            <c:strRef>
              <c:f>'Age groups'!$U$14</c:f>
              <c:strCache>
                <c:ptCount val="1"/>
                <c:pt idx="0">
                  <c:v>25–34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groups'!$S$27:$S$32</c:f>
              <c:strCache>
                <c:ptCount val="6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  <c:pt idx="5">
                  <c:v>Community health workers</c:v>
                </c:pt>
              </c:strCache>
            </c:strRef>
          </c:cat>
          <c:val>
            <c:numRef>
              <c:f>'Age groups'!$U$27:$U$32</c:f>
              <c:numCache>
                <c:formatCode>0.0%</c:formatCode>
                <c:ptCount val="6"/>
                <c:pt idx="0">
                  <c:v>0.4552921849331143</c:v>
                </c:pt>
                <c:pt idx="1">
                  <c:v>0.55503000264174207</c:v>
                </c:pt>
                <c:pt idx="2">
                  <c:v>0.44628080123550701</c:v>
                </c:pt>
                <c:pt idx="3">
                  <c:v>0.38319369147363236</c:v>
                </c:pt>
                <c:pt idx="4">
                  <c:v>0.47305541433655313</c:v>
                </c:pt>
                <c:pt idx="5">
                  <c:v>0.58250404998842864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EB-45D0-AF76-DE3A709D699E}"/>
            </c:ext>
          </c:extLst>
        </c:ser>
        <c:ser>
          <c:idx val="2"/>
          <c:order val="2"/>
          <c:tx>
            <c:strRef>
              <c:f>'Age groups'!$V$14</c:f>
              <c:strCache>
                <c:ptCount val="1"/>
                <c:pt idx="0">
                  <c:v>35–44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groups'!$S$27:$S$32</c:f>
              <c:strCache>
                <c:ptCount val="6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  <c:pt idx="5">
                  <c:v>Community health workers</c:v>
                </c:pt>
              </c:strCache>
            </c:strRef>
          </c:cat>
          <c:val>
            <c:numRef>
              <c:f>'Age groups'!$V$27:$V$32</c:f>
              <c:numCache>
                <c:formatCode>0.0%</c:formatCode>
                <c:ptCount val="6"/>
                <c:pt idx="0">
                  <c:v>0.30282406320894939</c:v>
                </c:pt>
                <c:pt idx="1">
                  <c:v>0.32383983495402113</c:v>
                </c:pt>
                <c:pt idx="2">
                  <c:v>0.37837401747228178</c:v>
                </c:pt>
                <c:pt idx="3">
                  <c:v>0.32897979300147856</c:v>
                </c:pt>
                <c:pt idx="4">
                  <c:v>0.33934926283680733</c:v>
                </c:pt>
                <c:pt idx="5">
                  <c:v>0.32677620921083084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EB-45D0-AF76-DE3A709D699E}"/>
            </c:ext>
          </c:extLst>
        </c:ser>
        <c:ser>
          <c:idx val="3"/>
          <c:order val="3"/>
          <c:tx>
            <c:strRef>
              <c:f>'Age groups'!$W$14</c:f>
              <c:strCache>
                <c:ptCount val="1"/>
                <c:pt idx="0">
                  <c:v>45–54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groups'!$S$27:$S$32</c:f>
              <c:strCache>
                <c:ptCount val="6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  <c:pt idx="5">
                  <c:v>Community health workers</c:v>
                </c:pt>
              </c:strCache>
            </c:strRef>
          </c:cat>
          <c:val>
            <c:numRef>
              <c:f>'Age groups'!$W$27:$W$32</c:f>
              <c:numCache>
                <c:formatCode>0.0%</c:formatCode>
                <c:ptCount val="6"/>
                <c:pt idx="0">
                  <c:v>0.13228506610341861</c:v>
                </c:pt>
                <c:pt idx="1">
                  <c:v>5.44073063036997E-2</c:v>
                </c:pt>
                <c:pt idx="2">
                  <c:v>0.10176797363022382</c:v>
                </c:pt>
                <c:pt idx="3">
                  <c:v>0.16781665845243962</c:v>
                </c:pt>
                <c:pt idx="4">
                  <c:v>9.36705643111337E-2</c:v>
                </c:pt>
                <c:pt idx="5">
                  <c:v>4.2582735477898634E-2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EB-45D0-AF76-DE3A709D699E}"/>
            </c:ext>
          </c:extLst>
        </c:ser>
        <c:ser>
          <c:idx val="4"/>
          <c:order val="4"/>
          <c:tx>
            <c:strRef>
              <c:f>'Age groups'!$X$14</c:f>
              <c:strCache>
                <c:ptCount val="1"/>
                <c:pt idx="0">
                  <c:v>55–64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groups'!$S$27:$S$32</c:f>
              <c:strCache>
                <c:ptCount val="6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  <c:pt idx="5">
                  <c:v>Community health workers</c:v>
                </c:pt>
              </c:strCache>
            </c:strRef>
          </c:cat>
          <c:val>
            <c:numRef>
              <c:f>'Age groups'!$X$27:$X$32</c:f>
              <c:numCache>
                <c:formatCode>0.0%</c:formatCode>
                <c:ptCount val="6"/>
                <c:pt idx="0">
                  <c:v>7.7915982163811306E-2</c:v>
                </c:pt>
                <c:pt idx="1">
                  <c:v>3.1273193866126578E-2</c:v>
                </c:pt>
                <c:pt idx="2">
                  <c:v>4.0638037941129017E-2</c:v>
                </c:pt>
                <c:pt idx="3">
                  <c:v>6.6042385411532775E-2</c:v>
                </c:pt>
                <c:pt idx="4">
                  <c:v>3.9527198779867816E-2</c:v>
                </c:pt>
                <c:pt idx="5">
                  <c:v>1.5274242073594076E-2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EB-45D0-AF76-DE3A709D699E}"/>
            </c:ext>
          </c:extLst>
        </c:ser>
        <c:ser>
          <c:idx val="5"/>
          <c:order val="5"/>
          <c:tx>
            <c:strRef>
              <c:f>'Age groups'!$Y$14</c:f>
              <c:strCache>
                <c:ptCount val="1"/>
                <c:pt idx="0">
                  <c:v>≥ 65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groups'!$S$27:$S$32</c:f>
              <c:strCache>
                <c:ptCount val="6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  <c:pt idx="5">
                  <c:v>Community health workers</c:v>
                </c:pt>
              </c:strCache>
            </c:strRef>
          </c:cat>
          <c:val>
            <c:numRef>
              <c:f>'Age groups'!$Y$27:$Y$32</c:f>
              <c:numCache>
                <c:formatCode>0.0%</c:formatCode>
                <c:ptCount val="6"/>
                <c:pt idx="0">
                  <c:v>2.5267933974810294E-2</c:v>
                </c:pt>
                <c:pt idx="1">
                  <c:v>1.6793931541141988E-3</c:v>
                </c:pt>
                <c:pt idx="2">
                  <c:v>6.5002420302883619E-3</c:v>
                </c:pt>
                <c:pt idx="3">
                  <c:v>1.7496303597831445E-2</c:v>
                </c:pt>
                <c:pt idx="4">
                  <c:v>5.4651753940010168E-3</c:v>
                </c:pt>
                <c:pt idx="5">
                  <c:v>4.628558204119417E-4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EB-45D0-AF76-DE3A709D69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495784576"/>
        <c:axId val="1629000032"/>
      </c:barChart>
      <c:catAx>
        <c:axId val="149578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629000032"/>
        <c:crosses val="autoZero"/>
        <c:auto val="1"/>
        <c:lblAlgn val="ctr"/>
        <c:lblOffset val="100"/>
        <c:noMultiLvlLbl val="0"/>
      </c:catAx>
      <c:valAx>
        <c:axId val="16290000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49578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GB"/>
              <a:t>Low-Income Economies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groups'!$S$38</c:f>
              <c:strCache>
                <c:ptCount val="1"/>
                <c:pt idx="0">
                  <c:v>Medical doctors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groups'!$T$14:$Y$14</c:f>
              <c:strCache>
                <c:ptCount val="6"/>
                <c:pt idx="0">
                  <c:v>&lt; 25 </c:v>
                </c:pt>
                <c:pt idx="1">
                  <c:v>25–34 </c:v>
                </c:pt>
                <c:pt idx="2">
                  <c:v>35–44 </c:v>
                </c:pt>
                <c:pt idx="3">
                  <c:v>45–54 </c:v>
                </c:pt>
                <c:pt idx="4">
                  <c:v>55–64 </c:v>
                </c:pt>
                <c:pt idx="5">
                  <c:v>≥ 65 </c:v>
                </c:pt>
              </c:strCache>
            </c:strRef>
          </c:cat>
          <c:val>
            <c:numRef>
              <c:f>'Age groups'!$T$38:$Y$38</c:f>
              <c:numCache>
                <c:formatCode>0.0%</c:formatCode>
                <c:ptCount val="6"/>
                <c:pt idx="0">
                  <c:v>1.6561130053580127E-2</c:v>
                </c:pt>
                <c:pt idx="1">
                  <c:v>0.38772528007793472</c:v>
                </c:pt>
                <c:pt idx="2">
                  <c:v>0.37554797856794936</c:v>
                </c:pt>
                <c:pt idx="3">
                  <c:v>0.13614223088163663</c:v>
                </c:pt>
                <c:pt idx="4">
                  <c:v>5.8694593278129564E-2</c:v>
                </c:pt>
                <c:pt idx="5">
                  <c:v>2.5328787140769606E-2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7-458F-9C23-912B87C1B2EA}"/>
            </c:ext>
          </c:extLst>
        </c:ser>
        <c:ser>
          <c:idx val="1"/>
          <c:order val="1"/>
          <c:tx>
            <c:strRef>
              <c:f>'Age groups'!$S$39</c:f>
              <c:strCache>
                <c:ptCount val="1"/>
                <c:pt idx="0">
                  <c:v>Nurses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groups'!$T$14:$Y$14</c:f>
              <c:strCache>
                <c:ptCount val="6"/>
                <c:pt idx="0">
                  <c:v>&lt; 25 </c:v>
                </c:pt>
                <c:pt idx="1">
                  <c:v>25–34 </c:v>
                </c:pt>
                <c:pt idx="2">
                  <c:v>35–44 </c:v>
                </c:pt>
                <c:pt idx="3">
                  <c:v>45–54 </c:v>
                </c:pt>
                <c:pt idx="4">
                  <c:v>55–64 </c:v>
                </c:pt>
                <c:pt idx="5">
                  <c:v>≥ 65 </c:v>
                </c:pt>
              </c:strCache>
            </c:strRef>
          </c:cat>
          <c:val>
            <c:numRef>
              <c:f>'Age groups'!$T$39:$Y$39</c:f>
              <c:numCache>
                <c:formatCode>0.0%</c:formatCode>
                <c:ptCount val="6"/>
                <c:pt idx="0">
                  <c:v>2.8784648187633263E-2</c:v>
                </c:pt>
                <c:pt idx="1">
                  <c:v>0.44882729211087419</c:v>
                </c:pt>
                <c:pt idx="2">
                  <c:v>0.39125799573560766</c:v>
                </c:pt>
                <c:pt idx="3">
                  <c:v>8.4221748400852878E-2</c:v>
                </c:pt>
                <c:pt idx="4">
                  <c:v>4.1577825159914712E-2</c:v>
                </c:pt>
                <c:pt idx="5">
                  <c:v>5.3304904051172707E-3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37-458F-9C23-912B87C1B2EA}"/>
            </c:ext>
          </c:extLst>
        </c:ser>
        <c:ser>
          <c:idx val="2"/>
          <c:order val="2"/>
          <c:tx>
            <c:strRef>
              <c:f>'Age groups'!$S$40</c:f>
              <c:strCache>
                <c:ptCount val="1"/>
                <c:pt idx="0">
                  <c:v>Midwives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groups'!$T$14:$Y$14</c:f>
              <c:strCache>
                <c:ptCount val="6"/>
                <c:pt idx="0">
                  <c:v>&lt; 25 </c:v>
                </c:pt>
                <c:pt idx="1">
                  <c:v>25–34 </c:v>
                </c:pt>
                <c:pt idx="2">
                  <c:v>35–44 </c:v>
                </c:pt>
                <c:pt idx="3">
                  <c:v>45–54 </c:v>
                </c:pt>
                <c:pt idx="4">
                  <c:v>55–64 </c:v>
                </c:pt>
                <c:pt idx="5">
                  <c:v>≥ 65 </c:v>
                </c:pt>
              </c:strCache>
            </c:strRef>
          </c:cat>
          <c:val>
            <c:numRef>
              <c:f>'Age groups'!$T$40:$Y$40</c:f>
              <c:numCache>
                <c:formatCode>0.0%</c:formatCode>
                <c:ptCount val="6"/>
                <c:pt idx="0">
                  <c:v>2.8557360905957656E-2</c:v>
                </c:pt>
                <c:pt idx="1">
                  <c:v>0.37666174298375182</c:v>
                </c:pt>
                <c:pt idx="2">
                  <c:v>0.39980305268340721</c:v>
                </c:pt>
                <c:pt idx="3">
                  <c:v>0.15952732644017725</c:v>
                </c:pt>
                <c:pt idx="4">
                  <c:v>3.10192023633678E-2</c:v>
                </c:pt>
                <c:pt idx="5">
                  <c:v>4.4313146233382573E-3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37-458F-9C23-912B87C1B2EA}"/>
            </c:ext>
          </c:extLst>
        </c:ser>
        <c:ser>
          <c:idx val="3"/>
          <c:order val="3"/>
          <c:tx>
            <c:strRef>
              <c:f>'Age groups'!$S$41</c:f>
              <c:strCache>
                <c:ptCount val="1"/>
                <c:pt idx="0">
                  <c:v>Dentists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groups'!$T$14:$Y$14</c:f>
              <c:strCache>
                <c:ptCount val="6"/>
                <c:pt idx="0">
                  <c:v>&lt; 25 </c:v>
                </c:pt>
                <c:pt idx="1">
                  <c:v>25–34 </c:v>
                </c:pt>
                <c:pt idx="2">
                  <c:v>35–44 </c:v>
                </c:pt>
                <c:pt idx="3">
                  <c:v>45–54 </c:v>
                </c:pt>
                <c:pt idx="4">
                  <c:v>55–64 </c:v>
                </c:pt>
                <c:pt idx="5">
                  <c:v>≥ 65 </c:v>
                </c:pt>
              </c:strCache>
            </c:strRef>
          </c:cat>
          <c:val>
            <c:numRef>
              <c:f>'Age groups'!$T$41:$Y$41</c:f>
              <c:numCache>
                <c:formatCode>0.0%</c:formatCode>
                <c:ptCount val="6"/>
                <c:pt idx="0">
                  <c:v>2.8784648187633263E-2</c:v>
                </c:pt>
                <c:pt idx="1">
                  <c:v>0.44882729211087419</c:v>
                </c:pt>
                <c:pt idx="2">
                  <c:v>0.39125799573560766</c:v>
                </c:pt>
                <c:pt idx="3">
                  <c:v>8.4221748400852878E-2</c:v>
                </c:pt>
                <c:pt idx="4">
                  <c:v>4.1577825159914712E-2</c:v>
                </c:pt>
                <c:pt idx="5">
                  <c:v>5.3304904051172707E-3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37-458F-9C23-912B87C1B2EA}"/>
            </c:ext>
          </c:extLst>
        </c:ser>
        <c:ser>
          <c:idx val="4"/>
          <c:order val="4"/>
          <c:tx>
            <c:strRef>
              <c:f>'Age groups'!$S$42</c:f>
              <c:strCache>
                <c:ptCount val="1"/>
                <c:pt idx="0">
                  <c:v>Pharmacists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groups'!$T$14:$Y$14</c:f>
              <c:strCache>
                <c:ptCount val="6"/>
                <c:pt idx="0">
                  <c:v>&lt; 25 </c:v>
                </c:pt>
                <c:pt idx="1">
                  <c:v>25–34 </c:v>
                </c:pt>
                <c:pt idx="2">
                  <c:v>35–44 </c:v>
                </c:pt>
                <c:pt idx="3">
                  <c:v>45–54 </c:v>
                </c:pt>
                <c:pt idx="4">
                  <c:v>55–64 </c:v>
                </c:pt>
                <c:pt idx="5">
                  <c:v>≥ 65 </c:v>
                </c:pt>
              </c:strCache>
            </c:strRef>
          </c:cat>
          <c:val>
            <c:numRef>
              <c:f>'Age groups'!$T$42:$Y$42</c:f>
              <c:numCache>
                <c:formatCode>0.0%</c:formatCode>
                <c:ptCount val="6"/>
                <c:pt idx="0">
                  <c:v>4.1407867494824016E-2</c:v>
                </c:pt>
                <c:pt idx="1">
                  <c:v>0.58747412008281574</c:v>
                </c:pt>
                <c:pt idx="2">
                  <c:v>0.27510351966873708</c:v>
                </c:pt>
                <c:pt idx="3">
                  <c:v>6.3146997929606624E-2</c:v>
                </c:pt>
                <c:pt idx="4">
                  <c:v>2.148033126293996E-2</c:v>
                </c:pt>
                <c:pt idx="5">
                  <c:v>1.1387163561076604E-2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37-458F-9C23-912B87C1B2EA}"/>
            </c:ext>
          </c:extLst>
        </c:ser>
        <c:ser>
          <c:idx val="5"/>
          <c:order val="5"/>
          <c:tx>
            <c:strRef>
              <c:f>'Age groups'!$S$43</c:f>
              <c:strCache>
                <c:ptCount val="1"/>
                <c:pt idx="0">
                  <c:v>Community health workers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groups'!$T$14:$Y$14</c:f>
              <c:strCache>
                <c:ptCount val="6"/>
                <c:pt idx="0">
                  <c:v>&lt; 25 </c:v>
                </c:pt>
                <c:pt idx="1">
                  <c:v>25–34 </c:v>
                </c:pt>
                <c:pt idx="2">
                  <c:v>35–44 </c:v>
                </c:pt>
                <c:pt idx="3">
                  <c:v>45–54 </c:v>
                </c:pt>
                <c:pt idx="4">
                  <c:v>55–64 </c:v>
                </c:pt>
                <c:pt idx="5">
                  <c:v>≥ 65 </c:v>
                </c:pt>
              </c:strCache>
            </c:strRef>
          </c:cat>
          <c:val>
            <c:numRef>
              <c:f>'Age groups'!$T$43:$Y$43</c:f>
              <c:numCache>
                <c:formatCode>0.0%</c:formatCode>
                <c:ptCount val="6"/>
                <c:pt idx="0">
                  <c:v>4.9504950495049507E-2</c:v>
                </c:pt>
                <c:pt idx="1">
                  <c:v>0.39261233815689262</c:v>
                </c:pt>
                <c:pt idx="2">
                  <c:v>0.52094440213252091</c:v>
                </c:pt>
                <c:pt idx="3">
                  <c:v>3.6938309215536938E-2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37-458F-9C23-912B87C1B2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495784576"/>
        <c:axId val="1629000032"/>
      </c:barChart>
      <c:catAx>
        <c:axId val="149578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629000032"/>
        <c:crosses val="autoZero"/>
        <c:auto val="1"/>
        <c:lblAlgn val="ctr"/>
        <c:lblOffset val="100"/>
        <c:noMultiLvlLbl val="0"/>
      </c:catAx>
      <c:valAx>
        <c:axId val="16290000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49578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'Midwifrey final'!$D$1</c:f>
              <c:strCache>
                <c:ptCount val="1"/>
                <c:pt idx="0">
                  <c:v> Density per 10,000 (2022)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3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589-4E2E-9286-54187C8E2282}"/>
              </c:ext>
            </c:extLst>
          </c:dPt>
          <c:cat>
            <c:strRef>
              <c:f>'Midwifrey final'!$A$2:$A$49</c:f>
              <c:strCache>
                <c:ptCount val="48"/>
                <c:pt idx="0">
                  <c:v>Botswana</c:v>
                </c:pt>
                <c:pt idx="1">
                  <c:v>South Africa</c:v>
                </c:pt>
                <c:pt idx="2">
                  <c:v>Tanzania</c:v>
                </c:pt>
                <c:pt idx="3">
                  <c:v>Angola</c:v>
                </c:pt>
                <c:pt idx="4">
                  <c:v>Kenya</c:v>
                </c:pt>
                <c:pt idx="5">
                  <c:v>Namibia</c:v>
                </c:pt>
                <c:pt idx="6">
                  <c:v>Eswatini</c:v>
                </c:pt>
                <c:pt idx="7">
                  <c:v>Burundi</c:v>
                </c:pt>
                <c:pt idx="8">
                  <c:v>Equatorial Guinea</c:v>
                </c:pt>
                <c:pt idx="9">
                  <c:v>Eritrea</c:v>
                </c:pt>
                <c:pt idx="10">
                  <c:v>Malawi</c:v>
                </c:pt>
                <c:pt idx="11">
                  <c:v>DRC</c:v>
                </c:pt>
                <c:pt idx="12">
                  <c:v>Niger</c:v>
                </c:pt>
                <c:pt idx="13">
                  <c:v>Cape-Verde</c:v>
                </c:pt>
                <c:pt idx="14">
                  <c:v>Chad</c:v>
                </c:pt>
                <c:pt idx="15">
                  <c:v>Cameroon</c:v>
                </c:pt>
                <c:pt idx="16">
                  <c:v>Guinea</c:v>
                </c:pt>
                <c:pt idx="17">
                  <c:v>Mali</c:v>
                </c:pt>
                <c:pt idx="18">
                  <c:v>Guinea-Bissau</c:v>
                </c:pt>
                <c:pt idx="19">
                  <c:v>Central African Republic</c:v>
                </c:pt>
                <c:pt idx="20">
                  <c:v>Sao Tome and Principe</c:v>
                </c:pt>
                <c:pt idx="21">
                  <c:v>Madagascar</c:v>
                </c:pt>
                <c:pt idx="22">
                  <c:v>Gambia</c:v>
                </c:pt>
                <c:pt idx="23">
                  <c:v>Rwanda</c:v>
                </c:pt>
                <c:pt idx="24">
                  <c:v>Benin</c:v>
                </c:pt>
                <c:pt idx="25">
                  <c:v>Congo</c:v>
                </c:pt>
                <c:pt idx="26">
                  <c:v>Liberia</c:v>
                </c:pt>
                <c:pt idx="27">
                  <c:v>Senegal</c:v>
                </c:pt>
                <c:pt idx="28">
                  <c:v>Algeria</c:v>
                </c:pt>
                <c:pt idx="29">
                  <c:v>Togo</c:v>
                </c:pt>
                <c:pt idx="30">
                  <c:v>Cote d'Ivoire</c:v>
                </c:pt>
                <c:pt idx="31">
                  <c:v>Sierra Leone</c:v>
                </c:pt>
                <c:pt idx="32">
                  <c:v>AFRO</c:v>
                </c:pt>
                <c:pt idx="33">
                  <c:v>South Sudan</c:v>
                </c:pt>
                <c:pt idx="34">
                  <c:v>Ethiopia</c:v>
                </c:pt>
                <c:pt idx="35">
                  <c:v>Mauritania</c:v>
                </c:pt>
                <c:pt idx="36">
                  <c:v>Gabon</c:v>
                </c:pt>
                <c:pt idx="37">
                  <c:v>Mozambique</c:v>
                </c:pt>
                <c:pt idx="38">
                  <c:v>Burkina Faso</c:v>
                </c:pt>
                <c:pt idx="39">
                  <c:v>Mauritius</c:v>
                </c:pt>
                <c:pt idx="40">
                  <c:v>Zambia</c:v>
                </c:pt>
                <c:pt idx="41">
                  <c:v>Zimbabwe</c:v>
                </c:pt>
                <c:pt idx="42">
                  <c:v>Nigeria</c:v>
                </c:pt>
                <c:pt idx="43">
                  <c:v>Uganda</c:v>
                </c:pt>
                <c:pt idx="44">
                  <c:v>Comoros</c:v>
                </c:pt>
                <c:pt idx="45">
                  <c:v>Ghana</c:v>
                </c:pt>
                <c:pt idx="46">
                  <c:v>Lesotho</c:v>
                </c:pt>
                <c:pt idx="47">
                  <c:v>Seychelles</c:v>
                </c:pt>
              </c:strCache>
            </c:strRef>
          </c:cat>
          <c:val>
            <c:numRef>
              <c:f>'Midwifrey final'!$D$2:$D$49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9.1672595404304561E-3</c:v>
                </c:pt>
                <c:pt idx="4">
                  <c:v>2.5357462952145089E-2</c:v>
                </c:pt>
                <c:pt idx="5">
                  <c:v>6.6224843081208226E-2</c:v>
                </c:pt>
                <c:pt idx="6">
                  <c:v>0.11650448271801633</c:v>
                </c:pt>
                <c:pt idx="7">
                  <c:v>0.13865896050318505</c:v>
                </c:pt>
                <c:pt idx="8">
                  <c:v>0.15782281068195717</c:v>
                </c:pt>
                <c:pt idx="9">
                  <c:v>0.18186598024473993</c:v>
                </c:pt>
                <c:pt idx="10">
                  <c:v>0.30188210998834514</c:v>
                </c:pt>
                <c:pt idx="11">
                  <c:v>0.30696678532959842</c:v>
                </c:pt>
                <c:pt idx="12">
                  <c:v>0.31486460872782684</c:v>
                </c:pt>
                <c:pt idx="13">
                  <c:v>0.45519721419304904</c:v>
                </c:pt>
                <c:pt idx="14">
                  <c:v>0.51019876995240343</c:v>
                </c:pt>
                <c:pt idx="15">
                  <c:v>0.59968754989000106</c:v>
                </c:pt>
                <c:pt idx="16">
                  <c:v>0.64433444480057489</c:v>
                </c:pt>
                <c:pt idx="17">
                  <c:v>0.84980074523719307</c:v>
                </c:pt>
                <c:pt idx="18">
                  <c:v>0.93561563389977698</c:v>
                </c:pt>
                <c:pt idx="19">
                  <c:v>0.96251333201951084</c:v>
                </c:pt>
                <c:pt idx="20">
                  <c:v>1.1119986707266545</c:v>
                </c:pt>
                <c:pt idx="21">
                  <c:v>1.3487905495777783</c:v>
                </c:pt>
                <c:pt idx="22">
                  <c:v>1.4005954193508334</c:v>
                </c:pt>
                <c:pt idx="23">
                  <c:v>1.4444680954924072</c:v>
                </c:pt>
                <c:pt idx="24">
                  <c:v>1.5389956791292114</c:v>
                </c:pt>
                <c:pt idx="25">
                  <c:v>1.7459628837057743</c:v>
                </c:pt>
                <c:pt idx="26">
                  <c:v>1.864950965132705</c:v>
                </c:pt>
                <c:pt idx="27">
                  <c:v>1.8945373411734798</c:v>
                </c:pt>
                <c:pt idx="28">
                  <c:v>2.019899461564286</c:v>
                </c:pt>
                <c:pt idx="29">
                  <c:v>2.1065244792779407</c:v>
                </c:pt>
                <c:pt idx="30">
                  <c:v>2.6366679548165664</c:v>
                </c:pt>
                <c:pt idx="31">
                  <c:v>2.6389430841215091</c:v>
                </c:pt>
                <c:pt idx="32">
                  <c:v>2.7317349136321054</c:v>
                </c:pt>
                <c:pt idx="33">
                  <c:v>2.7673002425007196</c:v>
                </c:pt>
                <c:pt idx="34">
                  <c:v>2.7995640409068323</c:v>
                </c:pt>
                <c:pt idx="35">
                  <c:v>2.8293088526329151</c:v>
                </c:pt>
                <c:pt idx="36">
                  <c:v>3.8509957649511239</c:v>
                </c:pt>
                <c:pt idx="37">
                  <c:v>4.0595072688125535</c:v>
                </c:pt>
                <c:pt idx="38">
                  <c:v>4.0990110066428311</c:v>
                </c:pt>
                <c:pt idx="39">
                  <c:v>4.3633207102285674</c:v>
                </c:pt>
                <c:pt idx="40">
                  <c:v>4.5969374565227969</c:v>
                </c:pt>
                <c:pt idx="41">
                  <c:v>5.8827721171184519</c:v>
                </c:pt>
                <c:pt idx="42">
                  <c:v>6.7166736650034533</c:v>
                </c:pt>
                <c:pt idx="43">
                  <c:v>6.9750877177016513</c:v>
                </c:pt>
                <c:pt idx="44">
                  <c:v>7.0030898445039211</c:v>
                </c:pt>
                <c:pt idx="45">
                  <c:v>7.1340937945138698</c:v>
                </c:pt>
                <c:pt idx="46">
                  <c:v>12.052082865767586</c:v>
                </c:pt>
                <c:pt idx="47">
                  <c:v>16.737593274176241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B8-4528-AFBB-A66292466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05404383"/>
        <c:axId val="797657151"/>
      </c:barChart>
      <c:scatterChart>
        <c:scatterStyle val="lineMarker"/>
        <c:varyColors val="0"/>
        <c:ser>
          <c:idx val="0"/>
          <c:order val="0"/>
          <c:tx>
            <c:strRef>
              <c:f>'Midwifrey final'!$B$1</c:f>
              <c:strCache>
                <c:ptCount val="1"/>
                <c:pt idx="0">
                  <c:v> Density per 10,000 (2013)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'Midwifrey final'!$A$2:$A$49</c:f>
              <c:strCache>
                <c:ptCount val="48"/>
                <c:pt idx="0">
                  <c:v>Botswana</c:v>
                </c:pt>
                <c:pt idx="1">
                  <c:v>South Africa</c:v>
                </c:pt>
                <c:pt idx="2">
                  <c:v>Tanzania</c:v>
                </c:pt>
                <c:pt idx="3">
                  <c:v>Angola</c:v>
                </c:pt>
                <c:pt idx="4">
                  <c:v>Kenya</c:v>
                </c:pt>
                <c:pt idx="5">
                  <c:v>Namibia</c:v>
                </c:pt>
                <c:pt idx="6">
                  <c:v>Eswatini</c:v>
                </c:pt>
                <c:pt idx="7">
                  <c:v>Burundi</c:v>
                </c:pt>
                <c:pt idx="8">
                  <c:v>Equatorial Guinea</c:v>
                </c:pt>
                <c:pt idx="9">
                  <c:v>Eritrea</c:v>
                </c:pt>
                <c:pt idx="10">
                  <c:v>Malawi</c:v>
                </c:pt>
                <c:pt idx="11">
                  <c:v>DRC</c:v>
                </c:pt>
                <c:pt idx="12">
                  <c:v>Niger</c:v>
                </c:pt>
                <c:pt idx="13">
                  <c:v>Cape-Verde</c:v>
                </c:pt>
                <c:pt idx="14">
                  <c:v>Chad</c:v>
                </c:pt>
                <c:pt idx="15">
                  <c:v>Cameroon</c:v>
                </c:pt>
                <c:pt idx="16">
                  <c:v>Guinea</c:v>
                </c:pt>
                <c:pt idx="17">
                  <c:v>Mali</c:v>
                </c:pt>
                <c:pt idx="18">
                  <c:v>Guinea-Bissau</c:v>
                </c:pt>
                <c:pt idx="19">
                  <c:v>Central African Republic</c:v>
                </c:pt>
                <c:pt idx="20">
                  <c:v>Sao Tome and Principe</c:v>
                </c:pt>
                <c:pt idx="21">
                  <c:v>Madagascar</c:v>
                </c:pt>
                <c:pt idx="22">
                  <c:v>Gambia</c:v>
                </c:pt>
                <c:pt idx="23">
                  <c:v>Rwanda</c:v>
                </c:pt>
                <c:pt idx="24">
                  <c:v>Benin</c:v>
                </c:pt>
                <c:pt idx="25">
                  <c:v>Congo</c:v>
                </c:pt>
                <c:pt idx="26">
                  <c:v>Liberia</c:v>
                </c:pt>
                <c:pt idx="27">
                  <c:v>Senegal</c:v>
                </c:pt>
                <c:pt idx="28">
                  <c:v>Algeria</c:v>
                </c:pt>
                <c:pt idx="29">
                  <c:v>Togo</c:v>
                </c:pt>
                <c:pt idx="30">
                  <c:v>Cote d'Ivoire</c:v>
                </c:pt>
                <c:pt idx="31">
                  <c:v>Sierra Leone</c:v>
                </c:pt>
                <c:pt idx="32">
                  <c:v>AFRO</c:v>
                </c:pt>
                <c:pt idx="33">
                  <c:v>South Sudan</c:v>
                </c:pt>
                <c:pt idx="34">
                  <c:v>Ethiopia</c:v>
                </c:pt>
                <c:pt idx="35">
                  <c:v>Mauritania</c:v>
                </c:pt>
                <c:pt idx="36">
                  <c:v>Gabon</c:v>
                </c:pt>
                <c:pt idx="37">
                  <c:v>Mozambique</c:v>
                </c:pt>
                <c:pt idx="38">
                  <c:v>Burkina Faso</c:v>
                </c:pt>
                <c:pt idx="39">
                  <c:v>Mauritius</c:v>
                </c:pt>
                <c:pt idx="40">
                  <c:v>Zambia</c:v>
                </c:pt>
                <c:pt idx="41">
                  <c:v>Zimbabwe</c:v>
                </c:pt>
                <c:pt idx="42">
                  <c:v>Nigeria</c:v>
                </c:pt>
                <c:pt idx="43">
                  <c:v>Uganda</c:v>
                </c:pt>
                <c:pt idx="44">
                  <c:v>Comoros</c:v>
                </c:pt>
                <c:pt idx="45">
                  <c:v>Ghana</c:v>
                </c:pt>
                <c:pt idx="46">
                  <c:v>Lesotho</c:v>
                </c:pt>
                <c:pt idx="47">
                  <c:v>Seychelles</c:v>
                </c:pt>
              </c:strCache>
            </c:strRef>
          </c:xVal>
          <c:yVal>
            <c:numRef>
              <c:f>'Midwifrey final'!$B$2:$B$49</c:f>
              <c:numCache>
                <c:formatCode>General</c:formatCode>
                <c:ptCount val="48"/>
                <c:pt idx="0">
                  <c:v>6.7695615975984937</c:v>
                </c:pt>
                <c:pt idx="1">
                  <c:v>0</c:v>
                </c:pt>
                <c:pt idx="2">
                  <c:v>0</c:v>
                </c:pt>
                <c:pt idx="3">
                  <c:v>1.147359073900709E-2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3.4484194046500945E-2</c:v>
                </c:pt>
                <c:pt idx="8">
                  <c:v>0</c:v>
                </c:pt>
                <c:pt idx="9">
                  <c:v>0</c:v>
                </c:pt>
                <c:pt idx="10">
                  <c:v>2.9953617758950828E-2</c:v>
                </c:pt>
                <c:pt idx="11">
                  <c:v>0.21167976524264812</c:v>
                </c:pt>
                <c:pt idx="12">
                  <c:v>0.49160468400085156</c:v>
                </c:pt>
                <c:pt idx="13">
                  <c:v>0</c:v>
                </c:pt>
                <c:pt idx="14">
                  <c:v>0.3412332358296562</c:v>
                </c:pt>
                <c:pt idx="15">
                  <c:v>5.870701271445971E-2</c:v>
                </c:pt>
                <c:pt idx="16">
                  <c:v>0.45226644282492839</c:v>
                </c:pt>
                <c:pt idx="17">
                  <c:v>1.1532558526925896</c:v>
                </c:pt>
                <c:pt idx="18">
                  <c:v>0.9011914280791814</c:v>
                </c:pt>
                <c:pt idx="19">
                  <c:v>1.0702918325592956</c:v>
                </c:pt>
                <c:pt idx="20">
                  <c:v>1.599942195636803</c:v>
                </c:pt>
                <c:pt idx="21">
                  <c:v>1.441406395482022</c:v>
                </c:pt>
                <c:pt idx="22">
                  <c:v>1.2188983841125303</c:v>
                </c:pt>
                <c:pt idx="23">
                  <c:v>0.56029224194770211</c:v>
                </c:pt>
                <c:pt idx="24">
                  <c:v>0.91475861164476124</c:v>
                </c:pt>
                <c:pt idx="25">
                  <c:v>2.6553072539493798</c:v>
                </c:pt>
                <c:pt idx="26">
                  <c:v>1.8205175261515878</c:v>
                </c:pt>
                <c:pt idx="27">
                  <c:v>2.9024169682386525</c:v>
                </c:pt>
                <c:pt idx="28">
                  <c:v>2.931267462129866</c:v>
                </c:pt>
                <c:pt idx="29">
                  <c:v>1.1187368152644672</c:v>
                </c:pt>
                <c:pt idx="30">
                  <c:v>1.7138965478069101</c:v>
                </c:pt>
                <c:pt idx="31">
                  <c:v>3.140049435318752</c:v>
                </c:pt>
                <c:pt idx="32">
                  <c:v>1.7072773940815269</c:v>
                </c:pt>
                <c:pt idx="33">
                  <c:v>0</c:v>
                </c:pt>
                <c:pt idx="34">
                  <c:v>0.71329713375271953</c:v>
                </c:pt>
                <c:pt idx="35">
                  <c:v>0.98317935088255093</c:v>
                </c:pt>
                <c:pt idx="36">
                  <c:v>2.2973079178531046</c:v>
                </c:pt>
                <c:pt idx="37">
                  <c:v>1.6889931228872987</c:v>
                </c:pt>
                <c:pt idx="38">
                  <c:v>0.90211115840910339</c:v>
                </c:pt>
                <c:pt idx="39">
                  <c:v>0</c:v>
                </c:pt>
                <c:pt idx="40">
                  <c:v>1.8201538354901259</c:v>
                </c:pt>
                <c:pt idx="41">
                  <c:v>0</c:v>
                </c:pt>
                <c:pt idx="42">
                  <c:v>5.7962139817060594</c:v>
                </c:pt>
                <c:pt idx="43">
                  <c:v>1.9844886695619415</c:v>
                </c:pt>
                <c:pt idx="44">
                  <c:v>4.2179462891008965</c:v>
                </c:pt>
                <c:pt idx="45">
                  <c:v>4.1005468473581175</c:v>
                </c:pt>
                <c:pt idx="46">
                  <c:v>0</c:v>
                </c:pt>
                <c:pt idx="4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B8-4528-AFBB-A66292466D7A}"/>
            </c:ext>
          </c:extLst>
        </c:ser>
        <c:ser>
          <c:idx val="1"/>
          <c:order val="1"/>
          <c:tx>
            <c:strRef>
              <c:f>'Midwifrey final'!$C$1</c:f>
              <c:strCache>
                <c:ptCount val="1"/>
                <c:pt idx="0">
                  <c:v> Density per 10,000 (2018)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'Midwifrey final'!$A$2:$A$49</c:f>
              <c:strCache>
                <c:ptCount val="48"/>
                <c:pt idx="0">
                  <c:v>Botswana</c:v>
                </c:pt>
                <c:pt idx="1">
                  <c:v>South Africa</c:v>
                </c:pt>
                <c:pt idx="2">
                  <c:v>Tanzania</c:v>
                </c:pt>
                <c:pt idx="3">
                  <c:v>Angola</c:v>
                </c:pt>
                <c:pt idx="4">
                  <c:v>Kenya</c:v>
                </c:pt>
                <c:pt idx="5">
                  <c:v>Namibia</c:v>
                </c:pt>
                <c:pt idx="6">
                  <c:v>Eswatini</c:v>
                </c:pt>
                <c:pt idx="7">
                  <c:v>Burundi</c:v>
                </c:pt>
                <c:pt idx="8">
                  <c:v>Equatorial Guinea</c:v>
                </c:pt>
                <c:pt idx="9">
                  <c:v>Eritrea</c:v>
                </c:pt>
                <c:pt idx="10">
                  <c:v>Malawi</c:v>
                </c:pt>
                <c:pt idx="11">
                  <c:v>DRC</c:v>
                </c:pt>
                <c:pt idx="12">
                  <c:v>Niger</c:v>
                </c:pt>
                <c:pt idx="13">
                  <c:v>Cape-Verde</c:v>
                </c:pt>
                <c:pt idx="14">
                  <c:v>Chad</c:v>
                </c:pt>
                <c:pt idx="15">
                  <c:v>Cameroon</c:v>
                </c:pt>
                <c:pt idx="16">
                  <c:v>Guinea</c:v>
                </c:pt>
                <c:pt idx="17">
                  <c:v>Mali</c:v>
                </c:pt>
                <c:pt idx="18">
                  <c:v>Guinea-Bissau</c:v>
                </c:pt>
                <c:pt idx="19">
                  <c:v>Central African Republic</c:v>
                </c:pt>
                <c:pt idx="20">
                  <c:v>Sao Tome and Principe</c:v>
                </c:pt>
                <c:pt idx="21">
                  <c:v>Madagascar</c:v>
                </c:pt>
                <c:pt idx="22">
                  <c:v>Gambia</c:v>
                </c:pt>
                <c:pt idx="23">
                  <c:v>Rwanda</c:v>
                </c:pt>
                <c:pt idx="24">
                  <c:v>Benin</c:v>
                </c:pt>
                <c:pt idx="25">
                  <c:v>Congo</c:v>
                </c:pt>
                <c:pt idx="26">
                  <c:v>Liberia</c:v>
                </c:pt>
                <c:pt idx="27">
                  <c:v>Senegal</c:v>
                </c:pt>
                <c:pt idx="28">
                  <c:v>Algeria</c:v>
                </c:pt>
                <c:pt idx="29">
                  <c:v>Togo</c:v>
                </c:pt>
                <c:pt idx="30">
                  <c:v>Cote d'Ivoire</c:v>
                </c:pt>
                <c:pt idx="31">
                  <c:v>Sierra Leone</c:v>
                </c:pt>
                <c:pt idx="32">
                  <c:v>AFRO</c:v>
                </c:pt>
                <c:pt idx="33">
                  <c:v>South Sudan</c:v>
                </c:pt>
                <c:pt idx="34">
                  <c:v>Ethiopia</c:v>
                </c:pt>
                <c:pt idx="35">
                  <c:v>Mauritania</c:v>
                </c:pt>
                <c:pt idx="36">
                  <c:v>Gabon</c:v>
                </c:pt>
                <c:pt idx="37">
                  <c:v>Mozambique</c:v>
                </c:pt>
                <c:pt idx="38">
                  <c:v>Burkina Faso</c:v>
                </c:pt>
                <c:pt idx="39">
                  <c:v>Mauritius</c:v>
                </c:pt>
                <c:pt idx="40">
                  <c:v>Zambia</c:v>
                </c:pt>
                <c:pt idx="41">
                  <c:v>Zimbabwe</c:v>
                </c:pt>
                <c:pt idx="42">
                  <c:v>Nigeria</c:v>
                </c:pt>
                <c:pt idx="43">
                  <c:v>Uganda</c:v>
                </c:pt>
                <c:pt idx="44">
                  <c:v>Comoros</c:v>
                </c:pt>
                <c:pt idx="45">
                  <c:v>Ghana</c:v>
                </c:pt>
                <c:pt idx="46">
                  <c:v>Lesotho</c:v>
                </c:pt>
                <c:pt idx="47">
                  <c:v>Seychelles</c:v>
                </c:pt>
              </c:strCache>
            </c:strRef>
          </c:xVal>
          <c:yVal>
            <c:numRef>
              <c:f>'Midwifrey final'!$C$2:$C$49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0.45981373450834601</c:v>
                </c:pt>
                <c:pt idx="4">
                  <c:v>0</c:v>
                </c:pt>
                <c:pt idx="5">
                  <c:v>2.0784139872273143E-2</c:v>
                </c:pt>
                <c:pt idx="6">
                  <c:v>0.12064519325851895</c:v>
                </c:pt>
                <c:pt idx="7">
                  <c:v>0.13920945127767095</c:v>
                </c:pt>
                <c:pt idx="8">
                  <c:v>0.33952658676252406</c:v>
                </c:pt>
                <c:pt idx="9">
                  <c:v>0.13060989451219315</c:v>
                </c:pt>
                <c:pt idx="10">
                  <c:v>0</c:v>
                </c:pt>
                <c:pt idx="11">
                  <c:v>0.41820078242128272</c:v>
                </c:pt>
                <c:pt idx="12">
                  <c:v>0.40129232072664212</c:v>
                </c:pt>
                <c:pt idx="13">
                  <c:v>0.47268783432816613</c:v>
                </c:pt>
                <c:pt idx="14">
                  <c:v>0.5998381206097585</c:v>
                </c:pt>
                <c:pt idx="15">
                  <c:v>0.27515531171477908</c:v>
                </c:pt>
                <c:pt idx="16">
                  <c:v>0.68977247822945453</c:v>
                </c:pt>
                <c:pt idx="17">
                  <c:v>1.6228311626524292</c:v>
                </c:pt>
                <c:pt idx="18">
                  <c:v>0.81560369348989858</c:v>
                </c:pt>
                <c:pt idx="19">
                  <c:v>0.87148022093201294</c:v>
                </c:pt>
                <c:pt idx="20">
                  <c:v>2.3658111893406013</c:v>
                </c:pt>
                <c:pt idx="21">
                  <c:v>1.4877149350450771</c:v>
                </c:pt>
                <c:pt idx="22">
                  <c:v>1.3088386899260929</c:v>
                </c:pt>
                <c:pt idx="23">
                  <c:v>1.1738131151471967</c:v>
                </c:pt>
                <c:pt idx="24">
                  <c:v>0.88353401210240634</c:v>
                </c:pt>
                <c:pt idx="25">
                  <c:v>1.9646899814778815</c:v>
                </c:pt>
                <c:pt idx="26">
                  <c:v>1.8959416418118331</c:v>
                </c:pt>
                <c:pt idx="27">
                  <c:v>1.9358058528624471</c:v>
                </c:pt>
                <c:pt idx="28">
                  <c:v>2.1341852520023665</c:v>
                </c:pt>
                <c:pt idx="29">
                  <c:v>1.5969321008082962</c:v>
                </c:pt>
                <c:pt idx="30">
                  <c:v>2.1416813614707642</c:v>
                </c:pt>
                <c:pt idx="31">
                  <c:v>0.49737441009932098</c:v>
                </c:pt>
                <c:pt idx="32">
                  <c:v>2.2110935353363175</c:v>
                </c:pt>
                <c:pt idx="33">
                  <c:v>1.6468934438297507</c:v>
                </c:pt>
                <c:pt idx="34">
                  <c:v>1.4542501330745503</c:v>
                </c:pt>
                <c:pt idx="35">
                  <c:v>2.0020083304620333</c:v>
                </c:pt>
                <c:pt idx="36">
                  <c:v>3.3439605586010841</c:v>
                </c:pt>
                <c:pt idx="37">
                  <c:v>2.0462971936211609</c:v>
                </c:pt>
                <c:pt idx="38">
                  <c:v>3.2212471085886865</c:v>
                </c:pt>
                <c:pt idx="39">
                  <c:v>4.3770889116449458</c:v>
                </c:pt>
                <c:pt idx="40">
                  <c:v>1.9242097942614949</c:v>
                </c:pt>
                <c:pt idx="41">
                  <c:v>0.56735952736161055</c:v>
                </c:pt>
                <c:pt idx="42">
                  <c:v>6.0926179701930829</c:v>
                </c:pt>
                <c:pt idx="43">
                  <c:v>1.7432087542464663</c:v>
                </c:pt>
                <c:pt idx="44">
                  <c:v>6.2732388397213183</c:v>
                </c:pt>
                <c:pt idx="45">
                  <c:v>3.441781520535669</c:v>
                </c:pt>
                <c:pt idx="46">
                  <c:v>12.64321431544888</c:v>
                </c:pt>
                <c:pt idx="47">
                  <c:v>15.324778615144369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B8-4528-AFBB-A66292466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404383"/>
        <c:axId val="797657151"/>
      </c:scatterChart>
      <c:catAx>
        <c:axId val="20540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797657151"/>
        <c:crosses val="autoZero"/>
        <c:auto val="1"/>
        <c:lblAlgn val="ctr"/>
        <c:lblOffset val="100"/>
        <c:noMultiLvlLbl val="0"/>
      </c:catAx>
      <c:valAx>
        <c:axId val="79765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20540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'Community health workers'!$D$1</c:f>
              <c:strCache>
                <c:ptCount val="1"/>
                <c:pt idx="0">
                  <c:v> Density per 10,000 (2022)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34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90D-4DC2-BE9A-ACAD20A24378}"/>
              </c:ext>
            </c:extLst>
          </c:dPt>
          <c:cat>
            <c:strRef>
              <c:f>'Community health workers'!$A$2:$A$49</c:f>
              <c:strCache>
                <c:ptCount val="48"/>
                <c:pt idx="0">
                  <c:v>Algeria</c:v>
                </c:pt>
                <c:pt idx="1">
                  <c:v>Botswana</c:v>
                </c:pt>
                <c:pt idx="2">
                  <c:v>Comoros</c:v>
                </c:pt>
                <c:pt idx="3">
                  <c:v>Congo</c:v>
                </c:pt>
                <c:pt idx="4">
                  <c:v>DRC</c:v>
                </c:pt>
                <c:pt idx="5">
                  <c:v>Sao Tome and Principe</c:v>
                </c:pt>
                <c:pt idx="6">
                  <c:v>Seychelles</c:v>
                </c:pt>
                <c:pt idx="7">
                  <c:v>Angola</c:v>
                </c:pt>
                <c:pt idx="8">
                  <c:v>Benin</c:v>
                </c:pt>
                <c:pt idx="9">
                  <c:v>Cameroon</c:v>
                </c:pt>
                <c:pt idx="10">
                  <c:v>Gabon</c:v>
                </c:pt>
                <c:pt idx="11">
                  <c:v>Niger</c:v>
                </c:pt>
                <c:pt idx="12">
                  <c:v>Equatorial Guinea</c:v>
                </c:pt>
                <c:pt idx="13">
                  <c:v>Mauritania</c:v>
                </c:pt>
                <c:pt idx="14">
                  <c:v>Zambia</c:v>
                </c:pt>
                <c:pt idx="15">
                  <c:v>Burkina Faso</c:v>
                </c:pt>
                <c:pt idx="16">
                  <c:v>Mali</c:v>
                </c:pt>
                <c:pt idx="17">
                  <c:v>Mozambique</c:v>
                </c:pt>
                <c:pt idx="18">
                  <c:v>South Sudan</c:v>
                </c:pt>
                <c:pt idx="19">
                  <c:v>Cape-Verde</c:v>
                </c:pt>
                <c:pt idx="20">
                  <c:v>Central African Republic</c:v>
                </c:pt>
                <c:pt idx="21">
                  <c:v>Tanzania</c:v>
                </c:pt>
                <c:pt idx="22">
                  <c:v>Ethiopia</c:v>
                </c:pt>
                <c:pt idx="23">
                  <c:v>Chad</c:v>
                </c:pt>
                <c:pt idx="24">
                  <c:v>Ghana</c:v>
                </c:pt>
                <c:pt idx="25">
                  <c:v>Cote d'Ivoire</c:v>
                </c:pt>
                <c:pt idx="26">
                  <c:v>Malawi</c:v>
                </c:pt>
                <c:pt idx="27">
                  <c:v>Gambia</c:v>
                </c:pt>
                <c:pt idx="28">
                  <c:v>Mauritius</c:v>
                </c:pt>
                <c:pt idx="29">
                  <c:v>Nigeria</c:v>
                </c:pt>
                <c:pt idx="30">
                  <c:v>Eritrea</c:v>
                </c:pt>
                <c:pt idx="31">
                  <c:v>Togo</c:v>
                </c:pt>
                <c:pt idx="32">
                  <c:v>Namibia</c:v>
                </c:pt>
                <c:pt idx="33">
                  <c:v>Burundi</c:v>
                </c:pt>
                <c:pt idx="34">
                  <c:v>AFRO</c:v>
                </c:pt>
                <c:pt idx="35">
                  <c:v>South Africa</c:v>
                </c:pt>
                <c:pt idx="36">
                  <c:v>Senegal</c:v>
                </c:pt>
                <c:pt idx="37">
                  <c:v>Guinea</c:v>
                </c:pt>
                <c:pt idx="38">
                  <c:v>Zimbabwe</c:v>
                </c:pt>
                <c:pt idx="39">
                  <c:v>Madagascar</c:v>
                </c:pt>
                <c:pt idx="40">
                  <c:v>Kenya</c:v>
                </c:pt>
                <c:pt idx="41">
                  <c:v>Sierra Leone</c:v>
                </c:pt>
                <c:pt idx="42">
                  <c:v>Guinea-Bissau</c:v>
                </c:pt>
                <c:pt idx="43">
                  <c:v>Liberia</c:v>
                </c:pt>
                <c:pt idx="44">
                  <c:v>Uganda</c:v>
                </c:pt>
                <c:pt idx="45">
                  <c:v>Eswatini</c:v>
                </c:pt>
                <c:pt idx="46">
                  <c:v>Rwanda</c:v>
                </c:pt>
                <c:pt idx="47">
                  <c:v>Lesotho</c:v>
                </c:pt>
              </c:strCache>
            </c:strRef>
          </c:cat>
          <c:val>
            <c:numRef>
              <c:f>'Community health workers'!$D$2:$D$49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2.0834680773705585E-3</c:v>
                </c:pt>
                <c:pt idx="8">
                  <c:v>1.5726963144386104E-2</c:v>
                </c:pt>
                <c:pt idx="9">
                  <c:v>0.11105324997962983</c:v>
                </c:pt>
                <c:pt idx="10">
                  <c:v>0.45573449456448667</c:v>
                </c:pt>
                <c:pt idx="11">
                  <c:v>0.85432005786482601</c:v>
                </c:pt>
                <c:pt idx="12">
                  <c:v>0.87168966892509914</c:v>
                </c:pt>
                <c:pt idx="13">
                  <c:v>1.0557122584451177</c:v>
                </c:pt>
                <c:pt idx="14">
                  <c:v>1.2094311652077474</c:v>
                </c:pt>
                <c:pt idx="15">
                  <c:v>1.3870658076061657</c:v>
                </c:pt>
                <c:pt idx="16">
                  <c:v>1.4619190340729584</c:v>
                </c:pt>
                <c:pt idx="17">
                  <c:v>2.120746774024012</c:v>
                </c:pt>
                <c:pt idx="18">
                  <c:v>2.5895332732804746</c:v>
                </c:pt>
                <c:pt idx="19">
                  <c:v>2.613169192589726</c:v>
                </c:pt>
                <c:pt idx="20">
                  <c:v>2.8588617589778766</c:v>
                </c:pt>
                <c:pt idx="21">
                  <c:v>3.166063053038096</c:v>
                </c:pt>
                <c:pt idx="22">
                  <c:v>3.3312550778874876</c:v>
                </c:pt>
                <c:pt idx="23">
                  <c:v>4.5572739794241075</c:v>
                </c:pt>
                <c:pt idx="24">
                  <c:v>4.7257919700699027</c:v>
                </c:pt>
                <c:pt idx="25">
                  <c:v>5.1689345118262544</c:v>
                </c:pt>
                <c:pt idx="26">
                  <c:v>5.2667646689038072</c:v>
                </c:pt>
                <c:pt idx="27">
                  <c:v>5.7391152671552623</c:v>
                </c:pt>
                <c:pt idx="28">
                  <c:v>7.0490331050606132</c:v>
                </c:pt>
                <c:pt idx="29">
                  <c:v>7.0685523769048926</c:v>
                </c:pt>
                <c:pt idx="30">
                  <c:v>7.1280606585475681</c:v>
                </c:pt>
                <c:pt idx="31">
                  <c:v>8.4758227438758347</c:v>
                </c:pt>
                <c:pt idx="32">
                  <c:v>8.928667078948779</c:v>
                </c:pt>
                <c:pt idx="33">
                  <c:v>9.1895959498746951</c:v>
                </c:pt>
                <c:pt idx="34" formatCode="0.00">
                  <c:v>10.432233706901258</c:v>
                </c:pt>
                <c:pt idx="35">
                  <c:v>10.567021904097372</c:v>
                </c:pt>
                <c:pt idx="36">
                  <c:v>10.831897463504209</c:v>
                </c:pt>
                <c:pt idx="37">
                  <c:v>11.953671244313533</c:v>
                </c:pt>
                <c:pt idx="38">
                  <c:v>12.084161201313416</c:v>
                </c:pt>
                <c:pt idx="39">
                  <c:v>14.053897724393797</c:v>
                </c:pt>
                <c:pt idx="40">
                  <c:v>15.996116939512664</c:v>
                </c:pt>
                <c:pt idx="41">
                  <c:v>16.228744655588287</c:v>
                </c:pt>
                <c:pt idx="42">
                  <c:v>22.881554702193021</c:v>
                </c:pt>
                <c:pt idx="43">
                  <c:v>23.808711102930751</c:v>
                </c:pt>
                <c:pt idx="44">
                  <c:v>37.883930620766314</c:v>
                </c:pt>
                <c:pt idx="45">
                  <c:v>38.167125193710874</c:v>
                </c:pt>
                <c:pt idx="46">
                  <c:v>42.511639672715482</c:v>
                </c:pt>
                <c:pt idx="47">
                  <c:v>62.918898242733405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0D-4DC2-BE9A-ACAD20A24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0"/>
        <c:axId val="1329124735"/>
        <c:axId val="60391183"/>
      </c:barChart>
      <c:scatterChart>
        <c:scatterStyle val="lineMarker"/>
        <c:varyColors val="0"/>
        <c:ser>
          <c:idx val="0"/>
          <c:order val="0"/>
          <c:tx>
            <c:strRef>
              <c:f>'Community health workers'!$B$1</c:f>
              <c:strCache>
                <c:ptCount val="1"/>
                <c:pt idx="0">
                  <c:v> Density per 10,000 (2013)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'Community health workers'!$A$2:$A$49</c:f>
              <c:strCache>
                <c:ptCount val="48"/>
                <c:pt idx="0">
                  <c:v>Algeria</c:v>
                </c:pt>
                <c:pt idx="1">
                  <c:v>Botswana</c:v>
                </c:pt>
                <c:pt idx="2">
                  <c:v>Comoros</c:v>
                </c:pt>
                <c:pt idx="3">
                  <c:v>Congo</c:v>
                </c:pt>
                <c:pt idx="4">
                  <c:v>DRC</c:v>
                </c:pt>
                <c:pt idx="5">
                  <c:v>Sao Tome and Principe</c:v>
                </c:pt>
                <c:pt idx="6">
                  <c:v>Seychelles</c:v>
                </c:pt>
                <c:pt idx="7">
                  <c:v>Angola</c:v>
                </c:pt>
                <c:pt idx="8">
                  <c:v>Benin</c:v>
                </c:pt>
                <c:pt idx="9">
                  <c:v>Cameroon</c:v>
                </c:pt>
                <c:pt idx="10">
                  <c:v>Gabon</c:v>
                </c:pt>
                <c:pt idx="11">
                  <c:v>Niger</c:v>
                </c:pt>
                <c:pt idx="12">
                  <c:v>Equatorial Guinea</c:v>
                </c:pt>
                <c:pt idx="13">
                  <c:v>Mauritania</c:v>
                </c:pt>
                <c:pt idx="14">
                  <c:v>Zambia</c:v>
                </c:pt>
                <c:pt idx="15">
                  <c:v>Burkina Faso</c:v>
                </c:pt>
                <c:pt idx="16">
                  <c:v>Mali</c:v>
                </c:pt>
                <c:pt idx="17">
                  <c:v>Mozambique</c:v>
                </c:pt>
                <c:pt idx="18">
                  <c:v>South Sudan</c:v>
                </c:pt>
                <c:pt idx="19">
                  <c:v>Cape-Verde</c:v>
                </c:pt>
                <c:pt idx="20">
                  <c:v>Central African Republic</c:v>
                </c:pt>
                <c:pt idx="21">
                  <c:v>Tanzania</c:v>
                </c:pt>
                <c:pt idx="22">
                  <c:v>Ethiopia</c:v>
                </c:pt>
                <c:pt idx="23">
                  <c:v>Chad</c:v>
                </c:pt>
                <c:pt idx="24">
                  <c:v>Ghana</c:v>
                </c:pt>
                <c:pt idx="25">
                  <c:v>Cote d'Ivoire</c:v>
                </c:pt>
                <c:pt idx="26">
                  <c:v>Malawi</c:v>
                </c:pt>
                <c:pt idx="27">
                  <c:v>Gambia</c:v>
                </c:pt>
                <c:pt idx="28">
                  <c:v>Mauritius</c:v>
                </c:pt>
                <c:pt idx="29">
                  <c:v>Nigeria</c:v>
                </c:pt>
                <c:pt idx="30">
                  <c:v>Eritrea</c:v>
                </c:pt>
                <c:pt idx="31">
                  <c:v>Togo</c:v>
                </c:pt>
                <c:pt idx="32">
                  <c:v>Namibia</c:v>
                </c:pt>
                <c:pt idx="33">
                  <c:v>Burundi</c:v>
                </c:pt>
                <c:pt idx="34">
                  <c:v>AFRO</c:v>
                </c:pt>
                <c:pt idx="35">
                  <c:v>South Africa</c:v>
                </c:pt>
                <c:pt idx="36">
                  <c:v>Senegal</c:v>
                </c:pt>
                <c:pt idx="37">
                  <c:v>Guinea</c:v>
                </c:pt>
                <c:pt idx="38">
                  <c:v>Zimbabwe</c:v>
                </c:pt>
                <c:pt idx="39">
                  <c:v>Madagascar</c:v>
                </c:pt>
                <c:pt idx="40">
                  <c:v>Kenya</c:v>
                </c:pt>
                <c:pt idx="41">
                  <c:v>Sierra Leone</c:v>
                </c:pt>
                <c:pt idx="42">
                  <c:v>Guinea-Bissau</c:v>
                </c:pt>
                <c:pt idx="43">
                  <c:v>Liberia</c:v>
                </c:pt>
                <c:pt idx="44">
                  <c:v>Uganda</c:v>
                </c:pt>
                <c:pt idx="45">
                  <c:v>Eswatini</c:v>
                </c:pt>
                <c:pt idx="46">
                  <c:v>Rwanda</c:v>
                </c:pt>
                <c:pt idx="47">
                  <c:v>Lesotho</c:v>
                </c:pt>
              </c:strCache>
            </c:strRef>
          </c:xVal>
          <c:yVal>
            <c:numRef>
              <c:f>'Community health workers'!$B$2:$B$49</c:f>
              <c:numCache>
                <c:formatCode>General</c:formatCode>
                <c:ptCount val="48"/>
                <c:pt idx="0">
                  <c:v>0</c:v>
                </c:pt>
                <c:pt idx="1">
                  <c:v>0.74866570633001328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3.5168230393081639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1.190151679133066</c:v>
                </c:pt>
                <c:pt idx="16">
                  <c:v>0</c:v>
                </c:pt>
                <c:pt idx="17">
                  <c:v>0.47679899647275681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1.92293740259294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 formatCode="0.00">
                  <c:v>8.1711452857998328</c:v>
                </c:pt>
                <c:pt idx="35">
                  <c:v>0</c:v>
                </c:pt>
                <c:pt idx="36">
                  <c:v>0.56636114180024388</c:v>
                </c:pt>
                <c:pt idx="37">
                  <c:v>6.0603703338540411</c:v>
                </c:pt>
                <c:pt idx="38">
                  <c:v>8.262376791455722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50.795822481251555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0D-4DC2-BE9A-ACAD20A24378}"/>
            </c:ext>
          </c:extLst>
        </c:ser>
        <c:ser>
          <c:idx val="1"/>
          <c:order val="1"/>
          <c:tx>
            <c:strRef>
              <c:f>'Community health workers'!$C$1</c:f>
              <c:strCache>
                <c:ptCount val="1"/>
                <c:pt idx="0">
                  <c:v> Density per 10,000 (2018)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'Community health workers'!$A$2:$A$49</c:f>
              <c:strCache>
                <c:ptCount val="48"/>
                <c:pt idx="0">
                  <c:v>Algeria</c:v>
                </c:pt>
                <c:pt idx="1">
                  <c:v>Botswana</c:v>
                </c:pt>
                <c:pt idx="2">
                  <c:v>Comoros</c:v>
                </c:pt>
                <c:pt idx="3">
                  <c:v>Congo</c:v>
                </c:pt>
                <c:pt idx="4">
                  <c:v>DRC</c:v>
                </c:pt>
                <c:pt idx="5">
                  <c:v>Sao Tome and Principe</c:v>
                </c:pt>
                <c:pt idx="6">
                  <c:v>Seychelles</c:v>
                </c:pt>
                <c:pt idx="7">
                  <c:v>Angola</c:v>
                </c:pt>
                <c:pt idx="8">
                  <c:v>Benin</c:v>
                </c:pt>
                <c:pt idx="9">
                  <c:v>Cameroon</c:v>
                </c:pt>
                <c:pt idx="10">
                  <c:v>Gabon</c:v>
                </c:pt>
                <c:pt idx="11">
                  <c:v>Niger</c:v>
                </c:pt>
                <c:pt idx="12">
                  <c:v>Equatorial Guinea</c:v>
                </c:pt>
                <c:pt idx="13">
                  <c:v>Mauritania</c:v>
                </c:pt>
                <c:pt idx="14">
                  <c:v>Zambia</c:v>
                </c:pt>
                <c:pt idx="15">
                  <c:v>Burkina Faso</c:v>
                </c:pt>
                <c:pt idx="16">
                  <c:v>Mali</c:v>
                </c:pt>
                <c:pt idx="17">
                  <c:v>Mozambique</c:v>
                </c:pt>
                <c:pt idx="18">
                  <c:v>South Sudan</c:v>
                </c:pt>
                <c:pt idx="19">
                  <c:v>Cape-Verde</c:v>
                </c:pt>
                <c:pt idx="20">
                  <c:v>Central African Republic</c:v>
                </c:pt>
                <c:pt idx="21">
                  <c:v>Tanzania</c:v>
                </c:pt>
                <c:pt idx="22">
                  <c:v>Ethiopia</c:v>
                </c:pt>
                <c:pt idx="23">
                  <c:v>Chad</c:v>
                </c:pt>
                <c:pt idx="24">
                  <c:v>Ghana</c:v>
                </c:pt>
                <c:pt idx="25">
                  <c:v>Cote d'Ivoire</c:v>
                </c:pt>
                <c:pt idx="26">
                  <c:v>Malawi</c:v>
                </c:pt>
                <c:pt idx="27">
                  <c:v>Gambia</c:v>
                </c:pt>
                <c:pt idx="28">
                  <c:v>Mauritius</c:v>
                </c:pt>
                <c:pt idx="29">
                  <c:v>Nigeria</c:v>
                </c:pt>
                <c:pt idx="30">
                  <c:v>Eritrea</c:v>
                </c:pt>
                <c:pt idx="31">
                  <c:v>Togo</c:v>
                </c:pt>
                <c:pt idx="32">
                  <c:v>Namibia</c:v>
                </c:pt>
                <c:pt idx="33">
                  <c:v>Burundi</c:v>
                </c:pt>
                <c:pt idx="34">
                  <c:v>AFRO</c:v>
                </c:pt>
                <c:pt idx="35">
                  <c:v>South Africa</c:v>
                </c:pt>
                <c:pt idx="36">
                  <c:v>Senegal</c:v>
                </c:pt>
                <c:pt idx="37">
                  <c:v>Guinea</c:v>
                </c:pt>
                <c:pt idx="38">
                  <c:v>Zimbabwe</c:v>
                </c:pt>
                <c:pt idx="39">
                  <c:v>Madagascar</c:v>
                </c:pt>
                <c:pt idx="40">
                  <c:v>Kenya</c:v>
                </c:pt>
                <c:pt idx="41">
                  <c:v>Sierra Leone</c:v>
                </c:pt>
                <c:pt idx="42">
                  <c:v>Guinea-Bissau</c:v>
                </c:pt>
                <c:pt idx="43">
                  <c:v>Liberia</c:v>
                </c:pt>
                <c:pt idx="44">
                  <c:v>Uganda</c:v>
                </c:pt>
                <c:pt idx="45">
                  <c:v>Eswatini</c:v>
                </c:pt>
                <c:pt idx="46">
                  <c:v>Rwanda</c:v>
                </c:pt>
                <c:pt idx="47">
                  <c:v>Lesotho</c:v>
                </c:pt>
              </c:strCache>
            </c:strRef>
          </c:xVal>
          <c:yVal>
            <c:numRef>
              <c:f>'Community health workers'!$C$2:$C$49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0.53719546173436805</c:v>
                </c:pt>
                <c:pt idx="8">
                  <c:v>0</c:v>
                </c:pt>
                <c:pt idx="9">
                  <c:v>0</c:v>
                </c:pt>
                <c:pt idx="10">
                  <c:v>0.53375632381490701</c:v>
                </c:pt>
                <c:pt idx="11">
                  <c:v>2.4361012847643838E-2</c:v>
                </c:pt>
                <c:pt idx="12">
                  <c:v>0</c:v>
                </c:pt>
                <c:pt idx="13">
                  <c:v>1.1707651055333528</c:v>
                </c:pt>
                <c:pt idx="14">
                  <c:v>0.71933600409018006</c:v>
                </c:pt>
                <c:pt idx="15">
                  <c:v>1.3480298830126805</c:v>
                </c:pt>
                <c:pt idx="16">
                  <c:v>0.57789845421193153</c:v>
                </c:pt>
                <c:pt idx="17">
                  <c:v>1.6269099262355917</c:v>
                </c:pt>
                <c:pt idx="18">
                  <c:v>1.3996670331613827</c:v>
                </c:pt>
                <c:pt idx="19">
                  <c:v>2.0483139487553865</c:v>
                </c:pt>
                <c:pt idx="20">
                  <c:v>0.22572122839455289</c:v>
                </c:pt>
                <c:pt idx="21">
                  <c:v>0</c:v>
                </c:pt>
                <c:pt idx="22">
                  <c:v>3.352756989556628</c:v>
                </c:pt>
                <c:pt idx="23">
                  <c:v>4.4859688507140061E-3</c:v>
                </c:pt>
                <c:pt idx="24">
                  <c:v>5.1246102263411091</c:v>
                </c:pt>
                <c:pt idx="25">
                  <c:v>5.709581299920961</c:v>
                </c:pt>
                <c:pt idx="26">
                  <c:v>5.4529964068259842</c:v>
                </c:pt>
                <c:pt idx="27">
                  <c:v>6.3519577670475691</c:v>
                </c:pt>
                <c:pt idx="28">
                  <c:v>1.3895520354428401</c:v>
                </c:pt>
                <c:pt idx="29">
                  <c:v>5.8700234392393922</c:v>
                </c:pt>
                <c:pt idx="30">
                  <c:v>0.70529343036584291</c:v>
                </c:pt>
                <c:pt idx="31">
                  <c:v>9.3206153743674882</c:v>
                </c:pt>
                <c:pt idx="32">
                  <c:v>9.5274497174500095</c:v>
                </c:pt>
                <c:pt idx="33">
                  <c:v>10.305849689900079</c:v>
                </c:pt>
                <c:pt idx="34" formatCode="0.00">
                  <c:v>10.293177863764198</c:v>
                </c:pt>
                <c:pt idx="35">
                  <c:v>9.448961438279122</c:v>
                </c:pt>
                <c:pt idx="36">
                  <c:v>11.182729863782834</c:v>
                </c:pt>
                <c:pt idx="37">
                  <c:v>13.195682040216365</c:v>
                </c:pt>
                <c:pt idx="38">
                  <c:v>10.555278888432397</c:v>
                </c:pt>
                <c:pt idx="39">
                  <c:v>13.037061273554757</c:v>
                </c:pt>
                <c:pt idx="40">
                  <c:v>11.626658368783776</c:v>
                </c:pt>
                <c:pt idx="41">
                  <c:v>0.64238894399017155</c:v>
                </c:pt>
                <c:pt idx="42">
                  <c:v>21.07582283113706</c:v>
                </c:pt>
                <c:pt idx="43">
                  <c:v>6.9354240640603297</c:v>
                </c:pt>
                <c:pt idx="44">
                  <c:v>43.116535444261082</c:v>
                </c:pt>
                <c:pt idx="45">
                  <c:v>54.497157297633848</c:v>
                </c:pt>
                <c:pt idx="46">
                  <c:v>35.908626907969982</c:v>
                </c:pt>
                <c:pt idx="47">
                  <c:v>66.004949006308863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0D-4DC2-BE9A-ACAD20A24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124735"/>
        <c:axId val="60391183"/>
      </c:scatterChart>
      <c:catAx>
        <c:axId val="132912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60391183"/>
        <c:crosses val="autoZero"/>
        <c:auto val="1"/>
        <c:lblAlgn val="ctr"/>
        <c:lblOffset val="100"/>
        <c:noMultiLvlLbl val="0"/>
      </c:catAx>
      <c:valAx>
        <c:axId val="6039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32912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'Community health workers'!$D$1</c:f>
              <c:strCache>
                <c:ptCount val="1"/>
                <c:pt idx="0">
                  <c:v> Density per 10,000 (2022)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34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0C-4A39-9DD6-29EAF4A21ED2}"/>
              </c:ext>
            </c:extLst>
          </c:dPt>
          <c:cat>
            <c:strRef>
              <c:f>'Community health workers'!$A$2:$A$49</c:f>
              <c:strCache>
                <c:ptCount val="48"/>
                <c:pt idx="0">
                  <c:v>Algeria</c:v>
                </c:pt>
                <c:pt idx="1">
                  <c:v>Botswana</c:v>
                </c:pt>
                <c:pt idx="2">
                  <c:v>Comoros</c:v>
                </c:pt>
                <c:pt idx="3">
                  <c:v>Congo</c:v>
                </c:pt>
                <c:pt idx="4">
                  <c:v>DRC</c:v>
                </c:pt>
                <c:pt idx="5">
                  <c:v>Sao Tome and Principe</c:v>
                </c:pt>
                <c:pt idx="6">
                  <c:v>Seychelles</c:v>
                </c:pt>
                <c:pt idx="7">
                  <c:v>Angola</c:v>
                </c:pt>
                <c:pt idx="8">
                  <c:v>Benin</c:v>
                </c:pt>
                <c:pt idx="9">
                  <c:v>Cameroon</c:v>
                </c:pt>
                <c:pt idx="10">
                  <c:v>Gabon</c:v>
                </c:pt>
                <c:pt idx="11">
                  <c:v>Niger</c:v>
                </c:pt>
                <c:pt idx="12">
                  <c:v>Equatorial Guinea</c:v>
                </c:pt>
                <c:pt idx="13">
                  <c:v>Mauritania</c:v>
                </c:pt>
                <c:pt idx="14">
                  <c:v>Zambia</c:v>
                </c:pt>
                <c:pt idx="15">
                  <c:v>Burkina Faso</c:v>
                </c:pt>
                <c:pt idx="16">
                  <c:v>Mali</c:v>
                </c:pt>
                <c:pt idx="17">
                  <c:v>Mozambique</c:v>
                </c:pt>
                <c:pt idx="18">
                  <c:v>South Sudan</c:v>
                </c:pt>
                <c:pt idx="19">
                  <c:v>Cape-Verde</c:v>
                </c:pt>
                <c:pt idx="20">
                  <c:v>Central African Republic</c:v>
                </c:pt>
                <c:pt idx="21">
                  <c:v>Tanzania</c:v>
                </c:pt>
                <c:pt idx="22">
                  <c:v>Ethiopia</c:v>
                </c:pt>
                <c:pt idx="23">
                  <c:v>Chad</c:v>
                </c:pt>
                <c:pt idx="24">
                  <c:v>Ghana</c:v>
                </c:pt>
                <c:pt idx="25">
                  <c:v>Cote d'Ivoire</c:v>
                </c:pt>
                <c:pt idx="26">
                  <c:v>Malawi</c:v>
                </c:pt>
                <c:pt idx="27">
                  <c:v>Gambia</c:v>
                </c:pt>
                <c:pt idx="28">
                  <c:v>Mauritius</c:v>
                </c:pt>
                <c:pt idx="29">
                  <c:v>Nigeria</c:v>
                </c:pt>
                <c:pt idx="30">
                  <c:v>Eritrea</c:v>
                </c:pt>
                <c:pt idx="31">
                  <c:v>Togo</c:v>
                </c:pt>
                <c:pt idx="32">
                  <c:v>Namibia</c:v>
                </c:pt>
                <c:pt idx="33">
                  <c:v>Burundi</c:v>
                </c:pt>
                <c:pt idx="34">
                  <c:v>AFRO</c:v>
                </c:pt>
                <c:pt idx="35">
                  <c:v>South Africa</c:v>
                </c:pt>
                <c:pt idx="36">
                  <c:v>Senegal</c:v>
                </c:pt>
                <c:pt idx="37">
                  <c:v>Guinea</c:v>
                </c:pt>
                <c:pt idx="38">
                  <c:v>Zimbabwe</c:v>
                </c:pt>
                <c:pt idx="39">
                  <c:v>Madagascar</c:v>
                </c:pt>
                <c:pt idx="40">
                  <c:v>Kenya</c:v>
                </c:pt>
                <c:pt idx="41">
                  <c:v>Sierra Leone</c:v>
                </c:pt>
                <c:pt idx="42">
                  <c:v>Guinea-Bissau</c:v>
                </c:pt>
                <c:pt idx="43">
                  <c:v>Liberia</c:v>
                </c:pt>
                <c:pt idx="44">
                  <c:v>Uganda</c:v>
                </c:pt>
                <c:pt idx="45">
                  <c:v>Eswatini</c:v>
                </c:pt>
                <c:pt idx="46">
                  <c:v>Rwanda</c:v>
                </c:pt>
                <c:pt idx="47">
                  <c:v>Lesotho</c:v>
                </c:pt>
              </c:strCache>
            </c:strRef>
          </c:cat>
          <c:val>
            <c:numRef>
              <c:f>'Community health workers'!$D$2:$D$49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2.0834680773705585E-3</c:v>
                </c:pt>
                <c:pt idx="8">
                  <c:v>1.5726963144386104E-2</c:v>
                </c:pt>
                <c:pt idx="9">
                  <c:v>0.11105324997962983</c:v>
                </c:pt>
                <c:pt idx="10">
                  <c:v>0.45573449456448667</c:v>
                </c:pt>
                <c:pt idx="11">
                  <c:v>0.85432005786482601</c:v>
                </c:pt>
                <c:pt idx="12">
                  <c:v>0.87168966892509914</c:v>
                </c:pt>
                <c:pt idx="13">
                  <c:v>1.0557122584451177</c:v>
                </c:pt>
                <c:pt idx="14">
                  <c:v>1.2094311652077474</c:v>
                </c:pt>
                <c:pt idx="15">
                  <c:v>1.3870658076061657</c:v>
                </c:pt>
                <c:pt idx="16">
                  <c:v>1.4619190340729584</c:v>
                </c:pt>
                <c:pt idx="17">
                  <c:v>2.120746774024012</c:v>
                </c:pt>
                <c:pt idx="18">
                  <c:v>2.5895332732804746</c:v>
                </c:pt>
                <c:pt idx="19">
                  <c:v>2.613169192589726</c:v>
                </c:pt>
                <c:pt idx="20">
                  <c:v>2.8588617589778766</c:v>
                </c:pt>
                <c:pt idx="21">
                  <c:v>3.166063053038096</c:v>
                </c:pt>
                <c:pt idx="22">
                  <c:v>3.3312550778874876</c:v>
                </c:pt>
                <c:pt idx="23">
                  <c:v>4.5572739794241075</c:v>
                </c:pt>
                <c:pt idx="24">
                  <c:v>4.7257919700699027</c:v>
                </c:pt>
                <c:pt idx="25">
                  <c:v>5.1689345118262544</c:v>
                </c:pt>
                <c:pt idx="26">
                  <c:v>5.2667646689038072</c:v>
                </c:pt>
                <c:pt idx="27">
                  <c:v>5.7391152671552623</c:v>
                </c:pt>
                <c:pt idx="28">
                  <c:v>7.0490331050606132</c:v>
                </c:pt>
                <c:pt idx="29">
                  <c:v>7.0685523769048926</c:v>
                </c:pt>
                <c:pt idx="30">
                  <c:v>7.1280606585475681</c:v>
                </c:pt>
                <c:pt idx="31">
                  <c:v>8.4758227438758347</c:v>
                </c:pt>
                <c:pt idx="32">
                  <c:v>8.928667078948779</c:v>
                </c:pt>
                <c:pt idx="33">
                  <c:v>9.1895959498746951</c:v>
                </c:pt>
                <c:pt idx="34" formatCode="0.00">
                  <c:v>10.432233706901258</c:v>
                </c:pt>
                <c:pt idx="35">
                  <c:v>10.567021904097372</c:v>
                </c:pt>
                <c:pt idx="36">
                  <c:v>10.831897463504209</c:v>
                </c:pt>
                <c:pt idx="37">
                  <c:v>11.953671244313533</c:v>
                </c:pt>
                <c:pt idx="38">
                  <c:v>12.084161201313416</c:v>
                </c:pt>
                <c:pt idx="39">
                  <c:v>14.053897724393797</c:v>
                </c:pt>
                <c:pt idx="40">
                  <c:v>15.996116939512664</c:v>
                </c:pt>
                <c:pt idx="41">
                  <c:v>16.228744655588287</c:v>
                </c:pt>
                <c:pt idx="42">
                  <c:v>22.881554702193021</c:v>
                </c:pt>
                <c:pt idx="43">
                  <c:v>23.808711102930751</c:v>
                </c:pt>
                <c:pt idx="44">
                  <c:v>37.883930620766314</c:v>
                </c:pt>
                <c:pt idx="45">
                  <c:v>38.167125193710874</c:v>
                </c:pt>
                <c:pt idx="46">
                  <c:v>42.511639672715482</c:v>
                </c:pt>
                <c:pt idx="47">
                  <c:v>62.918898242733405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0C-4A39-9DD6-29EAF4A21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0"/>
        <c:axId val="1329124735"/>
        <c:axId val="60391183"/>
      </c:barChart>
      <c:scatterChart>
        <c:scatterStyle val="lineMarker"/>
        <c:varyColors val="0"/>
        <c:ser>
          <c:idx val="1"/>
          <c:order val="0"/>
          <c:tx>
            <c:strRef>
              <c:f>'Community health workers'!$C$1</c:f>
              <c:strCache>
                <c:ptCount val="1"/>
                <c:pt idx="0">
                  <c:v> Density per 10,000 (2018)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'Community health workers'!$A$2:$A$49</c:f>
              <c:strCache>
                <c:ptCount val="48"/>
                <c:pt idx="0">
                  <c:v>Algeria</c:v>
                </c:pt>
                <c:pt idx="1">
                  <c:v>Botswana</c:v>
                </c:pt>
                <c:pt idx="2">
                  <c:v>Comoros</c:v>
                </c:pt>
                <c:pt idx="3">
                  <c:v>Congo</c:v>
                </c:pt>
                <c:pt idx="4">
                  <c:v>DRC</c:v>
                </c:pt>
                <c:pt idx="5">
                  <c:v>Sao Tome and Principe</c:v>
                </c:pt>
                <c:pt idx="6">
                  <c:v>Seychelles</c:v>
                </c:pt>
                <c:pt idx="7">
                  <c:v>Angola</c:v>
                </c:pt>
                <c:pt idx="8">
                  <c:v>Benin</c:v>
                </c:pt>
                <c:pt idx="9">
                  <c:v>Cameroon</c:v>
                </c:pt>
                <c:pt idx="10">
                  <c:v>Gabon</c:v>
                </c:pt>
                <c:pt idx="11">
                  <c:v>Niger</c:v>
                </c:pt>
                <c:pt idx="12">
                  <c:v>Equatorial Guinea</c:v>
                </c:pt>
                <c:pt idx="13">
                  <c:v>Mauritania</c:v>
                </c:pt>
                <c:pt idx="14">
                  <c:v>Zambia</c:v>
                </c:pt>
                <c:pt idx="15">
                  <c:v>Burkina Faso</c:v>
                </c:pt>
                <c:pt idx="16">
                  <c:v>Mali</c:v>
                </c:pt>
                <c:pt idx="17">
                  <c:v>Mozambique</c:v>
                </c:pt>
                <c:pt idx="18">
                  <c:v>South Sudan</c:v>
                </c:pt>
                <c:pt idx="19">
                  <c:v>Cape-Verde</c:v>
                </c:pt>
                <c:pt idx="20">
                  <c:v>Central African Republic</c:v>
                </c:pt>
                <c:pt idx="21">
                  <c:v>Tanzania</c:v>
                </c:pt>
                <c:pt idx="22">
                  <c:v>Ethiopia</c:v>
                </c:pt>
                <c:pt idx="23">
                  <c:v>Chad</c:v>
                </c:pt>
                <c:pt idx="24">
                  <c:v>Ghana</c:v>
                </c:pt>
                <c:pt idx="25">
                  <c:v>Cote d'Ivoire</c:v>
                </c:pt>
                <c:pt idx="26">
                  <c:v>Malawi</c:v>
                </c:pt>
                <c:pt idx="27">
                  <c:v>Gambia</c:v>
                </c:pt>
                <c:pt idx="28">
                  <c:v>Mauritius</c:v>
                </c:pt>
                <c:pt idx="29">
                  <c:v>Nigeria</c:v>
                </c:pt>
                <c:pt idx="30">
                  <c:v>Eritrea</c:v>
                </c:pt>
                <c:pt idx="31">
                  <c:v>Togo</c:v>
                </c:pt>
                <c:pt idx="32">
                  <c:v>Namibia</c:v>
                </c:pt>
                <c:pt idx="33">
                  <c:v>Burundi</c:v>
                </c:pt>
                <c:pt idx="34">
                  <c:v>AFRO</c:v>
                </c:pt>
                <c:pt idx="35">
                  <c:v>South Africa</c:v>
                </c:pt>
                <c:pt idx="36">
                  <c:v>Senegal</c:v>
                </c:pt>
                <c:pt idx="37">
                  <c:v>Guinea</c:v>
                </c:pt>
                <c:pt idx="38">
                  <c:v>Zimbabwe</c:v>
                </c:pt>
                <c:pt idx="39">
                  <c:v>Madagascar</c:v>
                </c:pt>
                <c:pt idx="40">
                  <c:v>Kenya</c:v>
                </c:pt>
                <c:pt idx="41">
                  <c:v>Sierra Leone</c:v>
                </c:pt>
                <c:pt idx="42">
                  <c:v>Guinea-Bissau</c:v>
                </c:pt>
                <c:pt idx="43">
                  <c:v>Liberia</c:v>
                </c:pt>
                <c:pt idx="44">
                  <c:v>Uganda</c:v>
                </c:pt>
                <c:pt idx="45">
                  <c:v>Eswatini</c:v>
                </c:pt>
                <c:pt idx="46">
                  <c:v>Rwanda</c:v>
                </c:pt>
                <c:pt idx="47">
                  <c:v>Lesotho</c:v>
                </c:pt>
              </c:strCache>
            </c:strRef>
          </c:xVal>
          <c:yVal>
            <c:numRef>
              <c:f>'Community health workers'!$C$2:$C$49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0.53719546173436805</c:v>
                </c:pt>
                <c:pt idx="8">
                  <c:v>0</c:v>
                </c:pt>
                <c:pt idx="9">
                  <c:v>0</c:v>
                </c:pt>
                <c:pt idx="10">
                  <c:v>0.53375632381490701</c:v>
                </c:pt>
                <c:pt idx="11">
                  <c:v>2.4361012847643838E-2</c:v>
                </c:pt>
                <c:pt idx="12">
                  <c:v>0</c:v>
                </c:pt>
                <c:pt idx="13">
                  <c:v>1.1707651055333528</c:v>
                </c:pt>
                <c:pt idx="14">
                  <c:v>0.71933600409018006</c:v>
                </c:pt>
                <c:pt idx="15">
                  <c:v>1.3480298830126805</c:v>
                </c:pt>
                <c:pt idx="16">
                  <c:v>0.57789845421193153</c:v>
                </c:pt>
                <c:pt idx="17">
                  <c:v>1.6269099262355917</c:v>
                </c:pt>
                <c:pt idx="18">
                  <c:v>1.3996670331613827</c:v>
                </c:pt>
                <c:pt idx="19">
                  <c:v>2.0483139487553865</c:v>
                </c:pt>
                <c:pt idx="20">
                  <c:v>0.22572122839455289</c:v>
                </c:pt>
                <c:pt idx="21">
                  <c:v>0</c:v>
                </c:pt>
                <c:pt idx="22">
                  <c:v>3.352756989556628</c:v>
                </c:pt>
                <c:pt idx="23">
                  <c:v>4.4859688507140061E-3</c:v>
                </c:pt>
                <c:pt idx="24">
                  <c:v>5.1246102263411091</c:v>
                </c:pt>
                <c:pt idx="25">
                  <c:v>5.709581299920961</c:v>
                </c:pt>
                <c:pt idx="26">
                  <c:v>5.4529964068259842</c:v>
                </c:pt>
                <c:pt idx="27">
                  <c:v>6.3519577670475691</c:v>
                </c:pt>
                <c:pt idx="28">
                  <c:v>1.3895520354428401</c:v>
                </c:pt>
                <c:pt idx="29">
                  <c:v>5.8700234392393922</c:v>
                </c:pt>
                <c:pt idx="30">
                  <c:v>0.70529343036584291</c:v>
                </c:pt>
                <c:pt idx="31">
                  <c:v>9.3206153743674882</c:v>
                </c:pt>
                <c:pt idx="32">
                  <c:v>9.5274497174500095</c:v>
                </c:pt>
                <c:pt idx="33">
                  <c:v>10.305849689900079</c:v>
                </c:pt>
                <c:pt idx="34" formatCode="0.00">
                  <c:v>10.293177863764198</c:v>
                </c:pt>
                <c:pt idx="35">
                  <c:v>9.448961438279122</c:v>
                </c:pt>
                <c:pt idx="36">
                  <c:v>11.182729863782834</c:v>
                </c:pt>
                <c:pt idx="37">
                  <c:v>13.195682040216365</c:v>
                </c:pt>
                <c:pt idx="38">
                  <c:v>10.555278888432397</c:v>
                </c:pt>
                <c:pt idx="39">
                  <c:v>13.037061273554757</c:v>
                </c:pt>
                <c:pt idx="40">
                  <c:v>11.626658368783776</c:v>
                </c:pt>
                <c:pt idx="41">
                  <c:v>0.64238894399017155</c:v>
                </c:pt>
                <c:pt idx="42">
                  <c:v>21.07582283113706</c:v>
                </c:pt>
                <c:pt idx="43">
                  <c:v>6.9354240640603297</c:v>
                </c:pt>
                <c:pt idx="44">
                  <c:v>43.116535444261082</c:v>
                </c:pt>
                <c:pt idx="45">
                  <c:v>54.497157297633848</c:v>
                </c:pt>
                <c:pt idx="46">
                  <c:v>35.908626907969982</c:v>
                </c:pt>
                <c:pt idx="47">
                  <c:v>66.004949006308863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70C-4A39-9DD6-29EAF4A21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124735"/>
        <c:axId val="60391183"/>
      </c:scatterChart>
      <c:catAx>
        <c:axId val="132912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60391183"/>
        <c:crosses val="autoZero"/>
        <c:auto val="1"/>
        <c:lblAlgn val="ctr"/>
        <c:lblOffset val="100"/>
        <c:noMultiLvlLbl val="0"/>
      </c:catAx>
      <c:valAx>
        <c:axId val="6039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32912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'Other workers'!$D$1</c:f>
              <c:strCache>
                <c:ptCount val="1"/>
                <c:pt idx="0">
                  <c:v> Density per 10,000 (2022)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3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E1E-4B89-917D-6041678BFCA9}"/>
              </c:ext>
            </c:extLst>
          </c:dPt>
          <c:cat>
            <c:strRef>
              <c:f>'Other workers'!$A$2:$A$49</c:f>
              <c:strCache>
                <c:ptCount val="48"/>
                <c:pt idx="0">
                  <c:v>DRC</c:v>
                </c:pt>
                <c:pt idx="1">
                  <c:v>Niger</c:v>
                </c:pt>
                <c:pt idx="2">
                  <c:v>Cameroon</c:v>
                </c:pt>
                <c:pt idx="3">
                  <c:v>Burkina Faso</c:v>
                </c:pt>
                <c:pt idx="4">
                  <c:v>Congo</c:v>
                </c:pt>
                <c:pt idx="5">
                  <c:v>Central African Republic</c:v>
                </c:pt>
                <c:pt idx="6">
                  <c:v>Comoros</c:v>
                </c:pt>
                <c:pt idx="7">
                  <c:v>Benin</c:v>
                </c:pt>
                <c:pt idx="8">
                  <c:v>Mali</c:v>
                </c:pt>
                <c:pt idx="9">
                  <c:v>South Sudan</c:v>
                </c:pt>
                <c:pt idx="10">
                  <c:v>Malawi</c:v>
                </c:pt>
                <c:pt idx="11">
                  <c:v>Guinea</c:v>
                </c:pt>
                <c:pt idx="12">
                  <c:v>Cote d'Ivoire</c:v>
                </c:pt>
                <c:pt idx="13">
                  <c:v>Nigeria</c:v>
                </c:pt>
                <c:pt idx="14">
                  <c:v>Ethiopia</c:v>
                </c:pt>
                <c:pt idx="15">
                  <c:v>Angola</c:v>
                </c:pt>
                <c:pt idx="16">
                  <c:v>Madagascar</c:v>
                </c:pt>
                <c:pt idx="17">
                  <c:v>Senegal</c:v>
                </c:pt>
                <c:pt idx="18">
                  <c:v>Equatorial Guinea</c:v>
                </c:pt>
                <c:pt idx="19">
                  <c:v>Chad</c:v>
                </c:pt>
                <c:pt idx="20">
                  <c:v>Zambia</c:v>
                </c:pt>
                <c:pt idx="21">
                  <c:v>Tanzania</c:v>
                </c:pt>
                <c:pt idx="22">
                  <c:v>Eritrea</c:v>
                </c:pt>
                <c:pt idx="23">
                  <c:v>Sierra Leone</c:v>
                </c:pt>
                <c:pt idx="24">
                  <c:v>Ghana</c:v>
                </c:pt>
                <c:pt idx="25">
                  <c:v>Togo</c:v>
                </c:pt>
                <c:pt idx="26">
                  <c:v>Mauritania</c:v>
                </c:pt>
                <c:pt idx="27">
                  <c:v>Gabon</c:v>
                </c:pt>
                <c:pt idx="28">
                  <c:v>Zimbabwe</c:v>
                </c:pt>
                <c:pt idx="29">
                  <c:v>Gambia</c:v>
                </c:pt>
                <c:pt idx="30">
                  <c:v>AFRO</c:v>
                </c:pt>
                <c:pt idx="31">
                  <c:v>Kenya</c:v>
                </c:pt>
                <c:pt idx="32">
                  <c:v>Guinea-Bissau</c:v>
                </c:pt>
                <c:pt idx="33">
                  <c:v>Botswana</c:v>
                </c:pt>
                <c:pt idx="34">
                  <c:v>South Africa</c:v>
                </c:pt>
                <c:pt idx="35">
                  <c:v>Burundi</c:v>
                </c:pt>
                <c:pt idx="36">
                  <c:v>Namibia</c:v>
                </c:pt>
                <c:pt idx="37">
                  <c:v>Sao Tome and Principe</c:v>
                </c:pt>
                <c:pt idx="38">
                  <c:v>Cape-Verde</c:v>
                </c:pt>
                <c:pt idx="39">
                  <c:v>Mozambique</c:v>
                </c:pt>
                <c:pt idx="40">
                  <c:v>Liberia</c:v>
                </c:pt>
                <c:pt idx="41">
                  <c:v>Uganda</c:v>
                </c:pt>
                <c:pt idx="42">
                  <c:v>Rwanda</c:v>
                </c:pt>
                <c:pt idx="43">
                  <c:v>Seychelles</c:v>
                </c:pt>
                <c:pt idx="44">
                  <c:v>Mauritius</c:v>
                </c:pt>
                <c:pt idx="45">
                  <c:v>Algeria</c:v>
                </c:pt>
                <c:pt idx="46">
                  <c:v>Eswatini</c:v>
                </c:pt>
                <c:pt idx="47">
                  <c:v>Lesotho</c:v>
                </c:pt>
              </c:strCache>
            </c:strRef>
          </c:cat>
          <c:val>
            <c:numRef>
              <c:f>'Other workers'!$D$2:$D$49</c:f>
              <c:numCache>
                <c:formatCode>General</c:formatCode>
                <c:ptCount val="48"/>
                <c:pt idx="0">
                  <c:v>1.6064460590182004</c:v>
                </c:pt>
                <c:pt idx="1">
                  <c:v>2.5989823492576525</c:v>
                </c:pt>
                <c:pt idx="2">
                  <c:v>2.9859846717331378</c:v>
                </c:pt>
                <c:pt idx="3">
                  <c:v>4.6584670006919868</c:v>
                </c:pt>
                <c:pt idx="4">
                  <c:v>7.2792150105252142</c:v>
                </c:pt>
                <c:pt idx="5">
                  <c:v>7.8017480569011566</c:v>
                </c:pt>
                <c:pt idx="6">
                  <c:v>9.0076044008087113</c:v>
                </c:pt>
                <c:pt idx="7">
                  <c:v>10.453140826335456</c:v>
                </c:pt>
                <c:pt idx="8">
                  <c:v>10.512715984650592</c:v>
                </c:pt>
                <c:pt idx="9">
                  <c:v>11.808674908975751</c:v>
                </c:pt>
                <c:pt idx="10">
                  <c:v>12.845430559235803</c:v>
                </c:pt>
                <c:pt idx="11">
                  <c:v>13.053290667041477</c:v>
                </c:pt>
                <c:pt idx="12">
                  <c:v>13.387900643835712</c:v>
                </c:pt>
                <c:pt idx="13">
                  <c:v>13.891883050958661</c:v>
                </c:pt>
                <c:pt idx="14">
                  <c:v>15.250791281886587</c:v>
                </c:pt>
                <c:pt idx="15">
                  <c:v>16.295060637006831</c:v>
                </c:pt>
                <c:pt idx="16">
                  <c:v>17.207717189217753</c:v>
                </c:pt>
                <c:pt idx="17">
                  <c:v>17.279709823939974</c:v>
                </c:pt>
                <c:pt idx="18">
                  <c:v>17.296472403260356</c:v>
                </c:pt>
                <c:pt idx="19">
                  <c:v>19.134534593819922</c:v>
                </c:pt>
                <c:pt idx="20">
                  <c:v>20.979369324854559</c:v>
                </c:pt>
                <c:pt idx="21">
                  <c:v>21.077761406905779</c:v>
                </c:pt>
                <c:pt idx="22">
                  <c:v>21.333867423538706</c:v>
                </c:pt>
                <c:pt idx="23">
                  <c:v>21.943167738064904</c:v>
                </c:pt>
                <c:pt idx="24">
                  <c:v>22.610200047155839</c:v>
                </c:pt>
                <c:pt idx="25">
                  <c:v>23.934903744456289</c:v>
                </c:pt>
                <c:pt idx="26">
                  <c:v>24.184256416460755</c:v>
                </c:pt>
                <c:pt idx="27">
                  <c:v>25.853652875942235</c:v>
                </c:pt>
                <c:pt idx="28">
                  <c:v>25.895700272536768</c:v>
                </c:pt>
                <c:pt idx="29">
                  <c:v>26.021236160614649</c:v>
                </c:pt>
                <c:pt idx="30">
                  <c:v>27.342382346071645</c:v>
                </c:pt>
                <c:pt idx="31">
                  <c:v>28.237952683290491</c:v>
                </c:pt>
                <c:pt idx="32">
                  <c:v>30.758335221751548</c:v>
                </c:pt>
                <c:pt idx="33">
                  <c:v>31.089269196228852</c:v>
                </c:pt>
                <c:pt idx="34">
                  <c:v>31.953268649492806</c:v>
                </c:pt>
                <c:pt idx="35">
                  <c:v>32.677825618073008</c:v>
                </c:pt>
                <c:pt idx="36">
                  <c:v>32.852091573059646</c:v>
                </c:pt>
                <c:pt idx="37">
                  <c:v>36.42137080117601</c:v>
                </c:pt>
                <c:pt idx="38">
                  <c:v>41.402684045284943</c:v>
                </c:pt>
                <c:pt idx="39">
                  <c:v>42.24648380749376</c:v>
                </c:pt>
                <c:pt idx="40">
                  <c:v>43.559097746969861</c:v>
                </c:pt>
                <c:pt idx="41">
                  <c:v>45.262166963612259</c:v>
                </c:pt>
                <c:pt idx="42">
                  <c:v>46.22297905575703</c:v>
                </c:pt>
                <c:pt idx="43">
                  <c:v>54.452272032846714</c:v>
                </c:pt>
                <c:pt idx="44">
                  <c:v>56.818910790883159</c:v>
                </c:pt>
                <c:pt idx="45">
                  <c:v>81.723256247054991</c:v>
                </c:pt>
                <c:pt idx="46">
                  <c:v>88.53557152009499</c:v>
                </c:pt>
                <c:pt idx="47">
                  <c:v>102.68854878266576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1E-4B89-917D-6041678BF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35567759"/>
        <c:axId val="124553775"/>
      </c:barChart>
      <c:scatterChart>
        <c:scatterStyle val="lineMarker"/>
        <c:varyColors val="0"/>
        <c:ser>
          <c:idx val="0"/>
          <c:order val="0"/>
          <c:tx>
            <c:strRef>
              <c:f>'Other workers'!$B$1</c:f>
              <c:strCache>
                <c:ptCount val="1"/>
                <c:pt idx="0">
                  <c:v> Density per 10,000 (2013)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'Other workers'!$A$2:$A$49</c:f>
              <c:strCache>
                <c:ptCount val="48"/>
                <c:pt idx="0">
                  <c:v>DRC</c:v>
                </c:pt>
                <c:pt idx="1">
                  <c:v>Niger</c:v>
                </c:pt>
                <c:pt idx="2">
                  <c:v>Cameroon</c:v>
                </c:pt>
                <c:pt idx="3">
                  <c:v>Burkina Faso</c:v>
                </c:pt>
                <c:pt idx="4">
                  <c:v>Congo</c:v>
                </c:pt>
                <c:pt idx="5">
                  <c:v>Central African Republic</c:v>
                </c:pt>
                <c:pt idx="6">
                  <c:v>Comoros</c:v>
                </c:pt>
                <c:pt idx="7">
                  <c:v>Benin</c:v>
                </c:pt>
                <c:pt idx="8">
                  <c:v>Mali</c:v>
                </c:pt>
                <c:pt idx="9">
                  <c:v>South Sudan</c:v>
                </c:pt>
                <c:pt idx="10">
                  <c:v>Malawi</c:v>
                </c:pt>
                <c:pt idx="11">
                  <c:v>Guinea</c:v>
                </c:pt>
                <c:pt idx="12">
                  <c:v>Cote d'Ivoire</c:v>
                </c:pt>
                <c:pt idx="13">
                  <c:v>Nigeria</c:v>
                </c:pt>
                <c:pt idx="14">
                  <c:v>Ethiopia</c:v>
                </c:pt>
                <c:pt idx="15">
                  <c:v>Angola</c:v>
                </c:pt>
                <c:pt idx="16">
                  <c:v>Madagascar</c:v>
                </c:pt>
                <c:pt idx="17">
                  <c:v>Senegal</c:v>
                </c:pt>
                <c:pt idx="18">
                  <c:v>Equatorial Guinea</c:v>
                </c:pt>
                <c:pt idx="19">
                  <c:v>Chad</c:v>
                </c:pt>
                <c:pt idx="20">
                  <c:v>Zambia</c:v>
                </c:pt>
                <c:pt idx="21">
                  <c:v>Tanzania</c:v>
                </c:pt>
                <c:pt idx="22">
                  <c:v>Eritrea</c:v>
                </c:pt>
                <c:pt idx="23">
                  <c:v>Sierra Leone</c:v>
                </c:pt>
                <c:pt idx="24">
                  <c:v>Ghana</c:v>
                </c:pt>
                <c:pt idx="25">
                  <c:v>Togo</c:v>
                </c:pt>
                <c:pt idx="26">
                  <c:v>Mauritania</c:v>
                </c:pt>
                <c:pt idx="27">
                  <c:v>Gabon</c:v>
                </c:pt>
                <c:pt idx="28">
                  <c:v>Zimbabwe</c:v>
                </c:pt>
                <c:pt idx="29">
                  <c:v>Gambia</c:v>
                </c:pt>
                <c:pt idx="30">
                  <c:v>AFRO</c:v>
                </c:pt>
                <c:pt idx="31">
                  <c:v>Kenya</c:v>
                </c:pt>
                <c:pt idx="32">
                  <c:v>Guinea-Bissau</c:v>
                </c:pt>
                <c:pt idx="33">
                  <c:v>Botswana</c:v>
                </c:pt>
                <c:pt idx="34">
                  <c:v>South Africa</c:v>
                </c:pt>
                <c:pt idx="35">
                  <c:v>Burundi</c:v>
                </c:pt>
                <c:pt idx="36">
                  <c:v>Namibia</c:v>
                </c:pt>
                <c:pt idx="37">
                  <c:v>Sao Tome and Principe</c:v>
                </c:pt>
                <c:pt idx="38">
                  <c:v>Cape-Verde</c:v>
                </c:pt>
                <c:pt idx="39">
                  <c:v>Mozambique</c:v>
                </c:pt>
                <c:pt idx="40">
                  <c:v>Liberia</c:v>
                </c:pt>
                <c:pt idx="41">
                  <c:v>Uganda</c:v>
                </c:pt>
                <c:pt idx="42">
                  <c:v>Rwanda</c:v>
                </c:pt>
                <c:pt idx="43">
                  <c:v>Seychelles</c:v>
                </c:pt>
                <c:pt idx="44">
                  <c:v>Mauritius</c:v>
                </c:pt>
                <c:pt idx="45">
                  <c:v>Algeria</c:v>
                </c:pt>
                <c:pt idx="46">
                  <c:v>Eswatini</c:v>
                </c:pt>
                <c:pt idx="47">
                  <c:v>Lesotho</c:v>
                </c:pt>
              </c:strCache>
            </c:strRef>
          </c:xVal>
          <c:yVal>
            <c:numRef>
              <c:f>'Other workers'!$B$2:$B$49</c:f>
              <c:numCache>
                <c:formatCode>General</c:formatCode>
                <c:ptCount val="48"/>
                <c:pt idx="0">
                  <c:v>0.41736987796396086</c:v>
                </c:pt>
                <c:pt idx="1">
                  <c:v>3.5168230393081639</c:v>
                </c:pt>
                <c:pt idx="2">
                  <c:v>0</c:v>
                </c:pt>
                <c:pt idx="3">
                  <c:v>2.5997358022034818</c:v>
                </c:pt>
                <c:pt idx="4">
                  <c:v>10.196628401866455</c:v>
                </c:pt>
                <c:pt idx="5">
                  <c:v>0.79959545467464954</c:v>
                </c:pt>
                <c:pt idx="6">
                  <c:v>12.024721454691029</c:v>
                </c:pt>
                <c:pt idx="7">
                  <c:v>14.614796652216302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6.0603703338540411</c:v>
                </c:pt>
                <c:pt idx="12">
                  <c:v>2.1941080188751148</c:v>
                </c:pt>
                <c:pt idx="13">
                  <c:v>18.948340028845195</c:v>
                </c:pt>
                <c:pt idx="14">
                  <c:v>5.2634633263197068E-2</c:v>
                </c:pt>
                <c:pt idx="15">
                  <c:v>0.23023672082940894</c:v>
                </c:pt>
                <c:pt idx="16">
                  <c:v>7.376609200407995E-2</c:v>
                </c:pt>
                <c:pt idx="17">
                  <c:v>3.62765344332312</c:v>
                </c:pt>
                <c:pt idx="18">
                  <c:v>4.8233798869882084E-2</c:v>
                </c:pt>
                <c:pt idx="19">
                  <c:v>1.2590068834158492</c:v>
                </c:pt>
                <c:pt idx="20">
                  <c:v>3.5799203096873948</c:v>
                </c:pt>
                <c:pt idx="21">
                  <c:v>3.0521599889356406</c:v>
                </c:pt>
                <c:pt idx="22">
                  <c:v>0</c:v>
                </c:pt>
                <c:pt idx="23">
                  <c:v>6.5428464914254931</c:v>
                </c:pt>
                <c:pt idx="24">
                  <c:v>8.8612065344123181</c:v>
                </c:pt>
                <c:pt idx="25">
                  <c:v>0.89780388445123283</c:v>
                </c:pt>
                <c:pt idx="26">
                  <c:v>0.65189065656343048</c:v>
                </c:pt>
                <c:pt idx="27">
                  <c:v>6.8078117931802522</c:v>
                </c:pt>
                <c:pt idx="28">
                  <c:v>11.673558066785303</c:v>
                </c:pt>
                <c:pt idx="29">
                  <c:v>4.7249960526987653</c:v>
                </c:pt>
                <c:pt idx="30">
                  <c:v>8.3497580937222491</c:v>
                </c:pt>
                <c:pt idx="31">
                  <c:v>3.0424825943562523</c:v>
                </c:pt>
                <c:pt idx="32">
                  <c:v>2.921509466191333</c:v>
                </c:pt>
                <c:pt idx="33">
                  <c:v>4.5100343754820074</c:v>
                </c:pt>
                <c:pt idx="34">
                  <c:v>4.3563068051715703</c:v>
                </c:pt>
                <c:pt idx="35">
                  <c:v>4.33515582298869E-2</c:v>
                </c:pt>
                <c:pt idx="36">
                  <c:v>0</c:v>
                </c:pt>
                <c:pt idx="37">
                  <c:v>1.4451090799300157</c:v>
                </c:pt>
                <c:pt idx="38">
                  <c:v>141.90465607289701</c:v>
                </c:pt>
                <c:pt idx="39">
                  <c:v>2.099658039284515</c:v>
                </c:pt>
                <c:pt idx="40">
                  <c:v>4.5987266541496687</c:v>
                </c:pt>
                <c:pt idx="41">
                  <c:v>58.880912819428268</c:v>
                </c:pt>
                <c:pt idx="42">
                  <c:v>2.4069145827721221</c:v>
                </c:pt>
                <c:pt idx="43">
                  <c:v>0</c:v>
                </c:pt>
                <c:pt idx="44">
                  <c:v>0</c:v>
                </c:pt>
                <c:pt idx="45">
                  <c:v>5.2630711233142405E-2</c:v>
                </c:pt>
                <c:pt idx="46">
                  <c:v>41.678626581503138</c:v>
                </c:pt>
                <c:pt idx="47">
                  <c:v>1.0414966499729863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1E-4B89-917D-6041678BFCA9}"/>
            </c:ext>
          </c:extLst>
        </c:ser>
        <c:ser>
          <c:idx val="1"/>
          <c:order val="1"/>
          <c:tx>
            <c:strRef>
              <c:f>'Other workers'!$C$1</c:f>
              <c:strCache>
                <c:ptCount val="1"/>
                <c:pt idx="0">
                  <c:v> Density per 10,000 (2018)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'Other workers'!$A$2:$A$49</c:f>
              <c:strCache>
                <c:ptCount val="48"/>
                <c:pt idx="0">
                  <c:v>DRC</c:v>
                </c:pt>
                <c:pt idx="1">
                  <c:v>Niger</c:v>
                </c:pt>
                <c:pt idx="2">
                  <c:v>Cameroon</c:v>
                </c:pt>
                <c:pt idx="3">
                  <c:v>Burkina Faso</c:v>
                </c:pt>
                <c:pt idx="4">
                  <c:v>Congo</c:v>
                </c:pt>
                <c:pt idx="5">
                  <c:v>Central African Republic</c:v>
                </c:pt>
                <c:pt idx="6">
                  <c:v>Comoros</c:v>
                </c:pt>
                <c:pt idx="7">
                  <c:v>Benin</c:v>
                </c:pt>
                <c:pt idx="8">
                  <c:v>Mali</c:v>
                </c:pt>
                <c:pt idx="9">
                  <c:v>South Sudan</c:v>
                </c:pt>
                <c:pt idx="10">
                  <c:v>Malawi</c:v>
                </c:pt>
                <c:pt idx="11">
                  <c:v>Guinea</c:v>
                </c:pt>
                <c:pt idx="12">
                  <c:v>Cote d'Ivoire</c:v>
                </c:pt>
                <c:pt idx="13">
                  <c:v>Nigeria</c:v>
                </c:pt>
                <c:pt idx="14">
                  <c:v>Ethiopia</c:v>
                </c:pt>
                <c:pt idx="15">
                  <c:v>Angola</c:v>
                </c:pt>
                <c:pt idx="16">
                  <c:v>Madagascar</c:v>
                </c:pt>
                <c:pt idx="17">
                  <c:v>Senegal</c:v>
                </c:pt>
                <c:pt idx="18">
                  <c:v>Equatorial Guinea</c:v>
                </c:pt>
                <c:pt idx="19">
                  <c:v>Chad</c:v>
                </c:pt>
                <c:pt idx="20">
                  <c:v>Zambia</c:v>
                </c:pt>
                <c:pt idx="21">
                  <c:v>Tanzania</c:v>
                </c:pt>
                <c:pt idx="22">
                  <c:v>Eritrea</c:v>
                </c:pt>
                <c:pt idx="23">
                  <c:v>Sierra Leone</c:v>
                </c:pt>
                <c:pt idx="24">
                  <c:v>Ghana</c:v>
                </c:pt>
                <c:pt idx="25">
                  <c:v>Togo</c:v>
                </c:pt>
                <c:pt idx="26">
                  <c:v>Mauritania</c:v>
                </c:pt>
                <c:pt idx="27">
                  <c:v>Gabon</c:v>
                </c:pt>
                <c:pt idx="28">
                  <c:v>Zimbabwe</c:v>
                </c:pt>
                <c:pt idx="29">
                  <c:v>Gambia</c:v>
                </c:pt>
                <c:pt idx="30">
                  <c:v>AFRO</c:v>
                </c:pt>
                <c:pt idx="31">
                  <c:v>Kenya</c:v>
                </c:pt>
                <c:pt idx="32">
                  <c:v>Guinea-Bissau</c:v>
                </c:pt>
                <c:pt idx="33">
                  <c:v>Botswana</c:v>
                </c:pt>
                <c:pt idx="34">
                  <c:v>South Africa</c:v>
                </c:pt>
                <c:pt idx="35">
                  <c:v>Burundi</c:v>
                </c:pt>
                <c:pt idx="36">
                  <c:v>Namibia</c:v>
                </c:pt>
                <c:pt idx="37">
                  <c:v>Sao Tome and Principe</c:v>
                </c:pt>
                <c:pt idx="38">
                  <c:v>Cape-Verde</c:v>
                </c:pt>
                <c:pt idx="39">
                  <c:v>Mozambique</c:v>
                </c:pt>
                <c:pt idx="40">
                  <c:v>Liberia</c:v>
                </c:pt>
                <c:pt idx="41">
                  <c:v>Uganda</c:v>
                </c:pt>
                <c:pt idx="42">
                  <c:v>Rwanda</c:v>
                </c:pt>
                <c:pt idx="43">
                  <c:v>Seychelles</c:v>
                </c:pt>
                <c:pt idx="44">
                  <c:v>Mauritius</c:v>
                </c:pt>
                <c:pt idx="45">
                  <c:v>Algeria</c:v>
                </c:pt>
                <c:pt idx="46">
                  <c:v>Eswatini</c:v>
                </c:pt>
                <c:pt idx="47">
                  <c:v>Lesotho</c:v>
                </c:pt>
              </c:strCache>
            </c:strRef>
          </c:xVal>
          <c:yVal>
            <c:numRef>
              <c:f>'Other workers'!$C$2:$C$49</c:f>
              <c:numCache>
                <c:formatCode>General</c:formatCode>
                <c:ptCount val="48"/>
                <c:pt idx="0">
                  <c:v>9.8604441482922525</c:v>
                </c:pt>
                <c:pt idx="1">
                  <c:v>1.5878951101600574</c:v>
                </c:pt>
                <c:pt idx="2">
                  <c:v>6.7165810365391669</c:v>
                </c:pt>
                <c:pt idx="3">
                  <c:v>3.7258388690907043</c:v>
                </c:pt>
                <c:pt idx="4">
                  <c:v>6.0778575947122118</c:v>
                </c:pt>
                <c:pt idx="5">
                  <c:v>2.017751502518264</c:v>
                </c:pt>
                <c:pt idx="6">
                  <c:v>15.650893614499799</c:v>
                </c:pt>
                <c:pt idx="7">
                  <c:v>9.7917342838875214</c:v>
                </c:pt>
                <c:pt idx="8">
                  <c:v>7.1545032586550068</c:v>
                </c:pt>
                <c:pt idx="9">
                  <c:v>9.7409129744276033</c:v>
                </c:pt>
                <c:pt idx="10">
                  <c:v>8.0755087562350063</c:v>
                </c:pt>
                <c:pt idx="11">
                  <c:v>14.409554161257576</c:v>
                </c:pt>
                <c:pt idx="12">
                  <c:v>20.123567561819524</c:v>
                </c:pt>
                <c:pt idx="13">
                  <c:v>26.795572759104093</c:v>
                </c:pt>
                <c:pt idx="14">
                  <c:v>14.399424930053186</c:v>
                </c:pt>
                <c:pt idx="15">
                  <c:v>16.090283115757977</c:v>
                </c:pt>
                <c:pt idx="16">
                  <c:v>16.426697204678998</c:v>
                </c:pt>
                <c:pt idx="17">
                  <c:v>21.98985560686101</c:v>
                </c:pt>
                <c:pt idx="18">
                  <c:v>13.241536883738439</c:v>
                </c:pt>
                <c:pt idx="19">
                  <c:v>2.4352402332447465</c:v>
                </c:pt>
                <c:pt idx="20">
                  <c:v>18.153842927853422</c:v>
                </c:pt>
                <c:pt idx="21">
                  <c:v>11.995776998980709</c:v>
                </c:pt>
                <c:pt idx="22">
                  <c:v>15.914090035785666</c:v>
                </c:pt>
                <c:pt idx="23">
                  <c:v>2.747643800037169</c:v>
                </c:pt>
                <c:pt idx="24">
                  <c:v>20.294363506970317</c:v>
                </c:pt>
                <c:pt idx="25">
                  <c:v>27.897223189840187</c:v>
                </c:pt>
                <c:pt idx="26">
                  <c:v>26.819887037558036</c:v>
                </c:pt>
                <c:pt idx="27">
                  <c:v>19.721611861981561</c:v>
                </c:pt>
                <c:pt idx="28">
                  <c:v>24.478839748437824</c:v>
                </c:pt>
                <c:pt idx="29">
                  <c:v>10.707936531957847</c:v>
                </c:pt>
                <c:pt idx="30">
                  <c:v>26.690656580821251</c:v>
                </c:pt>
                <c:pt idx="31">
                  <c:v>18.43441627004292</c:v>
                </c:pt>
                <c:pt idx="32">
                  <c:v>32.016341165466521</c:v>
                </c:pt>
                <c:pt idx="33">
                  <c:v>30.541625355382433</c:v>
                </c:pt>
                <c:pt idx="34">
                  <c:v>36.776829849021532</c:v>
                </c:pt>
                <c:pt idx="35">
                  <c:v>32.732492290732871</c:v>
                </c:pt>
                <c:pt idx="36">
                  <c:v>39.793314199454151</c:v>
                </c:pt>
                <c:pt idx="37">
                  <c:v>52.284427284427281</c:v>
                </c:pt>
                <c:pt idx="38">
                  <c:v>92.384211175916022</c:v>
                </c:pt>
                <c:pt idx="39">
                  <c:v>25.972782615996739</c:v>
                </c:pt>
                <c:pt idx="40">
                  <c:v>28.355269603105992</c:v>
                </c:pt>
                <c:pt idx="41">
                  <c:v>45.975234006565493</c:v>
                </c:pt>
                <c:pt idx="42">
                  <c:v>39.643124106398872</c:v>
                </c:pt>
                <c:pt idx="43">
                  <c:v>50.726957061522185</c:v>
                </c:pt>
                <c:pt idx="44">
                  <c:v>49.136103919964881</c:v>
                </c:pt>
                <c:pt idx="45">
                  <c:v>57.067989613472768</c:v>
                </c:pt>
                <c:pt idx="46">
                  <c:v>103.65145603667615</c:v>
                </c:pt>
                <c:pt idx="47">
                  <c:v>113.92541549951613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1E-4B89-917D-6041678BF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567759"/>
        <c:axId val="124553775"/>
      </c:scatterChart>
      <c:catAx>
        <c:axId val="73556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24553775"/>
        <c:crosses val="autoZero"/>
        <c:auto val="1"/>
        <c:lblAlgn val="ctr"/>
        <c:lblOffset val="100"/>
        <c:noMultiLvlLbl val="0"/>
      </c:catAx>
      <c:valAx>
        <c:axId val="12455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73556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'SDG 3c '!$A$2</c:f>
              <c:strCache>
                <c:ptCount val="1"/>
                <c:pt idx="0">
                  <c:v>SDG 3c Occupations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'SDG 3c '!$B$1:$D$1</c:f>
              <c:strCache>
                <c:ptCount val="3"/>
                <c:pt idx="0">
                  <c:v> Density per 10,000 (2013)</c:v>
                </c:pt>
                <c:pt idx="1">
                  <c:v> Density per 10,000 (2018)</c:v>
                </c:pt>
                <c:pt idx="2">
                  <c:v> Density per 10,000 (2022)</c:v>
                </c:pt>
              </c:strCache>
            </c:strRef>
          </c:cat>
          <c:val>
            <c:numRef>
              <c:f>'SDG 3c '!$B$2:$D$2</c:f>
              <c:numCache>
                <c:formatCode>0.00</c:formatCode>
                <c:ptCount val="3"/>
                <c:pt idx="0">
                  <c:v>11.13650671070585</c:v>
                </c:pt>
                <c:pt idx="1">
                  <c:v>23.576970255075228</c:v>
                </c:pt>
                <c:pt idx="2">
                  <c:v>26.824343944304964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9-4C3E-B4E0-D57C52C14B5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90"/>
        <c:overlap val="-27"/>
        <c:axId val="1066098319"/>
        <c:axId val="1066094479"/>
      </c:barChart>
      <c:catAx>
        <c:axId val="106609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066094479"/>
        <c:crosses val="autoZero"/>
        <c:auto val="1"/>
        <c:lblAlgn val="ctr"/>
        <c:lblOffset val="100"/>
        <c:noMultiLvlLbl val="0"/>
      </c:catAx>
      <c:valAx>
        <c:axId val="1066094479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06609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'SDG 3c '!$B$26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'SDG 3c '!$A$27:$A$31</c:f>
              <c:strCache>
                <c:ptCount val="5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</c:strCache>
            </c:strRef>
          </c:cat>
          <c:val>
            <c:numRef>
              <c:f>'SDG 3c '!$B$27:$B$31</c:f>
              <c:numCache>
                <c:formatCode>0.00</c:formatCode>
                <c:ptCount val="5"/>
                <c:pt idx="0">
                  <c:v>1.4360619707825135</c:v>
                </c:pt>
                <c:pt idx="1">
                  <c:v>7.8859215776329581</c:v>
                </c:pt>
                <c:pt idx="2">
                  <c:v>1.2350517318887642</c:v>
                </c:pt>
                <c:pt idx="3">
                  <c:v>0.15328749771229525</c:v>
                </c:pt>
                <c:pt idx="4">
                  <c:v>0.26443342356580612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9-42E3-9237-4C619EFF1831}"/>
            </c:ext>
          </c:extLst>
        </c:ser>
        <c:ser>
          <c:idx val="1"/>
          <c:order val="1"/>
          <c:tx>
            <c:strRef>
              <c:f>'SDG 3c '!$C$26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'SDG 3c '!$A$27:$A$31</c:f>
              <c:strCache>
                <c:ptCount val="5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</c:strCache>
            </c:strRef>
          </c:cat>
          <c:val>
            <c:numRef>
              <c:f>'SDG 3c '!$C$27:$C$31</c:f>
              <c:numCache>
                <c:formatCode>0.00</c:formatCode>
                <c:ptCount val="5"/>
                <c:pt idx="0">
                  <c:v>3.4003387838166272</c:v>
                </c:pt>
                <c:pt idx="1">
                  <c:v>15.694911183818338</c:v>
                </c:pt>
                <c:pt idx="2">
                  <c:v>1.975870818811178</c:v>
                </c:pt>
                <c:pt idx="3">
                  <c:v>0.44274520045280896</c:v>
                </c:pt>
                <c:pt idx="4">
                  <c:v>1.0906498566266449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59-42E3-9237-4C619EFF1831}"/>
            </c:ext>
          </c:extLst>
        </c:ser>
        <c:ser>
          <c:idx val="2"/>
          <c:order val="2"/>
          <c:tx>
            <c:strRef>
              <c:f>'SDG 3c '!$D$26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'SDG 3c '!$A$27:$A$31</c:f>
              <c:strCache>
                <c:ptCount val="5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</c:strCache>
            </c:strRef>
          </c:cat>
          <c:val>
            <c:numRef>
              <c:f>'SDG 3c '!$D$27:$D$31</c:f>
              <c:numCache>
                <c:formatCode>0.00</c:formatCode>
                <c:ptCount val="5"/>
                <c:pt idx="0">
                  <c:v>5.3272558356958237</c:v>
                </c:pt>
                <c:pt idx="1">
                  <c:v>16.808155188707438</c:v>
                </c:pt>
                <c:pt idx="2">
                  <c:v>2.5573688553151626</c:v>
                </c:pt>
                <c:pt idx="3">
                  <c:v>0.37161166510087645</c:v>
                </c:pt>
                <c:pt idx="4">
                  <c:v>0.72882071991244723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59-42E3-9237-4C619EFF18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42005327"/>
        <c:axId val="1142016367"/>
      </c:barChart>
      <c:catAx>
        <c:axId val="1142005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SDG 3c occupations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142016367"/>
        <c:crosses val="autoZero"/>
        <c:auto val="1"/>
        <c:lblAlgn val="ctr"/>
        <c:lblOffset val="100"/>
        <c:noMultiLvlLbl val="0"/>
      </c:catAx>
      <c:valAx>
        <c:axId val="1142016367"/>
        <c:scaling>
          <c:orientation val="minMax"/>
          <c:max val="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Density per 10,000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14200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'SDG 3c all countries'!$C$1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'SDG 3c all countries'!$B$2:$B$49</c:f>
              <c:strCache>
                <c:ptCount val="48"/>
                <c:pt idx="0">
                  <c:v>Niger</c:v>
                </c:pt>
                <c:pt idx="1">
                  <c:v>Central African Republic</c:v>
                </c:pt>
                <c:pt idx="2">
                  <c:v>Chad</c:v>
                </c:pt>
                <c:pt idx="3">
                  <c:v>Madagascar</c:v>
                </c:pt>
                <c:pt idx="4">
                  <c:v>Malawi</c:v>
                </c:pt>
                <c:pt idx="5">
                  <c:v>Togo</c:v>
                </c:pt>
                <c:pt idx="6">
                  <c:v>Mali</c:v>
                </c:pt>
                <c:pt idx="7">
                  <c:v>Senegal</c:v>
                </c:pt>
                <c:pt idx="8">
                  <c:v>Guinea</c:v>
                </c:pt>
                <c:pt idx="9">
                  <c:v>Tanzania</c:v>
                </c:pt>
                <c:pt idx="10">
                  <c:v>South Sudan</c:v>
                </c:pt>
                <c:pt idx="11">
                  <c:v>Gambia</c:v>
                </c:pt>
                <c:pt idx="12">
                  <c:v>Benin</c:v>
                </c:pt>
                <c:pt idx="13">
                  <c:v>Burundi</c:v>
                </c:pt>
                <c:pt idx="14">
                  <c:v>Cameroon</c:v>
                </c:pt>
                <c:pt idx="15">
                  <c:v>Equatorial Guinea</c:v>
                </c:pt>
                <c:pt idx="16">
                  <c:v>Burkina Faso</c:v>
                </c:pt>
                <c:pt idx="17">
                  <c:v>Mozambique</c:v>
                </c:pt>
                <c:pt idx="18">
                  <c:v>Cote d'Ivoire</c:v>
                </c:pt>
                <c:pt idx="19">
                  <c:v>Guinea-Bissau</c:v>
                </c:pt>
                <c:pt idx="20">
                  <c:v>Congo</c:v>
                </c:pt>
                <c:pt idx="21">
                  <c:v>Rwanda</c:v>
                </c:pt>
                <c:pt idx="22">
                  <c:v>Liberia</c:v>
                </c:pt>
                <c:pt idx="23">
                  <c:v>DRC</c:v>
                </c:pt>
                <c:pt idx="24">
                  <c:v>Eritrea</c:v>
                </c:pt>
                <c:pt idx="25">
                  <c:v>Ethiopia</c:v>
                </c:pt>
                <c:pt idx="26">
                  <c:v>Mauritania</c:v>
                </c:pt>
                <c:pt idx="27">
                  <c:v>Angola</c:v>
                </c:pt>
                <c:pt idx="28">
                  <c:v>Comoros</c:v>
                </c:pt>
                <c:pt idx="29">
                  <c:v>Nigeria</c:v>
                </c:pt>
                <c:pt idx="30">
                  <c:v>Lesotho</c:v>
                </c:pt>
                <c:pt idx="31">
                  <c:v>Sierra Leone</c:v>
                </c:pt>
                <c:pt idx="32">
                  <c:v>Kenya</c:v>
                </c:pt>
                <c:pt idx="33">
                  <c:v>Uganda</c:v>
                </c:pt>
                <c:pt idx="34">
                  <c:v>AFRO</c:v>
                </c:pt>
                <c:pt idx="35">
                  <c:v>Sao Tome and Principe</c:v>
                </c:pt>
                <c:pt idx="36">
                  <c:v>Gabon</c:v>
                </c:pt>
                <c:pt idx="37">
                  <c:v>Zambia</c:v>
                </c:pt>
                <c:pt idx="38">
                  <c:v>Botswana</c:v>
                </c:pt>
                <c:pt idx="39">
                  <c:v>Zimbabwe</c:v>
                </c:pt>
                <c:pt idx="40">
                  <c:v>Ghana</c:v>
                </c:pt>
                <c:pt idx="41">
                  <c:v>Algeria</c:v>
                </c:pt>
                <c:pt idx="42">
                  <c:v>Eswatini</c:v>
                </c:pt>
                <c:pt idx="43">
                  <c:v>Mauritius</c:v>
                </c:pt>
                <c:pt idx="44">
                  <c:v>Cape-Verde</c:v>
                </c:pt>
                <c:pt idx="45">
                  <c:v>Namibia</c:v>
                </c:pt>
                <c:pt idx="46">
                  <c:v>South Africa</c:v>
                </c:pt>
                <c:pt idx="47">
                  <c:v>Seychelles</c:v>
                </c:pt>
              </c:strCache>
            </c:strRef>
          </c:cat>
          <c:val>
            <c:numRef>
              <c:f>'SDG 3c all countries'!$C$2:$C$49</c:f>
              <c:numCache>
                <c:formatCode>_(* #,##0.00_);_(* \(#,##0.00\);_(* "-"??_);_(@_)</c:formatCode>
                <c:ptCount val="48"/>
                <c:pt idx="0">
                  <c:v>2.9362255771784778</c:v>
                </c:pt>
                <c:pt idx="1">
                  <c:v>2.4570901992606395</c:v>
                </c:pt>
                <c:pt idx="2">
                  <c:v>3.557602383306083</c:v>
                </c:pt>
                <c:pt idx="3">
                  <c:v>4.4467387300620373</c:v>
                </c:pt>
                <c:pt idx="4">
                  <c:v>2.4730455662233775</c:v>
                </c:pt>
                <c:pt idx="5">
                  <c:v>3.5630712154083408</c:v>
                </c:pt>
                <c:pt idx="6">
                  <c:v>4.8159164598162238</c:v>
                </c:pt>
                <c:pt idx="7">
                  <c:v>4.5573683566159886</c:v>
                </c:pt>
                <c:pt idx="8">
                  <c:v>7.4850096287525645</c:v>
                </c:pt>
                <c:pt idx="9">
                  <c:v>4.7513236254288476</c:v>
                </c:pt>
                <c:pt idx="10">
                  <c:v>0</c:v>
                </c:pt>
                <c:pt idx="11">
                  <c:v>14.019684502977714</c:v>
                </c:pt>
                <c:pt idx="12">
                  <c:v>7.6857184306059843</c:v>
                </c:pt>
                <c:pt idx="13">
                  <c:v>7.0643334660974784</c:v>
                </c:pt>
                <c:pt idx="14">
                  <c:v>10.318104179523269</c:v>
                </c:pt>
                <c:pt idx="15">
                  <c:v>0</c:v>
                </c:pt>
                <c:pt idx="16">
                  <c:v>5.0934409402821972</c:v>
                </c:pt>
                <c:pt idx="17">
                  <c:v>5.5497185519677856</c:v>
                </c:pt>
                <c:pt idx="18">
                  <c:v>10.33456030553733</c:v>
                </c:pt>
                <c:pt idx="19">
                  <c:v>7.2684328251615025</c:v>
                </c:pt>
                <c:pt idx="20">
                  <c:v>9.4675580794092156</c:v>
                </c:pt>
                <c:pt idx="21">
                  <c:v>10.441973743822771</c:v>
                </c:pt>
                <c:pt idx="22">
                  <c:v>2.1999802363171792</c:v>
                </c:pt>
                <c:pt idx="23">
                  <c:v>9.2661285789722267</c:v>
                </c:pt>
                <c:pt idx="24">
                  <c:v>13.451172154071436</c:v>
                </c:pt>
                <c:pt idx="25">
                  <c:v>0.71329713375271953</c:v>
                </c:pt>
                <c:pt idx="26">
                  <c:v>12.920259078445698</c:v>
                </c:pt>
                <c:pt idx="27">
                  <c:v>1.147359073900709E-2</c:v>
                </c:pt>
                <c:pt idx="28">
                  <c:v>6.4627516022834079</c:v>
                </c:pt>
                <c:pt idx="29">
                  <c:v>14.994266155054937</c:v>
                </c:pt>
                <c:pt idx="30">
                  <c:v>0</c:v>
                </c:pt>
                <c:pt idx="31">
                  <c:v>11.906918137676456</c:v>
                </c:pt>
                <c:pt idx="32">
                  <c:v>11.658459316104921</c:v>
                </c:pt>
                <c:pt idx="33">
                  <c:v>14.740498339124736</c:v>
                </c:pt>
                <c:pt idx="34">
                  <c:v>11.13650671070585</c:v>
                </c:pt>
                <c:pt idx="35">
                  <c:v>27.663516672946013</c:v>
                </c:pt>
                <c:pt idx="36">
                  <c:v>2.2973079178531046</c:v>
                </c:pt>
                <c:pt idx="37">
                  <c:v>2.8080123001178361</c:v>
                </c:pt>
                <c:pt idx="38">
                  <c:v>36.941691569573123</c:v>
                </c:pt>
                <c:pt idx="39">
                  <c:v>15.601137891580859</c:v>
                </c:pt>
                <c:pt idx="40">
                  <c:v>18.681157033578607</c:v>
                </c:pt>
                <c:pt idx="41">
                  <c:v>2.931267462129866</c:v>
                </c:pt>
                <c:pt idx="42">
                  <c:v>33.398341618089297</c:v>
                </c:pt>
                <c:pt idx="43">
                  <c:v>52.839892414260113</c:v>
                </c:pt>
                <c:pt idx="44">
                  <c:v>13.168129792199135</c:v>
                </c:pt>
                <c:pt idx="45">
                  <c:v>18.952057373293837</c:v>
                </c:pt>
                <c:pt idx="46">
                  <c:v>16.720429532704841</c:v>
                </c:pt>
                <c:pt idx="47">
                  <c:v>54.800752734867757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A-438F-8EEB-E829D236BB4A}"/>
            </c:ext>
          </c:extLst>
        </c:ser>
        <c:ser>
          <c:idx val="1"/>
          <c:order val="1"/>
          <c:tx>
            <c:strRef>
              <c:f>'SDG 3c all countries'!$D$1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'SDG 3c all countries'!$B$2:$B$49</c:f>
              <c:strCache>
                <c:ptCount val="48"/>
                <c:pt idx="0">
                  <c:v>Niger</c:v>
                </c:pt>
                <c:pt idx="1">
                  <c:v>Central African Republic</c:v>
                </c:pt>
                <c:pt idx="2">
                  <c:v>Chad</c:v>
                </c:pt>
                <c:pt idx="3">
                  <c:v>Madagascar</c:v>
                </c:pt>
                <c:pt idx="4">
                  <c:v>Malawi</c:v>
                </c:pt>
                <c:pt idx="5">
                  <c:v>Togo</c:v>
                </c:pt>
                <c:pt idx="6">
                  <c:v>Mali</c:v>
                </c:pt>
                <c:pt idx="7">
                  <c:v>Senegal</c:v>
                </c:pt>
                <c:pt idx="8">
                  <c:v>Guinea</c:v>
                </c:pt>
                <c:pt idx="9">
                  <c:v>Tanzania</c:v>
                </c:pt>
                <c:pt idx="10">
                  <c:v>South Sudan</c:v>
                </c:pt>
                <c:pt idx="11">
                  <c:v>Gambia</c:v>
                </c:pt>
                <c:pt idx="12">
                  <c:v>Benin</c:v>
                </c:pt>
                <c:pt idx="13">
                  <c:v>Burundi</c:v>
                </c:pt>
                <c:pt idx="14">
                  <c:v>Cameroon</c:v>
                </c:pt>
                <c:pt idx="15">
                  <c:v>Equatorial Guinea</c:v>
                </c:pt>
                <c:pt idx="16">
                  <c:v>Burkina Faso</c:v>
                </c:pt>
                <c:pt idx="17">
                  <c:v>Mozambique</c:v>
                </c:pt>
                <c:pt idx="18">
                  <c:v>Cote d'Ivoire</c:v>
                </c:pt>
                <c:pt idx="19">
                  <c:v>Guinea-Bissau</c:v>
                </c:pt>
                <c:pt idx="20">
                  <c:v>Congo</c:v>
                </c:pt>
                <c:pt idx="21">
                  <c:v>Rwanda</c:v>
                </c:pt>
                <c:pt idx="22">
                  <c:v>Liberia</c:v>
                </c:pt>
                <c:pt idx="23">
                  <c:v>DRC</c:v>
                </c:pt>
                <c:pt idx="24">
                  <c:v>Eritrea</c:v>
                </c:pt>
                <c:pt idx="25">
                  <c:v>Ethiopia</c:v>
                </c:pt>
                <c:pt idx="26">
                  <c:v>Mauritania</c:v>
                </c:pt>
                <c:pt idx="27">
                  <c:v>Angola</c:v>
                </c:pt>
                <c:pt idx="28">
                  <c:v>Comoros</c:v>
                </c:pt>
                <c:pt idx="29">
                  <c:v>Nigeria</c:v>
                </c:pt>
                <c:pt idx="30">
                  <c:v>Lesotho</c:v>
                </c:pt>
                <c:pt idx="31">
                  <c:v>Sierra Leone</c:v>
                </c:pt>
                <c:pt idx="32">
                  <c:v>Kenya</c:v>
                </c:pt>
                <c:pt idx="33">
                  <c:v>Uganda</c:v>
                </c:pt>
                <c:pt idx="34">
                  <c:v>AFRO</c:v>
                </c:pt>
                <c:pt idx="35">
                  <c:v>Sao Tome and Principe</c:v>
                </c:pt>
                <c:pt idx="36">
                  <c:v>Gabon</c:v>
                </c:pt>
                <c:pt idx="37">
                  <c:v>Zambia</c:v>
                </c:pt>
                <c:pt idx="38">
                  <c:v>Botswana</c:v>
                </c:pt>
                <c:pt idx="39">
                  <c:v>Zimbabwe</c:v>
                </c:pt>
                <c:pt idx="40">
                  <c:v>Ghana</c:v>
                </c:pt>
                <c:pt idx="41">
                  <c:v>Algeria</c:v>
                </c:pt>
                <c:pt idx="42">
                  <c:v>Eswatini</c:v>
                </c:pt>
                <c:pt idx="43">
                  <c:v>Mauritius</c:v>
                </c:pt>
                <c:pt idx="44">
                  <c:v>Cape-Verde</c:v>
                </c:pt>
                <c:pt idx="45">
                  <c:v>Namibia</c:v>
                </c:pt>
                <c:pt idx="46">
                  <c:v>South Africa</c:v>
                </c:pt>
                <c:pt idx="47">
                  <c:v>Seychelles</c:v>
                </c:pt>
              </c:strCache>
            </c:strRef>
          </c:cat>
          <c:val>
            <c:numRef>
              <c:f>'SDG 3c all countries'!$D$2:$D$49</c:f>
              <c:numCache>
                <c:formatCode>_(* #,##0.00_);_(* \(#,##0.00\);_(* "-"??_);_(@_)</c:formatCode>
                <c:ptCount val="48"/>
                <c:pt idx="0">
                  <c:v>2.731976858986676</c:v>
                </c:pt>
                <c:pt idx="1">
                  <c:v>3.9785819996152929</c:v>
                </c:pt>
                <c:pt idx="2">
                  <c:v>4.4808420291703328</c:v>
                </c:pt>
                <c:pt idx="3">
                  <c:v>5.4640186234792782</c:v>
                </c:pt>
                <c:pt idx="4">
                  <c:v>6.2979495241776151</c:v>
                </c:pt>
                <c:pt idx="5">
                  <c:v>5.1412514405011063</c:v>
                </c:pt>
                <c:pt idx="6">
                  <c:v>6.4376483184910729</c:v>
                </c:pt>
                <c:pt idx="7">
                  <c:v>7.0151292697761525</c:v>
                </c:pt>
                <c:pt idx="8">
                  <c:v>8.9017288876355476</c:v>
                </c:pt>
                <c:pt idx="9">
                  <c:v>6.7766740907794407</c:v>
                </c:pt>
                <c:pt idx="10">
                  <c:v>6.1691166210748785</c:v>
                </c:pt>
                <c:pt idx="11">
                  <c:v>9.341836149347488</c:v>
                </c:pt>
                <c:pt idx="12">
                  <c:v>4.8313817211552434</c:v>
                </c:pt>
                <c:pt idx="13">
                  <c:v>9.1643321894231757</c:v>
                </c:pt>
                <c:pt idx="14">
                  <c:v>5.7950101302016952</c:v>
                </c:pt>
                <c:pt idx="15">
                  <c:v>4.4071882438586458</c:v>
                </c:pt>
                <c:pt idx="16">
                  <c:v>9.6338286946770175</c:v>
                </c:pt>
                <c:pt idx="17">
                  <c:v>6.6605767149290012</c:v>
                </c:pt>
                <c:pt idx="18">
                  <c:v>11.548997129264416</c:v>
                </c:pt>
                <c:pt idx="19">
                  <c:v>10.893763982473359</c:v>
                </c:pt>
                <c:pt idx="20">
                  <c:v>12.795296212393836</c:v>
                </c:pt>
                <c:pt idx="21">
                  <c:v>14.187099506595519</c:v>
                </c:pt>
                <c:pt idx="22">
                  <c:v>22.91287401641636</c:v>
                </c:pt>
                <c:pt idx="23">
                  <c:v>16.223939744179855</c:v>
                </c:pt>
                <c:pt idx="24">
                  <c:v>18.566922115433325</c:v>
                </c:pt>
                <c:pt idx="25">
                  <c:v>9.7927247683912508</c:v>
                </c:pt>
                <c:pt idx="26">
                  <c:v>15.917722374831463</c:v>
                </c:pt>
                <c:pt idx="27">
                  <c:v>19.33519951199629</c:v>
                </c:pt>
                <c:pt idx="28">
                  <c:v>19.850228032875876</c:v>
                </c:pt>
                <c:pt idx="29">
                  <c:v>22.251085637910265</c:v>
                </c:pt>
                <c:pt idx="30">
                  <c:v>52.870382713145531</c:v>
                </c:pt>
                <c:pt idx="31">
                  <c:v>9.3114595445704076</c:v>
                </c:pt>
                <c:pt idx="32">
                  <c:v>14.413861393432555</c:v>
                </c:pt>
                <c:pt idx="33">
                  <c:v>18.773758505730214</c:v>
                </c:pt>
                <c:pt idx="34">
                  <c:v>23.576970255075228</c:v>
                </c:pt>
                <c:pt idx="35">
                  <c:v>26.449769096827922</c:v>
                </c:pt>
                <c:pt idx="36">
                  <c:v>39.060014055583196</c:v>
                </c:pt>
                <c:pt idx="37">
                  <c:v>17.258457426269619</c:v>
                </c:pt>
                <c:pt idx="38">
                  <c:v>37.8721049551717</c:v>
                </c:pt>
                <c:pt idx="39">
                  <c:v>23.66965484875815</c:v>
                </c:pt>
                <c:pt idx="40">
                  <c:v>46.40817219195695</c:v>
                </c:pt>
                <c:pt idx="41">
                  <c:v>41.893522234964195</c:v>
                </c:pt>
                <c:pt idx="42">
                  <c:v>47.999551889282181</c:v>
                </c:pt>
                <c:pt idx="43">
                  <c:v>72.905163459567675</c:v>
                </c:pt>
                <c:pt idx="44">
                  <c:v>29.16659007373055</c:v>
                </c:pt>
                <c:pt idx="45">
                  <c:v>64.854830057441106</c:v>
                </c:pt>
                <c:pt idx="46">
                  <c:v>61.781000175533016</c:v>
                </c:pt>
                <c:pt idx="47">
                  <c:v>195.92438482652926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BA-438F-8EEB-E829D236BB4A}"/>
            </c:ext>
          </c:extLst>
        </c:ser>
        <c:ser>
          <c:idx val="2"/>
          <c:order val="2"/>
          <c:tx>
            <c:strRef>
              <c:f>'SDG 3c all countries'!$E$1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'SDG 3c all countries'!$B$2:$B$49</c:f>
              <c:strCache>
                <c:ptCount val="48"/>
                <c:pt idx="0">
                  <c:v>Niger</c:v>
                </c:pt>
                <c:pt idx="1">
                  <c:v>Central African Republic</c:v>
                </c:pt>
                <c:pt idx="2">
                  <c:v>Chad</c:v>
                </c:pt>
                <c:pt idx="3">
                  <c:v>Madagascar</c:v>
                </c:pt>
                <c:pt idx="4">
                  <c:v>Malawi</c:v>
                </c:pt>
                <c:pt idx="5">
                  <c:v>Togo</c:v>
                </c:pt>
                <c:pt idx="6">
                  <c:v>Mali</c:v>
                </c:pt>
                <c:pt idx="7">
                  <c:v>Senegal</c:v>
                </c:pt>
                <c:pt idx="8">
                  <c:v>Guinea</c:v>
                </c:pt>
                <c:pt idx="9">
                  <c:v>Tanzania</c:v>
                </c:pt>
                <c:pt idx="10">
                  <c:v>South Sudan</c:v>
                </c:pt>
                <c:pt idx="11">
                  <c:v>Gambia</c:v>
                </c:pt>
                <c:pt idx="12">
                  <c:v>Benin</c:v>
                </c:pt>
                <c:pt idx="13">
                  <c:v>Burundi</c:v>
                </c:pt>
                <c:pt idx="14">
                  <c:v>Cameroon</c:v>
                </c:pt>
                <c:pt idx="15">
                  <c:v>Equatorial Guinea</c:v>
                </c:pt>
                <c:pt idx="16">
                  <c:v>Burkina Faso</c:v>
                </c:pt>
                <c:pt idx="17">
                  <c:v>Mozambique</c:v>
                </c:pt>
                <c:pt idx="18">
                  <c:v>Cote d'Ivoire</c:v>
                </c:pt>
                <c:pt idx="19">
                  <c:v>Guinea-Bissau</c:v>
                </c:pt>
                <c:pt idx="20">
                  <c:v>Congo</c:v>
                </c:pt>
                <c:pt idx="21">
                  <c:v>Rwanda</c:v>
                </c:pt>
                <c:pt idx="22">
                  <c:v>Liberia</c:v>
                </c:pt>
                <c:pt idx="23">
                  <c:v>DRC</c:v>
                </c:pt>
                <c:pt idx="24">
                  <c:v>Eritrea</c:v>
                </c:pt>
                <c:pt idx="25">
                  <c:v>Ethiopia</c:v>
                </c:pt>
                <c:pt idx="26">
                  <c:v>Mauritania</c:v>
                </c:pt>
                <c:pt idx="27">
                  <c:v>Angola</c:v>
                </c:pt>
                <c:pt idx="28">
                  <c:v>Comoros</c:v>
                </c:pt>
                <c:pt idx="29">
                  <c:v>Nigeria</c:v>
                </c:pt>
                <c:pt idx="30">
                  <c:v>Lesotho</c:v>
                </c:pt>
                <c:pt idx="31">
                  <c:v>Sierra Leone</c:v>
                </c:pt>
                <c:pt idx="32">
                  <c:v>Kenya</c:v>
                </c:pt>
                <c:pt idx="33">
                  <c:v>Uganda</c:v>
                </c:pt>
                <c:pt idx="34">
                  <c:v>AFRO</c:v>
                </c:pt>
                <c:pt idx="35">
                  <c:v>Sao Tome and Principe</c:v>
                </c:pt>
                <c:pt idx="36">
                  <c:v>Gabon</c:v>
                </c:pt>
                <c:pt idx="37">
                  <c:v>Zambia</c:v>
                </c:pt>
                <c:pt idx="38">
                  <c:v>Botswana</c:v>
                </c:pt>
                <c:pt idx="39">
                  <c:v>Zimbabwe</c:v>
                </c:pt>
                <c:pt idx="40">
                  <c:v>Ghana</c:v>
                </c:pt>
                <c:pt idx="41">
                  <c:v>Algeria</c:v>
                </c:pt>
                <c:pt idx="42">
                  <c:v>Eswatini</c:v>
                </c:pt>
                <c:pt idx="43">
                  <c:v>Mauritius</c:v>
                </c:pt>
                <c:pt idx="44">
                  <c:v>Cape-Verde</c:v>
                </c:pt>
                <c:pt idx="45">
                  <c:v>Namibia</c:v>
                </c:pt>
                <c:pt idx="46">
                  <c:v>South Africa</c:v>
                </c:pt>
                <c:pt idx="47">
                  <c:v>Seychelles</c:v>
                </c:pt>
              </c:strCache>
            </c:strRef>
          </c:cat>
          <c:val>
            <c:numRef>
              <c:f>'SDG 3c all countries'!$E$2:$E$49</c:f>
              <c:numCache>
                <c:formatCode>_(* #,##0.00_);_(* \(#,##0.00\);_(* "-"??_);_(@_)</c:formatCode>
                <c:ptCount val="48"/>
                <c:pt idx="0">
                  <c:v>2.3568659730003425</c:v>
                </c:pt>
                <c:pt idx="1">
                  <c:v>2.4089830338186218</c:v>
                </c:pt>
                <c:pt idx="2">
                  <c:v>3.5764373051455833</c:v>
                </c:pt>
                <c:pt idx="3">
                  <c:v>4.761050716296678</c:v>
                </c:pt>
                <c:pt idx="4">
                  <c:v>6.0858545949756246</c:v>
                </c:pt>
                <c:pt idx="5">
                  <c:v>6.3003257177536511</c:v>
                </c:pt>
                <c:pt idx="6">
                  <c:v>6.4341278578313545</c:v>
                </c:pt>
                <c:pt idx="7">
                  <c:v>6.5171760234407232</c:v>
                </c:pt>
                <c:pt idx="8">
                  <c:v>6.64</c:v>
                </c:pt>
                <c:pt idx="9">
                  <c:v>7.605590561668536</c:v>
                </c:pt>
                <c:pt idx="10">
                  <c:v>7.8959074273939986</c:v>
                </c:pt>
                <c:pt idx="11">
                  <c:v>8.1498514118713352</c:v>
                </c:pt>
                <c:pt idx="12">
                  <c:v>8.2764831925559506</c:v>
                </c:pt>
                <c:pt idx="13">
                  <c:v>8.3085116295989803</c:v>
                </c:pt>
                <c:pt idx="14">
                  <c:v>8.340457309760458</c:v>
                </c:pt>
                <c:pt idx="15">
                  <c:v>10.634113902446874</c:v>
                </c:pt>
                <c:pt idx="16">
                  <c:v>12.168856040551496</c:v>
                </c:pt>
                <c:pt idx="17">
                  <c:v>12.362024638000094</c:v>
                </c:pt>
                <c:pt idx="18">
                  <c:v>12.531853132190035</c:v>
                </c:pt>
                <c:pt idx="19">
                  <c:v>12.878829589909351</c:v>
                </c:pt>
                <c:pt idx="20">
                  <c:v>13.050801436856251</c:v>
                </c:pt>
                <c:pt idx="21">
                  <c:v>13.401063461919398</c:v>
                </c:pt>
                <c:pt idx="22">
                  <c:v>13.444654516010845</c:v>
                </c:pt>
                <c:pt idx="23">
                  <c:v>14.28160096277502</c:v>
                </c:pt>
                <c:pt idx="24">
                  <c:v>16.774083760782815</c:v>
                </c:pt>
                <c:pt idx="25">
                  <c:v>18.578792370715053</c:v>
                </c:pt>
                <c:pt idx="26">
                  <c:v>19.794578938796668</c:v>
                </c:pt>
                <c:pt idx="27">
                  <c:v>22.16128506058643</c:v>
                </c:pt>
                <c:pt idx="28">
                  <c:v>22.326190141323295</c:v>
                </c:pt>
                <c:pt idx="29">
                  <c:v>22.692099302180001</c:v>
                </c:pt>
                <c:pt idx="30">
                  <c:v>22.993174843373964</c:v>
                </c:pt>
                <c:pt idx="31">
                  <c:v>23.534133501916237</c:v>
                </c:pt>
                <c:pt idx="32">
                  <c:v>24.523813221222014</c:v>
                </c:pt>
                <c:pt idx="33">
                  <c:v>25.677639566139653</c:v>
                </c:pt>
                <c:pt idx="34">
                  <c:v>26.824343944304964</c:v>
                </c:pt>
                <c:pt idx="35">
                  <c:v>26.971849712707133</c:v>
                </c:pt>
                <c:pt idx="36">
                  <c:v>31.25849879805093</c:v>
                </c:pt>
                <c:pt idx="37">
                  <c:v>34.960104008082851</c:v>
                </c:pt>
                <c:pt idx="38">
                  <c:v>37.02657488516612</c:v>
                </c:pt>
                <c:pt idx="39">
                  <c:v>38.14728630825762</c:v>
                </c:pt>
                <c:pt idx="40">
                  <c:v>48.030714224150685</c:v>
                </c:pt>
                <c:pt idx="41">
                  <c:v>49.173528181995827</c:v>
                </c:pt>
                <c:pt idx="42">
                  <c:v>51.66268983905934</c:v>
                </c:pt>
                <c:pt idx="43">
                  <c:v>60.383936189147697</c:v>
                </c:pt>
                <c:pt idx="44">
                  <c:v>62.960411138791216</c:v>
                </c:pt>
                <c:pt idx="45">
                  <c:v>72.50007161772831</c:v>
                </c:pt>
                <c:pt idx="46">
                  <c:v>78.187272031248852</c:v>
                </c:pt>
                <c:pt idx="47">
                  <c:v>242.01401730513936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BA-438F-8EEB-E829D236B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45902479"/>
        <c:axId val="145901999"/>
      </c:barChart>
      <c:lineChart>
        <c:grouping val="standard"/>
        <c:varyColors val="0"/>
        <c:ser>
          <c:idx val="3"/>
          <c:order val="3"/>
          <c:tx>
            <c:strRef>
              <c:f>'SDG 3c all countries'!$F$1</c:f>
              <c:strCache>
                <c:ptCount val="1"/>
                <c:pt idx="0">
                  <c:v>Target (80.29) for at least 70% UHC service index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'SDG 3c all countries'!$B$2:$B$49</c:f>
              <c:strCache>
                <c:ptCount val="48"/>
                <c:pt idx="0">
                  <c:v>Niger</c:v>
                </c:pt>
                <c:pt idx="1">
                  <c:v>Central African Republic</c:v>
                </c:pt>
                <c:pt idx="2">
                  <c:v>Chad</c:v>
                </c:pt>
                <c:pt idx="3">
                  <c:v>Madagascar</c:v>
                </c:pt>
                <c:pt idx="4">
                  <c:v>Malawi</c:v>
                </c:pt>
                <c:pt idx="5">
                  <c:v>Togo</c:v>
                </c:pt>
                <c:pt idx="6">
                  <c:v>Mali</c:v>
                </c:pt>
                <c:pt idx="7">
                  <c:v>Senegal</c:v>
                </c:pt>
                <c:pt idx="8">
                  <c:v>Guinea</c:v>
                </c:pt>
                <c:pt idx="9">
                  <c:v>Tanzania</c:v>
                </c:pt>
                <c:pt idx="10">
                  <c:v>South Sudan</c:v>
                </c:pt>
                <c:pt idx="11">
                  <c:v>Gambia</c:v>
                </c:pt>
                <c:pt idx="12">
                  <c:v>Benin</c:v>
                </c:pt>
                <c:pt idx="13">
                  <c:v>Burundi</c:v>
                </c:pt>
                <c:pt idx="14">
                  <c:v>Cameroon</c:v>
                </c:pt>
                <c:pt idx="15">
                  <c:v>Equatorial Guinea</c:v>
                </c:pt>
                <c:pt idx="16">
                  <c:v>Burkina Faso</c:v>
                </c:pt>
                <c:pt idx="17">
                  <c:v>Mozambique</c:v>
                </c:pt>
                <c:pt idx="18">
                  <c:v>Cote d'Ivoire</c:v>
                </c:pt>
                <c:pt idx="19">
                  <c:v>Guinea-Bissau</c:v>
                </c:pt>
                <c:pt idx="20">
                  <c:v>Congo</c:v>
                </c:pt>
                <c:pt idx="21">
                  <c:v>Rwanda</c:v>
                </c:pt>
                <c:pt idx="22">
                  <c:v>Liberia</c:v>
                </c:pt>
                <c:pt idx="23">
                  <c:v>DRC</c:v>
                </c:pt>
                <c:pt idx="24">
                  <c:v>Eritrea</c:v>
                </c:pt>
                <c:pt idx="25">
                  <c:v>Ethiopia</c:v>
                </c:pt>
                <c:pt idx="26">
                  <c:v>Mauritania</c:v>
                </c:pt>
                <c:pt idx="27">
                  <c:v>Angola</c:v>
                </c:pt>
                <c:pt idx="28">
                  <c:v>Comoros</c:v>
                </c:pt>
                <c:pt idx="29">
                  <c:v>Nigeria</c:v>
                </c:pt>
                <c:pt idx="30">
                  <c:v>Lesotho</c:v>
                </c:pt>
                <c:pt idx="31">
                  <c:v>Sierra Leone</c:v>
                </c:pt>
                <c:pt idx="32">
                  <c:v>Kenya</c:v>
                </c:pt>
                <c:pt idx="33">
                  <c:v>Uganda</c:v>
                </c:pt>
                <c:pt idx="34">
                  <c:v>AFRO</c:v>
                </c:pt>
                <c:pt idx="35">
                  <c:v>Sao Tome and Principe</c:v>
                </c:pt>
                <c:pt idx="36">
                  <c:v>Gabon</c:v>
                </c:pt>
                <c:pt idx="37">
                  <c:v>Zambia</c:v>
                </c:pt>
                <c:pt idx="38">
                  <c:v>Botswana</c:v>
                </c:pt>
                <c:pt idx="39">
                  <c:v>Zimbabwe</c:v>
                </c:pt>
                <c:pt idx="40">
                  <c:v>Ghana</c:v>
                </c:pt>
                <c:pt idx="41">
                  <c:v>Algeria</c:v>
                </c:pt>
                <c:pt idx="42">
                  <c:v>Eswatini</c:v>
                </c:pt>
                <c:pt idx="43">
                  <c:v>Mauritius</c:v>
                </c:pt>
                <c:pt idx="44">
                  <c:v>Cape-Verde</c:v>
                </c:pt>
                <c:pt idx="45">
                  <c:v>Namibia</c:v>
                </c:pt>
                <c:pt idx="46">
                  <c:v>South Africa</c:v>
                </c:pt>
                <c:pt idx="47">
                  <c:v>Seychelles</c:v>
                </c:pt>
              </c:strCache>
            </c:strRef>
          </c:cat>
          <c:val>
            <c:numRef>
              <c:f>'SDG 3c all countries'!$F$2:$F$49</c:f>
              <c:numCache>
                <c:formatCode>_(* #,##0.00_);_(* \(#,##0.00\);_(* "-"??_);_(@_)</c:formatCode>
                <c:ptCount val="48"/>
                <c:pt idx="0">
                  <c:v>80.290000000000006</c:v>
                </c:pt>
                <c:pt idx="1">
                  <c:v>80.290000000000006</c:v>
                </c:pt>
                <c:pt idx="2">
                  <c:v>80.290000000000006</c:v>
                </c:pt>
                <c:pt idx="3">
                  <c:v>80.290000000000006</c:v>
                </c:pt>
                <c:pt idx="4">
                  <c:v>80.290000000000006</c:v>
                </c:pt>
                <c:pt idx="5">
                  <c:v>80.290000000000006</c:v>
                </c:pt>
                <c:pt idx="6">
                  <c:v>80.290000000000006</c:v>
                </c:pt>
                <c:pt idx="7">
                  <c:v>80.290000000000006</c:v>
                </c:pt>
                <c:pt idx="8">
                  <c:v>80.290000000000006</c:v>
                </c:pt>
                <c:pt idx="9">
                  <c:v>80.290000000000006</c:v>
                </c:pt>
                <c:pt idx="10">
                  <c:v>80.290000000000006</c:v>
                </c:pt>
                <c:pt idx="11">
                  <c:v>80.290000000000006</c:v>
                </c:pt>
                <c:pt idx="12">
                  <c:v>80.290000000000006</c:v>
                </c:pt>
                <c:pt idx="13">
                  <c:v>80.290000000000006</c:v>
                </c:pt>
                <c:pt idx="14">
                  <c:v>80.290000000000006</c:v>
                </c:pt>
                <c:pt idx="15">
                  <c:v>80.290000000000006</c:v>
                </c:pt>
                <c:pt idx="16">
                  <c:v>80.290000000000006</c:v>
                </c:pt>
                <c:pt idx="17">
                  <c:v>80.290000000000006</c:v>
                </c:pt>
                <c:pt idx="18">
                  <c:v>80.290000000000006</c:v>
                </c:pt>
                <c:pt idx="19">
                  <c:v>80.290000000000006</c:v>
                </c:pt>
                <c:pt idx="20">
                  <c:v>80.290000000000006</c:v>
                </c:pt>
                <c:pt idx="21">
                  <c:v>80.290000000000006</c:v>
                </c:pt>
                <c:pt idx="22">
                  <c:v>80.290000000000006</c:v>
                </c:pt>
                <c:pt idx="23">
                  <c:v>80.290000000000006</c:v>
                </c:pt>
                <c:pt idx="24">
                  <c:v>80.290000000000006</c:v>
                </c:pt>
                <c:pt idx="25">
                  <c:v>80.290000000000006</c:v>
                </c:pt>
                <c:pt idx="26">
                  <c:v>80.290000000000006</c:v>
                </c:pt>
                <c:pt idx="27">
                  <c:v>80.290000000000006</c:v>
                </c:pt>
                <c:pt idx="28">
                  <c:v>80.290000000000006</c:v>
                </c:pt>
                <c:pt idx="29">
                  <c:v>80.290000000000006</c:v>
                </c:pt>
                <c:pt idx="30">
                  <c:v>80.290000000000006</c:v>
                </c:pt>
                <c:pt idx="31">
                  <c:v>80.290000000000006</c:v>
                </c:pt>
                <c:pt idx="32">
                  <c:v>80.290000000000006</c:v>
                </c:pt>
                <c:pt idx="33">
                  <c:v>80.290000000000006</c:v>
                </c:pt>
                <c:pt idx="34">
                  <c:v>80.290000000000006</c:v>
                </c:pt>
                <c:pt idx="35">
                  <c:v>80.290000000000006</c:v>
                </c:pt>
                <c:pt idx="36">
                  <c:v>80.290000000000006</c:v>
                </c:pt>
                <c:pt idx="37">
                  <c:v>80.290000000000006</c:v>
                </c:pt>
                <c:pt idx="38">
                  <c:v>80.290000000000006</c:v>
                </c:pt>
                <c:pt idx="39">
                  <c:v>80.290000000000006</c:v>
                </c:pt>
                <c:pt idx="40">
                  <c:v>80.290000000000006</c:v>
                </c:pt>
                <c:pt idx="41">
                  <c:v>80.290000000000006</c:v>
                </c:pt>
                <c:pt idx="42">
                  <c:v>80.290000000000006</c:v>
                </c:pt>
                <c:pt idx="43">
                  <c:v>80.290000000000006</c:v>
                </c:pt>
                <c:pt idx="44">
                  <c:v>80.290000000000006</c:v>
                </c:pt>
                <c:pt idx="45">
                  <c:v>80.290000000000006</c:v>
                </c:pt>
                <c:pt idx="46">
                  <c:v>80.290000000000006</c:v>
                </c:pt>
                <c:pt idx="47">
                  <c:v>80.290000000000006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BA-438F-8EEB-E829D236B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902479"/>
        <c:axId val="145901999"/>
      </c:lineChart>
      <c:catAx>
        <c:axId val="145902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600" b="1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45901999"/>
        <c:crosses val="autoZero"/>
        <c:auto val="1"/>
        <c:lblAlgn val="ctr"/>
        <c:lblOffset val="100"/>
        <c:noMultiLvlLbl val="0"/>
      </c:catAx>
      <c:valAx>
        <c:axId val="145901999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600"/>
                  <a:t>Density per 10,000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4590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 doctors'!$C$4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'Med doctors'!$B$5:$B$52</c:f>
              <c:strCache>
                <c:ptCount val="48"/>
                <c:pt idx="0">
                  <c:v>Central African Republic</c:v>
                </c:pt>
                <c:pt idx="1">
                  <c:v>Niger</c:v>
                </c:pt>
                <c:pt idx="2">
                  <c:v>South Sudan</c:v>
                </c:pt>
                <c:pt idx="3">
                  <c:v>Malawi</c:v>
                </c:pt>
                <c:pt idx="4">
                  <c:v>Burundi</c:v>
                </c:pt>
                <c:pt idx="5">
                  <c:v>Eritrea</c:v>
                </c:pt>
                <c:pt idx="6">
                  <c:v>Togo</c:v>
                </c:pt>
                <c:pt idx="7">
                  <c:v>Chad</c:v>
                </c:pt>
                <c:pt idx="8">
                  <c:v>Gambia</c:v>
                </c:pt>
                <c:pt idx="9">
                  <c:v>Rwanda</c:v>
                </c:pt>
                <c:pt idx="10">
                  <c:v>Sierra Leone</c:v>
                </c:pt>
                <c:pt idx="11">
                  <c:v>Tanzania</c:v>
                </c:pt>
                <c:pt idx="12">
                  <c:v>Cameroon</c:v>
                </c:pt>
                <c:pt idx="13">
                  <c:v>Ghana</c:v>
                </c:pt>
                <c:pt idx="14">
                  <c:v>Burkina Faso</c:v>
                </c:pt>
                <c:pt idx="15">
                  <c:v>Senegal</c:v>
                </c:pt>
                <c:pt idx="16">
                  <c:v>Equatorial Guinea</c:v>
                </c:pt>
                <c:pt idx="17">
                  <c:v>Mozambique</c:v>
                </c:pt>
                <c:pt idx="18">
                  <c:v>Congo</c:v>
                </c:pt>
                <c:pt idx="19">
                  <c:v>Madagascar</c:v>
                </c:pt>
                <c:pt idx="20">
                  <c:v>Liberia</c:v>
                </c:pt>
                <c:pt idx="21">
                  <c:v>Uganda</c:v>
                </c:pt>
                <c:pt idx="22">
                  <c:v>Zimbabwe</c:v>
                </c:pt>
                <c:pt idx="23">
                  <c:v>Ethiopia</c:v>
                </c:pt>
                <c:pt idx="24">
                  <c:v>Mali</c:v>
                </c:pt>
                <c:pt idx="25">
                  <c:v>Benin</c:v>
                </c:pt>
                <c:pt idx="26">
                  <c:v>Guinea</c:v>
                </c:pt>
                <c:pt idx="27">
                  <c:v>DRC</c:v>
                </c:pt>
                <c:pt idx="28">
                  <c:v>Cote d'Ivoire</c:v>
                </c:pt>
                <c:pt idx="29">
                  <c:v>Lesotho</c:v>
                </c:pt>
                <c:pt idx="30">
                  <c:v>Kenya</c:v>
                </c:pt>
                <c:pt idx="31">
                  <c:v>Angola</c:v>
                </c:pt>
                <c:pt idx="32">
                  <c:v>Guinea-Bissau</c:v>
                </c:pt>
                <c:pt idx="33">
                  <c:v>Mauritania</c:v>
                </c:pt>
                <c:pt idx="34">
                  <c:v>Zambia</c:v>
                </c:pt>
                <c:pt idx="35">
                  <c:v>Botswana</c:v>
                </c:pt>
                <c:pt idx="36">
                  <c:v>Nigeria</c:v>
                </c:pt>
                <c:pt idx="37">
                  <c:v>Comoros</c:v>
                </c:pt>
                <c:pt idx="38">
                  <c:v>Sao Tome and Principe</c:v>
                </c:pt>
                <c:pt idx="39">
                  <c:v>Gabon</c:v>
                </c:pt>
                <c:pt idx="40">
                  <c:v>AFRO</c:v>
                </c:pt>
                <c:pt idx="41">
                  <c:v>Eswatini</c:v>
                </c:pt>
                <c:pt idx="42">
                  <c:v>Namibia</c:v>
                </c:pt>
                <c:pt idx="43">
                  <c:v>South Africa</c:v>
                </c:pt>
                <c:pt idx="44">
                  <c:v>Mauritius</c:v>
                </c:pt>
                <c:pt idx="45">
                  <c:v>Algeria</c:v>
                </c:pt>
                <c:pt idx="46">
                  <c:v>Cape-Verde</c:v>
                </c:pt>
                <c:pt idx="47">
                  <c:v>Seychelles</c:v>
                </c:pt>
              </c:strCache>
            </c:strRef>
          </c:cat>
          <c:val>
            <c:numRef>
              <c:f>'Med doctors'!$C$5:$C$52</c:f>
              <c:numCache>
                <c:formatCode>_(* #,##0.00_);_(* \(#,##0.00\);_(* "-"??_);_(@_)</c:formatCode>
                <c:ptCount val="48"/>
                <c:pt idx="0">
                  <c:v>0.67465866488173498</c:v>
                </c:pt>
                <c:pt idx="1">
                  <c:v>0.50715161511974438</c:v>
                </c:pt>
                <c:pt idx="2">
                  <c:v>0</c:v>
                </c:pt>
                <c:pt idx="3">
                  <c:v>0.12480674066229511</c:v>
                </c:pt>
                <c:pt idx="4">
                  <c:v>0.54583552862175777</c:v>
                </c:pt>
                <c:pt idx="5">
                  <c:v>0.52178656078039853</c:v>
                </c:pt>
                <c:pt idx="6">
                  <c:v>0.5080050192584562</c:v>
                </c:pt>
                <c:pt idx="7">
                  <c:v>0.43354023088778937</c:v>
                </c:pt>
                <c:pt idx="8">
                  <c:v>1.0024145012199572</c:v>
                </c:pt>
                <c:pt idx="9">
                  <c:v>0.99447368988788287</c:v>
                </c:pt>
                <c:pt idx="10">
                  <c:v>0</c:v>
                </c:pt>
                <c:pt idx="11">
                  <c:v>0.30068841506111116</c:v>
                </c:pt>
                <c:pt idx="12">
                  <c:v>0.85148281433098261</c:v>
                </c:pt>
                <c:pt idx="13">
                  <c:v>0.99180410146962517</c:v>
                </c:pt>
                <c:pt idx="14">
                  <c:v>0.45530814594752361</c:v>
                </c:pt>
                <c:pt idx="15">
                  <c:v>0</c:v>
                </c:pt>
                <c:pt idx="16">
                  <c:v>0</c:v>
                </c:pt>
                <c:pt idx="17">
                  <c:v>0.57501008544721166</c:v>
                </c:pt>
                <c:pt idx="18">
                  <c:v>0</c:v>
                </c:pt>
                <c:pt idx="19">
                  <c:v>1.4935513915538714</c:v>
                </c:pt>
                <c:pt idx="20">
                  <c:v>0.37946271016559152</c:v>
                </c:pt>
                <c:pt idx="21">
                  <c:v>0.95538954520339181</c:v>
                </c:pt>
                <c:pt idx="22">
                  <c:v>0.82181140586443524</c:v>
                </c:pt>
                <c:pt idx="23">
                  <c:v>0</c:v>
                </c:pt>
                <c:pt idx="24">
                  <c:v>1.1591368106359479</c:v>
                </c:pt>
                <c:pt idx="25">
                  <c:v>0</c:v>
                </c:pt>
                <c:pt idx="26">
                  <c:v>1.667958641138336</c:v>
                </c:pt>
                <c:pt idx="27">
                  <c:v>0.87367249731660168</c:v>
                </c:pt>
                <c:pt idx="28">
                  <c:v>2.3320742431857204</c:v>
                </c:pt>
                <c:pt idx="29">
                  <c:v>0</c:v>
                </c:pt>
                <c:pt idx="30">
                  <c:v>1.9382766278398138</c:v>
                </c:pt>
                <c:pt idx="31">
                  <c:v>0</c:v>
                </c:pt>
                <c:pt idx="32">
                  <c:v>2.0851095786930078</c:v>
                </c:pt>
                <c:pt idx="33">
                  <c:v>1.6617868376330072</c:v>
                </c:pt>
                <c:pt idx="34">
                  <c:v>0</c:v>
                </c:pt>
                <c:pt idx="35">
                  <c:v>3.6937181535197645</c:v>
                </c:pt>
                <c:pt idx="36">
                  <c:v>3.7635471263688842</c:v>
                </c:pt>
                <c:pt idx="37">
                  <c:v>1.7586691307098652</c:v>
                </c:pt>
                <c:pt idx="38">
                  <c:v>3.2514954298425351</c:v>
                </c:pt>
                <c:pt idx="39">
                  <c:v>0</c:v>
                </c:pt>
                <c:pt idx="40">
                  <c:v>1.4360619707825135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15.851967724278035</c:v>
                </c:pt>
                <c:pt idx="45">
                  <c:v>0</c:v>
                </c:pt>
                <c:pt idx="46">
                  <c:v>5.7043375189835919</c:v>
                </c:pt>
                <c:pt idx="47">
                  <c:v>9.6159811402692483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C-455B-B611-D0273D57A1B4}"/>
            </c:ext>
          </c:extLst>
        </c:ser>
        <c:ser>
          <c:idx val="1"/>
          <c:order val="1"/>
          <c:tx>
            <c:strRef>
              <c:f>'Med doctors'!$D$4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'Med doctors'!$B$5:$B$52</c:f>
              <c:strCache>
                <c:ptCount val="48"/>
                <c:pt idx="0">
                  <c:v>Central African Republic</c:v>
                </c:pt>
                <c:pt idx="1">
                  <c:v>Niger</c:v>
                </c:pt>
                <c:pt idx="2">
                  <c:v>South Sudan</c:v>
                </c:pt>
                <c:pt idx="3">
                  <c:v>Malawi</c:v>
                </c:pt>
                <c:pt idx="4">
                  <c:v>Burundi</c:v>
                </c:pt>
                <c:pt idx="5">
                  <c:v>Eritrea</c:v>
                </c:pt>
                <c:pt idx="6">
                  <c:v>Togo</c:v>
                </c:pt>
                <c:pt idx="7">
                  <c:v>Chad</c:v>
                </c:pt>
                <c:pt idx="8">
                  <c:v>Gambia</c:v>
                </c:pt>
                <c:pt idx="9">
                  <c:v>Rwanda</c:v>
                </c:pt>
                <c:pt idx="10">
                  <c:v>Sierra Leone</c:v>
                </c:pt>
                <c:pt idx="11">
                  <c:v>Tanzania</c:v>
                </c:pt>
                <c:pt idx="12">
                  <c:v>Cameroon</c:v>
                </c:pt>
                <c:pt idx="13">
                  <c:v>Ghana</c:v>
                </c:pt>
                <c:pt idx="14">
                  <c:v>Burkina Faso</c:v>
                </c:pt>
                <c:pt idx="15">
                  <c:v>Senegal</c:v>
                </c:pt>
                <c:pt idx="16">
                  <c:v>Equatorial Guinea</c:v>
                </c:pt>
                <c:pt idx="17">
                  <c:v>Mozambique</c:v>
                </c:pt>
                <c:pt idx="18">
                  <c:v>Congo</c:v>
                </c:pt>
                <c:pt idx="19">
                  <c:v>Madagascar</c:v>
                </c:pt>
                <c:pt idx="20">
                  <c:v>Liberia</c:v>
                </c:pt>
                <c:pt idx="21">
                  <c:v>Uganda</c:v>
                </c:pt>
                <c:pt idx="22">
                  <c:v>Zimbabwe</c:v>
                </c:pt>
                <c:pt idx="23">
                  <c:v>Ethiopia</c:v>
                </c:pt>
                <c:pt idx="24">
                  <c:v>Mali</c:v>
                </c:pt>
                <c:pt idx="25">
                  <c:v>Benin</c:v>
                </c:pt>
                <c:pt idx="26">
                  <c:v>Guinea</c:v>
                </c:pt>
                <c:pt idx="27">
                  <c:v>DRC</c:v>
                </c:pt>
                <c:pt idx="28">
                  <c:v>Cote d'Ivoire</c:v>
                </c:pt>
                <c:pt idx="29">
                  <c:v>Lesotho</c:v>
                </c:pt>
                <c:pt idx="30">
                  <c:v>Kenya</c:v>
                </c:pt>
                <c:pt idx="31">
                  <c:v>Angola</c:v>
                </c:pt>
                <c:pt idx="32">
                  <c:v>Guinea-Bissau</c:v>
                </c:pt>
                <c:pt idx="33">
                  <c:v>Mauritania</c:v>
                </c:pt>
                <c:pt idx="34">
                  <c:v>Zambia</c:v>
                </c:pt>
                <c:pt idx="35">
                  <c:v>Botswana</c:v>
                </c:pt>
                <c:pt idx="36">
                  <c:v>Nigeria</c:v>
                </c:pt>
                <c:pt idx="37">
                  <c:v>Comoros</c:v>
                </c:pt>
                <c:pt idx="38">
                  <c:v>Sao Tome and Principe</c:v>
                </c:pt>
                <c:pt idx="39">
                  <c:v>Gabon</c:v>
                </c:pt>
                <c:pt idx="40">
                  <c:v>AFRO</c:v>
                </c:pt>
                <c:pt idx="41">
                  <c:v>Eswatini</c:v>
                </c:pt>
                <c:pt idx="42">
                  <c:v>Namibia</c:v>
                </c:pt>
                <c:pt idx="43">
                  <c:v>South Africa</c:v>
                </c:pt>
                <c:pt idx="44">
                  <c:v>Mauritius</c:v>
                </c:pt>
                <c:pt idx="45">
                  <c:v>Algeria</c:v>
                </c:pt>
                <c:pt idx="46">
                  <c:v>Cape-Verde</c:v>
                </c:pt>
                <c:pt idx="47">
                  <c:v>Seychelles</c:v>
                </c:pt>
              </c:strCache>
            </c:strRef>
          </c:cat>
          <c:val>
            <c:numRef>
              <c:f>'Med doctors'!$D$5:$D$52</c:f>
              <c:numCache>
                <c:formatCode>_(* #,##0.00_);_(* \(#,##0.00\);_(* "-"??_);_(@_)</c:formatCode>
                <c:ptCount val="48"/>
                <c:pt idx="0">
                  <c:v>0.65753575227978456</c:v>
                </c:pt>
                <c:pt idx="1">
                  <c:v>0.47171779423164883</c:v>
                </c:pt>
                <c:pt idx="2">
                  <c:v>0.39536986297548338</c:v>
                </c:pt>
                <c:pt idx="3">
                  <c:v>1.5026228117851155</c:v>
                </c:pt>
                <c:pt idx="4">
                  <c:v>0.9431440324062208</c:v>
                </c:pt>
                <c:pt idx="5">
                  <c:v>0.81268378807586839</c:v>
                </c:pt>
                <c:pt idx="6">
                  <c:v>0.75931946583180465</c:v>
                </c:pt>
                <c:pt idx="7">
                  <c:v>0.51460471244619244</c:v>
                </c:pt>
                <c:pt idx="8">
                  <c:v>1.2188560299936739</c:v>
                </c:pt>
                <c:pt idx="9">
                  <c:v>1.3150537143185452</c:v>
                </c:pt>
                <c:pt idx="10">
                  <c:v>0.71998444019492502</c:v>
                </c:pt>
                <c:pt idx="11">
                  <c:v>0.49663935253514929</c:v>
                </c:pt>
                <c:pt idx="12">
                  <c:v>1.2996103780847321</c:v>
                </c:pt>
                <c:pt idx="13">
                  <c:v>1.4272460592451912</c:v>
                </c:pt>
                <c:pt idx="14">
                  <c:v>0.82578476645811349</c:v>
                </c:pt>
                <c:pt idx="15">
                  <c:v>1.8510541538316534</c:v>
                </c:pt>
                <c:pt idx="16">
                  <c:v>1.637716477325116</c:v>
                </c:pt>
                <c:pt idx="17">
                  <c:v>0.84047383488210115</c:v>
                </c:pt>
                <c:pt idx="18">
                  <c:v>0.99980481751540462</c:v>
                </c:pt>
                <c:pt idx="19">
                  <c:v>1.9481094417340394</c:v>
                </c:pt>
                <c:pt idx="20">
                  <c:v>1.4173544312573898</c:v>
                </c:pt>
                <c:pt idx="21">
                  <c:v>4.139669151648441</c:v>
                </c:pt>
                <c:pt idx="22">
                  <c:v>2.010339496248517</c:v>
                </c:pt>
                <c:pt idx="23">
                  <c:v>1.0135028308160794</c:v>
                </c:pt>
                <c:pt idx="24">
                  <c:v>1.4377230640376699</c:v>
                </c:pt>
                <c:pt idx="25">
                  <c:v>0.76042548150614686</c:v>
                </c:pt>
                <c:pt idx="26">
                  <c:v>2.2198566937938682</c:v>
                </c:pt>
                <c:pt idx="27">
                  <c:v>3.6223398907912641</c:v>
                </c:pt>
                <c:pt idx="28">
                  <c:v>2.1973807668423482</c:v>
                </c:pt>
                <c:pt idx="29">
                  <c:v>4.5404562385095293</c:v>
                </c:pt>
                <c:pt idx="30">
                  <c:v>1.6099035210964225</c:v>
                </c:pt>
                <c:pt idx="31">
                  <c:v>2.1081724281039813</c:v>
                </c:pt>
                <c:pt idx="32">
                  <c:v>3.0026683747589895</c:v>
                </c:pt>
                <c:pt idx="33">
                  <c:v>3.8073281231944631</c:v>
                </c:pt>
                <c:pt idx="34">
                  <c:v>2.2544427688594029</c:v>
                </c:pt>
                <c:pt idx="35">
                  <c:v>3.77334091808852</c:v>
                </c:pt>
                <c:pt idx="36">
                  <c:v>4.229447307230835</c:v>
                </c:pt>
                <c:pt idx="37">
                  <c:v>2.8339066627077822</c:v>
                </c:pt>
                <c:pt idx="38">
                  <c:v>2.8389734272087215</c:v>
                </c:pt>
                <c:pt idx="39">
                  <c:v>6.2408431707589127</c:v>
                </c:pt>
                <c:pt idx="40">
                  <c:v>3.4003387838166272</c:v>
                </c:pt>
                <c:pt idx="41">
                  <c:v>2.395668837562019</c:v>
                </c:pt>
                <c:pt idx="42">
                  <c:v>6.0066164230869381</c:v>
                </c:pt>
                <c:pt idx="43">
                  <c:v>7.5868986609349687</c:v>
                </c:pt>
                <c:pt idx="44">
                  <c:v>18.48876180492001</c:v>
                </c:pt>
                <c:pt idx="45">
                  <c:v>17.451281461612556</c:v>
                </c:pt>
                <c:pt idx="46">
                  <c:v>7.913144485790041</c:v>
                </c:pt>
                <c:pt idx="47">
                  <c:v>23.278144731864863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EC-455B-B611-D0273D57A1B4}"/>
            </c:ext>
          </c:extLst>
        </c:ser>
        <c:ser>
          <c:idx val="2"/>
          <c:order val="2"/>
          <c:tx>
            <c:strRef>
              <c:f>'Med doctors'!$E$4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'Med doctors'!$B$5:$B$52</c:f>
              <c:strCache>
                <c:ptCount val="48"/>
                <c:pt idx="0">
                  <c:v>Central African Republic</c:v>
                </c:pt>
                <c:pt idx="1">
                  <c:v>Niger</c:v>
                </c:pt>
                <c:pt idx="2">
                  <c:v>South Sudan</c:v>
                </c:pt>
                <c:pt idx="3">
                  <c:v>Malawi</c:v>
                </c:pt>
                <c:pt idx="4">
                  <c:v>Burundi</c:v>
                </c:pt>
                <c:pt idx="5">
                  <c:v>Eritrea</c:v>
                </c:pt>
                <c:pt idx="6">
                  <c:v>Togo</c:v>
                </c:pt>
                <c:pt idx="7">
                  <c:v>Chad</c:v>
                </c:pt>
                <c:pt idx="8">
                  <c:v>Gambia</c:v>
                </c:pt>
                <c:pt idx="9">
                  <c:v>Rwanda</c:v>
                </c:pt>
                <c:pt idx="10">
                  <c:v>Sierra Leone</c:v>
                </c:pt>
                <c:pt idx="11">
                  <c:v>Tanzania</c:v>
                </c:pt>
                <c:pt idx="12">
                  <c:v>Cameroon</c:v>
                </c:pt>
                <c:pt idx="13">
                  <c:v>Ghana</c:v>
                </c:pt>
                <c:pt idx="14">
                  <c:v>Burkina Faso</c:v>
                </c:pt>
                <c:pt idx="15">
                  <c:v>Senegal</c:v>
                </c:pt>
                <c:pt idx="16">
                  <c:v>Equatorial Guinea</c:v>
                </c:pt>
                <c:pt idx="17">
                  <c:v>Mozambique</c:v>
                </c:pt>
                <c:pt idx="18">
                  <c:v>Congo</c:v>
                </c:pt>
                <c:pt idx="19">
                  <c:v>Madagascar</c:v>
                </c:pt>
                <c:pt idx="20">
                  <c:v>Liberia</c:v>
                </c:pt>
                <c:pt idx="21">
                  <c:v>Uganda</c:v>
                </c:pt>
                <c:pt idx="22">
                  <c:v>Zimbabwe</c:v>
                </c:pt>
                <c:pt idx="23">
                  <c:v>Ethiopia</c:v>
                </c:pt>
                <c:pt idx="24">
                  <c:v>Mali</c:v>
                </c:pt>
                <c:pt idx="25">
                  <c:v>Benin</c:v>
                </c:pt>
                <c:pt idx="26">
                  <c:v>Guinea</c:v>
                </c:pt>
                <c:pt idx="27">
                  <c:v>DRC</c:v>
                </c:pt>
                <c:pt idx="28">
                  <c:v>Cote d'Ivoire</c:v>
                </c:pt>
                <c:pt idx="29">
                  <c:v>Lesotho</c:v>
                </c:pt>
                <c:pt idx="30">
                  <c:v>Kenya</c:v>
                </c:pt>
                <c:pt idx="31">
                  <c:v>Angola</c:v>
                </c:pt>
                <c:pt idx="32">
                  <c:v>Guinea-Bissau</c:v>
                </c:pt>
                <c:pt idx="33">
                  <c:v>Mauritania</c:v>
                </c:pt>
                <c:pt idx="34">
                  <c:v>Zambia</c:v>
                </c:pt>
                <c:pt idx="35">
                  <c:v>Botswana</c:v>
                </c:pt>
                <c:pt idx="36">
                  <c:v>Nigeria</c:v>
                </c:pt>
                <c:pt idx="37">
                  <c:v>Comoros</c:v>
                </c:pt>
                <c:pt idx="38">
                  <c:v>Sao Tome and Principe</c:v>
                </c:pt>
                <c:pt idx="39">
                  <c:v>Gabon</c:v>
                </c:pt>
                <c:pt idx="40">
                  <c:v>AFRO</c:v>
                </c:pt>
                <c:pt idx="41">
                  <c:v>Eswatini</c:v>
                </c:pt>
                <c:pt idx="42">
                  <c:v>Namibia</c:v>
                </c:pt>
                <c:pt idx="43">
                  <c:v>South Africa</c:v>
                </c:pt>
                <c:pt idx="44">
                  <c:v>Mauritius</c:v>
                </c:pt>
                <c:pt idx="45">
                  <c:v>Algeria</c:v>
                </c:pt>
                <c:pt idx="46">
                  <c:v>Cape-Verde</c:v>
                </c:pt>
                <c:pt idx="47">
                  <c:v>Seychelles</c:v>
                </c:pt>
              </c:strCache>
            </c:strRef>
          </c:cat>
          <c:val>
            <c:numRef>
              <c:f>'Med doctors'!$E$5:$E$52</c:f>
              <c:numCache>
                <c:formatCode>_(* #,##0.00_);_(* \(#,##0.00\);_(* "-"??_);_(@_)</c:formatCode>
                <c:ptCount val="48"/>
                <c:pt idx="0">
                  <c:v>0.2623871892948651</c:v>
                </c:pt>
                <c:pt idx="1">
                  <c:v>0.2692574787728213</c:v>
                </c:pt>
                <c:pt idx="2">
                  <c:v>0.41784401012593642</c:v>
                </c:pt>
                <c:pt idx="3">
                  <c:v>0.54082168986968526</c:v>
                </c:pt>
                <c:pt idx="4">
                  <c:v>0.78735018131878509</c:v>
                </c:pt>
                <c:pt idx="5">
                  <c:v>0.81111588628736697</c:v>
                </c:pt>
                <c:pt idx="6">
                  <c:v>0.82498008040391457</c:v>
                </c:pt>
                <c:pt idx="7">
                  <c:v>0.85029242131882254</c:v>
                </c:pt>
                <c:pt idx="8">
                  <c:v>1.0120770028849391</c:v>
                </c:pt>
                <c:pt idx="9">
                  <c:v>1.1962228248097926</c:v>
                </c:pt>
                <c:pt idx="10">
                  <c:v>1.2851920083832624</c:v>
                </c:pt>
                <c:pt idx="11">
                  <c:v>1.3272212046130187</c:v>
                </c:pt>
                <c:pt idx="12">
                  <c:v>1.3466102150755759</c:v>
                </c:pt>
                <c:pt idx="13">
                  <c:v>1.411763138467153</c:v>
                </c:pt>
                <c:pt idx="14">
                  <c:v>1.4655706450477866</c:v>
                </c:pt>
                <c:pt idx="15">
                  <c:v>1.4788611139805827</c:v>
                </c:pt>
                <c:pt idx="16">
                  <c:v>1.6399848588255548</c:v>
                </c:pt>
                <c:pt idx="17">
                  <c:v>1.734632551579423</c:v>
                </c:pt>
                <c:pt idx="18">
                  <c:v>1.7452696826892025</c:v>
                </c:pt>
                <c:pt idx="19">
                  <c:v>1.766192932972404</c:v>
                </c:pt>
                <c:pt idx="20">
                  <c:v>1.7990899320551237</c:v>
                </c:pt>
                <c:pt idx="21">
                  <c:v>1.9157377420283819</c:v>
                </c:pt>
                <c:pt idx="22">
                  <c:v>1.9188084102461731</c:v>
                </c:pt>
                <c:pt idx="23">
                  <c:v>1.9242190409996556</c:v>
                </c:pt>
                <c:pt idx="24">
                  <c:v>1.9483401719615994</c:v>
                </c:pt>
                <c:pt idx="25">
                  <c:v>1.953139041931379</c:v>
                </c:pt>
                <c:pt idx="26">
                  <c:v>2.1249207348646921</c:v>
                </c:pt>
                <c:pt idx="27">
                  <c:v>2.1502790761743422</c:v>
                </c:pt>
                <c:pt idx="28">
                  <c:v>2.2469567053544797</c:v>
                </c:pt>
                <c:pt idx="29">
                  <c:v>2.3271916222532258</c:v>
                </c:pt>
                <c:pt idx="30">
                  <c:v>2.3676836940426274</c:v>
                </c:pt>
                <c:pt idx="31">
                  <c:v>2.4426095634584915</c:v>
                </c:pt>
                <c:pt idx="32">
                  <c:v>2.5212882917133439</c:v>
                </c:pt>
                <c:pt idx="33">
                  <c:v>2.6879166644164951</c:v>
                </c:pt>
                <c:pt idx="34">
                  <c:v>3.2626166625244934</c:v>
                </c:pt>
                <c:pt idx="35">
                  <c:v>3.7714386517715091</c:v>
                </c:pt>
                <c:pt idx="36">
                  <c:v>3.943466745172683</c:v>
                </c:pt>
                <c:pt idx="37">
                  <c:v>4.2305355033351333</c:v>
                </c:pt>
                <c:pt idx="38">
                  <c:v>4.6178305432107996</c:v>
                </c:pt>
                <c:pt idx="39">
                  <c:v>5.2967509113158195</c:v>
                </c:pt>
                <c:pt idx="40">
                  <c:v>5.3272558356958237</c:v>
                </c:pt>
                <c:pt idx="41">
                  <c:v>5.7170414019483733</c:v>
                </c:pt>
                <c:pt idx="42">
                  <c:v>6.2212396706287967</c:v>
                </c:pt>
                <c:pt idx="43">
                  <c:v>8.0176798681728538</c:v>
                </c:pt>
                <c:pt idx="44">
                  <c:v>14.110806020448374</c:v>
                </c:pt>
                <c:pt idx="45">
                  <c:v>16.816609497424736</c:v>
                </c:pt>
                <c:pt idx="46">
                  <c:v>44.57560867875636</c:v>
                </c:pt>
                <c:pt idx="47">
                  <c:v>77.297572314772893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EC-455B-B611-D0273D57A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48760287"/>
        <c:axId val="148760767"/>
      </c:barChart>
      <c:lineChart>
        <c:grouping val="standard"/>
        <c:varyColors val="0"/>
        <c:ser>
          <c:idx val="3"/>
          <c:order val="3"/>
          <c:tx>
            <c:strRef>
              <c:f>'Med doctors'!$F$4</c:f>
              <c:strCache>
                <c:ptCount val="1"/>
                <c:pt idx="0">
                  <c:v>Target (7.77) for at least 70% UHC service index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'Med doctors'!$B$5:$B$52</c:f>
              <c:strCache>
                <c:ptCount val="48"/>
                <c:pt idx="0">
                  <c:v>Central African Republic</c:v>
                </c:pt>
                <c:pt idx="1">
                  <c:v>Niger</c:v>
                </c:pt>
                <c:pt idx="2">
                  <c:v>South Sudan</c:v>
                </c:pt>
                <c:pt idx="3">
                  <c:v>Malawi</c:v>
                </c:pt>
                <c:pt idx="4">
                  <c:v>Burundi</c:v>
                </c:pt>
                <c:pt idx="5">
                  <c:v>Eritrea</c:v>
                </c:pt>
                <c:pt idx="6">
                  <c:v>Togo</c:v>
                </c:pt>
                <c:pt idx="7">
                  <c:v>Chad</c:v>
                </c:pt>
                <c:pt idx="8">
                  <c:v>Gambia</c:v>
                </c:pt>
                <c:pt idx="9">
                  <c:v>Rwanda</c:v>
                </c:pt>
                <c:pt idx="10">
                  <c:v>Sierra Leone</c:v>
                </c:pt>
                <c:pt idx="11">
                  <c:v>Tanzania</c:v>
                </c:pt>
                <c:pt idx="12">
                  <c:v>Cameroon</c:v>
                </c:pt>
                <c:pt idx="13">
                  <c:v>Ghana</c:v>
                </c:pt>
                <c:pt idx="14">
                  <c:v>Burkina Faso</c:v>
                </c:pt>
                <c:pt idx="15">
                  <c:v>Senegal</c:v>
                </c:pt>
                <c:pt idx="16">
                  <c:v>Equatorial Guinea</c:v>
                </c:pt>
                <c:pt idx="17">
                  <c:v>Mozambique</c:v>
                </c:pt>
                <c:pt idx="18">
                  <c:v>Congo</c:v>
                </c:pt>
                <c:pt idx="19">
                  <c:v>Madagascar</c:v>
                </c:pt>
                <c:pt idx="20">
                  <c:v>Liberia</c:v>
                </c:pt>
                <c:pt idx="21">
                  <c:v>Uganda</c:v>
                </c:pt>
                <c:pt idx="22">
                  <c:v>Zimbabwe</c:v>
                </c:pt>
                <c:pt idx="23">
                  <c:v>Ethiopia</c:v>
                </c:pt>
                <c:pt idx="24">
                  <c:v>Mali</c:v>
                </c:pt>
                <c:pt idx="25">
                  <c:v>Benin</c:v>
                </c:pt>
                <c:pt idx="26">
                  <c:v>Guinea</c:v>
                </c:pt>
                <c:pt idx="27">
                  <c:v>DRC</c:v>
                </c:pt>
                <c:pt idx="28">
                  <c:v>Cote d'Ivoire</c:v>
                </c:pt>
                <c:pt idx="29">
                  <c:v>Lesotho</c:v>
                </c:pt>
                <c:pt idx="30">
                  <c:v>Kenya</c:v>
                </c:pt>
                <c:pt idx="31">
                  <c:v>Angola</c:v>
                </c:pt>
                <c:pt idx="32">
                  <c:v>Guinea-Bissau</c:v>
                </c:pt>
                <c:pt idx="33">
                  <c:v>Mauritania</c:v>
                </c:pt>
                <c:pt idx="34">
                  <c:v>Zambia</c:v>
                </c:pt>
                <c:pt idx="35">
                  <c:v>Botswana</c:v>
                </c:pt>
                <c:pt idx="36">
                  <c:v>Nigeria</c:v>
                </c:pt>
                <c:pt idx="37">
                  <c:v>Comoros</c:v>
                </c:pt>
                <c:pt idx="38">
                  <c:v>Sao Tome and Principe</c:v>
                </c:pt>
                <c:pt idx="39">
                  <c:v>Gabon</c:v>
                </c:pt>
                <c:pt idx="40">
                  <c:v>AFRO</c:v>
                </c:pt>
                <c:pt idx="41">
                  <c:v>Eswatini</c:v>
                </c:pt>
                <c:pt idx="42">
                  <c:v>Namibia</c:v>
                </c:pt>
                <c:pt idx="43">
                  <c:v>South Africa</c:v>
                </c:pt>
                <c:pt idx="44">
                  <c:v>Mauritius</c:v>
                </c:pt>
                <c:pt idx="45">
                  <c:v>Algeria</c:v>
                </c:pt>
                <c:pt idx="46">
                  <c:v>Cape-Verde</c:v>
                </c:pt>
                <c:pt idx="47">
                  <c:v>Seychelles</c:v>
                </c:pt>
              </c:strCache>
            </c:strRef>
          </c:cat>
          <c:val>
            <c:numRef>
              <c:f>'Med doctors'!$F$5:$F$52</c:f>
              <c:numCache>
                <c:formatCode>_(* #,##0.00_);_(* \(#,##0.00\);_(* "-"??_);_(@_)</c:formatCode>
                <c:ptCount val="48"/>
                <c:pt idx="0">
                  <c:v>7.77</c:v>
                </c:pt>
                <c:pt idx="1">
                  <c:v>7.77</c:v>
                </c:pt>
                <c:pt idx="2">
                  <c:v>7.77</c:v>
                </c:pt>
                <c:pt idx="3">
                  <c:v>7.77</c:v>
                </c:pt>
                <c:pt idx="4">
                  <c:v>7.77</c:v>
                </c:pt>
                <c:pt idx="5">
                  <c:v>7.77</c:v>
                </c:pt>
                <c:pt idx="6">
                  <c:v>7.77</c:v>
                </c:pt>
                <c:pt idx="7">
                  <c:v>7.77</c:v>
                </c:pt>
                <c:pt idx="8">
                  <c:v>7.77</c:v>
                </c:pt>
                <c:pt idx="9">
                  <c:v>7.77</c:v>
                </c:pt>
                <c:pt idx="10">
                  <c:v>7.77</c:v>
                </c:pt>
                <c:pt idx="11">
                  <c:v>7.77</c:v>
                </c:pt>
                <c:pt idx="12">
                  <c:v>7.77</c:v>
                </c:pt>
                <c:pt idx="13">
                  <c:v>7.77</c:v>
                </c:pt>
                <c:pt idx="14">
                  <c:v>7.77</c:v>
                </c:pt>
                <c:pt idx="15">
                  <c:v>7.77</c:v>
                </c:pt>
                <c:pt idx="16">
                  <c:v>7.77</c:v>
                </c:pt>
                <c:pt idx="17">
                  <c:v>7.77</c:v>
                </c:pt>
                <c:pt idx="18">
                  <c:v>7.77</c:v>
                </c:pt>
                <c:pt idx="19">
                  <c:v>7.77</c:v>
                </c:pt>
                <c:pt idx="20">
                  <c:v>7.77</c:v>
                </c:pt>
                <c:pt idx="21">
                  <c:v>7.77</c:v>
                </c:pt>
                <c:pt idx="22">
                  <c:v>7.77</c:v>
                </c:pt>
                <c:pt idx="23">
                  <c:v>7.77</c:v>
                </c:pt>
                <c:pt idx="24">
                  <c:v>7.77</c:v>
                </c:pt>
                <c:pt idx="25">
                  <c:v>7.77</c:v>
                </c:pt>
                <c:pt idx="26">
                  <c:v>7.77</c:v>
                </c:pt>
                <c:pt idx="27">
                  <c:v>7.77</c:v>
                </c:pt>
                <c:pt idx="28">
                  <c:v>7.77</c:v>
                </c:pt>
                <c:pt idx="29">
                  <c:v>7.77</c:v>
                </c:pt>
                <c:pt idx="30">
                  <c:v>7.77</c:v>
                </c:pt>
                <c:pt idx="31">
                  <c:v>7.77</c:v>
                </c:pt>
                <c:pt idx="32">
                  <c:v>7.77</c:v>
                </c:pt>
                <c:pt idx="33">
                  <c:v>7.77</c:v>
                </c:pt>
                <c:pt idx="34">
                  <c:v>7.77</c:v>
                </c:pt>
                <c:pt idx="35">
                  <c:v>7.77</c:v>
                </c:pt>
                <c:pt idx="36">
                  <c:v>7.77</c:v>
                </c:pt>
                <c:pt idx="37">
                  <c:v>7.77</c:v>
                </c:pt>
                <c:pt idx="38">
                  <c:v>7.77</c:v>
                </c:pt>
                <c:pt idx="39">
                  <c:v>7.77</c:v>
                </c:pt>
                <c:pt idx="40">
                  <c:v>7.77</c:v>
                </c:pt>
                <c:pt idx="41">
                  <c:v>7.77</c:v>
                </c:pt>
                <c:pt idx="42">
                  <c:v>7.77</c:v>
                </c:pt>
                <c:pt idx="43">
                  <c:v>7.77</c:v>
                </c:pt>
                <c:pt idx="44">
                  <c:v>7.77</c:v>
                </c:pt>
                <c:pt idx="45">
                  <c:v>7.77</c:v>
                </c:pt>
                <c:pt idx="46">
                  <c:v>7.77</c:v>
                </c:pt>
                <c:pt idx="47">
                  <c:v>7.77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EC-455B-B611-D0273D57A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760287"/>
        <c:axId val="148760767"/>
      </c:lineChart>
      <c:catAx>
        <c:axId val="148760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400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48760767"/>
        <c:crosses val="autoZero"/>
        <c:auto val="1"/>
        <c:lblAlgn val="ctr"/>
        <c:lblOffset val="100"/>
        <c:noMultiLvlLbl val="0"/>
      </c:catAx>
      <c:valAx>
        <c:axId val="148760767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400"/>
                  <a:t>Density per 10,000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4876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'nurses and midwives'!$D$4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'nurses and midwives'!$C$5:$C$52</c:f>
              <c:strCache>
                <c:ptCount val="48"/>
                <c:pt idx="0">
                  <c:v>Niger</c:v>
                </c:pt>
                <c:pt idx="1">
                  <c:v>Central African Republic</c:v>
                </c:pt>
                <c:pt idx="2">
                  <c:v>Chad</c:v>
                </c:pt>
                <c:pt idx="3">
                  <c:v>Madagascar</c:v>
                </c:pt>
                <c:pt idx="4">
                  <c:v>Mali</c:v>
                </c:pt>
                <c:pt idx="5">
                  <c:v>Guinea</c:v>
                </c:pt>
                <c:pt idx="6">
                  <c:v>Senegal</c:v>
                </c:pt>
                <c:pt idx="7">
                  <c:v>Tanzania</c:v>
                </c:pt>
                <c:pt idx="8">
                  <c:v>Malawi</c:v>
                </c:pt>
                <c:pt idx="9">
                  <c:v>Togo</c:v>
                </c:pt>
                <c:pt idx="10">
                  <c:v>Benin</c:v>
                </c:pt>
                <c:pt idx="11">
                  <c:v>Cameroon</c:v>
                </c:pt>
                <c:pt idx="12">
                  <c:v>Gambia</c:v>
                </c:pt>
                <c:pt idx="13">
                  <c:v>South Sudan</c:v>
                </c:pt>
                <c:pt idx="14">
                  <c:v>Burundi</c:v>
                </c:pt>
                <c:pt idx="15">
                  <c:v>Equatorial Guinea</c:v>
                </c:pt>
                <c:pt idx="16">
                  <c:v>Mozambique</c:v>
                </c:pt>
                <c:pt idx="17">
                  <c:v>Cote d'Ivoire</c:v>
                </c:pt>
                <c:pt idx="18">
                  <c:v>Guinea-Bissau</c:v>
                </c:pt>
                <c:pt idx="19">
                  <c:v>Liberia</c:v>
                </c:pt>
                <c:pt idx="20">
                  <c:v>Burkina Faso</c:v>
                </c:pt>
                <c:pt idx="21">
                  <c:v>Congo</c:v>
                </c:pt>
                <c:pt idx="22">
                  <c:v>Rwanda</c:v>
                </c:pt>
                <c:pt idx="23">
                  <c:v>DRC</c:v>
                </c:pt>
                <c:pt idx="24">
                  <c:v>Ethiopia</c:v>
                </c:pt>
                <c:pt idx="25">
                  <c:v>Eritrea</c:v>
                </c:pt>
                <c:pt idx="26">
                  <c:v>Cape-Verde</c:v>
                </c:pt>
                <c:pt idx="27">
                  <c:v>Comoros</c:v>
                </c:pt>
                <c:pt idx="28">
                  <c:v>Mauritania</c:v>
                </c:pt>
                <c:pt idx="29">
                  <c:v>Nigeria</c:v>
                </c:pt>
                <c:pt idx="30">
                  <c:v>Lesotho</c:v>
                </c:pt>
                <c:pt idx="31">
                  <c:v>Angola</c:v>
                </c:pt>
                <c:pt idx="32">
                  <c:v>AFRO</c:v>
                </c:pt>
                <c:pt idx="33">
                  <c:v>Kenya</c:v>
                </c:pt>
                <c:pt idx="34">
                  <c:v>Sao Tome and Principe</c:v>
                </c:pt>
                <c:pt idx="35">
                  <c:v>Sierra Leone</c:v>
                </c:pt>
                <c:pt idx="36">
                  <c:v>Uganda</c:v>
                </c:pt>
                <c:pt idx="37">
                  <c:v>Gabon</c:v>
                </c:pt>
                <c:pt idx="38">
                  <c:v>Algeria</c:v>
                </c:pt>
                <c:pt idx="39">
                  <c:v>Zambia</c:v>
                </c:pt>
                <c:pt idx="40">
                  <c:v>Botswana</c:v>
                </c:pt>
                <c:pt idx="41">
                  <c:v>Zimbabwe</c:v>
                </c:pt>
                <c:pt idx="42">
                  <c:v>Mauritius</c:v>
                </c:pt>
                <c:pt idx="43">
                  <c:v>Eswatini</c:v>
                </c:pt>
                <c:pt idx="44">
                  <c:v>Ghana</c:v>
                </c:pt>
                <c:pt idx="45">
                  <c:v>Namibia</c:v>
                </c:pt>
                <c:pt idx="46">
                  <c:v>South Africa</c:v>
                </c:pt>
                <c:pt idx="47">
                  <c:v>Seychelles</c:v>
                </c:pt>
              </c:strCache>
            </c:strRef>
          </c:cat>
          <c:val>
            <c:numRef>
              <c:f>'nurses and midwives'!$D$5:$D$52</c:f>
              <c:numCache>
                <c:formatCode>_(* #,##0.00_);_(* \(#,##0.00\);_(* "-"??_);_(@_)</c:formatCode>
                <c:ptCount val="48"/>
                <c:pt idx="0">
                  <c:v>2.3856497751404464</c:v>
                </c:pt>
                <c:pt idx="1">
                  <c:v>1.7407859377812667</c:v>
                </c:pt>
                <c:pt idx="2">
                  <c:v>3.0695858930397235</c:v>
                </c:pt>
                <c:pt idx="3">
                  <c:v>2.8989226271488429</c:v>
                </c:pt>
                <c:pt idx="4">
                  <c:v>3.656779649180276</c:v>
                </c:pt>
                <c:pt idx="5">
                  <c:v>5.6886073178519494</c:v>
                </c:pt>
                <c:pt idx="6">
                  <c:v>4.1395850727945103</c:v>
                </c:pt>
                <c:pt idx="7">
                  <c:v>4.2230378347542956</c:v>
                </c:pt>
                <c:pt idx="8">
                  <c:v>2.2421530959981317</c:v>
                </c:pt>
                <c:pt idx="9">
                  <c:v>3.0058136319558519</c:v>
                </c:pt>
                <c:pt idx="10">
                  <c:v>5.6486101756176508</c:v>
                </c:pt>
                <c:pt idx="11">
                  <c:v>8.8203819653905953</c:v>
                </c:pt>
                <c:pt idx="12">
                  <c:v>12.447823266322944</c:v>
                </c:pt>
                <c:pt idx="13">
                  <c:v>0</c:v>
                </c:pt>
                <c:pt idx="14">
                  <c:v>6.5106158359793778</c:v>
                </c:pt>
                <c:pt idx="15">
                  <c:v>0</c:v>
                </c:pt>
                <c:pt idx="16">
                  <c:v>4.2361452369344512</c:v>
                </c:pt>
                <c:pt idx="17">
                  <c:v>5.6214560621524488</c:v>
                </c:pt>
                <c:pt idx="18">
                  <c:v>5.1833232464684951</c:v>
                </c:pt>
                <c:pt idx="19">
                  <c:v>1.8205175261515878</c:v>
                </c:pt>
                <c:pt idx="20">
                  <c:v>4.4152982970029466</c:v>
                </c:pt>
                <c:pt idx="21">
                  <c:v>9.4675580794092156</c:v>
                </c:pt>
                <c:pt idx="22">
                  <c:v>9.2304093299647967</c:v>
                </c:pt>
                <c:pt idx="23">
                  <c:v>8.3539317256661274</c:v>
                </c:pt>
                <c:pt idx="24">
                  <c:v>0.71329713375271953</c:v>
                </c:pt>
                <c:pt idx="25">
                  <c:v>12.929385593291038</c:v>
                </c:pt>
                <c:pt idx="26">
                  <c:v>7.4637922732155442</c:v>
                </c:pt>
                <c:pt idx="27">
                  <c:v>4.2179462891008965</c:v>
                </c:pt>
                <c:pt idx="28">
                  <c:v>11.25847224081269</c:v>
                </c:pt>
                <c:pt idx="29">
                  <c:v>10.084067366148597</c:v>
                </c:pt>
                <c:pt idx="30">
                  <c:v>0</c:v>
                </c:pt>
                <c:pt idx="31">
                  <c:v>1.147359073900709E-2</c:v>
                </c:pt>
                <c:pt idx="32">
                  <c:v>9.1209733095217231</c:v>
                </c:pt>
                <c:pt idx="33">
                  <c:v>8.9952824106106632</c:v>
                </c:pt>
                <c:pt idx="34">
                  <c:v>24.412021243103478</c:v>
                </c:pt>
                <c:pt idx="35">
                  <c:v>11.906918137676456</c:v>
                </c:pt>
                <c:pt idx="36">
                  <c:v>13.366665183025139</c:v>
                </c:pt>
                <c:pt idx="37">
                  <c:v>2.2973079178531046</c:v>
                </c:pt>
                <c:pt idx="38">
                  <c:v>2.931267462129866</c:v>
                </c:pt>
                <c:pt idx="39">
                  <c:v>1.8201538354901259</c:v>
                </c:pt>
                <c:pt idx="40">
                  <c:v>32.999921525401852</c:v>
                </c:pt>
                <c:pt idx="41">
                  <c:v>13.811448061574467</c:v>
                </c:pt>
                <c:pt idx="42">
                  <c:v>30.704471207875784</c:v>
                </c:pt>
                <c:pt idx="43">
                  <c:v>33.398341618089297</c:v>
                </c:pt>
                <c:pt idx="44">
                  <c:v>17.689352932108982</c:v>
                </c:pt>
                <c:pt idx="45">
                  <c:v>18.643598804269427</c:v>
                </c:pt>
                <c:pt idx="46">
                  <c:v>10.899955183999529</c:v>
                </c:pt>
                <c:pt idx="47">
                  <c:v>43.323613954546396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48-4B07-ADAC-CB6F1749496E}"/>
            </c:ext>
          </c:extLst>
        </c:ser>
        <c:ser>
          <c:idx val="1"/>
          <c:order val="1"/>
          <c:tx>
            <c:strRef>
              <c:f>'nurses and midwives'!$E$4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'nurses and midwives'!$C$5:$C$52</c:f>
              <c:strCache>
                <c:ptCount val="48"/>
                <c:pt idx="0">
                  <c:v>Niger</c:v>
                </c:pt>
                <c:pt idx="1">
                  <c:v>Central African Republic</c:v>
                </c:pt>
                <c:pt idx="2">
                  <c:v>Chad</c:v>
                </c:pt>
                <c:pt idx="3">
                  <c:v>Madagascar</c:v>
                </c:pt>
                <c:pt idx="4">
                  <c:v>Mali</c:v>
                </c:pt>
                <c:pt idx="5">
                  <c:v>Guinea</c:v>
                </c:pt>
                <c:pt idx="6">
                  <c:v>Senegal</c:v>
                </c:pt>
                <c:pt idx="7">
                  <c:v>Tanzania</c:v>
                </c:pt>
                <c:pt idx="8">
                  <c:v>Malawi</c:v>
                </c:pt>
                <c:pt idx="9">
                  <c:v>Togo</c:v>
                </c:pt>
                <c:pt idx="10">
                  <c:v>Benin</c:v>
                </c:pt>
                <c:pt idx="11">
                  <c:v>Cameroon</c:v>
                </c:pt>
                <c:pt idx="12">
                  <c:v>Gambia</c:v>
                </c:pt>
                <c:pt idx="13">
                  <c:v>South Sudan</c:v>
                </c:pt>
                <c:pt idx="14">
                  <c:v>Burundi</c:v>
                </c:pt>
                <c:pt idx="15">
                  <c:v>Equatorial Guinea</c:v>
                </c:pt>
                <c:pt idx="16">
                  <c:v>Mozambique</c:v>
                </c:pt>
                <c:pt idx="17">
                  <c:v>Cote d'Ivoire</c:v>
                </c:pt>
                <c:pt idx="18">
                  <c:v>Guinea-Bissau</c:v>
                </c:pt>
                <c:pt idx="19">
                  <c:v>Liberia</c:v>
                </c:pt>
                <c:pt idx="20">
                  <c:v>Burkina Faso</c:v>
                </c:pt>
                <c:pt idx="21">
                  <c:v>Congo</c:v>
                </c:pt>
                <c:pt idx="22">
                  <c:v>Rwanda</c:v>
                </c:pt>
                <c:pt idx="23">
                  <c:v>DRC</c:v>
                </c:pt>
                <c:pt idx="24">
                  <c:v>Ethiopia</c:v>
                </c:pt>
                <c:pt idx="25">
                  <c:v>Eritrea</c:v>
                </c:pt>
                <c:pt idx="26">
                  <c:v>Cape-Verde</c:v>
                </c:pt>
                <c:pt idx="27">
                  <c:v>Comoros</c:v>
                </c:pt>
                <c:pt idx="28">
                  <c:v>Mauritania</c:v>
                </c:pt>
                <c:pt idx="29">
                  <c:v>Nigeria</c:v>
                </c:pt>
                <c:pt idx="30">
                  <c:v>Lesotho</c:v>
                </c:pt>
                <c:pt idx="31">
                  <c:v>Angola</c:v>
                </c:pt>
                <c:pt idx="32">
                  <c:v>AFRO</c:v>
                </c:pt>
                <c:pt idx="33">
                  <c:v>Kenya</c:v>
                </c:pt>
                <c:pt idx="34">
                  <c:v>Sao Tome and Principe</c:v>
                </c:pt>
                <c:pt idx="35">
                  <c:v>Sierra Leone</c:v>
                </c:pt>
                <c:pt idx="36">
                  <c:v>Uganda</c:v>
                </c:pt>
                <c:pt idx="37">
                  <c:v>Gabon</c:v>
                </c:pt>
                <c:pt idx="38">
                  <c:v>Algeria</c:v>
                </c:pt>
                <c:pt idx="39">
                  <c:v>Zambia</c:v>
                </c:pt>
                <c:pt idx="40">
                  <c:v>Botswana</c:v>
                </c:pt>
                <c:pt idx="41">
                  <c:v>Zimbabwe</c:v>
                </c:pt>
                <c:pt idx="42">
                  <c:v>Mauritius</c:v>
                </c:pt>
                <c:pt idx="43">
                  <c:v>Eswatini</c:v>
                </c:pt>
                <c:pt idx="44">
                  <c:v>Ghana</c:v>
                </c:pt>
                <c:pt idx="45">
                  <c:v>Namibia</c:v>
                </c:pt>
                <c:pt idx="46">
                  <c:v>South Africa</c:v>
                </c:pt>
                <c:pt idx="47">
                  <c:v>Seychelles</c:v>
                </c:pt>
              </c:strCache>
            </c:strRef>
          </c:cat>
          <c:val>
            <c:numRef>
              <c:f>'nurses and midwives'!$E$5:$E$52</c:f>
              <c:numCache>
                <c:formatCode>_(* #,##0.00_);_(* \(#,##0.00\);_(* "-"??_);_(@_)</c:formatCode>
                <c:ptCount val="48"/>
                <c:pt idx="0">
                  <c:v>2.2203955891861558</c:v>
                </c:pt>
                <c:pt idx="1">
                  <c:v>3.2170182029449759</c:v>
                </c:pt>
                <c:pt idx="2">
                  <c:v>3.6752901941206888</c:v>
                </c:pt>
                <c:pt idx="3">
                  <c:v>3.1862577752567827</c:v>
                </c:pt>
                <c:pt idx="4">
                  <c:v>4.2439417731188724</c:v>
                </c:pt>
                <c:pt idx="5">
                  <c:v>6.4206188764522318</c:v>
                </c:pt>
                <c:pt idx="6">
                  <c:v>4.8745068109226199</c:v>
                </c:pt>
                <c:pt idx="7">
                  <c:v>5.4983226759004049</c:v>
                </c:pt>
                <c:pt idx="8">
                  <c:v>4.3320180120920888</c:v>
                </c:pt>
                <c:pt idx="9">
                  <c:v>4.0401760776091606</c:v>
                </c:pt>
                <c:pt idx="10">
                  <c:v>3.7393169327367244</c:v>
                </c:pt>
                <c:pt idx="11">
                  <c:v>4.2330052664527251</c:v>
                </c:pt>
                <c:pt idx="12">
                  <c:v>7.4358398071426146</c:v>
                </c:pt>
                <c:pt idx="13">
                  <c:v>5.2311954132863221</c:v>
                </c:pt>
                <c:pt idx="14">
                  <c:v>8.1054703006423914</c:v>
                </c:pt>
                <c:pt idx="15">
                  <c:v>2.7028979259918584</c:v>
                </c:pt>
                <c:pt idx="16">
                  <c:v>4.8171759545567738</c:v>
                </c:pt>
                <c:pt idx="17">
                  <c:v>8.0893580068885669</c:v>
                </c:pt>
                <c:pt idx="18">
                  <c:v>7.3819926652811843</c:v>
                </c:pt>
                <c:pt idx="19">
                  <c:v>19.255976869102923</c:v>
                </c:pt>
                <c:pt idx="20">
                  <c:v>8.2843276986599577</c:v>
                </c:pt>
                <c:pt idx="21">
                  <c:v>11.302940492131873</c:v>
                </c:pt>
                <c:pt idx="22">
                  <c:v>11.822715917077407</c:v>
                </c:pt>
                <c:pt idx="23">
                  <c:v>12.335545154632381</c:v>
                </c:pt>
                <c:pt idx="24">
                  <c:v>7.0128132925498994</c:v>
                </c:pt>
                <c:pt idx="25">
                  <c:v>14.55864957495913</c:v>
                </c:pt>
                <c:pt idx="26">
                  <c:v>13.918030677440449</c:v>
                </c:pt>
                <c:pt idx="27">
                  <c:v>15.895640099006378</c:v>
                </c:pt>
                <c:pt idx="28">
                  <c:v>11.522670168659257</c:v>
                </c:pt>
                <c:pt idx="29">
                  <c:v>15.201502728823197</c:v>
                </c:pt>
                <c:pt idx="30">
                  <c:v>43.880461343110632</c:v>
                </c:pt>
                <c:pt idx="31">
                  <c:v>15.194957346200697</c:v>
                </c:pt>
                <c:pt idx="32">
                  <c:v>17.670782002629522</c:v>
                </c:pt>
                <c:pt idx="33">
                  <c:v>11.991399007360956</c:v>
                </c:pt>
                <c:pt idx="34">
                  <c:v>21.576198046786281</c:v>
                </c:pt>
                <c:pt idx="35">
                  <c:v>7.8206083715872774</c:v>
                </c:pt>
                <c:pt idx="36">
                  <c:v>14.487155909271724</c:v>
                </c:pt>
                <c:pt idx="37">
                  <c:v>31.103851416837912</c:v>
                </c:pt>
                <c:pt idx="38">
                  <c:v>15.897390433807972</c:v>
                </c:pt>
                <c:pt idx="39">
                  <c:v>13.555811307008865</c:v>
                </c:pt>
                <c:pt idx="40">
                  <c:v>31.186152777066741</c:v>
                </c:pt>
                <c:pt idx="41">
                  <c:v>19.085602461410243</c:v>
                </c:pt>
                <c:pt idx="42">
                  <c:v>42.867680293411617</c:v>
                </c:pt>
                <c:pt idx="43">
                  <c:v>40.674665155729244</c:v>
                </c:pt>
                <c:pt idx="44">
                  <c:v>43.941103198036984</c:v>
                </c:pt>
                <c:pt idx="45">
                  <c:v>53.87664737690644</c:v>
                </c:pt>
                <c:pt idx="46">
                  <c:v>50.132513051399776</c:v>
                </c:pt>
                <c:pt idx="47">
                  <c:v>138.69894569402814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48-4B07-ADAC-CB6F1749496E}"/>
            </c:ext>
          </c:extLst>
        </c:ser>
        <c:ser>
          <c:idx val="2"/>
          <c:order val="2"/>
          <c:tx>
            <c:strRef>
              <c:f>'nurses and midwives'!$F$4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'nurses and midwives'!$C$5:$C$52</c:f>
              <c:strCache>
                <c:ptCount val="48"/>
                <c:pt idx="0">
                  <c:v>Niger</c:v>
                </c:pt>
                <c:pt idx="1">
                  <c:v>Central African Republic</c:v>
                </c:pt>
                <c:pt idx="2">
                  <c:v>Chad</c:v>
                </c:pt>
                <c:pt idx="3">
                  <c:v>Madagascar</c:v>
                </c:pt>
                <c:pt idx="4">
                  <c:v>Mali</c:v>
                </c:pt>
                <c:pt idx="5">
                  <c:v>Guinea</c:v>
                </c:pt>
                <c:pt idx="6">
                  <c:v>Senegal</c:v>
                </c:pt>
                <c:pt idx="7">
                  <c:v>Tanzania</c:v>
                </c:pt>
                <c:pt idx="8">
                  <c:v>Malawi</c:v>
                </c:pt>
                <c:pt idx="9">
                  <c:v>Togo</c:v>
                </c:pt>
                <c:pt idx="10">
                  <c:v>Benin</c:v>
                </c:pt>
                <c:pt idx="11">
                  <c:v>Cameroon</c:v>
                </c:pt>
                <c:pt idx="12">
                  <c:v>Gambia</c:v>
                </c:pt>
                <c:pt idx="13">
                  <c:v>South Sudan</c:v>
                </c:pt>
                <c:pt idx="14">
                  <c:v>Burundi</c:v>
                </c:pt>
                <c:pt idx="15">
                  <c:v>Equatorial Guinea</c:v>
                </c:pt>
                <c:pt idx="16">
                  <c:v>Mozambique</c:v>
                </c:pt>
                <c:pt idx="17">
                  <c:v>Cote d'Ivoire</c:v>
                </c:pt>
                <c:pt idx="18">
                  <c:v>Guinea-Bissau</c:v>
                </c:pt>
                <c:pt idx="19">
                  <c:v>Liberia</c:v>
                </c:pt>
                <c:pt idx="20">
                  <c:v>Burkina Faso</c:v>
                </c:pt>
                <c:pt idx="21">
                  <c:v>Congo</c:v>
                </c:pt>
                <c:pt idx="22">
                  <c:v>Rwanda</c:v>
                </c:pt>
                <c:pt idx="23">
                  <c:v>DRC</c:v>
                </c:pt>
                <c:pt idx="24">
                  <c:v>Ethiopia</c:v>
                </c:pt>
                <c:pt idx="25">
                  <c:v>Eritrea</c:v>
                </c:pt>
                <c:pt idx="26">
                  <c:v>Cape-Verde</c:v>
                </c:pt>
                <c:pt idx="27">
                  <c:v>Comoros</c:v>
                </c:pt>
                <c:pt idx="28">
                  <c:v>Mauritania</c:v>
                </c:pt>
                <c:pt idx="29">
                  <c:v>Nigeria</c:v>
                </c:pt>
                <c:pt idx="30">
                  <c:v>Lesotho</c:v>
                </c:pt>
                <c:pt idx="31">
                  <c:v>Angola</c:v>
                </c:pt>
                <c:pt idx="32">
                  <c:v>AFRO</c:v>
                </c:pt>
                <c:pt idx="33">
                  <c:v>Kenya</c:v>
                </c:pt>
                <c:pt idx="34">
                  <c:v>Sao Tome and Principe</c:v>
                </c:pt>
                <c:pt idx="35">
                  <c:v>Sierra Leone</c:v>
                </c:pt>
                <c:pt idx="36">
                  <c:v>Uganda</c:v>
                </c:pt>
                <c:pt idx="37">
                  <c:v>Gabon</c:v>
                </c:pt>
                <c:pt idx="38">
                  <c:v>Algeria</c:v>
                </c:pt>
                <c:pt idx="39">
                  <c:v>Zambia</c:v>
                </c:pt>
                <c:pt idx="40">
                  <c:v>Botswana</c:v>
                </c:pt>
                <c:pt idx="41">
                  <c:v>Zimbabwe</c:v>
                </c:pt>
                <c:pt idx="42">
                  <c:v>Mauritius</c:v>
                </c:pt>
                <c:pt idx="43">
                  <c:v>Eswatini</c:v>
                </c:pt>
                <c:pt idx="44">
                  <c:v>Ghana</c:v>
                </c:pt>
                <c:pt idx="45">
                  <c:v>Namibia</c:v>
                </c:pt>
                <c:pt idx="46">
                  <c:v>South Africa</c:v>
                </c:pt>
                <c:pt idx="47">
                  <c:v>Seychelles</c:v>
                </c:pt>
              </c:strCache>
            </c:strRef>
          </c:cat>
          <c:val>
            <c:numRef>
              <c:f>'nurses and midwives'!$F$5:$F$52</c:f>
              <c:numCache>
                <c:formatCode>_(* #,##0.00_);_(* \(#,##0.00\);_(* "-"??_);_(@_)</c:formatCode>
                <c:ptCount val="48"/>
                <c:pt idx="0">
                  <c:v>2.0567007249193994</c:v>
                </c:pt>
                <c:pt idx="1">
                  <c:v>2.1248425477555357</c:v>
                </c:pt>
                <c:pt idx="2">
                  <c:v>2.421326474001444</c:v>
                </c:pt>
                <c:pt idx="3">
                  <c:v>2.888721672781251</c:v>
                </c:pt>
                <c:pt idx="4">
                  <c:v>3.650152464455966</c:v>
                </c:pt>
                <c:pt idx="5">
                  <c:v>4.2657096319873329</c:v>
                </c:pt>
                <c:pt idx="6">
                  <c:v>4.6300866446132325</c:v>
                </c:pt>
                <c:pt idx="7">
                  <c:v>4.8765035402438537</c:v>
                </c:pt>
                <c:pt idx="8">
                  <c:v>5.0026178226640061</c:v>
                </c:pt>
                <c:pt idx="9">
                  <c:v>5.0787129881304001</c:v>
                </c:pt>
                <c:pt idx="10">
                  <c:v>5.9522810986467025</c:v>
                </c:pt>
                <c:pt idx="11">
                  <c:v>6.5009139592914282</c:v>
                </c:pt>
                <c:pt idx="12">
                  <c:v>6.6829601481629322</c:v>
                </c:pt>
                <c:pt idx="13">
                  <c:v>6.9182506062517986</c:v>
                </c:pt>
                <c:pt idx="14">
                  <c:v>7.4096503697244298</c:v>
                </c:pt>
                <c:pt idx="15">
                  <c:v>8.3672289392573767</c:v>
                </c:pt>
                <c:pt idx="16">
                  <c:v>9.2667413386701387</c:v>
                </c:pt>
                <c:pt idx="17">
                  <c:v>9.463679007454445</c:v>
                </c:pt>
                <c:pt idx="18">
                  <c:v>9.8595840404869897</c:v>
                </c:pt>
                <c:pt idx="19">
                  <c:v>10.207514450251695</c:v>
                </c:pt>
                <c:pt idx="20">
                  <c:v>10.256348284858944</c:v>
                </c:pt>
                <c:pt idx="21">
                  <c:v>11.080308317128926</c:v>
                </c:pt>
                <c:pt idx="22">
                  <c:v>11.244523405784753</c:v>
                </c:pt>
                <c:pt idx="23">
                  <c:v>11.953846200151981</c:v>
                </c:pt>
                <c:pt idx="24">
                  <c:v>13.438409909223111</c:v>
                </c:pt>
                <c:pt idx="25">
                  <c:v>13.772954981519559</c:v>
                </c:pt>
                <c:pt idx="26">
                  <c:v>16.319663086624868</c:v>
                </c:pt>
                <c:pt idx="27">
                  <c:v>16.384015197312582</c:v>
                </c:pt>
                <c:pt idx="28">
                  <c:v>16.559902485970117</c:v>
                </c:pt>
                <c:pt idx="29">
                  <c:v>16.814586021456186</c:v>
                </c:pt>
                <c:pt idx="30">
                  <c:v>17.410164529383941</c:v>
                </c:pt>
                <c:pt idx="31">
                  <c:v>18.755796326105237</c:v>
                </c:pt>
                <c:pt idx="32">
                  <c:v>19.365524044022607</c:v>
                </c:pt>
                <c:pt idx="33">
                  <c:v>20.322248191924977</c:v>
                </c:pt>
                <c:pt idx="34">
                  <c:v>20.462907613705241</c:v>
                </c:pt>
                <c:pt idx="35">
                  <c:v>20.84311849400595</c:v>
                </c:pt>
                <c:pt idx="36">
                  <c:v>22.678294423115048</c:v>
                </c:pt>
                <c:pt idx="37">
                  <c:v>23.74055120630122</c:v>
                </c:pt>
                <c:pt idx="38">
                  <c:v>25.353635512816727</c:v>
                </c:pt>
                <c:pt idx="39">
                  <c:v>29.562374251755003</c:v>
                </c:pt>
                <c:pt idx="40">
                  <c:v>30.521279734296041</c:v>
                </c:pt>
                <c:pt idx="41">
                  <c:v>34.39715249565625</c:v>
                </c:pt>
                <c:pt idx="42">
                  <c:v>39.753766677912594</c:v>
                </c:pt>
                <c:pt idx="43">
                  <c:v>43.739111511849558</c:v>
                </c:pt>
                <c:pt idx="44">
                  <c:v>44.236721783822048</c:v>
                </c:pt>
                <c:pt idx="45">
                  <c:v>60.674896300150309</c:v>
                </c:pt>
                <c:pt idx="46">
                  <c:v>66.327513452394967</c:v>
                </c:pt>
                <c:pt idx="47">
                  <c:v>135.95136120408563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48-4B07-ADAC-CB6F17494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49886607"/>
        <c:axId val="149887567"/>
      </c:barChart>
      <c:lineChart>
        <c:grouping val="standard"/>
        <c:varyColors val="0"/>
        <c:ser>
          <c:idx val="3"/>
          <c:order val="3"/>
          <c:tx>
            <c:strRef>
              <c:f>'nurses and midwives'!$G$4</c:f>
              <c:strCache>
                <c:ptCount val="1"/>
                <c:pt idx="0">
                  <c:v>Target (58.64) for at least 70% UHC service index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'nurses and midwives'!$C$5:$C$52</c:f>
              <c:strCache>
                <c:ptCount val="48"/>
                <c:pt idx="0">
                  <c:v>Niger</c:v>
                </c:pt>
                <c:pt idx="1">
                  <c:v>Central African Republic</c:v>
                </c:pt>
                <c:pt idx="2">
                  <c:v>Chad</c:v>
                </c:pt>
                <c:pt idx="3">
                  <c:v>Madagascar</c:v>
                </c:pt>
                <c:pt idx="4">
                  <c:v>Mali</c:v>
                </c:pt>
                <c:pt idx="5">
                  <c:v>Guinea</c:v>
                </c:pt>
                <c:pt idx="6">
                  <c:v>Senegal</c:v>
                </c:pt>
                <c:pt idx="7">
                  <c:v>Tanzania</c:v>
                </c:pt>
                <c:pt idx="8">
                  <c:v>Malawi</c:v>
                </c:pt>
                <c:pt idx="9">
                  <c:v>Togo</c:v>
                </c:pt>
                <c:pt idx="10">
                  <c:v>Benin</c:v>
                </c:pt>
                <c:pt idx="11">
                  <c:v>Cameroon</c:v>
                </c:pt>
                <c:pt idx="12">
                  <c:v>Gambia</c:v>
                </c:pt>
                <c:pt idx="13">
                  <c:v>South Sudan</c:v>
                </c:pt>
                <c:pt idx="14">
                  <c:v>Burundi</c:v>
                </c:pt>
                <c:pt idx="15">
                  <c:v>Equatorial Guinea</c:v>
                </c:pt>
                <c:pt idx="16">
                  <c:v>Mozambique</c:v>
                </c:pt>
                <c:pt idx="17">
                  <c:v>Cote d'Ivoire</c:v>
                </c:pt>
                <c:pt idx="18">
                  <c:v>Guinea-Bissau</c:v>
                </c:pt>
                <c:pt idx="19">
                  <c:v>Liberia</c:v>
                </c:pt>
                <c:pt idx="20">
                  <c:v>Burkina Faso</c:v>
                </c:pt>
                <c:pt idx="21">
                  <c:v>Congo</c:v>
                </c:pt>
                <c:pt idx="22">
                  <c:v>Rwanda</c:v>
                </c:pt>
                <c:pt idx="23">
                  <c:v>DRC</c:v>
                </c:pt>
                <c:pt idx="24">
                  <c:v>Ethiopia</c:v>
                </c:pt>
                <c:pt idx="25">
                  <c:v>Eritrea</c:v>
                </c:pt>
                <c:pt idx="26">
                  <c:v>Cape-Verde</c:v>
                </c:pt>
                <c:pt idx="27">
                  <c:v>Comoros</c:v>
                </c:pt>
                <c:pt idx="28">
                  <c:v>Mauritania</c:v>
                </c:pt>
                <c:pt idx="29">
                  <c:v>Nigeria</c:v>
                </c:pt>
                <c:pt idx="30">
                  <c:v>Lesotho</c:v>
                </c:pt>
                <c:pt idx="31">
                  <c:v>Angola</c:v>
                </c:pt>
                <c:pt idx="32">
                  <c:v>AFRO</c:v>
                </c:pt>
                <c:pt idx="33">
                  <c:v>Kenya</c:v>
                </c:pt>
                <c:pt idx="34">
                  <c:v>Sao Tome and Principe</c:v>
                </c:pt>
                <c:pt idx="35">
                  <c:v>Sierra Leone</c:v>
                </c:pt>
                <c:pt idx="36">
                  <c:v>Uganda</c:v>
                </c:pt>
                <c:pt idx="37">
                  <c:v>Gabon</c:v>
                </c:pt>
                <c:pt idx="38">
                  <c:v>Algeria</c:v>
                </c:pt>
                <c:pt idx="39">
                  <c:v>Zambia</c:v>
                </c:pt>
                <c:pt idx="40">
                  <c:v>Botswana</c:v>
                </c:pt>
                <c:pt idx="41">
                  <c:v>Zimbabwe</c:v>
                </c:pt>
                <c:pt idx="42">
                  <c:v>Mauritius</c:v>
                </c:pt>
                <c:pt idx="43">
                  <c:v>Eswatini</c:v>
                </c:pt>
                <c:pt idx="44">
                  <c:v>Ghana</c:v>
                </c:pt>
                <c:pt idx="45">
                  <c:v>Namibia</c:v>
                </c:pt>
                <c:pt idx="46">
                  <c:v>South Africa</c:v>
                </c:pt>
                <c:pt idx="47">
                  <c:v>Seychelles</c:v>
                </c:pt>
              </c:strCache>
            </c:strRef>
          </c:cat>
          <c:val>
            <c:numRef>
              <c:f>'nurses and midwives'!$G$5:$G$52</c:f>
              <c:numCache>
                <c:formatCode>_(* #,##0.00_);_(* \(#,##0.00\);_(* "-"??_);_(@_)</c:formatCode>
                <c:ptCount val="48"/>
                <c:pt idx="0">
                  <c:v>58.64</c:v>
                </c:pt>
                <c:pt idx="1">
                  <c:v>58.64</c:v>
                </c:pt>
                <c:pt idx="2">
                  <c:v>58.64</c:v>
                </c:pt>
                <c:pt idx="3">
                  <c:v>58.64</c:v>
                </c:pt>
                <c:pt idx="4">
                  <c:v>58.64</c:v>
                </c:pt>
                <c:pt idx="5">
                  <c:v>58.64</c:v>
                </c:pt>
                <c:pt idx="6">
                  <c:v>58.64</c:v>
                </c:pt>
                <c:pt idx="7">
                  <c:v>58.64</c:v>
                </c:pt>
                <c:pt idx="8">
                  <c:v>58.64</c:v>
                </c:pt>
                <c:pt idx="9">
                  <c:v>58.64</c:v>
                </c:pt>
                <c:pt idx="10">
                  <c:v>58.64</c:v>
                </c:pt>
                <c:pt idx="11">
                  <c:v>58.64</c:v>
                </c:pt>
                <c:pt idx="12">
                  <c:v>58.64</c:v>
                </c:pt>
                <c:pt idx="13">
                  <c:v>58.64</c:v>
                </c:pt>
                <c:pt idx="14">
                  <c:v>58.64</c:v>
                </c:pt>
                <c:pt idx="15">
                  <c:v>58.64</c:v>
                </c:pt>
                <c:pt idx="16">
                  <c:v>58.64</c:v>
                </c:pt>
                <c:pt idx="17">
                  <c:v>58.64</c:v>
                </c:pt>
                <c:pt idx="18">
                  <c:v>58.64</c:v>
                </c:pt>
                <c:pt idx="19">
                  <c:v>58.64</c:v>
                </c:pt>
                <c:pt idx="20">
                  <c:v>58.64</c:v>
                </c:pt>
                <c:pt idx="21">
                  <c:v>58.64</c:v>
                </c:pt>
                <c:pt idx="22">
                  <c:v>58.64</c:v>
                </c:pt>
                <c:pt idx="23">
                  <c:v>58.64</c:v>
                </c:pt>
                <c:pt idx="24">
                  <c:v>58.64</c:v>
                </c:pt>
                <c:pt idx="25">
                  <c:v>58.64</c:v>
                </c:pt>
                <c:pt idx="26">
                  <c:v>58.64</c:v>
                </c:pt>
                <c:pt idx="27">
                  <c:v>58.64</c:v>
                </c:pt>
                <c:pt idx="28">
                  <c:v>58.64</c:v>
                </c:pt>
                <c:pt idx="29">
                  <c:v>58.64</c:v>
                </c:pt>
                <c:pt idx="30">
                  <c:v>58.64</c:v>
                </c:pt>
                <c:pt idx="31">
                  <c:v>58.64</c:v>
                </c:pt>
                <c:pt idx="32">
                  <c:v>58.64</c:v>
                </c:pt>
                <c:pt idx="33">
                  <c:v>58.64</c:v>
                </c:pt>
                <c:pt idx="34">
                  <c:v>58.64</c:v>
                </c:pt>
                <c:pt idx="35">
                  <c:v>58.64</c:v>
                </c:pt>
                <c:pt idx="36">
                  <c:v>58.64</c:v>
                </c:pt>
                <c:pt idx="37">
                  <c:v>58.64</c:v>
                </c:pt>
                <c:pt idx="38">
                  <c:v>58.64</c:v>
                </c:pt>
                <c:pt idx="39">
                  <c:v>58.64</c:v>
                </c:pt>
                <c:pt idx="40">
                  <c:v>58.64</c:v>
                </c:pt>
                <c:pt idx="41">
                  <c:v>58.64</c:v>
                </c:pt>
                <c:pt idx="42">
                  <c:v>58.64</c:v>
                </c:pt>
                <c:pt idx="43">
                  <c:v>58.64</c:v>
                </c:pt>
                <c:pt idx="44">
                  <c:v>58.64</c:v>
                </c:pt>
                <c:pt idx="45">
                  <c:v>58.64</c:v>
                </c:pt>
                <c:pt idx="46">
                  <c:v>58.64</c:v>
                </c:pt>
                <c:pt idx="47">
                  <c:v>58.64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48-4B07-ADAC-CB6F17494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886607"/>
        <c:axId val="149887567"/>
      </c:lineChart>
      <c:catAx>
        <c:axId val="149886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49887567"/>
        <c:crosses val="autoZero"/>
        <c:auto val="1"/>
        <c:lblAlgn val="ctr"/>
        <c:lblOffset val="100"/>
        <c:noMultiLvlLbl val="0"/>
      </c:catAx>
      <c:valAx>
        <c:axId val="149887567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Density per 10,000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4988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Dentists!$C$3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Dentists!$B$4:$B$51</c:f>
              <c:strCache>
                <c:ptCount val="48"/>
                <c:pt idx="0">
                  <c:v>Equatorial Guinea</c:v>
                </c:pt>
                <c:pt idx="1">
                  <c:v>Niger</c:v>
                </c:pt>
                <c:pt idx="2">
                  <c:v>Burundi</c:v>
                </c:pt>
                <c:pt idx="3">
                  <c:v>Central African Republic</c:v>
                </c:pt>
                <c:pt idx="4">
                  <c:v>Congo</c:v>
                </c:pt>
                <c:pt idx="5">
                  <c:v>Chad</c:v>
                </c:pt>
                <c:pt idx="6">
                  <c:v>Togo</c:v>
                </c:pt>
                <c:pt idx="7">
                  <c:v>Liberia</c:v>
                </c:pt>
                <c:pt idx="8">
                  <c:v>Mali</c:v>
                </c:pt>
                <c:pt idx="9">
                  <c:v>Benin</c:v>
                </c:pt>
                <c:pt idx="10">
                  <c:v>DRC</c:v>
                </c:pt>
                <c:pt idx="11">
                  <c:v>Guinea</c:v>
                </c:pt>
                <c:pt idx="12">
                  <c:v>Gambia</c:v>
                </c:pt>
                <c:pt idx="13">
                  <c:v>Madagascar</c:v>
                </c:pt>
                <c:pt idx="14">
                  <c:v>Burkina Faso</c:v>
                </c:pt>
                <c:pt idx="15">
                  <c:v>Guinea-Bissau</c:v>
                </c:pt>
                <c:pt idx="16">
                  <c:v>Malawi</c:v>
                </c:pt>
                <c:pt idx="17">
                  <c:v>Cameroon</c:v>
                </c:pt>
                <c:pt idx="18">
                  <c:v>South Sudan</c:v>
                </c:pt>
                <c:pt idx="19">
                  <c:v>Rwanda</c:v>
                </c:pt>
                <c:pt idx="20">
                  <c:v>Senegal</c:v>
                </c:pt>
                <c:pt idx="21">
                  <c:v>Sierra Leone</c:v>
                </c:pt>
                <c:pt idx="22">
                  <c:v>Cote d'Ivoire</c:v>
                </c:pt>
                <c:pt idx="23">
                  <c:v>Tanzania</c:v>
                </c:pt>
                <c:pt idx="24">
                  <c:v>Mozambique</c:v>
                </c:pt>
                <c:pt idx="25">
                  <c:v>Ghana</c:v>
                </c:pt>
                <c:pt idx="26">
                  <c:v>Zimbabwe</c:v>
                </c:pt>
                <c:pt idx="27">
                  <c:v>Sao Tome and Principe</c:v>
                </c:pt>
                <c:pt idx="28">
                  <c:v>Angola</c:v>
                </c:pt>
                <c:pt idx="29">
                  <c:v>Ethiopia</c:v>
                </c:pt>
                <c:pt idx="30">
                  <c:v>Mauritania</c:v>
                </c:pt>
                <c:pt idx="31">
                  <c:v>Uganda</c:v>
                </c:pt>
                <c:pt idx="32">
                  <c:v>Comoros</c:v>
                </c:pt>
                <c:pt idx="33">
                  <c:v>Kenya</c:v>
                </c:pt>
                <c:pt idx="34">
                  <c:v>Gabon</c:v>
                </c:pt>
                <c:pt idx="35">
                  <c:v>Botswana</c:v>
                </c:pt>
                <c:pt idx="36">
                  <c:v>Zambia</c:v>
                </c:pt>
                <c:pt idx="37">
                  <c:v>South Africa</c:v>
                </c:pt>
                <c:pt idx="38">
                  <c:v>Lesotho</c:v>
                </c:pt>
                <c:pt idx="39">
                  <c:v>Eritrea</c:v>
                </c:pt>
                <c:pt idx="40">
                  <c:v>Eswatini</c:v>
                </c:pt>
                <c:pt idx="41">
                  <c:v>AFRO</c:v>
                </c:pt>
                <c:pt idx="42">
                  <c:v>Nigeria</c:v>
                </c:pt>
                <c:pt idx="43">
                  <c:v>Cape-Verde</c:v>
                </c:pt>
                <c:pt idx="44">
                  <c:v>Namibia</c:v>
                </c:pt>
                <c:pt idx="45">
                  <c:v>Algeria</c:v>
                </c:pt>
                <c:pt idx="46">
                  <c:v>Mauritius</c:v>
                </c:pt>
                <c:pt idx="47">
                  <c:v>Seychelles</c:v>
                </c:pt>
              </c:strCache>
            </c:strRef>
          </c:cat>
          <c:val>
            <c:numRef>
              <c:f>Dentists!$C$4:$C$51</c:f>
              <c:numCache>
                <c:formatCode>_(* #,##0.00_);_(* \(#,##0.00\);_(* "-"??_);_(@_)</c:formatCode>
                <c:ptCount val="48"/>
                <c:pt idx="0">
                  <c:v>0</c:v>
                </c:pt>
                <c:pt idx="1">
                  <c:v>1.6083032191958065E-2</c:v>
                </c:pt>
                <c:pt idx="2">
                  <c:v>3.9410507481715366E-3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2.5329890156931333E-2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8.0004913242907386E-2</c:v>
                </c:pt>
                <c:pt idx="13">
                  <c:v>4.7057679381913069E-2</c:v>
                </c:pt>
                <c:pt idx="14">
                  <c:v>2.1546338164390905E-2</c:v>
                </c:pt>
                <c:pt idx="15">
                  <c:v>0</c:v>
                </c:pt>
                <c:pt idx="16">
                  <c:v>0</c:v>
                </c:pt>
                <c:pt idx="17">
                  <c:v>2.681107667274538E-2</c:v>
                </c:pt>
                <c:pt idx="18">
                  <c:v>0</c:v>
                </c:pt>
                <c:pt idx="19">
                  <c:v>0.11440050599253725</c:v>
                </c:pt>
                <c:pt idx="20">
                  <c:v>3.9718833321056066E-2</c:v>
                </c:pt>
                <c:pt idx="21">
                  <c:v>0</c:v>
                </c:pt>
                <c:pt idx="22">
                  <c:v>0.27148192525635295</c:v>
                </c:pt>
                <c:pt idx="23">
                  <c:v>9.4409259286574398E-2</c:v>
                </c:pt>
                <c:pt idx="24">
                  <c:v>0.14810865837276666</c:v>
                </c:pt>
                <c:pt idx="25">
                  <c:v>0</c:v>
                </c:pt>
                <c:pt idx="26">
                  <c:v>0.30024887090379271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7.8245553257013697E-2</c:v>
                </c:pt>
                <c:pt idx="32">
                  <c:v>0.25736621425022416</c:v>
                </c:pt>
                <c:pt idx="33">
                  <c:v>0.2332986726667364</c:v>
                </c:pt>
                <c:pt idx="34">
                  <c:v>0</c:v>
                </c:pt>
                <c:pt idx="35">
                  <c:v>0.24805189065151045</c:v>
                </c:pt>
                <c:pt idx="36">
                  <c:v>0.18510039004984333</c:v>
                </c:pt>
                <c:pt idx="37">
                  <c:v>1.929515924826728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 formatCode="General">
                  <c:v>0.39073721684637214</c:v>
                </c:pt>
                <c:pt idx="42">
                  <c:v>0</c:v>
                </c:pt>
                <c:pt idx="43">
                  <c:v>0</c:v>
                </c:pt>
                <c:pt idx="44">
                  <c:v>0.30845856902440899</c:v>
                </c:pt>
                <c:pt idx="45">
                  <c:v>0</c:v>
                </c:pt>
                <c:pt idx="46">
                  <c:v>2.7194724688277567</c:v>
                </c:pt>
                <c:pt idx="47">
                  <c:v>1.4475670533738652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F-4F48-9205-8189C37EAAD2}"/>
            </c:ext>
          </c:extLst>
        </c:ser>
        <c:ser>
          <c:idx val="1"/>
          <c:order val="1"/>
          <c:tx>
            <c:strRef>
              <c:f>Dentists!$D$3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Dentists!$B$4:$B$51</c:f>
              <c:strCache>
                <c:ptCount val="48"/>
                <c:pt idx="0">
                  <c:v>Equatorial Guinea</c:v>
                </c:pt>
                <c:pt idx="1">
                  <c:v>Niger</c:v>
                </c:pt>
                <c:pt idx="2">
                  <c:v>Burundi</c:v>
                </c:pt>
                <c:pt idx="3">
                  <c:v>Central African Republic</c:v>
                </c:pt>
                <c:pt idx="4">
                  <c:v>Congo</c:v>
                </c:pt>
                <c:pt idx="5">
                  <c:v>Chad</c:v>
                </c:pt>
                <c:pt idx="6">
                  <c:v>Togo</c:v>
                </c:pt>
                <c:pt idx="7">
                  <c:v>Liberia</c:v>
                </c:pt>
                <c:pt idx="8">
                  <c:v>Mali</c:v>
                </c:pt>
                <c:pt idx="9">
                  <c:v>Benin</c:v>
                </c:pt>
                <c:pt idx="10">
                  <c:v>DRC</c:v>
                </c:pt>
                <c:pt idx="11">
                  <c:v>Guinea</c:v>
                </c:pt>
                <c:pt idx="12">
                  <c:v>Gambia</c:v>
                </c:pt>
                <c:pt idx="13">
                  <c:v>Madagascar</c:v>
                </c:pt>
                <c:pt idx="14">
                  <c:v>Burkina Faso</c:v>
                </c:pt>
                <c:pt idx="15">
                  <c:v>Guinea-Bissau</c:v>
                </c:pt>
                <c:pt idx="16">
                  <c:v>Malawi</c:v>
                </c:pt>
                <c:pt idx="17">
                  <c:v>Cameroon</c:v>
                </c:pt>
                <c:pt idx="18">
                  <c:v>South Sudan</c:v>
                </c:pt>
                <c:pt idx="19">
                  <c:v>Rwanda</c:v>
                </c:pt>
                <c:pt idx="20">
                  <c:v>Senegal</c:v>
                </c:pt>
                <c:pt idx="21">
                  <c:v>Sierra Leone</c:v>
                </c:pt>
                <c:pt idx="22">
                  <c:v>Cote d'Ivoire</c:v>
                </c:pt>
                <c:pt idx="23">
                  <c:v>Tanzania</c:v>
                </c:pt>
                <c:pt idx="24">
                  <c:v>Mozambique</c:v>
                </c:pt>
                <c:pt idx="25">
                  <c:v>Ghana</c:v>
                </c:pt>
                <c:pt idx="26">
                  <c:v>Zimbabwe</c:v>
                </c:pt>
                <c:pt idx="27">
                  <c:v>Sao Tome and Principe</c:v>
                </c:pt>
                <c:pt idx="28">
                  <c:v>Angola</c:v>
                </c:pt>
                <c:pt idx="29">
                  <c:v>Ethiopia</c:v>
                </c:pt>
                <c:pt idx="30">
                  <c:v>Mauritania</c:v>
                </c:pt>
                <c:pt idx="31">
                  <c:v>Uganda</c:v>
                </c:pt>
                <c:pt idx="32">
                  <c:v>Comoros</c:v>
                </c:pt>
                <c:pt idx="33">
                  <c:v>Kenya</c:v>
                </c:pt>
                <c:pt idx="34">
                  <c:v>Gabon</c:v>
                </c:pt>
                <c:pt idx="35">
                  <c:v>Botswana</c:v>
                </c:pt>
                <c:pt idx="36">
                  <c:v>Zambia</c:v>
                </c:pt>
                <c:pt idx="37">
                  <c:v>South Africa</c:v>
                </c:pt>
                <c:pt idx="38">
                  <c:v>Lesotho</c:v>
                </c:pt>
                <c:pt idx="39">
                  <c:v>Eritrea</c:v>
                </c:pt>
                <c:pt idx="40">
                  <c:v>Eswatini</c:v>
                </c:pt>
                <c:pt idx="41">
                  <c:v>AFRO</c:v>
                </c:pt>
                <c:pt idx="42">
                  <c:v>Nigeria</c:v>
                </c:pt>
                <c:pt idx="43">
                  <c:v>Cape-Verde</c:v>
                </c:pt>
                <c:pt idx="44">
                  <c:v>Namibia</c:v>
                </c:pt>
                <c:pt idx="45">
                  <c:v>Algeria</c:v>
                </c:pt>
                <c:pt idx="46">
                  <c:v>Mauritius</c:v>
                </c:pt>
                <c:pt idx="47">
                  <c:v>Seychelles</c:v>
                </c:pt>
              </c:strCache>
            </c:strRef>
          </c:cat>
          <c:val>
            <c:numRef>
              <c:f>Dentists!$D$4:$D$51</c:f>
              <c:numCache>
                <c:formatCode>_(* #,##0.00_);_(* \(#,##0.00\);_(* "-"??_);_(@_)</c:formatCode>
                <c:ptCount val="48"/>
                <c:pt idx="0">
                  <c:v>0</c:v>
                </c:pt>
                <c:pt idx="1">
                  <c:v>1.3287825189623912E-2</c:v>
                </c:pt>
                <c:pt idx="2">
                  <c:v>1.2180826986796209E-2</c:v>
                </c:pt>
                <c:pt idx="3">
                  <c:v>3.3367485936586082E-2</c:v>
                </c:pt>
                <c:pt idx="4">
                  <c:v>4.9622665575213103E-2</c:v>
                </c:pt>
                <c:pt idx="5">
                  <c:v>8.9719377014280122E-3</c:v>
                </c:pt>
                <c:pt idx="6">
                  <c:v>5.7166440962787259E-2</c:v>
                </c:pt>
                <c:pt idx="7">
                  <c:v>4.9085867749173673E-2</c:v>
                </c:pt>
                <c:pt idx="8">
                  <c:v>4.1636780989227705E-2</c:v>
                </c:pt>
                <c:pt idx="9">
                  <c:v>3.7686284876405955E-2</c:v>
                </c:pt>
                <c:pt idx="10">
                  <c:v>4.6390202113728227E-2</c:v>
                </c:pt>
                <c:pt idx="11">
                  <c:v>5.8144793199480578E-2</c:v>
                </c:pt>
                <c:pt idx="12">
                  <c:v>5.7261692684266563E-2</c:v>
                </c:pt>
                <c:pt idx="13">
                  <c:v>0.20710303051704126</c:v>
                </c:pt>
                <c:pt idx="14">
                  <c:v>0.13534239640287371</c:v>
                </c:pt>
                <c:pt idx="15">
                  <c:v>8.311884774419348E-2</c:v>
                </c:pt>
                <c:pt idx="16">
                  <c:v>0.10235256833898612</c:v>
                </c:pt>
                <c:pt idx="17">
                  <c:v>0.12282295073645212</c:v>
                </c:pt>
                <c:pt idx="18">
                  <c:v>5.1946405354443073E-2</c:v>
                </c:pt>
                <c:pt idx="19">
                  <c:v>0.18193704300038124</c:v>
                </c:pt>
                <c:pt idx="20">
                  <c:v>0.15152576493384329</c:v>
                </c:pt>
                <c:pt idx="21">
                  <c:v>0.54571258806293776</c:v>
                </c:pt>
                <c:pt idx="22">
                  <c:v>0.19847816280296826</c:v>
                </c:pt>
                <c:pt idx="23">
                  <c:v>0.24961076643880986</c:v>
                </c:pt>
                <c:pt idx="24">
                  <c:v>0.2022167132045492</c:v>
                </c:pt>
                <c:pt idx="25">
                  <c:v>0.30449643569915563</c:v>
                </c:pt>
                <c:pt idx="26">
                  <c:v>0.43183102199654194</c:v>
                </c:pt>
                <c:pt idx="27">
                  <c:v>0.28389734272087214</c:v>
                </c:pt>
                <c:pt idx="28">
                  <c:v>0.78277052995579344</c:v>
                </c:pt>
                <c:pt idx="29">
                  <c:v>0.18293982553929589</c:v>
                </c:pt>
                <c:pt idx="30">
                  <c:v>0.35357106187107251</c:v>
                </c:pt>
                <c:pt idx="31">
                  <c:v>1.2525473983807689E-2</c:v>
                </c:pt>
                <c:pt idx="32">
                  <c:v>0.41220460548476834</c:v>
                </c:pt>
                <c:pt idx="33">
                  <c:v>0.35312979497812602</c:v>
                </c:pt>
                <c:pt idx="34">
                  <c:v>0.19616685405163248</c:v>
                </c:pt>
                <c:pt idx="35">
                  <c:v>0.50175235991879785</c:v>
                </c:pt>
                <c:pt idx="36">
                  <c:v>0.32070163237691579</c:v>
                </c:pt>
                <c:pt idx="37">
                  <c:v>1.2371895984339625</c:v>
                </c:pt>
                <c:pt idx="38">
                  <c:v>1.2693259424290169</c:v>
                </c:pt>
                <c:pt idx="39">
                  <c:v>1.0158547350948355</c:v>
                </c:pt>
                <c:pt idx="40">
                  <c:v>1.034101656501591</c:v>
                </c:pt>
                <c:pt idx="41" formatCode="General">
                  <c:v>0.87371310014348447</c:v>
                </c:pt>
                <c:pt idx="42">
                  <c:v>1.2847071581559619</c:v>
                </c:pt>
                <c:pt idx="43">
                  <c:v>2.713578308180213</c:v>
                </c:pt>
                <c:pt idx="44">
                  <c:v>1.2013232846173876</c:v>
                </c:pt>
                <c:pt idx="45">
                  <c:v>3.6928464748270717</c:v>
                </c:pt>
                <c:pt idx="46">
                  <c:v>4.0991785045563782</c:v>
                </c:pt>
                <c:pt idx="47">
                  <c:v>15.809739963724885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EF-4F48-9205-8189C37EAAD2}"/>
            </c:ext>
          </c:extLst>
        </c:ser>
        <c:ser>
          <c:idx val="2"/>
          <c:order val="2"/>
          <c:tx>
            <c:strRef>
              <c:f>Dentists!$E$3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Dentists!$B$4:$B$51</c:f>
              <c:strCache>
                <c:ptCount val="48"/>
                <c:pt idx="0">
                  <c:v>Equatorial Guinea</c:v>
                </c:pt>
                <c:pt idx="1">
                  <c:v>Niger</c:v>
                </c:pt>
                <c:pt idx="2">
                  <c:v>Burundi</c:v>
                </c:pt>
                <c:pt idx="3">
                  <c:v>Central African Republic</c:v>
                </c:pt>
                <c:pt idx="4">
                  <c:v>Congo</c:v>
                </c:pt>
                <c:pt idx="5">
                  <c:v>Chad</c:v>
                </c:pt>
                <c:pt idx="6">
                  <c:v>Togo</c:v>
                </c:pt>
                <c:pt idx="7">
                  <c:v>Liberia</c:v>
                </c:pt>
                <c:pt idx="8">
                  <c:v>Mali</c:v>
                </c:pt>
                <c:pt idx="9">
                  <c:v>Benin</c:v>
                </c:pt>
                <c:pt idx="10">
                  <c:v>DRC</c:v>
                </c:pt>
                <c:pt idx="11">
                  <c:v>Guinea</c:v>
                </c:pt>
                <c:pt idx="12">
                  <c:v>Gambia</c:v>
                </c:pt>
                <c:pt idx="13">
                  <c:v>Madagascar</c:v>
                </c:pt>
                <c:pt idx="14">
                  <c:v>Burkina Faso</c:v>
                </c:pt>
                <c:pt idx="15">
                  <c:v>Guinea-Bissau</c:v>
                </c:pt>
                <c:pt idx="16">
                  <c:v>Malawi</c:v>
                </c:pt>
                <c:pt idx="17">
                  <c:v>Cameroon</c:v>
                </c:pt>
                <c:pt idx="18">
                  <c:v>South Sudan</c:v>
                </c:pt>
                <c:pt idx="19">
                  <c:v>Rwanda</c:v>
                </c:pt>
                <c:pt idx="20">
                  <c:v>Senegal</c:v>
                </c:pt>
                <c:pt idx="21">
                  <c:v>Sierra Leone</c:v>
                </c:pt>
                <c:pt idx="22">
                  <c:v>Cote d'Ivoire</c:v>
                </c:pt>
                <c:pt idx="23">
                  <c:v>Tanzania</c:v>
                </c:pt>
                <c:pt idx="24">
                  <c:v>Mozambique</c:v>
                </c:pt>
                <c:pt idx="25">
                  <c:v>Ghana</c:v>
                </c:pt>
                <c:pt idx="26">
                  <c:v>Zimbabwe</c:v>
                </c:pt>
                <c:pt idx="27">
                  <c:v>Sao Tome and Principe</c:v>
                </c:pt>
                <c:pt idx="28">
                  <c:v>Angola</c:v>
                </c:pt>
                <c:pt idx="29">
                  <c:v>Ethiopia</c:v>
                </c:pt>
                <c:pt idx="30">
                  <c:v>Mauritania</c:v>
                </c:pt>
                <c:pt idx="31">
                  <c:v>Uganda</c:v>
                </c:pt>
                <c:pt idx="32">
                  <c:v>Comoros</c:v>
                </c:pt>
                <c:pt idx="33">
                  <c:v>Kenya</c:v>
                </c:pt>
                <c:pt idx="34">
                  <c:v>Gabon</c:v>
                </c:pt>
                <c:pt idx="35">
                  <c:v>Botswana</c:v>
                </c:pt>
                <c:pt idx="36">
                  <c:v>Zambia</c:v>
                </c:pt>
                <c:pt idx="37">
                  <c:v>South Africa</c:v>
                </c:pt>
                <c:pt idx="38">
                  <c:v>Lesotho</c:v>
                </c:pt>
                <c:pt idx="39">
                  <c:v>Eritrea</c:v>
                </c:pt>
                <c:pt idx="40">
                  <c:v>Eswatini</c:v>
                </c:pt>
                <c:pt idx="41">
                  <c:v>AFRO</c:v>
                </c:pt>
                <c:pt idx="42">
                  <c:v>Nigeria</c:v>
                </c:pt>
                <c:pt idx="43">
                  <c:v>Cape-Verde</c:v>
                </c:pt>
                <c:pt idx="44">
                  <c:v>Namibia</c:v>
                </c:pt>
                <c:pt idx="45">
                  <c:v>Algeria</c:v>
                </c:pt>
                <c:pt idx="46">
                  <c:v>Mauritius</c:v>
                </c:pt>
                <c:pt idx="47">
                  <c:v>Seychelles</c:v>
                </c:pt>
              </c:strCache>
            </c:strRef>
          </c:cat>
          <c:val>
            <c:numRef>
              <c:f>Dentists!$E$4:$E$51</c:f>
              <c:numCache>
                <c:formatCode>_(* #,##0.00_);_(* \(#,##0.00\);_(* "-"??_);_(@_)</c:formatCode>
                <c:ptCount val="48"/>
                <c:pt idx="0">
                  <c:v>0</c:v>
                </c:pt>
                <c:pt idx="1">
                  <c:v>1.0524722297308976E-2</c:v>
                </c:pt>
                <c:pt idx="2">
                  <c:v>1.0861489514415006E-2</c:v>
                </c:pt>
                <c:pt idx="3">
                  <c:v>1.7150012745503849E-2</c:v>
                </c:pt>
                <c:pt idx="4">
                  <c:v>1.732487977216314E-2</c:v>
                </c:pt>
                <c:pt idx="5">
                  <c:v>1.805531352501813E-2</c:v>
                </c:pt>
                <c:pt idx="6">
                  <c:v>2.5956667887166412E-2</c:v>
                </c:pt>
                <c:pt idx="7">
                  <c:v>3.3409367854906322E-2</c:v>
                </c:pt>
                <c:pt idx="8">
                  <c:v>3.6736082297322295E-2</c:v>
                </c:pt>
                <c:pt idx="9">
                  <c:v>4.3043534966387631E-2</c:v>
                </c:pt>
                <c:pt idx="10">
                  <c:v>4.5579916609546439E-2</c:v>
                </c:pt>
                <c:pt idx="11">
                  <c:v>6.4271567544569724E-2</c:v>
                </c:pt>
                <c:pt idx="12">
                  <c:v>9.238756064319481E-2</c:v>
                </c:pt>
                <c:pt idx="13">
                  <c:v>9.2596083798969664E-2</c:v>
                </c:pt>
                <c:pt idx="14">
                  <c:v>9.3790335176511655E-2</c:v>
                </c:pt>
                <c:pt idx="15">
                  <c:v>0.10649909069718268</c:v>
                </c:pt>
                <c:pt idx="16">
                  <c:v>0.13419424981615888</c:v>
                </c:pt>
                <c:pt idx="17">
                  <c:v>0.14508569755403253</c:v>
                </c:pt>
                <c:pt idx="18">
                  <c:v>0.14677720354961385</c:v>
                </c:pt>
                <c:pt idx="19">
                  <c:v>0.17130375403829554</c:v>
                </c:pt>
                <c:pt idx="20">
                  <c:v>0.17203665304474242</c:v>
                </c:pt>
                <c:pt idx="21">
                  <c:v>0.18570400422645994</c:v>
                </c:pt>
                <c:pt idx="22">
                  <c:v>0.20045574946370559</c:v>
                </c:pt>
                <c:pt idx="23">
                  <c:v>0.20412280091117724</c:v>
                </c:pt>
                <c:pt idx="24">
                  <c:v>0.2089809106553982</c:v>
                </c:pt>
                <c:pt idx="25">
                  <c:v>0.21858130949635596</c:v>
                </c:pt>
                <c:pt idx="26">
                  <c:v>0.24928322816147885</c:v>
                </c:pt>
                <c:pt idx="27">
                  <c:v>0.26387603104061713</c:v>
                </c:pt>
                <c:pt idx="28">
                  <c:v>0.29491930541770073</c:v>
                </c:pt>
                <c:pt idx="29">
                  <c:v>0.30126457080138663</c:v>
                </c:pt>
                <c:pt idx="30">
                  <c:v>0.31495266819191492</c:v>
                </c:pt>
                <c:pt idx="31">
                  <c:v>0.33608760796523413</c:v>
                </c:pt>
                <c:pt idx="32">
                  <c:v>0.38242128843707418</c:v>
                </c:pt>
                <c:pt idx="33">
                  <c:v>0.43144705212737372</c:v>
                </c:pt>
                <c:pt idx="34">
                  <c:v>0.46463101077127689</c:v>
                </c:pt>
                <c:pt idx="35">
                  <c:v>0.4806411555020636</c:v>
                </c:pt>
                <c:pt idx="36">
                  <c:v>0.52403688240517432</c:v>
                </c:pt>
                <c:pt idx="37">
                  <c:v>0.58865812570329368</c:v>
                </c:pt>
                <c:pt idx="38">
                  <c:v>0.63720722990266898</c:v>
                </c:pt>
                <c:pt idx="39">
                  <c:v>0.67073044442993801</c:v>
                </c:pt>
                <c:pt idx="40">
                  <c:v>0.75141527725118284</c:v>
                </c:pt>
                <c:pt idx="41" formatCode="General">
                  <c:v>0.79844545799656541</c:v>
                </c:pt>
                <c:pt idx="42">
                  <c:v>0.85054380366784099</c:v>
                </c:pt>
                <c:pt idx="43">
                  <c:v>1.4572087867796579</c:v>
                </c:pt>
                <c:pt idx="44">
                  <c:v>1.4863086388999653</c:v>
                </c:pt>
                <c:pt idx="45">
                  <c:v>3.6231250650704925</c:v>
                </c:pt>
                <c:pt idx="46">
                  <c:v>3.7853853141600422</c:v>
                </c:pt>
                <c:pt idx="47">
                  <c:v>16.338918623069532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EF-4F48-9205-8189C37EA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0854735"/>
        <c:axId val="150855695"/>
      </c:barChart>
      <c:lineChart>
        <c:grouping val="standard"/>
        <c:varyColors val="0"/>
        <c:ser>
          <c:idx val="3"/>
          <c:order val="3"/>
          <c:tx>
            <c:strRef>
              <c:f>Dentists!$F$3</c:f>
              <c:strCache>
                <c:ptCount val="1"/>
                <c:pt idx="0">
                  <c:v>Target (5.28) for at least 70% UHC service index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Dentists!$B$4:$B$51</c:f>
              <c:strCache>
                <c:ptCount val="48"/>
                <c:pt idx="0">
                  <c:v>Equatorial Guinea</c:v>
                </c:pt>
                <c:pt idx="1">
                  <c:v>Niger</c:v>
                </c:pt>
                <c:pt idx="2">
                  <c:v>Burundi</c:v>
                </c:pt>
                <c:pt idx="3">
                  <c:v>Central African Republic</c:v>
                </c:pt>
                <c:pt idx="4">
                  <c:v>Congo</c:v>
                </c:pt>
                <c:pt idx="5">
                  <c:v>Chad</c:v>
                </c:pt>
                <c:pt idx="6">
                  <c:v>Togo</c:v>
                </c:pt>
                <c:pt idx="7">
                  <c:v>Liberia</c:v>
                </c:pt>
                <c:pt idx="8">
                  <c:v>Mali</c:v>
                </c:pt>
                <c:pt idx="9">
                  <c:v>Benin</c:v>
                </c:pt>
                <c:pt idx="10">
                  <c:v>DRC</c:v>
                </c:pt>
                <c:pt idx="11">
                  <c:v>Guinea</c:v>
                </c:pt>
                <c:pt idx="12">
                  <c:v>Gambia</c:v>
                </c:pt>
                <c:pt idx="13">
                  <c:v>Madagascar</c:v>
                </c:pt>
                <c:pt idx="14">
                  <c:v>Burkina Faso</c:v>
                </c:pt>
                <c:pt idx="15">
                  <c:v>Guinea-Bissau</c:v>
                </c:pt>
                <c:pt idx="16">
                  <c:v>Malawi</c:v>
                </c:pt>
                <c:pt idx="17">
                  <c:v>Cameroon</c:v>
                </c:pt>
                <c:pt idx="18">
                  <c:v>South Sudan</c:v>
                </c:pt>
                <c:pt idx="19">
                  <c:v>Rwanda</c:v>
                </c:pt>
                <c:pt idx="20">
                  <c:v>Senegal</c:v>
                </c:pt>
                <c:pt idx="21">
                  <c:v>Sierra Leone</c:v>
                </c:pt>
                <c:pt idx="22">
                  <c:v>Cote d'Ivoire</c:v>
                </c:pt>
                <c:pt idx="23">
                  <c:v>Tanzania</c:v>
                </c:pt>
                <c:pt idx="24">
                  <c:v>Mozambique</c:v>
                </c:pt>
                <c:pt idx="25">
                  <c:v>Ghana</c:v>
                </c:pt>
                <c:pt idx="26">
                  <c:v>Zimbabwe</c:v>
                </c:pt>
                <c:pt idx="27">
                  <c:v>Sao Tome and Principe</c:v>
                </c:pt>
                <c:pt idx="28">
                  <c:v>Angola</c:v>
                </c:pt>
                <c:pt idx="29">
                  <c:v>Ethiopia</c:v>
                </c:pt>
                <c:pt idx="30">
                  <c:v>Mauritania</c:v>
                </c:pt>
                <c:pt idx="31">
                  <c:v>Uganda</c:v>
                </c:pt>
                <c:pt idx="32">
                  <c:v>Comoros</c:v>
                </c:pt>
                <c:pt idx="33">
                  <c:v>Kenya</c:v>
                </c:pt>
                <c:pt idx="34">
                  <c:v>Gabon</c:v>
                </c:pt>
                <c:pt idx="35">
                  <c:v>Botswana</c:v>
                </c:pt>
                <c:pt idx="36">
                  <c:v>Zambia</c:v>
                </c:pt>
                <c:pt idx="37">
                  <c:v>South Africa</c:v>
                </c:pt>
                <c:pt idx="38">
                  <c:v>Lesotho</c:v>
                </c:pt>
                <c:pt idx="39">
                  <c:v>Eritrea</c:v>
                </c:pt>
                <c:pt idx="40">
                  <c:v>Eswatini</c:v>
                </c:pt>
                <c:pt idx="41">
                  <c:v>AFRO</c:v>
                </c:pt>
                <c:pt idx="42">
                  <c:v>Nigeria</c:v>
                </c:pt>
                <c:pt idx="43">
                  <c:v>Cape-Verde</c:v>
                </c:pt>
                <c:pt idx="44">
                  <c:v>Namibia</c:v>
                </c:pt>
                <c:pt idx="45">
                  <c:v>Algeria</c:v>
                </c:pt>
                <c:pt idx="46">
                  <c:v>Mauritius</c:v>
                </c:pt>
                <c:pt idx="47">
                  <c:v>Seychelles</c:v>
                </c:pt>
              </c:strCache>
            </c:strRef>
          </c:cat>
          <c:val>
            <c:numRef>
              <c:f>Dentists!$F$4:$F$51</c:f>
              <c:numCache>
                <c:formatCode>_(* #,##0.00_);_(* \(#,##0.00\);_(* "-"??_);_(@_)</c:formatCode>
                <c:ptCount val="48"/>
                <c:pt idx="0">
                  <c:v>5.28</c:v>
                </c:pt>
                <c:pt idx="1">
                  <c:v>5.28</c:v>
                </c:pt>
                <c:pt idx="2">
                  <c:v>5.28</c:v>
                </c:pt>
                <c:pt idx="3">
                  <c:v>5.28</c:v>
                </c:pt>
                <c:pt idx="4">
                  <c:v>5.28</c:v>
                </c:pt>
                <c:pt idx="5">
                  <c:v>5.28</c:v>
                </c:pt>
                <c:pt idx="6">
                  <c:v>5.28</c:v>
                </c:pt>
                <c:pt idx="7">
                  <c:v>5.28</c:v>
                </c:pt>
                <c:pt idx="8">
                  <c:v>5.28</c:v>
                </c:pt>
                <c:pt idx="9">
                  <c:v>5.28</c:v>
                </c:pt>
                <c:pt idx="10">
                  <c:v>5.28</c:v>
                </c:pt>
                <c:pt idx="11">
                  <c:v>5.28</c:v>
                </c:pt>
                <c:pt idx="12">
                  <c:v>5.28</c:v>
                </c:pt>
                <c:pt idx="13">
                  <c:v>5.28</c:v>
                </c:pt>
                <c:pt idx="14">
                  <c:v>5.28</c:v>
                </c:pt>
                <c:pt idx="15">
                  <c:v>5.28</c:v>
                </c:pt>
                <c:pt idx="16">
                  <c:v>5.28</c:v>
                </c:pt>
                <c:pt idx="17">
                  <c:v>5.28</c:v>
                </c:pt>
                <c:pt idx="18">
                  <c:v>5.28</c:v>
                </c:pt>
                <c:pt idx="19">
                  <c:v>5.28</c:v>
                </c:pt>
                <c:pt idx="20">
                  <c:v>5.28</c:v>
                </c:pt>
                <c:pt idx="21">
                  <c:v>5.28</c:v>
                </c:pt>
                <c:pt idx="22">
                  <c:v>5.28</c:v>
                </c:pt>
                <c:pt idx="23">
                  <c:v>5.28</c:v>
                </c:pt>
                <c:pt idx="24">
                  <c:v>5.28</c:v>
                </c:pt>
                <c:pt idx="25">
                  <c:v>5.28</c:v>
                </c:pt>
                <c:pt idx="26">
                  <c:v>5.28</c:v>
                </c:pt>
                <c:pt idx="27">
                  <c:v>5.28</c:v>
                </c:pt>
                <c:pt idx="28">
                  <c:v>5.28</c:v>
                </c:pt>
                <c:pt idx="29">
                  <c:v>5.28</c:v>
                </c:pt>
                <c:pt idx="30">
                  <c:v>5.28</c:v>
                </c:pt>
                <c:pt idx="31">
                  <c:v>5.28</c:v>
                </c:pt>
                <c:pt idx="32">
                  <c:v>5.28</c:v>
                </c:pt>
                <c:pt idx="33">
                  <c:v>5.28</c:v>
                </c:pt>
                <c:pt idx="34">
                  <c:v>5.28</c:v>
                </c:pt>
                <c:pt idx="35">
                  <c:v>5.28</c:v>
                </c:pt>
                <c:pt idx="36">
                  <c:v>5.28</c:v>
                </c:pt>
                <c:pt idx="37">
                  <c:v>5.28</c:v>
                </c:pt>
                <c:pt idx="38">
                  <c:v>5.28</c:v>
                </c:pt>
                <c:pt idx="39">
                  <c:v>5.28</c:v>
                </c:pt>
                <c:pt idx="40">
                  <c:v>5.28</c:v>
                </c:pt>
                <c:pt idx="41">
                  <c:v>5.28</c:v>
                </c:pt>
                <c:pt idx="42">
                  <c:v>5.28</c:v>
                </c:pt>
                <c:pt idx="43">
                  <c:v>5.28</c:v>
                </c:pt>
                <c:pt idx="44">
                  <c:v>5.28</c:v>
                </c:pt>
                <c:pt idx="45">
                  <c:v>5.28</c:v>
                </c:pt>
                <c:pt idx="46">
                  <c:v>5.28</c:v>
                </c:pt>
                <c:pt idx="47">
                  <c:v>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EF-4F48-9205-8189C37EA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854735"/>
        <c:axId val="150855695"/>
      </c:lineChart>
      <c:catAx>
        <c:axId val="15085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400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50855695"/>
        <c:crosses val="autoZero"/>
        <c:auto val="1"/>
        <c:lblAlgn val="ctr"/>
        <c:lblOffset val="100"/>
        <c:noMultiLvlLbl val="0"/>
      </c:catAx>
      <c:valAx>
        <c:axId val="15085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Density per 10,000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5085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Pharmacists!$C$4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Pharmacists!$B$5:$B$52</c:f>
              <c:strCache>
                <c:ptCount val="48"/>
                <c:pt idx="0">
                  <c:v>Central African Republic</c:v>
                </c:pt>
                <c:pt idx="1">
                  <c:v>Madagascar</c:v>
                </c:pt>
                <c:pt idx="2">
                  <c:v>Niger</c:v>
                </c:pt>
                <c:pt idx="3">
                  <c:v>Burundi</c:v>
                </c:pt>
                <c:pt idx="4">
                  <c:v>DRC</c:v>
                </c:pt>
                <c:pt idx="5">
                  <c:v>Guinea</c:v>
                </c:pt>
                <c:pt idx="6">
                  <c:v>Congo</c:v>
                </c:pt>
                <c:pt idx="7">
                  <c:v>Mauritania</c:v>
                </c:pt>
                <c:pt idx="8">
                  <c:v>Senegal</c:v>
                </c:pt>
                <c:pt idx="9">
                  <c:v>Chad</c:v>
                </c:pt>
                <c:pt idx="10">
                  <c:v>Benin</c:v>
                </c:pt>
                <c:pt idx="11">
                  <c:v>Cameroon</c:v>
                </c:pt>
                <c:pt idx="12">
                  <c:v>Burkina Faso</c:v>
                </c:pt>
                <c:pt idx="13">
                  <c:v>Gambia</c:v>
                </c:pt>
                <c:pt idx="14">
                  <c:v>Togo</c:v>
                </c:pt>
                <c:pt idx="15">
                  <c:v>Guinea-Bissau</c:v>
                </c:pt>
                <c:pt idx="16">
                  <c:v>Malawi</c:v>
                </c:pt>
                <c:pt idx="17">
                  <c:v>South Sudan</c:v>
                </c:pt>
                <c:pt idx="18">
                  <c:v>Cape-Verde</c:v>
                </c:pt>
                <c:pt idx="19">
                  <c:v>Cote d'Ivoire</c:v>
                </c:pt>
                <c:pt idx="20">
                  <c:v>Equatorial Guinea</c:v>
                </c:pt>
                <c:pt idx="21">
                  <c:v>Angola</c:v>
                </c:pt>
                <c:pt idx="22">
                  <c:v>Uganda</c:v>
                </c:pt>
                <c:pt idx="23">
                  <c:v>Rwanda</c:v>
                </c:pt>
                <c:pt idx="24">
                  <c:v>Mali</c:v>
                </c:pt>
                <c:pt idx="25">
                  <c:v>Nigeria</c:v>
                </c:pt>
                <c:pt idx="26">
                  <c:v>Mozambique</c:v>
                </c:pt>
                <c:pt idx="27">
                  <c:v>Tanzania</c:v>
                </c:pt>
                <c:pt idx="28">
                  <c:v>Sierra Leone</c:v>
                </c:pt>
                <c:pt idx="29">
                  <c:v>Comoros</c:v>
                </c:pt>
                <c:pt idx="30">
                  <c:v>AFRO</c:v>
                </c:pt>
                <c:pt idx="31">
                  <c:v>Kenya</c:v>
                </c:pt>
                <c:pt idx="32">
                  <c:v>Liberia</c:v>
                </c:pt>
                <c:pt idx="33">
                  <c:v>Eswatini</c:v>
                </c:pt>
                <c:pt idx="34">
                  <c:v>Eritrea</c:v>
                </c:pt>
                <c:pt idx="35">
                  <c:v>Zimbabwe</c:v>
                </c:pt>
                <c:pt idx="36">
                  <c:v>Zambia</c:v>
                </c:pt>
                <c:pt idx="37">
                  <c:v>Sao Tome and Principe</c:v>
                </c:pt>
                <c:pt idx="38">
                  <c:v>Gabon</c:v>
                </c:pt>
                <c:pt idx="39">
                  <c:v>Ghana</c:v>
                </c:pt>
                <c:pt idx="40">
                  <c:v>Botswana</c:v>
                </c:pt>
                <c:pt idx="41">
                  <c:v>Lesotho</c:v>
                </c:pt>
                <c:pt idx="42">
                  <c:v>Mauritius</c:v>
                </c:pt>
                <c:pt idx="43">
                  <c:v>Ethiopia</c:v>
                </c:pt>
                <c:pt idx="44">
                  <c:v>South Africa</c:v>
                </c:pt>
                <c:pt idx="45">
                  <c:v>Algeria</c:v>
                </c:pt>
                <c:pt idx="46">
                  <c:v>Namibia</c:v>
                </c:pt>
                <c:pt idx="47">
                  <c:v>Seychelles</c:v>
                </c:pt>
              </c:strCache>
            </c:strRef>
          </c:cat>
          <c:val>
            <c:numRef>
              <c:f>Pharmacists!$C$5:$C$52</c:f>
              <c:numCache>
                <c:formatCode>_(* #,##0.00_);_(* \(#,##0.00\);_(* "-"??_);_(@_)</c:formatCode>
                <c:ptCount val="48"/>
                <c:pt idx="0">
                  <c:v>4.164559659763796E-2</c:v>
                </c:pt>
                <c:pt idx="1">
                  <c:v>7.2070319774101095E-3</c:v>
                </c:pt>
                <c:pt idx="2">
                  <c:v>2.7341154726328712E-2</c:v>
                </c:pt>
                <c:pt idx="3">
                  <c:v>3.9410507481715366E-3</c:v>
                </c:pt>
                <c:pt idx="4">
                  <c:v>3.8524355989498014E-2</c:v>
                </c:pt>
                <c:pt idx="5">
                  <c:v>0.12844366976227967</c:v>
                </c:pt>
                <c:pt idx="6">
                  <c:v>0</c:v>
                </c:pt>
                <c:pt idx="7">
                  <c:v>0</c:v>
                </c:pt>
                <c:pt idx="8">
                  <c:v>0.37806445050042259</c:v>
                </c:pt>
                <c:pt idx="9">
                  <c:v>5.4476259378570396E-2</c:v>
                </c:pt>
                <c:pt idx="10">
                  <c:v>2.0371082549883335</c:v>
                </c:pt>
                <c:pt idx="11">
                  <c:v>0.61942832312894502</c:v>
                </c:pt>
                <c:pt idx="12">
                  <c:v>0.20128815916733608</c:v>
                </c:pt>
                <c:pt idx="13">
                  <c:v>0.48944182219190402</c:v>
                </c:pt>
                <c:pt idx="14">
                  <c:v>2.3922674037101816E-2</c:v>
                </c:pt>
                <c:pt idx="15">
                  <c:v>0</c:v>
                </c:pt>
                <c:pt idx="16">
                  <c:v>0.10608572956295084</c:v>
                </c:pt>
                <c:pt idx="17">
                  <c:v>0</c:v>
                </c:pt>
                <c:pt idx="18">
                  <c:v>0</c:v>
                </c:pt>
                <c:pt idx="19">
                  <c:v>2.1095480749428077</c:v>
                </c:pt>
                <c:pt idx="20">
                  <c:v>0</c:v>
                </c:pt>
                <c:pt idx="21">
                  <c:v>0</c:v>
                </c:pt>
                <c:pt idx="22">
                  <c:v>0.34019805763918998</c:v>
                </c:pt>
                <c:pt idx="23">
                  <c:v>0.10269021797755312</c:v>
                </c:pt>
                <c:pt idx="24">
                  <c:v>0</c:v>
                </c:pt>
                <c:pt idx="25">
                  <c:v>1.1466516625374563</c:v>
                </c:pt>
                <c:pt idx="26">
                  <c:v>0.59045457121335576</c:v>
                </c:pt>
                <c:pt idx="27">
                  <c:v>0.13318811632686625</c:v>
                </c:pt>
                <c:pt idx="28">
                  <c:v>0</c:v>
                </c:pt>
                <c:pt idx="29">
                  <c:v>0.22876996822242149</c:v>
                </c:pt>
                <c:pt idx="30" formatCode="0.00">
                  <c:v>0.69033105400946848</c:v>
                </c:pt>
                <c:pt idx="31">
                  <c:v>0.49160160498770678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0.66762955323816331</c:v>
                </c:pt>
                <c:pt idx="36">
                  <c:v>0.80275807457786663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3.5639810132785414</c:v>
                </c:pt>
                <c:pt idx="43">
                  <c:v>0</c:v>
                </c:pt>
                <c:pt idx="44">
                  <c:v>3.8909584238785828</c:v>
                </c:pt>
                <c:pt idx="45">
                  <c:v>0</c:v>
                </c:pt>
                <c:pt idx="46">
                  <c:v>0</c:v>
                </c:pt>
                <c:pt idx="47">
                  <c:v>0.41359058667824722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4-4734-A5C9-8D0255886710}"/>
            </c:ext>
          </c:extLst>
        </c:ser>
        <c:ser>
          <c:idx val="1"/>
          <c:order val="1"/>
          <c:tx>
            <c:strRef>
              <c:f>Pharmacists!$D$4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Pharmacists!$B$5:$B$52</c:f>
              <c:strCache>
                <c:ptCount val="48"/>
                <c:pt idx="0">
                  <c:v>Central African Republic</c:v>
                </c:pt>
                <c:pt idx="1">
                  <c:v>Madagascar</c:v>
                </c:pt>
                <c:pt idx="2">
                  <c:v>Niger</c:v>
                </c:pt>
                <c:pt idx="3">
                  <c:v>Burundi</c:v>
                </c:pt>
                <c:pt idx="4">
                  <c:v>DRC</c:v>
                </c:pt>
                <c:pt idx="5">
                  <c:v>Guinea</c:v>
                </c:pt>
                <c:pt idx="6">
                  <c:v>Congo</c:v>
                </c:pt>
                <c:pt idx="7">
                  <c:v>Mauritania</c:v>
                </c:pt>
                <c:pt idx="8">
                  <c:v>Senegal</c:v>
                </c:pt>
                <c:pt idx="9">
                  <c:v>Chad</c:v>
                </c:pt>
                <c:pt idx="10">
                  <c:v>Benin</c:v>
                </c:pt>
                <c:pt idx="11">
                  <c:v>Cameroon</c:v>
                </c:pt>
                <c:pt idx="12">
                  <c:v>Burkina Faso</c:v>
                </c:pt>
                <c:pt idx="13">
                  <c:v>Gambia</c:v>
                </c:pt>
                <c:pt idx="14">
                  <c:v>Togo</c:v>
                </c:pt>
                <c:pt idx="15">
                  <c:v>Guinea-Bissau</c:v>
                </c:pt>
                <c:pt idx="16">
                  <c:v>Malawi</c:v>
                </c:pt>
                <c:pt idx="17">
                  <c:v>South Sudan</c:v>
                </c:pt>
                <c:pt idx="18">
                  <c:v>Cape-Verde</c:v>
                </c:pt>
                <c:pt idx="19">
                  <c:v>Cote d'Ivoire</c:v>
                </c:pt>
                <c:pt idx="20">
                  <c:v>Equatorial Guinea</c:v>
                </c:pt>
                <c:pt idx="21">
                  <c:v>Angola</c:v>
                </c:pt>
                <c:pt idx="22">
                  <c:v>Uganda</c:v>
                </c:pt>
                <c:pt idx="23">
                  <c:v>Rwanda</c:v>
                </c:pt>
                <c:pt idx="24">
                  <c:v>Mali</c:v>
                </c:pt>
                <c:pt idx="25">
                  <c:v>Nigeria</c:v>
                </c:pt>
                <c:pt idx="26">
                  <c:v>Mozambique</c:v>
                </c:pt>
                <c:pt idx="27">
                  <c:v>Tanzania</c:v>
                </c:pt>
                <c:pt idx="28">
                  <c:v>Sierra Leone</c:v>
                </c:pt>
                <c:pt idx="29">
                  <c:v>Comoros</c:v>
                </c:pt>
                <c:pt idx="30">
                  <c:v>AFRO</c:v>
                </c:pt>
                <c:pt idx="31">
                  <c:v>Kenya</c:v>
                </c:pt>
                <c:pt idx="32">
                  <c:v>Liberia</c:v>
                </c:pt>
                <c:pt idx="33">
                  <c:v>Eswatini</c:v>
                </c:pt>
                <c:pt idx="34">
                  <c:v>Eritrea</c:v>
                </c:pt>
                <c:pt idx="35">
                  <c:v>Zimbabwe</c:v>
                </c:pt>
                <c:pt idx="36">
                  <c:v>Zambia</c:v>
                </c:pt>
                <c:pt idx="37">
                  <c:v>Sao Tome and Principe</c:v>
                </c:pt>
                <c:pt idx="38">
                  <c:v>Gabon</c:v>
                </c:pt>
                <c:pt idx="39">
                  <c:v>Ghana</c:v>
                </c:pt>
                <c:pt idx="40">
                  <c:v>Botswana</c:v>
                </c:pt>
                <c:pt idx="41">
                  <c:v>Lesotho</c:v>
                </c:pt>
                <c:pt idx="42">
                  <c:v>Mauritius</c:v>
                </c:pt>
                <c:pt idx="43">
                  <c:v>Ethiopia</c:v>
                </c:pt>
                <c:pt idx="44">
                  <c:v>South Africa</c:v>
                </c:pt>
                <c:pt idx="45">
                  <c:v>Algeria</c:v>
                </c:pt>
                <c:pt idx="46">
                  <c:v>Namibia</c:v>
                </c:pt>
                <c:pt idx="47">
                  <c:v>Seychelles</c:v>
                </c:pt>
              </c:strCache>
            </c:strRef>
          </c:cat>
          <c:val>
            <c:numRef>
              <c:f>Pharmacists!$D$5:$D$52</c:f>
              <c:numCache>
                <c:formatCode>_(* #,##0.00_);_(* \(#,##0.00\);_(* "-"??_);_(@_)</c:formatCode>
                <c:ptCount val="48"/>
                <c:pt idx="0">
                  <c:v>7.0660558453946989E-2</c:v>
                </c:pt>
                <c:pt idx="1">
                  <c:v>0.12254837597141471</c:v>
                </c:pt>
                <c:pt idx="2">
                  <c:v>2.6575650379247823E-2</c:v>
                </c:pt>
                <c:pt idx="3">
                  <c:v>0.10353702938776778</c:v>
                </c:pt>
                <c:pt idx="4">
                  <c:v>0.21966449664248044</c:v>
                </c:pt>
                <c:pt idx="5">
                  <c:v>0.20310852418996639</c:v>
                </c:pt>
                <c:pt idx="6">
                  <c:v>0.44292823717134655</c:v>
                </c:pt>
                <c:pt idx="7">
                  <c:v>0.23415302110667058</c:v>
                </c:pt>
                <c:pt idx="8">
                  <c:v>0.13804254008803521</c:v>
                </c:pt>
                <c:pt idx="9">
                  <c:v>0.28197518490202322</c:v>
                </c:pt>
                <c:pt idx="10">
                  <c:v>0.29395302203596646</c:v>
                </c:pt>
                <c:pt idx="11">
                  <c:v>0.13957153492778651</c:v>
                </c:pt>
                <c:pt idx="12">
                  <c:v>0.38837383315607243</c:v>
                </c:pt>
                <c:pt idx="13">
                  <c:v>0.62987861952693214</c:v>
                </c:pt>
                <c:pt idx="14">
                  <c:v>0.28458945609735392</c:v>
                </c:pt>
                <c:pt idx="15">
                  <c:v>0.42598409468899162</c:v>
                </c:pt>
                <c:pt idx="16">
                  <c:v>0.36095613196142451</c:v>
                </c:pt>
                <c:pt idx="17">
                  <c:v>0.49060493945862899</c:v>
                </c:pt>
                <c:pt idx="18">
                  <c:v>4.6218366023198474</c:v>
                </c:pt>
                <c:pt idx="19">
                  <c:v>1.0637801927305335</c:v>
                </c:pt>
                <c:pt idx="20">
                  <c:v>6.6573840541671384E-2</c:v>
                </c:pt>
                <c:pt idx="21">
                  <c:v>1.2492992077358192</c:v>
                </c:pt>
                <c:pt idx="22">
                  <c:v>0.13440797082624406</c:v>
                </c:pt>
                <c:pt idx="23">
                  <c:v>0.86739283219918606</c:v>
                </c:pt>
                <c:pt idx="24">
                  <c:v>0.71434670034530423</c:v>
                </c:pt>
                <c:pt idx="25">
                  <c:v>1.535428443700269</c:v>
                </c:pt>
                <c:pt idx="26">
                  <c:v>0.80071021228557637</c:v>
                </c:pt>
                <c:pt idx="27">
                  <c:v>0.53210129590507682</c:v>
                </c:pt>
                <c:pt idx="28">
                  <c:v>0.22515414472526804</c:v>
                </c:pt>
                <c:pt idx="29">
                  <c:v>0.70847666567694567</c:v>
                </c:pt>
                <c:pt idx="30" formatCode="0.00">
                  <c:v>1.6507260089141806</c:v>
                </c:pt>
                <c:pt idx="31">
                  <c:v>0.45942906999705169</c:v>
                </c:pt>
                <c:pt idx="32">
                  <c:v>2.1904568483068751</c:v>
                </c:pt>
                <c:pt idx="33">
                  <c:v>3.8951162394893264</c:v>
                </c:pt>
                <c:pt idx="34">
                  <c:v>2.17973401730349</c:v>
                </c:pt>
                <c:pt idx="35">
                  <c:v>2.1418818691028481</c:v>
                </c:pt>
                <c:pt idx="36">
                  <c:v>1.1275017180244364</c:v>
                </c:pt>
                <c:pt idx="37">
                  <c:v>1.7507002801120448</c:v>
                </c:pt>
                <c:pt idx="38">
                  <c:v>1.5191526139347351</c:v>
                </c:pt>
                <c:pt idx="39">
                  <c:v>0.73532649897562052</c:v>
                </c:pt>
                <c:pt idx="40">
                  <c:v>2.4108589000976384</c:v>
                </c:pt>
                <c:pt idx="41">
                  <c:v>3.1801391890963537</c:v>
                </c:pt>
                <c:pt idx="42">
                  <c:v>7.4495428566796704</c:v>
                </c:pt>
                <c:pt idx="43">
                  <c:v>1.5834688194859761</c:v>
                </c:pt>
                <c:pt idx="44">
                  <c:v>2.8243988647643112</c:v>
                </c:pt>
                <c:pt idx="45">
                  <c:v>4.8520038647166004</c:v>
                </c:pt>
                <c:pt idx="46">
                  <c:v>3.7702429728303484</c:v>
                </c:pt>
                <c:pt idx="47">
                  <c:v>18.137554436911373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B4-4734-A5C9-8D0255886710}"/>
            </c:ext>
          </c:extLst>
        </c:ser>
        <c:ser>
          <c:idx val="2"/>
          <c:order val="2"/>
          <c:tx>
            <c:strRef>
              <c:f>Pharmacists!$E$4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Pharmacists!$B$5:$B$52</c:f>
              <c:strCache>
                <c:ptCount val="48"/>
                <c:pt idx="0">
                  <c:v>Central African Republic</c:v>
                </c:pt>
                <c:pt idx="1">
                  <c:v>Madagascar</c:v>
                </c:pt>
                <c:pt idx="2">
                  <c:v>Niger</c:v>
                </c:pt>
                <c:pt idx="3">
                  <c:v>Burundi</c:v>
                </c:pt>
                <c:pt idx="4">
                  <c:v>DRC</c:v>
                </c:pt>
                <c:pt idx="5">
                  <c:v>Guinea</c:v>
                </c:pt>
                <c:pt idx="6">
                  <c:v>Congo</c:v>
                </c:pt>
                <c:pt idx="7">
                  <c:v>Mauritania</c:v>
                </c:pt>
                <c:pt idx="8">
                  <c:v>Senegal</c:v>
                </c:pt>
                <c:pt idx="9">
                  <c:v>Chad</c:v>
                </c:pt>
                <c:pt idx="10">
                  <c:v>Benin</c:v>
                </c:pt>
                <c:pt idx="11">
                  <c:v>Cameroon</c:v>
                </c:pt>
                <c:pt idx="12">
                  <c:v>Burkina Faso</c:v>
                </c:pt>
                <c:pt idx="13">
                  <c:v>Gambia</c:v>
                </c:pt>
                <c:pt idx="14">
                  <c:v>Togo</c:v>
                </c:pt>
                <c:pt idx="15">
                  <c:v>Guinea-Bissau</c:v>
                </c:pt>
                <c:pt idx="16">
                  <c:v>Malawi</c:v>
                </c:pt>
                <c:pt idx="17">
                  <c:v>South Sudan</c:v>
                </c:pt>
                <c:pt idx="18">
                  <c:v>Cape-Verde</c:v>
                </c:pt>
                <c:pt idx="19">
                  <c:v>Cote d'Ivoire</c:v>
                </c:pt>
                <c:pt idx="20">
                  <c:v>Equatorial Guinea</c:v>
                </c:pt>
                <c:pt idx="21">
                  <c:v>Angola</c:v>
                </c:pt>
                <c:pt idx="22">
                  <c:v>Uganda</c:v>
                </c:pt>
                <c:pt idx="23">
                  <c:v>Rwanda</c:v>
                </c:pt>
                <c:pt idx="24">
                  <c:v>Mali</c:v>
                </c:pt>
                <c:pt idx="25">
                  <c:v>Nigeria</c:v>
                </c:pt>
                <c:pt idx="26">
                  <c:v>Mozambique</c:v>
                </c:pt>
                <c:pt idx="27">
                  <c:v>Tanzania</c:v>
                </c:pt>
                <c:pt idx="28">
                  <c:v>Sierra Leone</c:v>
                </c:pt>
                <c:pt idx="29">
                  <c:v>Comoros</c:v>
                </c:pt>
                <c:pt idx="30">
                  <c:v>AFRO</c:v>
                </c:pt>
                <c:pt idx="31">
                  <c:v>Kenya</c:v>
                </c:pt>
                <c:pt idx="32">
                  <c:v>Liberia</c:v>
                </c:pt>
                <c:pt idx="33">
                  <c:v>Eswatini</c:v>
                </c:pt>
                <c:pt idx="34">
                  <c:v>Eritrea</c:v>
                </c:pt>
                <c:pt idx="35">
                  <c:v>Zimbabwe</c:v>
                </c:pt>
                <c:pt idx="36">
                  <c:v>Zambia</c:v>
                </c:pt>
                <c:pt idx="37">
                  <c:v>Sao Tome and Principe</c:v>
                </c:pt>
                <c:pt idx="38">
                  <c:v>Gabon</c:v>
                </c:pt>
                <c:pt idx="39">
                  <c:v>Ghana</c:v>
                </c:pt>
                <c:pt idx="40">
                  <c:v>Botswana</c:v>
                </c:pt>
                <c:pt idx="41">
                  <c:v>Lesotho</c:v>
                </c:pt>
                <c:pt idx="42">
                  <c:v>Mauritius</c:v>
                </c:pt>
                <c:pt idx="43">
                  <c:v>Ethiopia</c:v>
                </c:pt>
                <c:pt idx="44">
                  <c:v>South Africa</c:v>
                </c:pt>
                <c:pt idx="45">
                  <c:v>Algeria</c:v>
                </c:pt>
                <c:pt idx="46">
                  <c:v>Namibia</c:v>
                </c:pt>
                <c:pt idx="47">
                  <c:v>Seychelles</c:v>
                </c:pt>
              </c:strCache>
            </c:strRef>
          </c:cat>
          <c:val>
            <c:numRef>
              <c:f>Pharmacists!$E$5:$E$52</c:f>
              <c:numCache>
                <c:formatCode>_(* #,##0.00_);_(* \(#,##0.00\);_(* "-"??_);_(@_)</c:formatCode>
                <c:ptCount val="48"/>
                <c:pt idx="0">
                  <c:v>4.6032840227169308E-3</c:v>
                </c:pt>
                <c:pt idx="1">
                  <c:v>1.3540026744053708E-2</c:v>
                </c:pt>
                <c:pt idx="2">
                  <c:v>2.0383047010812855E-2</c:v>
                </c:pt>
                <c:pt idx="3">
                  <c:v>0.10064958904134991</c:v>
                </c:pt>
                <c:pt idx="4">
                  <c:v>0.13189576983914927</c:v>
                </c:pt>
                <c:pt idx="5">
                  <c:v>0.18399143884227384</c:v>
                </c:pt>
                <c:pt idx="6">
                  <c:v>0.20789855726595771</c:v>
                </c:pt>
                <c:pt idx="7">
                  <c:v>0.23180712021814376</c:v>
                </c:pt>
                <c:pt idx="8">
                  <c:v>0.23619161180216569</c:v>
                </c:pt>
                <c:pt idx="9">
                  <c:v>0.28676309630029845</c:v>
                </c:pt>
                <c:pt idx="10">
                  <c:v>0.32801951701148158</c:v>
                </c:pt>
                <c:pt idx="11">
                  <c:v>0.34784743783942118</c:v>
                </c:pt>
                <c:pt idx="12">
                  <c:v>0.35314677546825235</c:v>
                </c:pt>
                <c:pt idx="13">
                  <c:v>0.36242670018027034</c:v>
                </c:pt>
                <c:pt idx="14">
                  <c:v>0.37067598133216989</c:v>
                </c:pt>
                <c:pt idx="15">
                  <c:v>0.39145816701183556</c:v>
                </c:pt>
                <c:pt idx="16">
                  <c:v>0.40822083262577541</c:v>
                </c:pt>
                <c:pt idx="17">
                  <c:v>0.41303560746665047</c:v>
                </c:pt>
                <c:pt idx="18">
                  <c:v>0.60793058663032995</c:v>
                </c:pt>
                <c:pt idx="19">
                  <c:v>0.62076166991740389</c:v>
                </c:pt>
                <c:pt idx="20">
                  <c:v>0.62690010436394117</c:v>
                </c:pt>
                <c:pt idx="21">
                  <c:v>0.66795986560500087</c:v>
                </c:pt>
                <c:pt idx="22">
                  <c:v>0.7475197930309867</c:v>
                </c:pt>
                <c:pt idx="23">
                  <c:v>0.78901347728655613</c:v>
                </c:pt>
                <c:pt idx="24">
                  <c:v>0.79889913911646671</c:v>
                </c:pt>
                <c:pt idx="25">
                  <c:v>1.0835027318832955</c:v>
                </c:pt>
                <c:pt idx="26">
                  <c:v>1.1516698370951335</c:v>
                </c:pt>
                <c:pt idx="27">
                  <c:v>1.1977430159004858</c:v>
                </c:pt>
                <c:pt idx="28">
                  <c:v>1.2201189953005658</c:v>
                </c:pt>
                <c:pt idx="29">
                  <c:v>1.3292181522385038</c:v>
                </c:pt>
                <c:pt idx="30" formatCode="0.00">
                  <c:v>1.3500832625737085</c:v>
                </c:pt>
                <c:pt idx="31">
                  <c:v>1.4024342831270316</c:v>
                </c:pt>
                <c:pt idx="32">
                  <c:v>1.4046407658491202</c:v>
                </c:pt>
                <c:pt idx="33">
                  <c:v>1.4551216480102274</c:v>
                </c:pt>
                <c:pt idx="34">
                  <c:v>1.5192824485459528</c:v>
                </c:pt>
                <c:pt idx="35">
                  <c:v>1.582042174193719</c:v>
                </c:pt>
                <c:pt idx="36">
                  <c:v>1.6110762113981765</c:v>
                </c:pt>
                <c:pt idx="37">
                  <c:v>1.6272355247504722</c:v>
                </c:pt>
                <c:pt idx="38">
                  <c:v>1.7565656696626113</c:v>
                </c:pt>
                <c:pt idx="39">
                  <c:v>2.1636479923651271</c:v>
                </c:pt>
                <c:pt idx="40">
                  <c:v>2.2532153435965059</c:v>
                </c:pt>
                <c:pt idx="41">
                  <c:v>2.6186114618341243</c:v>
                </c:pt>
                <c:pt idx="42">
                  <c:v>2.7339781766266871</c:v>
                </c:pt>
                <c:pt idx="43">
                  <c:v>2.9148988496908981</c:v>
                </c:pt>
                <c:pt idx="44">
                  <c:v>3.2534205849777438</c:v>
                </c:pt>
                <c:pt idx="45">
                  <c:v>3.3801581066838735</c:v>
                </c:pt>
                <c:pt idx="46">
                  <c:v>4.117627008049241</c:v>
                </c:pt>
                <c:pt idx="47">
                  <c:v>12.426165163211333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B4-4734-A5C9-8D0255886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75782447"/>
        <c:axId val="175784847"/>
      </c:barChart>
      <c:lineChart>
        <c:grouping val="standard"/>
        <c:varyColors val="0"/>
        <c:ser>
          <c:idx val="3"/>
          <c:order val="3"/>
          <c:tx>
            <c:strRef>
              <c:f>Pharmacists!$F$4</c:f>
              <c:strCache>
                <c:ptCount val="1"/>
                <c:pt idx="0">
                  <c:v>Target (14.72) for at least 70% UHC service index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Pharmacists!$B$5:$B$52</c:f>
              <c:strCache>
                <c:ptCount val="48"/>
                <c:pt idx="0">
                  <c:v>Central African Republic</c:v>
                </c:pt>
                <c:pt idx="1">
                  <c:v>Madagascar</c:v>
                </c:pt>
                <c:pt idx="2">
                  <c:v>Niger</c:v>
                </c:pt>
                <c:pt idx="3">
                  <c:v>Burundi</c:v>
                </c:pt>
                <c:pt idx="4">
                  <c:v>DRC</c:v>
                </c:pt>
                <c:pt idx="5">
                  <c:v>Guinea</c:v>
                </c:pt>
                <c:pt idx="6">
                  <c:v>Congo</c:v>
                </c:pt>
                <c:pt idx="7">
                  <c:v>Mauritania</c:v>
                </c:pt>
                <c:pt idx="8">
                  <c:v>Senegal</c:v>
                </c:pt>
                <c:pt idx="9">
                  <c:v>Chad</c:v>
                </c:pt>
                <c:pt idx="10">
                  <c:v>Benin</c:v>
                </c:pt>
                <c:pt idx="11">
                  <c:v>Cameroon</c:v>
                </c:pt>
                <c:pt idx="12">
                  <c:v>Burkina Faso</c:v>
                </c:pt>
                <c:pt idx="13">
                  <c:v>Gambia</c:v>
                </c:pt>
                <c:pt idx="14">
                  <c:v>Togo</c:v>
                </c:pt>
                <c:pt idx="15">
                  <c:v>Guinea-Bissau</c:v>
                </c:pt>
                <c:pt idx="16">
                  <c:v>Malawi</c:v>
                </c:pt>
                <c:pt idx="17">
                  <c:v>South Sudan</c:v>
                </c:pt>
                <c:pt idx="18">
                  <c:v>Cape-Verde</c:v>
                </c:pt>
                <c:pt idx="19">
                  <c:v>Cote d'Ivoire</c:v>
                </c:pt>
                <c:pt idx="20">
                  <c:v>Equatorial Guinea</c:v>
                </c:pt>
                <c:pt idx="21">
                  <c:v>Angola</c:v>
                </c:pt>
                <c:pt idx="22">
                  <c:v>Uganda</c:v>
                </c:pt>
                <c:pt idx="23">
                  <c:v>Rwanda</c:v>
                </c:pt>
                <c:pt idx="24">
                  <c:v>Mali</c:v>
                </c:pt>
                <c:pt idx="25">
                  <c:v>Nigeria</c:v>
                </c:pt>
                <c:pt idx="26">
                  <c:v>Mozambique</c:v>
                </c:pt>
                <c:pt idx="27">
                  <c:v>Tanzania</c:v>
                </c:pt>
                <c:pt idx="28">
                  <c:v>Sierra Leone</c:v>
                </c:pt>
                <c:pt idx="29">
                  <c:v>Comoros</c:v>
                </c:pt>
                <c:pt idx="30">
                  <c:v>AFRO</c:v>
                </c:pt>
                <c:pt idx="31">
                  <c:v>Kenya</c:v>
                </c:pt>
                <c:pt idx="32">
                  <c:v>Liberia</c:v>
                </c:pt>
                <c:pt idx="33">
                  <c:v>Eswatini</c:v>
                </c:pt>
                <c:pt idx="34">
                  <c:v>Eritrea</c:v>
                </c:pt>
                <c:pt idx="35">
                  <c:v>Zimbabwe</c:v>
                </c:pt>
                <c:pt idx="36">
                  <c:v>Zambia</c:v>
                </c:pt>
                <c:pt idx="37">
                  <c:v>Sao Tome and Principe</c:v>
                </c:pt>
                <c:pt idx="38">
                  <c:v>Gabon</c:v>
                </c:pt>
                <c:pt idx="39">
                  <c:v>Ghana</c:v>
                </c:pt>
                <c:pt idx="40">
                  <c:v>Botswana</c:v>
                </c:pt>
                <c:pt idx="41">
                  <c:v>Lesotho</c:v>
                </c:pt>
                <c:pt idx="42">
                  <c:v>Mauritius</c:v>
                </c:pt>
                <c:pt idx="43">
                  <c:v>Ethiopia</c:v>
                </c:pt>
                <c:pt idx="44">
                  <c:v>South Africa</c:v>
                </c:pt>
                <c:pt idx="45">
                  <c:v>Algeria</c:v>
                </c:pt>
                <c:pt idx="46">
                  <c:v>Namibia</c:v>
                </c:pt>
                <c:pt idx="47">
                  <c:v>Seychelles</c:v>
                </c:pt>
              </c:strCache>
            </c:strRef>
          </c:cat>
          <c:val>
            <c:numRef>
              <c:f>Pharmacists!$F$5:$F$52</c:f>
              <c:numCache>
                <c:formatCode>_(* #,##0.00_);_(* \(#,##0.00\);_(* "-"??_);_(@_)</c:formatCode>
                <c:ptCount val="48"/>
                <c:pt idx="0">
                  <c:v>14.72</c:v>
                </c:pt>
                <c:pt idx="1">
                  <c:v>14.72</c:v>
                </c:pt>
                <c:pt idx="2">
                  <c:v>14.72</c:v>
                </c:pt>
                <c:pt idx="3">
                  <c:v>14.72</c:v>
                </c:pt>
                <c:pt idx="4">
                  <c:v>14.72</c:v>
                </c:pt>
                <c:pt idx="5">
                  <c:v>14.72</c:v>
                </c:pt>
                <c:pt idx="6">
                  <c:v>14.72</c:v>
                </c:pt>
                <c:pt idx="7">
                  <c:v>14.72</c:v>
                </c:pt>
                <c:pt idx="8">
                  <c:v>14.72</c:v>
                </c:pt>
                <c:pt idx="9">
                  <c:v>14.72</c:v>
                </c:pt>
                <c:pt idx="10">
                  <c:v>14.72</c:v>
                </c:pt>
                <c:pt idx="11">
                  <c:v>14.72</c:v>
                </c:pt>
                <c:pt idx="12">
                  <c:v>14.72</c:v>
                </c:pt>
                <c:pt idx="13">
                  <c:v>14.72</c:v>
                </c:pt>
                <c:pt idx="14">
                  <c:v>14.72</c:v>
                </c:pt>
                <c:pt idx="15">
                  <c:v>14.72</c:v>
                </c:pt>
                <c:pt idx="16">
                  <c:v>14.72</c:v>
                </c:pt>
                <c:pt idx="17">
                  <c:v>14.72</c:v>
                </c:pt>
                <c:pt idx="18">
                  <c:v>14.72</c:v>
                </c:pt>
                <c:pt idx="19">
                  <c:v>14.72</c:v>
                </c:pt>
                <c:pt idx="20">
                  <c:v>14.72</c:v>
                </c:pt>
                <c:pt idx="21">
                  <c:v>14.72</c:v>
                </c:pt>
                <c:pt idx="22">
                  <c:v>14.72</c:v>
                </c:pt>
                <c:pt idx="23">
                  <c:v>14.72</c:v>
                </c:pt>
                <c:pt idx="24">
                  <c:v>14.72</c:v>
                </c:pt>
                <c:pt idx="25">
                  <c:v>14.72</c:v>
                </c:pt>
                <c:pt idx="26">
                  <c:v>14.72</c:v>
                </c:pt>
                <c:pt idx="27">
                  <c:v>14.72</c:v>
                </c:pt>
                <c:pt idx="28">
                  <c:v>14.72</c:v>
                </c:pt>
                <c:pt idx="29">
                  <c:v>14.72</c:v>
                </c:pt>
                <c:pt idx="30">
                  <c:v>14.72</c:v>
                </c:pt>
                <c:pt idx="31">
                  <c:v>14.72</c:v>
                </c:pt>
                <c:pt idx="32">
                  <c:v>14.72</c:v>
                </c:pt>
                <c:pt idx="33">
                  <c:v>14.72</c:v>
                </c:pt>
                <c:pt idx="34">
                  <c:v>14.72</c:v>
                </c:pt>
                <c:pt idx="35">
                  <c:v>14.72</c:v>
                </c:pt>
                <c:pt idx="36">
                  <c:v>14.72</c:v>
                </c:pt>
                <c:pt idx="37">
                  <c:v>14.72</c:v>
                </c:pt>
                <c:pt idx="38">
                  <c:v>14.72</c:v>
                </c:pt>
                <c:pt idx="39">
                  <c:v>14.72</c:v>
                </c:pt>
                <c:pt idx="40">
                  <c:v>14.72</c:v>
                </c:pt>
                <c:pt idx="41">
                  <c:v>14.72</c:v>
                </c:pt>
                <c:pt idx="42">
                  <c:v>14.72</c:v>
                </c:pt>
                <c:pt idx="43">
                  <c:v>14.72</c:v>
                </c:pt>
                <c:pt idx="44">
                  <c:v>14.72</c:v>
                </c:pt>
                <c:pt idx="45">
                  <c:v>14.72</c:v>
                </c:pt>
                <c:pt idx="46">
                  <c:v>14.72</c:v>
                </c:pt>
                <c:pt idx="47">
                  <c:v>14.72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B4-4734-A5C9-8D0255886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782447"/>
        <c:axId val="175784847"/>
      </c:lineChart>
      <c:catAx>
        <c:axId val="17578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600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75784847"/>
        <c:crosses val="autoZero"/>
        <c:auto val="1"/>
        <c:lblAlgn val="ctr"/>
        <c:lblOffset val="100"/>
        <c:noMultiLvlLbl val="0"/>
      </c:catAx>
      <c:valAx>
        <c:axId val="17578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Density per 10,000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7578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Synthesis!$F$2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Synthesis!$A$3:$A$7</c:f>
              <c:strCache>
                <c:ptCount val="5"/>
                <c:pt idx="0">
                  <c:v>SDG 3c</c:v>
                </c:pt>
                <c:pt idx="1">
                  <c:v>Medical doctors</c:v>
                </c:pt>
                <c:pt idx="2">
                  <c:v>Nurses and midwives</c:v>
                </c:pt>
                <c:pt idx="3">
                  <c:v>Dentists</c:v>
                </c:pt>
                <c:pt idx="4">
                  <c:v>Pharmacists</c:v>
                </c:pt>
              </c:strCache>
            </c:strRef>
          </c:cat>
          <c:val>
            <c:numRef>
              <c:f>Synthesis!$F$3:$F$7</c:f>
              <c:numCache>
                <c:formatCode>0%</c:formatCode>
                <c:ptCount val="5"/>
                <c:pt idx="0">
                  <c:v>0.13870353357461515</c:v>
                </c:pt>
                <c:pt idx="1">
                  <c:v>0.18482136046106995</c:v>
                </c:pt>
                <c:pt idx="2">
                  <c:v>0.1555418367926624</c:v>
                </c:pt>
                <c:pt idx="3">
                  <c:v>7.4003260766358353E-2</c:v>
                </c:pt>
                <c:pt idx="4">
                  <c:v>4.6897490082164976E-2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3-46EA-AAEA-94178E8B1C36}"/>
            </c:ext>
          </c:extLst>
        </c:ser>
        <c:ser>
          <c:idx val="1"/>
          <c:order val="1"/>
          <c:tx>
            <c:strRef>
              <c:f>Synthesis!$G$2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Synthesis!$A$3:$A$7</c:f>
              <c:strCache>
                <c:ptCount val="5"/>
                <c:pt idx="0">
                  <c:v>SDG 3c</c:v>
                </c:pt>
                <c:pt idx="1">
                  <c:v>Medical doctors</c:v>
                </c:pt>
                <c:pt idx="2">
                  <c:v>Nurses and midwives</c:v>
                </c:pt>
                <c:pt idx="3">
                  <c:v>Dentists</c:v>
                </c:pt>
                <c:pt idx="4">
                  <c:v>Pharmacists</c:v>
                </c:pt>
              </c:strCache>
            </c:strRef>
          </c:cat>
          <c:val>
            <c:numRef>
              <c:f>Synthesis!$G$3:$G$7</c:f>
              <c:numCache>
                <c:formatCode>0%</c:formatCode>
                <c:ptCount val="5"/>
                <c:pt idx="0">
                  <c:v>0.29364765543747945</c:v>
                </c:pt>
                <c:pt idx="1">
                  <c:v>0.43762403910123904</c:v>
                </c:pt>
                <c:pt idx="2">
                  <c:v>0.30134348572014874</c:v>
                </c:pt>
                <c:pt idx="3">
                  <c:v>0.16547596593626598</c:v>
                </c:pt>
                <c:pt idx="4">
                  <c:v>0.11214171256210466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63-46EA-AAEA-94178E8B1C36}"/>
            </c:ext>
          </c:extLst>
        </c:ser>
        <c:ser>
          <c:idx val="2"/>
          <c:order val="2"/>
          <c:tx>
            <c:strRef>
              <c:f>Synthesis!$H$2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Synthesis!$A$3:$A$7</c:f>
              <c:strCache>
                <c:ptCount val="5"/>
                <c:pt idx="0">
                  <c:v>SDG 3c</c:v>
                </c:pt>
                <c:pt idx="1">
                  <c:v>Medical doctors</c:v>
                </c:pt>
                <c:pt idx="2">
                  <c:v>Nurses and midwives</c:v>
                </c:pt>
                <c:pt idx="3">
                  <c:v>Dentists</c:v>
                </c:pt>
                <c:pt idx="4">
                  <c:v>Pharmacists</c:v>
                </c:pt>
              </c:strCache>
            </c:strRef>
          </c:cat>
          <c:val>
            <c:numRef>
              <c:f>Synthesis!$H$3:$H$7</c:f>
              <c:numCache>
                <c:formatCode>0%</c:formatCode>
                <c:ptCount val="5"/>
                <c:pt idx="0">
                  <c:v>0.33409321141244191</c:v>
                </c:pt>
                <c:pt idx="1">
                  <c:v>0.68561851167256427</c:v>
                </c:pt>
                <c:pt idx="2">
                  <c:v>0.33024427087350966</c:v>
                </c:pt>
                <c:pt idx="3">
                  <c:v>0.15122073068116768</c:v>
                </c:pt>
                <c:pt idx="4">
                  <c:v>9.1717612946583454E-2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63-46EA-AAEA-94178E8B1C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46384383"/>
        <c:axId val="146386303"/>
      </c:barChart>
      <c:catAx>
        <c:axId val="14638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46386303"/>
        <c:crosses val="autoZero"/>
        <c:auto val="1"/>
        <c:lblAlgn val="ctr"/>
        <c:lblOffset val="100"/>
        <c:noMultiLvlLbl val="0"/>
      </c:catAx>
      <c:valAx>
        <c:axId val="14638630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4638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219074</xdr:colOff>
      <xdr:row>34</xdr:row>
      <xdr:rowOff>57150</xdr:rowOff>
    </xdr:from>
    <xdr:to>
      <xdr:col>31</xdr:col>
      <xdr:colOff>107950</xdr:colOff>
      <xdr:row>57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23819F-3E35-3611-EF4D-F3541460B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523875</xdr:colOff>
      <xdr:row>97</xdr:row>
      <xdr:rowOff>0</xdr:rowOff>
    </xdr:from>
    <xdr:to>
      <xdr:col>28</xdr:col>
      <xdr:colOff>406400</xdr:colOff>
      <xdr:row>126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D59068-1CF3-E35C-FE2A-260BA393E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219074</xdr:colOff>
      <xdr:row>222</xdr:row>
      <xdr:rowOff>107950</xdr:rowOff>
    </xdr:from>
    <xdr:to>
      <xdr:col>37</xdr:col>
      <xdr:colOff>292100</xdr:colOff>
      <xdr:row>249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A70B39-3D1C-CF6C-DDF9-FCE6F9AA3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180974</xdr:colOff>
      <xdr:row>289</xdr:row>
      <xdr:rowOff>82550</xdr:rowOff>
    </xdr:from>
    <xdr:to>
      <xdr:col>32</xdr:col>
      <xdr:colOff>196850</xdr:colOff>
      <xdr:row>310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2C451B-1B2B-14CE-16C2-C487C42C4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333374</xdr:colOff>
      <xdr:row>311</xdr:row>
      <xdr:rowOff>82550</xdr:rowOff>
    </xdr:from>
    <xdr:to>
      <xdr:col>13</xdr:col>
      <xdr:colOff>317500</xdr:colOff>
      <xdr:row>329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77C5BB-C6F1-0F72-3222-DB5BE99CD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349250</xdr:colOff>
      <xdr:row>113</xdr:row>
      <xdr:rowOff>120650</xdr:rowOff>
    </xdr:from>
    <xdr:to>
      <xdr:col>23</xdr:col>
      <xdr:colOff>527050</xdr:colOff>
      <xdr:row>133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B6F6D8-B482-50DC-7955-A5C668121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542924</xdr:colOff>
      <xdr:row>144</xdr:row>
      <xdr:rowOff>38100</xdr:rowOff>
    </xdr:from>
    <xdr:to>
      <xdr:col>47</xdr:col>
      <xdr:colOff>584200</xdr:colOff>
      <xdr:row>174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EDB90C-A572-D43C-C057-6EDAF9C70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565150</xdr:colOff>
      <xdr:row>189</xdr:row>
      <xdr:rowOff>0</xdr:rowOff>
    </xdr:from>
    <xdr:to>
      <xdr:col>21</xdr:col>
      <xdr:colOff>120649</xdr:colOff>
      <xdr:row>207</xdr:row>
      <xdr:rowOff>88900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01D9EA7-3E43-927A-A7E1-365CED313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92074</xdr:colOff>
      <xdr:row>180</xdr:row>
      <xdr:rowOff>107950</xdr:rowOff>
    </xdr:from>
    <xdr:to>
      <xdr:col>31</xdr:col>
      <xdr:colOff>596899</xdr:colOff>
      <xdr:row>200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D73CB85-DF29-4827-9EFA-AA4622BFA5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168274</xdr:colOff>
      <xdr:row>110</xdr:row>
      <xdr:rowOff>123824</xdr:rowOff>
    </xdr:from>
    <xdr:to>
      <xdr:col>28</xdr:col>
      <xdr:colOff>285750</xdr:colOff>
      <xdr:row>131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CB5A85-750A-5392-7C99-6A9DA2481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514350</xdr:colOff>
      <xdr:row>17</xdr:row>
      <xdr:rowOff>165100</xdr:rowOff>
    </xdr:from>
    <xdr:to>
      <xdr:col>16</xdr:col>
      <xdr:colOff>88900</xdr:colOff>
      <xdr:row>37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ED9AF4-ED6A-692B-FBEB-08B4CBDB3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238124</xdr:colOff>
      <xdr:row>9</xdr:row>
      <xdr:rowOff>38100</xdr:rowOff>
    </xdr:from>
    <xdr:to>
      <xdr:col>30</xdr:col>
      <xdr:colOff>44450</xdr:colOff>
      <xdr:row>29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CBD312-55C3-E76B-D126-CAFEF0287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1844674</xdr:colOff>
      <xdr:row>14</xdr:row>
      <xdr:rowOff>165100</xdr:rowOff>
    </xdr:from>
    <xdr:to>
      <xdr:col>11</xdr:col>
      <xdr:colOff>371928</xdr:colOff>
      <xdr:row>41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4171CD-7AED-4BD6-B178-CE20583911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381000</xdr:colOff>
      <xdr:row>59</xdr:row>
      <xdr:rowOff>69850</xdr:rowOff>
    </xdr:from>
    <xdr:to>
      <xdr:col>19</xdr:col>
      <xdr:colOff>533400</xdr:colOff>
      <xdr:row>79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2728F4-7123-4098-9E84-ECE7A3E977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1844674</xdr:colOff>
      <xdr:row>14</xdr:row>
      <xdr:rowOff>165100</xdr:rowOff>
    </xdr:from>
    <xdr:to>
      <xdr:col>11</xdr:col>
      <xdr:colOff>371928</xdr:colOff>
      <xdr:row>41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022873-483C-E2EB-4FAA-DEB47C00FE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381000</xdr:colOff>
      <xdr:row>59</xdr:row>
      <xdr:rowOff>69850</xdr:rowOff>
    </xdr:from>
    <xdr:to>
      <xdr:col>19</xdr:col>
      <xdr:colOff>533400</xdr:colOff>
      <xdr:row>79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718FED-29DF-F67A-9DB8-8C306A29A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587374</xdr:colOff>
      <xdr:row>1</xdr:row>
      <xdr:rowOff>82550</xdr:rowOff>
    </xdr:from>
    <xdr:to>
      <xdr:col>44</xdr:col>
      <xdr:colOff>419100</xdr:colOff>
      <xdr:row>22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2CF816-01BC-4F15-B676-73321AD00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276224</xdr:colOff>
      <xdr:row>23</xdr:row>
      <xdr:rowOff>38100</xdr:rowOff>
    </xdr:from>
    <xdr:to>
      <xdr:col>52</xdr:col>
      <xdr:colOff>577850</xdr:colOff>
      <xdr:row>48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FF4F44-B17A-2473-DEBE-5F28C0937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0</xdr:colOff>
      <xdr:row>51</xdr:row>
      <xdr:rowOff>0</xdr:rowOff>
    </xdr:from>
    <xdr:to>
      <xdr:col>52</xdr:col>
      <xdr:colOff>301626</xdr:colOff>
      <xdr:row>75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F4DF39-2557-44D4-BCBB-511C4BE823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0</xdr:colOff>
      <xdr:row>79</xdr:row>
      <xdr:rowOff>0</xdr:rowOff>
    </xdr:from>
    <xdr:to>
      <xdr:col>52</xdr:col>
      <xdr:colOff>301626</xdr:colOff>
      <xdr:row>103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6CE472-4A97-40CE-A1D2-9570EA210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517524</xdr:colOff>
      <xdr:row>0</xdr:row>
      <xdr:rowOff>47624</xdr:rowOff>
    </xdr:from>
    <xdr:to>
      <xdr:col>24</xdr:col>
      <xdr:colOff>488950</xdr:colOff>
      <xdr:row>23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F55F3-D6B3-30EB-03D6-87075729B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536574</xdr:colOff>
      <xdr:row>33</xdr:row>
      <xdr:rowOff>0</xdr:rowOff>
    </xdr:from>
    <xdr:to>
      <xdr:col>22</xdr:col>
      <xdr:colOff>527050</xdr:colOff>
      <xdr:row>57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782C62-9C4D-75F5-9664-48F521E2B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61</xdr:row>
      <xdr:rowOff>0</xdr:rowOff>
    </xdr:from>
    <xdr:to>
      <xdr:col>22</xdr:col>
      <xdr:colOff>600076</xdr:colOff>
      <xdr:row>85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DE5E8A-C58C-4938-A840-D8794EACAB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206375</xdr:colOff>
      <xdr:row>32</xdr:row>
      <xdr:rowOff>174624</xdr:rowOff>
    </xdr:from>
    <xdr:to>
      <xdr:col>18</xdr:col>
      <xdr:colOff>565151</xdr:colOff>
      <xdr:row>57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BA53EC-FB9E-3D9C-6859-7709F86D0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536575</xdr:colOff>
      <xdr:row>0</xdr:row>
      <xdr:rowOff>358775</xdr:rowOff>
    </xdr:from>
    <xdr:to>
      <xdr:col>12</xdr:col>
      <xdr:colOff>88900</xdr:colOff>
      <xdr:row>13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235F50-D31F-6C7E-C51A-A1E51358F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536574</xdr:colOff>
      <xdr:row>19</xdr:row>
      <xdr:rowOff>174625</xdr:rowOff>
    </xdr:from>
    <xdr:to>
      <xdr:col>14</xdr:col>
      <xdr:colOff>63500</xdr:colOff>
      <xdr:row>37</xdr:row>
      <xdr:rowOff>44451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C2C7F6-1B53-CE22-D32F-CD9093854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47624</xdr:colOff>
      <xdr:row>35</xdr:row>
      <xdr:rowOff>85724</xdr:rowOff>
    </xdr:from>
    <xdr:to>
      <xdr:col>29</xdr:col>
      <xdr:colOff>196850</xdr:colOff>
      <xdr:row>74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E00AB2-8418-3383-30BE-C61FD67AE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9524</xdr:colOff>
      <xdr:row>34</xdr:row>
      <xdr:rowOff>130174</xdr:rowOff>
    </xdr:from>
    <xdr:to>
      <xdr:col>27</xdr:col>
      <xdr:colOff>527050</xdr:colOff>
      <xdr:row>70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244FEF-5D8C-30B7-4734-D572D0B39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498474</xdr:colOff>
      <xdr:row>43</xdr:row>
      <xdr:rowOff>73024</xdr:rowOff>
    </xdr:from>
    <xdr:to>
      <xdr:col>30</xdr:col>
      <xdr:colOff>158750</xdr:colOff>
      <xdr:row>74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046955-AB05-466B-1B9A-5674CE0EC2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561974</xdr:colOff>
      <xdr:row>38</xdr:row>
      <xdr:rowOff>9524</xdr:rowOff>
    </xdr:from>
    <xdr:to>
      <xdr:col>31</xdr:col>
      <xdr:colOff>190500</xdr:colOff>
      <xdr:row>71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B461E9-60A6-2A12-3D7F-C9ED119C4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320674</xdr:colOff>
      <xdr:row>35</xdr:row>
      <xdr:rowOff>174624</xdr:rowOff>
    </xdr:from>
    <xdr:to>
      <xdr:col>22</xdr:col>
      <xdr:colOff>152400</xdr:colOff>
      <xdr:row>67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C545E6-1B70-1CBD-9DD5-562C637D6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371474</xdr:colOff>
      <xdr:row>9</xdr:row>
      <xdr:rowOff>174624</xdr:rowOff>
    </xdr:from>
    <xdr:to>
      <xdr:col>17</xdr:col>
      <xdr:colOff>146050</xdr:colOff>
      <xdr:row>35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D672D9-4C3B-ED2A-E2BB-915CED12BE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65.683812731484" createdVersion="8" refreshedVersion="8" minRefreshableVersion="3" recordCount="47" xr:uid="{6F1C14E0-FA2E-4CA2-AC6F-63EC72243E1B}">
  <cacheSource type="worksheet">
    <worksheetSource ref="A1:V48" sheet="Core and others density F"/>
  </cacheSource>
  <cacheFields count="22">
    <cacheField name="Country" numFmtId="0">
      <sharedItems/>
    </cacheField>
    <cacheField name="Stock 2013" numFmtId="1">
      <sharedItems containsSemiMixedTypes="0" containsString="0" containsNumber="1" containsInteger="1" minValue="0" maxValue="261989"/>
    </cacheField>
    <cacheField name="Stock 2018" numFmtId="1">
      <sharedItems containsSemiMixedTypes="0" containsString="0" containsNumber="1" containsInteger="1" minValue="559" maxValue="441434"/>
    </cacheField>
    <cacheField name="Stock 2022" numFmtId="1">
      <sharedItems containsSemiMixedTypes="0" containsString="0" containsNumber="1" minValue="613.28457017504911" maxValue="495915.88729767234"/>
    </cacheField>
    <cacheField name="Others 2013" numFmtId="1">
      <sharedItems containsSemiMixedTypes="0" containsString="0" containsNumber="1" containsInteger="1" minValue="0" maxValue="331077"/>
    </cacheField>
    <cacheField name="Others 2018" numFmtId="1">
      <sharedItems containsSemiMixedTypes="0" containsString="0" containsNumber="1" containsInteger="1" minValue="525" maxValue="537756"/>
    </cacheField>
    <cacheField name="Others 2022" numFmtId="1">
      <sharedItems containsSemiMixedTypes="0" containsString="0" containsNumber="1" minValue="594.28457017504911" maxValue="366963.77629941667"/>
    </cacheField>
    <cacheField name="Total 2013" numFmtId="1">
      <sharedItems containsSemiMixedTypes="0" containsString="0" containsNumber="1" containsInteger="1" minValue="0" maxValue="593066"/>
    </cacheField>
    <cacheField name="Total 2018" numFmtId="1">
      <sharedItems containsSemiMixedTypes="0" containsString="0" containsNumber="1" containsInteger="1" minValue="1664" maxValue="979190"/>
    </cacheField>
    <cacheField name="Total 2022" numFmtId="1">
      <sharedItems containsSemiMixedTypes="0" containsString="0" containsNumber="1" minValue="1441.4318783836491" maxValue="799832.58611536422"/>
    </cacheField>
    <cacheField name="country code" numFmtId="0">
      <sharedItems/>
    </cacheField>
    <cacheField name="Country2" numFmtId="0">
      <sharedItems/>
    </cacheField>
    <cacheField name="Income" numFmtId="0">
      <sharedItems count="3">
        <s v="Lower-Middle-Income Economies"/>
        <s v="High/Upper-Middle-Income Economies "/>
        <s v="Low-Income Economies"/>
      </sharedItems>
    </cacheField>
    <cacheField name="COMESA" numFmtId="0">
      <sharedItems containsSemiMixedTypes="0" containsString="0" containsNumber="1" containsInteger="1" minValue="0" maxValue="1"/>
    </cacheField>
    <cacheField name="UMA" numFmtId="0">
      <sharedItems containsSemiMixedTypes="0" containsString="0" containsNumber="1" containsInteger="1" minValue="0" maxValue="1"/>
    </cacheField>
    <cacheField name="ECCAS" numFmtId="0">
      <sharedItems containsSemiMixedTypes="0" containsString="0" containsNumber="1" containsInteger="1" minValue="0" maxValue="1"/>
    </cacheField>
    <cacheField name="CEN-SAD" numFmtId="0">
      <sharedItems containsSemiMixedTypes="0" containsString="0" containsNumber="1" containsInteger="1" minValue="0" maxValue="1"/>
    </cacheField>
    <cacheField name="EAC" numFmtId="0">
      <sharedItems containsSemiMixedTypes="0" containsString="0" containsNumber="1" containsInteger="1" minValue="0" maxValue="1"/>
    </cacheField>
    <cacheField name="IGAD" numFmtId="0">
      <sharedItems containsSemiMixedTypes="0" containsString="0" containsNumber="1" containsInteger="1" minValue="0" maxValue="1"/>
    </cacheField>
    <cacheField name="ECOWAS" numFmtId="0">
      <sharedItems containsSemiMixedTypes="0" containsString="0" containsNumber="1" containsInteger="1" minValue="0" maxValue="1"/>
    </cacheField>
    <cacheField name="SADC" numFmtId="0">
      <sharedItems containsSemiMixedTypes="0" containsString="0" containsNumber="1" containsInteger="1" minValue="0" maxValue="1"/>
    </cacheField>
    <cacheField name="Condi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65.686206481485" createdVersion="8" refreshedVersion="8" minRefreshableVersion="3" recordCount="47" xr:uid="{AE9D1EF9-3116-47BA-9227-ABBDCCDD00BA}">
  <cacheSource type="worksheet">
    <worksheetSource ref="A1:AF48" sheet="Core and others density F"/>
  </cacheSource>
  <cacheFields count="32">
    <cacheField name="Country" numFmtId="0">
      <sharedItems/>
    </cacheField>
    <cacheField name="Stock 2013" numFmtId="1">
      <sharedItems containsSemiMixedTypes="0" containsString="0" containsNumber="1" containsInteger="1" minValue="0" maxValue="261989"/>
    </cacheField>
    <cacheField name="Stock 2018" numFmtId="1">
      <sharedItems containsSemiMixedTypes="0" containsString="0" containsNumber="1" containsInteger="1" minValue="559" maxValue="441434"/>
    </cacheField>
    <cacheField name="Stock 2022" numFmtId="1">
      <sharedItems containsSemiMixedTypes="0" containsString="0" containsNumber="1" minValue="613.28457017504911" maxValue="495915.88729767234"/>
    </cacheField>
    <cacheField name="Others 2013" numFmtId="1">
      <sharedItems containsSemiMixedTypes="0" containsString="0" containsNumber="1" containsInteger="1" minValue="0" maxValue="331077"/>
    </cacheField>
    <cacheField name="Others 2018" numFmtId="1">
      <sharedItems containsSemiMixedTypes="0" containsString="0" containsNumber="1" containsInteger="1" minValue="525" maxValue="537756"/>
    </cacheField>
    <cacheField name="Others 2022" numFmtId="1">
      <sharedItems containsSemiMixedTypes="0" containsString="0" containsNumber="1" minValue="594.28457017504911" maxValue="366963.77629941667"/>
    </cacheField>
    <cacheField name="Total 2013" numFmtId="1">
      <sharedItems containsSemiMixedTypes="0" containsString="0" containsNumber="1" containsInteger="1" minValue="0" maxValue="593066"/>
    </cacheField>
    <cacheField name="Total 2018" numFmtId="1">
      <sharedItems containsSemiMixedTypes="0" containsString="0" containsNumber="1" containsInteger="1" minValue="1664" maxValue="979190"/>
    </cacheField>
    <cacheField name="Total 2022" numFmtId="1">
      <sharedItems containsSemiMixedTypes="0" containsString="0" containsNumber="1" minValue="1441.4318783836491" maxValue="799832.58611536422"/>
    </cacheField>
    <cacheField name="country code" numFmtId="0">
      <sharedItems/>
    </cacheField>
    <cacheField name="Country2" numFmtId="0">
      <sharedItems/>
    </cacheField>
    <cacheField name="Income" numFmtId="0">
      <sharedItems count="3">
        <s v="Lower-Middle-Income Economies"/>
        <s v="High/Upper-Middle-Income Economies "/>
        <s v="Low-Income Economies"/>
      </sharedItems>
    </cacheField>
    <cacheField name="COMESA" numFmtId="0">
      <sharedItems containsSemiMixedTypes="0" containsString="0" containsNumber="1" containsInteger="1" minValue="0" maxValue="1"/>
    </cacheField>
    <cacheField name="UMA" numFmtId="0">
      <sharedItems containsSemiMixedTypes="0" containsString="0" containsNumber="1" containsInteger="1" minValue="0" maxValue="1"/>
    </cacheField>
    <cacheField name="ECCAS" numFmtId="0">
      <sharedItems containsSemiMixedTypes="0" containsString="0" containsNumber="1" containsInteger="1" minValue="0" maxValue="1"/>
    </cacheField>
    <cacheField name="CEN-SAD" numFmtId="0">
      <sharedItems containsSemiMixedTypes="0" containsString="0" containsNumber="1" containsInteger="1" minValue="0" maxValue="1"/>
    </cacheField>
    <cacheField name="EAC" numFmtId="0">
      <sharedItems containsSemiMixedTypes="0" containsString="0" containsNumber="1" containsInteger="1" minValue="0" maxValue="1"/>
    </cacheField>
    <cacheField name="IGAD" numFmtId="0">
      <sharedItems containsSemiMixedTypes="0" containsString="0" containsNumber="1" containsInteger="1" minValue="0" maxValue="1"/>
    </cacheField>
    <cacheField name="ECOWAS" numFmtId="0">
      <sharedItems containsSemiMixedTypes="0" containsString="0" containsNumber="1" containsInteger="1" minValue="0" maxValue="1"/>
    </cacheField>
    <cacheField name="SADC" numFmtId="0">
      <sharedItems containsSemiMixedTypes="0" containsString="0" containsNumber="1" containsInteger="1" minValue="0" maxValue="1" count="2">
        <n v="0"/>
        <n v="1"/>
      </sharedItems>
    </cacheField>
    <cacheField name="Condition" numFmtId="0">
      <sharedItems/>
    </cacheField>
    <cacheField name="Country3" numFmtId="0">
      <sharedItems/>
    </cacheField>
    <cacheField name=" Density per 10,000 (2013)" numFmtId="2">
      <sharedItems containsSemiMixedTypes="0" containsString="0" containsNumber="1" minValue="0" maxValue="54.800752734867757"/>
    </cacheField>
    <cacheField name=" Density per 10,000 (2018)" numFmtId="2">
      <sharedItems containsSemiMixedTypes="0" containsString="0" containsNumber="1" minValue="2.731976858986676" maxValue="195.92438482652926"/>
    </cacheField>
    <cacheField name=" Density per 10,000 (2022)" numFmtId="2">
      <sharedItems containsSemiMixedTypes="0" containsString="0" containsNumber="1" minValue="2.3568659730003425" maxValue="242.01401730513936"/>
    </cacheField>
    <cacheField name="Other  Density per 10,000 (2013)" numFmtId="2">
      <sharedItems containsSemiMixedTypes="0" containsString="0" containsNumber="1" minValue="0" maxValue="141.90465607289701"/>
    </cacheField>
    <cacheField name="Other Density per 10,000 (2018)" numFmtId="2">
      <sharedItems containsSemiMixedTypes="0" containsString="0" containsNumber="1" minValue="1.5878951101600574" maxValue="113.92541549951613"/>
    </cacheField>
    <cacheField name=" Other Density per 10,000 (2022)" numFmtId="2">
      <sharedItems containsSemiMixedTypes="0" containsString="0" containsNumber="1" minValue="1.6064460590182004" maxValue="102.68854878266576"/>
    </cacheField>
    <cacheField name=" Total Density per 10,000 (2013)" numFmtId="2">
      <sharedItems containsSemiMixedTypes="0" containsString="0" containsNumber="1" minValue="0" maxValue="155.07278586509614"/>
    </cacheField>
    <cacheField name=" Total Density per 10,000 (2018)" numFmtId="2">
      <sharedItems containsSemiMixedTypes="0" containsString="0" containsNumber="1" minValue="4.3198719691467335" maxValue="246.65134188805143"/>
    </cacheField>
    <cacheField name=" Total Density per 10,000 (2022)" numFmtId="2">
      <sharedItems containsSemiMixedTypes="0" containsString="0" containsNumber="1" minValue="4.955848322257995" maxValue="296.46628933798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Algeria"/>
    <n v="11139"/>
    <n v="175647"/>
    <n v="220805"/>
    <n v="200"/>
    <n v="240105"/>
    <n v="366963.77629941667"/>
    <n v="11339"/>
    <n v="415752"/>
    <n v="587768.77629941667"/>
    <s v="DZA"/>
    <s v="Algeria"/>
    <x v="0"/>
    <n v="0"/>
    <n v="1"/>
    <n v="0"/>
    <n v="0"/>
    <n v="0"/>
    <n v="0"/>
    <n v="0"/>
    <n v="0"/>
    <b v="1"/>
  </r>
  <r>
    <s v="Angola"/>
    <n v="30"/>
    <n v="60468"/>
    <n v="78869.768592450535"/>
    <n v="602"/>
    <n v="50395"/>
    <n v="58067.470117464829"/>
    <n v="632"/>
    <n v="110863"/>
    <n v="136937.23870991537"/>
    <s v="AGO"/>
    <s v="Angola"/>
    <x v="0"/>
    <n v="0"/>
    <n v="0"/>
    <n v="1"/>
    <n v="0"/>
    <n v="0"/>
    <n v="0"/>
    <n v="0"/>
    <n v="1"/>
    <b v="1"/>
  </r>
  <r>
    <s v="Benin"/>
    <n v="7923"/>
    <n v="5769"/>
    <n v="11051.475446848541"/>
    <n v="15066"/>
    <n v="11707"/>
    <n v="13972.936782690498"/>
    <n v="22989"/>
    <n v="17476"/>
    <n v="25024.412229539041"/>
    <s v="BEN"/>
    <s v="Benin"/>
    <x v="0"/>
    <n v="0"/>
    <n v="0"/>
    <n v="0"/>
    <n v="1"/>
    <n v="0"/>
    <n v="0"/>
    <n v="1"/>
    <n v="0"/>
    <b v="1"/>
  </r>
  <r>
    <s v="Botswana"/>
    <n v="8191"/>
    <n v="9284"/>
    <n v="9739.0851814152975"/>
    <n v="1000"/>
    <n v="7514"/>
    <n v="8210.3980409764026"/>
    <n v="9191"/>
    <n v="16798"/>
    <n v="17949.4832223917"/>
    <s v="BWA"/>
    <s v="Botswana"/>
    <x v="1"/>
    <n v="0"/>
    <n v="0"/>
    <n v="0"/>
    <n v="0"/>
    <n v="0"/>
    <n v="0"/>
    <n v="0"/>
    <n v="1"/>
    <b v="1"/>
  </r>
  <r>
    <s v="Burkina Faso"/>
    <n v="8983"/>
    <n v="19646"/>
    <n v="27591.374567572704"/>
    <n v="4585"/>
    <n v="7601"/>
    <n v="10576.497205854401"/>
    <n v="13568"/>
    <n v="27247"/>
    <n v="38167.871773427105"/>
    <s v="BFA"/>
    <s v="Burkina Faso"/>
    <x v="2"/>
    <n v="0"/>
    <n v="0"/>
    <n v="0"/>
    <n v="1"/>
    <n v="0"/>
    <n v="0"/>
    <n v="1"/>
    <n v="0"/>
    <b v="1"/>
  </r>
  <r>
    <s v="Burundi"/>
    <n v="7170"/>
    <n v="10533"/>
    <n v="10709.319625085567"/>
    <n v="44"/>
    <n v="37621"/>
    <n v="42120.333315781165"/>
    <n v="7214"/>
    <n v="48154"/>
    <n v="52829.652940866734"/>
    <s v="BDI"/>
    <s v="Burundi"/>
    <x v="2"/>
    <n v="1"/>
    <n v="0"/>
    <n v="1"/>
    <n v="0"/>
    <n v="1"/>
    <n v="0"/>
    <n v="0"/>
    <n v="0"/>
    <b v="1"/>
  </r>
  <r>
    <s v="Cameroon"/>
    <n v="22321"/>
    <n v="14532"/>
    <n v="23282"/>
    <n v="0"/>
    <n v="16843"/>
    <n v="8354.2378107535169"/>
    <n v="22321"/>
    <n v="31375"/>
    <n v="31636.237810753519"/>
    <s v="CMR"/>
    <s v="Cameroon"/>
    <x v="0"/>
    <n v="0"/>
    <n v="0"/>
    <n v="1"/>
    <n v="0"/>
    <n v="0"/>
    <n v="0"/>
    <n v="0"/>
    <n v="0"/>
    <b v="1"/>
  </r>
  <r>
    <s v="Cape-Verde"/>
    <n v="711"/>
    <n v="1666"/>
    <n v="3734.493638676845"/>
    <n v="7662"/>
    <n v="5297"/>
    <n v="2475.7981340118745"/>
    <n v="8373"/>
    <n v="6963"/>
    <n v="6210.291772688719"/>
    <s v="CPV"/>
    <s v="Cape-Verde"/>
    <x v="0"/>
    <n v="0"/>
    <n v="0"/>
    <n v="0"/>
    <n v="1"/>
    <n v="0"/>
    <n v="0"/>
    <n v="1"/>
    <n v="0"/>
    <b v="1"/>
  </r>
  <r>
    <s v="Central African Republic"/>
    <n v="1180"/>
    <n v="2027"/>
    <n v="1344.0062034739453"/>
    <n v="384"/>
    <n v="1029"/>
    <n v="4353.7071960297762"/>
    <n v="1564"/>
    <n v="3056"/>
    <n v="5697.713399503722"/>
    <s v="CAF"/>
    <s v="Central African Republic"/>
    <x v="2"/>
    <n v="0"/>
    <n v="0"/>
    <n v="1"/>
    <n v="1"/>
    <n v="0"/>
    <n v="0"/>
    <n v="0"/>
    <n v="0"/>
    <b v="1"/>
  </r>
  <r>
    <s v="Chad"/>
    <n v="4702"/>
    <n v="6992"/>
    <n v="6338.6323148627653"/>
    <n v="1664"/>
    <n v="3800"/>
    <n v="33923.737441740035"/>
    <n v="6366"/>
    <n v="10792"/>
    <n v="40262.369756602799"/>
    <s v="TCD"/>
    <s v="Chad"/>
    <x v="2"/>
    <n v="0"/>
    <n v="0"/>
    <n v="1"/>
    <n v="1"/>
    <n v="0"/>
    <n v="0"/>
    <n v="0"/>
    <n v="0"/>
    <b v="1"/>
  </r>
  <r>
    <s v="Comoros"/>
    <n v="452"/>
    <n v="1541"/>
    <n v="1868.196426622058"/>
    <n v="841"/>
    <n v="1215"/>
    <n v="753.73246610801039"/>
    <n v="1293"/>
    <n v="2756"/>
    <n v="2621.9288927300686"/>
    <s v="COM"/>
    <s v="Comoros"/>
    <x v="0"/>
    <n v="1"/>
    <n v="0"/>
    <n v="0"/>
    <n v="1"/>
    <n v="0"/>
    <n v="0"/>
    <n v="0"/>
    <n v="0"/>
    <b v="1"/>
  </r>
  <r>
    <s v="Congo"/>
    <n v="4571"/>
    <n v="6962"/>
    <n v="7791.8818117841056"/>
    <n v="4923"/>
    <n v="3307"/>
    <n v="4346"/>
    <n v="9494"/>
    <n v="10269"/>
    <n v="12137.881811784106"/>
    <s v="COG"/>
    <s v="Congo"/>
    <x v="0"/>
    <n v="0"/>
    <n v="0"/>
    <n v="1"/>
    <n v="0"/>
    <n v="0"/>
    <n v="0"/>
    <n v="0"/>
    <n v="0"/>
    <b v="1"/>
  </r>
  <r>
    <s v="Cote d'Ivoire"/>
    <n v="23221"/>
    <n v="29443"/>
    <n v="35290.378273279566"/>
    <n v="5120"/>
    <n v="51343"/>
    <n v="37741.054506651308"/>
    <n v="28341"/>
    <n v="80786"/>
    <n v="73031.432779930881"/>
    <s v="CIV"/>
    <s v="Cote d'Ivoire"/>
    <x v="0"/>
    <n v="0"/>
    <n v="0"/>
    <n v="0"/>
    <n v="1"/>
    <n v="0"/>
    <n v="0"/>
    <n v="1"/>
    <n v="0"/>
    <b v="1"/>
  </r>
  <r>
    <s v="DRC"/>
    <n v="68069"/>
    <n v="141290"/>
    <n v="141402.43390237587"/>
    <n v="3066"/>
    <n v="85872"/>
    <n v="15905.456486995652"/>
    <n v="71135"/>
    <n v="227162"/>
    <n v="157307.89038937152"/>
    <s v="COD"/>
    <s v="DRC"/>
    <x v="2"/>
    <n v="1"/>
    <n v="0"/>
    <n v="1"/>
    <n v="0"/>
    <n v="1"/>
    <n v="0"/>
    <n v="0"/>
    <n v="1"/>
    <b v="1"/>
  </r>
  <r>
    <s v="Equatorial Guinea"/>
    <n v="0"/>
    <n v="662"/>
    <n v="1781.1162448119487"/>
    <n v="6"/>
    <n v="1994"/>
    <n v="2902"/>
    <n v="6"/>
    <n v="2656"/>
    <n v="4683.1162448119485"/>
    <s v="GNQ"/>
    <s v="Equatorial Guinea"/>
    <x v="1"/>
    <n v="0"/>
    <n v="0"/>
    <n v="1"/>
    <n v="0"/>
    <n v="0"/>
    <n v="0"/>
    <n v="0"/>
    <n v="0"/>
    <b v="1"/>
  </r>
  <r>
    <s v="Eritrea"/>
    <n v="4434"/>
    <n v="6397"/>
    <n v="6179.6252958362393"/>
    <n v="0"/>
    <n v="5483"/>
    <n v="7859.4639605140483"/>
    <n v="4434"/>
    <n v="11880"/>
    <n v="14039.089256350288"/>
    <s v="ERI"/>
    <s v="Eritrea"/>
    <x v="2"/>
    <n v="1"/>
    <n v="0"/>
    <n v="0"/>
    <n v="1"/>
    <n v="0"/>
    <n v="1"/>
    <n v="0"/>
    <n v="0"/>
    <b v="1"/>
  </r>
  <r>
    <s v="Eswatini"/>
    <n v="3735"/>
    <n v="5570"/>
    <n v="6208.1530330247342"/>
    <n v="4661"/>
    <n v="12031"/>
    <n v="10642.058449633827"/>
    <n v="8396"/>
    <n v="17601"/>
    <n v="16850.21148265856"/>
    <s v="SWZ"/>
    <s v="Eswatini"/>
    <x v="0"/>
    <n v="1"/>
    <n v="0"/>
    <n v="0"/>
    <n v="0"/>
    <n v="0"/>
    <n v="0"/>
    <n v="0"/>
    <n v="1"/>
    <b v="1"/>
  </r>
  <r>
    <s v="Ethiopia"/>
    <n v="6925"/>
    <n v="108826"/>
    <n v="229225"/>
    <n v="511"/>
    <n v="160072"/>
    <n v="188294.14769244258"/>
    <n v="7436"/>
    <n v="268898"/>
    <n v="417519.14769244258"/>
    <s v="ETH"/>
    <s v="Ethiopia"/>
    <x v="2"/>
    <n v="1"/>
    <n v="0"/>
    <n v="0"/>
    <n v="0"/>
    <n v="0"/>
    <n v="1"/>
    <n v="0"/>
    <n v="0"/>
    <b v="1"/>
  </r>
  <r>
    <s v="Gabon"/>
    <n v="437"/>
    <n v="8562"/>
    <n v="7467.6319189802698"/>
    <n v="1295"/>
    <n v="4369"/>
    <n v="6195.3046970490668"/>
    <n v="1732"/>
    <n v="12931"/>
    <n v="13662.936616029336"/>
    <s v="GAB"/>
    <s v="Gabon"/>
    <x v="1"/>
    <n v="0"/>
    <n v="0"/>
    <n v="1"/>
    <n v="0"/>
    <n v="0"/>
    <n v="0"/>
    <n v="0"/>
    <n v="0"/>
    <b v="1"/>
  </r>
  <r>
    <s v="Gambia"/>
    <n v="2979"/>
    <n v="2284"/>
    <n v="2205.3432721712538"/>
    <n v="1007"/>
    <n v="2625"/>
    <n v="7047.434250764526"/>
    <n v="3986"/>
    <n v="4909"/>
    <n v="9252.7775229357794"/>
    <s v="GMB"/>
    <s v="Gambia"/>
    <x v="2"/>
    <n v="0"/>
    <n v="0"/>
    <n v="0"/>
    <n v="1"/>
    <n v="0"/>
    <n v="0"/>
    <n v="1"/>
    <n v="0"/>
    <b v="1"/>
  </r>
  <r>
    <s v="Ghana"/>
    <n v="51421"/>
    <n v="143265"/>
    <n v="160786.9969390177"/>
    <n v="24391"/>
    <n v="62817"/>
    <n v="77239.612875768318"/>
    <n v="75812"/>
    <n v="206082"/>
    <n v="238026.609814786"/>
    <s v="GHA"/>
    <s v="Ghana"/>
    <x v="0"/>
    <n v="0"/>
    <n v="0"/>
    <n v="0"/>
    <n v="1"/>
    <n v="0"/>
    <n v="0"/>
    <n v="1"/>
    <n v="0"/>
    <b v="1"/>
  </r>
  <r>
    <s v="Guinea"/>
    <n v="8275"/>
    <n v="11176"/>
    <n v="9201"/>
    <n v="6700"/>
    <n v="18091"/>
    <n v="18091"/>
    <n v="14975"/>
    <n v="29267"/>
    <n v="27292"/>
    <s v="GIN"/>
    <s v="Guinea"/>
    <x v="2"/>
    <n v="0"/>
    <n v="0"/>
    <n v="0"/>
    <n v="1"/>
    <n v="0"/>
    <n v="0"/>
    <n v="1"/>
    <n v="0"/>
    <b v="1"/>
  </r>
  <r>
    <s v="Guinea-Bissau"/>
    <n v="1234"/>
    <n v="2097"/>
    <n v="2711.7219264892269"/>
    <n v="496"/>
    <n v="6168"/>
    <n v="6478.7930291508237"/>
    <n v="1730"/>
    <n v="8265"/>
    <n v="9190.5149556400502"/>
    <s v="GNB"/>
    <s v="Guinea-Bissau"/>
    <x v="2"/>
    <n v="0"/>
    <n v="0"/>
    <n v="0"/>
    <n v="1"/>
    <n v="0"/>
    <n v="0"/>
    <n v="1"/>
    <n v="0"/>
    <b v="1"/>
  </r>
  <r>
    <s v="Kenya"/>
    <n v="52221"/>
    <n v="72002"/>
    <n v="132496"/>
    <n v="13628"/>
    <n v="92554"/>
    <n v="153549.56215030918"/>
    <n v="65849"/>
    <n v="164556"/>
    <n v="286045.56215030921"/>
    <s v="KEN"/>
    <s v="Kenya"/>
    <x v="0"/>
    <n v="1"/>
    <n v="0"/>
    <n v="0"/>
    <n v="1"/>
    <n v="1"/>
    <n v="1"/>
    <n v="0"/>
    <n v="0"/>
    <b v="1"/>
  </r>
  <r>
    <s v="Lesotho"/>
    <n v="0"/>
    <n v="11621"/>
    <n v="5301.8248879810226"/>
    <n v="216"/>
    <n v="25051"/>
    <n v="23691.187434106483"/>
    <n v="216"/>
    <n v="36672"/>
    <n v="28993.012322087507"/>
    <s v="LSO"/>
    <s v="Lesotho"/>
    <x v="0"/>
    <n v="0"/>
    <n v="0"/>
    <n v="0"/>
    <n v="0"/>
    <n v="0"/>
    <n v="0"/>
    <n v="0"/>
    <n v="1"/>
    <b v="1"/>
  </r>
  <r>
    <s v="Liberia"/>
    <n v="974"/>
    <n v="11203"/>
    <n v="7129.2714053614945"/>
    <n v="2036"/>
    <n v="13864"/>
    <n v="23098"/>
    <n v="3010"/>
    <n v="25067"/>
    <n v="30227.271405361495"/>
    <s v="LBR"/>
    <s v="Liberia"/>
    <x v="2"/>
    <n v="0"/>
    <n v="0"/>
    <n v="0"/>
    <n v="1"/>
    <n v="0"/>
    <n v="0"/>
    <n v="1"/>
    <n v="0"/>
    <b v="1"/>
  </r>
  <r>
    <s v="Madagascar"/>
    <n v="10489"/>
    <n v="14669"/>
    <n v="14098.287215047239"/>
    <n v="174"/>
    <n v="44152"/>
    <n v="50968.375262199879"/>
    <n v="10663"/>
    <n v="58821"/>
    <n v="65066.662477247119"/>
    <s v="MDG"/>
    <s v="Madagascar"/>
    <x v="2"/>
    <n v="1"/>
    <n v="0"/>
    <n v="0"/>
    <n v="0"/>
    <n v="0"/>
    <n v="0"/>
    <n v="0"/>
    <n v="1"/>
    <b v="1"/>
  </r>
  <r>
    <s v="Malawi"/>
    <n v="3963"/>
    <n v="11568"/>
    <n v="12418.378918345705"/>
    <n v="0"/>
    <n v="14833"/>
    <n v="26223.507613997885"/>
    <n v="3963"/>
    <n v="26401"/>
    <n v="38641.886532343589"/>
    <s v="MWI"/>
    <s v="Malawi"/>
    <x v="2"/>
    <n v="1"/>
    <n v="0"/>
    <n v="0"/>
    <n v="0"/>
    <n v="0"/>
    <n v="0"/>
    <n v="0"/>
    <n v="1"/>
    <b v="1"/>
  </r>
  <r>
    <s v="Mali"/>
    <n v="8189"/>
    <n v="12833"/>
    <n v="14537.005004448398"/>
    <n v="0"/>
    <n v="14277"/>
    <n v="23767"/>
    <n v="8189"/>
    <n v="27110"/>
    <n v="38304.005004448394"/>
    <s v="MLI"/>
    <s v="Mali"/>
    <x v="2"/>
    <n v="0"/>
    <n v="0"/>
    <n v="0"/>
    <n v="1"/>
    <n v="0"/>
    <n v="0"/>
    <n v="1"/>
    <n v="0"/>
    <b v="1"/>
  </r>
  <r>
    <s v="Mauritania"/>
    <n v="4836"/>
    <n v="6798"/>
    <n v="9374.9877300613498"/>
    <n v="244"/>
    <n v="11463"/>
    <n v="11463"/>
    <n v="5080"/>
    <n v="18261"/>
    <n v="20837.987730061352"/>
    <s v="MRT"/>
    <s v="Mauritania"/>
    <x v="0"/>
    <n v="0"/>
    <n v="1"/>
    <n v="0"/>
    <n v="1"/>
    <n v="0"/>
    <n v="0"/>
    <n v="0"/>
    <n v="0"/>
    <b v="1"/>
  </r>
  <r>
    <s v="Mauritius"/>
    <n v="6820"/>
    <n v="9444"/>
    <n v="7846.7053175775491"/>
    <n v="0"/>
    <n v="6377"/>
    <n v="7398.441318651805"/>
    <n v="6820"/>
    <n v="15821"/>
    <n v="15245.146636229354"/>
    <s v="MUS"/>
    <s v="Mauritius"/>
    <x v="1"/>
    <n v="1"/>
    <n v="0"/>
    <n v="0"/>
    <n v="0"/>
    <n v="0"/>
    <n v="0"/>
    <n v="0"/>
    <n v="1"/>
    <b v="1"/>
  </r>
  <r>
    <s v="Mozambique"/>
    <n v="14014"/>
    <n v="19598"/>
    <n v="40757"/>
    <n v="5346"/>
    <n v="76726"/>
    <n v="139367.37244750268"/>
    <n v="19360"/>
    <n v="96324"/>
    <n v="180124.37244750268"/>
    <s v="MOZ"/>
    <s v="Mozambique"/>
    <x v="2"/>
    <n v="0"/>
    <n v="0"/>
    <n v="0"/>
    <n v="0"/>
    <n v="0"/>
    <n v="0"/>
    <n v="0"/>
    <n v="1"/>
    <b v="1"/>
  </r>
  <r>
    <s v="Namibia"/>
    <n v="4178"/>
    <n v="15602"/>
    <n v="18610.859009360374"/>
    <n v="0"/>
    <n v="10043"/>
    <n v="8448.3207878315116"/>
    <n v="4178"/>
    <n v="25645"/>
    <n v="27059.179797191886"/>
    <s v="NAM"/>
    <s v="Namibia"/>
    <x v="1"/>
    <n v="0"/>
    <n v="0"/>
    <n v="0"/>
    <n v="0"/>
    <n v="0"/>
    <n v="0"/>
    <n v="0"/>
    <n v="1"/>
    <b v="1"/>
  </r>
  <r>
    <s v="Niger"/>
    <n v="5477"/>
    <n v="6168"/>
    <n v="6176.8688034042616"/>
    <n v="6560"/>
    <n v="3596"/>
    <n v="6818.3026251918564"/>
    <n v="12037"/>
    <n v="9764"/>
    <n v="12995.171428596117"/>
    <s v="NER"/>
    <s v="Niger"/>
    <x v="2"/>
    <n v="0"/>
    <n v="0"/>
    <n v="0"/>
    <n v="1"/>
    <n v="0"/>
    <n v="0"/>
    <n v="1"/>
    <n v="0"/>
    <b v="1"/>
  </r>
  <r>
    <s v="Nigeria"/>
    <n v="261989"/>
    <n v="441434"/>
    <n v="495915.88729767234"/>
    <n v="331077"/>
    <n v="537756"/>
    <n v="303916.69881769194"/>
    <n v="593066"/>
    <n v="979190"/>
    <n v="799832.58611536422"/>
    <s v="NGA"/>
    <s v="Nigeria"/>
    <x v="0"/>
    <n v="0"/>
    <n v="0"/>
    <n v="0"/>
    <n v="1"/>
    <n v="0"/>
    <n v="0"/>
    <n v="1"/>
    <n v="0"/>
    <b v="1"/>
  </r>
  <r>
    <s v="Rwanda"/>
    <n v="11592"/>
    <n v="17779"/>
    <n v="18462.239749316621"/>
    <n v="2695"/>
    <n v="49680"/>
    <n v="63680"/>
    <n v="14287"/>
    <n v="67459"/>
    <n v="82142.239749316621"/>
    <s v="RWA"/>
    <s v="Rwanda"/>
    <x v="2"/>
    <n v="1"/>
    <n v="0"/>
    <n v="0"/>
    <n v="0"/>
    <n v="1"/>
    <n v="0"/>
    <n v="0"/>
    <n v="0"/>
    <b v="1"/>
  </r>
  <r>
    <s v="Sao Tome and Principe"/>
    <n v="536"/>
    <n v="559"/>
    <n v="613.28457017504911"/>
    <n v="28"/>
    <n v="1105"/>
    <n v="828.14730820859995"/>
    <n v="564"/>
    <n v="1664"/>
    <n v="1441.4318783836491"/>
    <s v="STP"/>
    <s v="Sao Tome and Principe"/>
    <x v="0"/>
    <n v="0"/>
    <n v="0"/>
    <n v="1"/>
    <n v="1"/>
    <n v="0"/>
    <n v="0"/>
    <n v="0"/>
    <n v="0"/>
    <b v="1"/>
  </r>
  <r>
    <s v="Senegal"/>
    <n v="6196"/>
    <n v="10926"/>
    <n v="11285.434623393408"/>
    <n v="4932"/>
    <n v="34349"/>
    <n v="29939.877575931641"/>
    <n v="11128"/>
    <n v="45275"/>
    <n v="41225.312199325053"/>
    <s v="SEN"/>
    <s v="Senegal"/>
    <x v="0"/>
    <n v="0"/>
    <n v="0"/>
    <n v="0"/>
    <n v="1"/>
    <n v="0"/>
    <n v="0"/>
    <n v="1"/>
    <n v="0"/>
    <b v="1"/>
  </r>
  <r>
    <s v="Seychelles"/>
    <n v="530"/>
    <n v="2020"/>
    <n v="2592.4178512700573"/>
    <n v="0"/>
    <n v="525"/>
    <n v="594.28457017504911"/>
    <n v="530"/>
    <n v="2545"/>
    <n v="3186.7024214451067"/>
    <s v="SYC"/>
    <s v="Seychelles"/>
    <x v="1"/>
    <n v="1"/>
    <n v="0"/>
    <n v="0"/>
    <n v="0"/>
    <n v="0"/>
    <n v="0"/>
    <n v="0"/>
    <n v="1"/>
    <b v="1"/>
  </r>
  <r>
    <s v="Sierra Leone"/>
    <n v="8293"/>
    <n v="7320"/>
    <n v="20252.811629184373"/>
    <n v="4557"/>
    <n v="2288"/>
    <n v="18898.61224042462"/>
    <n v="12850"/>
    <n v="9608"/>
    <n v="39151.423869608989"/>
    <s v="SLE"/>
    <s v="Sierra Leone"/>
    <x v="2"/>
    <n v="0"/>
    <n v="0"/>
    <n v="0"/>
    <n v="1"/>
    <n v="0"/>
    <n v="0"/>
    <n v="1"/>
    <n v="0"/>
    <b v="1"/>
  </r>
  <r>
    <s v="South Africa"/>
    <n v="90079"/>
    <n v="354250"/>
    <n v="468293.95185969712"/>
    <n v="23469"/>
    <n v="214207"/>
    <n v="191862.74170800057"/>
    <n v="113548"/>
    <n v="568457"/>
    <n v="660156.69356769766"/>
    <s v="ZAF"/>
    <s v="South Africa"/>
    <x v="1"/>
    <n v="0"/>
    <n v="0"/>
    <n v="0"/>
    <n v="0"/>
    <n v="0"/>
    <n v="0"/>
    <n v="0"/>
    <n v="1"/>
    <b v="1"/>
  </r>
  <r>
    <s v="South Sudan"/>
    <n v="0"/>
    <n v="6413"/>
    <n v="8616.9328736015086"/>
    <n v="0"/>
    <n v="10147"/>
    <n v="12908"/>
    <n v="0"/>
    <n v="16560"/>
    <n v="21524.932873601509"/>
    <s v="SSD"/>
    <s v="South Sudan"/>
    <x v="2"/>
    <n v="0"/>
    <n v="0"/>
    <n v="0"/>
    <n v="0"/>
    <n v="1"/>
    <n v="1"/>
    <n v="0"/>
    <n v="0"/>
    <b v="1"/>
  </r>
  <r>
    <s v="Tanzania"/>
    <n v="23402"/>
    <n v="39366"/>
    <n v="49814.905399934454"/>
    <n v="15093"/>
    <n v="69773"/>
    <n v="138070.13653100963"/>
    <n v="38495"/>
    <n v="109139"/>
    <n v="187885.04193094408"/>
    <s v="TZA"/>
    <s v="Tanzania"/>
    <x v="0"/>
    <n v="0"/>
    <n v="0"/>
    <n v="0"/>
    <n v="0"/>
    <n v="1"/>
    <n v="0"/>
    <n v="0"/>
    <n v="1"/>
    <b v="1"/>
  </r>
  <r>
    <s v="Togo"/>
    <n v="2532"/>
    <n v="4137"/>
    <n v="5574.9682728198168"/>
    <n v="638"/>
    <n v="22503"/>
    <n v="21202.2429589413"/>
    <n v="3170"/>
    <n v="26640"/>
    <n v="26777.211231761117"/>
    <s v="TGO"/>
    <s v="Togo"/>
    <x v="2"/>
    <n v="0"/>
    <n v="0"/>
    <n v="0"/>
    <n v="1"/>
    <n v="0"/>
    <n v="0"/>
    <n v="1"/>
    <n v="0"/>
    <b v="1"/>
  </r>
  <r>
    <s v="Uganda"/>
    <n v="51995"/>
    <n v="77940"/>
    <n v="121325.78132796781"/>
    <n v="207921"/>
    <n v="190898"/>
    <n v="215143.86052313884"/>
    <n v="259916"/>
    <n v="268838"/>
    <n v="336469.64185110666"/>
    <s v="UGA"/>
    <s v="Uganda"/>
    <x v="2"/>
    <n v="1"/>
    <n v="0"/>
    <n v="0"/>
    <n v="0"/>
    <n v="1"/>
    <n v="1"/>
    <n v="0"/>
    <n v="0"/>
    <b v="1"/>
  </r>
  <r>
    <s v="Zambia"/>
    <n v="4278"/>
    <n v="30782"/>
    <n v="69982"/>
    <n v="5507"/>
    <n v="32379"/>
    <n v="42023.819684990805"/>
    <n v="9785"/>
    <n v="63161"/>
    <n v="112005.8196849908"/>
    <s v="ZMB"/>
    <s v="Zambia"/>
    <x v="0"/>
    <n v="1"/>
    <n v="0"/>
    <n v="0"/>
    <n v="0"/>
    <n v="0"/>
    <n v="0"/>
    <n v="0"/>
    <n v="1"/>
    <b v="1"/>
  </r>
  <r>
    <s v="Zimbabwe"/>
    <n v="21148"/>
    <n v="35628"/>
    <n v="62258.419764351172"/>
    <n v="15850"/>
    <n v="36886"/>
    <n v="42581.173443884632"/>
    <n v="36998"/>
    <n v="72514"/>
    <n v="104839.5932082358"/>
    <s v="ZWE"/>
    <s v="Zimbabwe"/>
    <x v="0"/>
    <n v="1"/>
    <n v="0"/>
    <n v="0"/>
    <n v="0"/>
    <n v="0"/>
    <n v="0"/>
    <n v="0"/>
    <n v="1"/>
    <b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Algeria"/>
    <n v="11139"/>
    <n v="175647"/>
    <n v="220805"/>
    <n v="200"/>
    <n v="240105"/>
    <n v="366963.77629941667"/>
    <n v="11339"/>
    <n v="415752"/>
    <n v="587768.77629941667"/>
    <s v="DZA"/>
    <s v="Algeria"/>
    <x v="0"/>
    <n v="0"/>
    <n v="1"/>
    <n v="0"/>
    <n v="0"/>
    <n v="0"/>
    <n v="0"/>
    <n v="0"/>
    <x v="0"/>
    <b v="1"/>
    <s v="Algeria"/>
    <n v="2.931267462129866"/>
    <n v="41.893522234964195"/>
    <n v="49.173528181995827"/>
    <n v="5.2630711233142405E-2"/>
    <n v="57.067989613472768"/>
    <n v="81.723256247054991"/>
    <n v="2.9838981733630083"/>
    <n v="98.961511848436984"/>
    <n v="130.89678442905083"/>
  </r>
  <r>
    <s v="Angola"/>
    <n v="30"/>
    <n v="60468"/>
    <n v="78869.768592450535"/>
    <n v="602"/>
    <n v="50395"/>
    <n v="58067.470117464829"/>
    <n v="632"/>
    <n v="110863"/>
    <n v="136937.23870991537"/>
    <s v="AGO"/>
    <s v="Angola"/>
    <x v="0"/>
    <n v="0"/>
    <n v="0"/>
    <n v="1"/>
    <n v="0"/>
    <n v="0"/>
    <n v="0"/>
    <n v="0"/>
    <x v="1"/>
    <b v="1"/>
    <s v="Angola"/>
    <n v="1.147359073900709E-2"/>
    <n v="19.33519951199629"/>
    <n v="22.16128506058643"/>
    <n v="0.23023672082940894"/>
    <n v="16.090283115757977"/>
    <n v="16.295060637006831"/>
    <n v="0.24171031156841602"/>
    <n v="35.425482627754263"/>
    <n v="38.456345697593264"/>
  </r>
  <r>
    <s v="Benin"/>
    <n v="7923"/>
    <n v="5769"/>
    <n v="11051.475446848541"/>
    <n v="15066"/>
    <n v="11707"/>
    <n v="13972.936782690498"/>
    <n v="22989"/>
    <n v="17476"/>
    <n v="25024.412229539041"/>
    <s v="BEN"/>
    <s v="Benin"/>
    <x v="0"/>
    <n v="0"/>
    <n v="0"/>
    <n v="0"/>
    <n v="1"/>
    <n v="0"/>
    <n v="0"/>
    <n v="1"/>
    <x v="0"/>
    <b v="1"/>
    <s v="Benin"/>
    <n v="7.6857184306059843"/>
    <n v="4.8313817211552434"/>
    <n v="8.2764831925559506"/>
    <n v="14.614796652216302"/>
    <n v="9.7917342838875214"/>
    <n v="10.453140826335456"/>
    <n v="22.300515082822283"/>
    <n v="14.623116005042766"/>
    <n v="18.729624018891407"/>
  </r>
  <r>
    <s v="Botswana"/>
    <n v="8191"/>
    <n v="9284"/>
    <n v="9739.0851814152975"/>
    <n v="1000"/>
    <n v="7514"/>
    <n v="8210.3980409764026"/>
    <n v="9191"/>
    <n v="16798"/>
    <n v="17949.4832223917"/>
    <s v="BWA"/>
    <s v="Botswana"/>
    <x v="1"/>
    <n v="0"/>
    <n v="0"/>
    <n v="0"/>
    <n v="0"/>
    <n v="0"/>
    <n v="0"/>
    <n v="0"/>
    <x v="1"/>
    <b v="1"/>
    <s v="Botswana"/>
    <n v="36.941691569573123"/>
    <n v="37.8721049551717"/>
    <n v="37.02657488516612"/>
    <n v="4.5100343754820074"/>
    <n v="30.541625355382433"/>
    <n v="31.089269196228852"/>
    <n v="41.451725945055138"/>
    <n v="68.413730310554129"/>
    <n v="68.115844081394968"/>
  </r>
  <r>
    <s v="Burkina Faso"/>
    <n v="8983"/>
    <n v="19646"/>
    <n v="27591.374567572704"/>
    <n v="4585"/>
    <n v="7601"/>
    <n v="10576.497205854401"/>
    <n v="13568"/>
    <n v="27247"/>
    <n v="38167.871773427105"/>
    <s v="BFA"/>
    <s v="Burkina Faso"/>
    <x v="2"/>
    <n v="0"/>
    <n v="0"/>
    <n v="0"/>
    <n v="1"/>
    <n v="0"/>
    <n v="0"/>
    <n v="1"/>
    <x v="0"/>
    <b v="1"/>
    <s v="Burkina Faso"/>
    <n v="5.0934409402821972"/>
    <n v="9.6338286946770175"/>
    <n v="12.168856040551496"/>
    <n v="2.5997358022034818"/>
    <n v="3.7258388690907043"/>
    <n v="4.6584670006919868"/>
    <n v="7.6931767424856785"/>
    <n v="13.35966756376772"/>
    <n v="16.827323041243478"/>
  </r>
  <r>
    <s v="Burundi"/>
    <n v="7170"/>
    <n v="10533"/>
    <n v="10709.319625085567"/>
    <n v="44"/>
    <n v="37621"/>
    <n v="42120.333315781165"/>
    <n v="7214"/>
    <n v="48154"/>
    <n v="52829.652940866734"/>
    <s v="BDI"/>
    <s v="Burundi"/>
    <x v="2"/>
    <n v="1"/>
    <n v="0"/>
    <n v="1"/>
    <n v="0"/>
    <n v="1"/>
    <n v="0"/>
    <n v="0"/>
    <x v="0"/>
    <b v="1"/>
    <s v="Burundi"/>
    <n v="7.0643334660974784"/>
    <n v="9.1643321894231757"/>
    <n v="8.3085116295989803"/>
    <n v="4.33515582298869E-2"/>
    <n v="32.732492290732871"/>
    <n v="32.677825618073008"/>
    <n v="7.107685024327365"/>
    <n v="41.896824480156049"/>
    <n v="40.986337247671983"/>
  </r>
  <r>
    <s v="Cameroon"/>
    <n v="22321"/>
    <n v="14532"/>
    <n v="23282"/>
    <n v="0"/>
    <n v="16843"/>
    <n v="8354.2378107535169"/>
    <n v="22321"/>
    <n v="31375"/>
    <n v="31636.237810753519"/>
    <s v="CMR"/>
    <s v="Cameroon"/>
    <x v="0"/>
    <n v="0"/>
    <n v="0"/>
    <n v="1"/>
    <n v="0"/>
    <n v="0"/>
    <n v="0"/>
    <n v="0"/>
    <x v="0"/>
    <b v="1"/>
    <s v="Cameroon"/>
    <n v="10.318104179523269"/>
    <n v="5.7950101302016952"/>
    <n v="8.340457309760458"/>
    <n v="0"/>
    <n v="6.7165810365391669"/>
    <n v="2.9859846717331378"/>
    <n v="10.318104179523267"/>
    <n v="12.511591166740862"/>
    <n v="11.326441981493597"/>
  </r>
  <r>
    <s v="Cape-Verde"/>
    <n v="711"/>
    <n v="1666"/>
    <n v="3734.493638676845"/>
    <n v="7662"/>
    <n v="5297"/>
    <n v="2475.7981340118745"/>
    <n v="8373"/>
    <n v="6963"/>
    <n v="6210.291772688719"/>
    <s v="CPV"/>
    <s v="Cape-Verde"/>
    <x v="0"/>
    <n v="0"/>
    <n v="0"/>
    <n v="0"/>
    <n v="1"/>
    <n v="0"/>
    <n v="0"/>
    <n v="1"/>
    <x v="0"/>
    <b v="1"/>
    <s v="Cape-Verde"/>
    <n v="13.168129792199135"/>
    <n v="29.16659007373055"/>
    <n v="62.960411138791216"/>
    <n v="141.90465607289701"/>
    <n v="92.384211175916022"/>
    <n v="41.402684045284943"/>
    <n v="155.07278586509614"/>
    <n v="121.55080124964657"/>
    <n v="104.36309518407614"/>
  </r>
  <r>
    <s v="Central African Republic"/>
    <n v="1180"/>
    <n v="2027"/>
    <n v="1344.0062034739453"/>
    <n v="384"/>
    <n v="1029"/>
    <n v="4353.7071960297762"/>
    <n v="1564"/>
    <n v="3056"/>
    <n v="5697.713399503722"/>
    <s v="CAF"/>
    <s v="Central African Republic"/>
    <x v="2"/>
    <n v="0"/>
    <n v="0"/>
    <n v="1"/>
    <n v="1"/>
    <n v="0"/>
    <n v="0"/>
    <n v="0"/>
    <x v="0"/>
    <b v="1"/>
    <s v="Central African Republic"/>
    <n v="2.4570901992606395"/>
    <n v="3.9785819996152929"/>
    <n v="2.4089830338186218"/>
    <n v="0.79959545467464954"/>
    <n v="2.017751502518264"/>
    <n v="7.8017480569011566"/>
    <n v="3.2566856539352891"/>
    <n v="5.9963335021335578"/>
    <n v="10.210731090719779"/>
  </r>
  <r>
    <s v="Chad"/>
    <n v="4702"/>
    <n v="6992"/>
    <n v="6338.6323148627653"/>
    <n v="1664"/>
    <n v="3800"/>
    <n v="33923.737441740035"/>
    <n v="6366"/>
    <n v="10792"/>
    <n v="40262.369756602799"/>
    <s v="TCD"/>
    <s v="Chad"/>
    <x v="2"/>
    <n v="0"/>
    <n v="0"/>
    <n v="1"/>
    <n v="1"/>
    <n v="0"/>
    <n v="0"/>
    <n v="0"/>
    <x v="0"/>
    <b v="1"/>
    <s v="Chad"/>
    <n v="3.557602383306083"/>
    <n v="4.4808420291703328"/>
    <n v="3.5764373051455833"/>
    <n v="1.2590068834158492"/>
    <n v="2.4352402332447465"/>
    <n v="19.134534593819922"/>
    <n v="4.8166092667219331"/>
    <n v="6.9160822624150784"/>
    <n v="22.710971898965504"/>
  </r>
  <r>
    <s v="Comoros"/>
    <n v="452"/>
    <n v="1541"/>
    <n v="1868.196426622058"/>
    <n v="841"/>
    <n v="1215"/>
    <n v="753.73246610801039"/>
    <n v="1293"/>
    <n v="2756"/>
    <n v="2621.9288927300686"/>
    <s v="COM"/>
    <s v="Comoros"/>
    <x v="0"/>
    <n v="1"/>
    <n v="0"/>
    <n v="0"/>
    <n v="1"/>
    <n v="0"/>
    <n v="0"/>
    <n v="0"/>
    <x v="0"/>
    <b v="1"/>
    <s v="Comoros"/>
    <n v="6.4627516022834079"/>
    <n v="19.850228032875876"/>
    <n v="22.326190141323295"/>
    <n v="12.024721454691029"/>
    <n v="15.650893614499799"/>
    <n v="9.0076044008087113"/>
    <n v="18.487473056974441"/>
    <n v="35.501121647375662"/>
    <n v="31.333794542132008"/>
  </r>
  <r>
    <s v="Congo"/>
    <n v="4571"/>
    <n v="6962"/>
    <n v="7791.8818117841056"/>
    <n v="4923"/>
    <n v="3307"/>
    <n v="4346"/>
    <n v="9494"/>
    <n v="10269"/>
    <n v="12137.881811784106"/>
    <s v="COG"/>
    <s v="Congo"/>
    <x v="0"/>
    <n v="0"/>
    <n v="0"/>
    <n v="1"/>
    <n v="0"/>
    <n v="0"/>
    <n v="0"/>
    <n v="0"/>
    <x v="0"/>
    <b v="1"/>
    <s v="Congo"/>
    <n v="9.4675580794092156"/>
    <n v="12.795296212393836"/>
    <n v="13.050801436856251"/>
    <n v="10.196628401866455"/>
    <n v="6.0778575947122118"/>
    <n v="7.2792150105252142"/>
    <n v="19.664186481275671"/>
    <n v="18.873153807106046"/>
    <n v="20.330016447381468"/>
  </r>
  <r>
    <s v="Cote d'Ivoire"/>
    <n v="23221"/>
    <n v="29443"/>
    <n v="35290.378273279566"/>
    <n v="5120"/>
    <n v="51343"/>
    <n v="37741.054506651308"/>
    <n v="28341"/>
    <n v="80786"/>
    <n v="73031.432779930881"/>
    <s v="CIV"/>
    <s v="Cote d'Ivoire"/>
    <x v="0"/>
    <n v="0"/>
    <n v="0"/>
    <n v="0"/>
    <n v="1"/>
    <n v="0"/>
    <n v="0"/>
    <n v="1"/>
    <x v="0"/>
    <b v="1"/>
    <s v="Cote d'Ivoire"/>
    <n v="10.33456030553733"/>
    <n v="11.548997129264416"/>
    <n v="12.531853132190035"/>
    <n v="2.1941080188751148"/>
    <n v="20.123567561819524"/>
    <n v="13.387900643835712"/>
    <n v="12.528668324412447"/>
    <n v="31.672564691083934"/>
    <n v="25.91975377602575"/>
  </r>
  <r>
    <s v="DRC"/>
    <n v="68069"/>
    <n v="141290"/>
    <n v="141402.43390237587"/>
    <n v="3066"/>
    <n v="85872"/>
    <n v="15905.456486995652"/>
    <n v="71135"/>
    <n v="227162"/>
    <n v="157307.89038937152"/>
    <s v="COD"/>
    <s v="DRC"/>
    <x v="2"/>
    <n v="1"/>
    <n v="0"/>
    <n v="1"/>
    <n v="0"/>
    <n v="1"/>
    <n v="0"/>
    <n v="0"/>
    <x v="1"/>
    <b v="1"/>
    <s v="DRC"/>
    <n v="9.2661285789722267"/>
    <n v="16.223939744179855"/>
    <n v="14.28160096277502"/>
    <n v="0.41736987796396086"/>
    <n v="9.8604441482922525"/>
    <n v="1.6064460590182004"/>
    <n v="9.6834984569361886"/>
    <n v="26.084383892472108"/>
    <n v="15.888047021793218"/>
  </r>
  <r>
    <s v="Equatorial Guinea"/>
    <n v="0"/>
    <n v="662"/>
    <n v="1781.1162448119487"/>
    <n v="6"/>
    <n v="1994"/>
    <n v="2902"/>
    <n v="6"/>
    <n v="2656"/>
    <n v="4683.1162448119485"/>
    <s v="GNQ"/>
    <s v="Equatorial Guinea"/>
    <x v="1"/>
    <n v="0"/>
    <n v="0"/>
    <n v="1"/>
    <n v="0"/>
    <n v="0"/>
    <n v="0"/>
    <n v="0"/>
    <x v="0"/>
    <b v="1"/>
    <s v="Equatorial Guinea"/>
    <n v="0"/>
    <n v="4.4071882438586458"/>
    <n v="10.634113902446874"/>
    <n v="4.8233798869882084E-2"/>
    <n v="13.241536883738439"/>
    <n v="17.296472403260356"/>
    <n v="4.8233798869882084E-2"/>
    <n v="17.648725127597086"/>
    <n v="27.930586305707227"/>
  </r>
  <r>
    <s v="Eritrea"/>
    <n v="4434"/>
    <n v="6397"/>
    <n v="6179.6252958362393"/>
    <n v="0"/>
    <n v="5483"/>
    <n v="7859.4639605140483"/>
    <n v="4434"/>
    <n v="11880"/>
    <n v="14039.089256350288"/>
    <s v="ERI"/>
    <s v="Eritrea"/>
    <x v="2"/>
    <n v="1"/>
    <n v="0"/>
    <n v="0"/>
    <n v="1"/>
    <n v="0"/>
    <n v="1"/>
    <n v="0"/>
    <x v="0"/>
    <b v="1"/>
    <s v="Eritrea"/>
    <n v="13.451172154071436"/>
    <n v="18.566922115433325"/>
    <n v="16.774083760782815"/>
    <n v="0"/>
    <n v="15.914090035785666"/>
    <n v="21.333867423538706"/>
    <n v="13.451172154071436"/>
    <n v="34.481012151218984"/>
    <n v="38.107951184321514"/>
  </r>
  <r>
    <s v="Eswatini"/>
    <n v="3735"/>
    <n v="5570"/>
    <n v="6208.1530330247342"/>
    <n v="4661"/>
    <n v="12031"/>
    <n v="10642.058449633827"/>
    <n v="8396"/>
    <n v="17601"/>
    <n v="16850.21148265856"/>
    <s v="SWZ"/>
    <s v="Eswatini"/>
    <x v="0"/>
    <n v="1"/>
    <n v="0"/>
    <n v="0"/>
    <n v="0"/>
    <n v="0"/>
    <n v="0"/>
    <n v="0"/>
    <x v="1"/>
    <b v="1"/>
    <s v="Eswatini"/>
    <n v="33.398341618089297"/>
    <n v="47.999551889282181"/>
    <n v="51.66268983905934"/>
    <n v="41.678626581503138"/>
    <n v="103.65145603667615"/>
    <n v="88.53557152009499"/>
    <n v="75.076968199592443"/>
    <n v="151.65100792595834"/>
    <n v="140.19826135915432"/>
  </r>
  <r>
    <s v="Ethiopia"/>
    <n v="6925"/>
    <n v="108826"/>
    <n v="229225"/>
    <n v="511"/>
    <n v="160072"/>
    <n v="188294.14769244258"/>
    <n v="7436"/>
    <n v="268898"/>
    <n v="417519.14769244258"/>
    <s v="ETH"/>
    <s v="Ethiopia"/>
    <x v="2"/>
    <n v="1"/>
    <n v="0"/>
    <n v="0"/>
    <n v="0"/>
    <n v="0"/>
    <n v="1"/>
    <n v="0"/>
    <x v="0"/>
    <b v="1"/>
    <s v="Ethiopia"/>
    <n v="0.71329713375271953"/>
    <n v="9.7927247683912508"/>
    <n v="18.578792370715053"/>
    <n v="5.2634633263197068E-2"/>
    <n v="14.399424930053186"/>
    <n v="15.250791281886587"/>
    <n v="0.76593176701591659"/>
    <n v="24.192149698444432"/>
    <n v="33.829583652601642"/>
  </r>
  <r>
    <s v="Gabon"/>
    <n v="437"/>
    <n v="8562"/>
    <n v="7467.6319189802698"/>
    <n v="1295"/>
    <n v="4369"/>
    <n v="6195.3046970490668"/>
    <n v="1732"/>
    <n v="12931"/>
    <n v="13662.936616029336"/>
    <s v="GAB"/>
    <s v="Gabon"/>
    <x v="1"/>
    <n v="0"/>
    <n v="0"/>
    <n v="1"/>
    <n v="0"/>
    <n v="0"/>
    <n v="0"/>
    <n v="0"/>
    <x v="0"/>
    <b v="1"/>
    <s v="Gabon"/>
    <n v="2.2973079178531046"/>
    <n v="39.060014055583196"/>
    <n v="31.25849879805093"/>
    <n v="6.8078117931802522"/>
    <n v="19.721611861981561"/>
    <n v="25.853652875942235"/>
    <n v="9.1051197110333568"/>
    <n v="58.781625917564746"/>
    <n v="57.112151673993168"/>
  </r>
  <r>
    <s v="Gambia"/>
    <n v="2979"/>
    <n v="2284"/>
    <n v="2205.3432721712538"/>
    <n v="1007"/>
    <n v="2625"/>
    <n v="7047.434250764526"/>
    <n v="3986"/>
    <n v="4909"/>
    <n v="9252.7775229357794"/>
    <s v="GMB"/>
    <s v="Gambia"/>
    <x v="2"/>
    <n v="0"/>
    <n v="0"/>
    <n v="0"/>
    <n v="1"/>
    <n v="0"/>
    <n v="0"/>
    <n v="1"/>
    <x v="0"/>
    <b v="1"/>
    <s v="Gambia"/>
    <n v="14.019684502977714"/>
    <n v="9.341836149347488"/>
    <n v="8.1498514118713352"/>
    <n v="4.7249960526987653"/>
    <n v="10.707936531957847"/>
    <n v="26.021236160614649"/>
    <n v="18.744680555676478"/>
    <n v="20.049772681305335"/>
    <n v="34.171087572485987"/>
  </r>
  <r>
    <s v="Ghana"/>
    <n v="51421"/>
    <n v="143265"/>
    <n v="160786.9969390177"/>
    <n v="24391"/>
    <n v="62817"/>
    <n v="77239.612875768318"/>
    <n v="75812"/>
    <n v="206082"/>
    <n v="238026.609814786"/>
    <s v="GHA"/>
    <s v="Ghana"/>
    <x v="0"/>
    <n v="0"/>
    <n v="0"/>
    <n v="0"/>
    <n v="1"/>
    <n v="0"/>
    <n v="0"/>
    <n v="1"/>
    <x v="0"/>
    <b v="1"/>
    <s v="Ghana"/>
    <n v="18.681157033578607"/>
    <n v="46.40817219195695"/>
    <n v="48.030714224150685"/>
    <n v="8.8612065344123181"/>
    <n v="20.294363506970317"/>
    <n v="22.610200047155839"/>
    <n v="27.542363567990925"/>
    <n v="66.70253569892725"/>
    <n v="70.640914271306528"/>
  </r>
  <r>
    <s v="Guinea"/>
    <n v="8275"/>
    <n v="11176"/>
    <n v="9201"/>
    <n v="6700"/>
    <n v="18091"/>
    <n v="18091"/>
    <n v="14975"/>
    <n v="29267"/>
    <n v="27292"/>
    <s v="GIN"/>
    <s v="Guinea"/>
    <x v="2"/>
    <n v="0"/>
    <n v="0"/>
    <n v="0"/>
    <n v="1"/>
    <n v="0"/>
    <n v="0"/>
    <n v="1"/>
    <x v="0"/>
    <b v="1"/>
    <s v="Guinea"/>
    <n v="7.4850096287525645"/>
    <n v="8.9017288876355476"/>
    <n v="6.64"/>
    <n v="6.0603703338540411"/>
    <n v="14.409554161257576"/>
    <n v="13.053290667041477"/>
    <n v="13.545379962606606"/>
    <n v="23.311283048893124"/>
    <n v="19.693290667041477"/>
  </r>
  <r>
    <s v="Guinea-Bissau"/>
    <n v="1234"/>
    <n v="2097"/>
    <n v="2711.7219264892269"/>
    <n v="496"/>
    <n v="6168"/>
    <n v="6478.7930291508237"/>
    <n v="1730"/>
    <n v="8265"/>
    <n v="9190.5149556400502"/>
    <s v="GNB"/>
    <s v="Guinea-Bissau"/>
    <x v="2"/>
    <n v="0"/>
    <n v="0"/>
    <n v="0"/>
    <n v="1"/>
    <n v="0"/>
    <n v="0"/>
    <n v="1"/>
    <x v="0"/>
    <b v="1"/>
    <s v="Guinea-Bissau"/>
    <n v="7.2684328251615025"/>
    <n v="10.893763982473359"/>
    <n v="12.878829589909351"/>
    <n v="2.921509466191333"/>
    <n v="32.016341165466521"/>
    <n v="30.758335221751548"/>
    <n v="10.189942291352835"/>
    <n v="42.910105147939873"/>
    <n v="43.637164811660909"/>
  </r>
  <r>
    <s v="Kenya"/>
    <n v="52221"/>
    <n v="72002"/>
    <n v="132496"/>
    <n v="13628"/>
    <n v="92554"/>
    <n v="153549.56215030918"/>
    <n v="65849"/>
    <n v="164556"/>
    <n v="286045.56215030921"/>
    <s v="KEN"/>
    <s v="Kenya"/>
    <x v="0"/>
    <n v="1"/>
    <n v="0"/>
    <n v="0"/>
    <n v="1"/>
    <n v="1"/>
    <n v="1"/>
    <n v="0"/>
    <x v="0"/>
    <b v="1"/>
    <s v="Kenya"/>
    <n v="11.658459316104921"/>
    <n v="14.413861393432555"/>
    <n v="24.523813221222014"/>
    <n v="3.0424825943562523"/>
    <n v="18.43441627004292"/>
    <n v="28.237952683290491"/>
    <n v="14.700941910461173"/>
    <n v="32.848277663475471"/>
    <n v="52.761765904512501"/>
  </r>
  <r>
    <s v="Lesotho"/>
    <n v="0"/>
    <n v="11621"/>
    <n v="5301.8248879810226"/>
    <n v="216"/>
    <n v="25051"/>
    <n v="23691.187434106483"/>
    <n v="216"/>
    <n v="36672"/>
    <n v="28993.012322087507"/>
    <s v="LSO"/>
    <s v="Lesotho"/>
    <x v="0"/>
    <n v="0"/>
    <n v="0"/>
    <n v="0"/>
    <n v="0"/>
    <n v="0"/>
    <n v="0"/>
    <n v="0"/>
    <x v="1"/>
    <b v="1"/>
    <s v="Lesotho"/>
    <n v="0"/>
    <n v="52.870382713145531"/>
    <n v="22.993174843373964"/>
    <n v="1.0414966499729863"/>
    <n v="113.92541549951613"/>
    <n v="102.68854878266576"/>
    <n v="1.0414966499729863"/>
    <n v="166.79579821266168"/>
    <n v="125.68172362603974"/>
  </r>
  <r>
    <s v="Liberia"/>
    <n v="974"/>
    <n v="11203"/>
    <n v="7129.2714053614945"/>
    <n v="2036"/>
    <n v="13864"/>
    <n v="23098"/>
    <n v="3010"/>
    <n v="25067"/>
    <n v="30227.271405361495"/>
    <s v="LBR"/>
    <s v="Liberia"/>
    <x v="2"/>
    <n v="0"/>
    <n v="0"/>
    <n v="0"/>
    <n v="1"/>
    <n v="0"/>
    <n v="0"/>
    <n v="1"/>
    <x v="0"/>
    <b v="1"/>
    <s v="Liberia"/>
    <n v="2.1999802363171792"/>
    <n v="22.91287401641636"/>
    <n v="13.444654516010845"/>
    <n v="4.5987266541496687"/>
    <n v="28.355269603105992"/>
    <n v="43.559097746969861"/>
    <n v="6.798706890466848"/>
    <n v="51.268143619522348"/>
    <n v="57.003752262980719"/>
  </r>
  <r>
    <s v="Madagascar"/>
    <n v="10489"/>
    <n v="14669"/>
    <n v="14098.287215047239"/>
    <n v="174"/>
    <n v="44152"/>
    <n v="50968.375262199879"/>
    <n v="10663"/>
    <n v="58821"/>
    <n v="65066.662477247119"/>
    <s v="MDG"/>
    <s v="Madagascar"/>
    <x v="2"/>
    <n v="1"/>
    <n v="0"/>
    <n v="0"/>
    <n v="0"/>
    <n v="0"/>
    <n v="0"/>
    <n v="0"/>
    <x v="1"/>
    <b v="1"/>
    <s v="Madagascar"/>
    <n v="4.4467387300620373"/>
    <n v="5.4640186234792782"/>
    <n v="4.761050716296678"/>
    <n v="7.376609200407995E-2"/>
    <n v="16.426697204678998"/>
    <n v="17.207717189217753"/>
    <n v="4.5205048220661173"/>
    <n v="21.890715828158275"/>
    <n v="21.968767905514429"/>
  </r>
  <r>
    <s v="Malawi"/>
    <n v="3963"/>
    <n v="11568"/>
    <n v="12418.378918345705"/>
    <n v="0"/>
    <n v="14833"/>
    <n v="26223.507613997885"/>
    <n v="3963"/>
    <n v="26401"/>
    <n v="38641.886532343589"/>
    <s v="MWI"/>
    <s v="Malawi"/>
    <x v="2"/>
    <n v="1"/>
    <n v="0"/>
    <n v="0"/>
    <n v="0"/>
    <n v="0"/>
    <n v="0"/>
    <n v="0"/>
    <x v="1"/>
    <b v="1"/>
    <s v="Malawi"/>
    <n v="2.4730455662233775"/>
    <n v="6.2979495241776151"/>
    <n v="6.0858545949756246"/>
    <n v="0"/>
    <n v="8.0755087562350063"/>
    <n v="12.845430559235803"/>
    <n v="2.4730455662233775"/>
    <n v="14.373458280412622"/>
    <n v="18.931285154211427"/>
  </r>
  <r>
    <s v="Mali"/>
    <n v="8189"/>
    <n v="12833"/>
    <n v="14537.005004448398"/>
    <n v="0"/>
    <n v="14277"/>
    <n v="23767"/>
    <n v="8189"/>
    <n v="27110"/>
    <n v="38304.005004448394"/>
    <s v="MLI"/>
    <s v="Mali"/>
    <x v="2"/>
    <n v="0"/>
    <n v="0"/>
    <n v="0"/>
    <n v="1"/>
    <n v="0"/>
    <n v="0"/>
    <n v="1"/>
    <x v="0"/>
    <b v="1"/>
    <s v="Mali"/>
    <n v="4.8159164598162238"/>
    <n v="6.4376483184910729"/>
    <n v="6.4341278578313545"/>
    <n v="0"/>
    <n v="7.1545032586550068"/>
    <n v="10.512715984650592"/>
    <n v="4.8159164598162238"/>
    <n v="13.592151577146081"/>
    <n v="16.946843842481947"/>
  </r>
  <r>
    <s v="Mauritania"/>
    <n v="4836"/>
    <n v="6798"/>
    <n v="9374.9877300613498"/>
    <n v="244"/>
    <n v="11463"/>
    <n v="11463"/>
    <n v="5080"/>
    <n v="18261"/>
    <n v="20837.987730061352"/>
    <s v="MRT"/>
    <s v="Mauritania"/>
    <x v="0"/>
    <n v="0"/>
    <n v="1"/>
    <n v="0"/>
    <n v="1"/>
    <n v="0"/>
    <n v="0"/>
    <n v="0"/>
    <x v="0"/>
    <b v="1"/>
    <s v="Mauritania"/>
    <n v="12.920259078445698"/>
    <n v="15.917722374831463"/>
    <n v="19.794578938796668"/>
    <n v="0.65189065656343048"/>
    <n v="26.819887037558036"/>
    <n v="24.184256416460755"/>
    <n v="13.572149735009129"/>
    <n v="42.737609412389503"/>
    <n v="43.978835355257424"/>
  </r>
  <r>
    <s v="Mauritius"/>
    <n v="6820"/>
    <n v="9444"/>
    <n v="7846.7053175775491"/>
    <n v="0"/>
    <n v="6377"/>
    <n v="7398.441318651805"/>
    <n v="6820"/>
    <n v="15821"/>
    <n v="15245.146636229354"/>
    <s v="MUS"/>
    <s v="Mauritius"/>
    <x v="1"/>
    <n v="1"/>
    <n v="0"/>
    <n v="0"/>
    <n v="0"/>
    <n v="0"/>
    <n v="0"/>
    <n v="0"/>
    <x v="1"/>
    <b v="1"/>
    <s v="Mauritius"/>
    <n v="52.839892414260113"/>
    <n v="72.905163459567675"/>
    <n v="60.383936189147697"/>
    <n v="0"/>
    <n v="49.136103919964881"/>
    <n v="56.818910790883159"/>
    <n v="52.839892414260113"/>
    <n v="122.04126737953257"/>
    <n v="117.20284698003086"/>
  </r>
  <r>
    <s v="Mozambique"/>
    <n v="14014"/>
    <n v="19598"/>
    <n v="40757"/>
    <n v="5346"/>
    <n v="76726"/>
    <n v="139367.37244750268"/>
    <n v="19360"/>
    <n v="96324"/>
    <n v="180124.37244750268"/>
    <s v="MOZ"/>
    <s v="Mozambique"/>
    <x v="2"/>
    <n v="0"/>
    <n v="0"/>
    <n v="0"/>
    <n v="0"/>
    <n v="0"/>
    <n v="0"/>
    <n v="0"/>
    <x v="1"/>
    <b v="1"/>
    <s v="Mozambique"/>
    <n v="5.5497185519677856"/>
    <n v="6.6605767149290012"/>
    <n v="12.362024638000094"/>
    <n v="2.099658039284515"/>
    <n v="25.972782615996739"/>
    <n v="42.24648380749376"/>
    <n v="7.6493765912523006"/>
    <n v="32.633359330925742"/>
    <n v="54.608508445493854"/>
  </r>
  <r>
    <s v="Namibia"/>
    <n v="4178"/>
    <n v="15602"/>
    <n v="18610.859009360374"/>
    <n v="0"/>
    <n v="10043"/>
    <n v="8448.3207878315116"/>
    <n v="4178"/>
    <n v="25645"/>
    <n v="27059.179797191886"/>
    <s v="NAM"/>
    <s v="Namibia"/>
    <x v="1"/>
    <n v="0"/>
    <n v="0"/>
    <n v="0"/>
    <n v="0"/>
    <n v="0"/>
    <n v="0"/>
    <n v="0"/>
    <x v="1"/>
    <b v="1"/>
    <s v="Namibia"/>
    <n v="18.952057373293837"/>
    <n v="64.854830057441106"/>
    <n v="72.50007161772831"/>
    <n v="0"/>
    <n v="39.793314199454151"/>
    <n v="32.852091573059646"/>
    <n v="18.952057373293837"/>
    <n v="104.64814425689526"/>
    <n v="105.35216319078796"/>
  </r>
  <r>
    <s v="Niger"/>
    <n v="5477"/>
    <n v="6168"/>
    <n v="6176.8688034042616"/>
    <n v="6560"/>
    <n v="3596"/>
    <n v="6818.3026251918564"/>
    <n v="12037"/>
    <n v="9764"/>
    <n v="12995.171428596117"/>
    <s v="NER"/>
    <s v="Niger"/>
    <x v="2"/>
    <n v="0"/>
    <n v="0"/>
    <n v="0"/>
    <n v="1"/>
    <n v="0"/>
    <n v="0"/>
    <n v="1"/>
    <x v="0"/>
    <b v="1"/>
    <s v="Niger"/>
    <n v="2.9362255771784778"/>
    <n v="2.731976858986676"/>
    <n v="2.3568659730003425"/>
    <n v="3.5168230393081639"/>
    <n v="1.5878951101600574"/>
    <n v="2.5989823492576525"/>
    <n v="6.4530486164866421"/>
    <n v="4.3198719691467335"/>
    <n v="4.955848322257995"/>
  </r>
  <r>
    <s v="Nigeria"/>
    <n v="261989"/>
    <n v="441434"/>
    <n v="495915.88729767234"/>
    <n v="331077"/>
    <n v="537756"/>
    <n v="303916.69881769194"/>
    <n v="593066"/>
    <n v="979190"/>
    <n v="799832.58611536422"/>
    <s v="NGA"/>
    <s v="Nigeria"/>
    <x v="0"/>
    <n v="0"/>
    <n v="0"/>
    <n v="0"/>
    <n v="1"/>
    <n v="0"/>
    <n v="0"/>
    <n v="1"/>
    <x v="0"/>
    <b v="1"/>
    <s v="Nigeria"/>
    <n v="14.994266155054937"/>
    <n v="22.251085637910265"/>
    <n v="22.692099302180001"/>
    <n v="18.948340028845195"/>
    <n v="26.795572759104093"/>
    <n v="13.891883050958661"/>
    <n v="33.942606183900139"/>
    <n v="49.046658397014362"/>
    <n v="36.583982353138666"/>
  </r>
  <r>
    <s v="Rwanda"/>
    <n v="11592"/>
    <n v="17779"/>
    <n v="18462.239749316621"/>
    <n v="2695"/>
    <n v="49680"/>
    <n v="63680"/>
    <n v="14287"/>
    <n v="67459"/>
    <n v="82142.239749316621"/>
    <s v="RWA"/>
    <s v="Rwanda"/>
    <x v="2"/>
    <n v="1"/>
    <n v="0"/>
    <n v="0"/>
    <n v="0"/>
    <n v="1"/>
    <n v="0"/>
    <n v="0"/>
    <x v="0"/>
    <b v="1"/>
    <s v="Rwanda"/>
    <n v="10.441973743822771"/>
    <n v="14.187099506595519"/>
    <n v="13.401063461919398"/>
    <n v="2.4069145827721221"/>
    <n v="39.643124106398872"/>
    <n v="46.22297905575703"/>
    <n v="12.848888326594892"/>
    <n v="53.830223612994395"/>
    <n v="59.624042517676429"/>
  </r>
  <r>
    <s v="Sao Tome and Principe"/>
    <n v="536"/>
    <n v="559"/>
    <n v="613.28457017504911"/>
    <n v="28"/>
    <n v="1105"/>
    <n v="828.14730820859995"/>
    <n v="564"/>
    <n v="1664"/>
    <n v="1441.4318783836491"/>
    <s v="STP"/>
    <s v="Sao Tome and Principe"/>
    <x v="0"/>
    <n v="0"/>
    <n v="0"/>
    <n v="1"/>
    <n v="1"/>
    <n v="0"/>
    <n v="0"/>
    <n v="0"/>
    <x v="0"/>
    <b v="1"/>
    <s v="Sao Tome and Principe"/>
    <n v="27.663516672946013"/>
    <n v="26.449769096827922"/>
    <n v="26.971849712707133"/>
    <n v="1.4451090799300157"/>
    <n v="52.284427284427281"/>
    <n v="36.42137080117601"/>
    <n v="29.10862575287603"/>
    <n v="78.734196381255202"/>
    <n v="63.393220513883151"/>
  </r>
  <r>
    <s v="Senegal"/>
    <n v="6196"/>
    <n v="10926"/>
    <n v="11285.434623393408"/>
    <n v="4932"/>
    <n v="34349"/>
    <n v="29939.877575931641"/>
    <n v="11128"/>
    <n v="45275"/>
    <n v="41225.312199325053"/>
    <s v="SEN"/>
    <s v="Senegal"/>
    <x v="0"/>
    <n v="0"/>
    <n v="0"/>
    <n v="0"/>
    <n v="1"/>
    <n v="0"/>
    <n v="0"/>
    <n v="1"/>
    <x v="0"/>
    <b v="1"/>
    <s v="Senegal"/>
    <n v="4.5573683566159886"/>
    <n v="7.0151292697761525"/>
    <n v="6.5171760234407232"/>
    <n v="3.62765344332312"/>
    <n v="21.98985560686101"/>
    <n v="17.279709823939974"/>
    <n v="8.1850217999391077"/>
    <n v="29.00498487663717"/>
    <n v="23.796885847380697"/>
  </r>
  <r>
    <s v="Seychelles"/>
    <n v="530"/>
    <n v="2020"/>
    <n v="2592.4178512700573"/>
    <n v="0"/>
    <n v="525"/>
    <n v="594.28457017504911"/>
    <n v="530"/>
    <n v="2545"/>
    <n v="3186.7024214451067"/>
    <s v="SYC"/>
    <s v="Seychelles"/>
    <x v="1"/>
    <n v="1"/>
    <n v="0"/>
    <n v="0"/>
    <n v="0"/>
    <n v="0"/>
    <n v="0"/>
    <n v="0"/>
    <x v="1"/>
    <b v="1"/>
    <s v="Seychelles"/>
    <n v="54.800752734867757"/>
    <n v="195.92438482652926"/>
    <n v="242.01401730513936"/>
    <n v="0"/>
    <n v="50.726957061522185"/>
    <n v="54.452272032846714"/>
    <n v="54.800752734867757"/>
    <n v="246.65134188805143"/>
    <n v="296.4662893379861"/>
  </r>
  <r>
    <s v="Sierra Leone"/>
    <n v="8293"/>
    <n v="7320"/>
    <n v="20252.811629184373"/>
    <n v="4557"/>
    <n v="2288"/>
    <n v="18898.61224042462"/>
    <n v="12850"/>
    <n v="9608"/>
    <n v="39151.423869608989"/>
    <s v="SLE"/>
    <s v="Sierra Leone"/>
    <x v="2"/>
    <n v="0"/>
    <n v="0"/>
    <n v="0"/>
    <n v="1"/>
    <n v="0"/>
    <n v="0"/>
    <n v="1"/>
    <x v="0"/>
    <b v="1"/>
    <s v="Sierra Leone"/>
    <n v="11.906918137676456"/>
    <n v="9.3114595445704076"/>
    <n v="23.534133501916237"/>
    <n v="6.5428464914254931"/>
    <n v="2.747643800037169"/>
    <n v="21.943167738064904"/>
    <n v="18.449764629101949"/>
    <n v="12.059103344607577"/>
    <n v="45.477301239981145"/>
  </r>
  <r>
    <s v="South Africa"/>
    <n v="90079"/>
    <n v="354250"/>
    <n v="468293.95185969712"/>
    <n v="23469"/>
    <n v="214207"/>
    <n v="191862.74170800057"/>
    <n v="113548"/>
    <n v="568457"/>
    <n v="660156.69356769766"/>
    <s v="ZAF"/>
    <s v="South Africa"/>
    <x v="1"/>
    <n v="0"/>
    <n v="0"/>
    <n v="0"/>
    <n v="0"/>
    <n v="0"/>
    <n v="0"/>
    <n v="0"/>
    <x v="1"/>
    <b v="1"/>
    <s v="South Africa"/>
    <n v="16.720429532704841"/>
    <n v="61.781000175533016"/>
    <n v="78.187272031248852"/>
    <n v="4.3563068051715703"/>
    <n v="36.776829849021532"/>
    <n v="31.953268649492806"/>
    <n v="21.076736337876412"/>
    <n v="98.557830024554548"/>
    <n v="110.14054068074168"/>
  </r>
  <r>
    <s v="South Sudan"/>
    <n v="0"/>
    <n v="6413"/>
    <n v="8616.9328736015086"/>
    <n v="0"/>
    <n v="10147"/>
    <n v="12908"/>
    <n v="0"/>
    <n v="16560"/>
    <n v="21524.932873601509"/>
    <s v="SSD"/>
    <s v="South Sudan"/>
    <x v="2"/>
    <n v="0"/>
    <n v="0"/>
    <n v="0"/>
    <n v="0"/>
    <n v="1"/>
    <n v="1"/>
    <n v="0"/>
    <x v="0"/>
    <b v="1"/>
    <s v="South Sudan"/>
    <n v="0"/>
    <n v="6.1691166210748785"/>
    <n v="7.8959074273939986"/>
    <n v="0"/>
    <n v="9.7409129744276033"/>
    <n v="11.808674908975751"/>
    <n v="0"/>
    <n v="15.910029595502481"/>
    <n v="19.70458233636975"/>
  </r>
  <r>
    <s v="Tanzania"/>
    <n v="23402"/>
    <n v="39366"/>
    <n v="49814.905399934454"/>
    <n v="15093"/>
    <n v="69773"/>
    <n v="138070.13653100963"/>
    <n v="38495"/>
    <n v="109139"/>
    <n v="187885.04193094408"/>
    <s v="TZA"/>
    <s v="Tanzania"/>
    <x v="0"/>
    <n v="0"/>
    <n v="0"/>
    <n v="0"/>
    <n v="0"/>
    <n v="1"/>
    <n v="0"/>
    <n v="0"/>
    <x v="1"/>
    <b v="1"/>
    <s v="Tanzania"/>
    <n v="4.7513236254288476"/>
    <n v="6.7766740907794407"/>
    <n v="7.605590561668536"/>
    <n v="3.0521599889356406"/>
    <n v="11.995776998980709"/>
    <n v="21.077761406905779"/>
    <n v="7.8034836143644881"/>
    <n v="18.77245108976015"/>
    <n v="28.683351968574311"/>
  </r>
  <r>
    <s v="Togo"/>
    <n v="2532"/>
    <n v="4137"/>
    <n v="5574.9682728198168"/>
    <n v="638"/>
    <n v="22503"/>
    <n v="21202.2429589413"/>
    <n v="3170"/>
    <n v="26640"/>
    <n v="26777.211231761117"/>
    <s v="TGO"/>
    <s v="Togo"/>
    <x v="2"/>
    <n v="0"/>
    <n v="0"/>
    <n v="0"/>
    <n v="1"/>
    <n v="0"/>
    <n v="0"/>
    <n v="1"/>
    <x v="0"/>
    <b v="1"/>
    <s v="Togo"/>
    <n v="3.5630712154083408"/>
    <n v="5.1412514405011063"/>
    <n v="6.3003257177536511"/>
    <n v="0.89780388445123283"/>
    <n v="27.897223189840187"/>
    <n v="23.934903744456289"/>
    <n v="4.4608750998595736"/>
    <n v="33.038474630341284"/>
    <n v="30.235229462209936"/>
  </r>
  <r>
    <s v="Uganda"/>
    <n v="51995"/>
    <n v="77940"/>
    <n v="121325.78132796781"/>
    <n v="207921"/>
    <n v="190898"/>
    <n v="215143.86052313884"/>
    <n v="259916"/>
    <n v="268838"/>
    <n v="336469.64185110666"/>
    <s v="UGA"/>
    <s v="Uganda"/>
    <x v="2"/>
    <n v="1"/>
    <n v="0"/>
    <n v="0"/>
    <n v="0"/>
    <n v="1"/>
    <n v="1"/>
    <n v="0"/>
    <x v="0"/>
    <b v="1"/>
    <s v="Uganda"/>
    <n v="14.740498339124736"/>
    <n v="18.773758505730214"/>
    <n v="25.677639566139653"/>
    <n v="58.880912819428268"/>
    <n v="45.975234006565493"/>
    <n v="45.262166963612259"/>
    <n v="73.621411158553016"/>
    <n v="64.7489925122957"/>
    <n v="70.939806529751905"/>
  </r>
  <r>
    <s v="Zambia"/>
    <n v="4278"/>
    <n v="30782"/>
    <n v="69982"/>
    <n v="5507"/>
    <n v="32379"/>
    <n v="42023.819684990805"/>
    <n v="9785"/>
    <n v="63161"/>
    <n v="112005.8196849908"/>
    <s v="ZMB"/>
    <s v="Zambia"/>
    <x v="0"/>
    <n v="1"/>
    <n v="0"/>
    <n v="0"/>
    <n v="0"/>
    <n v="0"/>
    <n v="0"/>
    <n v="0"/>
    <x v="1"/>
    <b v="1"/>
    <s v="Zambia"/>
    <n v="2.8080123001178361"/>
    <n v="17.258457426269619"/>
    <n v="34.960104008082851"/>
    <n v="3.5799203096873948"/>
    <n v="18.153842927853422"/>
    <n v="20.979369324854559"/>
    <n v="6.3879326098052314"/>
    <n v="35.412300354123047"/>
    <n v="55.939473332937403"/>
  </r>
  <r>
    <s v="Zimbabwe"/>
    <n v="21148"/>
    <n v="35628"/>
    <n v="62258.419764351172"/>
    <n v="15850"/>
    <n v="36886"/>
    <n v="42581.173443884632"/>
    <n v="36998"/>
    <n v="72514"/>
    <n v="104839.5932082358"/>
    <s v="ZWE"/>
    <s v="Zimbabwe"/>
    <x v="0"/>
    <n v="1"/>
    <n v="0"/>
    <n v="0"/>
    <n v="0"/>
    <n v="0"/>
    <n v="0"/>
    <n v="0"/>
    <x v="1"/>
    <b v="1"/>
    <s v="Zimbabwe"/>
    <n v="15.601137891580859"/>
    <n v="23.66965484875815"/>
    <n v="38.14728630825762"/>
    <n v="11.673558066785303"/>
    <n v="24.478839748437824"/>
    <n v="25.895700272536768"/>
    <n v="27.274695958366152"/>
    <n v="48.14849459719597"/>
    <n v="64.0429865807943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14FE1-8815-4AFC-A29A-651D3193CEB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7" firstHeaderRow="1" firstDataRow="1" firstDataCol="1"/>
  <pivotFields count="22"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9086B-0CEB-43AC-91B8-C2F6EF8EDE7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32"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dataField="1"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 Density per 10,000 (2013)" fld="23" subtotal="average" baseField="0" baseItem="0"/>
    <dataField name="Average of  Density per 10,000 (2018)" fld="24" subtotal="average" baseField="0" baseItem="0"/>
    <dataField name="Average of  Density per 10,000 (2022)" fld="2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5FF8D-6883-422F-B1C5-B15F025D03E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" firstHeaderRow="0" firstDataRow="1" firstDataCol="1"/>
  <pivotFields count="32">
    <pivotField showAll="0"/>
    <pivotField dataField="1" numFmtId="1" showAll="0"/>
    <pivotField dataField="1" numFmtId="1" showAll="0"/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</pivotFields>
  <rowFields count="1">
    <field x="2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tock 2013" fld="1" baseField="0" baseItem="0"/>
    <dataField name="Sum of Stock 2018" fld="2" baseField="0" baseItem="0"/>
    <dataField name="Sum of Stock 2022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A709B-6D3D-4103-8D1A-416E39D0460F}">
  <dimension ref="B1:I39"/>
  <sheetViews>
    <sheetView topLeftCell="D7" workbookViewId="0">
      <selection activeCell="I19" sqref="I19"/>
    </sheetView>
  </sheetViews>
  <sheetFormatPr defaultRowHeight="14.5" x14ac:dyDescent="0.35"/>
  <cols>
    <col min="2" max="2" width="43.6328125" bestFit="1" customWidth="1"/>
    <col min="4" max="4" width="43.6328125" bestFit="1" customWidth="1"/>
    <col min="6" max="6" width="43.6328125" bestFit="1" customWidth="1"/>
    <col min="9" max="9" width="50.26953125" bestFit="1" customWidth="1"/>
  </cols>
  <sheetData>
    <row r="1" spans="2:9" x14ac:dyDescent="0.35">
      <c r="B1" t="s">
        <v>33</v>
      </c>
    </row>
    <row r="2" spans="2:9" x14ac:dyDescent="0.35">
      <c r="B2" s="1" t="s">
        <v>0</v>
      </c>
      <c r="D2" s="1" t="s">
        <v>34</v>
      </c>
      <c r="F2" s="1" t="s">
        <v>34</v>
      </c>
      <c r="I2" s="2" t="s">
        <v>39</v>
      </c>
    </row>
    <row r="3" spans="2:9" x14ac:dyDescent="0.35">
      <c r="B3" s="1" t="s">
        <v>1</v>
      </c>
      <c r="D3" s="1" t="s">
        <v>35</v>
      </c>
      <c r="F3" s="1" t="s">
        <v>35</v>
      </c>
      <c r="I3" s="2" t="s">
        <v>40</v>
      </c>
    </row>
    <row r="4" spans="2:9" x14ac:dyDescent="0.35">
      <c r="B4" s="1" t="s">
        <v>2</v>
      </c>
      <c r="D4" s="1" t="s">
        <v>36</v>
      </c>
      <c r="F4" s="1" t="s">
        <v>36</v>
      </c>
      <c r="I4" s="2" t="s">
        <v>41</v>
      </c>
    </row>
    <row r="5" spans="2:9" x14ac:dyDescent="0.35">
      <c r="B5" s="1" t="s">
        <v>3</v>
      </c>
      <c r="D5" s="1" t="s">
        <v>37</v>
      </c>
      <c r="F5" s="1" t="s">
        <v>37</v>
      </c>
      <c r="I5" s="2" t="s">
        <v>42</v>
      </c>
    </row>
    <row r="6" spans="2:9" x14ac:dyDescent="0.35">
      <c r="B6" s="1" t="s">
        <v>4</v>
      </c>
      <c r="D6" s="1" t="s">
        <v>38</v>
      </c>
      <c r="F6" s="1" t="s">
        <v>38</v>
      </c>
      <c r="I6" s="2" t="s">
        <v>43</v>
      </c>
    </row>
    <row r="7" spans="2:9" x14ac:dyDescent="0.35">
      <c r="B7" s="1" t="s">
        <v>5</v>
      </c>
      <c r="D7" s="1" t="s">
        <v>0</v>
      </c>
      <c r="F7" s="1" t="s">
        <v>0</v>
      </c>
      <c r="I7" s="2" t="s">
        <v>0</v>
      </c>
    </row>
    <row r="8" spans="2:9" x14ac:dyDescent="0.35">
      <c r="B8" s="1" t="s">
        <v>6</v>
      </c>
      <c r="D8" s="1" t="s">
        <v>1</v>
      </c>
      <c r="F8" s="1" t="s">
        <v>1</v>
      </c>
      <c r="I8" s="2" t="s">
        <v>1</v>
      </c>
    </row>
    <row r="9" spans="2:9" x14ac:dyDescent="0.35">
      <c r="B9" s="1" t="s">
        <v>7</v>
      </c>
      <c r="D9" s="1" t="s">
        <v>2</v>
      </c>
      <c r="F9" s="1" t="s">
        <v>2</v>
      </c>
      <c r="I9" s="2" t="s">
        <v>2</v>
      </c>
    </row>
    <row r="10" spans="2:9" x14ac:dyDescent="0.35">
      <c r="B10" s="1" t="s">
        <v>8</v>
      </c>
      <c r="D10" s="1" t="s">
        <v>3</v>
      </c>
      <c r="F10" s="1" t="s">
        <v>3</v>
      </c>
      <c r="I10" s="2" t="s">
        <v>3</v>
      </c>
    </row>
    <row r="11" spans="2:9" x14ac:dyDescent="0.35">
      <c r="B11" s="1" t="s">
        <v>9</v>
      </c>
      <c r="D11" s="1" t="s">
        <v>4</v>
      </c>
      <c r="F11" s="1" t="s">
        <v>4</v>
      </c>
      <c r="I11" s="2" t="s">
        <v>4</v>
      </c>
    </row>
    <row r="12" spans="2:9" x14ac:dyDescent="0.35">
      <c r="B12" s="1" t="s">
        <v>10</v>
      </c>
      <c r="D12" s="1" t="s">
        <v>5</v>
      </c>
      <c r="F12" s="1" t="s">
        <v>5</v>
      </c>
      <c r="I12" s="2" t="s">
        <v>5</v>
      </c>
    </row>
    <row r="13" spans="2:9" x14ac:dyDescent="0.35">
      <c r="B13" s="1" t="s">
        <v>11</v>
      </c>
      <c r="D13" s="1" t="s">
        <v>6</v>
      </c>
      <c r="F13" s="1" t="s">
        <v>6</v>
      </c>
      <c r="I13" s="2" t="s">
        <v>6</v>
      </c>
    </row>
    <row r="14" spans="2:9" x14ac:dyDescent="0.35">
      <c r="B14" s="1" t="s">
        <v>12</v>
      </c>
      <c r="D14" s="1" t="s">
        <v>7</v>
      </c>
      <c r="F14" s="1" t="s">
        <v>7</v>
      </c>
      <c r="I14" s="2" t="s">
        <v>7</v>
      </c>
    </row>
    <row r="15" spans="2:9" x14ac:dyDescent="0.35">
      <c r="B15" s="1" t="s">
        <v>13</v>
      </c>
      <c r="D15" s="1" t="s">
        <v>8</v>
      </c>
      <c r="F15" s="1" t="s">
        <v>8</v>
      </c>
      <c r="I15" s="2" t="s">
        <v>8</v>
      </c>
    </row>
    <row r="16" spans="2:9" x14ac:dyDescent="0.35">
      <c r="B16" s="1" t="s">
        <v>14</v>
      </c>
      <c r="D16" s="1" t="s">
        <v>9</v>
      </c>
      <c r="F16" s="1" t="s">
        <v>9</v>
      </c>
      <c r="I16" s="2" t="s">
        <v>9</v>
      </c>
    </row>
    <row r="17" spans="2:9" x14ac:dyDescent="0.35">
      <c r="B17" s="1" t="s">
        <v>15</v>
      </c>
      <c r="D17" s="1" t="s">
        <v>10</v>
      </c>
      <c r="F17" s="1" t="s">
        <v>10</v>
      </c>
      <c r="I17" s="2" t="s">
        <v>10</v>
      </c>
    </row>
    <row r="18" spans="2:9" x14ac:dyDescent="0.35">
      <c r="B18" s="1" t="s">
        <v>16</v>
      </c>
      <c r="D18" s="1" t="s">
        <v>11</v>
      </c>
      <c r="F18" s="1" t="s">
        <v>11</v>
      </c>
      <c r="I18" s="2" t="s">
        <v>11</v>
      </c>
    </row>
    <row r="19" spans="2:9" x14ac:dyDescent="0.35">
      <c r="B19" s="1" t="s">
        <v>17</v>
      </c>
      <c r="D19" s="1" t="s">
        <v>12</v>
      </c>
      <c r="F19" s="1" t="s">
        <v>12</v>
      </c>
      <c r="I19" s="2" t="s">
        <v>12</v>
      </c>
    </row>
    <row r="20" spans="2:9" x14ac:dyDescent="0.35">
      <c r="B20" s="1" t="s">
        <v>18</v>
      </c>
      <c r="D20" s="1" t="s">
        <v>13</v>
      </c>
      <c r="F20" s="1" t="s">
        <v>13</v>
      </c>
      <c r="I20" s="2" t="s">
        <v>13</v>
      </c>
    </row>
    <row r="21" spans="2:9" x14ac:dyDescent="0.35">
      <c r="B21" s="1" t="s">
        <v>19</v>
      </c>
      <c r="D21" s="1" t="s">
        <v>14</v>
      </c>
      <c r="F21" s="1" t="s">
        <v>14</v>
      </c>
      <c r="I21" s="2" t="s">
        <v>14</v>
      </c>
    </row>
    <row r="22" spans="2:9" x14ac:dyDescent="0.35">
      <c r="B22" s="1" t="s">
        <v>20</v>
      </c>
      <c r="D22" s="1" t="s">
        <v>15</v>
      </c>
      <c r="F22" s="1" t="s">
        <v>15</v>
      </c>
      <c r="I22" s="2" t="s">
        <v>15</v>
      </c>
    </row>
    <row r="23" spans="2:9" x14ac:dyDescent="0.35">
      <c r="B23" s="1" t="s">
        <v>21</v>
      </c>
      <c r="D23" s="1" t="s">
        <v>16</v>
      </c>
      <c r="F23" s="1" t="s">
        <v>16</v>
      </c>
      <c r="I23" s="2" t="s">
        <v>16</v>
      </c>
    </row>
    <row r="24" spans="2:9" x14ac:dyDescent="0.35">
      <c r="B24" s="1" t="s">
        <v>22</v>
      </c>
      <c r="D24" s="1" t="s">
        <v>17</v>
      </c>
      <c r="F24" s="1" t="s">
        <v>17</v>
      </c>
      <c r="I24" s="2" t="s">
        <v>17</v>
      </c>
    </row>
    <row r="25" spans="2:9" x14ac:dyDescent="0.35">
      <c r="B25" s="1" t="s">
        <v>23</v>
      </c>
      <c r="D25" s="1" t="s">
        <v>18</v>
      </c>
      <c r="F25" s="1" t="s">
        <v>18</v>
      </c>
      <c r="I25" s="2" t="s">
        <v>18</v>
      </c>
    </row>
    <row r="26" spans="2:9" x14ac:dyDescent="0.35">
      <c r="B26" s="1" t="s">
        <v>24</v>
      </c>
      <c r="D26" s="1" t="s">
        <v>19</v>
      </c>
    </row>
    <row r="27" spans="2:9" x14ac:dyDescent="0.35">
      <c r="B27" s="1" t="s">
        <v>25</v>
      </c>
      <c r="D27" s="1" t="s">
        <v>20</v>
      </c>
    </row>
    <row r="28" spans="2:9" x14ac:dyDescent="0.35">
      <c r="B28" s="1" t="s">
        <v>26</v>
      </c>
      <c r="D28" s="1" t="s">
        <v>21</v>
      </c>
    </row>
    <row r="29" spans="2:9" x14ac:dyDescent="0.35">
      <c r="B29" s="1" t="s">
        <v>27</v>
      </c>
      <c r="D29" s="1" t="s">
        <v>22</v>
      </c>
    </row>
    <row r="30" spans="2:9" x14ac:dyDescent="0.35">
      <c r="B30" s="1" t="s">
        <v>28</v>
      </c>
      <c r="D30" s="1" t="s">
        <v>23</v>
      </c>
    </row>
    <row r="31" spans="2:9" x14ac:dyDescent="0.35">
      <c r="B31" s="1" t="s">
        <v>29</v>
      </c>
      <c r="D31" s="1" t="s">
        <v>24</v>
      </c>
    </row>
    <row r="32" spans="2:9" x14ac:dyDescent="0.35">
      <c r="B32" s="1" t="s">
        <v>30</v>
      </c>
      <c r="D32" s="1" t="s">
        <v>25</v>
      </c>
    </row>
    <row r="33" spans="2:4" x14ac:dyDescent="0.35">
      <c r="B33" s="1" t="s">
        <v>31</v>
      </c>
      <c r="D33" s="1" t="s">
        <v>26</v>
      </c>
    </row>
    <row r="34" spans="2:4" x14ac:dyDescent="0.35">
      <c r="B34" s="1" t="s">
        <v>32</v>
      </c>
      <c r="D34" s="1" t="s">
        <v>27</v>
      </c>
    </row>
    <row r="35" spans="2:4" x14ac:dyDescent="0.35">
      <c r="D35" s="1" t="s">
        <v>28</v>
      </c>
    </row>
    <row r="36" spans="2:4" x14ac:dyDescent="0.35">
      <c r="D36" s="1" t="s">
        <v>29</v>
      </c>
    </row>
    <row r="37" spans="2:4" x14ac:dyDescent="0.35">
      <c r="D37" s="1" t="s">
        <v>30</v>
      </c>
    </row>
    <row r="38" spans="2:4" x14ac:dyDescent="0.35">
      <c r="D38" s="1" t="s">
        <v>31</v>
      </c>
    </row>
    <row r="39" spans="2:4" x14ac:dyDescent="0.35">
      <c r="D39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B639A-9252-4B01-94B7-F26CF2F0CD8E}">
  <dimension ref="A1:P318"/>
  <sheetViews>
    <sheetView topLeftCell="N1" workbookViewId="0">
      <selection activeCell="D337" sqref="D337"/>
    </sheetView>
  </sheetViews>
  <sheetFormatPr defaultRowHeight="14.5" x14ac:dyDescent="0.35"/>
  <cols>
    <col min="1" max="1" width="34.26953125" bestFit="1" customWidth="1"/>
    <col min="2" max="3" width="9.36328125" bestFit="1" customWidth="1"/>
    <col min="4" max="4" width="10.36328125" bestFit="1" customWidth="1"/>
    <col min="5" max="5" width="9.81640625" bestFit="1" customWidth="1"/>
    <col min="6" max="6" width="12" bestFit="1" customWidth="1"/>
    <col min="7" max="8" width="13.54296875" bestFit="1" customWidth="1"/>
    <col min="13" max="13" width="9.81640625" bestFit="1" customWidth="1"/>
    <col min="14" max="14" width="8.81640625" bestFit="1" customWidth="1"/>
  </cols>
  <sheetData>
    <row r="1" spans="1:12" x14ac:dyDescent="0.35">
      <c r="B1" t="s">
        <v>97</v>
      </c>
    </row>
    <row r="3" spans="1:12" s="4" customFormat="1" ht="58" x14ac:dyDescent="0.35">
      <c r="A3" s="4" t="s">
        <v>93</v>
      </c>
      <c r="B3" s="4" t="s">
        <v>94</v>
      </c>
      <c r="C3" s="4" t="s">
        <v>95</v>
      </c>
      <c r="D3" s="4" t="s">
        <v>96</v>
      </c>
      <c r="E3" s="4" t="s">
        <v>204</v>
      </c>
      <c r="F3" s="4" t="s">
        <v>205</v>
      </c>
      <c r="G3" s="4" t="s">
        <v>206</v>
      </c>
      <c r="H3" s="4" t="s">
        <v>207</v>
      </c>
      <c r="I3" s="4" t="s">
        <v>208</v>
      </c>
      <c r="J3" s="4" t="s">
        <v>209</v>
      </c>
      <c r="K3" s="4" t="s">
        <v>210</v>
      </c>
      <c r="L3" s="4" t="s">
        <v>169</v>
      </c>
    </row>
    <row r="4" spans="1:12" x14ac:dyDescent="0.35">
      <c r="A4" t="s">
        <v>78</v>
      </c>
      <c r="B4" s="3">
        <v>2.8928013902601908</v>
      </c>
      <c r="C4" s="3">
        <v>2.6921133834178046</v>
      </c>
      <c r="D4" s="3">
        <v>2.3259582036922208</v>
      </c>
      <c r="E4">
        <v>44.5</v>
      </c>
      <c r="F4" s="3">
        <v>22.8</v>
      </c>
      <c r="G4" s="3">
        <f>D4-B4</f>
        <v>-0.56684318656796995</v>
      </c>
      <c r="H4" s="3">
        <f>D4-C4</f>
        <v>-0.36615517972558376</v>
      </c>
      <c r="I4" s="5">
        <f>G4/B4</f>
        <v>-0.19594956932628743</v>
      </c>
      <c r="J4" s="5">
        <f>H4/C4</f>
        <v>-0.13601031144562237</v>
      </c>
      <c r="K4" t="b">
        <f>D4&gt;E4</f>
        <v>0</v>
      </c>
      <c r="L4" t="b">
        <f>D4&gt;F4</f>
        <v>0</v>
      </c>
    </row>
    <row r="5" spans="1:12" x14ac:dyDescent="0.35">
      <c r="A5" t="s">
        <v>53</v>
      </c>
      <c r="B5" s="3">
        <v>2.4154446026630016</v>
      </c>
      <c r="C5" s="3">
        <v>3.8745539552247603</v>
      </c>
      <c r="D5" s="3">
        <v>2.3872297370504008</v>
      </c>
      <c r="E5">
        <v>44.5</v>
      </c>
      <c r="F5" s="3">
        <v>22.8</v>
      </c>
      <c r="G5" s="3">
        <f t="shared" ref="G5:G51" si="0">D5-B5</f>
        <v>-2.8214865612600892E-2</v>
      </c>
      <c r="H5" s="3">
        <f t="shared" ref="H5:H51" si="1">D5-C5</f>
        <v>-1.4873242181743596</v>
      </c>
      <c r="I5" s="5">
        <f t="shared" ref="I5:I51" si="2">G5/B5</f>
        <v>-1.1681023684622826E-2</v>
      </c>
      <c r="J5" s="5">
        <f t="shared" ref="J5:J51" si="3">H5/C5</f>
        <v>-0.38386979130042359</v>
      </c>
      <c r="K5" t="b">
        <f t="shared" ref="K5:K51" si="4">D5&gt;E5</f>
        <v>0</v>
      </c>
      <c r="L5" t="b">
        <f t="shared" ref="L5:L51" si="5">D5&gt;F5</f>
        <v>0</v>
      </c>
    </row>
    <row r="6" spans="1:12" x14ac:dyDescent="0.35">
      <c r="A6" t="s">
        <v>54</v>
      </c>
      <c r="B6" s="3">
        <v>3.5031261239275127</v>
      </c>
      <c r="C6" s="3">
        <v>4.1898949065668809</v>
      </c>
      <c r="D6" s="3">
        <v>3.2716188953202665</v>
      </c>
      <c r="E6">
        <v>44.5</v>
      </c>
      <c r="F6" s="3">
        <v>22.8</v>
      </c>
      <c r="G6" s="3">
        <f t="shared" si="0"/>
        <v>-0.23150722860724615</v>
      </c>
      <c r="H6" s="3">
        <f t="shared" si="1"/>
        <v>-0.9182760112466144</v>
      </c>
      <c r="I6" s="5">
        <f t="shared" si="2"/>
        <v>-6.6085895973306538E-2</v>
      </c>
      <c r="J6" s="5">
        <f t="shared" si="3"/>
        <v>-0.21916444963986748</v>
      </c>
      <c r="K6" t="b">
        <f t="shared" si="4"/>
        <v>0</v>
      </c>
      <c r="L6" t="b">
        <f t="shared" si="5"/>
        <v>0</v>
      </c>
    </row>
    <row r="7" spans="1:12" x14ac:dyDescent="0.35">
      <c r="A7" t="s">
        <v>66</v>
      </c>
      <c r="B7" s="3">
        <v>7.3565659589902852</v>
      </c>
      <c r="C7" s="3">
        <v>8.6404755702460996</v>
      </c>
      <c r="D7" s="3">
        <v>4.5119996321234597</v>
      </c>
      <c r="E7">
        <v>44.5</v>
      </c>
      <c r="F7" s="3">
        <v>22.8</v>
      </c>
      <c r="G7" s="3">
        <f t="shared" si="0"/>
        <v>-2.8445663268668255</v>
      </c>
      <c r="H7" s="3">
        <f t="shared" si="1"/>
        <v>-4.1284759381226399</v>
      </c>
      <c r="I7" s="5">
        <f t="shared" si="2"/>
        <v>-0.38667040338169584</v>
      </c>
      <c r="J7" s="5">
        <f t="shared" si="3"/>
        <v>-0.47780656337242</v>
      </c>
      <c r="K7" t="b">
        <f t="shared" si="4"/>
        <v>0</v>
      </c>
      <c r="L7" t="b">
        <f t="shared" si="5"/>
        <v>0</v>
      </c>
    </row>
    <row r="8" spans="1:12" x14ac:dyDescent="0.35">
      <c r="A8" t="s">
        <v>71</v>
      </c>
      <c r="B8" s="3">
        <v>4.392474018702714</v>
      </c>
      <c r="C8" s="3">
        <v>5.1343672169908219</v>
      </c>
      <c r="D8" s="3">
        <v>4.654914605753655</v>
      </c>
      <c r="E8">
        <v>44.5</v>
      </c>
      <c r="F8" s="3">
        <v>22.8</v>
      </c>
      <c r="G8" s="3">
        <f t="shared" si="0"/>
        <v>0.26244058705094098</v>
      </c>
      <c r="H8" s="3">
        <f t="shared" si="1"/>
        <v>-0.47945261123716687</v>
      </c>
      <c r="I8" s="5">
        <f t="shared" si="2"/>
        <v>5.9747783580163541E-2</v>
      </c>
      <c r="J8" s="5">
        <f t="shared" si="3"/>
        <v>-9.33810518364456E-2</v>
      </c>
      <c r="K8" t="b">
        <f t="shared" si="4"/>
        <v>0</v>
      </c>
      <c r="L8" t="b">
        <f t="shared" si="5"/>
        <v>0</v>
      </c>
    </row>
    <row r="9" spans="1:12" x14ac:dyDescent="0.35">
      <c r="A9" t="s">
        <v>72</v>
      </c>
      <c r="B9" s="3">
        <v>2.3669598366604268</v>
      </c>
      <c r="C9" s="3">
        <v>5.8346408238772041</v>
      </c>
      <c r="D9" s="3">
        <v>5.5434395125336913</v>
      </c>
      <c r="E9">
        <v>44.5</v>
      </c>
      <c r="F9" s="3">
        <v>22.8</v>
      </c>
      <c r="G9" s="3">
        <f t="shared" si="0"/>
        <v>3.1764796758732645</v>
      </c>
      <c r="H9" s="3">
        <f t="shared" si="1"/>
        <v>-0.29120131134351279</v>
      </c>
      <c r="I9" s="5">
        <f t="shared" si="2"/>
        <v>1.3420082701339788</v>
      </c>
      <c r="J9" s="5">
        <f t="shared" si="3"/>
        <v>-4.9909038128246819E-2</v>
      </c>
      <c r="K9" t="b">
        <f t="shared" si="4"/>
        <v>0</v>
      </c>
      <c r="L9" t="b">
        <f t="shared" si="5"/>
        <v>0</v>
      </c>
    </row>
    <row r="10" spans="1:12" x14ac:dyDescent="0.35">
      <c r="A10" t="s">
        <v>73</v>
      </c>
      <c r="B10" s="3">
        <v>4.8159164598162238</v>
      </c>
      <c r="C10" s="3">
        <v>5.6816648371565428</v>
      </c>
      <c r="D10" s="3">
        <v>5.5984926364175651</v>
      </c>
      <c r="E10">
        <v>44.5</v>
      </c>
      <c r="F10" s="3">
        <v>22.8</v>
      </c>
      <c r="G10" s="3">
        <f t="shared" si="0"/>
        <v>0.78257617660134127</v>
      </c>
      <c r="H10" s="3">
        <f t="shared" si="1"/>
        <v>-8.3172200738977686E-2</v>
      </c>
      <c r="I10" s="5">
        <f t="shared" si="2"/>
        <v>0.16249787203144395</v>
      </c>
      <c r="J10" s="5">
        <f t="shared" si="3"/>
        <v>-1.4638702409028797E-2</v>
      </c>
      <c r="K10" t="b">
        <f t="shared" si="4"/>
        <v>0</v>
      </c>
      <c r="L10" t="b">
        <f t="shared" si="5"/>
        <v>0</v>
      </c>
    </row>
    <row r="11" spans="1:12" x14ac:dyDescent="0.35">
      <c r="A11" t="s">
        <v>88</v>
      </c>
      <c r="B11" s="3">
        <v>3.5138186512143079</v>
      </c>
      <c r="C11" s="3">
        <v>4.7994955434409654</v>
      </c>
      <c r="D11" s="3">
        <v>5.9036930685343147</v>
      </c>
      <c r="E11">
        <v>44.5</v>
      </c>
      <c r="F11" s="3">
        <v>22.8</v>
      </c>
      <c r="G11" s="3">
        <f t="shared" si="0"/>
        <v>2.3898744173200068</v>
      </c>
      <c r="H11" s="3">
        <f t="shared" si="1"/>
        <v>1.1041975250933493</v>
      </c>
      <c r="I11" s="5">
        <f t="shared" si="2"/>
        <v>0.68013595877923649</v>
      </c>
      <c r="J11" s="5">
        <f t="shared" si="3"/>
        <v>0.23006532980374486</v>
      </c>
      <c r="K11" t="b">
        <f t="shared" si="4"/>
        <v>0</v>
      </c>
      <c r="L11" t="b">
        <f t="shared" si="5"/>
        <v>0</v>
      </c>
    </row>
    <row r="12" spans="1:12" x14ac:dyDescent="0.35">
      <c r="A12" t="s">
        <v>82</v>
      </c>
      <c r="B12" s="3">
        <v>4.1395850727945103</v>
      </c>
      <c r="C12" s="3">
        <v>6.7255609647542736</v>
      </c>
      <c r="D12" s="3">
        <v>6.108947758593815</v>
      </c>
      <c r="E12">
        <v>44.5</v>
      </c>
      <c r="F12" s="3">
        <v>22.8</v>
      </c>
      <c r="G12" s="3">
        <f t="shared" si="0"/>
        <v>1.9693626857993047</v>
      </c>
      <c r="H12" s="3">
        <f t="shared" si="1"/>
        <v>-0.61661320616045856</v>
      </c>
      <c r="I12" s="5">
        <f t="shared" si="2"/>
        <v>0.47573915046269283</v>
      </c>
      <c r="J12" s="5">
        <f t="shared" si="3"/>
        <v>-9.1682048440547781E-2</v>
      </c>
      <c r="K12" t="b">
        <f t="shared" si="4"/>
        <v>0</v>
      </c>
      <c r="L12" t="b">
        <f t="shared" si="5"/>
        <v>0</v>
      </c>
    </row>
    <row r="13" spans="1:12" x14ac:dyDescent="0.35">
      <c r="A13" t="s">
        <v>87</v>
      </c>
      <c r="B13" s="3">
        <v>4.5237262498154065</v>
      </c>
      <c r="C13" s="3">
        <v>5.9949620284355545</v>
      </c>
      <c r="D13" s="3">
        <v>6.2037247448568724</v>
      </c>
      <c r="E13">
        <v>44.5</v>
      </c>
      <c r="F13" s="3">
        <v>22.8</v>
      </c>
      <c r="G13" s="3">
        <f t="shared" si="0"/>
        <v>1.6799984950414659</v>
      </c>
      <c r="H13" s="3">
        <f t="shared" si="1"/>
        <v>0.20876271642131794</v>
      </c>
      <c r="I13" s="5">
        <f t="shared" si="2"/>
        <v>0.37137492462326149</v>
      </c>
      <c r="J13" s="5">
        <f t="shared" si="3"/>
        <v>3.48230256390459E-2</v>
      </c>
      <c r="K13" t="b">
        <f t="shared" si="4"/>
        <v>0</v>
      </c>
      <c r="L13" t="b">
        <f t="shared" si="5"/>
        <v>0</v>
      </c>
    </row>
    <row r="14" spans="1:12" x14ac:dyDescent="0.35">
      <c r="A14" t="s">
        <v>86</v>
      </c>
      <c r="B14" s="3"/>
      <c r="C14" s="3">
        <v>5.6265652762618057</v>
      </c>
      <c r="D14" s="3">
        <v>7.3360946163777347</v>
      </c>
      <c r="E14">
        <v>44.5</v>
      </c>
      <c r="F14" s="3">
        <v>22.8</v>
      </c>
      <c r="G14" s="3">
        <f t="shared" si="0"/>
        <v>7.3360946163777347</v>
      </c>
      <c r="H14" s="3">
        <f t="shared" si="1"/>
        <v>1.7095293401159291</v>
      </c>
      <c r="I14" s="5" t="e">
        <f t="shared" si="2"/>
        <v>#DIV/0!</v>
      </c>
      <c r="J14" s="5">
        <f t="shared" si="3"/>
        <v>0.30383177945670459</v>
      </c>
      <c r="K14" t="b">
        <f t="shared" si="4"/>
        <v>0</v>
      </c>
      <c r="L14" t="b">
        <f t="shared" si="5"/>
        <v>0</v>
      </c>
    </row>
    <row r="15" spans="1:12" x14ac:dyDescent="0.35">
      <c r="A15" t="s">
        <v>64</v>
      </c>
      <c r="B15" s="3">
        <v>13.450237767542902</v>
      </c>
      <c r="C15" s="3">
        <v>8.6546958371362877</v>
      </c>
      <c r="D15" s="3">
        <v>7.6950371510478712</v>
      </c>
      <c r="E15">
        <v>44.5</v>
      </c>
      <c r="F15" s="3">
        <v>22.8</v>
      </c>
      <c r="G15" s="3">
        <f t="shared" si="0"/>
        <v>-5.7552006164950305</v>
      </c>
      <c r="H15" s="3">
        <f t="shared" si="1"/>
        <v>-0.95965868608841642</v>
      </c>
      <c r="I15" s="5">
        <f t="shared" si="2"/>
        <v>-0.42788839245526544</v>
      </c>
      <c r="J15" s="5">
        <f t="shared" si="3"/>
        <v>-0.11088300549750497</v>
      </c>
      <c r="K15" t="b">
        <f t="shared" si="4"/>
        <v>0</v>
      </c>
      <c r="L15" t="b">
        <f t="shared" si="5"/>
        <v>0</v>
      </c>
    </row>
    <row r="16" spans="1:12" x14ac:dyDescent="0.35">
      <c r="A16" t="s">
        <v>51</v>
      </c>
      <c r="B16" s="3">
        <v>9.6718647797215773</v>
      </c>
      <c r="C16" s="3">
        <v>5.532615644537457</v>
      </c>
      <c r="D16" s="3">
        <v>7.8475241743670043</v>
      </c>
      <c r="E16">
        <v>44.5</v>
      </c>
      <c r="F16" s="3">
        <v>22.8</v>
      </c>
      <c r="G16" s="3">
        <f t="shared" si="0"/>
        <v>-1.824340605354573</v>
      </c>
      <c r="H16" s="3">
        <f t="shared" si="1"/>
        <v>2.3149085298295473</v>
      </c>
      <c r="I16" s="5">
        <f t="shared" si="2"/>
        <v>-0.18862346061532614</v>
      </c>
      <c r="J16" s="5">
        <f t="shared" si="3"/>
        <v>0.41841123232826349</v>
      </c>
      <c r="K16" t="b">
        <f t="shared" si="4"/>
        <v>0</v>
      </c>
      <c r="L16" t="b">
        <f t="shared" si="5"/>
        <v>0</v>
      </c>
    </row>
    <row r="17" spans="1:12" x14ac:dyDescent="0.35">
      <c r="A17" t="s">
        <v>47</v>
      </c>
      <c r="B17" s="3">
        <v>5.6486101756176508</v>
      </c>
      <c r="C17" s="3">
        <v>4.4997424142428715</v>
      </c>
      <c r="D17" s="3">
        <v>7.905420140578082</v>
      </c>
      <c r="E17">
        <v>44.5</v>
      </c>
      <c r="F17" s="3">
        <v>22.8</v>
      </c>
      <c r="G17" s="3">
        <f t="shared" si="0"/>
        <v>2.2568099649604312</v>
      </c>
      <c r="H17" s="3">
        <f t="shared" si="1"/>
        <v>3.4056777263352105</v>
      </c>
      <c r="I17" s="5">
        <f t="shared" si="2"/>
        <v>0.39953367196447731</v>
      </c>
      <c r="J17" s="5">
        <f t="shared" si="3"/>
        <v>0.75686059618776003</v>
      </c>
      <c r="K17" t="b">
        <f t="shared" si="4"/>
        <v>0</v>
      </c>
      <c r="L17" t="b">
        <f t="shared" si="5"/>
        <v>0</v>
      </c>
    </row>
    <row r="18" spans="1:12" x14ac:dyDescent="0.35">
      <c r="A18" t="s">
        <v>50</v>
      </c>
      <c r="B18" s="3">
        <v>7.056451364601136</v>
      </c>
      <c r="C18" s="3">
        <v>9.0486143330486115</v>
      </c>
      <c r="D18" s="3">
        <v>8.1970005510432156</v>
      </c>
      <c r="E18">
        <v>44.5</v>
      </c>
      <c r="F18" s="3">
        <v>22.8</v>
      </c>
      <c r="G18" s="3">
        <f t="shared" si="0"/>
        <v>1.1405491864420796</v>
      </c>
      <c r="H18" s="3">
        <f t="shared" si="1"/>
        <v>-0.85161378200539595</v>
      </c>
      <c r="I18" s="5">
        <f t="shared" si="2"/>
        <v>0.16163211896615245</v>
      </c>
      <c r="J18" s="5">
        <f t="shared" si="3"/>
        <v>-9.4115380616346223E-2</v>
      </c>
      <c r="K18" t="b">
        <f t="shared" si="4"/>
        <v>0</v>
      </c>
      <c r="L18" t="b">
        <f t="shared" si="5"/>
        <v>0</v>
      </c>
    </row>
    <row r="19" spans="1:12" x14ac:dyDescent="0.35">
      <c r="A19" t="s">
        <v>59</v>
      </c>
      <c r="B19" s="3">
        <v>0</v>
      </c>
      <c r="C19" s="3">
        <v>4.3406144033169749</v>
      </c>
      <c r="D19" s="3">
        <v>10.007213798082931</v>
      </c>
      <c r="E19">
        <v>44.5</v>
      </c>
      <c r="F19" s="3">
        <v>22.8</v>
      </c>
      <c r="G19" s="3">
        <f t="shared" si="0"/>
        <v>10.007213798082931</v>
      </c>
      <c r="H19" s="3">
        <f t="shared" si="1"/>
        <v>5.6665993947659565</v>
      </c>
      <c r="I19" s="5" t="e">
        <f t="shared" si="2"/>
        <v>#DIV/0!</v>
      </c>
      <c r="J19" s="5">
        <f t="shared" si="3"/>
        <v>1.30548324919986</v>
      </c>
      <c r="K19" t="b">
        <f t="shared" si="4"/>
        <v>0</v>
      </c>
      <c r="L19" t="b">
        <f t="shared" si="5"/>
        <v>0</v>
      </c>
    </row>
    <row r="20" spans="1:12" x14ac:dyDescent="0.35">
      <c r="A20" t="s">
        <v>76</v>
      </c>
      <c r="B20" s="3">
        <v>4.811155322381663</v>
      </c>
      <c r="C20" s="3">
        <v>5.6576497894388753</v>
      </c>
      <c r="D20" s="3">
        <v>11.001373890249562</v>
      </c>
      <c r="E20">
        <v>44.5</v>
      </c>
      <c r="F20" s="3">
        <v>22.8</v>
      </c>
      <c r="G20" s="3">
        <f t="shared" si="0"/>
        <v>6.1902185678678991</v>
      </c>
      <c r="H20" s="3">
        <f t="shared" si="1"/>
        <v>5.3437241008106868</v>
      </c>
      <c r="I20" s="5">
        <f t="shared" si="2"/>
        <v>1.2866386871924058</v>
      </c>
      <c r="J20" s="5">
        <f t="shared" si="3"/>
        <v>0.94451305748648617</v>
      </c>
      <c r="K20" t="b">
        <f t="shared" si="4"/>
        <v>0</v>
      </c>
      <c r="L20" t="b">
        <f t="shared" si="5"/>
        <v>0</v>
      </c>
    </row>
    <row r="21" spans="1:12" x14ac:dyDescent="0.35">
      <c r="A21" t="s">
        <v>57</v>
      </c>
      <c r="B21" s="3">
        <v>7.9535303053381696</v>
      </c>
      <c r="C21" s="3">
        <v>10.286738773730915</v>
      </c>
      <c r="D21" s="3">
        <v>11.710635712808925</v>
      </c>
      <c r="E21">
        <v>44.5</v>
      </c>
      <c r="F21" s="3">
        <v>22.8</v>
      </c>
      <c r="G21" s="3">
        <f t="shared" si="0"/>
        <v>3.7571054074707551</v>
      </c>
      <c r="H21" s="3">
        <f t="shared" si="1"/>
        <v>1.4238969390780092</v>
      </c>
      <c r="I21" s="5">
        <f t="shared" si="2"/>
        <v>0.472382107471081</v>
      </c>
      <c r="J21" s="5">
        <f t="shared" si="3"/>
        <v>0.13842063752160136</v>
      </c>
      <c r="K21" t="b">
        <f t="shared" si="4"/>
        <v>0</v>
      </c>
      <c r="L21" t="b">
        <f t="shared" si="5"/>
        <v>0</v>
      </c>
    </row>
    <row r="22" spans="1:12" x14ac:dyDescent="0.35">
      <c r="A22" t="s">
        <v>49</v>
      </c>
      <c r="B22" s="3">
        <v>4.8706064429504705</v>
      </c>
      <c r="C22" s="3">
        <v>9.1101124651180712</v>
      </c>
      <c r="D22" s="3">
        <v>11.721918929906732</v>
      </c>
      <c r="E22">
        <v>44.5</v>
      </c>
      <c r="F22" s="3">
        <v>22.8</v>
      </c>
      <c r="G22" s="3">
        <f t="shared" si="0"/>
        <v>6.8513124869562612</v>
      </c>
      <c r="H22" s="3">
        <f t="shared" si="1"/>
        <v>2.6118064647886605</v>
      </c>
      <c r="I22" s="5">
        <f t="shared" si="2"/>
        <v>1.4066651796251346</v>
      </c>
      <c r="J22" s="5">
        <f t="shared" si="3"/>
        <v>0.28669310887094634</v>
      </c>
      <c r="K22" t="b">
        <f t="shared" si="4"/>
        <v>0</v>
      </c>
      <c r="L22" t="b">
        <f t="shared" si="5"/>
        <v>0</v>
      </c>
    </row>
    <row r="23" spans="1:12" x14ac:dyDescent="0.35">
      <c r="A23" t="s">
        <v>70</v>
      </c>
      <c r="B23" s="3">
        <v>2.1999802363171792</v>
      </c>
      <c r="C23" s="3">
        <v>20.673331300360314</v>
      </c>
      <c r="D23" s="3">
        <v>12.006604382306818</v>
      </c>
      <c r="E23">
        <v>44.5</v>
      </c>
      <c r="F23" s="3">
        <v>22.8</v>
      </c>
      <c r="G23" s="3">
        <f t="shared" si="0"/>
        <v>9.8066241459896393</v>
      </c>
      <c r="H23" s="3">
        <f t="shared" si="1"/>
        <v>-8.6667269180534952</v>
      </c>
      <c r="I23" s="5">
        <f t="shared" si="2"/>
        <v>4.4575964747784136</v>
      </c>
      <c r="J23" s="5">
        <f t="shared" si="3"/>
        <v>-0.41922256225354659</v>
      </c>
      <c r="K23" t="b">
        <f t="shared" si="4"/>
        <v>0</v>
      </c>
      <c r="L23" t="b">
        <f t="shared" si="5"/>
        <v>0</v>
      </c>
    </row>
    <row r="24" spans="1:12" x14ac:dyDescent="0.35">
      <c r="A24" t="s">
        <v>67</v>
      </c>
      <c r="B24" s="3">
        <v>7.2684328251615025</v>
      </c>
      <c r="C24" s="3">
        <v>10.384661040040173</v>
      </c>
      <c r="D24" s="3">
        <v>12.380872332200333</v>
      </c>
      <c r="E24">
        <v>44.5</v>
      </c>
      <c r="F24" s="3">
        <v>22.8</v>
      </c>
      <c r="G24" s="3">
        <f t="shared" si="0"/>
        <v>5.1124395070388307</v>
      </c>
      <c r="H24" s="3">
        <f t="shared" si="1"/>
        <v>1.9962112921601598</v>
      </c>
      <c r="I24" s="5">
        <f t="shared" si="2"/>
        <v>0.70337576614051378</v>
      </c>
      <c r="J24" s="5">
        <f t="shared" si="3"/>
        <v>0.19222690894419769</v>
      </c>
      <c r="K24" t="b">
        <f t="shared" si="4"/>
        <v>0</v>
      </c>
      <c r="L24" t="b">
        <f t="shared" si="5"/>
        <v>0</v>
      </c>
    </row>
    <row r="25" spans="1:12" x14ac:dyDescent="0.35">
      <c r="A25" t="s">
        <v>80</v>
      </c>
      <c r="B25" s="3">
        <v>10.22488301985268</v>
      </c>
      <c r="C25" s="3">
        <v>13.137769631395951</v>
      </c>
      <c r="D25" s="3">
        <v>12.440746230594545</v>
      </c>
      <c r="E25">
        <v>44.5</v>
      </c>
      <c r="F25" s="3">
        <v>22.8</v>
      </c>
      <c r="G25" s="3">
        <f t="shared" si="0"/>
        <v>2.2158632107418654</v>
      </c>
      <c r="H25" s="3">
        <f t="shared" si="1"/>
        <v>-0.69702340080140601</v>
      </c>
      <c r="I25" s="5">
        <f t="shared" si="2"/>
        <v>0.2167128177837864</v>
      </c>
      <c r="J25" s="5">
        <f t="shared" si="3"/>
        <v>-5.3054926396006834E-2</v>
      </c>
      <c r="K25" t="b">
        <f t="shared" si="4"/>
        <v>0</v>
      </c>
      <c r="L25" t="b">
        <f t="shared" si="5"/>
        <v>0</v>
      </c>
    </row>
    <row r="26" spans="1:12" x14ac:dyDescent="0.35">
      <c r="A26" t="s">
        <v>56</v>
      </c>
      <c r="B26" s="3">
        <v>9.4675580794092156</v>
      </c>
      <c r="C26" s="3">
        <v>12.302745309647277</v>
      </c>
      <c r="D26" s="3">
        <v>12.82557799981813</v>
      </c>
      <c r="E26">
        <v>44.5</v>
      </c>
      <c r="F26" s="3">
        <v>22.8</v>
      </c>
      <c r="G26" s="3">
        <f t="shared" si="0"/>
        <v>3.3580199204089141</v>
      </c>
      <c r="H26" s="3">
        <f t="shared" si="1"/>
        <v>0.5228326901708531</v>
      </c>
      <c r="I26" s="5">
        <f t="shared" si="2"/>
        <v>0.35468701562150412</v>
      </c>
      <c r="J26" s="5">
        <f t="shared" si="3"/>
        <v>4.2497237568664491E-2</v>
      </c>
      <c r="K26" t="b">
        <f t="shared" si="4"/>
        <v>0</v>
      </c>
      <c r="L26" t="b">
        <f t="shared" si="5"/>
        <v>0</v>
      </c>
    </row>
    <row r="27" spans="1:12" x14ac:dyDescent="0.35">
      <c r="A27" t="s">
        <v>45</v>
      </c>
      <c r="B27" s="3">
        <v>2.931267462129866</v>
      </c>
      <c r="C27" s="3">
        <v>33.34867189542053</v>
      </c>
      <c r="D27" s="3">
        <v>13.840368451121652</v>
      </c>
      <c r="E27">
        <v>44.5</v>
      </c>
      <c r="F27" s="3">
        <v>22.8</v>
      </c>
      <c r="G27" s="3">
        <f t="shared" si="0"/>
        <v>10.909100988991785</v>
      </c>
      <c r="H27" s="3">
        <f t="shared" si="1"/>
        <v>-19.508303444298878</v>
      </c>
      <c r="I27" s="5">
        <f t="shared" si="2"/>
        <v>3.7216327509961187</v>
      </c>
      <c r="J27" s="5">
        <f t="shared" si="3"/>
        <v>-0.58497992080391592</v>
      </c>
      <c r="K27" t="b">
        <f t="shared" si="4"/>
        <v>0</v>
      </c>
      <c r="L27" t="b">
        <f t="shared" si="5"/>
        <v>0</v>
      </c>
    </row>
    <row r="28" spans="1:12" x14ac:dyDescent="0.35">
      <c r="A28" t="s">
        <v>58</v>
      </c>
      <c r="B28" s="3">
        <v>9.2276042229827286</v>
      </c>
      <c r="C28" s="3">
        <v>15.957885045423644</v>
      </c>
      <c r="D28" s="3">
        <v>14.104125276326323</v>
      </c>
      <c r="E28">
        <v>44.5</v>
      </c>
      <c r="F28" s="3">
        <v>22.8</v>
      </c>
      <c r="G28" s="3">
        <f t="shared" si="0"/>
        <v>4.8765210533435948</v>
      </c>
      <c r="H28" s="3">
        <f t="shared" si="1"/>
        <v>-1.8537597690973211</v>
      </c>
      <c r="I28" s="5">
        <f t="shared" si="2"/>
        <v>0.52847098071218634</v>
      </c>
      <c r="J28" s="5">
        <f t="shared" si="3"/>
        <v>-0.11616575528778714</v>
      </c>
      <c r="K28" t="b">
        <f t="shared" si="4"/>
        <v>0</v>
      </c>
      <c r="L28" t="b">
        <f t="shared" si="5"/>
        <v>0</v>
      </c>
    </row>
    <row r="29" spans="1:12" x14ac:dyDescent="0.35">
      <c r="A29" t="s">
        <v>60</v>
      </c>
      <c r="B29" s="3">
        <v>13.451172154071436</v>
      </c>
      <c r="C29" s="3">
        <v>15.371333363034999</v>
      </c>
      <c r="D29" s="3">
        <v>14.584070867806926</v>
      </c>
      <c r="E29">
        <v>44.5</v>
      </c>
      <c r="F29" s="3">
        <v>22.8</v>
      </c>
      <c r="G29" s="3">
        <f t="shared" si="0"/>
        <v>1.1328987137354893</v>
      </c>
      <c r="H29" s="3">
        <f t="shared" si="1"/>
        <v>-0.78726249522807379</v>
      </c>
      <c r="I29" s="5">
        <f t="shared" si="2"/>
        <v>8.4223047683809518E-2</v>
      </c>
      <c r="J29" s="5">
        <f t="shared" si="3"/>
        <v>-5.1216278811653616E-2</v>
      </c>
      <c r="K29" t="b">
        <f t="shared" si="4"/>
        <v>0</v>
      </c>
      <c r="L29" t="b">
        <f t="shared" si="5"/>
        <v>0</v>
      </c>
    </row>
    <row r="30" spans="1:12" x14ac:dyDescent="0.35">
      <c r="A30" t="s">
        <v>62</v>
      </c>
      <c r="B30" s="3">
        <v>0.71329713375271953</v>
      </c>
      <c r="C30" s="3">
        <v>8.0263161233659783</v>
      </c>
      <c r="D30" s="3">
        <v>15.362628950222767</v>
      </c>
      <c r="E30">
        <v>44.5</v>
      </c>
      <c r="F30" s="3">
        <v>22.8</v>
      </c>
      <c r="G30" s="3">
        <f t="shared" si="0"/>
        <v>14.649331816470047</v>
      </c>
      <c r="H30" s="3">
        <f t="shared" si="1"/>
        <v>7.3363128268567888</v>
      </c>
      <c r="I30" s="5">
        <f t="shared" si="2"/>
        <v>20.537488689178677</v>
      </c>
      <c r="J30" s="5">
        <f t="shared" si="3"/>
        <v>0.91403237974885243</v>
      </c>
      <c r="K30" t="b">
        <f t="shared" si="4"/>
        <v>0</v>
      </c>
      <c r="L30" t="b">
        <f t="shared" si="5"/>
        <v>0</v>
      </c>
    </row>
    <row r="31" spans="1:12" x14ac:dyDescent="0.35">
      <c r="A31" t="s">
        <v>98</v>
      </c>
      <c r="B31" s="3">
        <v>8.1311655295716356</v>
      </c>
      <c r="C31" s="3">
        <v>16.782768937571596</v>
      </c>
      <c r="D31" s="3">
        <v>19.071857926988567</v>
      </c>
      <c r="E31">
        <v>44.5</v>
      </c>
      <c r="F31" s="3">
        <v>22.8</v>
      </c>
      <c r="G31" s="3">
        <f t="shared" si="0"/>
        <v>10.940692397416932</v>
      </c>
      <c r="H31" s="3">
        <f t="shared" si="1"/>
        <v>2.289088989416971</v>
      </c>
      <c r="I31" s="5">
        <f t="shared" si="2"/>
        <v>1.3455257253867894</v>
      </c>
      <c r="J31" s="5">
        <f t="shared" si="3"/>
        <v>0.13639519187399321</v>
      </c>
      <c r="K31" t="b">
        <f t="shared" si="4"/>
        <v>0</v>
      </c>
      <c r="L31" t="b">
        <f t="shared" si="5"/>
        <v>0</v>
      </c>
    </row>
    <row r="32" spans="1:12" x14ac:dyDescent="0.35">
      <c r="A32" t="s">
        <v>74</v>
      </c>
      <c r="B32" s="3">
        <v>12.920259078445698</v>
      </c>
      <c r="C32" s="3">
        <v>15.32999829185372</v>
      </c>
      <c r="D32" s="3">
        <v>19.247819150386611</v>
      </c>
      <c r="E32">
        <v>44.5</v>
      </c>
      <c r="F32" s="3">
        <v>22.8</v>
      </c>
      <c r="G32" s="3">
        <f t="shared" si="0"/>
        <v>6.3275600719409137</v>
      </c>
      <c r="H32" s="3">
        <f t="shared" si="1"/>
        <v>3.9178208585328917</v>
      </c>
      <c r="I32" s="5">
        <f t="shared" si="2"/>
        <v>0.4897394110693109</v>
      </c>
      <c r="J32" s="5">
        <f t="shared" si="3"/>
        <v>0.25556564220981037</v>
      </c>
      <c r="K32" t="b">
        <f t="shared" si="4"/>
        <v>0</v>
      </c>
      <c r="L32" t="b">
        <f t="shared" si="5"/>
        <v>0</v>
      </c>
    </row>
    <row r="33" spans="1:12" x14ac:dyDescent="0.35">
      <c r="A33" t="s">
        <v>69</v>
      </c>
      <c r="B33" s="3">
        <v>0</v>
      </c>
      <c r="C33" s="3">
        <v>48.420917581620159</v>
      </c>
      <c r="D33" s="3">
        <v>19.737356151637165</v>
      </c>
      <c r="E33">
        <v>44.5</v>
      </c>
      <c r="F33" s="3">
        <v>22.8</v>
      </c>
      <c r="G33" s="3">
        <f t="shared" si="0"/>
        <v>19.737356151637165</v>
      </c>
      <c r="H33" s="3">
        <f t="shared" si="1"/>
        <v>-28.683561429982994</v>
      </c>
      <c r="I33" s="5" t="e">
        <f t="shared" si="2"/>
        <v>#DIV/0!</v>
      </c>
      <c r="J33" s="5">
        <f t="shared" si="3"/>
        <v>-0.59237955128861164</v>
      </c>
      <c r="K33" t="b">
        <f t="shared" si="4"/>
        <v>0</v>
      </c>
      <c r="L33" t="b">
        <f t="shared" si="5"/>
        <v>0</v>
      </c>
    </row>
    <row r="34" spans="1:12" x14ac:dyDescent="0.35">
      <c r="A34" t="s">
        <v>55</v>
      </c>
      <c r="B34" s="3">
        <v>5.9766154198107619</v>
      </c>
      <c r="C34" s="3">
        <v>18.729546761714161</v>
      </c>
      <c r="D34" s="3">
        <v>20.614550700647715</v>
      </c>
      <c r="E34">
        <v>44.5</v>
      </c>
      <c r="F34" s="3">
        <v>22.8</v>
      </c>
      <c r="G34" s="3">
        <f t="shared" si="0"/>
        <v>14.637935280836953</v>
      </c>
      <c r="H34" s="3">
        <f t="shared" si="1"/>
        <v>1.8850039389335542</v>
      </c>
      <c r="I34" s="5">
        <f t="shared" si="2"/>
        <v>2.4492014715078381</v>
      </c>
      <c r="J34" s="5">
        <f t="shared" si="3"/>
        <v>0.10064332911604505</v>
      </c>
      <c r="K34" t="b">
        <f t="shared" si="4"/>
        <v>0</v>
      </c>
      <c r="L34" t="b">
        <f t="shared" si="5"/>
        <v>0</v>
      </c>
    </row>
    <row r="35" spans="1:12" x14ac:dyDescent="0.35">
      <c r="A35" t="s">
        <v>79</v>
      </c>
      <c r="B35" s="3">
        <v>13.847614492517481</v>
      </c>
      <c r="C35" s="3">
        <v>19.430950036054032</v>
      </c>
      <c r="D35" s="3">
        <v>20.758052766628868</v>
      </c>
      <c r="E35">
        <v>44.5</v>
      </c>
      <c r="F35" s="3">
        <v>22.8</v>
      </c>
      <c r="G35" s="3">
        <f t="shared" si="0"/>
        <v>6.910438274111387</v>
      </c>
      <c r="H35" s="3">
        <f t="shared" si="1"/>
        <v>1.3271027305748362</v>
      </c>
      <c r="I35" s="5">
        <f t="shared" si="2"/>
        <v>0.49903456496752002</v>
      </c>
      <c r="J35" s="5">
        <f t="shared" si="3"/>
        <v>6.8298396532974648E-2</v>
      </c>
      <c r="K35" t="b">
        <f t="shared" si="4"/>
        <v>0</v>
      </c>
      <c r="L35" t="b">
        <f t="shared" si="5"/>
        <v>0</v>
      </c>
    </row>
    <row r="36" spans="1:12" x14ac:dyDescent="0.35">
      <c r="A36" t="s">
        <v>46</v>
      </c>
      <c r="B36" s="3">
        <v>1.147359073900709E-2</v>
      </c>
      <c r="C36" s="3">
        <v>17.303129774304679</v>
      </c>
      <c r="D36" s="3">
        <v>21.19840588956373</v>
      </c>
      <c r="E36">
        <v>44.5</v>
      </c>
      <c r="F36" s="3">
        <v>22.8</v>
      </c>
      <c r="G36" s="3">
        <f t="shared" si="0"/>
        <v>21.186932298824722</v>
      </c>
      <c r="H36" s="3">
        <f t="shared" si="1"/>
        <v>3.8952761152590512</v>
      </c>
      <c r="I36" s="5">
        <f t="shared" si="2"/>
        <v>1846.5825373041162</v>
      </c>
      <c r="J36" s="5">
        <f t="shared" si="3"/>
        <v>0.225119742270186</v>
      </c>
      <c r="K36" t="b">
        <f t="shared" si="4"/>
        <v>0</v>
      </c>
      <c r="L36" t="b">
        <f t="shared" si="5"/>
        <v>0</v>
      </c>
    </row>
    <row r="37" spans="1:12" x14ac:dyDescent="0.35">
      <c r="A37" t="s">
        <v>84</v>
      </c>
      <c r="B37" s="3">
        <v>11.906918137676456</v>
      </c>
      <c r="C37" s="3">
        <v>8.5405928117822025</v>
      </c>
      <c r="D37" s="3">
        <v>22.128310502389212</v>
      </c>
      <c r="E37">
        <v>44.5</v>
      </c>
      <c r="F37" s="3">
        <v>22.8</v>
      </c>
      <c r="G37" s="3">
        <f t="shared" si="0"/>
        <v>10.221392364712756</v>
      </c>
      <c r="H37" s="3">
        <f t="shared" si="1"/>
        <v>13.587717690607009</v>
      </c>
      <c r="I37" s="5">
        <f t="shared" si="2"/>
        <v>0.85844147465579046</v>
      </c>
      <c r="J37" s="5">
        <f t="shared" si="3"/>
        <v>1.5909572075444258</v>
      </c>
      <c r="K37" t="b">
        <f t="shared" si="4"/>
        <v>0</v>
      </c>
      <c r="L37" t="b">
        <f t="shared" si="5"/>
        <v>0</v>
      </c>
    </row>
    <row r="38" spans="1:12" x14ac:dyDescent="0.35">
      <c r="A38" t="s">
        <v>68</v>
      </c>
      <c r="B38" s="3">
        <v>10.933559038450477</v>
      </c>
      <c r="C38" s="3">
        <v>13.601302528457378</v>
      </c>
      <c r="D38" s="3">
        <v>22.689931885967603</v>
      </c>
      <c r="E38">
        <v>44.5</v>
      </c>
      <c r="F38" s="3">
        <v>22.8</v>
      </c>
      <c r="G38" s="3">
        <f t="shared" si="0"/>
        <v>11.756372847517126</v>
      </c>
      <c r="H38" s="3">
        <f t="shared" si="1"/>
        <v>9.088629357510225</v>
      </c>
      <c r="I38" s="5">
        <f t="shared" si="2"/>
        <v>1.0752558070224916</v>
      </c>
      <c r="J38" s="5">
        <f t="shared" si="3"/>
        <v>0.6682175724342948</v>
      </c>
      <c r="K38" t="b">
        <f t="shared" si="4"/>
        <v>0</v>
      </c>
      <c r="L38" t="b">
        <f t="shared" si="5"/>
        <v>0</v>
      </c>
    </row>
    <row r="39" spans="1:12" x14ac:dyDescent="0.35">
      <c r="A39" t="s">
        <v>89</v>
      </c>
      <c r="B39" s="3">
        <v>14.322054728228531</v>
      </c>
      <c r="C39" s="3">
        <v>18.626825060920165</v>
      </c>
      <c r="D39" s="3">
        <v>24.594032165143432</v>
      </c>
      <c r="E39">
        <v>44.5</v>
      </c>
      <c r="F39" s="3">
        <v>22.8</v>
      </c>
      <c r="G39" s="3">
        <f t="shared" si="0"/>
        <v>10.2719774369149</v>
      </c>
      <c r="H39" s="3">
        <f t="shared" si="1"/>
        <v>5.9672071042232666</v>
      </c>
      <c r="I39" s="5">
        <f t="shared" si="2"/>
        <v>0.71721394952282957</v>
      </c>
      <c r="J39" s="5">
        <f t="shared" si="3"/>
        <v>0.32035556702267576</v>
      </c>
      <c r="K39" t="b">
        <f t="shared" si="4"/>
        <v>0</v>
      </c>
      <c r="L39" t="b">
        <f t="shared" si="5"/>
        <v>1</v>
      </c>
    </row>
    <row r="40" spans="1:12" x14ac:dyDescent="0.35">
      <c r="A40" t="s">
        <v>81</v>
      </c>
      <c r="B40" s="3">
        <v>27.663516672946013</v>
      </c>
      <c r="C40" s="3">
        <v>24.415171473995002</v>
      </c>
      <c r="D40" s="3">
        <v>25.080738156916041</v>
      </c>
      <c r="E40">
        <v>44.5</v>
      </c>
      <c r="F40" s="3">
        <v>22.8</v>
      </c>
      <c r="G40" s="3">
        <f t="shared" si="0"/>
        <v>-2.5827785160299719</v>
      </c>
      <c r="H40" s="3">
        <f t="shared" si="1"/>
        <v>0.66556668292103893</v>
      </c>
      <c r="I40" s="5">
        <f t="shared" si="2"/>
        <v>-9.3364070322839401E-2</v>
      </c>
      <c r="J40" s="5">
        <f t="shared" si="3"/>
        <v>2.7260373068849625E-2</v>
      </c>
      <c r="K40" t="b">
        <f t="shared" si="4"/>
        <v>0</v>
      </c>
      <c r="L40" t="b">
        <f t="shared" si="5"/>
        <v>1</v>
      </c>
    </row>
    <row r="41" spans="1:12" x14ac:dyDescent="0.35">
      <c r="A41" t="s">
        <v>63</v>
      </c>
      <c r="B41" s="3">
        <v>2.2973079178531046</v>
      </c>
      <c r="C41" s="3">
        <v>37.344694587596827</v>
      </c>
      <c r="D41" s="3">
        <v>29.037302117617038</v>
      </c>
      <c r="E41">
        <v>44.5</v>
      </c>
      <c r="F41" s="3">
        <v>22.8</v>
      </c>
      <c r="G41" s="3">
        <f t="shared" si="0"/>
        <v>26.739994199763935</v>
      </c>
      <c r="H41" s="3">
        <f t="shared" si="1"/>
        <v>-8.3073924699797885</v>
      </c>
      <c r="I41" s="5">
        <f t="shared" si="2"/>
        <v>11.639708369939878</v>
      </c>
      <c r="J41" s="5">
        <f t="shared" si="3"/>
        <v>-0.22245174479854754</v>
      </c>
      <c r="K41" t="b">
        <f t="shared" si="4"/>
        <v>0</v>
      </c>
      <c r="L41" t="b">
        <f t="shared" si="5"/>
        <v>1</v>
      </c>
    </row>
    <row r="42" spans="1:12" x14ac:dyDescent="0.35">
      <c r="A42" t="s">
        <v>90</v>
      </c>
      <c r="B42" s="3">
        <v>1.8201538354901259</v>
      </c>
      <c r="C42" s="3">
        <v>15.810254075868269</v>
      </c>
      <c r="D42" s="3">
        <v>32.824990914279496</v>
      </c>
      <c r="E42">
        <v>44.5</v>
      </c>
      <c r="F42" s="3">
        <v>22.8</v>
      </c>
      <c r="G42" s="3">
        <f t="shared" si="0"/>
        <v>31.004837078789372</v>
      </c>
      <c r="H42" s="3">
        <f t="shared" si="1"/>
        <v>17.014736838411228</v>
      </c>
      <c r="I42" s="5">
        <f t="shared" si="2"/>
        <v>17.034184954174755</v>
      </c>
      <c r="J42" s="5">
        <f t="shared" si="3"/>
        <v>1.0761836436506991</v>
      </c>
      <c r="K42" t="b">
        <f t="shared" si="4"/>
        <v>0</v>
      </c>
      <c r="L42" t="b">
        <f t="shared" si="5"/>
        <v>1</v>
      </c>
    </row>
    <row r="43" spans="1:12" x14ac:dyDescent="0.35">
      <c r="A43" t="s">
        <v>48</v>
      </c>
      <c r="B43" s="3">
        <v>36.693639678921613</v>
      </c>
      <c r="C43" s="3">
        <v>34.95949369515526</v>
      </c>
      <c r="D43" s="3">
        <v>34.292718386067548</v>
      </c>
      <c r="E43">
        <v>44.5</v>
      </c>
      <c r="F43" s="3">
        <v>22.8</v>
      </c>
      <c r="G43" s="3">
        <f t="shared" si="0"/>
        <v>-2.4009212928540649</v>
      </c>
      <c r="H43" s="3">
        <f t="shared" si="1"/>
        <v>-0.66677530908771132</v>
      </c>
      <c r="I43" s="5">
        <f t="shared" si="2"/>
        <v>-6.5431538377296927E-2</v>
      </c>
      <c r="J43" s="5">
        <f t="shared" si="3"/>
        <v>-1.9072796502774124E-2</v>
      </c>
      <c r="K43" t="b">
        <f t="shared" si="4"/>
        <v>0</v>
      </c>
      <c r="L43" t="b">
        <f t="shared" si="5"/>
        <v>1</v>
      </c>
    </row>
    <row r="44" spans="1:12" x14ac:dyDescent="0.35">
      <c r="A44" t="s">
        <v>91</v>
      </c>
      <c r="B44" s="3">
        <v>14.633259467438902</v>
      </c>
      <c r="C44" s="3">
        <v>21.095941957658759</v>
      </c>
      <c r="D44" s="3">
        <v>36.315960905902422</v>
      </c>
      <c r="E44">
        <v>44.5</v>
      </c>
      <c r="F44" s="3">
        <v>22.8</v>
      </c>
      <c r="G44" s="3">
        <f t="shared" si="0"/>
        <v>21.682701438463518</v>
      </c>
      <c r="H44" s="3">
        <f t="shared" si="1"/>
        <v>15.220018948243663</v>
      </c>
      <c r="I44" s="5">
        <f t="shared" si="2"/>
        <v>1.481741063001762</v>
      </c>
      <c r="J44" s="5">
        <f t="shared" si="3"/>
        <v>0.72146666779760094</v>
      </c>
      <c r="K44" t="b">
        <f t="shared" si="4"/>
        <v>0</v>
      </c>
      <c r="L44" t="b">
        <f t="shared" si="5"/>
        <v>1</v>
      </c>
    </row>
    <row r="45" spans="1:12" x14ac:dyDescent="0.35">
      <c r="A45" t="s">
        <v>65</v>
      </c>
      <c r="B45" s="3">
        <v>18.681157033578607</v>
      </c>
      <c r="C45" s="3">
        <v>45.368349257282176</v>
      </c>
      <c r="D45" s="3">
        <v>45.6484849222892</v>
      </c>
      <c r="E45">
        <v>44.5</v>
      </c>
      <c r="F45" s="3">
        <v>22.8</v>
      </c>
      <c r="G45" s="3">
        <f t="shared" si="0"/>
        <v>26.967327888710592</v>
      </c>
      <c r="H45" s="3">
        <f t="shared" si="1"/>
        <v>0.28013566500702325</v>
      </c>
      <c r="I45" s="5">
        <f t="shared" si="2"/>
        <v>1.4435576897211417</v>
      </c>
      <c r="J45" s="5">
        <f t="shared" si="3"/>
        <v>6.1746938029061758E-3</v>
      </c>
      <c r="K45" t="b">
        <f t="shared" si="4"/>
        <v>1</v>
      </c>
      <c r="L45" t="b">
        <f t="shared" si="5"/>
        <v>1</v>
      </c>
    </row>
    <row r="46" spans="1:12" x14ac:dyDescent="0.35">
      <c r="A46" t="s">
        <v>61</v>
      </c>
      <c r="B46" s="3">
        <v>33.398341618089297</v>
      </c>
      <c r="C46" s="3">
        <v>43.070333993291264</v>
      </c>
      <c r="D46" s="3">
        <v>49.456152913797929</v>
      </c>
      <c r="E46">
        <v>44.5</v>
      </c>
      <c r="F46" s="3">
        <v>22.8</v>
      </c>
      <c r="G46" s="3">
        <f t="shared" si="0"/>
        <v>16.057811295708632</v>
      </c>
      <c r="H46" s="3">
        <f t="shared" si="1"/>
        <v>6.3858189205066651</v>
      </c>
      <c r="I46" s="5">
        <f t="shared" si="2"/>
        <v>0.48079666587431269</v>
      </c>
      <c r="J46" s="5">
        <f t="shared" si="3"/>
        <v>0.14826490366899256</v>
      </c>
      <c r="K46" t="b">
        <f t="shared" si="4"/>
        <v>1</v>
      </c>
      <c r="L46" t="b">
        <f t="shared" si="5"/>
        <v>1</v>
      </c>
    </row>
    <row r="47" spans="1:12" x14ac:dyDescent="0.35">
      <c r="A47" t="s">
        <v>75</v>
      </c>
      <c r="B47" s="3">
        <v>46.556438932153817</v>
      </c>
      <c r="C47" s="3">
        <v>61.356442098331627</v>
      </c>
      <c r="D47" s="3">
        <v>53.864572698360966</v>
      </c>
      <c r="E47">
        <v>44.5</v>
      </c>
      <c r="F47" s="3">
        <v>22.8</v>
      </c>
      <c r="G47" s="3">
        <f t="shared" si="0"/>
        <v>7.3081337662071491</v>
      </c>
      <c r="H47" s="3">
        <f t="shared" si="1"/>
        <v>-7.4918693999706605</v>
      </c>
      <c r="I47" s="5">
        <f t="shared" si="2"/>
        <v>0.15697364175248049</v>
      </c>
      <c r="J47" s="5">
        <f t="shared" si="3"/>
        <v>-0.1221040390178422</v>
      </c>
      <c r="K47" t="b">
        <f t="shared" si="4"/>
        <v>1</v>
      </c>
      <c r="L47" t="b">
        <f t="shared" si="5"/>
        <v>1</v>
      </c>
    </row>
    <row r="48" spans="1:12" x14ac:dyDescent="0.35">
      <c r="A48" t="s">
        <v>52</v>
      </c>
      <c r="B48" s="3">
        <v>13.168129792199135</v>
      </c>
      <c r="C48" s="3">
        <v>21.83117516323049</v>
      </c>
      <c r="D48" s="3">
        <v>60.895271765381224</v>
      </c>
      <c r="E48">
        <v>44.5</v>
      </c>
      <c r="F48" s="3">
        <v>22.8</v>
      </c>
      <c r="G48" s="3">
        <f t="shared" si="0"/>
        <v>47.727141973182086</v>
      </c>
      <c r="H48" s="3">
        <f t="shared" si="1"/>
        <v>39.064096602150734</v>
      </c>
      <c r="I48" s="5">
        <f t="shared" si="2"/>
        <v>3.6244434651195405</v>
      </c>
      <c r="J48" s="5">
        <f t="shared" si="3"/>
        <v>1.78937213915745</v>
      </c>
      <c r="K48" t="b">
        <f t="shared" si="4"/>
        <v>1</v>
      </c>
      <c r="L48" t="b">
        <f t="shared" si="5"/>
        <v>1</v>
      </c>
    </row>
    <row r="49" spans="1:12" x14ac:dyDescent="0.35">
      <c r="A49" t="s">
        <v>77</v>
      </c>
      <c r="B49" s="3">
        <v>18.643598804269427</v>
      </c>
      <c r="C49" s="3">
        <v>59.883263799993379</v>
      </c>
      <c r="D49" s="3">
        <v>66.896135970779099</v>
      </c>
      <c r="E49">
        <v>44.5</v>
      </c>
      <c r="F49" s="3">
        <v>22.8</v>
      </c>
      <c r="G49" s="3">
        <f t="shared" si="0"/>
        <v>48.252537166509669</v>
      </c>
      <c r="H49" s="3">
        <f t="shared" si="1"/>
        <v>7.0128721707857196</v>
      </c>
      <c r="I49" s="5">
        <f t="shared" si="2"/>
        <v>2.5881557350107602</v>
      </c>
      <c r="J49" s="5">
        <f t="shared" si="3"/>
        <v>0.11710905060566346</v>
      </c>
      <c r="K49" t="b">
        <f t="shared" si="4"/>
        <v>1</v>
      </c>
      <c r="L49" t="b">
        <f t="shared" si="5"/>
        <v>1</v>
      </c>
    </row>
    <row r="50" spans="1:12" x14ac:dyDescent="0.35">
      <c r="A50" t="s">
        <v>85</v>
      </c>
      <c r="B50" s="3">
        <v>10.899955183999529</v>
      </c>
      <c r="C50" s="3">
        <v>57.719411712334747</v>
      </c>
      <c r="D50" s="3">
        <v>74.345193320567816</v>
      </c>
      <c r="E50">
        <v>44.5</v>
      </c>
      <c r="F50" s="3">
        <v>22.8</v>
      </c>
      <c r="G50" s="3">
        <f t="shared" si="0"/>
        <v>63.445238136568285</v>
      </c>
      <c r="H50" s="3">
        <f t="shared" si="1"/>
        <v>16.625781608233069</v>
      </c>
      <c r="I50" s="5">
        <f t="shared" si="2"/>
        <v>5.8206879813324406</v>
      </c>
      <c r="J50" s="5">
        <f t="shared" si="3"/>
        <v>0.2880448901851872</v>
      </c>
      <c r="K50" t="b">
        <f t="shared" si="4"/>
        <v>1</v>
      </c>
      <c r="L50" t="b">
        <f t="shared" si="5"/>
        <v>1</v>
      </c>
    </row>
    <row r="51" spans="1:12" x14ac:dyDescent="0.35">
      <c r="A51" t="s">
        <v>83</v>
      </c>
      <c r="B51" s="3">
        <v>52.939595094815644</v>
      </c>
      <c r="C51" s="3">
        <v>161.97709042589301</v>
      </c>
      <c r="D51" s="3">
        <v>213.24893351885851</v>
      </c>
      <c r="E51">
        <v>44.5</v>
      </c>
      <c r="F51" s="3">
        <v>22.8</v>
      </c>
      <c r="G51" s="3">
        <f t="shared" si="0"/>
        <v>160.30933842404286</v>
      </c>
      <c r="H51" s="3">
        <f t="shared" si="1"/>
        <v>51.271843092965497</v>
      </c>
      <c r="I51" s="5">
        <f t="shared" si="2"/>
        <v>3.0281557336607188</v>
      </c>
      <c r="J51" s="5">
        <f t="shared" si="3"/>
        <v>0.31653762243879263</v>
      </c>
      <c r="K51" t="b">
        <f t="shared" si="4"/>
        <v>1</v>
      </c>
      <c r="L51" t="b">
        <f t="shared" si="5"/>
        <v>1</v>
      </c>
    </row>
    <row r="54" spans="1:12" x14ac:dyDescent="0.35">
      <c r="D54">
        <f>8/47</f>
        <v>0.1702127659574468</v>
      </c>
    </row>
    <row r="58" spans="1:12" x14ac:dyDescent="0.35">
      <c r="C58" t="s">
        <v>99</v>
      </c>
    </row>
    <row r="61" spans="1:12" s="4" customFormat="1" ht="58" x14ac:dyDescent="0.35">
      <c r="A61" s="4" t="s">
        <v>93</v>
      </c>
      <c r="B61" s="4" t="s">
        <v>94</v>
      </c>
      <c r="C61" s="4" t="s">
        <v>95</v>
      </c>
      <c r="D61" s="4" t="s">
        <v>96</v>
      </c>
      <c r="E61" s="4" t="s">
        <v>100</v>
      </c>
      <c r="F61" s="4" t="s">
        <v>101</v>
      </c>
      <c r="G61" s="4" t="s">
        <v>114</v>
      </c>
      <c r="H61" s="4" t="s">
        <v>115</v>
      </c>
      <c r="I61" s="4" t="s">
        <v>211</v>
      </c>
    </row>
    <row r="62" spans="1:12" x14ac:dyDescent="0.35">
      <c r="A62" t="s">
        <v>69</v>
      </c>
      <c r="B62" s="3">
        <v>0</v>
      </c>
      <c r="C62" s="3">
        <v>48.420917581620159</v>
      </c>
      <c r="D62" s="3">
        <v>19.737356151637165</v>
      </c>
      <c r="E62" s="6"/>
      <c r="F62" s="6">
        <f t="shared" ref="F62:F109" si="6">(D62-C62)/C62</f>
        <v>-0.59237955128861164</v>
      </c>
      <c r="G62" s="6"/>
      <c r="H62" s="6">
        <f>((D62/C62)^(1/4))-1</f>
        <v>-0.20096833449377538</v>
      </c>
      <c r="I62" s="23">
        <f>F62-E62</f>
        <v>-0.59237955128861164</v>
      </c>
    </row>
    <row r="63" spans="1:12" x14ac:dyDescent="0.35">
      <c r="A63" t="s">
        <v>45</v>
      </c>
      <c r="B63" s="3">
        <v>2.931267462129866</v>
      </c>
      <c r="C63" s="3">
        <v>33.34867189542053</v>
      </c>
      <c r="D63" s="3">
        <v>13.840368451121652</v>
      </c>
      <c r="E63" s="6"/>
      <c r="F63" s="6">
        <f t="shared" si="6"/>
        <v>-0.58497992080391592</v>
      </c>
      <c r="G63" s="6">
        <f t="shared" ref="G63:G109" si="7">((C63/B63)^(1/5))-1</f>
        <v>0.62631481831367375</v>
      </c>
      <c r="H63" s="6">
        <f t="shared" ref="H63:H109" si="8">((D63/C63)^(1/4))-1</f>
        <v>-0.19736650915480181</v>
      </c>
      <c r="I63" s="23">
        <f t="shared" ref="I63:I109" si="9">F63-E63</f>
        <v>-0.58497992080391592</v>
      </c>
    </row>
    <row r="64" spans="1:12" x14ac:dyDescent="0.35">
      <c r="A64" t="s">
        <v>66</v>
      </c>
      <c r="B64" s="3">
        <v>7.3565659589902852</v>
      </c>
      <c r="C64" s="3">
        <v>8.6404755702460996</v>
      </c>
      <c r="D64" s="3">
        <v>4.5119996321234597</v>
      </c>
      <c r="E64" s="6">
        <f>(C64-B64)/B64</f>
        <v>0.17452567113692208</v>
      </c>
      <c r="F64" s="6">
        <f t="shared" si="6"/>
        <v>-0.47780656337242</v>
      </c>
      <c r="G64" s="6">
        <f t="shared" si="7"/>
        <v>3.2696018634996271E-2</v>
      </c>
      <c r="H64" s="6">
        <f t="shared" si="8"/>
        <v>-0.1499238097042257</v>
      </c>
      <c r="I64" s="23">
        <f t="shared" si="9"/>
        <v>-0.65233223450934208</v>
      </c>
    </row>
    <row r="65" spans="1:9" x14ac:dyDescent="0.35">
      <c r="A65" t="s">
        <v>70</v>
      </c>
      <c r="B65" s="3">
        <v>2.1999802363171792</v>
      </c>
      <c r="C65" s="3">
        <v>20.673331300360314</v>
      </c>
      <c r="D65" s="3">
        <v>12.006604382306818</v>
      </c>
      <c r="E65" s="6"/>
      <c r="F65" s="6">
        <f t="shared" si="6"/>
        <v>-0.41922256225354659</v>
      </c>
      <c r="G65" s="6">
        <f t="shared" si="7"/>
        <v>0.56530270962252382</v>
      </c>
      <c r="H65" s="6">
        <f t="shared" si="8"/>
        <v>-0.12702373884131812</v>
      </c>
      <c r="I65" s="23">
        <f t="shared" si="9"/>
        <v>-0.41922256225354659</v>
      </c>
    </row>
    <row r="66" spans="1:9" x14ac:dyDescent="0.35">
      <c r="A66" t="s">
        <v>53</v>
      </c>
      <c r="B66" s="3">
        <v>2.4154446026630016</v>
      </c>
      <c r="C66" s="3">
        <v>3.8745539552247603</v>
      </c>
      <c r="D66" s="3">
        <v>2.3872297370504008</v>
      </c>
      <c r="E66" s="6">
        <f>(C66-B66)/B66</f>
        <v>0.60407485684130624</v>
      </c>
      <c r="F66" s="6">
        <f t="shared" si="6"/>
        <v>-0.38386979130042359</v>
      </c>
      <c r="G66" s="6">
        <f t="shared" si="7"/>
        <v>9.9119533762466849E-2</v>
      </c>
      <c r="H66" s="6">
        <f t="shared" si="8"/>
        <v>-0.11403181713253541</v>
      </c>
      <c r="I66" s="23">
        <f t="shared" si="9"/>
        <v>-0.98794464814172978</v>
      </c>
    </row>
    <row r="67" spans="1:9" x14ac:dyDescent="0.35">
      <c r="A67" t="s">
        <v>63</v>
      </c>
      <c r="B67" s="3">
        <v>2.2973079178531046</v>
      </c>
      <c r="C67" s="3">
        <v>37.344694587596827</v>
      </c>
      <c r="D67" s="3">
        <v>29.037302117617038</v>
      </c>
      <c r="E67" s="6"/>
      <c r="F67" s="6">
        <f t="shared" si="6"/>
        <v>-0.22245174479854754</v>
      </c>
      <c r="G67" s="6">
        <f t="shared" si="7"/>
        <v>0.74663412322211142</v>
      </c>
      <c r="H67" s="6">
        <f t="shared" si="8"/>
        <v>-6.0964874449717987E-2</v>
      </c>
      <c r="I67" s="23">
        <f t="shared" si="9"/>
        <v>-0.22245174479854754</v>
      </c>
    </row>
    <row r="68" spans="1:9" x14ac:dyDescent="0.35">
      <c r="A68" t="s">
        <v>54</v>
      </c>
      <c r="B68" s="3">
        <v>3.5031261239275127</v>
      </c>
      <c r="C68" s="3">
        <v>4.1898949065668809</v>
      </c>
      <c r="D68" s="3">
        <v>3.2716188953202665</v>
      </c>
      <c r="E68" s="6">
        <f t="shared" ref="E68:E91" si="10">(C68-B68)/B68</f>
        <v>0.19604454945213357</v>
      </c>
      <c r="F68" s="6">
        <f t="shared" si="6"/>
        <v>-0.21916444963986748</v>
      </c>
      <c r="G68" s="6">
        <f t="shared" si="7"/>
        <v>3.6452661860659319E-2</v>
      </c>
      <c r="H68" s="6">
        <f t="shared" si="8"/>
        <v>-5.9973937988491044E-2</v>
      </c>
      <c r="I68" s="23">
        <f t="shared" si="9"/>
        <v>-0.41520899909200104</v>
      </c>
    </row>
    <row r="69" spans="1:9" x14ac:dyDescent="0.35">
      <c r="A69" t="s">
        <v>78</v>
      </c>
      <c r="B69" s="3">
        <v>2.8928013902601908</v>
      </c>
      <c r="C69" s="3">
        <v>2.6921133834178046</v>
      </c>
      <c r="D69" s="3">
        <v>2.3259582036922208</v>
      </c>
      <c r="E69" s="6">
        <f t="shared" si="10"/>
        <v>-6.9374969024173297E-2</v>
      </c>
      <c r="F69" s="6">
        <f t="shared" si="6"/>
        <v>-0.13601031144562237</v>
      </c>
      <c r="G69" s="6">
        <f t="shared" si="7"/>
        <v>-1.4276873374322152E-2</v>
      </c>
      <c r="H69" s="6">
        <f t="shared" si="8"/>
        <v>-3.5888773844727218E-2</v>
      </c>
      <c r="I69" s="23">
        <f t="shared" si="9"/>
        <v>-6.663534242144907E-2</v>
      </c>
    </row>
    <row r="70" spans="1:9" x14ac:dyDescent="0.35">
      <c r="A70" t="s">
        <v>75</v>
      </c>
      <c r="B70" s="3">
        <v>46.556438932153817</v>
      </c>
      <c r="C70" s="3">
        <v>61.356442098331627</v>
      </c>
      <c r="D70" s="3">
        <v>53.864572698360966</v>
      </c>
      <c r="E70" s="6">
        <f t="shared" si="10"/>
        <v>0.31789379741319329</v>
      </c>
      <c r="F70" s="6">
        <f t="shared" si="6"/>
        <v>-0.1221040390178422</v>
      </c>
      <c r="G70" s="6">
        <f t="shared" si="7"/>
        <v>5.6759310413447839E-2</v>
      </c>
      <c r="H70" s="6">
        <f t="shared" si="8"/>
        <v>-3.2032529337943982E-2</v>
      </c>
      <c r="I70" s="23">
        <f t="shared" si="9"/>
        <v>-0.43999783643103552</v>
      </c>
    </row>
    <row r="71" spans="1:9" x14ac:dyDescent="0.35">
      <c r="A71" t="s">
        <v>58</v>
      </c>
      <c r="B71" s="3">
        <v>9.2276042229827286</v>
      </c>
      <c r="C71" s="3">
        <v>15.957885045423644</v>
      </c>
      <c r="D71" s="3">
        <v>14.104125276326323</v>
      </c>
      <c r="E71" s="6">
        <f t="shared" si="10"/>
        <v>0.72936383700529162</v>
      </c>
      <c r="F71" s="6">
        <f t="shared" si="6"/>
        <v>-0.11616575528778714</v>
      </c>
      <c r="G71" s="6">
        <f t="shared" si="7"/>
        <v>0.11577666539846998</v>
      </c>
      <c r="H71" s="6">
        <f t="shared" si="8"/>
        <v>-3.0399778261968713E-2</v>
      </c>
      <c r="I71" s="23">
        <f t="shared" si="9"/>
        <v>-0.84552959229307878</v>
      </c>
    </row>
    <row r="72" spans="1:9" x14ac:dyDescent="0.35">
      <c r="A72" t="s">
        <v>64</v>
      </c>
      <c r="B72" s="3">
        <v>13.450237767542902</v>
      </c>
      <c r="C72" s="3">
        <v>8.6546958371362877</v>
      </c>
      <c r="D72" s="3">
        <v>7.6950371510478712</v>
      </c>
      <c r="E72" s="6">
        <f t="shared" si="10"/>
        <v>-0.35653956556655481</v>
      </c>
      <c r="F72" s="6">
        <f t="shared" si="6"/>
        <v>-0.11088300549750497</v>
      </c>
      <c r="G72" s="6">
        <f t="shared" si="7"/>
        <v>-8.440298197057805E-2</v>
      </c>
      <c r="H72" s="6">
        <f t="shared" si="8"/>
        <v>-2.8954169417406583E-2</v>
      </c>
      <c r="I72" s="23">
        <f t="shared" si="9"/>
        <v>0.24565656006904985</v>
      </c>
    </row>
    <row r="73" spans="1:9" x14ac:dyDescent="0.35">
      <c r="A73" t="s">
        <v>50</v>
      </c>
      <c r="B73" s="3">
        <v>7.056451364601136</v>
      </c>
      <c r="C73" s="3">
        <v>9.0486143330486115</v>
      </c>
      <c r="D73" s="3">
        <v>8.1970005510432156</v>
      </c>
      <c r="E73" s="6">
        <f t="shared" si="10"/>
        <v>0.28231796203417636</v>
      </c>
      <c r="F73" s="6">
        <f t="shared" si="6"/>
        <v>-9.4115380616346223E-2</v>
      </c>
      <c r="G73" s="6">
        <f t="shared" si="7"/>
        <v>5.0991358415027221E-2</v>
      </c>
      <c r="H73" s="6">
        <f t="shared" si="8"/>
        <v>-2.4408019926165925E-2</v>
      </c>
      <c r="I73" s="23">
        <f t="shared" si="9"/>
        <v>-0.37643334265052258</v>
      </c>
    </row>
    <row r="74" spans="1:9" x14ac:dyDescent="0.35">
      <c r="A74" t="s">
        <v>71</v>
      </c>
      <c r="B74" s="3">
        <v>4.392474018702714</v>
      </c>
      <c r="C74" s="3">
        <v>5.1343672169908219</v>
      </c>
      <c r="D74" s="3">
        <v>4.654914605753655</v>
      </c>
      <c r="E74" s="6">
        <f t="shared" si="10"/>
        <v>0.16890098726348773</v>
      </c>
      <c r="F74" s="6">
        <f t="shared" si="6"/>
        <v>-9.33810518364456E-2</v>
      </c>
      <c r="G74" s="6">
        <f t="shared" si="7"/>
        <v>3.1705023280973021E-2</v>
      </c>
      <c r="H74" s="6">
        <f t="shared" si="8"/>
        <v>-2.4210371246310758E-2</v>
      </c>
      <c r="I74" s="23">
        <f t="shared" si="9"/>
        <v>-0.26228203909993331</v>
      </c>
    </row>
    <row r="75" spans="1:9" x14ac:dyDescent="0.35">
      <c r="A75" t="s">
        <v>82</v>
      </c>
      <c r="B75" s="3">
        <v>4.1395850727945103</v>
      </c>
      <c r="C75" s="3">
        <v>6.7255609647542736</v>
      </c>
      <c r="D75" s="3">
        <v>6.108947758593815</v>
      </c>
      <c r="E75" s="6">
        <f t="shared" si="10"/>
        <v>0.62469446731627332</v>
      </c>
      <c r="F75" s="6">
        <f t="shared" si="6"/>
        <v>-9.1682048440547781E-2</v>
      </c>
      <c r="G75" s="6">
        <f t="shared" si="7"/>
        <v>0.10193084601378732</v>
      </c>
      <c r="H75" s="6">
        <f t="shared" si="8"/>
        <v>-2.3753534859714986E-2</v>
      </c>
      <c r="I75" s="23">
        <f t="shared" si="9"/>
        <v>-0.71637651575682115</v>
      </c>
    </row>
    <row r="76" spans="1:9" x14ac:dyDescent="0.35">
      <c r="A76" t="s">
        <v>80</v>
      </c>
      <c r="B76" s="3">
        <v>10.22488301985268</v>
      </c>
      <c r="C76" s="3">
        <v>13.137769631395951</v>
      </c>
      <c r="D76" s="3">
        <v>12.440746230594545</v>
      </c>
      <c r="E76" s="6">
        <f t="shared" si="10"/>
        <v>0.28488214543751722</v>
      </c>
      <c r="F76" s="6">
        <f t="shared" si="6"/>
        <v>-5.3054926396006834E-2</v>
      </c>
      <c r="G76" s="6">
        <f t="shared" si="7"/>
        <v>5.1411344985186735E-2</v>
      </c>
      <c r="H76" s="6">
        <f t="shared" si="8"/>
        <v>-1.3536098782481631E-2</v>
      </c>
      <c r="I76" s="23">
        <f t="shared" si="9"/>
        <v>-0.33793707183352406</v>
      </c>
    </row>
    <row r="77" spans="1:9" x14ac:dyDescent="0.35">
      <c r="A77" t="s">
        <v>60</v>
      </c>
      <c r="B77" s="3">
        <v>13.451172154071436</v>
      </c>
      <c r="C77" s="3">
        <v>15.371333363034999</v>
      </c>
      <c r="D77" s="3">
        <v>14.584070867806926</v>
      </c>
      <c r="E77" s="6">
        <f t="shared" si="10"/>
        <v>0.14275047460323848</v>
      </c>
      <c r="F77" s="6">
        <f t="shared" si="6"/>
        <v>-5.1216278811653616E-2</v>
      </c>
      <c r="G77" s="6">
        <f t="shared" si="7"/>
        <v>2.7046914187962345E-2</v>
      </c>
      <c r="H77" s="6">
        <f t="shared" si="8"/>
        <v>-1.3057602095426946E-2</v>
      </c>
      <c r="I77" s="23">
        <f t="shared" si="9"/>
        <v>-0.19396675341489208</v>
      </c>
    </row>
    <row r="78" spans="1:9" x14ac:dyDescent="0.35">
      <c r="A78" t="s">
        <v>72</v>
      </c>
      <c r="B78" s="3">
        <v>2.3669598366604268</v>
      </c>
      <c r="C78" s="3">
        <v>5.8346408238772041</v>
      </c>
      <c r="D78" s="3">
        <v>5.5434395125336913</v>
      </c>
      <c r="E78" s="6">
        <f t="shared" si="10"/>
        <v>1.4650358377476196</v>
      </c>
      <c r="F78" s="6">
        <f t="shared" si="6"/>
        <v>-4.9909038128246819E-2</v>
      </c>
      <c r="G78" s="6">
        <f t="shared" si="7"/>
        <v>0.19774577485413758</v>
      </c>
      <c r="H78" s="6">
        <f t="shared" si="8"/>
        <v>-1.2717823608864531E-2</v>
      </c>
      <c r="I78" s="23">
        <f t="shared" si="9"/>
        <v>-1.5149448758758663</v>
      </c>
    </row>
    <row r="79" spans="1:9" x14ac:dyDescent="0.35">
      <c r="A79" t="s">
        <v>48</v>
      </c>
      <c r="B79" s="3">
        <v>36.693639678921613</v>
      </c>
      <c r="C79" s="3">
        <v>34.95949369515526</v>
      </c>
      <c r="D79" s="3">
        <v>34.292718386067548</v>
      </c>
      <c r="E79" s="6">
        <f t="shared" si="10"/>
        <v>-4.7260124613981006E-2</v>
      </c>
      <c r="F79" s="6">
        <f t="shared" si="6"/>
        <v>-1.9072796502774124E-2</v>
      </c>
      <c r="G79" s="6">
        <f t="shared" si="7"/>
        <v>-9.6359470550670956E-3</v>
      </c>
      <c r="H79" s="6">
        <f t="shared" si="8"/>
        <v>-4.8026871871859056E-3</v>
      </c>
      <c r="I79" s="23">
        <f t="shared" si="9"/>
        <v>2.8187328111206882E-2</v>
      </c>
    </row>
    <row r="80" spans="1:9" x14ac:dyDescent="0.35">
      <c r="A80" t="s">
        <v>73</v>
      </c>
      <c r="B80" s="3">
        <v>4.8159164598162238</v>
      </c>
      <c r="C80" s="3">
        <v>5.6816648371565428</v>
      </c>
      <c r="D80" s="3">
        <v>5.5984926364175651</v>
      </c>
      <c r="E80" s="6">
        <f t="shared" si="10"/>
        <v>0.1797681468447557</v>
      </c>
      <c r="F80" s="6">
        <f t="shared" si="6"/>
        <v>-1.4638702409028797E-2</v>
      </c>
      <c r="G80" s="6">
        <f t="shared" si="7"/>
        <v>3.3616261387915847E-2</v>
      </c>
      <c r="H80" s="6">
        <f t="shared" si="8"/>
        <v>-3.6799387382359106E-3</v>
      </c>
      <c r="I80" s="23">
        <f t="shared" si="9"/>
        <v>-0.19440684925378449</v>
      </c>
    </row>
    <row r="81" spans="1:9" x14ac:dyDescent="0.35">
      <c r="A81" t="s">
        <v>65</v>
      </c>
      <c r="B81" s="3">
        <v>18.681157033578607</v>
      </c>
      <c r="C81" s="3">
        <v>45.368349257282176</v>
      </c>
      <c r="D81" s="3">
        <v>45.6484849222892</v>
      </c>
      <c r="E81" s="6">
        <f t="shared" si="10"/>
        <v>1.4285620626032127</v>
      </c>
      <c r="F81" s="6">
        <f t="shared" si="6"/>
        <v>6.1746938029061758E-3</v>
      </c>
      <c r="G81" s="6">
        <f t="shared" si="7"/>
        <v>0.19418013172596282</v>
      </c>
      <c r="H81" s="6">
        <f t="shared" si="8"/>
        <v>1.5401118793585411E-3</v>
      </c>
      <c r="I81" s="23">
        <f t="shared" si="9"/>
        <v>-1.4223873688003066</v>
      </c>
    </row>
    <row r="82" spans="1:9" x14ac:dyDescent="0.35">
      <c r="A82" t="s">
        <v>81</v>
      </c>
      <c r="B82" s="3">
        <v>27.663516672946013</v>
      </c>
      <c r="C82" s="3">
        <v>24.415171473995002</v>
      </c>
      <c r="D82" s="3">
        <v>25.080738156916041</v>
      </c>
      <c r="E82" s="6">
        <f t="shared" si="10"/>
        <v>-0.11742343670021473</v>
      </c>
      <c r="F82" s="6">
        <f t="shared" si="6"/>
        <v>2.7260373068849625E-2</v>
      </c>
      <c r="G82" s="6">
        <f t="shared" si="7"/>
        <v>-2.4672480866246849E-2</v>
      </c>
      <c r="H82" s="6">
        <f t="shared" si="8"/>
        <v>6.7465125318570962E-3</v>
      </c>
      <c r="I82" s="23">
        <f t="shared" si="9"/>
        <v>0.14468380976906436</v>
      </c>
    </row>
    <row r="83" spans="1:9" x14ac:dyDescent="0.35">
      <c r="A83" t="s">
        <v>87</v>
      </c>
      <c r="B83" s="3">
        <v>4.5237262498154065</v>
      </c>
      <c r="C83" s="3">
        <v>5.9949620284355545</v>
      </c>
      <c r="D83" s="3">
        <v>6.2037247448568724</v>
      </c>
      <c r="E83" s="6">
        <f t="shared" si="10"/>
        <v>0.32522652728603607</v>
      </c>
      <c r="F83" s="6">
        <f t="shared" si="6"/>
        <v>3.48230256390459E-2</v>
      </c>
      <c r="G83" s="6">
        <f t="shared" si="7"/>
        <v>5.7932658673062409E-2</v>
      </c>
      <c r="H83" s="6">
        <f t="shared" si="8"/>
        <v>8.5943265739460983E-3</v>
      </c>
      <c r="I83" s="23">
        <f t="shared" si="9"/>
        <v>-0.29040350164699019</v>
      </c>
    </row>
    <row r="84" spans="1:9" x14ac:dyDescent="0.35">
      <c r="A84" t="s">
        <v>56</v>
      </c>
      <c r="B84" s="3">
        <v>9.4675580794092156</v>
      </c>
      <c r="C84" s="3">
        <v>12.302745309647277</v>
      </c>
      <c r="D84" s="3">
        <v>12.82557799981813</v>
      </c>
      <c r="E84" s="6">
        <f t="shared" si="10"/>
        <v>0.29946341035966262</v>
      </c>
      <c r="F84" s="6">
        <f t="shared" si="6"/>
        <v>4.2497237568664491E-2</v>
      </c>
      <c r="G84" s="6">
        <f t="shared" si="7"/>
        <v>5.3786938025742081E-2</v>
      </c>
      <c r="H84" s="6">
        <f t="shared" si="8"/>
        <v>1.0459073918268835E-2</v>
      </c>
      <c r="I84" s="23">
        <f t="shared" si="9"/>
        <v>-0.25696617279099815</v>
      </c>
    </row>
    <row r="85" spans="1:9" x14ac:dyDescent="0.35">
      <c r="A85" t="s">
        <v>79</v>
      </c>
      <c r="B85" s="3">
        <v>13.847614492517481</v>
      </c>
      <c r="C85" s="3">
        <v>19.430950036054032</v>
      </c>
      <c r="D85" s="3">
        <v>20.758052766628868</v>
      </c>
      <c r="E85" s="6">
        <f t="shared" si="10"/>
        <v>0.40319836651673763</v>
      </c>
      <c r="F85" s="6">
        <f t="shared" si="6"/>
        <v>6.8298396532974648E-2</v>
      </c>
      <c r="G85" s="6">
        <f t="shared" si="7"/>
        <v>7.0098644883592964E-2</v>
      </c>
      <c r="H85" s="6">
        <f t="shared" si="8"/>
        <v>1.6653930762754676E-2</v>
      </c>
      <c r="I85" s="23">
        <f t="shared" si="9"/>
        <v>-0.33489996998376298</v>
      </c>
    </row>
    <row r="86" spans="1:9" x14ac:dyDescent="0.35">
      <c r="A86" t="s">
        <v>55</v>
      </c>
      <c r="B86" s="3">
        <v>5.9766154198107619</v>
      </c>
      <c r="C86" s="3">
        <v>18.729546761714161</v>
      </c>
      <c r="D86" s="3">
        <v>20.614550700647715</v>
      </c>
      <c r="E86" s="6">
        <f t="shared" si="10"/>
        <v>2.1338049123306639</v>
      </c>
      <c r="F86" s="6">
        <f t="shared" si="6"/>
        <v>0.10064332911604505</v>
      </c>
      <c r="G86" s="6">
        <f t="shared" si="7"/>
        <v>0.25665016152895448</v>
      </c>
      <c r="H86" s="6">
        <f t="shared" si="8"/>
        <v>2.4263393109101639E-2</v>
      </c>
      <c r="I86" s="23">
        <f t="shared" si="9"/>
        <v>-2.033161583214619</v>
      </c>
    </row>
    <row r="87" spans="1:9" x14ac:dyDescent="0.35">
      <c r="A87" t="s">
        <v>77</v>
      </c>
      <c r="B87" s="3">
        <v>18.643598804269427</v>
      </c>
      <c r="C87" s="3">
        <v>59.883263799993379</v>
      </c>
      <c r="D87" s="3">
        <v>66.896135970779099</v>
      </c>
      <c r="E87" s="6">
        <f t="shared" si="10"/>
        <v>2.2120013109421759</v>
      </c>
      <c r="F87" s="6">
        <f t="shared" si="6"/>
        <v>0.11710905060566346</v>
      </c>
      <c r="G87" s="6">
        <f t="shared" si="7"/>
        <v>0.26285981159336225</v>
      </c>
      <c r="H87" s="6">
        <f t="shared" si="8"/>
        <v>2.807285573519569E-2</v>
      </c>
      <c r="I87" s="23">
        <f t="shared" si="9"/>
        <v>-2.0948922603365125</v>
      </c>
    </row>
    <row r="88" spans="1:9" x14ac:dyDescent="0.35">
      <c r="A88" t="s">
        <v>98</v>
      </c>
      <c r="B88" s="3">
        <v>8.1311655295716356</v>
      </c>
      <c r="C88" s="3">
        <v>16.782768937571596</v>
      </c>
      <c r="D88" s="3">
        <v>19.071857926988567</v>
      </c>
      <c r="E88" s="6">
        <f t="shared" si="10"/>
        <v>1.0640053232879816</v>
      </c>
      <c r="F88" s="6">
        <f t="shared" si="6"/>
        <v>0.13639519187399321</v>
      </c>
      <c r="G88" s="6">
        <f t="shared" si="7"/>
        <v>0.15595828660300426</v>
      </c>
      <c r="H88" s="6">
        <f t="shared" si="8"/>
        <v>3.2481662075221296E-2</v>
      </c>
      <c r="I88" s="23">
        <f t="shared" si="9"/>
        <v>-0.9276101314139884</v>
      </c>
    </row>
    <row r="89" spans="1:9" x14ac:dyDescent="0.35">
      <c r="A89" t="s">
        <v>57</v>
      </c>
      <c r="B89" s="3">
        <v>7.9535303053381696</v>
      </c>
      <c r="C89" s="3">
        <v>10.286738773730915</v>
      </c>
      <c r="D89" s="3">
        <v>11.710635712808925</v>
      </c>
      <c r="E89" s="6">
        <f t="shared" si="10"/>
        <v>0.29335507363651669</v>
      </c>
      <c r="F89" s="6">
        <f t="shared" si="6"/>
        <v>0.13842063752160136</v>
      </c>
      <c r="G89" s="6">
        <f t="shared" si="7"/>
        <v>5.2794370986966044E-2</v>
      </c>
      <c r="H89" s="6">
        <f t="shared" si="8"/>
        <v>3.2941413933164521E-2</v>
      </c>
      <c r="I89" s="23">
        <f t="shared" si="9"/>
        <v>-0.15493443611491534</v>
      </c>
    </row>
    <row r="90" spans="1:9" x14ac:dyDescent="0.35">
      <c r="A90" t="s">
        <v>61</v>
      </c>
      <c r="B90" s="3">
        <v>33.398341618089297</v>
      </c>
      <c r="C90" s="3">
        <v>43.070333993291264</v>
      </c>
      <c r="D90" s="3">
        <v>49.456152913797929</v>
      </c>
      <c r="E90" s="6">
        <f t="shared" si="10"/>
        <v>0.28959498905069575</v>
      </c>
      <c r="F90" s="6">
        <f t="shared" si="6"/>
        <v>0.14826490366899256</v>
      </c>
      <c r="G90" s="6">
        <f t="shared" si="7"/>
        <v>5.2181514171731447E-2</v>
      </c>
      <c r="H90" s="6">
        <f t="shared" si="8"/>
        <v>3.5167247966383375E-2</v>
      </c>
      <c r="I90" s="23">
        <f t="shared" si="9"/>
        <v>-0.14133008538170319</v>
      </c>
    </row>
    <row r="91" spans="1:9" x14ac:dyDescent="0.35">
      <c r="A91" t="s">
        <v>67</v>
      </c>
      <c r="B91" s="3">
        <v>7.2684328251615025</v>
      </c>
      <c r="C91" s="3">
        <v>10.384661040040173</v>
      </c>
      <c r="D91" s="3">
        <v>12.380872332200333</v>
      </c>
      <c r="E91" s="6">
        <f t="shared" si="10"/>
        <v>0.42873454152194485</v>
      </c>
      <c r="F91" s="6">
        <f t="shared" si="6"/>
        <v>0.19222690894419769</v>
      </c>
      <c r="G91" s="6">
        <f t="shared" si="7"/>
        <v>7.396544697997709E-2</v>
      </c>
      <c r="H91" s="6">
        <f t="shared" si="8"/>
        <v>4.4936092030380514E-2</v>
      </c>
      <c r="I91" s="23">
        <f t="shared" si="9"/>
        <v>-0.23650763257774715</v>
      </c>
    </row>
    <row r="92" spans="1:9" x14ac:dyDescent="0.35">
      <c r="A92" t="s">
        <v>46</v>
      </c>
      <c r="B92" s="3">
        <v>1.147359073900709E-2</v>
      </c>
      <c r="C92" s="3">
        <v>17.303129774304679</v>
      </c>
      <c r="D92" s="3">
        <v>21.19840588956373</v>
      </c>
      <c r="E92" s="6"/>
      <c r="F92" s="6">
        <f t="shared" si="6"/>
        <v>0.225119742270186</v>
      </c>
      <c r="G92" s="6">
        <f t="shared" si="7"/>
        <v>3.3220029809018756</v>
      </c>
      <c r="H92" s="6">
        <f t="shared" si="8"/>
        <v>5.2069994715562062E-2</v>
      </c>
      <c r="I92" s="23">
        <f t="shared" si="9"/>
        <v>0.225119742270186</v>
      </c>
    </row>
    <row r="93" spans="1:9" x14ac:dyDescent="0.35">
      <c r="A93" t="s">
        <v>88</v>
      </c>
      <c r="B93" s="3">
        <v>3.5138186512143079</v>
      </c>
      <c r="C93" s="3">
        <v>4.7994955434409654</v>
      </c>
      <c r="D93" s="3">
        <v>5.9036930685343147</v>
      </c>
      <c r="E93" s="6">
        <f>(C93-B93)/B93</f>
        <v>0.36589164662278528</v>
      </c>
      <c r="F93" s="6">
        <f t="shared" si="6"/>
        <v>0.23006532980374486</v>
      </c>
      <c r="G93" s="6">
        <f t="shared" si="7"/>
        <v>6.4347023095398859E-2</v>
      </c>
      <c r="H93" s="6">
        <f t="shared" si="8"/>
        <v>5.3130145423632591E-2</v>
      </c>
      <c r="I93" s="23">
        <f t="shared" si="9"/>
        <v>-0.13582631681904042</v>
      </c>
    </row>
    <row r="94" spans="1:9" x14ac:dyDescent="0.35">
      <c r="A94" t="s">
        <v>74</v>
      </c>
      <c r="B94" s="3">
        <v>12.920259078445698</v>
      </c>
      <c r="C94" s="3">
        <v>15.32999829185372</v>
      </c>
      <c r="D94" s="3">
        <v>19.247819150386611</v>
      </c>
      <c r="E94" s="6">
        <f>(C94-B94)/B94</f>
        <v>0.18650858305373183</v>
      </c>
      <c r="F94" s="6">
        <f t="shared" si="6"/>
        <v>0.25556564220981037</v>
      </c>
      <c r="G94" s="6">
        <f t="shared" si="7"/>
        <v>3.4794655094910976E-2</v>
      </c>
      <c r="H94" s="6">
        <f t="shared" si="8"/>
        <v>5.8546293344671652E-2</v>
      </c>
      <c r="I94" s="23">
        <f t="shared" si="9"/>
        <v>6.9057059156078543E-2</v>
      </c>
    </row>
    <row r="95" spans="1:9" x14ac:dyDescent="0.35">
      <c r="A95" t="s">
        <v>49</v>
      </c>
      <c r="B95" s="3">
        <v>4.8706064429504705</v>
      </c>
      <c r="C95" s="3">
        <v>9.1101124651180712</v>
      </c>
      <c r="D95" s="3">
        <v>11.721918929906732</v>
      </c>
      <c r="E95" s="6">
        <f>(C95-B95)/B95</f>
        <v>0.87042672649187236</v>
      </c>
      <c r="F95" s="6">
        <f t="shared" si="6"/>
        <v>0.28669310887094634</v>
      </c>
      <c r="G95" s="6">
        <f t="shared" si="7"/>
        <v>0.13341287029517579</v>
      </c>
      <c r="H95" s="6">
        <f t="shared" si="8"/>
        <v>6.5046927300250301E-2</v>
      </c>
      <c r="I95" s="23">
        <f t="shared" si="9"/>
        <v>-0.58373361762092602</v>
      </c>
    </row>
    <row r="96" spans="1:9" x14ac:dyDescent="0.35">
      <c r="A96" t="s">
        <v>85</v>
      </c>
      <c r="B96" s="3">
        <v>10.899955183999529</v>
      </c>
      <c r="C96" s="3">
        <v>57.719411712334747</v>
      </c>
      <c r="D96" s="3">
        <v>74.345193320567816</v>
      </c>
      <c r="E96" s="6"/>
      <c r="F96" s="6">
        <f t="shared" si="6"/>
        <v>0.2880448901851872</v>
      </c>
      <c r="G96" s="6">
        <f t="shared" si="7"/>
        <v>0.39565937355929348</v>
      </c>
      <c r="H96" s="6">
        <f t="shared" si="8"/>
        <v>6.5326547916529476E-2</v>
      </c>
      <c r="I96" s="23">
        <f t="shared" si="9"/>
        <v>0.2880448901851872</v>
      </c>
    </row>
    <row r="97" spans="1:9" x14ac:dyDescent="0.35">
      <c r="A97" t="s">
        <v>86</v>
      </c>
      <c r="B97" s="3">
        <v>0</v>
      </c>
      <c r="C97" s="3">
        <v>5.6265652762618057</v>
      </c>
      <c r="D97" s="3">
        <v>7.3360946163777347</v>
      </c>
      <c r="E97" s="6"/>
      <c r="F97" s="6">
        <f t="shared" si="6"/>
        <v>0.30383177945670459</v>
      </c>
      <c r="G97" s="6"/>
      <c r="H97" s="6">
        <f t="shared" si="8"/>
        <v>6.8575937945528631E-2</v>
      </c>
      <c r="I97" s="23">
        <f t="shared" si="9"/>
        <v>0.30383177945670459</v>
      </c>
    </row>
    <row r="98" spans="1:9" x14ac:dyDescent="0.35">
      <c r="A98" t="s">
        <v>83</v>
      </c>
      <c r="B98" s="3">
        <v>52.939595094815644</v>
      </c>
      <c r="C98" s="3">
        <v>161.97709042589301</v>
      </c>
      <c r="D98" s="3">
        <v>213.24893351885851</v>
      </c>
      <c r="E98" s="6">
        <f t="shared" ref="E98:E103" si="11">(C98-B98)/B98</f>
        <v>2.059658656923792</v>
      </c>
      <c r="F98" s="6">
        <f t="shared" si="6"/>
        <v>0.31653762243879263</v>
      </c>
      <c r="G98" s="6">
        <f t="shared" si="7"/>
        <v>0.25064656794894624</v>
      </c>
      <c r="H98" s="6">
        <f t="shared" si="8"/>
        <v>7.1169796760317761E-2</v>
      </c>
      <c r="I98" s="23">
        <f t="shared" si="9"/>
        <v>-1.7431210344849994</v>
      </c>
    </row>
    <row r="99" spans="1:9" x14ac:dyDescent="0.35">
      <c r="A99" t="s">
        <v>89</v>
      </c>
      <c r="B99" s="3">
        <v>14.322054728228531</v>
      </c>
      <c r="C99" s="3">
        <v>18.626825060920165</v>
      </c>
      <c r="D99" s="3">
        <v>24.594032165143432</v>
      </c>
      <c r="E99" s="6">
        <f t="shared" si="11"/>
        <v>0.30056932572719491</v>
      </c>
      <c r="F99" s="6">
        <f t="shared" si="6"/>
        <v>0.32035556702267576</v>
      </c>
      <c r="G99" s="6">
        <f t="shared" si="7"/>
        <v>5.3966243211918785E-2</v>
      </c>
      <c r="H99" s="6">
        <f t="shared" si="8"/>
        <v>7.1945548791090053E-2</v>
      </c>
      <c r="I99" s="23">
        <f t="shared" si="9"/>
        <v>1.9786241295480844E-2</v>
      </c>
    </row>
    <row r="100" spans="1:9" x14ac:dyDescent="0.35">
      <c r="A100" t="s">
        <v>51</v>
      </c>
      <c r="B100" s="3">
        <v>9.6718647797215773</v>
      </c>
      <c r="C100" s="3">
        <v>5.532615644537457</v>
      </c>
      <c r="D100" s="3">
        <v>7.8475241743670043</v>
      </c>
      <c r="E100" s="6">
        <f t="shared" si="11"/>
        <v>-0.42796805264095888</v>
      </c>
      <c r="F100" s="6">
        <f t="shared" si="6"/>
        <v>0.41841123232826349</v>
      </c>
      <c r="G100" s="6">
        <f t="shared" si="7"/>
        <v>-0.10569829885836468</v>
      </c>
      <c r="H100" s="6">
        <f t="shared" si="8"/>
        <v>9.1316045014049774E-2</v>
      </c>
      <c r="I100" s="23">
        <f t="shared" si="9"/>
        <v>0.84637928496922243</v>
      </c>
    </row>
    <row r="101" spans="1:9" x14ac:dyDescent="0.35">
      <c r="A101" t="s">
        <v>68</v>
      </c>
      <c r="B101" s="3">
        <v>10.933559038450477</v>
      </c>
      <c r="C101" s="3">
        <v>13.601302528457378</v>
      </c>
      <c r="D101" s="3">
        <v>22.689931885967603</v>
      </c>
      <c r="E101" s="6">
        <f t="shared" si="11"/>
        <v>0.24399589197123664</v>
      </c>
      <c r="F101" s="6">
        <f t="shared" si="6"/>
        <v>0.6682175724342948</v>
      </c>
      <c r="G101" s="6">
        <f t="shared" si="7"/>
        <v>4.4633115794247002E-2</v>
      </c>
      <c r="H101" s="6">
        <f t="shared" si="8"/>
        <v>0.13648359965550361</v>
      </c>
      <c r="I101" s="23">
        <f t="shared" si="9"/>
        <v>0.42422168046305819</v>
      </c>
    </row>
    <row r="102" spans="1:9" x14ac:dyDescent="0.35">
      <c r="A102" t="s">
        <v>91</v>
      </c>
      <c r="B102" s="3">
        <v>14.633259467438902</v>
      </c>
      <c r="C102" s="3">
        <v>21.095941957658759</v>
      </c>
      <c r="D102" s="3">
        <v>36.315960905902422</v>
      </c>
      <c r="E102" s="6">
        <f t="shared" si="11"/>
        <v>0.44164340177253403</v>
      </c>
      <c r="F102" s="6">
        <f t="shared" si="6"/>
        <v>0.72146666779760094</v>
      </c>
      <c r="G102" s="6">
        <f t="shared" si="7"/>
        <v>7.5899163164889982E-2</v>
      </c>
      <c r="H102" s="6">
        <f t="shared" si="8"/>
        <v>0.14544609107790407</v>
      </c>
      <c r="I102" s="23">
        <f t="shared" si="9"/>
        <v>0.27982326602506691</v>
      </c>
    </row>
    <row r="103" spans="1:9" x14ac:dyDescent="0.35">
      <c r="A103" t="s">
        <v>47</v>
      </c>
      <c r="B103" s="3">
        <v>5.6486101756176508</v>
      </c>
      <c r="C103" s="3">
        <v>4.4997424142428715</v>
      </c>
      <c r="D103" s="3">
        <v>7.905420140578082</v>
      </c>
      <c r="E103" s="6">
        <f t="shared" si="11"/>
        <v>-0.20338945787653964</v>
      </c>
      <c r="F103" s="6">
        <f t="shared" si="6"/>
        <v>0.75686059618776003</v>
      </c>
      <c r="G103" s="6">
        <f t="shared" si="7"/>
        <v>-4.445925621284319E-2</v>
      </c>
      <c r="H103" s="6">
        <f t="shared" si="8"/>
        <v>0.15128892147155515</v>
      </c>
      <c r="I103" s="23">
        <f t="shared" si="9"/>
        <v>0.96025005406429964</v>
      </c>
    </row>
    <row r="104" spans="1:9" x14ac:dyDescent="0.35">
      <c r="A104" t="s">
        <v>62</v>
      </c>
      <c r="B104" s="3">
        <v>0.71329713375271953</v>
      </c>
      <c r="C104" s="3">
        <v>8.0263161233659783</v>
      </c>
      <c r="D104" s="3">
        <v>15.362628950222767</v>
      </c>
      <c r="E104" s="6"/>
      <c r="F104" s="6">
        <f t="shared" si="6"/>
        <v>0.91403237974885243</v>
      </c>
      <c r="G104" s="6">
        <f t="shared" si="7"/>
        <v>0.62274080287012334</v>
      </c>
      <c r="H104" s="6">
        <f t="shared" si="8"/>
        <v>0.1762166427690357</v>
      </c>
      <c r="I104" s="23">
        <f t="shared" si="9"/>
        <v>0.91403237974885243</v>
      </c>
    </row>
    <row r="105" spans="1:9" x14ac:dyDescent="0.35">
      <c r="A105" t="s">
        <v>76</v>
      </c>
      <c r="B105" s="3">
        <v>4.811155322381663</v>
      </c>
      <c r="C105" s="3">
        <v>5.6576497894388753</v>
      </c>
      <c r="D105" s="3">
        <v>11.001373890249562</v>
      </c>
      <c r="E105" s="6">
        <f>(C105-B105)/B105</f>
        <v>0.17594411536025253</v>
      </c>
      <c r="F105" s="6">
        <f t="shared" si="6"/>
        <v>0.94451305748648617</v>
      </c>
      <c r="G105" s="6">
        <f t="shared" si="7"/>
        <v>3.2945330274492202E-2</v>
      </c>
      <c r="H105" s="6">
        <f t="shared" si="8"/>
        <v>0.18087170337044145</v>
      </c>
      <c r="I105" s="23">
        <f t="shared" si="9"/>
        <v>0.76856894212623361</v>
      </c>
    </row>
    <row r="106" spans="1:9" x14ac:dyDescent="0.35">
      <c r="A106" t="s">
        <v>90</v>
      </c>
      <c r="B106" s="3">
        <v>1.8201538354901259</v>
      </c>
      <c r="C106" s="3">
        <v>15.810254075868269</v>
      </c>
      <c r="D106" s="3">
        <v>32.824990914279496</v>
      </c>
      <c r="E106" s="6"/>
      <c r="F106" s="6">
        <f t="shared" si="6"/>
        <v>1.0761836436506991</v>
      </c>
      <c r="G106" s="6">
        <f t="shared" si="7"/>
        <v>0.54087053600320001</v>
      </c>
      <c r="H106" s="6">
        <f t="shared" si="8"/>
        <v>0.20037361651458241</v>
      </c>
      <c r="I106" s="23">
        <f t="shared" si="9"/>
        <v>1.0761836436506991</v>
      </c>
    </row>
    <row r="107" spans="1:9" x14ac:dyDescent="0.35">
      <c r="A107" t="s">
        <v>59</v>
      </c>
      <c r="B107" s="3">
        <v>0</v>
      </c>
      <c r="C107" s="3">
        <v>4.3406144033169749</v>
      </c>
      <c r="D107" s="3">
        <v>10.007213798082931</v>
      </c>
      <c r="E107" s="6"/>
      <c r="F107" s="6">
        <f t="shared" si="6"/>
        <v>1.30548324919986</v>
      </c>
      <c r="G107" s="6"/>
      <c r="H107" s="6">
        <f t="shared" si="8"/>
        <v>0.2322263535473057</v>
      </c>
      <c r="I107" s="23">
        <f t="shared" si="9"/>
        <v>1.30548324919986</v>
      </c>
    </row>
    <row r="108" spans="1:9" x14ac:dyDescent="0.35">
      <c r="A108" t="s">
        <v>84</v>
      </c>
      <c r="B108" s="3">
        <v>11.906918137676456</v>
      </c>
      <c r="C108" s="3">
        <v>8.5405928117822025</v>
      </c>
      <c r="D108" s="3">
        <v>22.128310502389212</v>
      </c>
      <c r="E108" s="6">
        <f>(C108-B108)/B108</f>
        <v>-0.28272012009911796</v>
      </c>
      <c r="F108" s="6">
        <f t="shared" si="6"/>
        <v>1.5909572075444258</v>
      </c>
      <c r="G108" s="6">
        <f t="shared" si="7"/>
        <v>-6.4297629403019974E-2</v>
      </c>
      <c r="H108" s="6">
        <f t="shared" si="8"/>
        <v>0.26871787895691157</v>
      </c>
      <c r="I108" s="23">
        <f t="shared" si="9"/>
        <v>1.8736773276435437</v>
      </c>
    </row>
    <row r="109" spans="1:9" x14ac:dyDescent="0.35">
      <c r="A109" t="s">
        <v>52</v>
      </c>
      <c r="B109" s="3">
        <v>13.168129792199135</v>
      </c>
      <c r="C109" s="3">
        <v>21.83117516323049</v>
      </c>
      <c r="D109" s="3">
        <v>60.895271765381224</v>
      </c>
      <c r="E109" s="6">
        <f>(C109-B109)/B109</f>
        <v>0.65787970712161314</v>
      </c>
      <c r="F109" s="6">
        <f t="shared" si="6"/>
        <v>1.78937213915745</v>
      </c>
      <c r="G109" s="6">
        <f t="shared" si="7"/>
        <v>0.10639601569178336</v>
      </c>
      <c r="H109" s="6">
        <f t="shared" si="8"/>
        <v>0.29233948831061252</v>
      </c>
      <c r="I109" s="23">
        <f t="shared" si="9"/>
        <v>1.1314924320358368</v>
      </c>
    </row>
    <row r="135" spans="1:13" x14ac:dyDescent="0.35">
      <c r="A135" t="s">
        <v>102</v>
      </c>
    </row>
    <row r="136" spans="1:13" x14ac:dyDescent="0.35">
      <c r="I136" t="s">
        <v>110</v>
      </c>
    </row>
    <row r="137" spans="1:13" ht="72.5" x14ac:dyDescent="0.35">
      <c r="A137" s="12" t="s">
        <v>44</v>
      </c>
      <c r="B137" s="12" t="s">
        <v>104</v>
      </c>
      <c r="C137" s="12" t="s">
        <v>105</v>
      </c>
      <c r="D137" s="12" t="s">
        <v>106</v>
      </c>
      <c r="E137" s="4" t="s">
        <v>93</v>
      </c>
      <c r="F137" s="4" t="s">
        <v>107</v>
      </c>
      <c r="G137" s="4" t="s">
        <v>108</v>
      </c>
      <c r="H137" s="4" t="s">
        <v>109</v>
      </c>
      <c r="I137" s="4">
        <v>2013</v>
      </c>
      <c r="J137" s="4">
        <v>2018</v>
      </c>
      <c r="K137" s="4">
        <v>2022</v>
      </c>
      <c r="L137" s="4" t="s">
        <v>103</v>
      </c>
      <c r="M137" s="4" t="s">
        <v>111</v>
      </c>
    </row>
    <row r="138" spans="1:13" x14ac:dyDescent="0.35">
      <c r="A138" s="7" t="s">
        <v>45</v>
      </c>
      <c r="B138">
        <v>11139</v>
      </c>
      <c r="C138">
        <v>139821</v>
      </c>
      <c r="D138">
        <v>62147.717864361715</v>
      </c>
      <c r="E138" t="s">
        <v>45</v>
      </c>
      <c r="F138" s="10">
        <v>38000626.500000022</v>
      </c>
      <c r="G138" s="10">
        <v>41927007.000000007</v>
      </c>
      <c r="H138" s="10">
        <v>44903225.000000007</v>
      </c>
      <c r="I138" s="11">
        <f>(B138*10000)/F138</f>
        <v>2.931267462129866</v>
      </c>
      <c r="J138" s="11">
        <f t="shared" ref="J138:K138" si="12">(C138*10000)/G138</f>
        <v>33.34867189542053</v>
      </c>
      <c r="K138" s="11">
        <f t="shared" si="12"/>
        <v>13.840368451121652</v>
      </c>
      <c r="L138">
        <f>(C138-B138)/B138</f>
        <v>11.552383517371398</v>
      </c>
      <c r="M138">
        <f>(D138-C138)/C138</f>
        <v>-0.5555194293821264</v>
      </c>
    </row>
    <row r="139" spans="1:13" x14ac:dyDescent="0.35">
      <c r="A139" s="7" t="s">
        <v>46</v>
      </c>
      <c r="B139">
        <v>30</v>
      </c>
      <c r="C139">
        <v>54113</v>
      </c>
      <c r="D139">
        <v>75442.979162440766</v>
      </c>
      <c r="E139" t="s">
        <v>46</v>
      </c>
      <c r="F139" s="10">
        <v>26147002.000000011</v>
      </c>
      <c r="G139" s="10">
        <v>31273533.000000004</v>
      </c>
      <c r="H139" s="10">
        <v>35588987.00000003</v>
      </c>
      <c r="I139" s="11">
        <f t="shared" ref="I139:I185" si="13">(B139*10000)/F139</f>
        <v>1.147359073900709E-2</v>
      </c>
      <c r="J139" s="11">
        <f t="shared" ref="J139:J185" si="14">(C139*10000)/G139</f>
        <v>17.303129774304679</v>
      </c>
      <c r="K139" s="11">
        <f t="shared" ref="K139:K185" si="15">(D139*10000)/H139</f>
        <v>21.19840588956373</v>
      </c>
      <c r="L139">
        <f t="shared" ref="L139:L185" si="16">(C139-B139)/B139</f>
        <v>1802.7666666666667</v>
      </c>
      <c r="M139">
        <f t="shared" ref="M139:M185" si="17">(D139-C139)/C139</f>
        <v>0.3941747669218259</v>
      </c>
    </row>
    <row r="140" spans="1:13" x14ac:dyDescent="0.35">
      <c r="A140" s="7" t="s">
        <v>47</v>
      </c>
      <c r="B140">
        <v>5823</v>
      </c>
      <c r="C140">
        <v>5373</v>
      </c>
      <c r="D140">
        <v>10556</v>
      </c>
      <c r="E140" t="s">
        <v>47</v>
      </c>
      <c r="F140" s="10">
        <v>10308730.499999994</v>
      </c>
      <c r="G140" s="10">
        <v>11940683.499999994</v>
      </c>
      <c r="H140" s="10">
        <v>13352864</v>
      </c>
      <c r="I140" s="11">
        <f t="shared" si="13"/>
        <v>5.6486101756176508</v>
      </c>
      <c r="J140" s="11">
        <f t="shared" si="14"/>
        <v>4.4997424142428715</v>
      </c>
      <c r="K140" s="11">
        <f t="shared" si="15"/>
        <v>7.9054201405780811</v>
      </c>
      <c r="L140">
        <f t="shared" si="16"/>
        <v>-7.7279752704791344E-2</v>
      </c>
      <c r="M140">
        <f t="shared" si="17"/>
        <v>0.96463800483900985</v>
      </c>
    </row>
    <row r="141" spans="1:13" x14ac:dyDescent="0.35">
      <c r="A141" s="7" t="s">
        <v>48</v>
      </c>
      <c r="B141">
        <v>8136</v>
      </c>
      <c r="C141">
        <v>8570</v>
      </c>
      <c r="D141">
        <v>9020</v>
      </c>
      <c r="E141" t="s">
        <v>48</v>
      </c>
      <c r="F141" s="10">
        <v>2217278.0000000009</v>
      </c>
      <c r="G141" s="10">
        <v>2451408.4999999995</v>
      </c>
      <c r="H141" s="10">
        <v>2630296.0000000019</v>
      </c>
      <c r="I141" s="11">
        <f t="shared" si="13"/>
        <v>36.69363967892162</v>
      </c>
      <c r="J141" s="11">
        <f t="shared" si="14"/>
        <v>34.95949369515526</v>
      </c>
      <c r="K141" s="11">
        <f t="shared" si="15"/>
        <v>34.292718386067548</v>
      </c>
      <c r="L141">
        <f t="shared" si="16"/>
        <v>5.3343166175024583E-2</v>
      </c>
      <c r="M141">
        <f t="shared" si="17"/>
        <v>5.2508751458576426E-2</v>
      </c>
    </row>
    <row r="142" spans="1:13" x14ac:dyDescent="0.35">
      <c r="A142" s="7" t="s">
        <v>49</v>
      </c>
      <c r="B142">
        <v>8590</v>
      </c>
      <c r="C142">
        <v>18578</v>
      </c>
      <c r="D142">
        <v>26578</v>
      </c>
      <c r="E142" t="s">
        <v>49</v>
      </c>
      <c r="F142" s="10">
        <v>17636407.5</v>
      </c>
      <c r="G142" s="10">
        <v>20392723</v>
      </c>
      <c r="H142" s="10">
        <v>22673762.000000011</v>
      </c>
      <c r="I142" s="11">
        <f t="shared" si="13"/>
        <v>4.8706064429504705</v>
      </c>
      <c r="J142" s="11">
        <f t="shared" si="14"/>
        <v>9.1101124651180712</v>
      </c>
      <c r="K142" s="11">
        <f t="shared" si="15"/>
        <v>11.72191892990673</v>
      </c>
      <c r="L142">
        <f t="shared" si="16"/>
        <v>1.1627473806752038</v>
      </c>
      <c r="M142">
        <f t="shared" si="17"/>
        <v>0.43061685865001614</v>
      </c>
    </row>
    <row r="143" spans="1:13" x14ac:dyDescent="0.35">
      <c r="A143" s="7" t="s">
        <v>50</v>
      </c>
      <c r="B143">
        <v>7162</v>
      </c>
      <c r="C143">
        <v>10400</v>
      </c>
      <c r="D143">
        <v>10565.586567321363</v>
      </c>
      <c r="E143" t="s">
        <v>50</v>
      </c>
      <c r="F143" s="10">
        <v>10149577.500000002</v>
      </c>
      <c r="G143" s="10">
        <v>11493472.499999993</v>
      </c>
      <c r="H143" s="10">
        <v>12889576.499999994</v>
      </c>
      <c r="I143" s="11">
        <f t="shared" si="13"/>
        <v>7.056451364601136</v>
      </c>
      <c r="J143" s="11">
        <f t="shared" si="14"/>
        <v>9.0486143330486115</v>
      </c>
      <c r="K143" s="11">
        <f t="shared" si="15"/>
        <v>8.1970005510432156</v>
      </c>
      <c r="L143">
        <f t="shared" si="16"/>
        <v>0.45210834962301033</v>
      </c>
      <c r="M143">
        <f t="shared" si="17"/>
        <v>1.5921785319361823E-2</v>
      </c>
    </row>
    <row r="144" spans="1:13" x14ac:dyDescent="0.35">
      <c r="A144" s="7" t="s">
        <v>51</v>
      </c>
      <c r="B144">
        <v>20923</v>
      </c>
      <c r="C144">
        <v>13874</v>
      </c>
      <c r="D144">
        <v>21906</v>
      </c>
      <c r="E144" t="s">
        <v>51</v>
      </c>
      <c r="F144" s="10">
        <v>21632850.000000004</v>
      </c>
      <c r="G144" s="10">
        <v>25076746.500000015</v>
      </c>
      <c r="H144" s="10">
        <v>27914536.499999989</v>
      </c>
      <c r="I144" s="11">
        <f t="shared" si="13"/>
        <v>9.6718647797215791</v>
      </c>
      <c r="J144" s="11">
        <f t="shared" si="14"/>
        <v>5.532615644537457</v>
      </c>
      <c r="K144" s="11">
        <f t="shared" si="15"/>
        <v>7.8475241743670034</v>
      </c>
      <c r="L144">
        <f t="shared" si="16"/>
        <v>-0.33690197390431581</v>
      </c>
      <c r="M144">
        <f t="shared" si="17"/>
        <v>0.57892460717889582</v>
      </c>
    </row>
    <row r="145" spans="1:13" x14ac:dyDescent="0.35">
      <c r="A145" s="7" t="s">
        <v>52</v>
      </c>
      <c r="B145">
        <v>711</v>
      </c>
      <c r="C145">
        <v>1247</v>
      </c>
      <c r="D145">
        <v>3612</v>
      </c>
      <c r="E145" t="s">
        <v>52</v>
      </c>
      <c r="F145" s="10">
        <v>539939.99999999988</v>
      </c>
      <c r="G145" s="10">
        <v>571201.5</v>
      </c>
      <c r="H145" s="10">
        <v>593149.50000000012</v>
      </c>
      <c r="I145" s="11">
        <f t="shared" si="13"/>
        <v>13.168129792199137</v>
      </c>
      <c r="J145" s="11">
        <f t="shared" si="14"/>
        <v>21.83117516323049</v>
      </c>
      <c r="K145" s="11">
        <f t="shared" si="15"/>
        <v>60.895271765381231</v>
      </c>
      <c r="L145">
        <f t="shared" si="16"/>
        <v>0.75386779184247543</v>
      </c>
      <c r="M145">
        <f t="shared" si="17"/>
        <v>1.896551724137931</v>
      </c>
    </row>
    <row r="146" spans="1:13" x14ac:dyDescent="0.35">
      <c r="A146" s="7" t="s">
        <v>53</v>
      </c>
      <c r="B146">
        <v>1160</v>
      </c>
      <c r="C146">
        <v>1974</v>
      </c>
      <c r="D146">
        <v>1331.8697270471462</v>
      </c>
      <c r="E146" t="s">
        <v>53</v>
      </c>
      <c r="F146" s="10">
        <v>4802428.5000000102</v>
      </c>
      <c r="G146" s="10">
        <v>5094779.9999999991</v>
      </c>
      <c r="H146" s="10">
        <v>5579143.5000000047</v>
      </c>
      <c r="I146" s="11">
        <f t="shared" si="13"/>
        <v>2.4154446026630016</v>
      </c>
      <c r="J146" s="11">
        <f t="shared" si="14"/>
        <v>3.8745539552247603</v>
      </c>
      <c r="K146" s="11">
        <f t="shared" si="15"/>
        <v>2.3872297370504003</v>
      </c>
      <c r="L146">
        <f t="shared" si="16"/>
        <v>0.7017241379310345</v>
      </c>
      <c r="M146">
        <f t="shared" si="17"/>
        <v>-0.32529395792951055</v>
      </c>
    </row>
    <row r="147" spans="1:13" x14ac:dyDescent="0.35">
      <c r="A147" s="7" t="s">
        <v>54</v>
      </c>
      <c r="B147">
        <v>4630</v>
      </c>
      <c r="C147">
        <v>6538</v>
      </c>
      <c r="D147">
        <v>5798.3930605903679</v>
      </c>
      <c r="E147" t="s">
        <v>54</v>
      </c>
      <c r="F147" s="10">
        <v>13216766.5</v>
      </c>
      <c r="G147" s="10">
        <v>15604210</v>
      </c>
      <c r="H147" s="10">
        <v>17723314.500000004</v>
      </c>
      <c r="I147" s="11">
        <f t="shared" si="13"/>
        <v>3.5031261239275127</v>
      </c>
      <c r="J147" s="11">
        <f t="shared" si="14"/>
        <v>4.1898949065668818</v>
      </c>
      <c r="K147" s="11">
        <f t="shared" si="15"/>
        <v>3.2716188953202665</v>
      </c>
      <c r="L147">
        <f t="shared" si="16"/>
        <v>0.41209503239740819</v>
      </c>
      <c r="M147">
        <f t="shared" si="17"/>
        <v>-0.11312434068669809</v>
      </c>
    </row>
    <row r="148" spans="1:13" x14ac:dyDescent="0.35">
      <c r="A148" s="7" t="s">
        <v>55</v>
      </c>
      <c r="B148">
        <v>418</v>
      </c>
      <c r="C148">
        <v>1454</v>
      </c>
      <c r="D148">
        <v>1724.9709740708436</v>
      </c>
      <c r="E148" t="s">
        <v>55</v>
      </c>
      <c r="F148" s="10">
        <v>699392.50000000035</v>
      </c>
      <c r="G148" s="10">
        <v>776313.50000000058</v>
      </c>
      <c r="H148" s="10">
        <v>836773.49999999965</v>
      </c>
      <c r="I148" s="11">
        <f t="shared" si="13"/>
        <v>5.9766154198107611</v>
      </c>
      <c r="J148" s="11">
        <f t="shared" si="14"/>
        <v>18.729546761714165</v>
      </c>
      <c r="K148" s="11">
        <f t="shared" si="15"/>
        <v>20.614550700647719</v>
      </c>
      <c r="L148">
        <f t="shared" si="16"/>
        <v>2.4784688995215309</v>
      </c>
      <c r="M148">
        <f t="shared" si="17"/>
        <v>0.1863624305851744</v>
      </c>
    </row>
    <row r="149" spans="1:13" x14ac:dyDescent="0.35">
      <c r="A149" s="7" t="s">
        <v>56</v>
      </c>
      <c r="B149">
        <v>4571</v>
      </c>
      <c r="C149">
        <v>6694</v>
      </c>
      <c r="D149">
        <v>7657.4138703986164</v>
      </c>
      <c r="E149" t="s">
        <v>56</v>
      </c>
      <c r="F149" s="10">
        <v>4828066.5000000028</v>
      </c>
      <c r="G149" s="10">
        <v>5441061.9999999972</v>
      </c>
      <c r="H149" s="10">
        <v>5970424.0000000009</v>
      </c>
      <c r="I149" s="11">
        <f t="shared" si="13"/>
        <v>9.4675580794092156</v>
      </c>
      <c r="J149" s="11">
        <f t="shared" si="14"/>
        <v>12.302745309647277</v>
      </c>
      <c r="K149" s="11">
        <f t="shared" si="15"/>
        <v>12.82557799981813</v>
      </c>
      <c r="L149">
        <f t="shared" si="16"/>
        <v>0.46444979216801574</v>
      </c>
      <c r="M149">
        <f t="shared" si="17"/>
        <v>0.14392200035832334</v>
      </c>
    </row>
    <row r="150" spans="1:13" x14ac:dyDescent="0.35">
      <c r="A150" s="7" t="s">
        <v>57</v>
      </c>
      <c r="B150">
        <v>17871</v>
      </c>
      <c r="C150">
        <v>26225</v>
      </c>
      <c r="D150">
        <v>32977.78546925736</v>
      </c>
      <c r="E150" t="s">
        <v>57</v>
      </c>
      <c r="F150" s="10">
        <v>22469267.5</v>
      </c>
      <c r="G150" s="10">
        <v>25493988.499999996</v>
      </c>
      <c r="H150" s="10">
        <v>28160542.500000004</v>
      </c>
      <c r="I150" s="11">
        <f t="shared" si="13"/>
        <v>7.9535303053381687</v>
      </c>
      <c r="J150" s="11">
        <f t="shared" si="14"/>
        <v>10.286738773730914</v>
      </c>
      <c r="K150" s="11">
        <f t="shared" si="15"/>
        <v>11.710635712808926</v>
      </c>
      <c r="L150">
        <f t="shared" si="16"/>
        <v>0.46746125006994571</v>
      </c>
      <c r="M150">
        <f t="shared" si="17"/>
        <v>0.2574942028315485</v>
      </c>
    </row>
    <row r="151" spans="1:13" x14ac:dyDescent="0.35">
      <c r="A151" s="7" t="s">
        <v>58</v>
      </c>
      <c r="B151">
        <v>67786</v>
      </c>
      <c r="C151">
        <v>138973</v>
      </c>
      <c r="D151">
        <v>139645.24336836278</v>
      </c>
      <c r="E151" t="s">
        <v>58</v>
      </c>
      <c r="F151" s="10">
        <v>73460021</v>
      </c>
      <c r="G151" s="10">
        <v>87087354.999999985</v>
      </c>
      <c r="H151" s="10">
        <v>99010212</v>
      </c>
      <c r="I151" s="11">
        <f t="shared" si="13"/>
        <v>9.2276042229827304</v>
      </c>
      <c r="J151" s="11">
        <f t="shared" si="14"/>
        <v>15.957885045423646</v>
      </c>
      <c r="K151" s="11">
        <f t="shared" si="15"/>
        <v>14.104125276326323</v>
      </c>
      <c r="L151">
        <f t="shared" si="16"/>
        <v>1.0501726020122149</v>
      </c>
      <c r="M151">
        <f t="shared" si="17"/>
        <v>4.8372228300660926E-3</v>
      </c>
    </row>
    <row r="152" spans="1:13" x14ac:dyDescent="0.35">
      <c r="A152" s="7" t="s">
        <v>59</v>
      </c>
      <c r="B152">
        <v>0</v>
      </c>
      <c r="C152">
        <v>652</v>
      </c>
      <c r="D152">
        <v>1676.1162448119487</v>
      </c>
      <c r="E152" t="s">
        <v>59</v>
      </c>
      <c r="F152" s="10">
        <v>1243941.0000000002</v>
      </c>
      <c r="G152" s="10">
        <v>1502091.5000000002</v>
      </c>
      <c r="H152" s="10">
        <v>1674908</v>
      </c>
      <c r="I152" s="11">
        <f t="shared" si="13"/>
        <v>0</v>
      </c>
      <c r="J152" s="11">
        <f t="shared" si="14"/>
        <v>4.340614403316974</v>
      </c>
      <c r="K152" s="11">
        <f t="shared" si="15"/>
        <v>10.007213798082931</v>
      </c>
      <c r="L152" t="e">
        <f t="shared" si="16"/>
        <v>#DIV/0!</v>
      </c>
      <c r="M152">
        <f t="shared" si="17"/>
        <v>1.5707304368281423</v>
      </c>
    </row>
    <row r="153" spans="1:13" x14ac:dyDescent="0.35">
      <c r="A153" s="7" t="s">
        <v>60</v>
      </c>
      <c r="B153">
        <v>4434</v>
      </c>
      <c r="C153">
        <v>5296</v>
      </c>
      <c r="D153">
        <v>5372.8176475233076</v>
      </c>
      <c r="E153" t="s">
        <v>60</v>
      </c>
      <c r="F153" s="10">
        <v>3296367</v>
      </c>
      <c r="G153" s="10">
        <v>3445374.4999999986</v>
      </c>
      <c r="H153" s="10">
        <v>3684031.5000000019</v>
      </c>
      <c r="I153" s="11">
        <f t="shared" si="13"/>
        <v>13.451172154071436</v>
      </c>
      <c r="J153" s="11">
        <f t="shared" si="14"/>
        <v>15.371333363034998</v>
      </c>
      <c r="K153" s="11">
        <f t="shared" si="15"/>
        <v>14.584070867806926</v>
      </c>
      <c r="L153">
        <f t="shared" si="16"/>
        <v>0.19440685611186287</v>
      </c>
      <c r="M153">
        <f t="shared" si="17"/>
        <v>1.4504842810292228E-2</v>
      </c>
    </row>
    <row r="154" spans="1:13" x14ac:dyDescent="0.35">
      <c r="A154" s="7" t="s">
        <v>61</v>
      </c>
      <c r="B154">
        <v>3735</v>
      </c>
      <c r="C154">
        <v>4998</v>
      </c>
      <c r="D154">
        <v>5943</v>
      </c>
      <c r="E154" t="s">
        <v>61</v>
      </c>
      <c r="F154" s="10">
        <v>1118318.9999999998</v>
      </c>
      <c r="G154" s="10">
        <v>1160427.5</v>
      </c>
      <c r="H154" s="10">
        <v>1201670.4999999995</v>
      </c>
      <c r="I154" s="11">
        <f t="shared" si="13"/>
        <v>33.398341618089297</v>
      </c>
      <c r="J154" s="11">
        <f t="shared" si="14"/>
        <v>43.070333993291264</v>
      </c>
      <c r="K154" s="11">
        <f t="shared" si="15"/>
        <v>49.456152913797936</v>
      </c>
      <c r="L154">
        <f t="shared" si="16"/>
        <v>0.33815261044176709</v>
      </c>
      <c r="M154">
        <f t="shared" si="17"/>
        <v>0.18907563025210083</v>
      </c>
    </row>
    <row r="155" spans="1:13" x14ac:dyDescent="0.35">
      <c r="A155" s="7" t="s">
        <v>62</v>
      </c>
      <c r="B155">
        <v>6925</v>
      </c>
      <c r="C155">
        <v>89196</v>
      </c>
      <c r="D155">
        <v>189544</v>
      </c>
      <c r="E155" t="s">
        <v>62</v>
      </c>
      <c r="F155" s="10">
        <v>97084366.000000045</v>
      </c>
      <c r="G155" s="10">
        <v>111129438.00000001</v>
      </c>
      <c r="H155" s="10">
        <v>123379924.50000004</v>
      </c>
      <c r="I155" s="11">
        <f t="shared" si="13"/>
        <v>0.71329713375271941</v>
      </c>
      <c r="J155" s="11">
        <f t="shared" si="14"/>
        <v>8.0263161233659783</v>
      </c>
      <c r="K155" s="11">
        <f t="shared" si="15"/>
        <v>15.362628950222767</v>
      </c>
      <c r="L155">
        <f t="shared" si="16"/>
        <v>11.880288808664259</v>
      </c>
      <c r="M155">
        <f t="shared" si="17"/>
        <v>1.1250280281626979</v>
      </c>
    </row>
    <row r="156" spans="1:13" x14ac:dyDescent="0.35">
      <c r="A156" s="7" t="s">
        <v>63</v>
      </c>
      <c r="B156">
        <v>437</v>
      </c>
      <c r="C156">
        <v>8186</v>
      </c>
      <c r="D156">
        <v>6936.9896979221239</v>
      </c>
      <c r="E156" t="s">
        <v>63</v>
      </c>
      <c r="F156" s="10">
        <v>1902226.5000000007</v>
      </c>
      <c r="G156" s="10">
        <v>2192011.5</v>
      </c>
      <c r="H156" s="10">
        <v>2388992.5000000005</v>
      </c>
      <c r="I156" s="11">
        <f t="shared" si="13"/>
        <v>2.2973079178531046</v>
      </c>
      <c r="J156" s="11">
        <f t="shared" si="14"/>
        <v>37.344694587596827</v>
      </c>
      <c r="K156" s="11">
        <f t="shared" si="15"/>
        <v>29.037302117617038</v>
      </c>
      <c r="L156">
        <f t="shared" si="16"/>
        <v>17.732265446224257</v>
      </c>
      <c r="M156">
        <f t="shared" si="17"/>
        <v>-0.1525788299630926</v>
      </c>
    </row>
    <row r="157" spans="1:13" x14ac:dyDescent="0.35">
      <c r="A157" s="7" t="s">
        <v>64</v>
      </c>
      <c r="B157">
        <v>2858</v>
      </c>
      <c r="C157">
        <v>2116</v>
      </c>
      <c r="D157">
        <v>2082.270897043833</v>
      </c>
      <c r="E157" t="s">
        <v>64</v>
      </c>
      <c r="F157" s="10">
        <v>2124869.5</v>
      </c>
      <c r="G157" s="10">
        <v>2444915.5000000014</v>
      </c>
      <c r="H157" s="10">
        <v>2705991.9999999995</v>
      </c>
      <c r="I157" s="11">
        <f t="shared" si="13"/>
        <v>13.450237767542902</v>
      </c>
      <c r="J157" s="11">
        <f t="shared" si="14"/>
        <v>8.6546958371362894</v>
      </c>
      <c r="K157" s="11">
        <f t="shared" si="15"/>
        <v>7.695037151047873</v>
      </c>
      <c r="L157">
        <f t="shared" si="16"/>
        <v>-0.25962211336599023</v>
      </c>
      <c r="M157">
        <f t="shared" si="17"/>
        <v>-1.5940029752441884E-2</v>
      </c>
    </row>
    <row r="158" spans="1:13" x14ac:dyDescent="0.35">
      <c r="A158" s="7" t="s">
        <v>65</v>
      </c>
      <c r="B158">
        <v>51421</v>
      </c>
      <c r="C158">
        <v>140055</v>
      </c>
      <c r="D158">
        <v>152812.27697797568</v>
      </c>
      <c r="E158" t="s">
        <v>65</v>
      </c>
      <c r="F158" s="10">
        <v>27525596.999999989</v>
      </c>
      <c r="G158" s="10">
        <v>30870640.5</v>
      </c>
      <c r="H158" s="10">
        <v>33475870.500000011</v>
      </c>
      <c r="I158" s="11">
        <f t="shared" si="13"/>
        <v>18.681157033578607</v>
      </c>
      <c r="J158" s="11">
        <f t="shared" si="14"/>
        <v>45.368349257282176</v>
      </c>
      <c r="K158" s="11">
        <f t="shared" si="15"/>
        <v>45.648484922289214</v>
      </c>
      <c r="L158">
        <f t="shared" si="16"/>
        <v>1.7236926547519495</v>
      </c>
      <c r="M158">
        <f t="shared" si="17"/>
        <v>9.1087622562391043E-2</v>
      </c>
    </row>
    <row r="159" spans="1:13" x14ac:dyDescent="0.35">
      <c r="A159" s="7" t="s">
        <v>66</v>
      </c>
      <c r="B159">
        <v>8133</v>
      </c>
      <c r="C159">
        <v>10848</v>
      </c>
      <c r="D159">
        <v>6253.3339237473792</v>
      </c>
      <c r="E159" t="s">
        <v>66</v>
      </c>
      <c r="F159" s="10">
        <v>11055430.000000004</v>
      </c>
      <c r="G159" s="10">
        <v>12554864.499999998</v>
      </c>
      <c r="H159" s="10">
        <v>13859340.500000006</v>
      </c>
      <c r="I159" s="11">
        <f t="shared" si="13"/>
        <v>7.3565659589902852</v>
      </c>
      <c r="J159" s="11">
        <f t="shared" si="14"/>
        <v>8.6404755702460996</v>
      </c>
      <c r="K159" s="11">
        <f t="shared" si="15"/>
        <v>4.5119996321234597</v>
      </c>
      <c r="L159">
        <f t="shared" si="16"/>
        <v>0.33382515676872004</v>
      </c>
      <c r="M159">
        <f t="shared" si="17"/>
        <v>-0.42354960142446724</v>
      </c>
    </row>
    <row r="160" spans="1:13" x14ac:dyDescent="0.35">
      <c r="A160" s="7" t="s">
        <v>67</v>
      </c>
      <c r="B160">
        <v>1234</v>
      </c>
      <c r="C160">
        <v>1999</v>
      </c>
      <c r="D160">
        <v>2606.8737642585552</v>
      </c>
      <c r="E160" t="s">
        <v>67</v>
      </c>
      <c r="F160" s="10">
        <v>1697752.4999999993</v>
      </c>
      <c r="G160" s="10">
        <v>1924954.4999999988</v>
      </c>
      <c r="H160" s="10">
        <v>2105565.4999999991</v>
      </c>
      <c r="I160" s="11">
        <f t="shared" si="13"/>
        <v>7.2684328251615034</v>
      </c>
      <c r="J160" s="11">
        <f t="shared" si="14"/>
        <v>10.384661040040173</v>
      </c>
      <c r="K160" s="11">
        <f t="shared" si="15"/>
        <v>12.380872332200335</v>
      </c>
      <c r="L160">
        <f t="shared" si="16"/>
        <v>0.61993517017828204</v>
      </c>
      <c r="M160">
        <f t="shared" si="17"/>
        <v>0.30408892659257386</v>
      </c>
    </row>
    <row r="161" spans="1:13" x14ac:dyDescent="0.35">
      <c r="A161" s="7" t="s">
        <v>68</v>
      </c>
      <c r="B161">
        <v>48974</v>
      </c>
      <c r="C161">
        <v>67943</v>
      </c>
      <c r="D161">
        <v>122588</v>
      </c>
      <c r="E161" t="s">
        <v>68</v>
      </c>
      <c r="F161" s="10">
        <v>44792368.000000007</v>
      </c>
      <c r="G161" s="10">
        <v>49953303.999999993</v>
      </c>
      <c r="H161" s="10">
        <v>54027486.999999978</v>
      </c>
      <c r="I161" s="11">
        <f t="shared" si="13"/>
        <v>10.933559038450477</v>
      </c>
      <c r="J161" s="11">
        <f t="shared" si="14"/>
        <v>13.60130252845738</v>
      </c>
      <c r="K161" s="11">
        <f t="shared" si="15"/>
        <v>22.68993188596761</v>
      </c>
      <c r="L161">
        <f t="shared" si="16"/>
        <v>0.38732796994323521</v>
      </c>
      <c r="M161">
        <f t="shared" si="17"/>
        <v>0.80427711464021312</v>
      </c>
    </row>
    <row r="162" spans="1:13" x14ac:dyDescent="0.35">
      <c r="A162" s="7" t="s">
        <v>69</v>
      </c>
      <c r="B162">
        <v>0</v>
      </c>
      <c r="C162">
        <v>10643</v>
      </c>
      <c r="D162">
        <v>4551.0899117026884</v>
      </c>
      <c r="E162" t="s">
        <v>69</v>
      </c>
      <c r="F162" s="10">
        <v>2073938.4999999998</v>
      </c>
      <c r="G162" s="10">
        <v>2198017</v>
      </c>
      <c r="H162" s="10">
        <v>2305825.5000000019</v>
      </c>
      <c r="I162" s="11">
        <f t="shared" si="13"/>
        <v>0</v>
      </c>
      <c r="J162" s="11">
        <f t="shared" si="14"/>
        <v>48.420917581620159</v>
      </c>
      <c r="K162" s="11">
        <f t="shared" si="15"/>
        <v>19.737356151637165</v>
      </c>
      <c r="L162" t="e">
        <f t="shared" si="16"/>
        <v>#DIV/0!</v>
      </c>
      <c r="M162">
        <f t="shared" si="17"/>
        <v>-0.57238655344332534</v>
      </c>
    </row>
    <row r="163" spans="1:13" x14ac:dyDescent="0.35">
      <c r="A163" s="7" t="s">
        <v>70</v>
      </c>
      <c r="B163">
        <v>974</v>
      </c>
      <c r="C163">
        <v>10108</v>
      </c>
      <c r="D163">
        <v>6366.7192932575135</v>
      </c>
      <c r="E163" t="s">
        <v>70</v>
      </c>
      <c r="F163" s="10">
        <v>4427312.4999999991</v>
      </c>
      <c r="G163" s="10">
        <v>4889391</v>
      </c>
      <c r="H163" s="10">
        <v>5302681.0000000028</v>
      </c>
      <c r="I163" s="11">
        <f t="shared" si="13"/>
        <v>2.1999802363171792</v>
      </c>
      <c r="J163" s="11">
        <f t="shared" si="14"/>
        <v>20.67333130036031</v>
      </c>
      <c r="K163" s="11">
        <f t="shared" si="15"/>
        <v>12.006604382306818</v>
      </c>
      <c r="L163">
        <f t="shared" si="16"/>
        <v>9.3778234086242307</v>
      </c>
      <c r="M163">
        <f t="shared" si="17"/>
        <v>-0.37013065955109681</v>
      </c>
    </row>
    <row r="164" spans="1:13" x14ac:dyDescent="0.35">
      <c r="A164" s="7" t="s">
        <v>71</v>
      </c>
      <c r="B164">
        <v>10361</v>
      </c>
      <c r="C164">
        <v>13784</v>
      </c>
      <c r="D164">
        <v>13784</v>
      </c>
      <c r="E164" t="s">
        <v>71</v>
      </c>
      <c r="F164" s="10">
        <v>23588073.5</v>
      </c>
      <c r="G164" s="10">
        <v>26846541</v>
      </c>
      <c r="H164" s="10">
        <v>29611714.000000004</v>
      </c>
      <c r="I164" s="11">
        <f t="shared" si="13"/>
        <v>4.392474018702714</v>
      </c>
      <c r="J164" s="11">
        <f t="shared" si="14"/>
        <v>5.1343672169908219</v>
      </c>
      <c r="K164" s="11">
        <f t="shared" si="15"/>
        <v>4.654914605753655</v>
      </c>
      <c r="L164">
        <f t="shared" si="16"/>
        <v>0.33037351606987742</v>
      </c>
      <c r="M164">
        <f t="shared" si="17"/>
        <v>0</v>
      </c>
    </row>
    <row r="165" spans="1:13" x14ac:dyDescent="0.35">
      <c r="A165" s="7" t="s">
        <v>72</v>
      </c>
      <c r="B165">
        <v>3793</v>
      </c>
      <c r="C165">
        <v>10717</v>
      </c>
      <c r="D165">
        <v>11311.563775185577</v>
      </c>
      <c r="E165" t="s">
        <v>72</v>
      </c>
      <c r="F165" s="10">
        <v>16024775.499999994</v>
      </c>
      <c r="G165" s="10">
        <v>18367882.999999985</v>
      </c>
      <c r="H165" s="10">
        <v>20405316.500000019</v>
      </c>
      <c r="I165" s="11">
        <f t="shared" si="13"/>
        <v>2.3669598366604272</v>
      </c>
      <c r="J165" s="11">
        <f t="shared" si="14"/>
        <v>5.8346408238772041</v>
      </c>
      <c r="K165" s="11">
        <f t="shared" si="15"/>
        <v>5.5434395125336904</v>
      </c>
      <c r="L165">
        <f t="shared" si="16"/>
        <v>1.8254679673081993</v>
      </c>
      <c r="M165">
        <f t="shared" si="17"/>
        <v>5.5478564447660493E-2</v>
      </c>
    </row>
    <row r="166" spans="1:13" x14ac:dyDescent="0.35">
      <c r="A166" s="7" t="s">
        <v>73</v>
      </c>
      <c r="B166">
        <v>8189</v>
      </c>
      <c r="C166">
        <v>11326</v>
      </c>
      <c r="D166">
        <v>12649.005004448398</v>
      </c>
      <c r="E166" t="s">
        <v>73</v>
      </c>
      <c r="F166" s="10">
        <v>17004032.499999996</v>
      </c>
      <c r="G166" s="10">
        <v>19934298.000000004</v>
      </c>
      <c r="H166" s="10">
        <v>22593590.500000019</v>
      </c>
      <c r="I166" s="11">
        <f t="shared" si="13"/>
        <v>4.8159164598162238</v>
      </c>
      <c r="J166" s="11">
        <f t="shared" si="14"/>
        <v>5.6816648371565419</v>
      </c>
      <c r="K166" s="11">
        <f t="shared" si="15"/>
        <v>5.598492636417566</v>
      </c>
      <c r="L166">
        <f t="shared" si="16"/>
        <v>0.38307485651483697</v>
      </c>
      <c r="M166">
        <f t="shared" si="17"/>
        <v>0.11681131948158201</v>
      </c>
    </row>
    <row r="167" spans="1:13" x14ac:dyDescent="0.35">
      <c r="A167" s="7" t="s">
        <v>74</v>
      </c>
      <c r="B167">
        <v>4836</v>
      </c>
      <c r="C167">
        <v>6547</v>
      </c>
      <c r="D167">
        <v>9116.0346943092882</v>
      </c>
      <c r="E167" t="s">
        <v>74</v>
      </c>
      <c r="F167" s="10">
        <v>3742958.9999999981</v>
      </c>
      <c r="G167" s="10">
        <v>4270711.4999999972</v>
      </c>
      <c r="H167" s="10">
        <v>4736138.9999999991</v>
      </c>
      <c r="I167" s="11">
        <f t="shared" si="13"/>
        <v>12.920259078445696</v>
      </c>
      <c r="J167" s="11">
        <f t="shared" si="14"/>
        <v>15.329998291853721</v>
      </c>
      <c r="K167" s="11">
        <f t="shared" si="15"/>
        <v>19.247819150386611</v>
      </c>
      <c r="L167">
        <f t="shared" si="16"/>
        <v>0.35380479735318443</v>
      </c>
      <c r="M167">
        <f t="shared" si="17"/>
        <v>0.39239876192290946</v>
      </c>
    </row>
    <row r="168" spans="1:13" x14ac:dyDescent="0.35">
      <c r="A168" s="7" t="s">
        <v>75</v>
      </c>
      <c r="B168">
        <v>6009</v>
      </c>
      <c r="C168">
        <v>7948</v>
      </c>
      <c r="D168">
        <v>6999.5342419766348</v>
      </c>
      <c r="E168" t="s">
        <v>75</v>
      </c>
      <c r="F168" s="10">
        <v>1290691.4999999998</v>
      </c>
      <c r="G168" s="10">
        <v>1295381.5000000005</v>
      </c>
      <c r="H168" s="10">
        <v>1299468.9999999986</v>
      </c>
      <c r="I168" s="11">
        <f t="shared" si="13"/>
        <v>46.556438932153817</v>
      </c>
      <c r="J168" s="11">
        <f t="shared" si="14"/>
        <v>61.356442098331627</v>
      </c>
      <c r="K168" s="11">
        <f t="shared" si="15"/>
        <v>53.864572698360966</v>
      </c>
      <c r="L168">
        <f t="shared" si="16"/>
        <v>0.32268264270261277</v>
      </c>
      <c r="M168">
        <f t="shared" si="17"/>
        <v>-0.11933389003816874</v>
      </c>
    </row>
    <row r="169" spans="1:13" x14ac:dyDescent="0.35">
      <c r="A169" s="7" t="s">
        <v>76</v>
      </c>
      <c r="B169">
        <v>12149</v>
      </c>
      <c r="C169">
        <v>16647</v>
      </c>
      <c r="D169">
        <v>36271</v>
      </c>
      <c r="E169" t="s">
        <v>76</v>
      </c>
      <c r="F169" s="10">
        <v>25251730.999999989</v>
      </c>
      <c r="G169" s="10">
        <v>29423878.499999989</v>
      </c>
      <c r="H169" s="10">
        <v>32969518.500000011</v>
      </c>
      <c r="I169" s="11">
        <f t="shared" si="13"/>
        <v>4.8111553223816639</v>
      </c>
      <c r="J169" s="11">
        <f t="shared" si="14"/>
        <v>5.6576497894388753</v>
      </c>
      <c r="K169" s="11">
        <f t="shared" si="15"/>
        <v>11.00137389024956</v>
      </c>
      <c r="L169">
        <f t="shared" si="16"/>
        <v>0.37023623343485063</v>
      </c>
      <c r="M169">
        <f t="shared" si="17"/>
        <v>1.1788310206043131</v>
      </c>
    </row>
    <row r="170" spans="1:13" x14ac:dyDescent="0.35">
      <c r="A170" s="7" t="s">
        <v>77</v>
      </c>
      <c r="B170">
        <v>4110</v>
      </c>
      <c r="C170">
        <v>14406</v>
      </c>
      <c r="D170">
        <v>17172.321723868954</v>
      </c>
      <c r="E170" t="s">
        <v>77</v>
      </c>
      <c r="F170" s="10">
        <v>2204510.0000000005</v>
      </c>
      <c r="G170" s="10">
        <v>2405680.5000000005</v>
      </c>
      <c r="H170" s="10">
        <v>2567012.4999999995</v>
      </c>
      <c r="I170" s="11">
        <f t="shared" si="13"/>
        <v>18.643598804269427</v>
      </c>
      <c r="J170" s="11">
        <f t="shared" si="14"/>
        <v>59.883263799993379</v>
      </c>
      <c r="K170" s="11">
        <f t="shared" si="15"/>
        <v>66.896135970779099</v>
      </c>
      <c r="L170">
        <f t="shared" si="16"/>
        <v>2.5051094890510948</v>
      </c>
      <c r="M170">
        <f t="shared" si="17"/>
        <v>0.19202566457510439</v>
      </c>
    </row>
    <row r="171" spans="1:13" x14ac:dyDescent="0.35">
      <c r="A171" s="7" t="s">
        <v>78</v>
      </c>
      <c r="B171">
        <v>5396</v>
      </c>
      <c r="C171">
        <v>6078</v>
      </c>
      <c r="D171">
        <v>6095.8657942347936</v>
      </c>
      <c r="E171" t="s">
        <v>78</v>
      </c>
      <c r="F171" s="10">
        <v>18653199</v>
      </c>
      <c r="G171" s="10">
        <v>22577057.999999996</v>
      </c>
      <c r="H171" s="10">
        <v>26207976.5</v>
      </c>
      <c r="I171" s="11">
        <f t="shared" si="13"/>
        <v>2.8928013902601908</v>
      </c>
      <c r="J171" s="11">
        <f t="shared" si="14"/>
        <v>2.6921133834178046</v>
      </c>
      <c r="K171" s="11">
        <f t="shared" si="15"/>
        <v>2.3259582036922208</v>
      </c>
      <c r="L171">
        <f t="shared" si="16"/>
        <v>0.12638991845811712</v>
      </c>
      <c r="M171">
        <f t="shared" si="17"/>
        <v>2.9394199135889458E-3</v>
      </c>
    </row>
    <row r="172" spans="1:13" x14ac:dyDescent="0.35">
      <c r="A172" s="7" t="s">
        <v>79</v>
      </c>
      <c r="B172">
        <v>241954</v>
      </c>
      <c r="C172">
        <v>385486</v>
      </c>
      <c r="D172">
        <v>453649</v>
      </c>
      <c r="E172" t="s">
        <v>79</v>
      </c>
      <c r="F172" s="10">
        <v>174726123.50000006</v>
      </c>
      <c r="G172" s="10">
        <v>198387623.50000009</v>
      </c>
      <c r="H172" s="10">
        <v>218541211.50000003</v>
      </c>
      <c r="I172" s="11">
        <f t="shared" si="13"/>
        <v>13.847614492517481</v>
      </c>
      <c r="J172" s="11">
        <f t="shared" si="14"/>
        <v>19.430950036054028</v>
      </c>
      <c r="K172" s="11">
        <f t="shared" si="15"/>
        <v>20.758052766628868</v>
      </c>
      <c r="L172">
        <f t="shared" si="16"/>
        <v>0.59322019888077904</v>
      </c>
      <c r="M172">
        <f t="shared" si="17"/>
        <v>0.17682354222980862</v>
      </c>
    </row>
    <row r="173" spans="1:13" x14ac:dyDescent="0.35">
      <c r="A173" s="7" t="s">
        <v>80</v>
      </c>
      <c r="B173">
        <v>11351</v>
      </c>
      <c r="C173">
        <v>16464</v>
      </c>
      <c r="D173">
        <v>17139.239749316621</v>
      </c>
      <c r="E173" t="s">
        <v>80</v>
      </c>
      <c r="F173" s="10">
        <v>11101349.499999996</v>
      </c>
      <c r="G173" s="10">
        <v>12531807.499999998</v>
      </c>
      <c r="H173" s="10">
        <v>13776697.499999994</v>
      </c>
      <c r="I173" s="11">
        <f t="shared" si="13"/>
        <v>10.22488301985268</v>
      </c>
      <c r="J173" s="11">
        <f t="shared" si="14"/>
        <v>13.137769631395951</v>
      </c>
      <c r="K173" s="11">
        <f t="shared" si="15"/>
        <v>12.440746230594543</v>
      </c>
      <c r="L173">
        <f t="shared" si="16"/>
        <v>0.45044489472293192</v>
      </c>
      <c r="M173">
        <f t="shared" si="17"/>
        <v>4.1013104307374933E-2</v>
      </c>
    </row>
    <row r="174" spans="1:13" x14ac:dyDescent="0.35">
      <c r="A174" s="7" t="s">
        <v>81</v>
      </c>
      <c r="B174">
        <v>536</v>
      </c>
      <c r="C174">
        <v>516</v>
      </c>
      <c r="D174">
        <v>570.28457017504911</v>
      </c>
      <c r="E174" t="s">
        <v>81</v>
      </c>
      <c r="F174" s="10">
        <v>193756.99999999997</v>
      </c>
      <c r="G174" s="10">
        <v>211344</v>
      </c>
      <c r="H174" s="10">
        <v>227379.5</v>
      </c>
      <c r="I174" s="11">
        <f t="shared" si="13"/>
        <v>27.663516672946013</v>
      </c>
      <c r="J174" s="11">
        <f t="shared" si="14"/>
        <v>24.415171473995002</v>
      </c>
      <c r="K174" s="11">
        <f t="shared" si="15"/>
        <v>25.080738156916041</v>
      </c>
      <c r="L174">
        <f t="shared" si="16"/>
        <v>-3.7313432835820892E-2</v>
      </c>
      <c r="M174">
        <f t="shared" si="17"/>
        <v>0.10520265537800215</v>
      </c>
    </row>
    <row r="175" spans="1:13" x14ac:dyDescent="0.35">
      <c r="A175" s="7" t="s">
        <v>82</v>
      </c>
      <c r="B175">
        <v>5628</v>
      </c>
      <c r="C175">
        <v>10475</v>
      </c>
      <c r="D175">
        <v>10578.528230535412</v>
      </c>
      <c r="E175" t="s">
        <v>82</v>
      </c>
      <c r="F175" s="10">
        <v>13595565.499999993</v>
      </c>
      <c r="G175" s="10">
        <v>15574908.999999998</v>
      </c>
      <c r="H175" s="10">
        <v>17316449</v>
      </c>
      <c r="I175" s="11">
        <f t="shared" si="13"/>
        <v>4.1395850727945103</v>
      </c>
      <c r="J175" s="11">
        <f t="shared" si="14"/>
        <v>6.7255609647542736</v>
      </c>
      <c r="K175" s="11">
        <f t="shared" si="15"/>
        <v>6.1089477585938159</v>
      </c>
      <c r="L175">
        <f t="shared" si="16"/>
        <v>0.86122956645344706</v>
      </c>
      <c r="M175">
        <f t="shared" si="17"/>
        <v>9.8833632969367209E-3</v>
      </c>
    </row>
    <row r="176" spans="1:13" x14ac:dyDescent="0.35">
      <c r="A176" s="7" t="s">
        <v>83</v>
      </c>
      <c r="B176">
        <v>512</v>
      </c>
      <c r="C176">
        <v>1670</v>
      </c>
      <c r="D176">
        <v>2284.2905885139849</v>
      </c>
      <c r="E176" t="s">
        <v>83</v>
      </c>
      <c r="F176" s="10">
        <v>96714</v>
      </c>
      <c r="G176" s="10">
        <v>103101.00000000004</v>
      </c>
      <c r="H176" s="10">
        <v>107118.5</v>
      </c>
      <c r="I176" s="11">
        <f t="shared" si="13"/>
        <v>52.939595094815644</v>
      </c>
      <c r="J176" s="11">
        <f t="shared" si="14"/>
        <v>161.97709042589298</v>
      </c>
      <c r="K176" s="11">
        <f t="shared" si="15"/>
        <v>213.24893351885854</v>
      </c>
      <c r="L176">
        <f t="shared" si="16"/>
        <v>2.26171875</v>
      </c>
      <c r="M176">
        <f t="shared" si="17"/>
        <v>0.36783867575687718</v>
      </c>
    </row>
    <row r="177" spans="1:16" x14ac:dyDescent="0.35">
      <c r="A177" s="7" t="s">
        <v>84</v>
      </c>
      <c r="B177">
        <v>8293</v>
      </c>
      <c r="C177">
        <v>6714</v>
      </c>
      <c r="D177">
        <v>19043</v>
      </c>
      <c r="E177" t="s">
        <v>84</v>
      </c>
      <c r="F177" s="10">
        <v>6964858.4999999972</v>
      </c>
      <c r="G177" s="10">
        <v>7861281</v>
      </c>
      <c r="H177" s="10">
        <v>8605718.0000000056</v>
      </c>
      <c r="I177" s="11">
        <f t="shared" si="13"/>
        <v>11.906918137676456</v>
      </c>
      <c r="J177" s="11">
        <f t="shared" si="14"/>
        <v>8.5405928117822025</v>
      </c>
      <c r="K177" s="11">
        <f t="shared" si="15"/>
        <v>22.128310502389212</v>
      </c>
      <c r="L177">
        <f t="shared" si="16"/>
        <v>-0.19040154347039673</v>
      </c>
      <c r="M177">
        <f t="shared" si="17"/>
        <v>1.8363121834971701</v>
      </c>
    </row>
    <row r="178" spans="1:16" x14ac:dyDescent="0.35">
      <c r="A178" s="7" t="s">
        <v>85</v>
      </c>
      <c r="B178">
        <v>58722</v>
      </c>
      <c r="C178">
        <v>330961</v>
      </c>
      <c r="D178">
        <v>445282.24962174537</v>
      </c>
      <c r="E178" t="s">
        <v>85</v>
      </c>
      <c r="F178" s="10">
        <v>53873616</v>
      </c>
      <c r="G178" s="10">
        <v>57339635.000000022</v>
      </c>
      <c r="H178" s="10">
        <v>59893885.5</v>
      </c>
      <c r="I178" s="11">
        <f t="shared" si="13"/>
        <v>10.899955183999529</v>
      </c>
      <c r="J178" s="11">
        <f t="shared" si="14"/>
        <v>57.719411712334733</v>
      </c>
      <c r="K178" s="11">
        <f t="shared" si="15"/>
        <v>74.345193320567816</v>
      </c>
      <c r="L178">
        <f t="shared" si="16"/>
        <v>4.636064847927523</v>
      </c>
      <c r="M178">
        <f t="shared" si="17"/>
        <v>0.34542211807960871</v>
      </c>
    </row>
    <row r="179" spans="1:16" x14ac:dyDescent="0.35">
      <c r="A179" s="7" t="s">
        <v>86</v>
      </c>
      <c r="B179">
        <v>0</v>
      </c>
      <c r="C179">
        <v>5849</v>
      </c>
      <c r="D179">
        <v>8006</v>
      </c>
      <c r="E179" t="s">
        <v>86</v>
      </c>
      <c r="F179" s="10">
        <v>11106031.000000004</v>
      </c>
      <c r="G179" s="10">
        <v>10395329.5</v>
      </c>
      <c r="H179" s="10">
        <v>10913163.5</v>
      </c>
      <c r="I179" s="11">
        <f t="shared" si="13"/>
        <v>0</v>
      </c>
      <c r="J179" s="11">
        <f t="shared" si="14"/>
        <v>5.6265652762618057</v>
      </c>
      <c r="K179" s="11">
        <f t="shared" si="15"/>
        <v>7.3360946163777347</v>
      </c>
      <c r="L179" t="e">
        <f t="shared" si="16"/>
        <v>#DIV/0!</v>
      </c>
      <c r="M179">
        <f t="shared" si="17"/>
        <v>0.36878098820311167</v>
      </c>
    </row>
    <row r="180" spans="1:16" x14ac:dyDescent="0.35">
      <c r="A180" s="7" t="s">
        <v>87</v>
      </c>
      <c r="B180">
        <v>22281</v>
      </c>
      <c r="C180">
        <v>34825</v>
      </c>
      <c r="D180">
        <v>40633</v>
      </c>
      <c r="E180" t="s">
        <v>87</v>
      </c>
      <c r="F180" s="10">
        <v>49253643.5</v>
      </c>
      <c r="G180" s="10">
        <v>58090443.000000007</v>
      </c>
      <c r="H180" s="10">
        <v>65497748.000000037</v>
      </c>
      <c r="I180" s="11">
        <f t="shared" si="13"/>
        <v>4.5237262498154074</v>
      </c>
      <c r="J180" s="11">
        <f t="shared" si="14"/>
        <v>5.9949620284355545</v>
      </c>
      <c r="K180" s="11">
        <f t="shared" si="15"/>
        <v>6.2037247448568733</v>
      </c>
      <c r="L180">
        <f t="shared" si="16"/>
        <v>0.56299088909833495</v>
      </c>
      <c r="M180">
        <f t="shared" si="17"/>
        <v>0.1667767408470926</v>
      </c>
    </row>
    <row r="181" spans="1:16" x14ac:dyDescent="0.35">
      <c r="A181" s="7" t="s">
        <v>88</v>
      </c>
      <c r="B181">
        <v>2497</v>
      </c>
      <c r="C181">
        <v>3862</v>
      </c>
      <c r="D181">
        <v>5224</v>
      </c>
      <c r="E181" t="s">
        <v>88</v>
      </c>
      <c r="F181" s="10">
        <v>7106229</v>
      </c>
      <c r="G181" s="10">
        <v>8046679</v>
      </c>
      <c r="H181" s="10">
        <v>8848698.5000000019</v>
      </c>
      <c r="I181" s="11">
        <f t="shared" si="13"/>
        <v>3.5138186512143079</v>
      </c>
      <c r="J181" s="11">
        <f t="shared" si="14"/>
        <v>4.7994955434409645</v>
      </c>
      <c r="K181" s="11">
        <f t="shared" si="15"/>
        <v>5.9036930685343147</v>
      </c>
      <c r="L181">
        <f t="shared" si="16"/>
        <v>0.54665598718462149</v>
      </c>
      <c r="M181">
        <f t="shared" si="17"/>
        <v>0.35266701191092698</v>
      </c>
    </row>
    <row r="182" spans="1:16" x14ac:dyDescent="0.35">
      <c r="A182" s="7" t="s">
        <v>89</v>
      </c>
      <c r="B182">
        <v>50519</v>
      </c>
      <c r="C182">
        <v>77330</v>
      </c>
      <c r="D182">
        <v>116205.78132796781</v>
      </c>
      <c r="E182" t="s">
        <v>89</v>
      </c>
      <c r="F182" s="10">
        <v>35273569.999999993</v>
      </c>
      <c r="G182" s="10">
        <v>41515395.000000015</v>
      </c>
      <c r="H182" s="10">
        <v>47249584.999999978</v>
      </c>
      <c r="I182" s="11">
        <f t="shared" si="13"/>
        <v>14.322054728228531</v>
      </c>
      <c r="J182" s="11">
        <f t="shared" si="14"/>
        <v>18.626825060920165</v>
      </c>
      <c r="K182" s="11">
        <f t="shared" si="15"/>
        <v>24.594032165143432</v>
      </c>
      <c r="L182">
        <f t="shared" si="16"/>
        <v>0.53071121756170947</v>
      </c>
      <c r="M182">
        <f t="shared" si="17"/>
        <v>0.50272573810898502</v>
      </c>
    </row>
    <row r="183" spans="1:16" x14ac:dyDescent="0.35">
      <c r="A183" s="7" t="s">
        <v>90</v>
      </c>
      <c r="B183">
        <v>2773</v>
      </c>
      <c r="C183">
        <v>28199</v>
      </c>
      <c r="D183">
        <v>65708</v>
      </c>
      <c r="E183" t="s">
        <v>90</v>
      </c>
      <c r="F183" s="10">
        <v>15234975.999999991</v>
      </c>
      <c r="G183" s="10">
        <v>17835892.999999981</v>
      </c>
      <c r="H183" s="10">
        <v>20017675.000000004</v>
      </c>
      <c r="I183" s="11">
        <f t="shared" si="13"/>
        <v>1.8201538354901259</v>
      </c>
      <c r="J183" s="11">
        <f t="shared" si="14"/>
        <v>15.810254075868267</v>
      </c>
      <c r="K183" s="11">
        <f t="shared" si="15"/>
        <v>32.824990914279496</v>
      </c>
      <c r="L183">
        <f t="shared" si="16"/>
        <v>9.1691309051568695</v>
      </c>
      <c r="M183">
        <f t="shared" si="17"/>
        <v>1.330153551544381</v>
      </c>
    </row>
    <row r="184" spans="1:16" x14ac:dyDescent="0.35">
      <c r="A184" s="7" t="s">
        <v>91</v>
      </c>
      <c r="B184">
        <v>19836</v>
      </c>
      <c r="C184">
        <v>31754</v>
      </c>
      <c r="D184">
        <v>59269.598365533384</v>
      </c>
      <c r="E184" t="s">
        <v>91</v>
      </c>
      <c r="F184" s="10">
        <v>13555421.500000009</v>
      </c>
      <c r="G184" s="10">
        <v>15052184.000000007</v>
      </c>
      <c r="H184" s="10">
        <v>16320536.999999994</v>
      </c>
      <c r="I184" s="11">
        <f t="shared" si="13"/>
        <v>14.633259467438904</v>
      </c>
      <c r="J184" s="11">
        <f t="shared" si="14"/>
        <v>21.095941957658759</v>
      </c>
      <c r="K184" s="11">
        <f t="shared" si="15"/>
        <v>36.315960905902429</v>
      </c>
      <c r="L184">
        <f t="shared" si="16"/>
        <v>0.60082677959265984</v>
      </c>
      <c r="M184">
        <f t="shared" si="17"/>
        <v>0.86652385102769369</v>
      </c>
    </row>
    <row r="185" spans="1:16" x14ac:dyDescent="0.35">
      <c r="A185" s="8" t="s">
        <v>98</v>
      </c>
      <c r="B185" s="9">
        <v>767820</v>
      </c>
      <c r="C185" s="9">
        <v>1807432</v>
      </c>
      <c r="D185" s="9">
        <v>2272689.7461099052</v>
      </c>
      <c r="E185" t="s">
        <v>98</v>
      </c>
      <c r="F185" s="10">
        <v>944292669.00000024</v>
      </c>
      <c r="G185" s="10">
        <v>1076956971.0000002</v>
      </c>
      <c r="H185" s="10">
        <v>1191645698.5</v>
      </c>
      <c r="I185" s="11">
        <f t="shared" si="13"/>
        <v>8.1311655295716356</v>
      </c>
      <c r="J185" s="11">
        <f t="shared" si="14"/>
        <v>16.782768937571596</v>
      </c>
      <c r="K185" s="11">
        <f t="shared" si="15"/>
        <v>19.071857926988567</v>
      </c>
      <c r="L185">
        <f t="shared" si="16"/>
        <v>1.353978797113907</v>
      </c>
      <c r="M185">
        <f t="shared" si="17"/>
        <v>0.25741369307941053</v>
      </c>
    </row>
    <row r="191" spans="1:16" ht="72.5" x14ac:dyDescent="0.35">
      <c r="B191" t="s">
        <v>93</v>
      </c>
      <c r="C191" s="4" t="s">
        <v>104</v>
      </c>
      <c r="D191" s="4" t="s">
        <v>105</v>
      </c>
      <c r="E191" s="4" t="s">
        <v>106</v>
      </c>
      <c r="F191" s="4" t="s">
        <v>93</v>
      </c>
      <c r="G191" s="4" t="s">
        <v>107</v>
      </c>
      <c r="H191" s="4" t="s">
        <v>108</v>
      </c>
      <c r="I191" s="4" t="s">
        <v>109</v>
      </c>
      <c r="J191" s="4">
        <v>2013</v>
      </c>
      <c r="K191" s="4">
        <v>2018</v>
      </c>
      <c r="L191" s="4">
        <v>2022</v>
      </c>
      <c r="M191" s="4" t="s">
        <v>103</v>
      </c>
      <c r="N191" s="4" t="s">
        <v>111</v>
      </c>
      <c r="O191" t="s">
        <v>211</v>
      </c>
      <c r="P191" s="4" t="s">
        <v>212</v>
      </c>
    </row>
    <row r="192" spans="1:16" x14ac:dyDescent="0.35">
      <c r="B192" t="s">
        <v>69</v>
      </c>
      <c r="C192">
        <v>0</v>
      </c>
      <c r="D192">
        <v>10643</v>
      </c>
      <c r="E192">
        <v>4551.0899117026884</v>
      </c>
      <c r="F192" t="s">
        <v>69</v>
      </c>
      <c r="G192">
        <v>2073938.4999999998</v>
      </c>
      <c r="H192">
        <v>2198017</v>
      </c>
      <c r="I192">
        <v>2305825.5000000019</v>
      </c>
      <c r="J192">
        <v>0</v>
      </c>
      <c r="K192">
        <v>48.420917581620159</v>
      </c>
      <c r="L192">
        <v>19.737356151637165</v>
      </c>
      <c r="M192" s="6"/>
      <c r="N192" s="6">
        <v>-0.57238655344332534</v>
      </c>
      <c r="O192" s="23">
        <f>N192-M192</f>
        <v>-0.57238655344332534</v>
      </c>
    </row>
    <row r="193" spans="2:15" x14ac:dyDescent="0.35">
      <c r="B193" t="s">
        <v>45</v>
      </c>
      <c r="C193">
        <v>11139</v>
      </c>
      <c r="D193">
        <v>139821</v>
      </c>
      <c r="E193">
        <v>62147.717864361715</v>
      </c>
      <c r="F193" t="s">
        <v>45</v>
      </c>
      <c r="G193">
        <v>38000626.500000022</v>
      </c>
      <c r="H193">
        <v>41927007.000000007</v>
      </c>
      <c r="I193">
        <v>44903225.000000007</v>
      </c>
      <c r="J193">
        <v>2.931267462129866</v>
      </c>
      <c r="K193">
        <v>33.34867189542053</v>
      </c>
      <c r="L193">
        <v>13.840368451121652</v>
      </c>
      <c r="M193" s="6"/>
      <c r="N193" s="6">
        <v>-0.5555194293821264</v>
      </c>
      <c r="O193" s="23">
        <f t="shared" ref="O193:O239" si="18">N193-M193</f>
        <v>-0.5555194293821264</v>
      </c>
    </row>
    <row r="194" spans="2:15" x14ac:dyDescent="0.35">
      <c r="B194" t="s">
        <v>66</v>
      </c>
      <c r="C194">
        <v>8133</v>
      </c>
      <c r="D194">
        <v>10848</v>
      </c>
      <c r="E194">
        <v>6253.3339237473792</v>
      </c>
      <c r="F194" t="s">
        <v>66</v>
      </c>
      <c r="G194">
        <v>11055430.000000004</v>
      </c>
      <c r="H194">
        <v>12554864.499999998</v>
      </c>
      <c r="I194">
        <v>13859340.500000006</v>
      </c>
      <c r="J194">
        <v>7.3565659589902852</v>
      </c>
      <c r="K194">
        <v>8.6404755702460996</v>
      </c>
      <c r="L194">
        <v>4.5119996321234597</v>
      </c>
      <c r="M194" s="6">
        <v>0.33382515676872004</v>
      </c>
      <c r="N194" s="6">
        <v>-0.42354960142446724</v>
      </c>
      <c r="O194" s="23">
        <f t="shared" si="18"/>
        <v>-0.75737475819318734</v>
      </c>
    </row>
    <row r="195" spans="2:15" x14ac:dyDescent="0.35">
      <c r="B195" t="s">
        <v>70</v>
      </c>
      <c r="C195">
        <v>974</v>
      </c>
      <c r="D195">
        <v>10108</v>
      </c>
      <c r="E195">
        <v>6366.7192932575135</v>
      </c>
      <c r="F195" t="s">
        <v>70</v>
      </c>
      <c r="G195">
        <v>4427312.4999999991</v>
      </c>
      <c r="H195">
        <v>4889391</v>
      </c>
      <c r="I195">
        <v>5302681.0000000028</v>
      </c>
      <c r="J195">
        <v>2.1999802363171792</v>
      </c>
      <c r="K195">
        <v>20.67333130036031</v>
      </c>
      <c r="L195">
        <v>12.006604382306818</v>
      </c>
      <c r="M195" s="6"/>
      <c r="N195" s="6">
        <v>-0.37013065955109681</v>
      </c>
      <c r="O195" s="23">
        <f t="shared" si="18"/>
        <v>-0.37013065955109681</v>
      </c>
    </row>
    <row r="196" spans="2:15" x14ac:dyDescent="0.35">
      <c r="B196" t="s">
        <v>53</v>
      </c>
      <c r="C196">
        <v>1160</v>
      </c>
      <c r="D196">
        <v>1974</v>
      </c>
      <c r="E196">
        <v>1331.8697270471462</v>
      </c>
      <c r="F196" t="s">
        <v>53</v>
      </c>
      <c r="G196">
        <v>4802428.5000000102</v>
      </c>
      <c r="H196">
        <v>5094779.9999999991</v>
      </c>
      <c r="I196">
        <v>5579143.5000000047</v>
      </c>
      <c r="J196">
        <v>2.4154446026630016</v>
      </c>
      <c r="K196">
        <v>3.8745539552247603</v>
      </c>
      <c r="L196">
        <v>2.3872297370504003</v>
      </c>
      <c r="M196" s="6">
        <v>0.7017241379310345</v>
      </c>
      <c r="N196" s="6">
        <v>-0.32529395792951055</v>
      </c>
      <c r="O196" s="23">
        <f t="shared" si="18"/>
        <v>-1.027018095860545</v>
      </c>
    </row>
    <row r="197" spans="2:15" x14ac:dyDescent="0.35">
      <c r="B197" t="s">
        <v>63</v>
      </c>
      <c r="C197">
        <v>437</v>
      </c>
      <c r="D197">
        <v>8186</v>
      </c>
      <c r="E197">
        <v>6936.9896979221239</v>
      </c>
      <c r="F197" t="s">
        <v>63</v>
      </c>
      <c r="G197">
        <v>1902226.5000000007</v>
      </c>
      <c r="H197">
        <v>2192011.5</v>
      </c>
      <c r="I197">
        <v>2388992.5000000005</v>
      </c>
      <c r="J197">
        <v>2.2973079178531046</v>
      </c>
      <c r="K197">
        <v>37.344694587596827</v>
      </c>
      <c r="L197">
        <v>29.037302117617038</v>
      </c>
      <c r="M197" s="6"/>
      <c r="N197" s="6">
        <v>-0.1525788299630926</v>
      </c>
      <c r="O197" s="23">
        <f t="shared" si="18"/>
        <v>-0.1525788299630926</v>
      </c>
    </row>
    <row r="198" spans="2:15" x14ac:dyDescent="0.35">
      <c r="B198" t="s">
        <v>75</v>
      </c>
      <c r="C198">
        <v>6009</v>
      </c>
      <c r="D198">
        <v>7948</v>
      </c>
      <c r="E198">
        <v>6999.5342419766348</v>
      </c>
      <c r="F198" t="s">
        <v>75</v>
      </c>
      <c r="G198">
        <v>1290691.4999999998</v>
      </c>
      <c r="H198">
        <v>1295381.5000000005</v>
      </c>
      <c r="I198">
        <v>1299468.9999999986</v>
      </c>
      <c r="J198">
        <v>46.556438932153817</v>
      </c>
      <c r="K198">
        <v>61.356442098331627</v>
      </c>
      <c r="L198">
        <v>53.864572698360966</v>
      </c>
      <c r="M198" s="6">
        <v>0.32268264270261277</v>
      </c>
      <c r="N198" s="6">
        <v>-0.11933389003816874</v>
      </c>
      <c r="O198" s="23">
        <f t="shared" si="18"/>
        <v>-0.44201653274078151</v>
      </c>
    </row>
    <row r="199" spans="2:15" x14ac:dyDescent="0.35">
      <c r="B199" t="s">
        <v>54</v>
      </c>
      <c r="C199">
        <v>4630</v>
      </c>
      <c r="D199">
        <v>6538</v>
      </c>
      <c r="E199">
        <v>5798.3930605903679</v>
      </c>
      <c r="F199" t="s">
        <v>54</v>
      </c>
      <c r="G199">
        <v>13216766.5</v>
      </c>
      <c r="H199">
        <v>15604210</v>
      </c>
      <c r="I199">
        <v>17723314.500000004</v>
      </c>
      <c r="J199">
        <v>3.5031261239275127</v>
      </c>
      <c r="K199">
        <v>4.1898949065668818</v>
      </c>
      <c r="L199">
        <v>3.2716188953202665</v>
      </c>
      <c r="M199" s="6">
        <v>0.41209503239740819</v>
      </c>
      <c r="N199" s="6">
        <v>-0.11312434068669809</v>
      </c>
      <c r="O199" s="23">
        <f t="shared" si="18"/>
        <v>-0.52521937308410627</v>
      </c>
    </row>
    <row r="200" spans="2:15" x14ac:dyDescent="0.35">
      <c r="B200" t="s">
        <v>64</v>
      </c>
      <c r="C200">
        <v>2858</v>
      </c>
      <c r="D200">
        <v>2116</v>
      </c>
      <c r="E200">
        <v>2082.270897043833</v>
      </c>
      <c r="F200" t="s">
        <v>64</v>
      </c>
      <c r="G200">
        <v>2124869.5</v>
      </c>
      <c r="H200">
        <v>2444915.5000000014</v>
      </c>
      <c r="I200">
        <v>2705991.9999999995</v>
      </c>
      <c r="J200">
        <v>13.450237767542902</v>
      </c>
      <c r="K200">
        <v>8.6546958371362894</v>
      </c>
      <c r="L200">
        <v>7.695037151047873</v>
      </c>
      <c r="M200" s="6">
        <v>-0.25962211336599023</v>
      </c>
      <c r="N200" s="6">
        <v>-1.5940029752441884E-2</v>
      </c>
      <c r="O200" s="23">
        <f t="shared" si="18"/>
        <v>0.24368208361354834</v>
      </c>
    </row>
    <row r="201" spans="2:15" x14ac:dyDescent="0.35">
      <c r="B201" t="s">
        <v>71</v>
      </c>
      <c r="C201">
        <v>10361</v>
      </c>
      <c r="D201">
        <v>13784</v>
      </c>
      <c r="E201">
        <v>13784</v>
      </c>
      <c r="F201" t="s">
        <v>71</v>
      </c>
      <c r="G201">
        <v>23588073.5</v>
      </c>
      <c r="H201">
        <v>26846541</v>
      </c>
      <c r="I201">
        <v>29611714.000000004</v>
      </c>
      <c r="J201">
        <v>4.392474018702714</v>
      </c>
      <c r="K201">
        <v>5.1343672169908219</v>
      </c>
      <c r="L201">
        <v>4.654914605753655</v>
      </c>
      <c r="M201" s="6">
        <v>0.33037351606987742</v>
      </c>
      <c r="N201" s="6">
        <v>0</v>
      </c>
      <c r="O201" s="23">
        <f t="shared" si="18"/>
        <v>-0.33037351606987742</v>
      </c>
    </row>
    <row r="202" spans="2:15" x14ac:dyDescent="0.35">
      <c r="B202" t="s">
        <v>78</v>
      </c>
      <c r="C202">
        <v>5396</v>
      </c>
      <c r="D202">
        <v>6078</v>
      </c>
      <c r="E202">
        <v>6095.8657942347936</v>
      </c>
      <c r="F202" t="s">
        <v>78</v>
      </c>
      <c r="G202">
        <v>18653199</v>
      </c>
      <c r="H202">
        <v>22577057.999999996</v>
      </c>
      <c r="I202">
        <v>26207976.5</v>
      </c>
      <c r="J202">
        <v>2.8928013902601908</v>
      </c>
      <c r="K202">
        <v>2.6921133834178046</v>
      </c>
      <c r="L202">
        <v>2.3259582036922208</v>
      </c>
      <c r="M202" s="6">
        <v>0.12638991845811712</v>
      </c>
      <c r="N202" s="6">
        <v>2.9394199135889458E-3</v>
      </c>
      <c r="O202" s="23">
        <f t="shared" si="18"/>
        <v>-0.12345049854452818</v>
      </c>
    </row>
    <row r="203" spans="2:15" x14ac:dyDescent="0.35">
      <c r="B203" t="s">
        <v>58</v>
      </c>
      <c r="C203">
        <v>67786</v>
      </c>
      <c r="D203">
        <v>138973</v>
      </c>
      <c r="E203">
        <v>139645.24336836278</v>
      </c>
      <c r="F203" t="s">
        <v>58</v>
      </c>
      <c r="G203">
        <v>73460021</v>
      </c>
      <c r="H203">
        <v>87087354.999999985</v>
      </c>
      <c r="I203">
        <v>99010212</v>
      </c>
      <c r="J203">
        <v>9.2276042229827304</v>
      </c>
      <c r="K203">
        <v>15.957885045423646</v>
      </c>
      <c r="L203">
        <v>14.104125276326323</v>
      </c>
      <c r="M203" s="6">
        <v>1.0501726020122149</v>
      </c>
      <c r="N203" s="6">
        <v>4.8372228300660926E-3</v>
      </c>
      <c r="O203" s="23">
        <f t="shared" si="18"/>
        <v>-1.0453353791821487</v>
      </c>
    </row>
    <row r="204" spans="2:15" x14ac:dyDescent="0.35">
      <c r="B204" t="s">
        <v>82</v>
      </c>
      <c r="C204">
        <v>5628</v>
      </c>
      <c r="D204">
        <v>10475</v>
      </c>
      <c r="E204">
        <v>10578.528230535412</v>
      </c>
      <c r="F204" t="s">
        <v>82</v>
      </c>
      <c r="G204">
        <v>13595565.499999993</v>
      </c>
      <c r="H204">
        <v>15574908.999999998</v>
      </c>
      <c r="I204">
        <v>17316449</v>
      </c>
      <c r="J204">
        <v>4.1395850727945103</v>
      </c>
      <c r="K204">
        <v>6.7255609647542736</v>
      </c>
      <c r="L204">
        <v>6.1089477585938159</v>
      </c>
      <c r="M204" s="6">
        <v>0.86122956645344706</v>
      </c>
      <c r="N204" s="6">
        <v>9.8833632969367209E-3</v>
      </c>
      <c r="O204" s="23">
        <f t="shared" si="18"/>
        <v>-0.85134620315651033</v>
      </c>
    </row>
    <row r="205" spans="2:15" x14ac:dyDescent="0.35">
      <c r="B205" t="s">
        <v>60</v>
      </c>
      <c r="C205">
        <v>4434</v>
      </c>
      <c r="D205">
        <v>5296</v>
      </c>
      <c r="E205">
        <v>5372.8176475233076</v>
      </c>
      <c r="F205" t="s">
        <v>60</v>
      </c>
      <c r="G205">
        <v>3296367</v>
      </c>
      <c r="H205">
        <v>3445374.4999999986</v>
      </c>
      <c r="I205">
        <v>3684031.5000000019</v>
      </c>
      <c r="J205">
        <v>13.451172154071436</v>
      </c>
      <c r="K205">
        <v>15.371333363034998</v>
      </c>
      <c r="L205">
        <v>14.584070867806926</v>
      </c>
      <c r="M205" s="6">
        <v>0.19440685611186287</v>
      </c>
      <c r="N205" s="6">
        <v>1.4504842810292228E-2</v>
      </c>
      <c r="O205" s="23">
        <f t="shared" si="18"/>
        <v>-0.17990201330157063</v>
      </c>
    </row>
    <row r="206" spans="2:15" x14ac:dyDescent="0.35">
      <c r="B206" t="s">
        <v>50</v>
      </c>
      <c r="C206">
        <v>7162</v>
      </c>
      <c r="D206">
        <v>10400</v>
      </c>
      <c r="E206">
        <v>10565.586567321363</v>
      </c>
      <c r="F206" t="s">
        <v>50</v>
      </c>
      <c r="G206">
        <v>10149577.500000002</v>
      </c>
      <c r="H206">
        <v>11493472.499999993</v>
      </c>
      <c r="I206">
        <v>12889576.499999994</v>
      </c>
      <c r="J206">
        <v>7.056451364601136</v>
      </c>
      <c r="K206">
        <v>9.0486143330486115</v>
      </c>
      <c r="L206">
        <v>8.1970005510432156</v>
      </c>
      <c r="M206" s="6">
        <v>0.45210834962301033</v>
      </c>
      <c r="N206" s="6">
        <v>1.5921785319361823E-2</v>
      </c>
      <c r="O206" s="23">
        <f t="shared" si="18"/>
        <v>-0.43618656430364849</v>
      </c>
    </row>
    <row r="207" spans="2:15" x14ac:dyDescent="0.35">
      <c r="B207" t="s">
        <v>80</v>
      </c>
      <c r="C207">
        <v>11351</v>
      </c>
      <c r="D207">
        <v>16464</v>
      </c>
      <c r="E207">
        <v>17139.239749316621</v>
      </c>
      <c r="F207" t="s">
        <v>80</v>
      </c>
      <c r="G207">
        <v>11101349.499999996</v>
      </c>
      <c r="H207">
        <v>12531807.499999998</v>
      </c>
      <c r="I207">
        <v>13776697.499999994</v>
      </c>
      <c r="J207">
        <v>10.22488301985268</v>
      </c>
      <c r="K207">
        <v>13.137769631395951</v>
      </c>
      <c r="L207">
        <v>12.440746230594543</v>
      </c>
      <c r="M207" s="6">
        <v>0.45044489472293192</v>
      </c>
      <c r="N207" s="6">
        <v>4.1013104307374933E-2</v>
      </c>
      <c r="O207" s="23">
        <f t="shared" si="18"/>
        <v>-0.409431790415557</v>
      </c>
    </row>
    <row r="208" spans="2:15" x14ac:dyDescent="0.35">
      <c r="B208" t="s">
        <v>48</v>
      </c>
      <c r="C208">
        <v>8136</v>
      </c>
      <c r="D208">
        <v>8570</v>
      </c>
      <c r="E208">
        <v>9020</v>
      </c>
      <c r="F208" t="s">
        <v>48</v>
      </c>
      <c r="G208">
        <v>2217278.0000000009</v>
      </c>
      <c r="H208">
        <v>2451408.4999999995</v>
      </c>
      <c r="I208">
        <v>2630296.0000000019</v>
      </c>
      <c r="J208">
        <v>36.69363967892162</v>
      </c>
      <c r="K208">
        <v>34.95949369515526</v>
      </c>
      <c r="L208">
        <v>34.292718386067548</v>
      </c>
      <c r="M208" s="6">
        <v>5.3343166175024583E-2</v>
      </c>
      <c r="N208" s="6">
        <v>5.2508751458576426E-2</v>
      </c>
      <c r="O208" s="23">
        <f t="shared" si="18"/>
        <v>-8.3441471644815635E-4</v>
      </c>
    </row>
    <row r="209" spans="2:15" x14ac:dyDescent="0.35">
      <c r="B209" t="s">
        <v>72</v>
      </c>
      <c r="C209">
        <v>3793</v>
      </c>
      <c r="D209">
        <v>10717</v>
      </c>
      <c r="E209">
        <v>11311.563775185577</v>
      </c>
      <c r="F209" t="s">
        <v>72</v>
      </c>
      <c r="G209">
        <v>16024775.499999994</v>
      </c>
      <c r="H209">
        <v>18367882.999999985</v>
      </c>
      <c r="I209">
        <v>20405316.500000019</v>
      </c>
      <c r="J209">
        <v>2.3669598366604272</v>
      </c>
      <c r="K209">
        <v>5.8346408238772041</v>
      </c>
      <c r="L209">
        <v>5.5434395125336904</v>
      </c>
      <c r="M209" s="6">
        <v>1.8254679673081993</v>
      </c>
      <c r="N209" s="6">
        <v>5.5478564447660493E-2</v>
      </c>
      <c r="O209" s="23">
        <f t="shared" si="18"/>
        <v>-1.7699894028605387</v>
      </c>
    </row>
    <row r="210" spans="2:15" x14ac:dyDescent="0.35">
      <c r="B210" t="s">
        <v>65</v>
      </c>
      <c r="C210">
        <v>51421</v>
      </c>
      <c r="D210">
        <v>140055</v>
      </c>
      <c r="E210">
        <v>152812.27697797568</v>
      </c>
      <c r="F210" t="s">
        <v>65</v>
      </c>
      <c r="G210">
        <v>27525596.999999989</v>
      </c>
      <c r="H210">
        <v>30870640.5</v>
      </c>
      <c r="I210">
        <v>33475870.500000011</v>
      </c>
      <c r="J210">
        <v>18.681157033578607</v>
      </c>
      <c r="K210">
        <v>45.368349257282176</v>
      </c>
      <c r="L210">
        <v>45.648484922289214</v>
      </c>
      <c r="M210" s="6">
        <v>1.7236926547519495</v>
      </c>
      <c r="N210" s="6">
        <v>9.1087622562391043E-2</v>
      </c>
      <c r="O210" s="23">
        <f t="shared" si="18"/>
        <v>-1.6326050321895584</v>
      </c>
    </row>
    <row r="211" spans="2:15" x14ac:dyDescent="0.35">
      <c r="B211" t="s">
        <v>81</v>
      </c>
      <c r="C211">
        <v>536</v>
      </c>
      <c r="D211">
        <v>516</v>
      </c>
      <c r="E211">
        <v>570.28457017504911</v>
      </c>
      <c r="F211" t="s">
        <v>81</v>
      </c>
      <c r="G211">
        <v>193756.99999999997</v>
      </c>
      <c r="H211">
        <v>211344</v>
      </c>
      <c r="I211">
        <v>227379.5</v>
      </c>
      <c r="J211">
        <v>27.663516672946013</v>
      </c>
      <c r="K211">
        <v>24.415171473995002</v>
      </c>
      <c r="L211">
        <v>25.080738156916041</v>
      </c>
      <c r="M211" s="6">
        <v>-3.7313432835820892E-2</v>
      </c>
      <c r="N211" s="6">
        <v>0.10520265537800215</v>
      </c>
      <c r="O211" s="23">
        <f t="shared" si="18"/>
        <v>0.14251608821382306</v>
      </c>
    </row>
    <row r="212" spans="2:15" x14ac:dyDescent="0.35">
      <c r="B212" t="s">
        <v>73</v>
      </c>
      <c r="C212">
        <v>8189</v>
      </c>
      <c r="D212">
        <v>11326</v>
      </c>
      <c r="E212">
        <v>12649.005004448398</v>
      </c>
      <c r="F212" t="s">
        <v>73</v>
      </c>
      <c r="G212">
        <v>17004032.499999996</v>
      </c>
      <c r="H212">
        <v>19934298.000000004</v>
      </c>
      <c r="I212">
        <v>22593590.500000019</v>
      </c>
      <c r="J212">
        <v>4.8159164598162238</v>
      </c>
      <c r="K212">
        <v>5.6816648371565419</v>
      </c>
      <c r="L212">
        <v>5.598492636417566</v>
      </c>
      <c r="M212" s="6">
        <v>0.38307485651483697</v>
      </c>
      <c r="N212" s="6">
        <v>0.11681131948158201</v>
      </c>
      <c r="O212" s="23">
        <f t="shared" si="18"/>
        <v>-0.26626353703325495</v>
      </c>
    </row>
    <row r="213" spans="2:15" x14ac:dyDescent="0.35">
      <c r="B213" t="s">
        <v>56</v>
      </c>
      <c r="C213">
        <v>4571</v>
      </c>
      <c r="D213">
        <v>6694</v>
      </c>
      <c r="E213">
        <v>7657.4138703986164</v>
      </c>
      <c r="F213" t="s">
        <v>56</v>
      </c>
      <c r="G213">
        <v>4828066.5000000028</v>
      </c>
      <c r="H213">
        <v>5441061.9999999972</v>
      </c>
      <c r="I213">
        <v>5970424.0000000009</v>
      </c>
      <c r="J213">
        <v>9.4675580794092156</v>
      </c>
      <c r="K213">
        <v>12.302745309647277</v>
      </c>
      <c r="L213">
        <v>12.82557799981813</v>
      </c>
      <c r="M213" s="6">
        <v>0.46444979216801574</v>
      </c>
      <c r="N213" s="6">
        <v>0.14392200035832334</v>
      </c>
      <c r="O213" s="23">
        <f t="shared" si="18"/>
        <v>-0.32052779180969238</v>
      </c>
    </row>
    <row r="214" spans="2:15" x14ac:dyDescent="0.35">
      <c r="B214" t="s">
        <v>87</v>
      </c>
      <c r="C214">
        <v>22281</v>
      </c>
      <c r="D214">
        <v>34825</v>
      </c>
      <c r="E214">
        <v>40633</v>
      </c>
      <c r="F214" t="s">
        <v>87</v>
      </c>
      <c r="G214">
        <v>49253643.5</v>
      </c>
      <c r="H214">
        <v>58090443.000000007</v>
      </c>
      <c r="I214">
        <v>65497748.000000037</v>
      </c>
      <c r="J214">
        <v>4.5237262498154074</v>
      </c>
      <c r="K214">
        <v>5.9949620284355545</v>
      </c>
      <c r="L214">
        <v>6.2037247448568733</v>
      </c>
      <c r="M214" s="6">
        <v>0.56299088909833495</v>
      </c>
      <c r="N214" s="6">
        <v>0.1667767408470926</v>
      </c>
      <c r="O214" s="23">
        <f t="shared" si="18"/>
        <v>-0.39621414825124235</v>
      </c>
    </row>
    <row r="215" spans="2:15" x14ac:dyDescent="0.35">
      <c r="B215" t="s">
        <v>79</v>
      </c>
      <c r="C215">
        <v>241954</v>
      </c>
      <c r="D215">
        <v>385486</v>
      </c>
      <c r="E215">
        <v>453649</v>
      </c>
      <c r="F215" t="s">
        <v>79</v>
      </c>
      <c r="G215">
        <v>174726123.50000006</v>
      </c>
      <c r="H215">
        <v>198387623.50000009</v>
      </c>
      <c r="I215">
        <v>218541211.50000003</v>
      </c>
      <c r="J215">
        <v>13.847614492517481</v>
      </c>
      <c r="K215">
        <v>19.430950036054028</v>
      </c>
      <c r="L215">
        <v>20.758052766628868</v>
      </c>
      <c r="M215" s="6">
        <v>0.59322019888077904</v>
      </c>
      <c r="N215" s="6">
        <v>0.17682354222980862</v>
      </c>
      <c r="O215" s="23">
        <f t="shared" si="18"/>
        <v>-0.41639665665097042</v>
      </c>
    </row>
    <row r="216" spans="2:15" x14ac:dyDescent="0.35">
      <c r="B216" t="s">
        <v>55</v>
      </c>
      <c r="C216">
        <v>418</v>
      </c>
      <c r="D216">
        <v>1454</v>
      </c>
      <c r="E216">
        <v>1724.9709740708436</v>
      </c>
      <c r="F216" t="s">
        <v>55</v>
      </c>
      <c r="G216">
        <v>699392.50000000035</v>
      </c>
      <c r="H216">
        <v>776313.50000000058</v>
      </c>
      <c r="I216">
        <v>836773.49999999965</v>
      </c>
      <c r="J216">
        <v>5.9766154198107611</v>
      </c>
      <c r="K216">
        <v>18.729546761714165</v>
      </c>
      <c r="L216">
        <v>20.614550700647719</v>
      </c>
      <c r="M216" s="6">
        <v>2.4784688995215309</v>
      </c>
      <c r="N216" s="6">
        <v>0.1863624305851744</v>
      </c>
      <c r="O216" s="23">
        <f t="shared" si="18"/>
        <v>-2.2921064689363564</v>
      </c>
    </row>
    <row r="217" spans="2:15" x14ac:dyDescent="0.35">
      <c r="B217" t="s">
        <v>61</v>
      </c>
      <c r="C217">
        <v>3735</v>
      </c>
      <c r="D217">
        <v>4998</v>
      </c>
      <c r="E217">
        <v>5943</v>
      </c>
      <c r="F217" t="s">
        <v>61</v>
      </c>
      <c r="G217">
        <v>1118318.9999999998</v>
      </c>
      <c r="H217">
        <v>1160427.5</v>
      </c>
      <c r="I217">
        <v>1201670.4999999995</v>
      </c>
      <c r="J217">
        <v>33.398341618089297</v>
      </c>
      <c r="K217">
        <v>43.070333993291264</v>
      </c>
      <c r="L217">
        <v>49.456152913797936</v>
      </c>
      <c r="M217" s="6">
        <v>0.33815261044176709</v>
      </c>
      <c r="N217" s="6">
        <v>0.18907563025210083</v>
      </c>
      <c r="O217" s="23">
        <f t="shared" si="18"/>
        <v>-0.14907698018966625</v>
      </c>
    </row>
    <row r="218" spans="2:15" x14ac:dyDescent="0.35">
      <c r="B218" t="s">
        <v>77</v>
      </c>
      <c r="C218">
        <v>4110</v>
      </c>
      <c r="D218">
        <v>14406</v>
      </c>
      <c r="E218">
        <v>17172.321723868954</v>
      </c>
      <c r="F218" t="s">
        <v>77</v>
      </c>
      <c r="G218">
        <v>2204510.0000000005</v>
      </c>
      <c r="H218">
        <v>2405680.5000000005</v>
      </c>
      <c r="I218">
        <v>2567012.4999999995</v>
      </c>
      <c r="J218">
        <v>18.643598804269427</v>
      </c>
      <c r="K218">
        <v>59.883263799993379</v>
      </c>
      <c r="L218">
        <v>66.896135970779099</v>
      </c>
      <c r="M218" s="6">
        <v>2.5051094890510948</v>
      </c>
      <c r="N218" s="6">
        <v>0.19202566457510439</v>
      </c>
      <c r="O218" s="23">
        <f t="shared" si="18"/>
        <v>-2.3130838244759904</v>
      </c>
    </row>
    <row r="219" spans="2:15" x14ac:dyDescent="0.35">
      <c r="B219" t="s">
        <v>98</v>
      </c>
      <c r="C219">
        <v>767820</v>
      </c>
      <c r="D219">
        <v>1807432</v>
      </c>
      <c r="E219">
        <v>2272689.7461099052</v>
      </c>
      <c r="F219" t="s">
        <v>98</v>
      </c>
      <c r="G219">
        <v>944292669.00000024</v>
      </c>
      <c r="H219">
        <v>1076956971.0000002</v>
      </c>
      <c r="I219">
        <v>1191645698.5</v>
      </c>
      <c r="J219">
        <v>8.1311655295716356</v>
      </c>
      <c r="K219">
        <v>16.782768937571596</v>
      </c>
      <c r="L219">
        <v>19.071857926988567</v>
      </c>
      <c r="M219" s="6">
        <v>1.353978797113907</v>
      </c>
      <c r="N219" s="6">
        <v>0.25741369307941053</v>
      </c>
      <c r="O219" s="23">
        <f t="shared" si="18"/>
        <v>-1.0965651040344966</v>
      </c>
    </row>
    <row r="220" spans="2:15" x14ac:dyDescent="0.35">
      <c r="B220" t="s">
        <v>57</v>
      </c>
      <c r="C220">
        <v>17871</v>
      </c>
      <c r="D220">
        <v>26225</v>
      </c>
      <c r="E220">
        <v>32977.78546925736</v>
      </c>
      <c r="F220" t="s">
        <v>57</v>
      </c>
      <c r="G220">
        <v>22469267.5</v>
      </c>
      <c r="H220">
        <v>25493988.499999996</v>
      </c>
      <c r="I220">
        <v>28160542.500000004</v>
      </c>
      <c r="J220">
        <v>7.9535303053381687</v>
      </c>
      <c r="K220">
        <v>10.286738773730914</v>
      </c>
      <c r="L220">
        <v>11.710635712808926</v>
      </c>
      <c r="M220" s="6">
        <v>0.46746125006994571</v>
      </c>
      <c r="N220" s="6">
        <v>0.2574942028315485</v>
      </c>
      <c r="O220" s="23">
        <f t="shared" si="18"/>
        <v>-0.20996704723839721</v>
      </c>
    </row>
    <row r="221" spans="2:15" x14ac:dyDescent="0.35">
      <c r="B221" t="s">
        <v>67</v>
      </c>
      <c r="C221">
        <v>1234</v>
      </c>
      <c r="D221">
        <v>1999</v>
      </c>
      <c r="E221">
        <v>2606.8737642585552</v>
      </c>
      <c r="F221" t="s">
        <v>67</v>
      </c>
      <c r="G221">
        <v>1697752.4999999993</v>
      </c>
      <c r="H221">
        <v>1924954.4999999988</v>
      </c>
      <c r="I221">
        <v>2105565.4999999991</v>
      </c>
      <c r="J221">
        <v>7.2684328251615034</v>
      </c>
      <c r="K221">
        <v>10.384661040040173</v>
      </c>
      <c r="L221">
        <v>12.380872332200335</v>
      </c>
      <c r="M221" s="6">
        <v>0.61993517017828204</v>
      </c>
      <c r="N221" s="6">
        <v>0.30408892659257386</v>
      </c>
      <c r="O221" s="23">
        <f t="shared" si="18"/>
        <v>-0.31584624358570818</v>
      </c>
    </row>
    <row r="222" spans="2:15" x14ac:dyDescent="0.35">
      <c r="B222" t="s">
        <v>85</v>
      </c>
      <c r="C222">
        <v>58722</v>
      </c>
      <c r="D222">
        <v>330961</v>
      </c>
      <c r="E222">
        <v>445282.24962174537</v>
      </c>
      <c r="F222" t="s">
        <v>85</v>
      </c>
      <c r="G222">
        <v>53873616</v>
      </c>
      <c r="H222">
        <v>57339635.000000022</v>
      </c>
      <c r="I222">
        <v>59893885.5</v>
      </c>
      <c r="J222">
        <v>10.899955183999529</v>
      </c>
      <c r="K222">
        <v>57.719411712334733</v>
      </c>
      <c r="L222">
        <v>74.345193320567816</v>
      </c>
      <c r="M222" s="6"/>
      <c r="N222" s="6">
        <v>0.34542211807960871</v>
      </c>
      <c r="O222" s="23">
        <f t="shared" si="18"/>
        <v>0.34542211807960871</v>
      </c>
    </row>
    <row r="223" spans="2:15" x14ac:dyDescent="0.35">
      <c r="B223" t="s">
        <v>88</v>
      </c>
      <c r="C223">
        <v>2497</v>
      </c>
      <c r="D223">
        <v>3862</v>
      </c>
      <c r="E223">
        <v>5224</v>
      </c>
      <c r="F223" t="s">
        <v>88</v>
      </c>
      <c r="G223">
        <v>7106229</v>
      </c>
      <c r="H223">
        <v>8046679</v>
      </c>
      <c r="I223">
        <v>8848698.5000000019</v>
      </c>
      <c r="J223">
        <v>3.5138186512143079</v>
      </c>
      <c r="K223">
        <v>4.7994955434409645</v>
      </c>
      <c r="L223">
        <v>5.9036930685343147</v>
      </c>
      <c r="M223" s="6">
        <v>0.54665598718462149</v>
      </c>
      <c r="N223" s="6">
        <v>0.35266701191092698</v>
      </c>
      <c r="O223" s="23">
        <f t="shared" si="18"/>
        <v>-0.19398897527369452</v>
      </c>
    </row>
    <row r="224" spans="2:15" x14ac:dyDescent="0.35">
      <c r="B224" t="s">
        <v>83</v>
      </c>
      <c r="C224">
        <v>512</v>
      </c>
      <c r="D224">
        <v>1670</v>
      </c>
      <c r="E224">
        <v>2284.2905885139849</v>
      </c>
      <c r="F224" t="s">
        <v>83</v>
      </c>
      <c r="G224">
        <v>96714</v>
      </c>
      <c r="H224">
        <v>103101.00000000004</v>
      </c>
      <c r="I224">
        <v>107118.5</v>
      </c>
      <c r="J224">
        <v>52.939595094815644</v>
      </c>
      <c r="K224">
        <v>161.97709042589298</v>
      </c>
      <c r="L224">
        <v>213.24893351885854</v>
      </c>
      <c r="M224" s="6">
        <v>2.26171875</v>
      </c>
      <c r="N224" s="6">
        <v>0.36783867575687718</v>
      </c>
      <c r="O224" s="23">
        <f t="shared" si="18"/>
        <v>-1.8938800742431228</v>
      </c>
    </row>
    <row r="225" spans="2:15" x14ac:dyDescent="0.35">
      <c r="B225" t="s">
        <v>86</v>
      </c>
      <c r="C225">
        <v>0</v>
      </c>
      <c r="D225">
        <v>5849</v>
      </c>
      <c r="E225">
        <v>8006</v>
      </c>
      <c r="F225" t="s">
        <v>86</v>
      </c>
      <c r="G225">
        <v>11106031.000000004</v>
      </c>
      <c r="H225">
        <v>10395329.5</v>
      </c>
      <c r="I225">
        <v>10913163.5</v>
      </c>
      <c r="J225">
        <v>0</v>
      </c>
      <c r="K225">
        <v>5.6265652762618057</v>
      </c>
      <c r="L225">
        <v>7.3360946163777347</v>
      </c>
      <c r="M225" s="6"/>
      <c r="N225" s="6">
        <v>0.36878098820311167</v>
      </c>
      <c r="O225" s="23">
        <f t="shared" si="18"/>
        <v>0.36878098820311167</v>
      </c>
    </row>
    <row r="226" spans="2:15" x14ac:dyDescent="0.35">
      <c r="B226" t="s">
        <v>74</v>
      </c>
      <c r="C226">
        <v>4836</v>
      </c>
      <c r="D226">
        <v>6547</v>
      </c>
      <c r="E226">
        <v>9116.0346943092882</v>
      </c>
      <c r="F226" t="s">
        <v>74</v>
      </c>
      <c r="G226">
        <v>3742958.9999999981</v>
      </c>
      <c r="H226">
        <v>4270711.4999999972</v>
      </c>
      <c r="I226">
        <v>4736138.9999999991</v>
      </c>
      <c r="J226">
        <v>12.920259078445696</v>
      </c>
      <c r="K226">
        <v>15.329998291853721</v>
      </c>
      <c r="L226">
        <v>19.247819150386611</v>
      </c>
      <c r="M226" s="6">
        <v>0.35380479735318443</v>
      </c>
      <c r="N226" s="6">
        <v>0.39239876192290946</v>
      </c>
      <c r="O226" s="23">
        <f t="shared" si="18"/>
        <v>3.8593964569725026E-2</v>
      </c>
    </row>
    <row r="227" spans="2:15" x14ac:dyDescent="0.35">
      <c r="B227" t="s">
        <v>46</v>
      </c>
      <c r="C227">
        <v>30</v>
      </c>
      <c r="D227">
        <v>54113</v>
      </c>
      <c r="E227">
        <v>75442.979162440766</v>
      </c>
      <c r="F227" t="s">
        <v>46</v>
      </c>
      <c r="G227">
        <v>26147002.000000011</v>
      </c>
      <c r="H227">
        <v>31273533.000000004</v>
      </c>
      <c r="I227">
        <v>35588987.00000003</v>
      </c>
      <c r="J227">
        <v>1.147359073900709E-2</v>
      </c>
      <c r="K227">
        <v>17.303129774304679</v>
      </c>
      <c r="L227">
        <v>21.19840588956373</v>
      </c>
      <c r="M227" s="6"/>
      <c r="N227" s="6">
        <v>0.3941747669218259</v>
      </c>
      <c r="O227" s="23">
        <f t="shared" si="18"/>
        <v>0.3941747669218259</v>
      </c>
    </row>
    <row r="228" spans="2:15" x14ac:dyDescent="0.35">
      <c r="B228" t="s">
        <v>49</v>
      </c>
      <c r="C228">
        <v>8590</v>
      </c>
      <c r="D228">
        <v>18578</v>
      </c>
      <c r="E228">
        <v>26578</v>
      </c>
      <c r="F228" t="s">
        <v>49</v>
      </c>
      <c r="G228">
        <v>17636407.5</v>
      </c>
      <c r="H228">
        <v>20392723</v>
      </c>
      <c r="I228">
        <v>22673762.000000011</v>
      </c>
      <c r="J228">
        <v>4.8706064429504705</v>
      </c>
      <c r="K228">
        <v>9.1101124651180712</v>
      </c>
      <c r="L228">
        <v>11.72191892990673</v>
      </c>
      <c r="M228" s="6">
        <v>1.1627473806752038</v>
      </c>
      <c r="N228" s="6">
        <v>0.43061685865001614</v>
      </c>
      <c r="O228" s="23">
        <f t="shared" si="18"/>
        <v>-0.73213052202518769</v>
      </c>
    </row>
    <row r="229" spans="2:15" x14ac:dyDescent="0.35">
      <c r="B229" t="s">
        <v>89</v>
      </c>
      <c r="C229">
        <v>50519</v>
      </c>
      <c r="D229">
        <v>77330</v>
      </c>
      <c r="E229">
        <v>116205.78132796781</v>
      </c>
      <c r="F229" t="s">
        <v>89</v>
      </c>
      <c r="G229">
        <v>35273569.999999993</v>
      </c>
      <c r="H229">
        <v>41515395.000000015</v>
      </c>
      <c r="I229">
        <v>47249584.999999978</v>
      </c>
      <c r="J229">
        <v>14.322054728228531</v>
      </c>
      <c r="K229">
        <v>18.626825060920165</v>
      </c>
      <c r="L229">
        <v>24.594032165143432</v>
      </c>
      <c r="M229" s="6">
        <v>0.53071121756170947</v>
      </c>
      <c r="N229" s="6">
        <v>0.50272573810898502</v>
      </c>
      <c r="O229" s="23">
        <f t="shared" si="18"/>
        <v>-2.7985479452724449E-2</v>
      </c>
    </row>
    <row r="230" spans="2:15" x14ac:dyDescent="0.35">
      <c r="B230" t="s">
        <v>51</v>
      </c>
      <c r="C230">
        <v>20923</v>
      </c>
      <c r="D230">
        <v>13874</v>
      </c>
      <c r="E230">
        <v>21906</v>
      </c>
      <c r="F230" t="s">
        <v>51</v>
      </c>
      <c r="G230">
        <v>21632850.000000004</v>
      </c>
      <c r="H230">
        <v>25076746.500000015</v>
      </c>
      <c r="I230">
        <v>27914536.499999989</v>
      </c>
      <c r="J230">
        <v>9.6718647797215791</v>
      </c>
      <c r="K230">
        <v>5.532615644537457</v>
      </c>
      <c r="L230">
        <v>7.8475241743670034</v>
      </c>
      <c r="M230" s="6">
        <v>-0.33690197390431581</v>
      </c>
      <c r="N230" s="6">
        <v>0.57892460717889582</v>
      </c>
      <c r="O230" s="23">
        <f t="shared" si="18"/>
        <v>0.91582658108321158</v>
      </c>
    </row>
    <row r="231" spans="2:15" x14ac:dyDescent="0.35">
      <c r="B231" t="s">
        <v>68</v>
      </c>
      <c r="C231">
        <v>48974</v>
      </c>
      <c r="D231">
        <v>67943</v>
      </c>
      <c r="E231">
        <v>122588</v>
      </c>
      <c r="F231" t="s">
        <v>68</v>
      </c>
      <c r="G231">
        <v>44792368.000000007</v>
      </c>
      <c r="H231">
        <v>49953303.999999993</v>
      </c>
      <c r="I231">
        <v>54027486.999999978</v>
      </c>
      <c r="J231">
        <v>10.933559038450477</v>
      </c>
      <c r="K231">
        <v>13.60130252845738</v>
      </c>
      <c r="L231">
        <v>22.68993188596761</v>
      </c>
      <c r="M231" s="6">
        <v>0.38732796994323521</v>
      </c>
      <c r="N231" s="6">
        <v>0.80427711464021312</v>
      </c>
      <c r="O231" s="23">
        <f t="shared" si="18"/>
        <v>0.41694914469697791</v>
      </c>
    </row>
    <row r="232" spans="2:15" x14ac:dyDescent="0.35">
      <c r="B232" t="s">
        <v>91</v>
      </c>
      <c r="C232">
        <v>19836</v>
      </c>
      <c r="D232">
        <v>31754</v>
      </c>
      <c r="E232">
        <v>59269.598365533384</v>
      </c>
      <c r="F232" t="s">
        <v>91</v>
      </c>
      <c r="G232">
        <v>13555421.500000009</v>
      </c>
      <c r="H232">
        <v>15052184.000000007</v>
      </c>
      <c r="I232">
        <v>16320536.999999994</v>
      </c>
      <c r="J232">
        <v>14.633259467438904</v>
      </c>
      <c r="K232">
        <v>21.095941957658759</v>
      </c>
      <c r="L232">
        <v>36.315960905902429</v>
      </c>
      <c r="M232" s="6">
        <v>0.60082677959265984</v>
      </c>
      <c r="N232" s="6">
        <v>0.86652385102769369</v>
      </c>
      <c r="O232" s="23">
        <f t="shared" si="18"/>
        <v>0.26569707143503385</v>
      </c>
    </row>
    <row r="233" spans="2:15" x14ac:dyDescent="0.35">
      <c r="B233" t="s">
        <v>47</v>
      </c>
      <c r="C233">
        <v>5823</v>
      </c>
      <c r="D233">
        <v>5373</v>
      </c>
      <c r="E233">
        <v>10556</v>
      </c>
      <c r="F233" t="s">
        <v>47</v>
      </c>
      <c r="G233">
        <v>10308730.499999994</v>
      </c>
      <c r="H233">
        <v>11940683.499999994</v>
      </c>
      <c r="I233">
        <v>13352864</v>
      </c>
      <c r="J233">
        <v>5.6486101756176508</v>
      </c>
      <c r="K233">
        <v>4.4997424142428715</v>
      </c>
      <c r="L233">
        <v>7.9054201405780811</v>
      </c>
      <c r="M233" s="6">
        <v>-7.7279752704791344E-2</v>
      </c>
      <c r="N233" s="6">
        <v>0.96463800483900985</v>
      </c>
      <c r="O233" s="23">
        <f t="shared" si="18"/>
        <v>1.0419177575438012</v>
      </c>
    </row>
    <row r="234" spans="2:15" x14ac:dyDescent="0.35">
      <c r="B234" t="s">
        <v>62</v>
      </c>
      <c r="C234">
        <v>6925</v>
      </c>
      <c r="D234">
        <v>89196</v>
      </c>
      <c r="E234">
        <v>189544</v>
      </c>
      <c r="F234" t="s">
        <v>62</v>
      </c>
      <c r="G234">
        <v>97084366.000000045</v>
      </c>
      <c r="H234">
        <v>111129438.00000001</v>
      </c>
      <c r="I234">
        <v>123379924.50000004</v>
      </c>
      <c r="J234">
        <v>0.71329713375271941</v>
      </c>
      <c r="K234">
        <v>8.0263161233659783</v>
      </c>
      <c r="L234">
        <v>15.362628950222767</v>
      </c>
      <c r="M234" s="6"/>
      <c r="N234" s="6">
        <v>1.1250280281626979</v>
      </c>
      <c r="O234" s="23">
        <f t="shared" si="18"/>
        <v>1.1250280281626979</v>
      </c>
    </row>
    <row r="235" spans="2:15" x14ac:dyDescent="0.35">
      <c r="B235" t="s">
        <v>76</v>
      </c>
      <c r="C235">
        <v>12149</v>
      </c>
      <c r="D235">
        <v>16647</v>
      </c>
      <c r="E235">
        <v>36271</v>
      </c>
      <c r="F235" t="s">
        <v>76</v>
      </c>
      <c r="G235">
        <v>25251730.999999989</v>
      </c>
      <c r="H235">
        <v>29423878.499999989</v>
      </c>
      <c r="I235">
        <v>32969518.500000011</v>
      </c>
      <c r="J235">
        <v>4.8111553223816639</v>
      </c>
      <c r="K235">
        <v>5.6576497894388753</v>
      </c>
      <c r="L235">
        <v>11.00137389024956</v>
      </c>
      <c r="M235" s="6">
        <v>0.37023623343485063</v>
      </c>
      <c r="N235" s="6">
        <v>1.1788310206043131</v>
      </c>
      <c r="O235" s="23">
        <f t="shared" si="18"/>
        <v>0.80859478716946254</v>
      </c>
    </row>
    <row r="236" spans="2:15" x14ac:dyDescent="0.35">
      <c r="B236" t="s">
        <v>90</v>
      </c>
      <c r="C236">
        <v>2773</v>
      </c>
      <c r="D236">
        <v>28199</v>
      </c>
      <c r="E236">
        <v>65708</v>
      </c>
      <c r="F236" t="s">
        <v>90</v>
      </c>
      <c r="G236">
        <v>15234975.999999991</v>
      </c>
      <c r="H236">
        <v>17835892.999999981</v>
      </c>
      <c r="I236">
        <v>20017675.000000004</v>
      </c>
      <c r="J236">
        <v>1.8201538354901259</v>
      </c>
      <c r="K236">
        <v>15.810254075868267</v>
      </c>
      <c r="L236">
        <v>32.824990914279496</v>
      </c>
      <c r="M236" s="6"/>
      <c r="N236" s="6">
        <v>1.330153551544381</v>
      </c>
      <c r="O236" s="23">
        <f t="shared" si="18"/>
        <v>1.330153551544381</v>
      </c>
    </row>
    <row r="237" spans="2:15" x14ac:dyDescent="0.35">
      <c r="B237" t="s">
        <v>59</v>
      </c>
      <c r="C237">
        <v>0</v>
      </c>
      <c r="D237">
        <v>652</v>
      </c>
      <c r="E237">
        <v>1676.1162448119487</v>
      </c>
      <c r="F237" t="s">
        <v>59</v>
      </c>
      <c r="G237">
        <v>1243941.0000000002</v>
      </c>
      <c r="H237">
        <v>1502091.5000000002</v>
      </c>
      <c r="I237">
        <v>1674908</v>
      </c>
      <c r="J237">
        <v>0</v>
      </c>
      <c r="K237">
        <v>4.340614403316974</v>
      </c>
      <c r="L237">
        <v>10.007213798082931</v>
      </c>
      <c r="M237" s="6"/>
      <c r="N237" s="6">
        <v>1.5707304368281423</v>
      </c>
      <c r="O237" s="23">
        <f t="shared" si="18"/>
        <v>1.5707304368281423</v>
      </c>
    </row>
    <row r="238" spans="2:15" x14ac:dyDescent="0.35">
      <c r="B238" t="s">
        <v>84</v>
      </c>
      <c r="C238">
        <v>8293</v>
      </c>
      <c r="D238">
        <v>6714</v>
      </c>
      <c r="E238">
        <v>19043</v>
      </c>
      <c r="F238" t="s">
        <v>84</v>
      </c>
      <c r="G238">
        <v>6964858.4999999972</v>
      </c>
      <c r="H238">
        <v>7861281</v>
      </c>
      <c r="I238">
        <v>8605718.0000000056</v>
      </c>
      <c r="J238">
        <v>11.906918137676456</v>
      </c>
      <c r="K238">
        <v>8.5405928117822025</v>
      </c>
      <c r="L238">
        <v>22.128310502389212</v>
      </c>
      <c r="M238" s="6">
        <v>-0.19040154347039673</v>
      </c>
      <c r="N238" s="6">
        <v>1.8363121834971701</v>
      </c>
      <c r="O238" s="23">
        <f t="shared" si="18"/>
        <v>2.026713726967567</v>
      </c>
    </row>
    <row r="239" spans="2:15" x14ac:dyDescent="0.35">
      <c r="B239" t="s">
        <v>52</v>
      </c>
      <c r="C239">
        <v>711</v>
      </c>
      <c r="D239">
        <v>1247</v>
      </c>
      <c r="E239">
        <v>3612</v>
      </c>
      <c r="F239" t="s">
        <v>52</v>
      </c>
      <c r="G239">
        <v>539939.99999999988</v>
      </c>
      <c r="H239">
        <v>571201.5</v>
      </c>
      <c r="I239">
        <v>593149.50000000012</v>
      </c>
      <c r="J239">
        <v>13.168129792199137</v>
      </c>
      <c r="K239">
        <v>21.83117516323049</v>
      </c>
      <c r="L239">
        <v>60.895271765381231</v>
      </c>
      <c r="M239" s="6">
        <v>0.75386779184247543</v>
      </c>
      <c r="N239" s="6">
        <v>1.896551724137931</v>
      </c>
      <c r="O239" s="23">
        <f t="shared" si="18"/>
        <v>1.1426839322954556</v>
      </c>
    </row>
    <row r="247" spans="2:14" ht="101.5" x14ac:dyDescent="0.35">
      <c r="B247" t="s">
        <v>93</v>
      </c>
      <c r="C247" t="s">
        <v>104</v>
      </c>
      <c r="D247" t="s">
        <v>105</v>
      </c>
      <c r="E247" t="s">
        <v>106</v>
      </c>
      <c r="F247" s="4" t="s">
        <v>93</v>
      </c>
      <c r="G247" s="4" t="s">
        <v>107</v>
      </c>
      <c r="H247" s="4" t="s">
        <v>108</v>
      </c>
      <c r="I247" s="4" t="s">
        <v>109</v>
      </c>
      <c r="J247" s="4">
        <v>2013</v>
      </c>
      <c r="K247" s="4">
        <v>2018</v>
      </c>
      <c r="L247" s="4">
        <v>2022</v>
      </c>
      <c r="M247" s="4" t="s">
        <v>112</v>
      </c>
      <c r="N247" s="4" t="s">
        <v>113</v>
      </c>
    </row>
    <row r="248" spans="2:14" x14ac:dyDescent="0.35">
      <c r="B248" t="s">
        <v>98</v>
      </c>
      <c r="C248">
        <v>767820</v>
      </c>
      <c r="D248">
        <v>1807432</v>
      </c>
      <c r="E248">
        <v>2272689.7461099052</v>
      </c>
      <c r="F248" t="s">
        <v>98</v>
      </c>
      <c r="G248">
        <v>944292669.00000024</v>
      </c>
      <c r="H248">
        <v>1076956971.0000002</v>
      </c>
      <c r="I248">
        <v>1191645698.5</v>
      </c>
      <c r="J248">
        <v>8.1311655295716356</v>
      </c>
      <c r="K248">
        <v>16.782768937571596</v>
      </c>
      <c r="L248">
        <v>19.071857926988567</v>
      </c>
      <c r="M248" s="5">
        <f>(E248-C2481)/C248</f>
        <v>2.9599251727096263</v>
      </c>
      <c r="N248" s="5">
        <f>(L248-J248)/J248</f>
        <v>1.3455257253867894</v>
      </c>
    </row>
    <row r="249" spans="2:14" x14ac:dyDescent="0.35">
      <c r="B249" t="s">
        <v>45</v>
      </c>
      <c r="C249">
        <v>11139</v>
      </c>
      <c r="D249">
        <v>139821</v>
      </c>
      <c r="E249">
        <v>62147.717864361715</v>
      </c>
      <c r="F249" t="s">
        <v>45</v>
      </c>
      <c r="G249">
        <v>38000626.500000022</v>
      </c>
      <c r="H249">
        <v>41927007.000000007</v>
      </c>
      <c r="I249">
        <v>44903225.000000007</v>
      </c>
      <c r="J249">
        <v>2.931267462129866</v>
      </c>
      <c r="K249">
        <v>33.34867189542053</v>
      </c>
      <c r="L249">
        <v>13.840368451121652</v>
      </c>
      <c r="M249" s="5">
        <f>(E249-C2482)/C249</f>
        <v>5.5792905884156312</v>
      </c>
      <c r="N249" s="5">
        <f>(L249-J249)/J249</f>
        <v>3.7216327509961187</v>
      </c>
    </row>
    <row r="250" spans="2:14" x14ac:dyDescent="0.35">
      <c r="B250" t="s">
        <v>46</v>
      </c>
      <c r="C250">
        <v>30</v>
      </c>
      <c r="D250">
        <v>54113</v>
      </c>
      <c r="E250">
        <v>75442.979162440766</v>
      </c>
      <c r="F250" t="s">
        <v>46</v>
      </c>
      <c r="G250">
        <v>26147002.000000011</v>
      </c>
      <c r="H250">
        <v>31273533.000000004</v>
      </c>
      <c r="I250">
        <v>35588987.00000003</v>
      </c>
      <c r="J250">
        <v>1.147359073900709E-2</v>
      </c>
      <c r="K250">
        <v>17.303129774304679</v>
      </c>
      <c r="L250">
        <v>21.19840588956373</v>
      </c>
      <c r="M250" s="5"/>
      <c r="N250" s="5"/>
    </row>
    <row r="251" spans="2:14" x14ac:dyDescent="0.35">
      <c r="B251" t="s">
        <v>47</v>
      </c>
      <c r="C251">
        <v>5823</v>
      </c>
      <c r="D251">
        <v>5373</v>
      </c>
      <c r="E251">
        <v>10556</v>
      </c>
      <c r="F251" t="s">
        <v>47</v>
      </c>
      <c r="G251">
        <v>10308730.499999994</v>
      </c>
      <c r="H251">
        <v>11940683.499999994</v>
      </c>
      <c r="I251">
        <v>13352864</v>
      </c>
      <c r="J251">
        <v>5.6486101756176508</v>
      </c>
      <c r="K251">
        <v>4.4997424142428715</v>
      </c>
      <c r="L251">
        <v>7.9054201405780811</v>
      </c>
      <c r="M251" s="5">
        <f t="shared" ref="M251:M262" si="19">(E251-C2484)/C251</f>
        <v>1.8128112656706166</v>
      </c>
      <c r="N251" s="5">
        <f t="shared" ref="N251:N265" si="20">(L251-J251)/J251</f>
        <v>0.3995336719644772</v>
      </c>
    </row>
    <row r="252" spans="2:14" x14ac:dyDescent="0.35">
      <c r="B252" t="s">
        <v>48</v>
      </c>
      <c r="C252">
        <v>8136</v>
      </c>
      <c r="D252">
        <v>8570</v>
      </c>
      <c r="E252">
        <v>9020</v>
      </c>
      <c r="F252" t="s">
        <v>48</v>
      </c>
      <c r="G252">
        <v>2217278.0000000009</v>
      </c>
      <c r="H252">
        <v>2451408.4999999995</v>
      </c>
      <c r="I252">
        <v>2630296.0000000019</v>
      </c>
      <c r="J252">
        <v>36.69363967892162</v>
      </c>
      <c r="K252">
        <v>34.95949369515526</v>
      </c>
      <c r="L252">
        <v>34.292718386067548</v>
      </c>
      <c r="M252" s="5">
        <f t="shared" si="19"/>
        <v>1.108652900688299</v>
      </c>
      <c r="N252" s="5">
        <f t="shared" si="20"/>
        <v>-6.5431538377297108E-2</v>
      </c>
    </row>
    <row r="253" spans="2:14" x14ac:dyDescent="0.35">
      <c r="B253" t="s">
        <v>49</v>
      </c>
      <c r="C253">
        <v>8590</v>
      </c>
      <c r="D253">
        <v>18578</v>
      </c>
      <c r="E253">
        <v>26578</v>
      </c>
      <c r="F253" t="s">
        <v>49</v>
      </c>
      <c r="G253">
        <v>17636407.5</v>
      </c>
      <c r="H253">
        <v>20392723</v>
      </c>
      <c r="I253">
        <v>22673762.000000011</v>
      </c>
      <c r="J253">
        <v>4.8706064429504705</v>
      </c>
      <c r="K253">
        <v>9.1101124651180712</v>
      </c>
      <c r="L253">
        <v>11.72191892990673</v>
      </c>
      <c r="M253" s="5">
        <f t="shared" si="19"/>
        <v>3.0940628637951106</v>
      </c>
      <c r="N253" s="5">
        <f t="shared" si="20"/>
        <v>1.4066651796251342</v>
      </c>
    </row>
    <row r="254" spans="2:14" x14ac:dyDescent="0.35">
      <c r="B254" t="s">
        <v>50</v>
      </c>
      <c r="C254">
        <v>7162</v>
      </c>
      <c r="D254">
        <v>10400</v>
      </c>
      <c r="E254">
        <v>10565.586567321363</v>
      </c>
      <c r="F254" t="s">
        <v>50</v>
      </c>
      <c r="G254">
        <v>10149577.500000002</v>
      </c>
      <c r="H254">
        <v>11493472.499999993</v>
      </c>
      <c r="I254">
        <v>12889576.499999994</v>
      </c>
      <c r="J254">
        <v>7.056451364601136</v>
      </c>
      <c r="K254">
        <v>9.0486143330486115</v>
      </c>
      <c r="L254">
        <v>8.1970005510432156</v>
      </c>
      <c r="M254" s="5">
        <f t="shared" si="19"/>
        <v>1.4752285070261606</v>
      </c>
      <c r="N254" s="5">
        <f t="shared" si="20"/>
        <v>0.16163211896615245</v>
      </c>
    </row>
    <row r="255" spans="2:14" x14ac:dyDescent="0.35">
      <c r="B255" t="s">
        <v>51</v>
      </c>
      <c r="C255">
        <v>20923</v>
      </c>
      <c r="D255">
        <v>13874</v>
      </c>
      <c r="E255">
        <v>21906</v>
      </c>
      <c r="F255" t="s">
        <v>51</v>
      </c>
      <c r="G255">
        <v>21632850.000000004</v>
      </c>
      <c r="H255">
        <v>25076746.500000015</v>
      </c>
      <c r="I255">
        <v>27914536.499999989</v>
      </c>
      <c r="J255">
        <v>9.6718647797215791</v>
      </c>
      <c r="K255">
        <v>5.532615644537457</v>
      </c>
      <c r="L255">
        <v>7.8475241743670034</v>
      </c>
      <c r="M255" s="5">
        <f t="shared" si="19"/>
        <v>1.0469817903742293</v>
      </c>
      <c r="N255" s="5">
        <f t="shared" si="20"/>
        <v>-0.18862346061532639</v>
      </c>
    </row>
    <row r="256" spans="2:14" x14ac:dyDescent="0.35">
      <c r="B256" t="s">
        <v>52</v>
      </c>
      <c r="C256">
        <v>711</v>
      </c>
      <c r="D256">
        <v>1247</v>
      </c>
      <c r="E256">
        <v>3612</v>
      </c>
      <c r="F256" t="s">
        <v>52</v>
      </c>
      <c r="G256">
        <v>539939.99999999988</v>
      </c>
      <c r="H256">
        <v>571201.5</v>
      </c>
      <c r="I256">
        <v>593149.50000000012</v>
      </c>
      <c r="J256">
        <v>13.168129792199137</v>
      </c>
      <c r="K256">
        <v>21.83117516323049</v>
      </c>
      <c r="L256">
        <v>60.895271765381231</v>
      </c>
      <c r="M256" s="5">
        <f t="shared" si="19"/>
        <v>5.0801687763713081</v>
      </c>
      <c r="N256" s="5">
        <f t="shared" si="20"/>
        <v>3.6244434651195405</v>
      </c>
    </row>
    <row r="257" spans="2:14" x14ac:dyDescent="0.35">
      <c r="B257" t="s">
        <v>53</v>
      </c>
      <c r="C257">
        <v>1160</v>
      </c>
      <c r="D257">
        <v>1974</v>
      </c>
      <c r="E257">
        <v>1331.8697270471462</v>
      </c>
      <c r="F257" t="s">
        <v>53</v>
      </c>
      <c r="G257">
        <v>4802428.5000000102</v>
      </c>
      <c r="H257">
        <v>5094779.9999999991</v>
      </c>
      <c r="I257">
        <v>5579143.5000000047</v>
      </c>
      <c r="J257">
        <v>2.4154446026630016</v>
      </c>
      <c r="K257">
        <v>3.8745539552247603</v>
      </c>
      <c r="L257">
        <v>2.3872297370504003</v>
      </c>
      <c r="M257" s="5">
        <f t="shared" si="19"/>
        <v>1.1481635577992639</v>
      </c>
      <c r="N257" s="5">
        <f t="shared" si="20"/>
        <v>-1.168102368462301E-2</v>
      </c>
    </row>
    <row r="258" spans="2:14" x14ac:dyDescent="0.35">
      <c r="B258" t="s">
        <v>54</v>
      </c>
      <c r="C258">
        <v>4630</v>
      </c>
      <c r="D258">
        <v>6538</v>
      </c>
      <c r="E258">
        <v>5798.3930605903679</v>
      </c>
      <c r="F258" t="s">
        <v>54</v>
      </c>
      <c r="G258">
        <v>13216766.5</v>
      </c>
      <c r="H258">
        <v>15604210</v>
      </c>
      <c r="I258">
        <v>17723314.500000004</v>
      </c>
      <c r="J258">
        <v>3.5031261239275127</v>
      </c>
      <c r="K258">
        <v>4.1898949065668818</v>
      </c>
      <c r="L258">
        <v>3.2716188953202665</v>
      </c>
      <c r="M258" s="5">
        <f t="shared" si="19"/>
        <v>1.2523527128704899</v>
      </c>
      <c r="N258" s="5">
        <f t="shared" si="20"/>
        <v>-6.6085895973306538E-2</v>
      </c>
    </row>
    <row r="259" spans="2:14" x14ac:dyDescent="0.35">
      <c r="B259" t="s">
        <v>55</v>
      </c>
      <c r="C259">
        <v>418</v>
      </c>
      <c r="D259">
        <v>1454</v>
      </c>
      <c r="E259">
        <v>1724.9709740708436</v>
      </c>
      <c r="F259" t="s">
        <v>55</v>
      </c>
      <c r="G259">
        <v>699392.50000000035</v>
      </c>
      <c r="H259">
        <v>776313.50000000058</v>
      </c>
      <c r="I259">
        <v>836773.49999999965</v>
      </c>
      <c r="J259">
        <v>5.9766154198107611</v>
      </c>
      <c r="K259">
        <v>18.729546761714165</v>
      </c>
      <c r="L259">
        <v>20.614550700647719</v>
      </c>
      <c r="M259" s="5">
        <f t="shared" si="19"/>
        <v>4.1267248183513008</v>
      </c>
      <c r="N259" s="5">
        <f t="shared" si="20"/>
        <v>2.449201471507839</v>
      </c>
    </row>
    <row r="260" spans="2:14" x14ac:dyDescent="0.35">
      <c r="B260" t="s">
        <v>56</v>
      </c>
      <c r="C260">
        <v>4571</v>
      </c>
      <c r="D260">
        <v>6694</v>
      </c>
      <c r="E260">
        <v>7657.4138703986164</v>
      </c>
      <c r="F260" t="s">
        <v>56</v>
      </c>
      <c r="G260">
        <v>4828066.5000000028</v>
      </c>
      <c r="H260">
        <v>5441061.9999999972</v>
      </c>
      <c r="I260">
        <v>5970424.0000000009</v>
      </c>
      <c r="J260">
        <v>9.4675580794092156</v>
      </c>
      <c r="K260">
        <v>12.302745309647277</v>
      </c>
      <c r="L260">
        <v>12.82557799981813</v>
      </c>
      <c r="M260" s="5">
        <f t="shared" si="19"/>
        <v>1.6752163356811673</v>
      </c>
      <c r="N260" s="5">
        <f t="shared" si="20"/>
        <v>0.35468701562150412</v>
      </c>
    </row>
    <row r="261" spans="2:14" x14ac:dyDescent="0.35">
      <c r="B261" t="s">
        <v>57</v>
      </c>
      <c r="C261">
        <v>17871</v>
      </c>
      <c r="D261">
        <v>26225</v>
      </c>
      <c r="E261">
        <v>32977.78546925736</v>
      </c>
      <c r="F261" t="s">
        <v>57</v>
      </c>
      <c r="G261">
        <v>22469267.5</v>
      </c>
      <c r="H261">
        <v>25493988.499999996</v>
      </c>
      <c r="I261">
        <v>28160542.500000004</v>
      </c>
      <c r="J261">
        <v>7.9535303053381687</v>
      </c>
      <c r="K261">
        <v>10.286738773730914</v>
      </c>
      <c r="L261">
        <v>11.710635712808926</v>
      </c>
      <c r="M261" s="5">
        <f t="shared" si="19"/>
        <v>1.845324014842894</v>
      </c>
      <c r="N261" s="5">
        <f t="shared" si="20"/>
        <v>0.47238210747108139</v>
      </c>
    </row>
    <row r="262" spans="2:14" x14ac:dyDescent="0.35">
      <c r="B262" t="s">
        <v>58</v>
      </c>
      <c r="C262">
        <v>67786</v>
      </c>
      <c r="D262">
        <v>138973</v>
      </c>
      <c r="E262">
        <v>139645.24336836278</v>
      </c>
      <c r="F262" t="s">
        <v>58</v>
      </c>
      <c r="G262">
        <v>73460021</v>
      </c>
      <c r="H262">
        <v>87087354.999999985</v>
      </c>
      <c r="I262">
        <v>99010212</v>
      </c>
      <c r="J262">
        <v>9.2276042229827304</v>
      </c>
      <c r="K262">
        <v>15.957885045423646</v>
      </c>
      <c r="L262">
        <v>14.104125276326323</v>
      </c>
      <c r="M262" s="5">
        <f t="shared" si="19"/>
        <v>2.0600897437282444</v>
      </c>
      <c r="N262" s="5">
        <f t="shared" si="20"/>
        <v>0.52847098071218601</v>
      </c>
    </row>
    <row r="263" spans="2:14" x14ac:dyDescent="0.35">
      <c r="B263" t="s">
        <v>59</v>
      </c>
      <c r="C263">
        <v>1</v>
      </c>
      <c r="D263">
        <v>652</v>
      </c>
      <c r="E263">
        <v>1676.1162448119487</v>
      </c>
      <c r="F263" t="s">
        <v>59</v>
      </c>
      <c r="G263">
        <v>1243941.0000000002</v>
      </c>
      <c r="H263">
        <v>1502091.5000000002</v>
      </c>
      <c r="I263">
        <v>1674908</v>
      </c>
      <c r="J263">
        <v>1</v>
      </c>
      <c r="K263">
        <v>4.340614403316974</v>
      </c>
      <c r="L263">
        <v>10.007213798082931</v>
      </c>
      <c r="M263" s="5"/>
      <c r="N263" s="5">
        <f t="shared" si="20"/>
        <v>9.0072137980829314</v>
      </c>
    </row>
    <row r="264" spans="2:14" x14ac:dyDescent="0.35">
      <c r="B264" t="s">
        <v>60</v>
      </c>
      <c r="C264">
        <v>4434</v>
      </c>
      <c r="D264">
        <v>5296</v>
      </c>
      <c r="E264">
        <v>5372.8176475233076</v>
      </c>
      <c r="F264" t="s">
        <v>60</v>
      </c>
      <c r="G264">
        <v>3296367</v>
      </c>
      <c r="H264">
        <v>3445374.4999999986</v>
      </c>
      <c r="I264">
        <v>3684031.5000000019</v>
      </c>
      <c r="J264">
        <v>13.451172154071436</v>
      </c>
      <c r="K264">
        <v>15.371333363034998</v>
      </c>
      <c r="L264">
        <v>14.584070867806926</v>
      </c>
      <c r="M264" s="5">
        <f>(E264-C2497)/C264</f>
        <v>1.2117315398113009</v>
      </c>
      <c r="N264" s="5">
        <f t="shared" si="20"/>
        <v>8.4223047683809518E-2</v>
      </c>
    </row>
    <row r="265" spans="2:14" x14ac:dyDescent="0.35">
      <c r="B265" t="s">
        <v>61</v>
      </c>
      <c r="C265">
        <v>3735</v>
      </c>
      <c r="D265">
        <v>4998</v>
      </c>
      <c r="E265">
        <v>5943</v>
      </c>
      <c r="F265" t="s">
        <v>61</v>
      </c>
      <c r="G265">
        <v>1118318.9999999998</v>
      </c>
      <c r="H265">
        <v>1160427.5</v>
      </c>
      <c r="I265">
        <v>1201670.4999999995</v>
      </c>
      <c r="J265">
        <v>33.398341618089297</v>
      </c>
      <c r="K265">
        <v>43.070333993291264</v>
      </c>
      <c r="L265">
        <v>49.456152913797936</v>
      </c>
      <c r="M265" s="5">
        <f>(E265-C2498)/C265</f>
        <v>1.591164658634538</v>
      </c>
      <c r="N265" s="5">
        <f t="shared" si="20"/>
        <v>0.48079666587431291</v>
      </c>
    </row>
    <row r="266" spans="2:14" x14ac:dyDescent="0.35">
      <c r="B266" t="s">
        <v>62</v>
      </c>
      <c r="C266">
        <v>6925</v>
      </c>
      <c r="D266">
        <v>89196</v>
      </c>
      <c r="E266">
        <v>189544</v>
      </c>
      <c r="F266" t="s">
        <v>62</v>
      </c>
      <c r="G266">
        <v>97084366.000000045</v>
      </c>
      <c r="H266">
        <v>111129438.00000001</v>
      </c>
      <c r="I266">
        <v>123379924.50000004</v>
      </c>
      <c r="J266">
        <v>0.71329713375271941</v>
      </c>
      <c r="K266">
        <v>8.0263161233659783</v>
      </c>
      <c r="L266">
        <v>15.362628950222767</v>
      </c>
      <c r="M266" s="5"/>
      <c r="N266" s="5"/>
    </row>
    <row r="267" spans="2:14" x14ac:dyDescent="0.35">
      <c r="B267" t="s">
        <v>63</v>
      </c>
      <c r="C267">
        <v>437</v>
      </c>
      <c r="D267">
        <v>8186</v>
      </c>
      <c r="E267">
        <v>6936.9896979221239</v>
      </c>
      <c r="F267" t="s">
        <v>63</v>
      </c>
      <c r="G267">
        <v>1902226.5000000007</v>
      </c>
      <c r="H267">
        <v>2192011.5</v>
      </c>
      <c r="I267">
        <v>2388992.5000000005</v>
      </c>
      <c r="J267">
        <v>2.2973079178531046</v>
      </c>
      <c r="K267">
        <v>37.344694587596827</v>
      </c>
      <c r="L267">
        <v>29.037302117617038</v>
      </c>
      <c r="M267" s="5"/>
      <c r="N267" s="5"/>
    </row>
    <row r="268" spans="2:14" x14ac:dyDescent="0.35">
      <c r="B268" t="s">
        <v>64</v>
      </c>
      <c r="C268">
        <v>2858</v>
      </c>
      <c r="D268">
        <v>2116</v>
      </c>
      <c r="E268">
        <v>2082.270897043833</v>
      </c>
      <c r="F268" t="s">
        <v>64</v>
      </c>
      <c r="G268">
        <v>2124869.5</v>
      </c>
      <c r="H268">
        <v>2444915.5000000014</v>
      </c>
      <c r="I268">
        <v>2705991.9999999995</v>
      </c>
      <c r="J268">
        <v>13.450237767542902</v>
      </c>
      <c r="K268">
        <v>8.6546958371362894</v>
      </c>
      <c r="L268">
        <v>7.695037151047873</v>
      </c>
      <c r="M268" s="5">
        <f>(E268-C2501)/C268</f>
        <v>0.72857624109301367</v>
      </c>
      <c r="N268" s="5">
        <f>(L268-J268)/J268</f>
        <v>-0.42788839245526533</v>
      </c>
    </row>
    <row r="269" spans="2:14" x14ac:dyDescent="0.35">
      <c r="B269" t="s">
        <v>65</v>
      </c>
      <c r="C269">
        <v>51421</v>
      </c>
      <c r="D269">
        <v>140055</v>
      </c>
      <c r="E269">
        <v>152812.27697797568</v>
      </c>
      <c r="F269" t="s">
        <v>65</v>
      </c>
      <c r="G269">
        <v>27525596.999999989</v>
      </c>
      <c r="H269">
        <v>30870640.5</v>
      </c>
      <c r="I269">
        <v>33475870.500000011</v>
      </c>
      <c r="J269">
        <v>18.681157033578607</v>
      </c>
      <c r="K269">
        <v>45.368349257282176</v>
      </c>
      <c r="L269">
        <v>45.648484922289214</v>
      </c>
      <c r="M269" s="5">
        <f>(E269-C2502)/C269</f>
        <v>2.9717873432639519</v>
      </c>
      <c r="N269" s="5">
        <f>(L269-J269)/J269</f>
        <v>1.4435576897211426</v>
      </c>
    </row>
    <row r="270" spans="2:14" x14ac:dyDescent="0.35">
      <c r="B270" t="s">
        <v>66</v>
      </c>
      <c r="C270">
        <v>8133</v>
      </c>
      <c r="D270">
        <v>10848</v>
      </c>
      <c r="E270">
        <v>6253.3339237473792</v>
      </c>
      <c r="F270" t="s">
        <v>66</v>
      </c>
      <c r="G270">
        <v>11055430.000000004</v>
      </c>
      <c r="H270">
        <v>12554864.499999998</v>
      </c>
      <c r="I270">
        <v>13859340.500000006</v>
      </c>
      <c r="J270">
        <v>7.3565659589902852</v>
      </c>
      <c r="K270">
        <v>8.6404755702460996</v>
      </c>
      <c r="L270">
        <v>4.5119996321234597</v>
      </c>
      <c r="M270" s="5">
        <f>(E270-C2503)/C270</f>
        <v>0.76888404324940107</v>
      </c>
      <c r="N270" s="5">
        <f>(L270-J270)/J270</f>
        <v>-0.38667040338169584</v>
      </c>
    </row>
    <row r="271" spans="2:14" x14ac:dyDescent="0.35">
      <c r="B271" t="s">
        <v>67</v>
      </c>
      <c r="C271">
        <v>1234</v>
      </c>
      <c r="D271">
        <v>1999</v>
      </c>
      <c r="E271">
        <v>2606.8737642585552</v>
      </c>
      <c r="F271" t="s">
        <v>67</v>
      </c>
      <c r="G271">
        <v>1697752.4999999993</v>
      </c>
      <c r="H271">
        <v>1924954.4999999988</v>
      </c>
      <c r="I271">
        <v>2105565.4999999991</v>
      </c>
      <c r="J271">
        <v>7.2684328251615034</v>
      </c>
      <c r="K271">
        <v>10.384661040040173</v>
      </c>
      <c r="L271">
        <v>12.380872332200335</v>
      </c>
      <c r="M271" s="5">
        <f>(E271-C2504)/C271</f>
        <v>2.1125395172273542</v>
      </c>
      <c r="N271" s="5">
        <f>(L271-J271)/J271</f>
        <v>0.70337576614051378</v>
      </c>
    </row>
    <row r="272" spans="2:14" x14ac:dyDescent="0.35">
      <c r="B272" t="s">
        <v>68</v>
      </c>
      <c r="C272">
        <v>48974</v>
      </c>
      <c r="D272">
        <v>67943</v>
      </c>
      <c r="E272">
        <v>122588</v>
      </c>
      <c r="F272" t="s">
        <v>68</v>
      </c>
      <c r="G272">
        <v>44792368.000000007</v>
      </c>
      <c r="H272">
        <v>49953303.999999993</v>
      </c>
      <c r="I272">
        <v>54027486.999999978</v>
      </c>
      <c r="J272">
        <v>10.933559038450477</v>
      </c>
      <c r="K272">
        <v>13.60130252845738</v>
      </c>
      <c r="L272">
        <v>22.68993188596761</v>
      </c>
      <c r="M272" s="5">
        <f>(E272-C2505)/C272</f>
        <v>2.5031241066688446</v>
      </c>
      <c r="N272" s="5">
        <f>(L272-J272)/J272</f>
        <v>1.0752558070224922</v>
      </c>
    </row>
    <row r="273" spans="2:14" x14ac:dyDescent="0.35">
      <c r="B273" t="s">
        <v>69</v>
      </c>
      <c r="C273">
        <v>1</v>
      </c>
      <c r="D273">
        <v>10643</v>
      </c>
      <c r="E273">
        <v>4551.0899117026884</v>
      </c>
      <c r="F273" t="s">
        <v>69</v>
      </c>
      <c r="G273">
        <v>2073938.4999999998</v>
      </c>
      <c r="H273">
        <v>2198017</v>
      </c>
      <c r="I273">
        <v>2305825.5000000019</v>
      </c>
      <c r="J273">
        <v>1</v>
      </c>
      <c r="K273">
        <v>48.420917581620159</v>
      </c>
      <c r="L273">
        <v>19.737356151637165</v>
      </c>
      <c r="M273" s="5"/>
      <c r="N273" s="5"/>
    </row>
    <row r="274" spans="2:14" x14ac:dyDescent="0.35">
      <c r="B274" t="s">
        <v>70</v>
      </c>
      <c r="C274">
        <v>974</v>
      </c>
      <c r="D274">
        <v>10108</v>
      </c>
      <c r="E274">
        <v>6366.7192932575135</v>
      </c>
      <c r="F274" t="s">
        <v>70</v>
      </c>
      <c r="G274">
        <v>4427312.4999999991</v>
      </c>
      <c r="H274">
        <v>4889391</v>
      </c>
      <c r="I274">
        <v>5302681.0000000028</v>
      </c>
      <c r="J274">
        <v>2.1999802363171792</v>
      </c>
      <c r="K274">
        <v>20.67333130036031</v>
      </c>
      <c r="L274">
        <v>12.006604382306818</v>
      </c>
      <c r="M274" s="5">
        <f t="shared" ref="M274:M289" si="21">(E274-C2507)/C274</f>
        <v>6.5366727856853322</v>
      </c>
      <c r="N274" s="5">
        <f t="shared" ref="N274:N293" si="22">(L274-J274)/J274</f>
        <v>4.4575964747784136</v>
      </c>
    </row>
    <row r="275" spans="2:14" x14ac:dyDescent="0.35">
      <c r="B275" t="s">
        <v>71</v>
      </c>
      <c r="C275">
        <v>10361</v>
      </c>
      <c r="D275">
        <v>13784</v>
      </c>
      <c r="E275">
        <v>13784</v>
      </c>
      <c r="F275" t="s">
        <v>71</v>
      </c>
      <c r="G275">
        <v>23588073.5</v>
      </c>
      <c r="H275">
        <v>26846541</v>
      </c>
      <c r="I275">
        <v>29611714.000000004</v>
      </c>
      <c r="J275">
        <v>4.392474018702714</v>
      </c>
      <c r="K275">
        <v>5.1343672169908219</v>
      </c>
      <c r="L275">
        <v>4.654914605753655</v>
      </c>
      <c r="M275" s="5">
        <f t="shared" si="21"/>
        <v>1.3303735160698775</v>
      </c>
      <c r="N275" s="5">
        <f t="shared" si="22"/>
        <v>5.9747783580163541E-2</v>
      </c>
    </row>
    <row r="276" spans="2:14" x14ac:dyDescent="0.35">
      <c r="B276" t="s">
        <v>72</v>
      </c>
      <c r="C276">
        <v>3793</v>
      </c>
      <c r="D276">
        <v>10717</v>
      </c>
      <c r="E276">
        <v>11311.563775185577</v>
      </c>
      <c r="F276" t="s">
        <v>72</v>
      </c>
      <c r="G276">
        <v>16024775.499999994</v>
      </c>
      <c r="H276">
        <v>18367882.999999985</v>
      </c>
      <c r="I276">
        <v>20405316.500000019</v>
      </c>
      <c r="J276">
        <v>2.3669598366604272</v>
      </c>
      <c r="K276">
        <v>5.8346408238772041</v>
      </c>
      <c r="L276">
        <v>5.5434395125336904</v>
      </c>
      <c r="M276" s="5">
        <f t="shared" si="21"/>
        <v>2.9822208740273077</v>
      </c>
      <c r="N276" s="5">
        <f t="shared" si="22"/>
        <v>1.3420082701339782</v>
      </c>
    </row>
    <row r="277" spans="2:14" x14ac:dyDescent="0.35">
      <c r="B277" t="s">
        <v>73</v>
      </c>
      <c r="C277">
        <v>8189</v>
      </c>
      <c r="D277">
        <v>11326</v>
      </c>
      <c r="E277">
        <v>12649.005004448398</v>
      </c>
      <c r="F277" t="s">
        <v>73</v>
      </c>
      <c r="G277">
        <v>17004032.499999996</v>
      </c>
      <c r="H277">
        <v>19934298.000000004</v>
      </c>
      <c r="I277">
        <v>22593590.500000019</v>
      </c>
      <c r="J277">
        <v>4.8159164598162238</v>
      </c>
      <c r="K277">
        <v>5.6816648371565419</v>
      </c>
      <c r="L277">
        <v>5.598492636417566</v>
      </c>
      <c r="M277" s="5">
        <f t="shared" si="21"/>
        <v>1.5446336554461348</v>
      </c>
      <c r="N277" s="5">
        <f t="shared" si="22"/>
        <v>0.16249787203144411</v>
      </c>
    </row>
    <row r="278" spans="2:14" x14ac:dyDescent="0.35">
      <c r="B278" t="s">
        <v>74</v>
      </c>
      <c r="C278">
        <v>4836</v>
      </c>
      <c r="D278">
        <v>6547</v>
      </c>
      <c r="E278">
        <v>9116.0346943092882</v>
      </c>
      <c r="F278" t="s">
        <v>74</v>
      </c>
      <c r="G278">
        <v>3742958.9999999981</v>
      </c>
      <c r="H278">
        <v>4270711.4999999972</v>
      </c>
      <c r="I278">
        <v>4736138.9999999991</v>
      </c>
      <c r="J278">
        <v>12.920259078445696</v>
      </c>
      <c r="K278">
        <v>15.329998291853721</v>
      </c>
      <c r="L278">
        <v>19.247819150386611</v>
      </c>
      <c r="M278" s="5">
        <f t="shared" si="21"/>
        <v>1.8850361237198694</v>
      </c>
      <c r="N278" s="5">
        <f t="shared" si="22"/>
        <v>0.48973941106931113</v>
      </c>
    </row>
    <row r="279" spans="2:14" x14ac:dyDescent="0.35">
      <c r="B279" t="s">
        <v>75</v>
      </c>
      <c r="C279">
        <v>6009</v>
      </c>
      <c r="D279">
        <v>7948</v>
      </c>
      <c r="E279">
        <v>6999.5342419766348</v>
      </c>
      <c r="F279" t="s">
        <v>75</v>
      </c>
      <c r="G279">
        <v>1290691.4999999998</v>
      </c>
      <c r="H279">
        <v>1295381.5000000005</v>
      </c>
      <c r="I279">
        <v>1299468.9999999986</v>
      </c>
      <c r="J279">
        <v>46.556438932153817</v>
      </c>
      <c r="K279">
        <v>61.356442098331627</v>
      </c>
      <c r="L279">
        <v>53.864572698360966</v>
      </c>
      <c r="M279" s="5">
        <f t="shared" si="21"/>
        <v>1.1648417776629447</v>
      </c>
      <c r="N279" s="5">
        <f t="shared" si="22"/>
        <v>0.15697364175248049</v>
      </c>
    </row>
    <row r="280" spans="2:14" x14ac:dyDescent="0.35">
      <c r="B280" t="s">
        <v>76</v>
      </c>
      <c r="C280">
        <v>12149</v>
      </c>
      <c r="D280">
        <v>16647</v>
      </c>
      <c r="E280">
        <v>36271</v>
      </c>
      <c r="F280" t="s">
        <v>76</v>
      </c>
      <c r="G280">
        <v>25251730.999999989</v>
      </c>
      <c r="H280">
        <v>29423878.499999989</v>
      </c>
      <c r="I280">
        <v>32969518.500000011</v>
      </c>
      <c r="J280">
        <v>4.8111553223816639</v>
      </c>
      <c r="K280">
        <v>5.6576497894388753</v>
      </c>
      <c r="L280">
        <v>11.00137389024956</v>
      </c>
      <c r="M280" s="5">
        <f t="shared" si="21"/>
        <v>2.9855132109638651</v>
      </c>
      <c r="N280" s="5">
        <f t="shared" si="22"/>
        <v>1.2866386871924052</v>
      </c>
    </row>
    <row r="281" spans="2:14" x14ac:dyDescent="0.35">
      <c r="B281" t="s">
        <v>77</v>
      </c>
      <c r="C281">
        <v>4110</v>
      </c>
      <c r="D281">
        <v>14406</v>
      </c>
      <c r="E281">
        <v>17172.321723868954</v>
      </c>
      <c r="F281" t="s">
        <v>77</v>
      </c>
      <c r="G281">
        <v>2204510.0000000005</v>
      </c>
      <c r="H281">
        <v>2405680.5000000005</v>
      </c>
      <c r="I281">
        <v>2567012.4999999995</v>
      </c>
      <c r="J281">
        <v>18.643598804269427</v>
      </c>
      <c r="K281">
        <v>59.883263799993379</v>
      </c>
      <c r="L281">
        <v>66.896135970779099</v>
      </c>
      <c r="M281" s="5">
        <f t="shared" si="21"/>
        <v>4.1781804680946362</v>
      </c>
      <c r="N281" s="5">
        <f t="shared" si="22"/>
        <v>2.5881557350107602</v>
      </c>
    </row>
    <row r="282" spans="2:14" x14ac:dyDescent="0.35">
      <c r="B282" t="s">
        <v>78</v>
      </c>
      <c r="C282">
        <v>5396</v>
      </c>
      <c r="D282">
        <v>6078</v>
      </c>
      <c r="E282">
        <v>6095.8657942347936</v>
      </c>
      <c r="F282" t="s">
        <v>78</v>
      </c>
      <c r="G282">
        <v>18653199</v>
      </c>
      <c r="H282">
        <v>22577057.999999996</v>
      </c>
      <c r="I282">
        <v>26207976.5</v>
      </c>
      <c r="J282">
        <v>2.8928013902601908</v>
      </c>
      <c r="K282">
        <v>2.6921133834178046</v>
      </c>
      <c r="L282">
        <v>2.3259582036922208</v>
      </c>
      <c r="M282" s="5">
        <f t="shared" si="21"/>
        <v>1.1297008514148987</v>
      </c>
      <c r="N282" s="5">
        <f t="shared" si="22"/>
        <v>-0.19594956932628743</v>
      </c>
    </row>
    <row r="283" spans="2:14" x14ac:dyDescent="0.35">
      <c r="B283" t="s">
        <v>79</v>
      </c>
      <c r="C283">
        <v>241954</v>
      </c>
      <c r="D283">
        <v>385486</v>
      </c>
      <c r="E283">
        <v>453649</v>
      </c>
      <c r="F283" t="s">
        <v>79</v>
      </c>
      <c r="G283">
        <v>174726123.50000006</v>
      </c>
      <c r="H283">
        <v>198387623.50000009</v>
      </c>
      <c r="I283">
        <v>218541211.50000003</v>
      </c>
      <c r="J283">
        <v>13.847614492517481</v>
      </c>
      <c r="K283">
        <v>19.430950036054028</v>
      </c>
      <c r="L283">
        <v>20.758052766628868</v>
      </c>
      <c r="M283" s="5">
        <f t="shared" si="21"/>
        <v>1.8749390379989586</v>
      </c>
      <c r="N283" s="5">
        <f t="shared" si="22"/>
        <v>0.49903456496752002</v>
      </c>
    </row>
    <row r="284" spans="2:14" x14ac:dyDescent="0.35">
      <c r="B284" t="s">
        <v>80</v>
      </c>
      <c r="C284">
        <v>11351</v>
      </c>
      <c r="D284">
        <v>16464</v>
      </c>
      <c r="E284">
        <v>17139.239749316621</v>
      </c>
      <c r="F284" t="s">
        <v>80</v>
      </c>
      <c r="G284">
        <v>11101349.499999996</v>
      </c>
      <c r="H284">
        <v>12531807.499999998</v>
      </c>
      <c r="I284">
        <v>13776697.499999994</v>
      </c>
      <c r="J284">
        <v>10.22488301985268</v>
      </c>
      <c r="K284">
        <v>13.137769631395951</v>
      </c>
      <c r="L284">
        <v>12.440746230594543</v>
      </c>
      <c r="M284" s="5">
        <f t="shared" si="21"/>
        <v>1.5099321424823029</v>
      </c>
      <c r="N284" s="5">
        <f t="shared" si="22"/>
        <v>0.21671281778378623</v>
      </c>
    </row>
    <row r="285" spans="2:14" x14ac:dyDescent="0.35">
      <c r="B285" t="s">
        <v>81</v>
      </c>
      <c r="C285">
        <v>536</v>
      </c>
      <c r="D285">
        <v>516</v>
      </c>
      <c r="E285">
        <v>570.28457017504911</v>
      </c>
      <c r="F285" t="s">
        <v>81</v>
      </c>
      <c r="G285">
        <v>193756.99999999997</v>
      </c>
      <c r="H285">
        <v>211344</v>
      </c>
      <c r="I285">
        <v>227379.5</v>
      </c>
      <c r="J285">
        <v>27.663516672946013</v>
      </c>
      <c r="K285">
        <v>24.415171473995002</v>
      </c>
      <c r="L285">
        <v>25.080738156916041</v>
      </c>
      <c r="M285" s="5">
        <f t="shared" si="21"/>
        <v>1.0639637503265842</v>
      </c>
      <c r="N285" s="5">
        <f t="shared" si="22"/>
        <v>-9.3364070322839401E-2</v>
      </c>
    </row>
    <row r="286" spans="2:14" x14ac:dyDescent="0.35">
      <c r="B286" t="s">
        <v>82</v>
      </c>
      <c r="C286">
        <v>5628</v>
      </c>
      <c r="D286">
        <v>10475</v>
      </c>
      <c r="E286">
        <v>10578.528230535412</v>
      </c>
      <c r="F286" t="s">
        <v>82</v>
      </c>
      <c r="G286">
        <v>13595565.499999993</v>
      </c>
      <c r="H286">
        <v>15574908.999999998</v>
      </c>
      <c r="I286">
        <v>17316449</v>
      </c>
      <c r="J286">
        <v>4.1395850727945103</v>
      </c>
      <c r="K286">
        <v>6.7255609647542736</v>
      </c>
      <c r="L286">
        <v>6.1089477585938159</v>
      </c>
      <c r="M286" s="5">
        <f t="shared" si="21"/>
        <v>1.8796247744377066</v>
      </c>
      <c r="N286" s="5">
        <f t="shared" si="22"/>
        <v>0.47573915046269305</v>
      </c>
    </row>
    <row r="287" spans="2:14" x14ac:dyDescent="0.35">
      <c r="B287" t="s">
        <v>83</v>
      </c>
      <c r="C287">
        <v>512</v>
      </c>
      <c r="D287">
        <v>1670</v>
      </c>
      <c r="E287">
        <v>2284.2905885139849</v>
      </c>
      <c r="F287" t="s">
        <v>83</v>
      </c>
      <c r="G287">
        <v>96714</v>
      </c>
      <c r="H287">
        <v>103101.00000000004</v>
      </c>
      <c r="I287">
        <v>107118.5</v>
      </c>
      <c r="J287">
        <v>52.939595094815644</v>
      </c>
      <c r="K287">
        <v>161.97709042589298</v>
      </c>
      <c r="L287">
        <v>213.24893351885854</v>
      </c>
      <c r="M287" s="5">
        <f t="shared" si="21"/>
        <v>4.4615050556913767</v>
      </c>
      <c r="N287" s="5">
        <f t="shared" si="22"/>
        <v>3.0281557336607197</v>
      </c>
    </row>
    <row r="288" spans="2:14" x14ac:dyDescent="0.35">
      <c r="B288" t="s">
        <v>84</v>
      </c>
      <c r="C288">
        <v>8293</v>
      </c>
      <c r="D288">
        <v>6714</v>
      </c>
      <c r="E288">
        <v>19043</v>
      </c>
      <c r="F288" t="s">
        <v>84</v>
      </c>
      <c r="G288">
        <v>6964858.4999999972</v>
      </c>
      <c r="H288">
        <v>7861281</v>
      </c>
      <c r="I288">
        <v>8605718.0000000056</v>
      </c>
      <c r="J288">
        <v>11.906918137676456</v>
      </c>
      <c r="K288">
        <v>8.5405928117822025</v>
      </c>
      <c r="L288">
        <v>22.128310502389212</v>
      </c>
      <c r="M288" s="5">
        <f t="shared" si="21"/>
        <v>2.2962739659954177</v>
      </c>
      <c r="N288" s="5">
        <f t="shared" si="22"/>
        <v>0.85844147465579046</v>
      </c>
    </row>
    <row r="289" spans="2:14" x14ac:dyDescent="0.35">
      <c r="B289" t="s">
        <v>85</v>
      </c>
      <c r="C289">
        <v>58722</v>
      </c>
      <c r="D289">
        <v>330961</v>
      </c>
      <c r="E289">
        <v>445282.24962174537</v>
      </c>
      <c r="F289" t="s">
        <v>85</v>
      </c>
      <c r="G289">
        <v>53873616</v>
      </c>
      <c r="H289">
        <v>57339635.000000022</v>
      </c>
      <c r="I289">
        <v>59893885.5</v>
      </c>
      <c r="J289">
        <v>10.899955183999529</v>
      </c>
      <c r="K289">
        <v>57.719411712334733</v>
      </c>
      <c r="L289">
        <v>74.345193320567816</v>
      </c>
      <c r="M289" s="5">
        <f t="shared" si="21"/>
        <v>7.5828863053326758</v>
      </c>
      <c r="N289" s="5">
        <f t="shared" si="22"/>
        <v>5.8206879813324406</v>
      </c>
    </row>
    <row r="290" spans="2:14" x14ac:dyDescent="0.35">
      <c r="B290" t="s">
        <v>86</v>
      </c>
      <c r="C290">
        <v>1</v>
      </c>
      <c r="D290">
        <v>5849</v>
      </c>
      <c r="E290">
        <v>8006</v>
      </c>
      <c r="F290" t="s">
        <v>86</v>
      </c>
      <c r="G290">
        <v>11106031.000000004</v>
      </c>
      <c r="H290">
        <v>10395329.5</v>
      </c>
      <c r="I290">
        <v>10913163.5</v>
      </c>
      <c r="J290">
        <v>1</v>
      </c>
      <c r="K290">
        <v>5.6265652762618057</v>
      </c>
      <c r="L290">
        <v>7.3360946163777347</v>
      </c>
      <c r="M290" s="5"/>
      <c r="N290" s="5">
        <f t="shared" si="22"/>
        <v>6.3360946163777347</v>
      </c>
    </row>
    <row r="291" spans="2:14" x14ac:dyDescent="0.35">
      <c r="B291" t="s">
        <v>87</v>
      </c>
      <c r="C291">
        <v>22281</v>
      </c>
      <c r="D291">
        <v>34825</v>
      </c>
      <c r="E291">
        <v>40633</v>
      </c>
      <c r="F291" t="s">
        <v>87</v>
      </c>
      <c r="G291">
        <v>49253643.5</v>
      </c>
      <c r="H291">
        <v>58090443.000000007</v>
      </c>
      <c r="I291">
        <v>65497748.000000037</v>
      </c>
      <c r="J291">
        <v>4.5237262498154074</v>
      </c>
      <c r="K291">
        <v>5.9949620284355545</v>
      </c>
      <c r="L291">
        <v>6.2037247448568733</v>
      </c>
      <c r="M291" s="5">
        <f>(E291-C2524)/C291</f>
        <v>1.8236614155558548</v>
      </c>
      <c r="N291" s="5">
        <f t="shared" si="22"/>
        <v>0.37137492462326138</v>
      </c>
    </row>
    <row r="292" spans="2:14" x14ac:dyDescent="0.35">
      <c r="B292" t="s">
        <v>88</v>
      </c>
      <c r="C292">
        <v>2497</v>
      </c>
      <c r="D292">
        <v>3862</v>
      </c>
      <c r="E292">
        <v>5224</v>
      </c>
      <c r="F292" t="s">
        <v>88</v>
      </c>
      <c r="G292">
        <v>7106229</v>
      </c>
      <c r="H292">
        <v>8046679</v>
      </c>
      <c r="I292">
        <v>8848698.5000000019</v>
      </c>
      <c r="J292">
        <v>3.5138186512143079</v>
      </c>
      <c r="K292">
        <v>4.7994955434409645</v>
      </c>
      <c r="L292">
        <v>5.9036930685343147</v>
      </c>
      <c r="M292" s="5">
        <f>(E292-C2525)/C292</f>
        <v>2.0921105326391669</v>
      </c>
      <c r="N292" s="5">
        <f t="shared" si="22"/>
        <v>0.68013595877923649</v>
      </c>
    </row>
    <row r="293" spans="2:14" x14ac:dyDescent="0.35">
      <c r="B293" t="s">
        <v>89</v>
      </c>
      <c r="C293">
        <v>50519</v>
      </c>
      <c r="D293">
        <v>77330</v>
      </c>
      <c r="E293">
        <v>116205.78132796781</v>
      </c>
      <c r="F293" t="s">
        <v>89</v>
      </c>
      <c r="G293">
        <v>35273569.999999993</v>
      </c>
      <c r="H293">
        <v>41515395.000000015</v>
      </c>
      <c r="I293">
        <v>47249584.999999978</v>
      </c>
      <c r="J293">
        <v>14.322054728228531</v>
      </c>
      <c r="K293">
        <v>18.626825060920165</v>
      </c>
      <c r="L293">
        <v>24.594032165143432</v>
      </c>
      <c r="M293" s="5">
        <f>(E293-C2526)/C293</f>
        <v>2.3002391442421231</v>
      </c>
      <c r="N293" s="5">
        <f t="shared" si="22"/>
        <v>0.71721394952282957</v>
      </c>
    </row>
    <row r="294" spans="2:14" x14ac:dyDescent="0.35">
      <c r="B294" t="s">
        <v>90</v>
      </c>
      <c r="C294">
        <v>2773</v>
      </c>
      <c r="D294">
        <v>28199</v>
      </c>
      <c r="E294">
        <v>65708</v>
      </c>
      <c r="F294" t="s">
        <v>90</v>
      </c>
      <c r="G294">
        <v>15234975.999999991</v>
      </c>
      <c r="H294">
        <v>17835892.999999981</v>
      </c>
      <c r="I294">
        <v>20017675.000000004</v>
      </c>
      <c r="J294">
        <v>1.8201538354901259</v>
      </c>
      <c r="K294">
        <v>15.810254075868267</v>
      </c>
      <c r="L294">
        <v>32.824990914279496</v>
      </c>
      <c r="M294" s="5"/>
      <c r="N294" s="5"/>
    </row>
    <row r="295" spans="2:14" x14ac:dyDescent="0.35">
      <c r="B295" t="s">
        <v>91</v>
      </c>
      <c r="C295">
        <v>19836</v>
      </c>
      <c r="D295">
        <v>31754</v>
      </c>
      <c r="E295">
        <v>59269.598365533384</v>
      </c>
      <c r="F295" t="s">
        <v>91</v>
      </c>
      <c r="G295">
        <v>13555421.500000009</v>
      </c>
      <c r="H295">
        <v>15052184.000000007</v>
      </c>
      <c r="I295">
        <v>16320536.999999994</v>
      </c>
      <c r="J295">
        <v>14.633259467438904</v>
      </c>
      <c r="K295">
        <v>21.095941957658759</v>
      </c>
      <c r="L295">
        <v>36.315960905902429</v>
      </c>
      <c r="M295" s="5">
        <f>(E295-C2528)/C295</f>
        <v>2.9879813654735523</v>
      </c>
      <c r="N295" s="5">
        <f>(L295-J295)/J295</f>
        <v>1.4817410630017624</v>
      </c>
    </row>
    <row r="314" spans="1:4" s="4" customFormat="1" ht="29" x14ac:dyDescent="0.35">
      <c r="A314" s="4" t="s">
        <v>122</v>
      </c>
      <c r="B314" s="4" t="s">
        <v>191</v>
      </c>
      <c r="C314" s="4" t="s">
        <v>192</v>
      </c>
      <c r="D314" s="4" t="s">
        <v>193</v>
      </c>
    </row>
    <row r="315" spans="1:4" x14ac:dyDescent="0.35">
      <c r="A315" t="s">
        <v>98</v>
      </c>
      <c r="B315" s="16">
        <v>8.1311655295716356</v>
      </c>
      <c r="C315" s="16">
        <v>16.782768937571596</v>
      </c>
      <c r="D315" s="16">
        <v>19.071857926988567</v>
      </c>
    </row>
    <row r="316" spans="1:4" x14ac:dyDescent="0.35">
      <c r="A316" t="s">
        <v>132</v>
      </c>
      <c r="B316" s="16">
        <v>6.2742809713216214</v>
      </c>
      <c r="C316" s="16">
        <v>9.0315980149641959</v>
      </c>
      <c r="D316" s="16">
        <v>9.8928648636686223</v>
      </c>
    </row>
    <row r="317" spans="1:4" x14ac:dyDescent="0.35">
      <c r="A317" t="s">
        <v>131</v>
      </c>
      <c r="B317" s="16">
        <v>10.441590640238523</v>
      </c>
      <c r="C317" s="16">
        <v>20.163058311899942</v>
      </c>
      <c r="D317" s="16">
        <v>23.205785005554873</v>
      </c>
    </row>
    <row r="318" spans="1:4" x14ac:dyDescent="0.35">
      <c r="A318" t="s">
        <v>133</v>
      </c>
      <c r="B318" s="16">
        <v>24.147219373144736</v>
      </c>
      <c r="C318" s="16">
        <v>59.654430103231675</v>
      </c>
      <c r="D318" s="16">
        <v>68.813152830047713</v>
      </c>
    </row>
  </sheetData>
  <autoFilter ref="B191:O239" xr:uid="{1EDB639A-9252-4B01-94B7-F26CF2F0CD8E}"/>
  <sortState xmlns:xlrd2="http://schemas.microsoft.com/office/spreadsheetml/2017/richdata2" ref="B248:N295">
    <sortCondition ref="B248:B295"/>
  </sortState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50A40-572C-47D6-ABCB-954B92781C69}">
  <dimension ref="A1:D9"/>
  <sheetViews>
    <sheetView workbookViewId="0">
      <selection activeCell="A14" sqref="A14"/>
    </sheetView>
  </sheetViews>
  <sheetFormatPr defaultRowHeight="14.5" x14ac:dyDescent="0.35"/>
  <cols>
    <col min="1" max="1" width="34.26953125" bestFit="1" customWidth="1"/>
  </cols>
  <sheetData>
    <row r="1" spans="1:4" x14ac:dyDescent="0.35">
      <c r="C1" t="s">
        <v>269</v>
      </c>
    </row>
    <row r="5" spans="1:4" x14ac:dyDescent="0.35">
      <c r="A5" t="s">
        <v>44</v>
      </c>
      <c r="B5" t="s">
        <v>245</v>
      </c>
      <c r="C5" t="s">
        <v>246</v>
      </c>
      <c r="D5" t="s">
        <v>247</v>
      </c>
    </row>
    <row r="6" spans="1:4" x14ac:dyDescent="0.35">
      <c r="A6" t="s">
        <v>133</v>
      </c>
      <c r="B6">
        <v>110235</v>
      </c>
      <c r="C6">
        <v>399824</v>
      </c>
      <c r="D6">
        <v>516331.76738311263</v>
      </c>
    </row>
    <row r="7" spans="1:4" x14ac:dyDescent="0.35">
      <c r="A7" t="s">
        <v>131</v>
      </c>
      <c r="B7">
        <v>500130</v>
      </c>
      <c r="C7">
        <v>1093979</v>
      </c>
      <c r="D7">
        <v>1386731.0884352727</v>
      </c>
    </row>
    <row r="8" spans="1:4" x14ac:dyDescent="0.35">
      <c r="A8" t="s">
        <v>132</v>
      </c>
      <c r="B8">
        <v>231469</v>
      </c>
      <c r="C8">
        <v>500896</v>
      </c>
      <c r="D8">
        <v>706258.00230736472</v>
      </c>
    </row>
    <row r="9" spans="1:4" x14ac:dyDescent="0.35">
      <c r="A9" t="s">
        <v>98</v>
      </c>
      <c r="B9">
        <v>841834</v>
      </c>
      <c r="C9">
        <v>1994699</v>
      </c>
      <c r="D9">
        <v>2609320.85812575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BF01-743C-4080-A029-74787DA6BA81}">
  <dimension ref="A1:T196"/>
  <sheetViews>
    <sheetView topLeftCell="A9" workbookViewId="0">
      <selection activeCell="N131" sqref="N131"/>
    </sheetView>
  </sheetViews>
  <sheetFormatPr defaultRowHeight="14.5" x14ac:dyDescent="0.35"/>
  <cols>
    <col min="2" max="2" width="20.90625" bestFit="1" customWidth="1"/>
    <col min="3" max="3" width="12" hidden="1" customWidth="1"/>
    <col min="4" max="4" width="15" hidden="1" customWidth="1"/>
    <col min="5" max="5" width="11.08984375" hidden="1" customWidth="1"/>
    <col min="6" max="8" width="11.81640625" hidden="1" customWidth="1"/>
    <col min="9" max="11" width="0" hidden="1" customWidth="1"/>
    <col min="12" max="12" width="29.81640625" bestFit="1" customWidth="1"/>
    <col min="13" max="14" width="12.54296875" bestFit="1" customWidth="1"/>
    <col min="15" max="16" width="11.08984375" bestFit="1" customWidth="1"/>
    <col min="17" max="17" width="12.54296875" bestFit="1" customWidth="1"/>
  </cols>
  <sheetData>
    <row r="1" spans="1:20" x14ac:dyDescent="0.35">
      <c r="D1" t="s">
        <v>97</v>
      </c>
    </row>
    <row r="4" spans="1:20" s="4" customFormat="1" ht="43.5" x14ac:dyDescent="0.35">
      <c r="A4" s="4" t="s">
        <v>190</v>
      </c>
      <c r="B4" s="4" t="s">
        <v>93</v>
      </c>
      <c r="C4" s="4" t="s">
        <v>116</v>
      </c>
      <c r="D4" s="4" t="s">
        <v>117</v>
      </c>
      <c r="E4" s="4" t="s">
        <v>118</v>
      </c>
      <c r="F4" s="4" t="s">
        <v>107</v>
      </c>
      <c r="G4" s="4" t="s">
        <v>108</v>
      </c>
      <c r="H4" s="4" t="s">
        <v>109</v>
      </c>
      <c r="I4" s="4" t="s">
        <v>119</v>
      </c>
      <c r="J4" s="4" t="s">
        <v>120</v>
      </c>
      <c r="K4" s="4" t="s">
        <v>121</v>
      </c>
      <c r="L4" s="4" t="s">
        <v>122</v>
      </c>
      <c r="M4" s="4" t="s">
        <v>123</v>
      </c>
      <c r="N4" s="4" t="s">
        <v>124</v>
      </c>
      <c r="O4" s="4" t="s">
        <v>125</v>
      </c>
      <c r="P4" s="4" t="s">
        <v>126</v>
      </c>
      <c r="Q4" s="4" t="s">
        <v>127</v>
      </c>
      <c r="R4" s="4" t="s">
        <v>128</v>
      </c>
      <c r="S4" s="4" t="s">
        <v>129</v>
      </c>
      <c r="T4" s="4" t="s">
        <v>130</v>
      </c>
    </row>
    <row r="5" spans="1:20" x14ac:dyDescent="0.35">
      <c r="A5" t="s">
        <v>153</v>
      </c>
      <c r="B5" t="s">
        <v>45</v>
      </c>
      <c r="C5">
        <v>11139</v>
      </c>
      <c r="D5">
        <v>139821</v>
      </c>
      <c r="E5">
        <v>62147.717864361715</v>
      </c>
      <c r="F5">
        <v>38000626.500000022</v>
      </c>
      <c r="G5">
        <v>41927007.000000007</v>
      </c>
      <c r="H5">
        <v>44903225.000000007</v>
      </c>
      <c r="I5">
        <v>2.931267462129866</v>
      </c>
      <c r="J5">
        <v>33.34867189542053</v>
      </c>
      <c r="K5">
        <v>13.840368451121652</v>
      </c>
      <c r="L5" t="s">
        <v>131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5">
      <c r="A6" t="s">
        <v>154</v>
      </c>
      <c r="B6" t="s">
        <v>46</v>
      </c>
      <c r="C6">
        <v>30</v>
      </c>
      <c r="D6">
        <v>54113</v>
      </c>
      <c r="E6">
        <v>75442.979162440766</v>
      </c>
      <c r="F6">
        <v>26147002.000000011</v>
      </c>
      <c r="G6">
        <v>31273533.000000004</v>
      </c>
      <c r="H6">
        <v>35588987.00000003</v>
      </c>
      <c r="I6">
        <v>1.147359073900709E-2</v>
      </c>
      <c r="J6">
        <v>17.303129774304679</v>
      </c>
      <c r="K6">
        <v>21.19840588956373</v>
      </c>
      <c r="L6" t="s">
        <v>131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</row>
    <row r="7" spans="1:20" x14ac:dyDescent="0.35">
      <c r="A7" t="s">
        <v>155</v>
      </c>
      <c r="B7" t="s">
        <v>47</v>
      </c>
      <c r="C7">
        <v>5823</v>
      </c>
      <c r="D7">
        <v>5373</v>
      </c>
      <c r="E7">
        <v>10556</v>
      </c>
      <c r="F7">
        <v>10308730.499999994</v>
      </c>
      <c r="G7">
        <v>11940683.499999994</v>
      </c>
      <c r="H7">
        <v>13352864</v>
      </c>
      <c r="I7">
        <v>5.6486101756176508</v>
      </c>
      <c r="J7">
        <v>4.4997424142428715</v>
      </c>
      <c r="K7">
        <v>7.9054201405780811</v>
      </c>
      <c r="L7" t="s">
        <v>131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0</v>
      </c>
    </row>
    <row r="8" spans="1:20" x14ac:dyDescent="0.35">
      <c r="A8" t="s">
        <v>156</v>
      </c>
      <c r="B8" t="s">
        <v>48</v>
      </c>
      <c r="C8">
        <v>8136</v>
      </c>
      <c r="D8">
        <v>8570</v>
      </c>
      <c r="E8">
        <v>9020</v>
      </c>
      <c r="F8">
        <v>2217278.0000000009</v>
      </c>
      <c r="G8">
        <v>2451408.4999999995</v>
      </c>
      <c r="H8">
        <v>2630296.0000000019</v>
      </c>
      <c r="I8">
        <v>36.69363967892162</v>
      </c>
      <c r="J8">
        <v>34.95949369515526</v>
      </c>
      <c r="K8">
        <v>34.292718386067548</v>
      </c>
      <c r="L8" t="s">
        <v>133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</row>
    <row r="9" spans="1:20" x14ac:dyDescent="0.35">
      <c r="A9" t="s">
        <v>143</v>
      </c>
      <c r="B9" t="s">
        <v>49</v>
      </c>
      <c r="C9">
        <v>8590</v>
      </c>
      <c r="D9">
        <v>18578</v>
      </c>
      <c r="E9">
        <v>26578</v>
      </c>
      <c r="F9">
        <v>17636407.5</v>
      </c>
      <c r="G9">
        <v>20392723</v>
      </c>
      <c r="H9">
        <v>22673762.000000011</v>
      </c>
      <c r="I9">
        <v>4.8706064429504705</v>
      </c>
      <c r="J9">
        <v>9.1101124651180712</v>
      </c>
      <c r="K9">
        <v>11.72191892990673</v>
      </c>
      <c r="L9" t="s">
        <v>132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</row>
    <row r="10" spans="1:20" x14ac:dyDescent="0.35">
      <c r="A10" t="s">
        <v>157</v>
      </c>
      <c r="B10" t="s">
        <v>50</v>
      </c>
      <c r="C10">
        <v>7162</v>
      </c>
      <c r="D10">
        <v>10400</v>
      </c>
      <c r="E10">
        <v>10565.586567321363</v>
      </c>
      <c r="F10">
        <v>10149577.500000002</v>
      </c>
      <c r="G10">
        <v>11493472.499999993</v>
      </c>
      <c r="H10">
        <v>12889576.499999994</v>
      </c>
      <c r="I10">
        <v>7.056451364601136</v>
      </c>
      <c r="J10">
        <v>9.0486143330486115</v>
      </c>
      <c r="K10">
        <v>8.1970005510432156</v>
      </c>
      <c r="L10" t="s">
        <v>132</v>
      </c>
      <c r="M10">
        <v>1</v>
      </c>
      <c r="N10">
        <v>0</v>
      </c>
      <c r="O10">
        <v>1</v>
      </c>
      <c r="P10">
        <v>0</v>
      </c>
      <c r="Q10">
        <v>1</v>
      </c>
      <c r="R10">
        <v>0</v>
      </c>
      <c r="S10">
        <v>0</v>
      </c>
      <c r="T10">
        <v>0</v>
      </c>
    </row>
    <row r="11" spans="1:20" x14ac:dyDescent="0.35">
      <c r="A11" t="s">
        <v>160</v>
      </c>
      <c r="B11" t="s">
        <v>51</v>
      </c>
      <c r="C11">
        <v>20923</v>
      </c>
      <c r="D11">
        <v>13874</v>
      </c>
      <c r="E11">
        <v>21906</v>
      </c>
      <c r="F11">
        <v>21632850.000000004</v>
      </c>
      <c r="G11">
        <v>25076746.500000015</v>
      </c>
      <c r="H11">
        <v>27914536.499999989</v>
      </c>
      <c r="I11">
        <v>9.6718647797215791</v>
      </c>
      <c r="J11">
        <v>5.532615644537457</v>
      </c>
      <c r="K11">
        <v>7.8475241743670034</v>
      </c>
      <c r="L11" t="s">
        <v>131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5">
      <c r="A12" t="s">
        <v>159</v>
      </c>
      <c r="B12" t="s">
        <v>52</v>
      </c>
      <c r="C12">
        <v>711</v>
      </c>
      <c r="D12">
        <v>1247</v>
      </c>
      <c r="E12">
        <v>3612</v>
      </c>
      <c r="F12">
        <v>539939.99999999988</v>
      </c>
      <c r="G12">
        <v>571201.5</v>
      </c>
      <c r="H12">
        <v>593149.50000000012</v>
      </c>
      <c r="I12">
        <v>13.168129792199137</v>
      </c>
      <c r="J12">
        <v>21.83117516323049</v>
      </c>
      <c r="K12">
        <v>60.895271765381231</v>
      </c>
      <c r="L12" t="s">
        <v>131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0</v>
      </c>
    </row>
    <row r="13" spans="1:20" x14ac:dyDescent="0.35">
      <c r="A13" t="s">
        <v>144</v>
      </c>
      <c r="B13" t="s">
        <v>53</v>
      </c>
      <c r="C13">
        <v>1160</v>
      </c>
      <c r="D13">
        <v>1974</v>
      </c>
      <c r="E13">
        <v>1331.8697270471462</v>
      </c>
      <c r="F13">
        <v>4802428.5000000102</v>
      </c>
      <c r="G13">
        <v>5094779.9999999991</v>
      </c>
      <c r="H13">
        <v>5579143.5000000047</v>
      </c>
      <c r="I13">
        <v>2.4154446026630016</v>
      </c>
      <c r="J13">
        <v>3.8745539552247603</v>
      </c>
      <c r="K13">
        <v>2.3872297370504003</v>
      </c>
      <c r="L13" t="s">
        <v>132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</row>
    <row r="14" spans="1:20" x14ac:dyDescent="0.35">
      <c r="A14" t="s">
        <v>161</v>
      </c>
      <c r="B14" t="s">
        <v>54</v>
      </c>
      <c r="C14">
        <v>4630</v>
      </c>
      <c r="D14">
        <v>6538</v>
      </c>
      <c r="E14">
        <v>5798.3930605903679</v>
      </c>
      <c r="F14">
        <v>13216766.5</v>
      </c>
      <c r="G14">
        <v>15604210</v>
      </c>
      <c r="H14">
        <v>17723314.500000004</v>
      </c>
      <c r="I14">
        <v>3.5031261239275127</v>
      </c>
      <c r="J14">
        <v>4.1898949065668818</v>
      </c>
      <c r="K14">
        <v>3.2716188953202665</v>
      </c>
      <c r="L14" t="s">
        <v>132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</row>
    <row r="15" spans="1:20" x14ac:dyDescent="0.35">
      <c r="A15" t="s">
        <v>188</v>
      </c>
      <c r="B15" t="s">
        <v>55</v>
      </c>
      <c r="C15">
        <v>418</v>
      </c>
      <c r="D15">
        <v>1454</v>
      </c>
      <c r="E15">
        <v>1724.9709740708436</v>
      </c>
      <c r="F15">
        <v>699392.50000000035</v>
      </c>
      <c r="G15">
        <v>776313.50000000058</v>
      </c>
      <c r="H15">
        <v>836773.49999999965</v>
      </c>
      <c r="I15">
        <v>5.9766154198107611</v>
      </c>
      <c r="J15">
        <v>18.729546761714165</v>
      </c>
      <c r="K15">
        <v>20.614550700647719</v>
      </c>
      <c r="L15" t="s">
        <v>131</v>
      </c>
      <c r="M15">
        <v>1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</row>
    <row r="16" spans="1:20" x14ac:dyDescent="0.35">
      <c r="A16" t="s">
        <v>181</v>
      </c>
      <c r="B16" t="s">
        <v>56</v>
      </c>
      <c r="C16">
        <v>4571</v>
      </c>
      <c r="D16">
        <v>6694</v>
      </c>
      <c r="E16">
        <v>7657.4138703986164</v>
      </c>
      <c r="F16">
        <v>4828066.5000000028</v>
      </c>
      <c r="G16">
        <v>5441061.9999999972</v>
      </c>
      <c r="H16">
        <v>5970424.0000000009</v>
      </c>
      <c r="I16">
        <v>9.4675580794092156</v>
      </c>
      <c r="J16">
        <v>12.302745309647277</v>
      </c>
      <c r="K16">
        <v>12.82557799981813</v>
      </c>
      <c r="L16" t="s">
        <v>131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35">
      <c r="A17" t="s">
        <v>158</v>
      </c>
      <c r="B17" t="s">
        <v>57</v>
      </c>
      <c r="C17">
        <v>17871</v>
      </c>
      <c r="D17">
        <v>26225</v>
      </c>
      <c r="E17">
        <v>32977.78546925736</v>
      </c>
      <c r="F17">
        <v>22469267.5</v>
      </c>
      <c r="G17">
        <v>25493988.499999996</v>
      </c>
      <c r="H17">
        <v>28160542.500000004</v>
      </c>
      <c r="I17">
        <v>7.9535303053381687</v>
      </c>
      <c r="J17">
        <v>10.286738773730914</v>
      </c>
      <c r="K17">
        <v>11.710635712808926</v>
      </c>
      <c r="L17" t="s">
        <v>131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1</v>
      </c>
      <c r="T17">
        <v>0</v>
      </c>
    </row>
    <row r="18" spans="1:20" x14ac:dyDescent="0.35">
      <c r="A18" t="s">
        <v>146</v>
      </c>
      <c r="B18" t="s">
        <v>58</v>
      </c>
      <c r="C18">
        <v>67786</v>
      </c>
      <c r="D18">
        <v>138973</v>
      </c>
      <c r="E18">
        <v>139645.24336836278</v>
      </c>
      <c r="F18">
        <v>73460021</v>
      </c>
      <c r="G18">
        <v>87087354.999999985</v>
      </c>
      <c r="H18">
        <v>99010212</v>
      </c>
      <c r="I18">
        <v>9.2276042229827304</v>
      </c>
      <c r="J18">
        <v>15.957885045423646</v>
      </c>
      <c r="K18">
        <v>14.104125276326323</v>
      </c>
      <c r="L18" t="s">
        <v>132</v>
      </c>
      <c r="M18">
        <v>1</v>
      </c>
      <c r="N18">
        <v>0</v>
      </c>
      <c r="O18">
        <v>1</v>
      </c>
      <c r="P18">
        <v>0</v>
      </c>
      <c r="Q18">
        <v>1</v>
      </c>
      <c r="R18">
        <v>0</v>
      </c>
      <c r="S18">
        <v>0</v>
      </c>
      <c r="T18">
        <v>1</v>
      </c>
    </row>
    <row r="19" spans="1:20" x14ac:dyDescent="0.35">
      <c r="A19" t="s">
        <v>162</v>
      </c>
      <c r="B19" t="s">
        <v>59</v>
      </c>
      <c r="C19">
        <v>1</v>
      </c>
      <c r="D19">
        <v>652</v>
      </c>
      <c r="E19">
        <v>1676.1162448119487</v>
      </c>
      <c r="F19">
        <v>1243941.0000000002</v>
      </c>
      <c r="G19">
        <v>1502091.5000000002</v>
      </c>
      <c r="H19">
        <v>1674908</v>
      </c>
      <c r="I19">
        <v>1</v>
      </c>
      <c r="J19">
        <v>4.340614403316974</v>
      </c>
      <c r="K19">
        <v>10.007213798082931</v>
      </c>
      <c r="L19" t="s">
        <v>133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35">
      <c r="A20" t="s">
        <v>186</v>
      </c>
      <c r="B20" t="s">
        <v>60</v>
      </c>
      <c r="C20">
        <v>4434</v>
      </c>
      <c r="D20">
        <v>5296</v>
      </c>
      <c r="E20">
        <v>5372.8176475233076</v>
      </c>
      <c r="F20">
        <v>3296367</v>
      </c>
      <c r="G20">
        <v>3445374.4999999986</v>
      </c>
      <c r="H20">
        <v>3684031.5000000019</v>
      </c>
      <c r="I20">
        <v>13.451172154071436</v>
      </c>
      <c r="J20">
        <v>15.371333363034998</v>
      </c>
      <c r="K20">
        <v>14.584070867806926</v>
      </c>
      <c r="L20" t="s">
        <v>132</v>
      </c>
      <c r="M20">
        <v>1</v>
      </c>
      <c r="N20">
        <v>0</v>
      </c>
      <c r="O20">
        <v>0</v>
      </c>
      <c r="P20">
        <v>1</v>
      </c>
      <c r="Q20">
        <v>0</v>
      </c>
      <c r="R20">
        <v>1</v>
      </c>
      <c r="S20">
        <v>0</v>
      </c>
      <c r="T20">
        <v>0</v>
      </c>
    </row>
    <row r="21" spans="1:20" x14ac:dyDescent="0.35">
      <c r="A21" t="s">
        <v>151</v>
      </c>
      <c r="B21" t="s">
        <v>61</v>
      </c>
      <c r="C21">
        <v>3735</v>
      </c>
      <c r="D21">
        <v>4998</v>
      </c>
      <c r="E21">
        <v>5943</v>
      </c>
      <c r="F21">
        <v>1118318.9999999998</v>
      </c>
      <c r="G21">
        <v>1160427.5</v>
      </c>
      <c r="H21">
        <v>1201670.4999999995</v>
      </c>
      <c r="I21">
        <v>33.398341618089297</v>
      </c>
      <c r="J21">
        <v>43.070333993291264</v>
      </c>
      <c r="K21">
        <v>49.456152913797936</v>
      </c>
      <c r="L21" t="s">
        <v>131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</row>
    <row r="22" spans="1:20" x14ac:dyDescent="0.35">
      <c r="A22" t="s">
        <v>147</v>
      </c>
      <c r="B22" t="s">
        <v>62</v>
      </c>
      <c r="C22">
        <v>6925</v>
      </c>
      <c r="D22">
        <v>89196</v>
      </c>
      <c r="E22">
        <v>189544</v>
      </c>
      <c r="F22">
        <v>97084366.000000045</v>
      </c>
      <c r="G22">
        <v>111129438.00000001</v>
      </c>
      <c r="H22">
        <v>123379924.50000004</v>
      </c>
      <c r="I22">
        <v>0.71329713375271941</v>
      </c>
      <c r="J22">
        <v>8.0263161233659783</v>
      </c>
      <c r="K22">
        <v>15.362628950222767</v>
      </c>
      <c r="L22" t="s">
        <v>132</v>
      </c>
      <c r="M22">
        <v>1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</row>
    <row r="23" spans="1:20" x14ac:dyDescent="0.35">
      <c r="A23" t="s">
        <v>149</v>
      </c>
      <c r="B23" t="s">
        <v>63</v>
      </c>
      <c r="C23">
        <v>437</v>
      </c>
      <c r="D23">
        <v>8186</v>
      </c>
      <c r="E23">
        <v>6936.9896979221239</v>
      </c>
      <c r="F23">
        <v>1902226.5000000007</v>
      </c>
      <c r="G23">
        <v>2192011.5</v>
      </c>
      <c r="H23">
        <v>2388992.5000000005</v>
      </c>
      <c r="I23">
        <v>2.2973079178531046</v>
      </c>
      <c r="J23">
        <v>37.344694587596827</v>
      </c>
      <c r="K23">
        <v>29.037302117617038</v>
      </c>
      <c r="L23" t="s">
        <v>133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35">
      <c r="A24" t="s">
        <v>163</v>
      </c>
      <c r="B24" t="s">
        <v>64</v>
      </c>
      <c r="C24">
        <v>2858</v>
      </c>
      <c r="D24">
        <v>2116</v>
      </c>
      <c r="E24">
        <v>2082.270897043833</v>
      </c>
      <c r="F24">
        <v>2124869.5</v>
      </c>
      <c r="G24">
        <v>2444915.5000000014</v>
      </c>
      <c r="H24">
        <v>2705991.9999999995</v>
      </c>
      <c r="I24">
        <v>13.450237767542902</v>
      </c>
      <c r="J24">
        <v>8.6546958371362894</v>
      </c>
      <c r="K24">
        <v>7.695037151047873</v>
      </c>
      <c r="L24" t="s">
        <v>132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0</v>
      </c>
    </row>
    <row r="25" spans="1:20" x14ac:dyDescent="0.35">
      <c r="A25" t="s">
        <v>164</v>
      </c>
      <c r="B25" t="s">
        <v>65</v>
      </c>
      <c r="C25">
        <v>51421</v>
      </c>
      <c r="D25">
        <v>140055</v>
      </c>
      <c r="E25">
        <v>152812.27697797568</v>
      </c>
      <c r="F25">
        <v>27525596.999999989</v>
      </c>
      <c r="G25">
        <v>30870640.5</v>
      </c>
      <c r="H25">
        <v>33475870.500000011</v>
      </c>
      <c r="I25">
        <v>18.681157033578607</v>
      </c>
      <c r="J25">
        <v>45.368349257282176</v>
      </c>
      <c r="K25">
        <v>45.648484922289214</v>
      </c>
      <c r="L25" t="s">
        <v>131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1</v>
      </c>
      <c r="T25">
        <v>0</v>
      </c>
    </row>
    <row r="26" spans="1:20" x14ac:dyDescent="0.35">
      <c r="A26" t="s">
        <v>165</v>
      </c>
      <c r="B26" t="s">
        <v>66</v>
      </c>
      <c r="C26">
        <v>8133</v>
      </c>
      <c r="D26">
        <v>10848</v>
      </c>
      <c r="E26">
        <v>6253.3339237473792</v>
      </c>
      <c r="F26">
        <v>11055430.000000004</v>
      </c>
      <c r="G26">
        <v>12554864.499999998</v>
      </c>
      <c r="H26">
        <v>13859340.500000006</v>
      </c>
      <c r="I26">
        <v>7.3565659589902852</v>
      </c>
      <c r="J26">
        <v>8.6404755702460996</v>
      </c>
      <c r="K26">
        <v>4.5119996321234597</v>
      </c>
      <c r="L26" t="s">
        <v>132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1</v>
      </c>
      <c r="T26">
        <v>0</v>
      </c>
    </row>
    <row r="27" spans="1:20" x14ac:dyDescent="0.35">
      <c r="A27" t="s">
        <v>166</v>
      </c>
      <c r="B27" t="s">
        <v>67</v>
      </c>
      <c r="C27">
        <v>1234</v>
      </c>
      <c r="D27">
        <v>1999</v>
      </c>
      <c r="E27">
        <v>2606.8737642585552</v>
      </c>
      <c r="F27">
        <v>1697752.4999999993</v>
      </c>
      <c r="G27">
        <v>1924954.4999999988</v>
      </c>
      <c r="H27">
        <v>2105565.4999999991</v>
      </c>
      <c r="I27">
        <v>7.2684328251615034</v>
      </c>
      <c r="J27">
        <v>10.384661040040173</v>
      </c>
      <c r="K27">
        <v>12.380872332200335</v>
      </c>
      <c r="L27" t="s">
        <v>132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1</v>
      </c>
      <c r="T27">
        <v>0</v>
      </c>
    </row>
    <row r="28" spans="1:20" x14ac:dyDescent="0.35">
      <c r="A28" t="s">
        <v>167</v>
      </c>
      <c r="B28" t="s">
        <v>68</v>
      </c>
      <c r="C28">
        <v>48974</v>
      </c>
      <c r="D28">
        <v>67943</v>
      </c>
      <c r="E28">
        <v>122588</v>
      </c>
      <c r="F28">
        <v>44792368.000000007</v>
      </c>
      <c r="G28">
        <v>49953303.999999993</v>
      </c>
      <c r="H28">
        <v>54027486.999999978</v>
      </c>
      <c r="I28">
        <v>10.933559038450477</v>
      </c>
      <c r="J28">
        <v>13.60130252845738</v>
      </c>
      <c r="K28">
        <v>22.68993188596761</v>
      </c>
      <c r="L28" t="s">
        <v>131</v>
      </c>
      <c r="M28">
        <v>1</v>
      </c>
      <c r="N28">
        <v>0</v>
      </c>
      <c r="O28">
        <v>0</v>
      </c>
      <c r="P28">
        <v>1</v>
      </c>
      <c r="Q28">
        <v>1</v>
      </c>
      <c r="R28">
        <v>1</v>
      </c>
      <c r="S28">
        <v>0</v>
      </c>
      <c r="T28">
        <v>0</v>
      </c>
    </row>
    <row r="29" spans="1:20" x14ac:dyDescent="0.35">
      <c r="A29" t="s">
        <v>152</v>
      </c>
      <c r="B29" t="s">
        <v>69</v>
      </c>
      <c r="C29">
        <v>1</v>
      </c>
      <c r="D29">
        <v>10643</v>
      </c>
      <c r="E29">
        <v>4551.0899117026884</v>
      </c>
      <c r="F29">
        <v>2073938.4999999998</v>
      </c>
      <c r="G29">
        <v>2198017</v>
      </c>
      <c r="H29">
        <v>2305825.5000000019</v>
      </c>
      <c r="I29">
        <v>1</v>
      </c>
      <c r="J29">
        <v>48.420917581620159</v>
      </c>
      <c r="K29">
        <v>19.737356151637165</v>
      </c>
      <c r="L29" t="s">
        <v>131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</row>
    <row r="30" spans="1:20" x14ac:dyDescent="0.35">
      <c r="A30" t="s">
        <v>168</v>
      </c>
      <c r="B30" t="s">
        <v>70</v>
      </c>
      <c r="C30">
        <v>974</v>
      </c>
      <c r="D30">
        <v>10108</v>
      </c>
      <c r="E30">
        <v>6366.7192932575135</v>
      </c>
      <c r="F30">
        <v>4427312.4999999991</v>
      </c>
      <c r="G30">
        <v>4889391</v>
      </c>
      <c r="H30">
        <v>5302681.0000000028</v>
      </c>
      <c r="I30">
        <v>2.1999802363171792</v>
      </c>
      <c r="J30">
        <v>20.67333130036031</v>
      </c>
      <c r="K30">
        <v>12.006604382306818</v>
      </c>
      <c r="L30" t="s">
        <v>132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  <c r="T30">
        <v>0</v>
      </c>
    </row>
    <row r="31" spans="1:20" x14ac:dyDescent="0.35">
      <c r="A31" t="s">
        <v>169</v>
      </c>
      <c r="B31" t="s">
        <v>71</v>
      </c>
      <c r="C31">
        <v>10361</v>
      </c>
      <c r="D31">
        <v>13784</v>
      </c>
      <c r="E31">
        <v>13784</v>
      </c>
      <c r="F31">
        <v>23588073.5</v>
      </c>
      <c r="G31">
        <v>26846541</v>
      </c>
      <c r="H31">
        <v>29611714.000000004</v>
      </c>
      <c r="I31">
        <v>4.392474018702714</v>
      </c>
      <c r="J31">
        <v>5.1343672169908219</v>
      </c>
      <c r="K31">
        <v>4.654914605753655</v>
      </c>
      <c r="L31" t="s">
        <v>132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</row>
    <row r="32" spans="1:20" x14ac:dyDescent="0.35">
      <c r="A32" t="s">
        <v>170</v>
      </c>
      <c r="B32" t="s">
        <v>72</v>
      </c>
      <c r="C32">
        <v>3793</v>
      </c>
      <c r="D32">
        <v>10717</v>
      </c>
      <c r="E32">
        <v>11311.563775185577</v>
      </c>
      <c r="F32">
        <v>16024775.499999994</v>
      </c>
      <c r="G32">
        <v>18367882.999999985</v>
      </c>
      <c r="H32">
        <v>20405316.500000019</v>
      </c>
      <c r="I32">
        <v>2.3669598366604272</v>
      </c>
      <c r="J32">
        <v>5.8346408238772041</v>
      </c>
      <c r="K32">
        <v>5.5434395125336904</v>
      </c>
      <c r="L32" t="s">
        <v>132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</row>
    <row r="33" spans="1:20" x14ac:dyDescent="0.35">
      <c r="A33" t="s">
        <v>171</v>
      </c>
      <c r="B33" t="s">
        <v>73</v>
      </c>
      <c r="C33">
        <v>8189</v>
      </c>
      <c r="D33">
        <v>11326</v>
      </c>
      <c r="E33">
        <v>12649.005004448398</v>
      </c>
      <c r="F33">
        <v>17004032.499999996</v>
      </c>
      <c r="G33">
        <v>19934298.000000004</v>
      </c>
      <c r="H33">
        <v>22593590.500000019</v>
      </c>
      <c r="I33">
        <v>4.8159164598162238</v>
      </c>
      <c r="J33">
        <v>5.6816648371565419</v>
      </c>
      <c r="K33">
        <v>5.598492636417566</v>
      </c>
      <c r="L33" t="s">
        <v>132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1</v>
      </c>
      <c r="T33">
        <v>0</v>
      </c>
    </row>
    <row r="34" spans="1:20" x14ac:dyDescent="0.35">
      <c r="A34" t="s">
        <v>150</v>
      </c>
      <c r="B34" t="s">
        <v>74</v>
      </c>
      <c r="C34">
        <v>4836</v>
      </c>
      <c r="D34">
        <v>6547</v>
      </c>
      <c r="E34">
        <v>9116.0346943092882</v>
      </c>
      <c r="F34">
        <v>3742958.9999999981</v>
      </c>
      <c r="G34">
        <v>4270711.4999999972</v>
      </c>
      <c r="H34">
        <v>4736138.9999999991</v>
      </c>
      <c r="I34">
        <v>12.920259078445696</v>
      </c>
      <c r="J34">
        <v>15.329998291853721</v>
      </c>
      <c r="K34">
        <v>19.247819150386611</v>
      </c>
      <c r="L34" t="s">
        <v>131</v>
      </c>
      <c r="M34">
        <v>0</v>
      </c>
      <c r="N34">
        <v>1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</row>
    <row r="35" spans="1:20" x14ac:dyDescent="0.35">
      <c r="A35" t="s">
        <v>172</v>
      </c>
      <c r="B35" t="s">
        <v>75</v>
      </c>
      <c r="C35">
        <v>6009</v>
      </c>
      <c r="D35">
        <v>7948</v>
      </c>
      <c r="E35">
        <v>6999.5342419766348</v>
      </c>
      <c r="F35">
        <v>1290691.4999999998</v>
      </c>
      <c r="G35">
        <v>1295381.5000000005</v>
      </c>
      <c r="H35">
        <v>1299468.9999999986</v>
      </c>
      <c r="I35">
        <v>46.556438932153817</v>
      </c>
      <c r="J35">
        <v>61.356442098331627</v>
      </c>
      <c r="K35">
        <v>53.864572698360966</v>
      </c>
      <c r="L35" t="s">
        <v>133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</row>
    <row r="36" spans="1:20" x14ac:dyDescent="0.35">
      <c r="A36" t="s">
        <v>173</v>
      </c>
      <c r="B36" t="s">
        <v>76</v>
      </c>
      <c r="C36">
        <v>12149</v>
      </c>
      <c r="D36">
        <v>16647</v>
      </c>
      <c r="E36">
        <v>36271</v>
      </c>
      <c r="F36">
        <v>25251730.999999989</v>
      </c>
      <c r="G36">
        <v>29423878.499999989</v>
      </c>
      <c r="H36">
        <v>32969518.500000011</v>
      </c>
      <c r="I36">
        <v>4.8111553223816639</v>
      </c>
      <c r="J36">
        <v>5.6576497894388753</v>
      </c>
      <c r="K36">
        <v>11.00137389024956</v>
      </c>
      <c r="L36" t="s">
        <v>132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</row>
    <row r="37" spans="1:20" x14ac:dyDescent="0.35">
      <c r="A37" t="s">
        <v>174</v>
      </c>
      <c r="B37" t="s">
        <v>77</v>
      </c>
      <c r="C37">
        <v>4110</v>
      </c>
      <c r="D37">
        <v>14406</v>
      </c>
      <c r="E37">
        <v>17172.321723868954</v>
      </c>
      <c r="F37">
        <v>2204510.0000000005</v>
      </c>
      <c r="G37">
        <v>2405680.5000000005</v>
      </c>
      <c r="H37">
        <v>2567012.4999999995</v>
      </c>
      <c r="I37">
        <v>18.643598804269427</v>
      </c>
      <c r="J37">
        <v>59.883263799993379</v>
      </c>
      <c r="K37">
        <v>66.896135970779099</v>
      </c>
      <c r="L37" t="s">
        <v>133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</row>
    <row r="38" spans="1:20" x14ac:dyDescent="0.35">
      <c r="A38" t="s">
        <v>182</v>
      </c>
      <c r="B38" t="s">
        <v>78</v>
      </c>
      <c r="C38">
        <v>5396</v>
      </c>
      <c r="D38">
        <v>6078</v>
      </c>
      <c r="E38">
        <v>6095.8657942347936</v>
      </c>
      <c r="F38">
        <v>18653199</v>
      </c>
      <c r="G38">
        <v>22577057.999999996</v>
      </c>
      <c r="H38">
        <v>26207976.5</v>
      </c>
      <c r="I38">
        <v>2.8928013902601908</v>
      </c>
      <c r="J38">
        <v>2.6921133834178046</v>
      </c>
      <c r="K38">
        <v>2.3259582036922208</v>
      </c>
      <c r="L38" t="s">
        <v>132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0</v>
      </c>
    </row>
    <row r="39" spans="1:20" x14ac:dyDescent="0.35">
      <c r="A39" t="s">
        <v>148</v>
      </c>
      <c r="B39" t="s">
        <v>79</v>
      </c>
      <c r="C39">
        <v>241954</v>
      </c>
      <c r="D39">
        <v>385486</v>
      </c>
      <c r="E39">
        <v>453649</v>
      </c>
      <c r="F39">
        <v>174726123.50000006</v>
      </c>
      <c r="G39">
        <v>198387623.50000009</v>
      </c>
      <c r="H39">
        <v>218541211.50000003</v>
      </c>
      <c r="I39">
        <v>13.847614492517481</v>
      </c>
      <c r="J39">
        <v>19.430950036054028</v>
      </c>
      <c r="K39">
        <v>20.758052766628868</v>
      </c>
      <c r="L39" t="s">
        <v>131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</row>
    <row r="40" spans="1:20" x14ac:dyDescent="0.35">
      <c r="A40" t="s">
        <v>175</v>
      </c>
      <c r="B40" t="s">
        <v>80</v>
      </c>
      <c r="C40">
        <v>11351</v>
      </c>
      <c r="D40">
        <v>16464</v>
      </c>
      <c r="E40">
        <v>17139.239749316621</v>
      </c>
      <c r="F40">
        <v>11101349.499999996</v>
      </c>
      <c r="G40">
        <v>12531807.499999998</v>
      </c>
      <c r="H40">
        <v>13776697.499999994</v>
      </c>
      <c r="I40">
        <v>10.22488301985268</v>
      </c>
      <c r="J40">
        <v>13.137769631395951</v>
      </c>
      <c r="K40">
        <v>12.440746230594543</v>
      </c>
      <c r="L40" t="s">
        <v>132</v>
      </c>
      <c r="M40">
        <v>1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</row>
    <row r="41" spans="1:20" x14ac:dyDescent="0.35">
      <c r="A41" t="s">
        <v>145</v>
      </c>
      <c r="B41" t="s">
        <v>81</v>
      </c>
      <c r="C41">
        <v>536</v>
      </c>
      <c r="D41">
        <v>516</v>
      </c>
      <c r="E41">
        <v>570.28457017504911</v>
      </c>
      <c r="F41">
        <v>193756.99999999997</v>
      </c>
      <c r="G41">
        <v>211344</v>
      </c>
      <c r="H41">
        <v>227379.5</v>
      </c>
      <c r="I41">
        <v>27.663516672946013</v>
      </c>
      <c r="J41">
        <v>24.415171473995002</v>
      </c>
      <c r="K41">
        <v>25.080738156916041</v>
      </c>
      <c r="L41" t="s">
        <v>131</v>
      </c>
      <c r="M41">
        <v>0</v>
      </c>
      <c r="N41">
        <v>0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</row>
    <row r="42" spans="1:20" x14ac:dyDescent="0.35">
      <c r="A42" t="s">
        <v>176</v>
      </c>
      <c r="B42" t="s">
        <v>82</v>
      </c>
      <c r="C42">
        <v>5628</v>
      </c>
      <c r="D42">
        <v>10475</v>
      </c>
      <c r="E42">
        <v>10578.528230535412</v>
      </c>
      <c r="F42">
        <v>13595565.499999993</v>
      </c>
      <c r="G42">
        <v>15574908.999999998</v>
      </c>
      <c r="H42">
        <v>17316449</v>
      </c>
      <c r="I42">
        <v>4.1395850727945103</v>
      </c>
      <c r="J42">
        <v>6.7255609647542736</v>
      </c>
      <c r="K42">
        <v>6.1089477585938159</v>
      </c>
      <c r="L42" t="s">
        <v>131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1</v>
      </c>
      <c r="T42">
        <v>0</v>
      </c>
    </row>
    <row r="43" spans="1:20" x14ac:dyDescent="0.35">
      <c r="A43" t="s">
        <v>177</v>
      </c>
      <c r="B43" t="s">
        <v>83</v>
      </c>
      <c r="C43">
        <v>512</v>
      </c>
      <c r="D43">
        <v>1670</v>
      </c>
      <c r="E43">
        <v>2284.2905885139849</v>
      </c>
      <c r="F43">
        <v>96714</v>
      </c>
      <c r="G43">
        <v>103101.00000000004</v>
      </c>
      <c r="H43">
        <v>107118.5</v>
      </c>
      <c r="I43">
        <v>52.939595094815644</v>
      </c>
      <c r="J43">
        <v>161.97709042589298</v>
      </c>
      <c r="K43">
        <v>213.24893351885854</v>
      </c>
      <c r="L43" t="s">
        <v>133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</row>
    <row r="44" spans="1:20" x14ac:dyDescent="0.35">
      <c r="A44" t="s">
        <v>178</v>
      </c>
      <c r="B44" t="s">
        <v>84</v>
      </c>
      <c r="C44">
        <v>8293</v>
      </c>
      <c r="D44">
        <v>6714</v>
      </c>
      <c r="E44">
        <v>19043</v>
      </c>
      <c r="F44">
        <v>6964858.4999999972</v>
      </c>
      <c r="G44">
        <v>7861281</v>
      </c>
      <c r="H44">
        <v>8605718.0000000056</v>
      </c>
      <c r="I44">
        <v>11.906918137676456</v>
      </c>
      <c r="J44">
        <v>8.5405928117822025</v>
      </c>
      <c r="K44">
        <v>22.128310502389212</v>
      </c>
      <c r="L44" t="s">
        <v>132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1</v>
      </c>
      <c r="T44">
        <v>0</v>
      </c>
    </row>
    <row r="45" spans="1:20" x14ac:dyDescent="0.35">
      <c r="A45" t="s">
        <v>179</v>
      </c>
      <c r="B45" t="s">
        <v>85</v>
      </c>
      <c r="C45">
        <v>58722</v>
      </c>
      <c r="D45">
        <v>330961</v>
      </c>
      <c r="E45">
        <v>445282.24962174537</v>
      </c>
      <c r="F45">
        <v>53873616</v>
      </c>
      <c r="G45">
        <v>57339635.000000022</v>
      </c>
      <c r="H45">
        <v>59893885.5</v>
      </c>
      <c r="I45">
        <v>10.899955183999529</v>
      </c>
      <c r="J45">
        <v>57.719411712334733</v>
      </c>
      <c r="K45">
        <v>74.345193320567816</v>
      </c>
      <c r="L45" t="s">
        <v>133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</row>
    <row r="46" spans="1:20" x14ac:dyDescent="0.35">
      <c r="A46" t="s">
        <v>180</v>
      </c>
      <c r="B46" t="s">
        <v>86</v>
      </c>
      <c r="C46">
        <v>1</v>
      </c>
      <c r="D46">
        <v>5849</v>
      </c>
      <c r="E46">
        <v>8006</v>
      </c>
      <c r="F46">
        <v>11106031.000000004</v>
      </c>
      <c r="G46">
        <v>10395329.5</v>
      </c>
      <c r="H46">
        <v>10913163.5</v>
      </c>
      <c r="I46">
        <v>1</v>
      </c>
      <c r="J46">
        <v>5.6265652762618057</v>
      </c>
      <c r="K46">
        <v>7.3360946163777347</v>
      </c>
      <c r="L46" t="s">
        <v>132</v>
      </c>
      <c r="M46">
        <v>0</v>
      </c>
      <c r="N46">
        <v>0</v>
      </c>
      <c r="O46">
        <v>0</v>
      </c>
      <c r="P46">
        <v>0</v>
      </c>
      <c r="Q46">
        <v>1</v>
      </c>
      <c r="R46">
        <v>1</v>
      </c>
      <c r="S46">
        <v>0</v>
      </c>
      <c r="T46">
        <v>0</v>
      </c>
    </row>
    <row r="47" spans="1:20" x14ac:dyDescent="0.35">
      <c r="A47" t="s">
        <v>189</v>
      </c>
      <c r="B47" t="s">
        <v>87</v>
      </c>
      <c r="C47">
        <v>22281</v>
      </c>
      <c r="D47">
        <v>34825</v>
      </c>
      <c r="E47">
        <v>40633</v>
      </c>
      <c r="F47">
        <v>49253643.5</v>
      </c>
      <c r="G47">
        <v>58090443.000000007</v>
      </c>
      <c r="H47">
        <v>65497748.000000037</v>
      </c>
      <c r="I47">
        <v>4.5237262498154074</v>
      </c>
      <c r="J47">
        <v>5.9949620284355545</v>
      </c>
      <c r="K47">
        <v>6.2037247448568733</v>
      </c>
      <c r="L47" t="s">
        <v>131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1</v>
      </c>
    </row>
    <row r="48" spans="1:20" x14ac:dyDescent="0.35">
      <c r="A48" t="s">
        <v>187</v>
      </c>
      <c r="B48" t="s">
        <v>88</v>
      </c>
      <c r="C48">
        <v>2497</v>
      </c>
      <c r="D48">
        <v>3862</v>
      </c>
      <c r="E48">
        <v>5224</v>
      </c>
      <c r="F48">
        <v>7106229</v>
      </c>
      <c r="G48">
        <v>8046679</v>
      </c>
      <c r="H48">
        <v>8848698.5000000019</v>
      </c>
      <c r="I48">
        <v>3.5138186512143079</v>
      </c>
      <c r="J48">
        <v>4.7994955434409645</v>
      </c>
      <c r="K48">
        <v>5.9036930685343147</v>
      </c>
      <c r="L48" t="s">
        <v>132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1</v>
      </c>
      <c r="T48">
        <v>0</v>
      </c>
    </row>
    <row r="49" spans="1:20" x14ac:dyDescent="0.35">
      <c r="A49" t="s">
        <v>183</v>
      </c>
      <c r="B49" t="s">
        <v>89</v>
      </c>
      <c r="C49">
        <v>50519</v>
      </c>
      <c r="D49">
        <v>77330</v>
      </c>
      <c r="E49">
        <v>116205.78132796781</v>
      </c>
      <c r="F49">
        <v>35273569.999999993</v>
      </c>
      <c r="G49">
        <v>41515395.000000015</v>
      </c>
      <c r="H49">
        <v>47249584.999999978</v>
      </c>
      <c r="I49">
        <v>14.322054728228531</v>
      </c>
      <c r="J49">
        <v>18.626825060920165</v>
      </c>
      <c r="K49">
        <v>24.594032165143432</v>
      </c>
      <c r="L49" t="s">
        <v>132</v>
      </c>
      <c r="M49">
        <v>1</v>
      </c>
      <c r="N49">
        <v>0</v>
      </c>
      <c r="O49">
        <v>0</v>
      </c>
      <c r="P49">
        <v>0</v>
      </c>
      <c r="Q49">
        <v>1</v>
      </c>
      <c r="R49">
        <v>1</v>
      </c>
      <c r="S49">
        <v>0</v>
      </c>
      <c r="T49">
        <v>0</v>
      </c>
    </row>
    <row r="50" spans="1:20" x14ac:dyDescent="0.35">
      <c r="A50" t="s">
        <v>184</v>
      </c>
      <c r="B50" t="s">
        <v>90</v>
      </c>
      <c r="C50">
        <v>2773</v>
      </c>
      <c r="D50">
        <v>28199</v>
      </c>
      <c r="E50">
        <v>65708</v>
      </c>
      <c r="F50">
        <v>15234975.999999991</v>
      </c>
      <c r="G50">
        <v>17835892.999999981</v>
      </c>
      <c r="H50">
        <v>20017675.000000004</v>
      </c>
      <c r="I50">
        <v>1.8201538354901259</v>
      </c>
      <c r="J50">
        <v>15.810254075868267</v>
      </c>
      <c r="K50">
        <v>32.824990914279496</v>
      </c>
      <c r="L50" t="s">
        <v>131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</row>
    <row r="51" spans="1:20" x14ac:dyDescent="0.35">
      <c r="A51" t="s">
        <v>185</v>
      </c>
      <c r="B51" t="s">
        <v>91</v>
      </c>
      <c r="C51">
        <v>19836</v>
      </c>
      <c r="D51">
        <v>31754</v>
      </c>
      <c r="E51">
        <v>59269.598365533384</v>
      </c>
      <c r="F51">
        <v>13555421.500000009</v>
      </c>
      <c r="G51">
        <v>15052184.000000007</v>
      </c>
      <c r="H51">
        <v>16320536.999999994</v>
      </c>
      <c r="I51">
        <v>14.633259467438904</v>
      </c>
      <c r="J51">
        <v>21.095941957658759</v>
      </c>
      <c r="K51">
        <v>36.315960905902429</v>
      </c>
      <c r="L51" t="s">
        <v>131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</row>
    <row r="52" spans="1:20" x14ac:dyDescent="0.35">
      <c r="A52" t="s">
        <v>98</v>
      </c>
      <c r="B52" t="s">
        <v>98</v>
      </c>
      <c r="C52">
        <v>767820</v>
      </c>
      <c r="D52">
        <v>1807432</v>
      </c>
      <c r="E52">
        <v>2272689.7461099052</v>
      </c>
      <c r="F52">
        <v>944292669.00000024</v>
      </c>
      <c r="G52">
        <v>1076956971.0000002</v>
      </c>
      <c r="H52">
        <v>1191645698.5</v>
      </c>
      <c r="I52">
        <v>8.1311655295716356</v>
      </c>
      <c r="J52">
        <v>16.782768937571596</v>
      </c>
      <c r="K52">
        <v>19.071857926988567</v>
      </c>
    </row>
    <row r="81" spans="2:5" x14ac:dyDescent="0.35">
      <c r="B81" t="s">
        <v>134</v>
      </c>
      <c r="C81" t="s">
        <v>116</v>
      </c>
      <c r="D81" t="s">
        <v>117</v>
      </c>
      <c r="E81" t="s">
        <v>138</v>
      </c>
    </row>
    <row r="82" spans="2:5" x14ac:dyDescent="0.35">
      <c r="B82" t="s">
        <v>131</v>
      </c>
      <c r="C82">
        <v>463461</v>
      </c>
      <c r="D82">
        <v>970242</v>
      </c>
      <c r="E82">
        <v>1141443.6800907608</v>
      </c>
    </row>
    <row r="83" spans="2:5" x14ac:dyDescent="0.35">
      <c r="B83" t="s">
        <v>132</v>
      </c>
      <c r="C83">
        <v>226435</v>
      </c>
      <c r="D83">
        <v>464797</v>
      </c>
      <c r="E83">
        <v>641874.56390030531</v>
      </c>
    </row>
    <row r="84" spans="2:5" x14ac:dyDescent="0.35">
      <c r="B84" t="s">
        <v>133</v>
      </c>
      <c r="C84">
        <v>77927</v>
      </c>
      <c r="D84">
        <v>372393</v>
      </c>
      <c r="E84">
        <v>489371.50211883901</v>
      </c>
    </row>
    <row r="85" spans="2:5" x14ac:dyDescent="0.35">
      <c r="B85" t="s">
        <v>98</v>
      </c>
      <c r="C85">
        <v>767823</v>
      </c>
      <c r="D85">
        <v>1807432</v>
      </c>
      <c r="E85">
        <v>2272689.7461099052</v>
      </c>
    </row>
    <row r="93" spans="2:5" x14ac:dyDescent="0.35">
      <c r="B93" t="s">
        <v>134</v>
      </c>
      <c r="C93" t="s">
        <v>135</v>
      </c>
      <c r="D93" t="s">
        <v>136</v>
      </c>
      <c r="E93" t="s">
        <v>137</v>
      </c>
    </row>
    <row r="94" spans="2:5" x14ac:dyDescent="0.35">
      <c r="B94" t="s">
        <v>131</v>
      </c>
      <c r="C94">
        <v>10.441590640238523</v>
      </c>
      <c r="D94">
        <v>20.163058311899942</v>
      </c>
      <c r="E94">
        <v>23.205785005554873</v>
      </c>
    </row>
    <row r="95" spans="2:5" x14ac:dyDescent="0.35">
      <c r="B95" t="s">
        <v>132</v>
      </c>
      <c r="C95">
        <v>6.2742809713216214</v>
      </c>
      <c r="D95">
        <v>9.0315980149641959</v>
      </c>
      <c r="E95">
        <v>9.8928648636686223</v>
      </c>
    </row>
    <row r="96" spans="2:5" x14ac:dyDescent="0.35">
      <c r="B96" t="s">
        <v>133</v>
      </c>
      <c r="C96">
        <v>24.147219373144736</v>
      </c>
      <c r="D96">
        <v>59.654430103231675</v>
      </c>
      <c r="E96">
        <v>68.813152830047713</v>
      </c>
    </row>
    <row r="97" spans="2:5" x14ac:dyDescent="0.35">
      <c r="B97" t="s">
        <v>98</v>
      </c>
      <c r="C97" s="3">
        <v>8.1311655295716356</v>
      </c>
      <c r="D97" s="3">
        <v>16.782768937571596</v>
      </c>
      <c r="E97" s="3">
        <v>19.071857926988567</v>
      </c>
    </row>
    <row r="103" spans="2:5" x14ac:dyDescent="0.35">
      <c r="C103" t="s">
        <v>116</v>
      </c>
      <c r="D103" t="s">
        <v>117</v>
      </c>
      <c r="E103" t="s">
        <v>138</v>
      </c>
    </row>
    <row r="104" spans="2:5" x14ac:dyDescent="0.35">
      <c r="B104" s="4" t="s">
        <v>123</v>
      </c>
      <c r="C104" s="10">
        <v>244588</v>
      </c>
      <c r="D104" s="10">
        <v>506126</v>
      </c>
      <c r="E104" s="10">
        <v>768085.62660577218</v>
      </c>
    </row>
    <row r="105" spans="2:5" x14ac:dyDescent="0.35">
      <c r="B105" s="4" t="s">
        <v>124</v>
      </c>
      <c r="C105" s="10">
        <v>15975</v>
      </c>
      <c r="D105" s="10">
        <v>146368</v>
      </c>
      <c r="E105" s="10">
        <v>71263.752558670996</v>
      </c>
    </row>
    <row r="106" spans="2:5" x14ac:dyDescent="0.35">
      <c r="B106" s="4" t="s">
        <v>125</v>
      </c>
      <c r="C106" s="10">
        <v>107236</v>
      </c>
      <c r="D106" s="10">
        <v>241920</v>
      </c>
      <c r="E106" s="10">
        <v>271530.8762690702</v>
      </c>
    </row>
    <row r="107" spans="2:5" x14ac:dyDescent="0.35">
      <c r="B107" s="4" t="s">
        <v>126</v>
      </c>
      <c r="C107" s="10">
        <v>434560</v>
      </c>
      <c r="D107" s="10">
        <v>730758</v>
      </c>
      <c r="E107" s="10">
        <v>897587.03002847498</v>
      </c>
    </row>
    <row r="108" spans="2:5" x14ac:dyDescent="0.35">
      <c r="B108" s="4" t="s">
        <v>127</v>
      </c>
      <c r="C108" s="10">
        <v>208074</v>
      </c>
      <c r="D108" s="10">
        <v>351784</v>
      </c>
      <c r="E108" s="10">
        <v>454782.85101296852</v>
      </c>
    </row>
    <row r="109" spans="2:5" x14ac:dyDescent="0.35">
      <c r="B109" s="4" t="s">
        <v>128</v>
      </c>
      <c r="C109" s="10">
        <v>110853</v>
      </c>
      <c r="D109" s="10">
        <v>245614</v>
      </c>
      <c r="E109" s="10">
        <v>441716.59897549113</v>
      </c>
    </row>
    <row r="110" spans="2:5" x14ac:dyDescent="0.35">
      <c r="B110" s="4" t="s">
        <v>129</v>
      </c>
      <c r="C110" s="10">
        <v>369572</v>
      </c>
      <c r="D110" s="10">
        <v>640490</v>
      </c>
      <c r="E110" s="10">
        <v>751084.65935475903</v>
      </c>
    </row>
    <row r="111" spans="2:5" x14ac:dyDescent="0.35">
      <c r="B111" s="4" t="s">
        <v>130</v>
      </c>
      <c r="C111" s="10">
        <v>220234</v>
      </c>
      <c r="D111" s="10">
        <v>708208</v>
      </c>
      <c r="E111" s="10">
        <v>933317.87075933022</v>
      </c>
    </row>
    <row r="117" spans="2:15" x14ac:dyDescent="0.35">
      <c r="B117" t="s">
        <v>139</v>
      </c>
      <c r="C117" t="s">
        <v>140</v>
      </c>
      <c r="D117" t="s">
        <v>141</v>
      </c>
      <c r="E117" t="s">
        <v>121</v>
      </c>
      <c r="L117" t="s">
        <v>119</v>
      </c>
      <c r="M117" t="s">
        <v>120</v>
      </c>
      <c r="N117" t="s">
        <v>121</v>
      </c>
    </row>
    <row r="118" spans="2:15" x14ac:dyDescent="0.35">
      <c r="B118" s="4" t="s">
        <v>123</v>
      </c>
      <c r="C118" s="3">
        <v>15.200857325673427</v>
      </c>
      <c r="D118" s="3">
        <v>28.451910895951457</v>
      </c>
      <c r="E118" s="3">
        <v>35.233070113149289</v>
      </c>
      <c r="L118" s="3">
        <v>16.011102372628731</v>
      </c>
      <c r="M118" s="3">
        <v>32.699469790275039</v>
      </c>
      <c r="N118" s="3">
        <v>38.792442271695698</v>
      </c>
      <c r="O118">
        <f>N118/L118</f>
        <v>2.4228464329859061</v>
      </c>
    </row>
    <row r="119" spans="2:15" x14ac:dyDescent="0.35">
      <c r="B119" s="4" t="s">
        <v>124</v>
      </c>
      <c r="C119" s="3">
        <v>7.9257632702877814</v>
      </c>
      <c r="D119" s="3">
        <v>24.339335093637125</v>
      </c>
      <c r="E119" s="3">
        <v>16.544093800754133</v>
      </c>
      <c r="L119" s="3">
        <v>7.9257632702877814</v>
      </c>
      <c r="M119" s="3">
        <v>28.905622304897829</v>
      </c>
      <c r="N119" s="3">
        <v>34.484053560396248</v>
      </c>
      <c r="O119">
        <f t="shared" ref="O119:O126" si="0">N119/L119</f>
        <v>4.3508810930135366</v>
      </c>
    </row>
    <row r="120" spans="2:15" x14ac:dyDescent="0.35">
      <c r="B120" s="4" t="s">
        <v>125</v>
      </c>
      <c r="C120" s="3">
        <v>7.2314347354843305</v>
      </c>
      <c r="D120" s="3">
        <v>13.430991943366212</v>
      </c>
      <c r="E120" s="3">
        <v>13.395673659610509</v>
      </c>
      <c r="L120" s="3">
        <v>7.2103115068107044</v>
      </c>
      <c r="M120" s="3">
        <v>14.169017321325024</v>
      </c>
      <c r="N120" s="3">
        <v>14.099253915174625</v>
      </c>
      <c r="O120">
        <f t="shared" si="0"/>
        <v>1.9554292351803073</v>
      </c>
    </row>
    <row r="121" spans="2:15" x14ac:dyDescent="0.35">
      <c r="B121" s="4" t="s">
        <v>126</v>
      </c>
      <c r="C121" s="3">
        <v>9.0262544469222714</v>
      </c>
      <c r="D121" s="3">
        <v>12.855975485401824</v>
      </c>
      <c r="E121" s="3">
        <v>15.689802695408831</v>
      </c>
      <c r="L121" s="3">
        <v>9.4036695910718553</v>
      </c>
      <c r="M121" s="3">
        <v>14.099347770867247</v>
      </c>
      <c r="N121" s="3">
        <v>16.786014442543152</v>
      </c>
      <c r="O121">
        <f t="shared" si="0"/>
        <v>1.7850493660985634</v>
      </c>
    </row>
    <row r="122" spans="2:15" x14ac:dyDescent="0.35">
      <c r="B122" s="4" t="s">
        <v>127</v>
      </c>
      <c r="C122" s="3">
        <v>8.1840398034187078</v>
      </c>
      <c r="D122" s="3">
        <v>11.713417700563301</v>
      </c>
      <c r="E122" s="3">
        <v>13.652236495758531</v>
      </c>
      <c r="L122" s="3">
        <v>8.274673867078711</v>
      </c>
      <c r="M122" s="3">
        <v>12.244111721602234</v>
      </c>
      <c r="N122" s="3">
        <v>14.52773240438823</v>
      </c>
      <c r="O122">
        <f t="shared" si="0"/>
        <v>1.7556864038095434</v>
      </c>
    </row>
    <row r="123" spans="2:15" x14ac:dyDescent="0.35">
      <c r="B123" s="4" t="s">
        <v>128</v>
      </c>
      <c r="C123" s="3">
        <v>8.0840166109006333</v>
      </c>
      <c r="D123" s="3">
        <v>12.250468470408066</v>
      </c>
      <c r="E123" s="3">
        <v>16.913351697103696</v>
      </c>
      <c r="L123" s="3">
        <v>8.1126853886107622</v>
      </c>
      <c r="M123" s="3">
        <v>13.543276680812443</v>
      </c>
      <c r="N123" s="3">
        <v>18.690047269250705</v>
      </c>
      <c r="O123">
        <f t="shared" si="0"/>
        <v>2.3038052597835597</v>
      </c>
    </row>
    <row r="124" spans="2:15" x14ac:dyDescent="0.35">
      <c r="B124" s="4" t="s">
        <v>129</v>
      </c>
      <c r="C124" s="3">
        <v>8.11426031613167</v>
      </c>
      <c r="D124" s="3">
        <v>12.487977293199547</v>
      </c>
      <c r="E124" s="3">
        <v>15.819979993659912</v>
      </c>
      <c r="L124" s="3">
        <v>8.5806586398108422</v>
      </c>
      <c r="M124" s="3">
        <v>13.76851492779284</v>
      </c>
      <c r="N124" s="3">
        <v>16.861092108143549</v>
      </c>
      <c r="O124">
        <f t="shared" si="0"/>
        <v>1.9650114071564144</v>
      </c>
    </row>
    <row r="125" spans="2:15" x14ac:dyDescent="0.35">
      <c r="B125" s="4" t="s">
        <v>130</v>
      </c>
      <c r="C125" s="3">
        <v>16.127891723764023</v>
      </c>
      <c r="D125" s="3">
        <v>37.345052267907811</v>
      </c>
      <c r="E125" s="3">
        <v>42.912533246635661</v>
      </c>
      <c r="L125" s="3">
        <v>17.237382938525396</v>
      </c>
      <c r="M125" s="3">
        <v>42.392925904082645</v>
      </c>
      <c r="N125" s="3">
        <v>47.008835570767104</v>
      </c>
      <c r="O125">
        <f t="shared" si="0"/>
        <v>2.7271445867633872</v>
      </c>
    </row>
    <row r="126" spans="2:15" x14ac:dyDescent="0.35">
      <c r="B126" t="s">
        <v>98</v>
      </c>
      <c r="C126" s="3">
        <v>8.1311655295716356</v>
      </c>
      <c r="D126" s="3">
        <v>16.782768937571596</v>
      </c>
      <c r="E126" s="3">
        <v>19.071857926988567</v>
      </c>
      <c r="L126" s="3">
        <v>11.13650671070585</v>
      </c>
      <c r="M126" s="3">
        <v>23.576970255075228</v>
      </c>
      <c r="N126" s="3">
        <v>26.824343944304964</v>
      </c>
      <c r="O126">
        <f t="shared" si="0"/>
        <v>2.4086856535108927</v>
      </c>
    </row>
    <row r="135" spans="2:15" x14ac:dyDescent="0.35">
      <c r="B135" t="s">
        <v>139</v>
      </c>
      <c r="L135" t="s">
        <v>213</v>
      </c>
      <c r="M135" t="s">
        <v>214</v>
      </c>
      <c r="N135" t="s">
        <v>215</v>
      </c>
    </row>
    <row r="136" spans="2:15" x14ac:dyDescent="0.35">
      <c r="B136" s="4" t="s">
        <v>124</v>
      </c>
      <c r="L136" s="10">
        <v>15975</v>
      </c>
      <c r="M136" s="10">
        <v>182445</v>
      </c>
      <c r="N136" s="10">
        <v>230179.98773006134</v>
      </c>
      <c r="O136">
        <f>N136/L136</f>
        <v>14.408762925199458</v>
      </c>
    </row>
    <row r="137" spans="2:15" x14ac:dyDescent="0.35">
      <c r="B137" s="4" t="s">
        <v>125</v>
      </c>
      <c r="L137" s="10">
        <v>109016</v>
      </c>
      <c r="M137" s="10">
        <v>252587</v>
      </c>
      <c r="N137" s="10">
        <v>279600.07518400007</v>
      </c>
      <c r="O137">
        <f t="shared" ref="O137:O144" si="1">N137/L137</f>
        <v>2.5647618256402738</v>
      </c>
    </row>
    <row r="138" spans="2:15" x14ac:dyDescent="0.35">
      <c r="B138" s="4" t="s">
        <v>127</v>
      </c>
      <c r="L138" s="10">
        <v>214449</v>
      </c>
      <c r="M138" s="10">
        <v>365323</v>
      </c>
      <c r="N138" s="10">
        <v>482827.6128782818</v>
      </c>
      <c r="O138">
        <f t="shared" si="1"/>
        <v>2.2514798990822142</v>
      </c>
    </row>
    <row r="139" spans="2:15" x14ac:dyDescent="0.35">
      <c r="B139" s="4" t="s">
        <v>128</v>
      </c>
      <c r="L139" s="10">
        <v>115575</v>
      </c>
      <c r="M139" s="10">
        <v>271578</v>
      </c>
      <c r="N139" s="10">
        <v>497843.33949740557</v>
      </c>
      <c r="O139">
        <f t="shared" si="1"/>
        <v>4.307534843152979</v>
      </c>
    </row>
    <row r="140" spans="2:15" x14ac:dyDescent="0.35">
      <c r="B140" s="4" t="s">
        <v>129</v>
      </c>
      <c r="L140" s="10">
        <v>398397</v>
      </c>
      <c r="M140" s="10">
        <v>709367</v>
      </c>
      <c r="N140" s="10">
        <v>813445.03110033995</v>
      </c>
      <c r="O140">
        <f t="shared" si="1"/>
        <v>2.0417950714998856</v>
      </c>
    </row>
    <row r="141" spans="2:15" x14ac:dyDescent="0.35">
      <c r="B141" s="4" t="s">
        <v>123</v>
      </c>
      <c r="L141" s="10">
        <v>253821</v>
      </c>
      <c r="M141" s="10">
        <v>545989</v>
      </c>
      <c r="N141" s="10">
        <v>837072.9584268207</v>
      </c>
      <c r="O141">
        <f t="shared" si="1"/>
        <v>3.2978869298711322</v>
      </c>
    </row>
    <row r="142" spans="2:15" x14ac:dyDescent="0.35">
      <c r="B142" s="4" t="s">
        <v>126</v>
      </c>
      <c r="L142" s="10">
        <v>466758</v>
      </c>
      <c r="M142" s="10">
        <v>805683</v>
      </c>
      <c r="N142" s="10">
        <v>971659.76364137139</v>
      </c>
      <c r="O142">
        <f t="shared" si="1"/>
        <v>2.0817206424771966</v>
      </c>
    </row>
    <row r="143" spans="2:15" x14ac:dyDescent="0.35">
      <c r="B143" s="4" t="s">
        <v>130</v>
      </c>
      <c r="L143" s="10">
        <v>258926</v>
      </c>
      <c r="M143" s="10">
        <v>761160</v>
      </c>
      <c r="N143" s="10">
        <v>988194.19093283126</v>
      </c>
      <c r="O143">
        <f t="shared" si="1"/>
        <v>3.8165120186185679</v>
      </c>
    </row>
    <row r="144" spans="2:15" x14ac:dyDescent="0.35">
      <c r="B144" s="4" t="s">
        <v>98</v>
      </c>
      <c r="L144" s="10">
        <v>841834</v>
      </c>
      <c r="M144" s="10">
        <v>1994699</v>
      </c>
      <c r="N144" s="10">
        <v>2609320.8581257504</v>
      </c>
      <c r="O144">
        <f t="shared" si="1"/>
        <v>3.0995669670335841</v>
      </c>
    </row>
    <row r="182" spans="13:20" x14ac:dyDescent="0.35">
      <c r="N182" t="s">
        <v>122</v>
      </c>
      <c r="O182" t="s">
        <v>216</v>
      </c>
      <c r="P182" t="s">
        <v>214</v>
      </c>
      <c r="Q182" t="s">
        <v>217</v>
      </c>
      <c r="R182" t="s">
        <v>222</v>
      </c>
      <c r="S182" t="s">
        <v>221</v>
      </c>
      <c r="T182" t="s">
        <v>220</v>
      </c>
    </row>
    <row r="183" spans="13:20" x14ac:dyDescent="0.35">
      <c r="N183" t="s">
        <v>133</v>
      </c>
      <c r="O183" s="10">
        <v>77927</v>
      </c>
      <c r="P183" s="10">
        <v>372393</v>
      </c>
      <c r="Q183" s="10">
        <v>489371.50211883901</v>
      </c>
      <c r="R183" s="5">
        <f>O183/$O$186</f>
        <v>0.10149083838332533</v>
      </c>
      <c r="S183" s="5">
        <f>P183/$P$186</f>
        <v>0.20603430723811464</v>
      </c>
      <c r="T183" s="5">
        <f>Q183/$Q$186</f>
        <v>0.21532701634989179</v>
      </c>
    </row>
    <row r="184" spans="13:20" x14ac:dyDescent="0.35">
      <c r="N184" t="s">
        <v>132</v>
      </c>
      <c r="O184" s="10">
        <v>226435</v>
      </c>
      <c r="P184" s="10">
        <v>464797</v>
      </c>
      <c r="Q184" s="10">
        <v>641874.56390030531</v>
      </c>
      <c r="R184" s="5">
        <f>O184/$O$186</f>
        <v>0.29490520601753267</v>
      </c>
      <c r="S184" s="5">
        <f>P184/$P$186</f>
        <v>0.25715877554452948</v>
      </c>
      <c r="T184" s="5">
        <f>Q184/$Q$186</f>
        <v>0.28242947151012704</v>
      </c>
    </row>
    <row r="185" spans="13:20" x14ac:dyDescent="0.35">
      <c r="N185" t="s">
        <v>131</v>
      </c>
      <c r="O185" s="10">
        <v>463461</v>
      </c>
      <c r="P185" s="10">
        <v>970242</v>
      </c>
      <c r="Q185" s="10">
        <v>1141443.6800907608</v>
      </c>
      <c r="R185" s="5">
        <f>O185/$O$186</f>
        <v>0.60360395559914204</v>
      </c>
      <c r="S185" s="5">
        <f>P185/$P$186</f>
        <v>0.53680691721735585</v>
      </c>
      <c r="T185" s="5">
        <f>Q185/$Q$186</f>
        <v>0.50224351213998109</v>
      </c>
    </row>
    <row r="186" spans="13:20" x14ac:dyDescent="0.35">
      <c r="N186" t="s">
        <v>98</v>
      </c>
      <c r="O186">
        <v>767823</v>
      </c>
      <c r="P186">
        <v>1807432</v>
      </c>
      <c r="Q186">
        <v>2272689.7461099052</v>
      </c>
      <c r="R186">
        <f t="shared" ref="R186" si="2">O186/$O$186</f>
        <v>1</v>
      </c>
      <c r="S186">
        <f t="shared" ref="S186" si="3">P186/$P$186</f>
        <v>1</v>
      </c>
      <c r="T186">
        <f t="shared" ref="T186" si="4">Q186/$Q$186</f>
        <v>1</v>
      </c>
    </row>
    <row r="190" spans="13:20" x14ac:dyDescent="0.35">
      <c r="O190" t="s">
        <v>216</v>
      </c>
      <c r="P190" t="s">
        <v>214</v>
      </c>
      <c r="Q190" t="s">
        <v>217</v>
      </c>
    </row>
    <row r="191" spans="13:20" x14ac:dyDescent="0.35">
      <c r="M191" t="s">
        <v>218</v>
      </c>
      <c r="N191" t="s">
        <v>131</v>
      </c>
      <c r="O191">
        <v>463461</v>
      </c>
      <c r="P191">
        <v>970242</v>
      </c>
      <c r="Q191">
        <v>1141443.6800907608</v>
      </c>
    </row>
    <row r="192" spans="13:20" x14ac:dyDescent="0.35">
      <c r="N192" t="s">
        <v>132</v>
      </c>
      <c r="O192">
        <v>226435</v>
      </c>
      <c r="P192">
        <v>464797</v>
      </c>
      <c r="Q192">
        <v>641874.56390030531</v>
      </c>
    </row>
    <row r="193" spans="13:17" x14ac:dyDescent="0.35">
      <c r="N193" t="s">
        <v>133</v>
      </c>
      <c r="O193">
        <v>77927</v>
      </c>
      <c r="P193">
        <v>372393</v>
      </c>
      <c r="Q193">
        <v>489371.50211883901</v>
      </c>
    </row>
    <row r="194" spans="13:17" x14ac:dyDescent="0.35">
      <c r="M194" t="s">
        <v>219</v>
      </c>
      <c r="N194" t="s">
        <v>131</v>
      </c>
      <c r="O194">
        <v>0.60360395559914204</v>
      </c>
      <c r="P194">
        <v>0.53680691721735585</v>
      </c>
      <c r="Q194">
        <v>0.50224351213998109</v>
      </c>
    </row>
    <row r="195" spans="13:17" x14ac:dyDescent="0.35">
      <c r="N195" t="s">
        <v>132</v>
      </c>
      <c r="O195">
        <v>0.29490520601753267</v>
      </c>
      <c r="P195">
        <v>0.25715877554452948</v>
      </c>
      <c r="Q195">
        <v>0.28242947151012704</v>
      </c>
    </row>
    <row r="196" spans="13:17" x14ac:dyDescent="0.35">
      <c r="N196" t="s">
        <v>133</v>
      </c>
      <c r="O196">
        <v>0.10149083838332533</v>
      </c>
      <c r="P196">
        <v>0.20603430723811464</v>
      </c>
      <c r="Q196">
        <v>0.21532701634989179</v>
      </c>
    </row>
  </sheetData>
  <sortState xmlns:xlrd2="http://schemas.microsoft.com/office/spreadsheetml/2017/richdata2" ref="B136:N143">
    <sortCondition ref="N136:N143"/>
  </sortState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0A55F-036A-4C55-9C6A-2C1F9CF97305}">
  <dimension ref="A1:B48"/>
  <sheetViews>
    <sheetView topLeftCell="A69" workbookViewId="0">
      <selection activeCell="D47" sqref="D47"/>
    </sheetView>
  </sheetViews>
  <sheetFormatPr defaultRowHeight="14.5" x14ac:dyDescent="0.35"/>
  <cols>
    <col min="1" max="1" width="18.54296875" bestFit="1" customWidth="1"/>
  </cols>
  <sheetData>
    <row r="1" spans="1:2" ht="28.5" x14ac:dyDescent="0.35">
      <c r="A1" s="14" t="s">
        <v>93</v>
      </c>
      <c r="B1" s="14" t="s">
        <v>142</v>
      </c>
    </row>
    <row r="2" spans="1:2" x14ac:dyDescent="0.35">
      <c r="A2" s="15" t="s">
        <v>49</v>
      </c>
      <c r="B2" s="15" t="s">
        <v>143</v>
      </c>
    </row>
    <row r="3" spans="1:2" x14ac:dyDescent="0.35">
      <c r="A3" s="15" t="s">
        <v>53</v>
      </c>
      <c r="B3" s="15" t="s">
        <v>144</v>
      </c>
    </row>
    <row r="4" spans="1:2" x14ac:dyDescent="0.35">
      <c r="A4" s="15" t="s">
        <v>81</v>
      </c>
      <c r="B4" s="15" t="s">
        <v>145</v>
      </c>
    </row>
    <row r="5" spans="1:2" x14ac:dyDescent="0.35">
      <c r="A5" t="s">
        <v>58</v>
      </c>
      <c r="B5" s="15" t="s">
        <v>146</v>
      </c>
    </row>
    <row r="6" spans="1:2" x14ac:dyDescent="0.35">
      <c r="A6" s="15" t="s">
        <v>62</v>
      </c>
      <c r="B6" s="15" t="s">
        <v>147</v>
      </c>
    </row>
    <row r="7" spans="1:2" x14ac:dyDescent="0.35">
      <c r="A7" s="15" t="s">
        <v>79</v>
      </c>
      <c r="B7" s="15" t="s">
        <v>148</v>
      </c>
    </row>
    <row r="8" spans="1:2" x14ac:dyDescent="0.35">
      <c r="A8" s="15" t="s">
        <v>63</v>
      </c>
      <c r="B8" s="15" t="s">
        <v>149</v>
      </c>
    </row>
    <row r="9" spans="1:2" x14ac:dyDescent="0.35">
      <c r="A9" s="15" t="s">
        <v>74</v>
      </c>
      <c r="B9" s="15" t="s">
        <v>150</v>
      </c>
    </row>
    <row r="10" spans="1:2" x14ac:dyDescent="0.35">
      <c r="A10" s="15" t="s">
        <v>61</v>
      </c>
      <c r="B10" s="15" t="s">
        <v>151</v>
      </c>
    </row>
    <row r="11" spans="1:2" x14ac:dyDescent="0.35">
      <c r="A11" t="s">
        <v>69</v>
      </c>
      <c r="B11" s="15" t="s">
        <v>152</v>
      </c>
    </row>
    <row r="12" spans="1:2" x14ac:dyDescent="0.35">
      <c r="A12" s="15" t="s">
        <v>45</v>
      </c>
      <c r="B12" s="15" t="s">
        <v>153</v>
      </c>
    </row>
    <row r="13" spans="1:2" x14ac:dyDescent="0.35">
      <c r="A13" s="15" t="s">
        <v>46</v>
      </c>
      <c r="B13" s="15" t="s">
        <v>154</v>
      </c>
    </row>
    <row r="14" spans="1:2" x14ac:dyDescent="0.35">
      <c r="A14" s="15" t="s">
        <v>47</v>
      </c>
      <c r="B14" s="15" t="s">
        <v>155</v>
      </c>
    </row>
    <row r="15" spans="1:2" x14ac:dyDescent="0.35">
      <c r="A15" s="15" t="s">
        <v>48</v>
      </c>
      <c r="B15" s="15" t="s">
        <v>156</v>
      </c>
    </row>
    <row r="16" spans="1:2" x14ac:dyDescent="0.35">
      <c r="A16" s="15" t="s">
        <v>50</v>
      </c>
      <c r="B16" s="15" t="s">
        <v>157</v>
      </c>
    </row>
    <row r="17" spans="1:2" x14ac:dyDescent="0.35">
      <c r="A17" t="s">
        <v>57</v>
      </c>
      <c r="B17" s="15" t="s">
        <v>158</v>
      </c>
    </row>
    <row r="18" spans="1:2" x14ac:dyDescent="0.35">
      <c r="A18" t="s">
        <v>52</v>
      </c>
      <c r="B18" s="15" t="s">
        <v>159</v>
      </c>
    </row>
    <row r="19" spans="1:2" x14ac:dyDescent="0.35">
      <c r="A19" s="15" t="s">
        <v>51</v>
      </c>
      <c r="B19" s="15" t="s">
        <v>160</v>
      </c>
    </row>
    <row r="20" spans="1:2" x14ac:dyDescent="0.35">
      <c r="A20" s="15" t="s">
        <v>54</v>
      </c>
      <c r="B20" s="15" t="s">
        <v>161</v>
      </c>
    </row>
    <row r="21" spans="1:2" x14ac:dyDescent="0.35">
      <c r="A21" s="15" t="s">
        <v>59</v>
      </c>
      <c r="B21" s="15" t="s">
        <v>162</v>
      </c>
    </row>
    <row r="22" spans="1:2" x14ac:dyDescent="0.35">
      <c r="A22" s="15" t="s">
        <v>64</v>
      </c>
      <c r="B22" s="15" t="s">
        <v>163</v>
      </c>
    </row>
    <row r="23" spans="1:2" x14ac:dyDescent="0.35">
      <c r="A23" s="15" t="s">
        <v>65</v>
      </c>
      <c r="B23" s="15" t="s">
        <v>164</v>
      </c>
    </row>
    <row r="24" spans="1:2" x14ac:dyDescent="0.35">
      <c r="A24" s="15" t="s">
        <v>66</v>
      </c>
      <c r="B24" s="15" t="s">
        <v>165</v>
      </c>
    </row>
    <row r="25" spans="1:2" x14ac:dyDescent="0.35">
      <c r="A25" s="15" t="s">
        <v>67</v>
      </c>
      <c r="B25" s="15" t="s">
        <v>166</v>
      </c>
    </row>
    <row r="26" spans="1:2" x14ac:dyDescent="0.35">
      <c r="A26" s="15" t="s">
        <v>68</v>
      </c>
      <c r="B26" s="15" t="s">
        <v>167</v>
      </c>
    </row>
    <row r="27" spans="1:2" x14ac:dyDescent="0.35">
      <c r="A27" s="15" t="s">
        <v>70</v>
      </c>
      <c r="B27" s="15" t="s">
        <v>168</v>
      </c>
    </row>
    <row r="28" spans="1:2" x14ac:dyDescent="0.35">
      <c r="A28" s="15" t="s">
        <v>71</v>
      </c>
      <c r="B28" s="15" t="s">
        <v>169</v>
      </c>
    </row>
    <row r="29" spans="1:2" x14ac:dyDescent="0.35">
      <c r="A29" s="15" t="s">
        <v>72</v>
      </c>
      <c r="B29" s="15" t="s">
        <v>170</v>
      </c>
    </row>
    <row r="30" spans="1:2" x14ac:dyDescent="0.35">
      <c r="A30" s="15" t="s">
        <v>73</v>
      </c>
      <c r="B30" s="15" t="s">
        <v>171</v>
      </c>
    </row>
    <row r="31" spans="1:2" x14ac:dyDescent="0.35">
      <c r="A31" s="15" t="s">
        <v>75</v>
      </c>
      <c r="B31" s="15" t="s">
        <v>172</v>
      </c>
    </row>
    <row r="32" spans="1:2" x14ac:dyDescent="0.35">
      <c r="A32" s="15" t="s">
        <v>76</v>
      </c>
      <c r="B32" s="15" t="s">
        <v>173</v>
      </c>
    </row>
    <row r="33" spans="1:2" x14ac:dyDescent="0.35">
      <c r="A33" s="15" t="s">
        <v>77</v>
      </c>
      <c r="B33" s="15" t="s">
        <v>174</v>
      </c>
    </row>
    <row r="34" spans="1:2" x14ac:dyDescent="0.35">
      <c r="A34" s="15" t="s">
        <v>80</v>
      </c>
      <c r="B34" s="15" t="s">
        <v>175</v>
      </c>
    </row>
    <row r="35" spans="1:2" x14ac:dyDescent="0.35">
      <c r="A35" s="15" t="s">
        <v>82</v>
      </c>
      <c r="B35" s="15" t="s">
        <v>176</v>
      </c>
    </row>
    <row r="36" spans="1:2" x14ac:dyDescent="0.35">
      <c r="A36" s="15" t="s">
        <v>83</v>
      </c>
      <c r="B36" s="15" t="s">
        <v>177</v>
      </c>
    </row>
    <row r="37" spans="1:2" x14ac:dyDescent="0.35">
      <c r="A37" s="15" t="s">
        <v>84</v>
      </c>
      <c r="B37" s="15" t="s">
        <v>178</v>
      </c>
    </row>
    <row r="38" spans="1:2" x14ac:dyDescent="0.35">
      <c r="A38" s="15" t="s">
        <v>85</v>
      </c>
      <c r="B38" s="15" t="s">
        <v>179</v>
      </c>
    </row>
    <row r="39" spans="1:2" x14ac:dyDescent="0.35">
      <c r="A39" s="15" t="s">
        <v>86</v>
      </c>
      <c r="B39" s="15" t="s">
        <v>180</v>
      </c>
    </row>
    <row r="40" spans="1:2" x14ac:dyDescent="0.35">
      <c r="A40" t="s">
        <v>56</v>
      </c>
      <c r="B40" s="15" t="s">
        <v>181</v>
      </c>
    </row>
    <row r="41" spans="1:2" x14ac:dyDescent="0.35">
      <c r="A41" s="15" t="s">
        <v>78</v>
      </c>
      <c r="B41" s="15" t="s">
        <v>182</v>
      </c>
    </row>
    <row r="42" spans="1:2" x14ac:dyDescent="0.35">
      <c r="A42" s="15" t="s">
        <v>89</v>
      </c>
      <c r="B42" s="15" t="s">
        <v>183</v>
      </c>
    </row>
    <row r="43" spans="1:2" x14ac:dyDescent="0.35">
      <c r="A43" s="15" t="s">
        <v>90</v>
      </c>
      <c r="B43" s="15" t="s">
        <v>184</v>
      </c>
    </row>
    <row r="44" spans="1:2" x14ac:dyDescent="0.35">
      <c r="A44" s="15" t="s">
        <v>91</v>
      </c>
      <c r="B44" s="15" t="s">
        <v>185</v>
      </c>
    </row>
    <row r="45" spans="1:2" x14ac:dyDescent="0.35">
      <c r="A45" s="15" t="s">
        <v>60</v>
      </c>
      <c r="B45" s="15" t="s">
        <v>186</v>
      </c>
    </row>
    <row r="46" spans="1:2" x14ac:dyDescent="0.35">
      <c r="A46" s="15" t="s">
        <v>88</v>
      </c>
      <c r="B46" s="15" t="s">
        <v>187</v>
      </c>
    </row>
    <row r="47" spans="1:2" x14ac:dyDescent="0.35">
      <c r="A47" s="15" t="s">
        <v>55</v>
      </c>
      <c r="B47" s="15" t="s">
        <v>188</v>
      </c>
    </row>
    <row r="48" spans="1:2" x14ac:dyDescent="0.35">
      <c r="A48" t="s">
        <v>87</v>
      </c>
      <c r="B48" s="15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A2B3A-687D-44E6-A344-1DC9C3208887}">
  <dimension ref="A3:A7"/>
  <sheetViews>
    <sheetView workbookViewId="0">
      <selection activeCell="C11" sqref="C11"/>
    </sheetView>
  </sheetViews>
  <sheetFormatPr defaultRowHeight="14.5" x14ac:dyDescent="0.35"/>
  <cols>
    <col min="1" max="1" width="34.26953125" bestFit="1" customWidth="1"/>
    <col min="2" max="4" width="16.1796875" bestFit="1" customWidth="1"/>
  </cols>
  <sheetData>
    <row r="3" spans="1:1" x14ac:dyDescent="0.35">
      <c r="A3" s="13" t="s">
        <v>44</v>
      </c>
    </row>
    <row r="4" spans="1:1" x14ac:dyDescent="0.35">
      <c r="A4" s="7" t="s">
        <v>133</v>
      </c>
    </row>
    <row r="5" spans="1:1" x14ac:dyDescent="0.35">
      <c r="A5" s="7" t="s">
        <v>131</v>
      </c>
    </row>
    <row r="6" spans="1:1" x14ac:dyDescent="0.35">
      <c r="A6" s="7" t="s">
        <v>132</v>
      </c>
    </row>
    <row r="7" spans="1:1" x14ac:dyDescent="0.35">
      <c r="A7" s="7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8B47F-3D13-404C-858F-1AB2E9938A67}">
  <dimension ref="A3:D7"/>
  <sheetViews>
    <sheetView workbookViewId="0">
      <selection activeCell="E10" sqref="E10"/>
    </sheetView>
  </sheetViews>
  <sheetFormatPr defaultRowHeight="14.5" x14ac:dyDescent="0.35"/>
  <cols>
    <col min="1" max="1" width="34.26953125" bestFit="1" customWidth="1"/>
    <col min="2" max="4" width="32.36328125" bestFit="1" customWidth="1"/>
  </cols>
  <sheetData>
    <row r="3" spans="1:4" x14ac:dyDescent="0.35">
      <c r="A3" s="13" t="s">
        <v>44</v>
      </c>
      <c r="B3" t="s">
        <v>255</v>
      </c>
      <c r="C3" t="s">
        <v>256</v>
      </c>
      <c r="D3" t="s">
        <v>257</v>
      </c>
    </row>
    <row r="4" spans="1:4" x14ac:dyDescent="0.35">
      <c r="A4" s="7" t="s">
        <v>133</v>
      </c>
      <c r="B4">
        <v>26.078875934650398</v>
      </c>
      <c r="C4">
        <v>68.114955110526367</v>
      </c>
      <c r="D4">
        <v>76.000640675561172</v>
      </c>
    </row>
    <row r="5" spans="1:4" x14ac:dyDescent="0.35">
      <c r="A5" s="7" t="s">
        <v>131</v>
      </c>
      <c r="B5">
        <v>10.916495025810013</v>
      </c>
      <c r="C5">
        <v>22.434036104186966</v>
      </c>
      <c r="D5">
        <v>26.458951925105207</v>
      </c>
    </row>
    <row r="6" spans="1:4" x14ac:dyDescent="0.35">
      <c r="A6" s="7" t="s">
        <v>132</v>
      </c>
      <c r="B6">
        <v>6.3547751604872342</v>
      </c>
      <c r="C6">
        <v>9.7650585826332765</v>
      </c>
      <c r="D6">
        <v>10.762837813162198</v>
      </c>
    </row>
    <row r="7" spans="1:4" x14ac:dyDescent="0.35">
      <c r="A7" s="7" t="s">
        <v>92</v>
      </c>
      <c r="B7">
        <v>11.136506710705849</v>
      </c>
      <c r="C7">
        <v>23.576970255075217</v>
      </c>
      <c r="D7">
        <v>26.824343944304967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4157F-6B19-41C7-B9AE-3ED239904FAC}">
  <dimension ref="A3:D6"/>
  <sheetViews>
    <sheetView workbookViewId="0">
      <selection activeCell="D12" sqref="D12"/>
    </sheetView>
  </sheetViews>
  <sheetFormatPr defaultRowHeight="14.5" x14ac:dyDescent="0.35"/>
  <cols>
    <col min="1" max="1" width="12.36328125" bestFit="1" customWidth="1"/>
    <col min="2" max="4" width="16.1796875" bestFit="1" customWidth="1"/>
  </cols>
  <sheetData>
    <row r="3" spans="1:4" x14ac:dyDescent="0.35">
      <c r="A3" s="13" t="s">
        <v>44</v>
      </c>
      <c r="B3" t="s">
        <v>245</v>
      </c>
      <c r="C3" t="s">
        <v>246</v>
      </c>
      <c r="D3" t="s">
        <v>247</v>
      </c>
    </row>
    <row r="4" spans="1:4" x14ac:dyDescent="0.35">
      <c r="A4" s="7">
        <v>0</v>
      </c>
      <c r="B4">
        <v>582908</v>
      </c>
      <c r="C4">
        <v>1233539</v>
      </c>
      <c r="D4">
        <v>1621126.6671929189</v>
      </c>
    </row>
    <row r="5" spans="1:4" x14ac:dyDescent="0.35">
      <c r="A5" s="7">
        <v>1</v>
      </c>
      <c r="B5">
        <v>258926</v>
      </c>
      <c r="C5">
        <v>761160</v>
      </c>
      <c r="D5">
        <v>988194.19093283126</v>
      </c>
    </row>
    <row r="6" spans="1:4" x14ac:dyDescent="0.35">
      <c r="A6" s="7" t="s">
        <v>92</v>
      </c>
      <c r="B6">
        <v>841834</v>
      </c>
      <c r="C6">
        <v>1994699</v>
      </c>
      <c r="D6">
        <v>2609320.85812575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AF0A0-BE4D-4CBB-B99F-1BE50BD4ED82}">
  <dimension ref="A1:AF48"/>
  <sheetViews>
    <sheetView workbookViewId="0">
      <selection activeCell="E57" sqref="E57"/>
    </sheetView>
  </sheetViews>
  <sheetFormatPr defaultRowHeight="14.5" x14ac:dyDescent="0.35"/>
  <cols>
    <col min="2" max="3" width="9.36328125" bestFit="1" customWidth="1"/>
    <col min="4" max="4" width="11.90625" bestFit="1" customWidth="1"/>
    <col min="10" max="10" width="9.453125" bestFit="1" customWidth="1"/>
    <col min="24" max="24" width="8.81640625" bestFit="1" customWidth="1"/>
    <col min="25" max="32" width="9.36328125" bestFit="1" customWidth="1"/>
  </cols>
  <sheetData>
    <row r="1" spans="1:32" s="4" customFormat="1" ht="72.5" x14ac:dyDescent="0.35">
      <c r="A1" s="4" t="s">
        <v>93</v>
      </c>
      <c r="B1" s="4" t="s">
        <v>213</v>
      </c>
      <c r="C1" s="4" t="s">
        <v>214</v>
      </c>
      <c r="D1" s="4" t="s">
        <v>215</v>
      </c>
      <c r="E1" s="4" t="s">
        <v>238</v>
      </c>
      <c r="F1" s="4" t="s">
        <v>239</v>
      </c>
      <c r="G1" s="4" t="s">
        <v>240</v>
      </c>
      <c r="H1" s="4" t="s">
        <v>241</v>
      </c>
      <c r="I1" s="4" t="s">
        <v>242</v>
      </c>
      <c r="J1" s="4" t="s">
        <v>243</v>
      </c>
      <c r="K1" s="4" t="s">
        <v>190</v>
      </c>
      <c r="L1" s="4" t="s">
        <v>93</v>
      </c>
      <c r="M1" s="4" t="s">
        <v>122</v>
      </c>
      <c r="N1" s="4" t="s">
        <v>123</v>
      </c>
      <c r="O1" s="4" t="s">
        <v>124</v>
      </c>
      <c r="P1" s="4" t="s">
        <v>125</v>
      </c>
      <c r="Q1" s="4" t="s">
        <v>126</v>
      </c>
      <c r="R1" s="4" t="s">
        <v>127</v>
      </c>
      <c r="S1" s="4" t="s">
        <v>128</v>
      </c>
      <c r="T1" s="4" t="s">
        <v>129</v>
      </c>
      <c r="U1" s="4" t="s">
        <v>130</v>
      </c>
      <c r="V1" s="4" t="s">
        <v>244</v>
      </c>
      <c r="W1" s="4" t="s">
        <v>93</v>
      </c>
      <c r="X1" s="4" t="s">
        <v>197</v>
      </c>
      <c r="Y1" s="4" t="s">
        <v>198</v>
      </c>
      <c r="Z1" s="4" t="s">
        <v>199</v>
      </c>
      <c r="AA1" s="4" t="s">
        <v>249</v>
      </c>
      <c r="AB1" s="4" t="s">
        <v>250</v>
      </c>
      <c r="AC1" s="4" t="s">
        <v>251</v>
      </c>
      <c r="AD1" s="4" t="s">
        <v>252</v>
      </c>
      <c r="AE1" s="4" t="s">
        <v>253</v>
      </c>
      <c r="AF1" s="4" t="s">
        <v>254</v>
      </c>
    </row>
    <row r="2" spans="1:32" x14ac:dyDescent="0.35">
      <c r="A2" t="s">
        <v>45</v>
      </c>
      <c r="B2" s="26">
        <v>11139</v>
      </c>
      <c r="C2" s="26">
        <v>175647</v>
      </c>
      <c r="D2" s="26">
        <v>220805</v>
      </c>
      <c r="E2" s="26">
        <v>200</v>
      </c>
      <c r="F2" s="26">
        <v>240105</v>
      </c>
      <c r="G2" s="26">
        <v>366963.77629941667</v>
      </c>
      <c r="H2" s="26">
        <v>11339</v>
      </c>
      <c r="I2" s="26">
        <v>415752</v>
      </c>
      <c r="J2" s="26">
        <v>587768.77629941667</v>
      </c>
      <c r="K2" t="s">
        <v>153</v>
      </c>
      <c r="L2" t="s">
        <v>45</v>
      </c>
      <c r="M2" t="s">
        <v>131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t="b">
        <f>L2=A2</f>
        <v>1</v>
      </c>
      <c r="W2" t="s">
        <v>45</v>
      </c>
      <c r="X2" s="3">
        <v>2.931267462129866</v>
      </c>
      <c r="Y2" s="3">
        <v>41.893522234964195</v>
      </c>
      <c r="Z2" s="3">
        <v>49.173528181995827</v>
      </c>
      <c r="AA2" s="3">
        <v>5.2630711233142405E-2</v>
      </c>
      <c r="AB2" s="3">
        <v>57.067989613472768</v>
      </c>
      <c r="AC2" s="3">
        <v>81.723256247054991</v>
      </c>
      <c r="AD2" s="3">
        <v>2.9838981733630083</v>
      </c>
      <c r="AE2" s="3">
        <v>98.961511848436984</v>
      </c>
      <c r="AF2" s="3">
        <v>130.89678442905083</v>
      </c>
    </row>
    <row r="3" spans="1:32" x14ac:dyDescent="0.35">
      <c r="A3" t="s">
        <v>46</v>
      </c>
      <c r="B3" s="26">
        <v>30</v>
      </c>
      <c r="C3" s="26">
        <v>60468</v>
      </c>
      <c r="D3" s="26">
        <v>78869.768592450535</v>
      </c>
      <c r="E3" s="26">
        <v>602</v>
      </c>
      <c r="F3" s="26">
        <v>50395</v>
      </c>
      <c r="G3" s="26">
        <v>58067.470117464829</v>
      </c>
      <c r="H3" s="26">
        <v>632</v>
      </c>
      <c r="I3" s="26">
        <v>110863</v>
      </c>
      <c r="J3" s="26">
        <v>136937.23870991537</v>
      </c>
      <c r="K3" t="s">
        <v>154</v>
      </c>
      <c r="L3" t="s">
        <v>46</v>
      </c>
      <c r="M3" t="s">
        <v>131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1</v>
      </c>
      <c r="V3" t="b">
        <f t="shared" ref="V3:V48" si="0">L3=A3</f>
        <v>1</v>
      </c>
      <c r="W3" t="s">
        <v>46</v>
      </c>
      <c r="X3" s="3">
        <v>1.147359073900709E-2</v>
      </c>
      <c r="Y3" s="3">
        <v>19.33519951199629</v>
      </c>
      <c r="Z3" s="3">
        <v>22.16128506058643</v>
      </c>
      <c r="AA3" s="3">
        <v>0.23023672082940894</v>
      </c>
      <c r="AB3" s="3">
        <v>16.090283115757977</v>
      </c>
      <c r="AC3" s="3">
        <v>16.295060637006831</v>
      </c>
      <c r="AD3" s="3">
        <v>0.24171031156841602</v>
      </c>
      <c r="AE3" s="3">
        <v>35.425482627754263</v>
      </c>
      <c r="AF3" s="3">
        <v>38.456345697593264</v>
      </c>
    </row>
    <row r="4" spans="1:32" x14ac:dyDescent="0.35">
      <c r="A4" t="s">
        <v>47</v>
      </c>
      <c r="B4" s="26">
        <v>7923</v>
      </c>
      <c r="C4" s="26">
        <v>5769</v>
      </c>
      <c r="D4" s="26">
        <v>11051.475446848541</v>
      </c>
      <c r="E4" s="26">
        <v>15066</v>
      </c>
      <c r="F4" s="26">
        <v>11707</v>
      </c>
      <c r="G4" s="26">
        <v>13972.936782690498</v>
      </c>
      <c r="H4" s="26">
        <v>22989</v>
      </c>
      <c r="I4" s="26">
        <v>17476</v>
      </c>
      <c r="J4" s="26">
        <v>25024.412229539041</v>
      </c>
      <c r="K4" t="s">
        <v>155</v>
      </c>
      <c r="L4" t="s">
        <v>47</v>
      </c>
      <c r="M4" t="s">
        <v>131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1</v>
      </c>
      <c r="U4">
        <v>0</v>
      </c>
      <c r="V4" t="b">
        <f t="shared" si="0"/>
        <v>1</v>
      </c>
      <c r="W4" t="s">
        <v>47</v>
      </c>
      <c r="X4" s="3">
        <v>7.6857184306059843</v>
      </c>
      <c r="Y4" s="3">
        <v>4.8313817211552434</v>
      </c>
      <c r="Z4" s="3">
        <v>8.2764831925559506</v>
      </c>
      <c r="AA4" s="3">
        <v>14.614796652216302</v>
      </c>
      <c r="AB4" s="3">
        <v>9.7917342838875214</v>
      </c>
      <c r="AC4" s="3">
        <v>10.453140826335456</v>
      </c>
      <c r="AD4" s="3">
        <v>22.300515082822283</v>
      </c>
      <c r="AE4" s="3">
        <v>14.623116005042766</v>
      </c>
      <c r="AF4" s="3">
        <v>18.729624018891407</v>
      </c>
    </row>
    <row r="5" spans="1:32" x14ac:dyDescent="0.35">
      <c r="A5" t="s">
        <v>48</v>
      </c>
      <c r="B5" s="26">
        <v>8191</v>
      </c>
      <c r="C5" s="26">
        <v>9284</v>
      </c>
      <c r="D5" s="26">
        <v>9739.0851814152975</v>
      </c>
      <c r="E5" s="26">
        <v>1000</v>
      </c>
      <c r="F5" s="26">
        <v>7514</v>
      </c>
      <c r="G5" s="26">
        <v>8210.3980409764026</v>
      </c>
      <c r="H5" s="26">
        <v>9191</v>
      </c>
      <c r="I5" s="26">
        <v>16798</v>
      </c>
      <c r="J5" s="26">
        <v>17949.4832223917</v>
      </c>
      <c r="K5" t="s">
        <v>156</v>
      </c>
      <c r="L5" t="s">
        <v>48</v>
      </c>
      <c r="M5" t="s">
        <v>133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 t="b">
        <f t="shared" si="0"/>
        <v>1</v>
      </c>
      <c r="W5" t="s">
        <v>48</v>
      </c>
      <c r="X5" s="3">
        <v>36.941691569573123</v>
      </c>
      <c r="Y5" s="3">
        <v>37.8721049551717</v>
      </c>
      <c r="Z5" s="3">
        <v>37.02657488516612</v>
      </c>
      <c r="AA5" s="3">
        <v>4.5100343754820074</v>
      </c>
      <c r="AB5" s="3">
        <v>30.541625355382433</v>
      </c>
      <c r="AC5" s="3">
        <v>31.089269196228852</v>
      </c>
      <c r="AD5" s="3">
        <v>41.451725945055138</v>
      </c>
      <c r="AE5" s="3">
        <v>68.413730310554129</v>
      </c>
      <c r="AF5" s="3">
        <v>68.115844081394968</v>
      </c>
    </row>
    <row r="6" spans="1:32" x14ac:dyDescent="0.35">
      <c r="A6" t="s">
        <v>49</v>
      </c>
      <c r="B6" s="26">
        <v>8983</v>
      </c>
      <c r="C6" s="26">
        <v>19646</v>
      </c>
      <c r="D6" s="26">
        <v>27591.374567572704</v>
      </c>
      <c r="E6" s="26">
        <v>4585</v>
      </c>
      <c r="F6" s="26">
        <v>7601</v>
      </c>
      <c r="G6" s="26">
        <v>10576.497205854401</v>
      </c>
      <c r="H6" s="26">
        <v>13568</v>
      </c>
      <c r="I6" s="26">
        <v>27247</v>
      </c>
      <c r="J6" s="26">
        <v>38167.871773427105</v>
      </c>
      <c r="K6" t="s">
        <v>143</v>
      </c>
      <c r="L6" t="s">
        <v>49</v>
      </c>
      <c r="M6" t="s">
        <v>132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>
        <v>0</v>
      </c>
      <c r="V6" t="b">
        <f t="shared" si="0"/>
        <v>1</v>
      </c>
      <c r="W6" t="s">
        <v>49</v>
      </c>
      <c r="X6" s="3">
        <v>5.0934409402821972</v>
      </c>
      <c r="Y6" s="3">
        <v>9.6338286946770175</v>
      </c>
      <c r="Z6" s="3">
        <v>12.168856040551496</v>
      </c>
      <c r="AA6" s="3">
        <v>2.5997358022034818</v>
      </c>
      <c r="AB6" s="3">
        <v>3.7258388690907043</v>
      </c>
      <c r="AC6" s="3">
        <v>4.6584670006919868</v>
      </c>
      <c r="AD6" s="3">
        <v>7.6931767424856785</v>
      </c>
      <c r="AE6" s="3">
        <v>13.35966756376772</v>
      </c>
      <c r="AF6" s="3">
        <v>16.827323041243478</v>
      </c>
    </row>
    <row r="7" spans="1:32" x14ac:dyDescent="0.35">
      <c r="A7" t="s">
        <v>50</v>
      </c>
      <c r="B7" s="26">
        <v>7170</v>
      </c>
      <c r="C7" s="26">
        <v>10533</v>
      </c>
      <c r="D7" s="26">
        <v>10709.319625085567</v>
      </c>
      <c r="E7" s="26">
        <v>44</v>
      </c>
      <c r="F7" s="26">
        <v>37621</v>
      </c>
      <c r="G7" s="26">
        <v>42120.333315781165</v>
      </c>
      <c r="H7" s="26">
        <v>7214</v>
      </c>
      <c r="I7" s="26">
        <v>48154</v>
      </c>
      <c r="J7" s="26">
        <v>52829.652940866734</v>
      </c>
      <c r="K7" t="s">
        <v>157</v>
      </c>
      <c r="L7" t="s">
        <v>50</v>
      </c>
      <c r="M7" t="s">
        <v>132</v>
      </c>
      <c r="N7">
        <v>1</v>
      </c>
      <c r="O7">
        <v>0</v>
      </c>
      <c r="P7">
        <v>1</v>
      </c>
      <c r="Q7">
        <v>0</v>
      </c>
      <c r="R7">
        <v>1</v>
      </c>
      <c r="S7">
        <v>0</v>
      </c>
      <c r="T7">
        <v>0</v>
      </c>
      <c r="U7">
        <v>0</v>
      </c>
      <c r="V7" t="b">
        <f t="shared" si="0"/>
        <v>1</v>
      </c>
      <c r="W7" t="s">
        <v>50</v>
      </c>
      <c r="X7" s="3">
        <v>7.0643334660974784</v>
      </c>
      <c r="Y7" s="3">
        <v>9.1643321894231757</v>
      </c>
      <c r="Z7" s="3">
        <v>8.3085116295989803</v>
      </c>
      <c r="AA7" s="3">
        <v>4.33515582298869E-2</v>
      </c>
      <c r="AB7" s="3">
        <v>32.732492290732871</v>
      </c>
      <c r="AC7" s="3">
        <v>32.677825618073008</v>
      </c>
      <c r="AD7" s="3">
        <v>7.107685024327365</v>
      </c>
      <c r="AE7" s="3">
        <v>41.896824480156049</v>
      </c>
      <c r="AF7" s="3">
        <v>40.986337247671983</v>
      </c>
    </row>
    <row r="8" spans="1:32" x14ac:dyDescent="0.35">
      <c r="A8" t="s">
        <v>51</v>
      </c>
      <c r="B8" s="26">
        <v>22321</v>
      </c>
      <c r="C8" s="26">
        <v>14532</v>
      </c>
      <c r="D8" s="26">
        <v>23282</v>
      </c>
      <c r="E8" s="26">
        <v>0</v>
      </c>
      <c r="F8" s="26">
        <v>16843</v>
      </c>
      <c r="G8" s="26">
        <v>8354.2378107535169</v>
      </c>
      <c r="H8" s="26">
        <v>22321</v>
      </c>
      <c r="I8" s="26">
        <v>31375</v>
      </c>
      <c r="J8" s="26">
        <v>31636.237810753519</v>
      </c>
      <c r="K8" t="s">
        <v>160</v>
      </c>
      <c r="L8" t="s">
        <v>51</v>
      </c>
      <c r="M8" t="s">
        <v>131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 t="b">
        <f t="shared" si="0"/>
        <v>1</v>
      </c>
      <c r="W8" t="s">
        <v>51</v>
      </c>
      <c r="X8" s="3">
        <v>10.318104179523269</v>
      </c>
      <c r="Y8" s="3">
        <v>5.7950101302016952</v>
      </c>
      <c r="Z8" s="3">
        <v>8.340457309760458</v>
      </c>
      <c r="AA8" s="3">
        <v>0</v>
      </c>
      <c r="AB8" s="3">
        <v>6.7165810365391669</v>
      </c>
      <c r="AC8" s="3">
        <v>2.9859846717331378</v>
      </c>
      <c r="AD8" s="3">
        <v>10.318104179523267</v>
      </c>
      <c r="AE8" s="3">
        <v>12.511591166740862</v>
      </c>
      <c r="AF8" s="3">
        <v>11.326441981493597</v>
      </c>
    </row>
    <row r="9" spans="1:32" x14ac:dyDescent="0.35">
      <c r="A9" t="s">
        <v>52</v>
      </c>
      <c r="B9" s="26">
        <v>711</v>
      </c>
      <c r="C9" s="26">
        <v>1666</v>
      </c>
      <c r="D9" s="26">
        <v>3734.493638676845</v>
      </c>
      <c r="E9" s="26">
        <v>7662</v>
      </c>
      <c r="F9" s="26">
        <v>5297</v>
      </c>
      <c r="G9" s="26">
        <v>2475.7981340118745</v>
      </c>
      <c r="H9" s="26">
        <v>8373</v>
      </c>
      <c r="I9" s="26">
        <v>6963</v>
      </c>
      <c r="J9" s="26">
        <v>6210.291772688719</v>
      </c>
      <c r="K9" t="s">
        <v>159</v>
      </c>
      <c r="L9" t="s">
        <v>52</v>
      </c>
      <c r="M9" t="s">
        <v>131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1</v>
      </c>
      <c r="U9">
        <v>0</v>
      </c>
      <c r="V9" t="b">
        <f t="shared" si="0"/>
        <v>1</v>
      </c>
      <c r="W9" t="s">
        <v>52</v>
      </c>
      <c r="X9" s="3">
        <v>13.168129792199135</v>
      </c>
      <c r="Y9" s="3">
        <v>29.16659007373055</v>
      </c>
      <c r="Z9" s="3">
        <v>62.960411138791216</v>
      </c>
      <c r="AA9" s="3">
        <v>141.90465607289701</v>
      </c>
      <c r="AB9" s="3">
        <v>92.384211175916022</v>
      </c>
      <c r="AC9" s="3">
        <v>41.402684045284943</v>
      </c>
      <c r="AD9" s="3">
        <v>155.07278586509614</v>
      </c>
      <c r="AE9" s="3">
        <v>121.55080124964657</v>
      </c>
      <c r="AF9" s="3">
        <v>104.36309518407614</v>
      </c>
    </row>
    <row r="10" spans="1:32" x14ac:dyDescent="0.35">
      <c r="A10" t="s">
        <v>53</v>
      </c>
      <c r="B10" s="26">
        <v>1180</v>
      </c>
      <c r="C10" s="26">
        <v>2027</v>
      </c>
      <c r="D10" s="26">
        <v>1344.0062034739453</v>
      </c>
      <c r="E10" s="26">
        <v>384</v>
      </c>
      <c r="F10" s="26">
        <v>1029</v>
      </c>
      <c r="G10" s="26">
        <v>4353.7071960297762</v>
      </c>
      <c r="H10" s="26">
        <v>1564</v>
      </c>
      <c r="I10" s="26">
        <v>3056</v>
      </c>
      <c r="J10" s="26">
        <v>5697.713399503722</v>
      </c>
      <c r="K10" t="s">
        <v>144</v>
      </c>
      <c r="L10" t="s">
        <v>53</v>
      </c>
      <c r="M10" t="s">
        <v>132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 t="b">
        <f t="shared" si="0"/>
        <v>1</v>
      </c>
      <c r="W10" t="s">
        <v>53</v>
      </c>
      <c r="X10" s="3">
        <v>2.4570901992606395</v>
      </c>
      <c r="Y10" s="3">
        <v>3.9785819996152929</v>
      </c>
      <c r="Z10" s="3">
        <v>2.4089830338186218</v>
      </c>
      <c r="AA10" s="3">
        <v>0.79959545467464954</v>
      </c>
      <c r="AB10" s="3">
        <v>2.017751502518264</v>
      </c>
      <c r="AC10" s="3">
        <v>7.8017480569011566</v>
      </c>
      <c r="AD10" s="3">
        <v>3.2566856539352891</v>
      </c>
      <c r="AE10" s="3">
        <v>5.9963335021335578</v>
      </c>
      <c r="AF10" s="3">
        <v>10.210731090719779</v>
      </c>
    </row>
    <row r="11" spans="1:32" x14ac:dyDescent="0.35">
      <c r="A11" t="s">
        <v>54</v>
      </c>
      <c r="B11" s="26">
        <v>4702</v>
      </c>
      <c r="C11" s="26">
        <v>6992</v>
      </c>
      <c r="D11" s="26">
        <v>6338.6323148627653</v>
      </c>
      <c r="E11" s="26">
        <v>1664</v>
      </c>
      <c r="F11" s="26">
        <v>3800</v>
      </c>
      <c r="G11" s="26">
        <v>33923.737441740035</v>
      </c>
      <c r="H11" s="26">
        <v>6366</v>
      </c>
      <c r="I11" s="26">
        <v>10792</v>
      </c>
      <c r="J11" s="26">
        <v>40262.369756602799</v>
      </c>
      <c r="K11" t="s">
        <v>161</v>
      </c>
      <c r="L11" t="s">
        <v>54</v>
      </c>
      <c r="M11" t="s">
        <v>132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 t="b">
        <f t="shared" si="0"/>
        <v>1</v>
      </c>
      <c r="W11" t="s">
        <v>54</v>
      </c>
      <c r="X11" s="3">
        <v>3.557602383306083</v>
      </c>
      <c r="Y11" s="3">
        <v>4.4808420291703328</v>
      </c>
      <c r="Z11" s="3">
        <v>3.5764373051455833</v>
      </c>
      <c r="AA11" s="3">
        <v>1.2590068834158492</v>
      </c>
      <c r="AB11" s="3">
        <v>2.4352402332447465</v>
      </c>
      <c r="AC11" s="3">
        <v>19.134534593819922</v>
      </c>
      <c r="AD11" s="3">
        <v>4.8166092667219331</v>
      </c>
      <c r="AE11" s="3">
        <v>6.9160822624150784</v>
      </c>
      <c r="AF11" s="3">
        <v>22.710971898965504</v>
      </c>
    </row>
    <row r="12" spans="1:32" x14ac:dyDescent="0.35">
      <c r="A12" t="s">
        <v>55</v>
      </c>
      <c r="B12" s="26">
        <v>452</v>
      </c>
      <c r="C12" s="26">
        <v>1541</v>
      </c>
      <c r="D12" s="26">
        <v>1868.196426622058</v>
      </c>
      <c r="E12" s="26">
        <v>841</v>
      </c>
      <c r="F12" s="26">
        <v>1215</v>
      </c>
      <c r="G12" s="26">
        <v>753.73246610801039</v>
      </c>
      <c r="H12" s="26">
        <v>1293</v>
      </c>
      <c r="I12" s="26">
        <v>2756</v>
      </c>
      <c r="J12" s="26">
        <v>2621.9288927300686</v>
      </c>
      <c r="K12" t="s">
        <v>188</v>
      </c>
      <c r="L12" t="s">
        <v>55</v>
      </c>
      <c r="M12" t="s">
        <v>131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 t="b">
        <f t="shared" si="0"/>
        <v>1</v>
      </c>
      <c r="W12" t="s">
        <v>55</v>
      </c>
      <c r="X12" s="3">
        <v>6.4627516022834079</v>
      </c>
      <c r="Y12" s="3">
        <v>19.850228032875876</v>
      </c>
      <c r="Z12" s="3">
        <v>22.326190141323295</v>
      </c>
      <c r="AA12" s="3">
        <v>12.024721454691029</v>
      </c>
      <c r="AB12" s="3">
        <v>15.650893614499799</v>
      </c>
      <c r="AC12" s="3">
        <v>9.0076044008087113</v>
      </c>
      <c r="AD12" s="3">
        <v>18.487473056974441</v>
      </c>
      <c r="AE12" s="3">
        <v>35.501121647375662</v>
      </c>
      <c r="AF12" s="3">
        <v>31.333794542132008</v>
      </c>
    </row>
    <row r="13" spans="1:32" x14ac:dyDescent="0.35">
      <c r="A13" t="s">
        <v>56</v>
      </c>
      <c r="B13" s="26">
        <v>4571</v>
      </c>
      <c r="C13" s="26">
        <v>6962</v>
      </c>
      <c r="D13" s="26">
        <v>7791.8818117841056</v>
      </c>
      <c r="E13" s="26">
        <v>4923</v>
      </c>
      <c r="F13" s="26">
        <v>3307</v>
      </c>
      <c r="G13" s="26">
        <v>4346</v>
      </c>
      <c r="H13" s="26">
        <v>9494</v>
      </c>
      <c r="I13" s="26">
        <v>10269</v>
      </c>
      <c r="J13" s="26">
        <v>12137.881811784106</v>
      </c>
      <c r="K13" t="s">
        <v>181</v>
      </c>
      <c r="L13" t="s">
        <v>56</v>
      </c>
      <c r="M13" t="s">
        <v>131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 t="b">
        <f t="shared" si="0"/>
        <v>1</v>
      </c>
      <c r="W13" t="s">
        <v>56</v>
      </c>
      <c r="X13" s="3">
        <v>9.4675580794092156</v>
      </c>
      <c r="Y13" s="3">
        <v>12.795296212393836</v>
      </c>
      <c r="Z13" s="3">
        <v>13.050801436856251</v>
      </c>
      <c r="AA13" s="3">
        <v>10.196628401866455</v>
      </c>
      <c r="AB13" s="3">
        <v>6.0778575947122118</v>
      </c>
      <c r="AC13" s="3">
        <v>7.2792150105252142</v>
      </c>
      <c r="AD13" s="3">
        <v>19.664186481275671</v>
      </c>
      <c r="AE13" s="3">
        <v>18.873153807106046</v>
      </c>
      <c r="AF13" s="3">
        <v>20.330016447381468</v>
      </c>
    </row>
    <row r="14" spans="1:32" x14ac:dyDescent="0.35">
      <c r="A14" t="s">
        <v>57</v>
      </c>
      <c r="B14" s="26">
        <v>23221</v>
      </c>
      <c r="C14" s="26">
        <v>29443</v>
      </c>
      <c r="D14" s="26">
        <v>35290.378273279566</v>
      </c>
      <c r="E14" s="26">
        <v>5120</v>
      </c>
      <c r="F14" s="26">
        <v>51343</v>
      </c>
      <c r="G14" s="26">
        <v>37741.054506651308</v>
      </c>
      <c r="H14" s="26">
        <v>28341</v>
      </c>
      <c r="I14" s="26">
        <v>80786</v>
      </c>
      <c r="J14" s="26">
        <v>73031.432779930881</v>
      </c>
      <c r="K14" t="s">
        <v>158</v>
      </c>
      <c r="L14" t="s">
        <v>57</v>
      </c>
      <c r="M14" t="s">
        <v>131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1</v>
      </c>
      <c r="U14">
        <v>0</v>
      </c>
      <c r="V14" t="b">
        <f t="shared" si="0"/>
        <v>1</v>
      </c>
      <c r="W14" t="s">
        <v>57</v>
      </c>
      <c r="X14" s="3">
        <v>10.33456030553733</v>
      </c>
      <c r="Y14" s="3">
        <v>11.548997129264416</v>
      </c>
      <c r="Z14" s="3">
        <v>12.531853132190035</v>
      </c>
      <c r="AA14" s="3">
        <v>2.1941080188751148</v>
      </c>
      <c r="AB14" s="3">
        <v>20.123567561819524</v>
      </c>
      <c r="AC14" s="3">
        <v>13.387900643835712</v>
      </c>
      <c r="AD14" s="3">
        <v>12.528668324412447</v>
      </c>
      <c r="AE14" s="3">
        <v>31.672564691083934</v>
      </c>
      <c r="AF14" s="3">
        <v>25.91975377602575</v>
      </c>
    </row>
    <row r="15" spans="1:32" x14ac:dyDescent="0.35">
      <c r="A15" t="s">
        <v>58</v>
      </c>
      <c r="B15" s="26">
        <v>68069</v>
      </c>
      <c r="C15" s="26">
        <v>141290</v>
      </c>
      <c r="D15" s="26">
        <v>141402.43390237587</v>
      </c>
      <c r="E15" s="26">
        <v>3066</v>
      </c>
      <c r="F15" s="26">
        <v>85872</v>
      </c>
      <c r="G15" s="26">
        <v>15905.456486995652</v>
      </c>
      <c r="H15" s="26">
        <v>71135</v>
      </c>
      <c r="I15" s="26">
        <v>227162</v>
      </c>
      <c r="J15" s="26">
        <v>157307.89038937152</v>
      </c>
      <c r="K15" t="s">
        <v>146</v>
      </c>
      <c r="L15" t="s">
        <v>58</v>
      </c>
      <c r="M15" t="s">
        <v>132</v>
      </c>
      <c r="N15">
        <v>1</v>
      </c>
      <c r="O15">
        <v>0</v>
      </c>
      <c r="P15">
        <v>1</v>
      </c>
      <c r="Q15">
        <v>0</v>
      </c>
      <c r="R15">
        <v>1</v>
      </c>
      <c r="S15">
        <v>0</v>
      </c>
      <c r="T15">
        <v>0</v>
      </c>
      <c r="U15">
        <v>1</v>
      </c>
      <c r="V15" t="b">
        <f t="shared" si="0"/>
        <v>1</v>
      </c>
      <c r="W15" t="s">
        <v>58</v>
      </c>
      <c r="X15" s="3">
        <v>9.2661285789722267</v>
      </c>
      <c r="Y15" s="3">
        <v>16.223939744179855</v>
      </c>
      <c r="Z15" s="3">
        <v>14.28160096277502</v>
      </c>
      <c r="AA15" s="3">
        <v>0.41736987796396086</v>
      </c>
      <c r="AB15" s="3">
        <v>9.8604441482922525</v>
      </c>
      <c r="AC15" s="3">
        <v>1.6064460590182004</v>
      </c>
      <c r="AD15" s="3">
        <v>9.6834984569361886</v>
      </c>
      <c r="AE15" s="3">
        <v>26.084383892472108</v>
      </c>
      <c r="AF15" s="3">
        <v>15.888047021793218</v>
      </c>
    </row>
    <row r="16" spans="1:32" x14ac:dyDescent="0.35">
      <c r="A16" t="s">
        <v>59</v>
      </c>
      <c r="B16" s="26">
        <v>0</v>
      </c>
      <c r="C16" s="26">
        <v>662</v>
      </c>
      <c r="D16" s="26">
        <v>1781.1162448119487</v>
      </c>
      <c r="E16" s="26">
        <v>6</v>
      </c>
      <c r="F16" s="26">
        <v>1994</v>
      </c>
      <c r="G16" s="26">
        <v>2902</v>
      </c>
      <c r="H16" s="26">
        <v>6</v>
      </c>
      <c r="I16" s="26">
        <v>2656</v>
      </c>
      <c r="J16" s="26">
        <v>4683.1162448119485</v>
      </c>
      <c r="K16" t="s">
        <v>162</v>
      </c>
      <c r="L16" t="s">
        <v>59</v>
      </c>
      <c r="M16" t="s">
        <v>133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 t="b">
        <f t="shared" si="0"/>
        <v>1</v>
      </c>
      <c r="W16" t="s">
        <v>59</v>
      </c>
      <c r="X16" s="3">
        <v>0</v>
      </c>
      <c r="Y16" s="3">
        <v>4.4071882438586458</v>
      </c>
      <c r="Z16" s="3">
        <v>10.634113902446874</v>
      </c>
      <c r="AA16" s="3">
        <v>4.8233798869882084E-2</v>
      </c>
      <c r="AB16" s="3">
        <v>13.241536883738439</v>
      </c>
      <c r="AC16" s="3">
        <v>17.296472403260356</v>
      </c>
      <c r="AD16" s="3">
        <v>4.8233798869882084E-2</v>
      </c>
      <c r="AE16" s="3">
        <v>17.648725127597086</v>
      </c>
      <c r="AF16" s="3">
        <v>27.930586305707227</v>
      </c>
    </row>
    <row r="17" spans="1:32" x14ac:dyDescent="0.35">
      <c r="A17" t="s">
        <v>60</v>
      </c>
      <c r="B17" s="26">
        <v>4434</v>
      </c>
      <c r="C17" s="26">
        <v>6397</v>
      </c>
      <c r="D17" s="26">
        <v>6179.6252958362393</v>
      </c>
      <c r="E17" s="26">
        <v>0</v>
      </c>
      <c r="F17" s="26">
        <v>5483</v>
      </c>
      <c r="G17" s="26">
        <v>7859.4639605140483</v>
      </c>
      <c r="H17" s="26">
        <v>4434</v>
      </c>
      <c r="I17" s="26">
        <v>11880</v>
      </c>
      <c r="J17" s="26">
        <v>14039.089256350288</v>
      </c>
      <c r="K17" t="s">
        <v>186</v>
      </c>
      <c r="L17" t="s">
        <v>60</v>
      </c>
      <c r="M17" t="s">
        <v>132</v>
      </c>
      <c r="N17">
        <v>1</v>
      </c>
      <c r="O17">
        <v>0</v>
      </c>
      <c r="P17">
        <v>0</v>
      </c>
      <c r="Q17">
        <v>1</v>
      </c>
      <c r="R17">
        <v>0</v>
      </c>
      <c r="S17">
        <v>1</v>
      </c>
      <c r="T17">
        <v>0</v>
      </c>
      <c r="U17">
        <v>0</v>
      </c>
      <c r="V17" t="b">
        <f t="shared" si="0"/>
        <v>1</v>
      </c>
      <c r="W17" t="s">
        <v>60</v>
      </c>
      <c r="X17" s="3">
        <v>13.451172154071436</v>
      </c>
      <c r="Y17" s="3">
        <v>18.566922115433325</v>
      </c>
      <c r="Z17" s="3">
        <v>16.774083760782815</v>
      </c>
      <c r="AA17" s="3">
        <v>0</v>
      </c>
      <c r="AB17" s="3">
        <v>15.914090035785666</v>
      </c>
      <c r="AC17" s="3">
        <v>21.333867423538706</v>
      </c>
      <c r="AD17" s="3">
        <v>13.451172154071436</v>
      </c>
      <c r="AE17" s="3">
        <v>34.481012151218984</v>
      </c>
      <c r="AF17" s="3">
        <v>38.107951184321514</v>
      </c>
    </row>
    <row r="18" spans="1:32" x14ac:dyDescent="0.35">
      <c r="A18" t="s">
        <v>61</v>
      </c>
      <c r="B18" s="26">
        <v>3735</v>
      </c>
      <c r="C18" s="26">
        <v>5570</v>
      </c>
      <c r="D18" s="26">
        <v>6208.1530330247342</v>
      </c>
      <c r="E18" s="26">
        <v>4661</v>
      </c>
      <c r="F18" s="26">
        <v>12031</v>
      </c>
      <c r="G18" s="26">
        <v>10642.058449633827</v>
      </c>
      <c r="H18" s="26">
        <v>8396</v>
      </c>
      <c r="I18" s="26">
        <v>17601</v>
      </c>
      <c r="J18" s="26">
        <v>16850.21148265856</v>
      </c>
      <c r="K18" t="s">
        <v>151</v>
      </c>
      <c r="L18" t="s">
        <v>61</v>
      </c>
      <c r="M18" t="s">
        <v>131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 t="b">
        <f t="shared" si="0"/>
        <v>1</v>
      </c>
      <c r="W18" t="s">
        <v>61</v>
      </c>
      <c r="X18" s="3">
        <v>33.398341618089297</v>
      </c>
      <c r="Y18" s="3">
        <v>47.999551889282181</v>
      </c>
      <c r="Z18" s="3">
        <v>51.66268983905934</v>
      </c>
      <c r="AA18" s="3">
        <v>41.678626581503138</v>
      </c>
      <c r="AB18" s="3">
        <v>103.65145603667615</v>
      </c>
      <c r="AC18" s="3">
        <v>88.53557152009499</v>
      </c>
      <c r="AD18" s="3">
        <v>75.076968199592443</v>
      </c>
      <c r="AE18" s="3">
        <v>151.65100792595834</v>
      </c>
      <c r="AF18" s="3">
        <v>140.19826135915432</v>
      </c>
    </row>
    <row r="19" spans="1:32" x14ac:dyDescent="0.35">
      <c r="A19" t="s">
        <v>62</v>
      </c>
      <c r="B19" s="26">
        <v>6925</v>
      </c>
      <c r="C19" s="26">
        <v>108826</v>
      </c>
      <c r="D19" s="26">
        <v>229225</v>
      </c>
      <c r="E19" s="26">
        <v>511</v>
      </c>
      <c r="F19" s="26">
        <v>160072</v>
      </c>
      <c r="G19" s="26">
        <v>188294.14769244258</v>
      </c>
      <c r="H19" s="26">
        <v>7436</v>
      </c>
      <c r="I19" s="26">
        <v>268898</v>
      </c>
      <c r="J19" s="26">
        <v>417519.14769244258</v>
      </c>
      <c r="K19" t="s">
        <v>147</v>
      </c>
      <c r="L19" t="s">
        <v>62</v>
      </c>
      <c r="M19" t="s">
        <v>132</v>
      </c>
      <c r="N19">
        <v>1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 t="b">
        <f t="shared" si="0"/>
        <v>1</v>
      </c>
      <c r="W19" t="s">
        <v>62</v>
      </c>
      <c r="X19" s="3">
        <v>0.71329713375271953</v>
      </c>
      <c r="Y19" s="3">
        <v>9.7927247683912508</v>
      </c>
      <c r="Z19" s="3">
        <v>18.578792370715053</v>
      </c>
      <c r="AA19" s="3">
        <v>5.2634633263197068E-2</v>
      </c>
      <c r="AB19" s="3">
        <v>14.399424930053186</v>
      </c>
      <c r="AC19" s="3">
        <v>15.250791281886587</v>
      </c>
      <c r="AD19" s="3">
        <v>0.76593176701591659</v>
      </c>
      <c r="AE19" s="3">
        <v>24.192149698444432</v>
      </c>
      <c r="AF19" s="3">
        <v>33.829583652601642</v>
      </c>
    </row>
    <row r="20" spans="1:32" x14ac:dyDescent="0.35">
      <c r="A20" t="s">
        <v>63</v>
      </c>
      <c r="B20" s="26">
        <v>437</v>
      </c>
      <c r="C20" s="26">
        <v>8562</v>
      </c>
      <c r="D20" s="26">
        <v>7467.6319189802698</v>
      </c>
      <c r="E20" s="26">
        <v>1295</v>
      </c>
      <c r="F20" s="26">
        <v>4369</v>
      </c>
      <c r="G20" s="26">
        <v>6195.3046970490668</v>
      </c>
      <c r="H20" s="26">
        <v>1732</v>
      </c>
      <c r="I20" s="26">
        <v>12931</v>
      </c>
      <c r="J20" s="26">
        <v>13662.936616029336</v>
      </c>
      <c r="K20" t="s">
        <v>149</v>
      </c>
      <c r="L20" t="s">
        <v>63</v>
      </c>
      <c r="M20" t="s">
        <v>133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 t="b">
        <f t="shared" si="0"/>
        <v>1</v>
      </c>
      <c r="W20" t="s">
        <v>63</v>
      </c>
      <c r="X20" s="3">
        <v>2.2973079178531046</v>
      </c>
      <c r="Y20" s="3">
        <v>39.060014055583196</v>
      </c>
      <c r="Z20" s="3">
        <v>31.25849879805093</v>
      </c>
      <c r="AA20" s="3">
        <v>6.8078117931802522</v>
      </c>
      <c r="AB20" s="3">
        <v>19.721611861981561</v>
      </c>
      <c r="AC20" s="3">
        <v>25.853652875942235</v>
      </c>
      <c r="AD20" s="3">
        <v>9.1051197110333568</v>
      </c>
      <c r="AE20" s="3">
        <v>58.781625917564746</v>
      </c>
      <c r="AF20" s="3">
        <v>57.112151673993168</v>
      </c>
    </row>
    <row r="21" spans="1:32" x14ac:dyDescent="0.35">
      <c r="A21" t="s">
        <v>64</v>
      </c>
      <c r="B21" s="26">
        <v>2979</v>
      </c>
      <c r="C21" s="26">
        <v>2284</v>
      </c>
      <c r="D21" s="26">
        <v>2205.3432721712538</v>
      </c>
      <c r="E21" s="26">
        <v>1007</v>
      </c>
      <c r="F21" s="26">
        <v>2625</v>
      </c>
      <c r="G21" s="26">
        <v>7047.434250764526</v>
      </c>
      <c r="H21" s="26">
        <v>3986</v>
      </c>
      <c r="I21" s="26">
        <v>4909</v>
      </c>
      <c r="J21" s="26">
        <v>9252.7775229357794</v>
      </c>
      <c r="K21" t="s">
        <v>163</v>
      </c>
      <c r="L21" t="s">
        <v>64</v>
      </c>
      <c r="M21" t="s">
        <v>132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1</v>
      </c>
      <c r="U21">
        <v>0</v>
      </c>
      <c r="V21" t="b">
        <f t="shared" si="0"/>
        <v>1</v>
      </c>
      <c r="W21" t="s">
        <v>64</v>
      </c>
      <c r="X21" s="3">
        <v>14.019684502977714</v>
      </c>
      <c r="Y21" s="3">
        <v>9.341836149347488</v>
      </c>
      <c r="Z21" s="3">
        <v>8.1498514118713352</v>
      </c>
      <c r="AA21" s="3">
        <v>4.7249960526987653</v>
      </c>
      <c r="AB21" s="3">
        <v>10.707936531957847</v>
      </c>
      <c r="AC21" s="3">
        <v>26.021236160614649</v>
      </c>
      <c r="AD21" s="3">
        <v>18.744680555676478</v>
      </c>
      <c r="AE21" s="3">
        <v>20.049772681305335</v>
      </c>
      <c r="AF21" s="3">
        <v>34.171087572485987</v>
      </c>
    </row>
    <row r="22" spans="1:32" x14ac:dyDescent="0.35">
      <c r="A22" t="s">
        <v>65</v>
      </c>
      <c r="B22" s="26">
        <v>51421</v>
      </c>
      <c r="C22" s="26">
        <v>143265</v>
      </c>
      <c r="D22" s="26">
        <v>160786.9969390177</v>
      </c>
      <c r="E22" s="26">
        <v>24391</v>
      </c>
      <c r="F22" s="26">
        <v>62817</v>
      </c>
      <c r="G22" s="26">
        <v>77239.612875768318</v>
      </c>
      <c r="H22" s="26">
        <v>75812</v>
      </c>
      <c r="I22" s="26">
        <v>206082</v>
      </c>
      <c r="J22" s="26">
        <v>238026.609814786</v>
      </c>
      <c r="K22" t="s">
        <v>164</v>
      </c>
      <c r="L22" t="s">
        <v>65</v>
      </c>
      <c r="M22" t="s">
        <v>131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1</v>
      </c>
      <c r="U22">
        <v>0</v>
      </c>
      <c r="V22" t="b">
        <f t="shared" si="0"/>
        <v>1</v>
      </c>
      <c r="W22" t="s">
        <v>65</v>
      </c>
      <c r="X22" s="3">
        <v>18.681157033578607</v>
      </c>
      <c r="Y22" s="3">
        <v>46.40817219195695</v>
      </c>
      <c r="Z22" s="3">
        <v>48.030714224150685</v>
      </c>
      <c r="AA22" s="3">
        <v>8.8612065344123181</v>
      </c>
      <c r="AB22" s="3">
        <v>20.294363506970317</v>
      </c>
      <c r="AC22" s="3">
        <v>22.610200047155839</v>
      </c>
      <c r="AD22" s="3">
        <v>27.542363567990925</v>
      </c>
      <c r="AE22" s="3">
        <v>66.70253569892725</v>
      </c>
      <c r="AF22" s="3">
        <v>70.640914271306528</v>
      </c>
    </row>
    <row r="23" spans="1:32" x14ac:dyDescent="0.35">
      <c r="A23" t="s">
        <v>66</v>
      </c>
      <c r="B23" s="26">
        <v>8275</v>
      </c>
      <c r="C23" s="26">
        <v>11176</v>
      </c>
      <c r="D23" s="26">
        <v>9201</v>
      </c>
      <c r="E23" s="26">
        <v>6700</v>
      </c>
      <c r="F23" s="26">
        <v>18091</v>
      </c>
      <c r="G23" s="26">
        <v>18091</v>
      </c>
      <c r="H23" s="26">
        <v>14975</v>
      </c>
      <c r="I23" s="26">
        <v>29267</v>
      </c>
      <c r="J23" s="26">
        <v>27292</v>
      </c>
      <c r="K23" t="s">
        <v>165</v>
      </c>
      <c r="L23" t="s">
        <v>66</v>
      </c>
      <c r="M23" t="s">
        <v>132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1</v>
      </c>
      <c r="U23">
        <v>0</v>
      </c>
      <c r="V23" t="b">
        <f t="shared" si="0"/>
        <v>1</v>
      </c>
      <c r="W23" t="s">
        <v>66</v>
      </c>
      <c r="X23" s="3">
        <v>7.4850096287525645</v>
      </c>
      <c r="Y23" s="3">
        <v>8.9017288876355476</v>
      </c>
      <c r="Z23" s="3">
        <v>6.64</v>
      </c>
      <c r="AA23" s="3">
        <v>6.0603703338540411</v>
      </c>
      <c r="AB23" s="3">
        <v>14.409554161257576</v>
      </c>
      <c r="AC23" s="3">
        <v>13.053290667041477</v>
      </c>
      <c r="AD23" s="3">
        <v>13.545379962606606</v>
      </c>
      <c r="AE23" s="3">
        <v>23.311283048893124</v>
      </c>
      <c r="AF23" s="3">
        <v>19.693290667041477</v>
      </c>
    </row>
    <row r="24" spans="1:32" x14ac:dyDescent="0.35">
      <c r="A24" t="s">
        <v>67</v>
      </c>
      <c r="B24" s="26">
        <v>1234</v>
      </c>
      <c r="C24" s="26">
        <v>2097</v>
      </c>
      <c r="D24" s="26">
        <v>2711.7219264892269</v>
      </c>
      <c r="E24" s="26">
        <v>496</v>
      </c>
      <c r="F24" s="26">
        <v>6168</v>
      </c>
      <c r="G24" s="26">
        <v>6478.7930291508237</v>
      </c>
      <c r="H24" s="26">
        <v>1730</v>
      </c>
      <c r="I24" s="26">
        <v>8265</v>
      </c>
      <c r="J24" s="26">
        <v>9190.5149556400502</v>
      </c>
      <c r="K24" t="s">
        <v>166</v>
      </c>
      <c r="L24" t="s">
        <v>67</v>
      </c>
      <c r="M24" t="s">
        <v>132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0</v>
      </c>
      <c r="V24" t="b">
        <f t="shared" si="0"/>
        <v>1</v>
      </c>
      <c r="W24" t="s">
        <v>67</v>
      </c>
      <c r="X24" s="3">
        <v>7.2684328251615025</v>
      </c>
      <c r="Y24" s="3">
        <v>10.893763982473359</v>
      </c>
      <c r="Z24" s="3">
        <v>12.878829589909351</v>
      </c>
      <c r="AA24" s="3">
        <v>2.921509466191333</v>
      </c>
      <c r="AB24" s="3">
        <v>32.016341165466521</v>
      </c>
      <c r="AC24" s="3">
        <v>30.758335221751548</v>
      </c>
      <c r="AD24" s="3">
        <v>10.189942291352835</v>
      </c>
      <c r="AE24" s="3">
        <v>42.910105147939873</v>
      </c>
      <c r="AF24" s="3">
        <v>43.637164811660909</v>
      </c>
    </row>
    <row r="25" spans="1:32" x14ac:dyDescent="0.35">
      <c r="A25" t="s">
        <v>68</v>
      </c>
      <c r="B25" s="26">
        <v>52221</v>
      </c>
      <c r="C25" s="26">
        <v>72002</v>
      </c>
      <c r="D25" s="26">
        <v>132496</v>
      </c>
      <c r="E25" s="26">
        <v>13628</v>
      </c>
      <c r="F25" s="26">
        <v>92554</v>
      </c>
      <c r="G25" s="26">
        <v>153549.56215030918</v>
      </c>
      <c r="H25" s="26">
        <v>65849</v>
      </c>
      <c r="I25" s="26">
        <v>164556</v>
      </c>
      <c r="J25" s="26">
        <v>286045.56215030921</v>
      </c>
      <c r="K25" t="s">
        <v>167</v>
      </c>
      <c r="L25" t="s">
        <v>68</v>
      </c>
      <c r="M25" t="s">
        <v>131</v>
      </c>
      <c r="N25">
        <v>1</v>
      </c>
      <c r="O25">
        <v>0</v>
      </c>
      <c r="P25">
        <v>0</v>
      </c>
      <c r="Q25">
        <v>1</v>
      </c>
      <c r="R25">
        <v>1</v>
      </c>
      <c r="S25">
        <v>1</v>
      </c>
      <c r="T25">
        <v>0</v>
      </c>
      <c r="U25">
        <v>0</v>
      </c>
      <c r="V25" t="b">
        <f t="shared" si="0"/>
        <v>1</v>
      </c>
      <c r="W25" t="s">
        <v>68</v>
      </c>
      <c r="X25" s="3">
        <v>11.658459316104921</v>
      </c>
      <c r="Y25" s="3">
        <v>14.413861393432555</v>
      </c>
      <c r="Z25" s="3">
        <v>24.523813221222014</v>
      </c>
      <c r="AA25" s="3">
        <v>3.0424825943562523</v>
      </c>
      <c r="AB25" s="3">
        <v>18.43441627004292</v>
      </c>
      <c r="AC25" s="3">
        <v>28.237952683290491</v>
      </c>
      <c r="AD25" s="3">
        <v>14.700941910461173</v>
      </c>
      <c r="AE25" s="3">
        <v>32.848277663475471</v>
      </c>
      <c r="AF25" s="3">
        <v>52.761765904512501</v>
      </c>
    </row>
    <row r="26" spans="1:32" x14ac:dyDescent="0.35">
      <c r="A26" t="s">
        <v>69</v>
      </c>
      <c r="B26" s="26">
        <v>0</v>
      </c>
      <c r="C26" s="26">
        <v>11621</v>
      </c>
      <c r="D26" s="26">
        <v>5301.8248879810226</v>
      </c>
      <c r="E26" s="26">
        <v>216</v>
      </c>
      <c r="F26" s="26">
        <v>25051</v>
      </c>
      <c r="G26" s="26">
        <v>23691.187434106483</v>
      </c>
      <c r="H26" s="26">
        <v>216</v>
      </c>
      <c r="I26" s="26">
        <v>36672</v>
      </c>
      <c r="J26" s="26">
        <v>28993.012322087507</v>
      </c>
      <c r="K26" t="s">
        <v>152</v>
      </c>
      <c r="L26" t="s">
        <v>69</v>
      </c>
      <c r="M26" t="s">
        <v>131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 t="b">
        <f t="shared" si="0"/>
        <v>1</v>
      </c>
      <c r="W26" t="s">
        <v>69</v>
      </c>
      <c r="X26" s="3">
        <v>0</v>
      </c>
      <c r="Y26" s="3">
        <v>52.870382713145531</v>
      </c>
      <c r="Z26" s="3">
        <v>22.993174843373964</v>
      </c>
      <c r="AA26" s="3">
        <v>1.0414966499729863</v>
      </c>
      <c r="AB26" s="3">
        <v>113.92541549951613</v>
      </c>
      <c r="AC26" s="3">
        <v>102.68854878266576</v>
      </c>
      <c r="AD26" s="3">
        <v>1.0414966499729863</v>
      </c>
      <c r="AE26" s="3">
        <v>166.79579821266168</v>
      </c>
      <c r="AF26" s="3">
        <v>125.68172362603974</v>
      </c>
    </row>
    <row r="27" spans="1:32" x14ac:dyDescent="0.35">
      <c r="A27" t="s">
        <v>70</v>
      </c>
      <c r="B27" s="26">
        <v>974</v>
      </c>
      <c r="C27" s="26">
        <v>11203</v>
      </c>
      <c r="D27" s="26">
        <v>7129.2714053614945</v>
      </c>
      <c r="E27" s="26">
        <v>2036</v>
      </c>
      <c r="F27" s="26">
        <v>13864</v>
      </c>
      <c r="G27" s="26">
        <v>23098</v>
      </c>
      <c r="H27" s="26">
        <v>3010</v>
      </c>
      <c r="I27" s="26">
        <v>25067</v>
      </c>
      <c r="J27" s="26">
        <v>30227.271405361495</v>
      </c>
      <c r="K27" t="s">
        <v>168</v>
      </c>
      <c r="L27" t="s">
        <v>70</v>
      </c>
      <c r="M27" t="s">
        <v>132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v>0</v>
      </c>
      <c r="V27" t="b">
        <f t="shared" si="0"/>
        <v>1</v>
      </c>
      <c r="W27" t="s">
        <v>70</v>
      </c>
      <c r="X27" s="3">
        <v>2.1999802363171792</v>
      </c>
      <c r="Y27" s="3">
        <v>22.91287401641636</v>
      </c>
      <c r="Z27" s="3">
        <v>13.444654516010845</v>
      </c>
      <c r="AA27" s="3">
        <v>4.5987266541496687</v>
      </c>
      <c r="AB27" s="3">
        <v>28.355269603105992</v>
      </c>
      <c r="AC27" s="3">
        <v>43.559097746969861</v>
      </c>
      <c r="AD27" s="3">
        <v>6.798706890466848</v>
      </c>
      <c r="AE27" s="3">
        <v>51.268143619522348</v>
      </c>
      <c r="AF27" s="3">
        <v>57.003752262980719</v>
      </c>
    </row>
    <row r="28" spans="1:32" x14ac:dyDescent="0.35">
      <c r="A28" t="s">
        <v>71</v>
      </c>
      <c r="B28" s="26">
        <v>10489</v>
      </c>
      <c r="C28" s="26">
        <v>14669</v>
      </c>
      <c r="D28" s="26">
        <v>14098.287215047239</v>
      </c>
      <c r="E28" s="26">
        <v>174</v>
      </c>
      <c r="F28" s="26">
        <v>44152</v>
      </c>
      <c r="G28" s="26">
        <v>50968.375262199879</v>
      </c>
      <c r="H28" s="26">
        <v>10663</v>
      </c>
      <c r="I28" s="26">
        <v>58821</v>
      </c>
      <c r="J28" s="26">
        <v>65066.662477247119</v>
      </c>
      <c r="K28" t="s">
        <v>169</v>
      </c>
      <c r="L28" t="s">
        <v>71</v>
      </c>
      <c r="M28" t="s">
        <v>132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 t="b">
        <f t="shared" si="0"/>
        <v>1</v>
      </c>
      <c r="W28" t="s">
        <v>71</v>
      </c>
      <c r="X28" s="3">
        <v>4.4467387300620373</v>
      </c>
      <c r="Y28" s="3">
        <v>5.4640186234792782</v>
      </c>
      <c r="Z28" s="3">
        <v>4.761050716296678</v>
      </c>
      <c r="AA28" s="3">
        <v>7.376609200407995E-2</v>
      </c>
      <c r="AB28" s="3">
        <v>16.426697204678998</v>
      </c>
      <c r="AC28" s="3">
        <v>17.207717189217753</v>
      </c>
      <c r="AD28" s="3">
        <v>4.5205048220661173</v>
      </c>
      <c r="AE28" s="3">
        <v>21.890715828158275</v>
      </c>
      <c r="AF28" s="3">
        <v>21.968767905514429</v>
      </c>
    </row>
    <row r="29" spans="1:32" x14ac:dyDescent="0.35">
      <c r="A29" t="s">
        <v>72</v>
      </c>
      <c r="B29" s="26">
        <v>3963</v>
      </c>
      <c r="C29" s="26">
        <v>11568</v>
      </c>
      <c r="D29" s="26">
        <v>12418.378918345705</v>
      </c>
      <c r="E29" s="26">
        <v>0</v>
      </c>
      <c r="F29" s="26">
        <v>14833</v>
      </c>
      <c r="G29" s="26">
        <v>26223.507613997885</v>
      </c>
      <c r="H29" s="26">
        <v>3963</v>
      </c>
      <c r="I29" s="26">
        <v>26401</v>
      </c>
      <c r="J29" s="26">
        <v>38641.886532343589</v>
      </c>
      <c r="K29" t="s">
        <v>170</v>
      </c>
      <c r="L29" t="s">
        <v>72</v>
      </c>
      <c r="M29" t="s">
        <v>132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 t="b">
        <f t="shared" si="0"/>
        <v>1</v>
      </c>
      <c r="W29" t="s">
        <v>72</v>
      </c>
      <c r="X29" s="3">
        <v>2.4730455662233775</v>
      </c>
      <c r="Y29" s="3">
        <v>6.2979495241776151</v>
      </c>
      <c r="Z29" s="3">
        <v>6.0858545949756246</v>
      </c>
      <c r="AA29" s="3">
        <v>0</v>
      </c>
      <c r="AB29" s="3">
        <v>8.0755087562350063</v>
      </c>
      <c r="AC29" s="3">
        <v>12.845430559235803</v>
      </c>
      <c r="AD29" s="3">
        <v>2.4730455662233775</v>
      </c>
      <c r="AE29" s="3">
        <v>14.373458280412622</v>
      </c>
      <c r="AF29" s="3">
        <v>18.931285154211427</v>
      </c>
    </row>
    <row r="30" spans="1:32" x14ac:dyDescent="0.35">
      <c r="A30" t="s">
        <v>73</v>
      </c>
      <c r="B30" s="26">
        <v>8189</v>
      </c>
      <c r="C30" s="26">
        <v>12833</v>
      </c>
      <c r="D30" s="26">
        <v>14537.005004448398</v>
      </c>
      <c r="E30" s="26">
        <v>0</v>
      </c>
      <c r="F30" s="26">
        <v>14277</v>
      </c>
      <c r="G30" s="26">
        <v>23767</v>
      </c>
      <c r="H30" s="26">
        <v>8189</v>
      </c>
      <c r="I30" s="26">
        <v>27110</v>
      </c>
      <c r="J30" s="26">
        <v>38304.005004448394</v>
      </c>
      <c r="K30" t="s">
        <v>171</v>
      </c>
      <c r="L30" t="s">
        <v>73</v>
      </c>
      <c r="M30" t="s">
        <v>132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  <c r="U30">
        <v>0</v>
      </c>
      <c r="V30" t="b">
        <f t="shared" si="0"/>
        <v>1</v>
      </c>
      <c r="W30" t="s">
        <v>73</v>
      </c>
      <c r="X30" s="3">
        <v>4.8159164598162238</v>
      </c>
      <c r="Y30" s="3">
        <v>6.4376483184910729</v>
      </c>
      <c r="Z30" s="3">
        <v>6.4341278578313545</v>
      </c>
      <c r="AA30" s="3">
        <v>0</v>
      </c>
      <c r="AB30" s="3">
        <v>7.1545032586550068</v>
      </c>
      <c r="AC30" s="3">
        <v>10.512715984650592</v>
      </c>
      <c r="AD30" s="3">
        <v>4.8159164598162238</v>
      </c>
      <c r="AE30" s="3">
        <v>13.592151577146081</v>
      </c>
      <c r="AF30" s="3">
        <v>16.946843842481947</v>
      </c>
    </row>
    <row r="31" spans="1:32" x14ac:dyDescent="0.35">
      <c r="A31" t="s">
        <v>74</v>
      </c>
      <c r="B31" s="26">
        <v>4836</v>
      </c>
      <c r="C31" s="26">
        <v>6798</v>
      </c>
      <c r="D31" s="26">
        <v>9374.9877300613498</v>
      </c>
      <c r="E31" s="26">
        <v>244</v>
      </c>
      <c r="F31" s="26">
        <v>11463</v>
      </c>
      <c r="G31" s="26">
        <v>11463</v>
      </c>
      <c r="H31" s="26">
        <v>5080</v>
      </c>
      <c r="I31" s="26">
        <v>18261</v>
      </c>
      <c r="J31" s="26">
        <v>20837.987730061352</v>
      </c>
      <c r="K31" t="s">
        <v>150</v>
      </c>
      <c r="L31" t="s">
        <v>74</v>
      </c>
      <c r="M31" t="s">
        <v>131</v>
      </c>
      <c r="N31">
        <v>0</v>
      </c>
      <c r="O31">
        <v>1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 t="b">
        <f t="shared" si="0"/>
        <v>1</v>
      </c>
      <c r="W31" t="s">
        <v>74</v>
      </c>
      <c r="X31" s="3">
        <v>12.920259078445698</v>
      </c>
      <c r="Y31" s="3">
        <v>15.917722374831463</v>
      </c>
      <c r="Z31" s="3">
        <v>19.794578938796668</v>
      </c>
      <c r="AA31" s="3">
        <v>0.65189065656343048</v>
      </c>
      <c r="AB31" s="3">
        <v>26.819887037558036</v>
      </c>
      <c r="AC31" s="3">
        <v>24.184256416460755</v>
      </c>
      <c r="AD31" s="3">
        <v>13.572149735009129</v>
      </c>
      <c r="AE31" s="3">
        <v>42.737609412389503</v>
      </c>
      <c r="AF31" s="3">
        <v>43.978835355257424</v>
      </c>
    </row>
    <row r="32" spans="1:32" x14ac:dyDescent="0.35">
      <c r="A32" t="s">
        <v>75</v>
      </c>
      <c r="B32" s="26">
        <v>6820</v>
      </c>
      <c r="C32" s="26">
        <v>9444</v>
      </c>
      <c r="D32" s="26">
        <v>7846.7053175775491</v>
      </c>
      <c r="E32" s="26">
        <v>0</v>
      </c>
      <c r="F32" s="26">
        <v>6377</v>
      </c>
      <c r="G32" s="26">
        <v>7398.441318651805</v>
      </c>
      <c r="H32" s="26">
        <v>6820</v>
      </c>
      <c r="I32" s="26">
        <v>15821</v>
      </c>
      <c r="J32" s="26">
        <v>15245.146636229354</v>
      </c>
      <c r="K32" t="s">
        <v>172</v>
      </c>
      <c r="L32" t="s">
        <v>75</v>
      </c>
      <c r="M32" t="s">
        <v>133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 t="b">
        <f t="shared" si="0"/>
        <v>1</v>
      </c>
      <c r="W32" t="s">
        <v>75</v>
      </c>
      <c r="X32" s="3">
        <v>52.839892414260113</v>
      </c>
      <c r="Y32" s="3">
        <v>72.905163459567675</v>
      </c>
      <c r="Z32" s="3">
        <v>60.383936189147697</v>
      </c>
      <c r="AA32" s="3">
        <v>0</v>
      </c>
      <c r="AB32" s="3">
        <v>49.136103919964881</v>
      </c>
      <c r="AC32" s="3">
        <v>56.818910790883159</v>
      </c>
      <c r="AD32" s="3">
        <v>52.839892414260113</v>
      </c>
      <c r="AE32" s="3">
        <v>122.04126737953257</v>
      </c>
      <c r="AF32" s="3">
        <v>117.20284698003086</v>
      </c>
    </row>
    <row r="33" spans="1:32" x14ac:dyDescent="0.35">
      <c r="A33" t="s">
        <v>76</v>
      </c>
      <c r="B33" s="26">
        <v>14014</v>
      </c>
      <c r="C33" s="26">
        <v>19598</v>
      </c>
      <c r="D33" s="26">
        <v>40757</v>
      </c>
      <c r="E33" s="26">
        <v>5346</v>
      </c>
      <c r="F33" s="26">
        <v>76726</v>
      </c>
      <c r="G33" s="26">
        <v>139367.37244750268</v>
      </c>
      <c r="H33" s="26">
        <v>19360</v>
      </c>
      <c r="I33" s="26">
        <v>96324</v>
      </c>
      <c r="J33" s="26">
        <v>180124.37244750268</v>
      </c>
      <c r="K33" t="s">
        <v>173</v>
      </c>
      <c r="L33" t="s">
        <v>76</v>
      </c>
      <c r="M33" t="s">
        <v>132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 t="b">
        <f t="shared" si="0"/>
        <v>1</v>
      </c>
      <c r="W33" t="s">
        <v>76</v>
      </c>
      <c r="X33" s="3">
        <v>5.5497185519677856</v>
      </c>
      <c r="Y33" s="3">
        <v>6.6605767149290012</v>
      </c>
      <c r="Z33" s="3">
        <v>12.362024638000094</v>
      </c>
      <c r="AA33" s="3">
        <v>2.099658039284515</v>
      </c>
      <c r="AB33" s="3">
        <v>25.972782615996739</v>
      </c>
      <c r="AC33" s="3">
        <v>42.24648380749376</v>
      </c>
      <c r="AD33" s="3">
        <v>7.6493765912523006</v>
      </c>
      <c r="AE33" s="3">
        <v>32.633359330925742</v>
      </c>
      <c r="AF33" s="3">
        <v>54.608508445493854</v>
      </c>
    </row>
    <row r="34" spans="1:32" x14ac:dyDescent="0.35">
      <c r="A34" t="s">
        <v>77</v>
      </c>
      <c r="B34" s="26">
        <v>4178</v>
      </c>
      <c r="C34" s="26">
        <v>15602</v>
      </c>
      <c r="D34" s="26">
        <v>18610.859009360374</v>
      </c>
      <c r="E34" s="26">
        <v>0</v>
      </c>
      <c r="F34" s="26">
        <v>10043</v>
      </c>
      <c r="G34" s="26">
        <v>8448.3207878315116</v>
      </c>
      <c r="H34" s="26">
        <v>4178</v>
      </c>
      <c r="I34" s="26">
        <v>25645</v>
      </c>
      <c r="J34" s="26">
        <v>27059.179797191886</v>
      </c>
      <c r="K34" t="s">
        <v>174</v>
      </c>
      <c r="L34" t="s">
        <v>77</v>
      </c>
      <c r="M34" t="s">
        <v>133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 t="b">
        <f t="shared" si="0"/>
        <v>1</v>
      </c>
      <c r="W34" t="s">
        <v>77</v>
      </c>
      <c r="X34" s="3">
        <v>18.952057373293837</v>
      </c>
      <c r="Y34" s="3">
        <v>64.854830057441106</v>
      </c>
      <c r="Z34" s="3">
        <v>72.50007161772831</v>
      </c>
      <c r="AA34" s="3">
        <v>0</v>
      </c>
      <c r="AB34" s="3">
        <v>39.793314199454151</v>
      </c>
      <c r="AC34" s="3">
        <v>32.852091573059646</v>
      </c>
      <c r="AD34" s="3">
        <v>18.952057373293837</v>
      </c>
      <c r="AE34" s="3">
        <v>104.64814425689526</v>
      </c>
      <c r="AF34" s="3">
        <v>105.35216319078796</v>
      </c>
    </row>
    <row r="35" spans="1:32" x14ac:dyDescent="0.35">
      <c r="A35" t="s">
        <v>78</v>
      </c>
      <c r="B35" s="26">
        <v>5477</v>
      </c>
      <c r="C35" s="26">
        <v>6168</v>
      </c>
      <c r="D35" s="26">
        <v>6176.8688034042616</v>
      </c>
      <c r="E35" s="26">
        <v>6560</v>
      </c>
      <c r="F35" s="26">
        <v>3596</v>
      </c>
      <c r="G35" s="26">
        <v>6818.3026251918564</v>
      </c>
      <c r="H35" s="26">
        <v>12037</v>
      </c>
      <c r="I35" s="26">
        <v>9764</v>
      </c>
      <c r="J35" s="26">
        <v>12995.171428596117</v>
      </c>
      <c r="K35" t="s">
        <v>182</v>
      </c>
      <c r="L35" t="s">
        <v>78</v>
      </c>
      <c r="M35" t="s">
        <v>132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>
        <v>0</v>
      </c>
      <c r="V35" t="b">
        <f t="shared" si="0"/>
        <v>1</v>
      </c>
      <c r="W35" t="s">
        <v>78</v>
      </c>
      <c r="X35" s="3">
        <v>2.9362255771784778</v>
      </c>
      <c r="Y35" s="3">
        <v>2.731976858986676</v>
      </c>
      <c r="Z35" s="3">
        <v>2.3568659730003425</v>
      </c>
      <c r="AA35" s="3">
        <v>3.5168230393081639</v>
      </c>
      <c r="AB35" s="3">
        <v>1.5878951101600574</v>
      </c>
      <c r="AC35" s="3">
        <v>2.5989823492576525</v>
      </c>
      <c r="AD35" s="3">
        <v>6.4530486164866421</v>
      </c>
      <c r="AE35" s="3">
        <v>4.3198719691467335</v>
      </c>
      <c r="AF35" s="3">
        <v>4.955848322257995</v>
      </c>
    </row>
    <row r="36" spans="1:32" x14ac:dyDescent="0.35">
      <c r="A36" t="s">
        <v>79</v>
      </c>
      <c r="B36" s="26">
        <v>261989</v>
      </c>
      <c r="C36" s="26">
        <v>441434</v>
      </c>
      <c r="D36" s="26">
        <v>495915.88729767234</v>
      </c>
      <c r="E36" s="26">
        <v>331077</v>
      </c>
      <c r="F36" s="26">
        <v>537756</v>
      </c>
      <c r="G36" s="26">
        <v>303916.69881769194</v>
      </c>
      <c r="H36" s="26">
        <v>593066</v>
      </c>
      <c r="I36" s="26">
        <v>979190</v>
      </c>
      <c r="J36" s="26">
        <v>799832.58611536422</v>
      </c>
      <c r="K36" t="s">
        <v>148</v>
      </c>
      <c r="L36" t="s">
        <v>79</v>
      </c>
      <c r="M36" t="s">
        <v>131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0</v>
      </c>
      <c r="V36" t="b">
        <f t="shared" si="0"/>
        <v>1</v>
      </c>
      <c r="W36" t="s">
        <v>79</v>
      </c>
      <c r="X36" s="3">
        <v>14.994266155054937</v>
      </c>
      <c r="Y36" s="3">
        <v>22.251085637910265</v>
      </c>
      <c r="Z36" s="3">
        <v>22.692099302180001</v>
      </c>
      <c r="AA36" s="3">
        <v>18.948340028845195</v>
      </c>
      <c r="AB36" s="3">
        <v>26.795572759104093</v>
      </c>
      <c r="AC36" s="3">
        <v>13.891883050958661</v>
      </c>
      <c r="AD36" s="3">
        <v>33.942606183900139</v>
      </c>
      <c r="AE36" s="3">
        <v>49.046658397014362</v>
      </c>
      <c r="AF36" s="3">
        <v>36.583982353138666</v>
      </c>
    </row>
    <row r="37" spans="1:32" x14ac:dyDescent="0.35">
      <c r="A37" t="s">
        <v>80</v>
      </c>
      <c r="B37" s="26">
        <v>11592</v>
      </c>
      <c r="C37" s="26">
        <v>17779</v>
      </c>
      <c r="D37" s="26">
        <v>18462.239749316621</v>
      </c>
      <c r="E37" s="26">
        <v>2695</v>
      </c>
      <c r="F37" s="26">
        <v>49680</v>
      </c>
      <c r="G37" s="26">
        <v>63680</v>
      </c>
      <c r="H37" s="26">
        <v>14287</v>
      </c>
      <c r="I37" s="26">
        <v>67459</v>
      </c>
      <c r="J37" s="26">
        <v>82142.239749316621</v>
      </c>
      <c r="K37" t="s">
        <v>175</v>
      </c>
      <c r="L37" t="s">
        <v>80</v>
      </c>
      <c r="M37" t="s">
        <v>132</v>
      </c>
      <c r="N37">
        <v>1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 t="b">
        <f t="shared" si="0"/>
        <v>1</v>
      </c>
      <c r="W37" t="s">
        <v>80</v>
      </c>
      <c r="X37" s="3">
        <v>10.441973743822771</v>
      </c>
      <c r="Y37" s="3">
        <v>14.187099506595519</v>
      </c>
      <c r="Z37" s="3">
        <v>13.401063461919398</v>
      </c>
      <c r="AA37" s="3">
        <v>2.4069145827721221</v>
      </c>
      <c r="AB37" s="3">
        <v>39.643124106398872</v>
      </c>
      <c r="AC37" s="3">
        <v>46.22297905575703</v>
      </c>
      <c r="AD37" s="3">
        <v>12.848888326594892</v>
      </c>
      <c r="AE37" s="3">
        <v>53.830223612994395</v>
      </c>
      <c r="AF37" s="3">
        <v>59.624042517676429</v>
      </c>
    </row>
    <row r="38" spans="1:32" x14ac:dyDescent="0.35">
      <c r="A38" t="s">
        <v>81</v>
      </c>
      <c r="B38" s="26">
        <v>536</v>
      </c>
      <c r="C38" s="26">
        <v>559</v>
      </c>
      <c r="D38" s="26">
        <v>613.28457017504911</v>
      </c>
      <c r="E38" s="26">
        <v>28</v>
      </c>
      <c r="F38" s="26">
        <v>1105</v>
      </c>
      <c r="G38" s="26">
        <v>828.14730820859995</v>
      </c>
      <c r="H38" s="26">
        <v>564</v>
      </c>
      <c r="I38" s="26">
        <v>1664</v>
      </c>
      <c r="J38" s="26">
        <v>1441.4318783836491</v>
      </c>
      <c r="K38" t="s">
        <v>145</v>
      </c>
      <c r="L38" t="s">
        <v>81</v>
      </c>
      <c r="M38" t="s">
        <v>131</v>
      </c>
      <c r="N38">
        <v>0</v>
      </c>
      <c r="O38">
        <v>0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 t="b">
        <f t="shared" si="0"/>
        <v>1</v>
      </c>
      <c r="W38" t="s">
        <v>81</v>
      </c>
      <c r="X38" s="3">
        <v>27.663516672946013</v>
      </c>
      <c r="Y38" s="3">
        <v>26.449769096827922</v>
      </c>
      <c r="Z38" s="3">
        <v>26.971849712707133</v>
      </c>
      <c r="AA38" s="3">
        <v>1.4451090799300157</v>
      </c>
      <c r="AB38" s="3">
        <v>52.284427284427281</v>
      </c>
      <c r="AC38" s="3">
        <v>36.42137080117601</v>
      </c>
      <c r="AD38" s="3">
        <v>29.10862575287603</v>
      </c>
      <c r="AE38" s="3">
        <v>78.734196381255202</v>
      </c>
      <c r="AF38" s="3">
        <v>63.393220513883151</v>
      </c>
    </row>
    <row r="39" spans="1:32" x14ac:dyDescent="0.35">
      <c r="A39" t="s">
        <v>82</v>
      </c>
      <c r="B39" s="26">
        <v>6196</v>
      </c>
      <c r="C39" s="26">
        <v>10926</v>
      </c>
      <c r="D39" s="26">
        <v>11285.434623393408</v>
      </c>
      <c r="E39" s="26">
        <v>4932</v>
      </c>
      <c r="F39" s="26">
        <v>34349</v>
      </c>
      <c r="G39" s="26">
        <v>29939.877575931641</v>
      </c>
      <c r="H39" s="26">
        <v>11128</v>
      </c>
      <c r="I39" s="26">
        <v>45275</v>
      </c>
      <c r="J39" s="26">
        <v>41225.312199325053</v>
      </c>
      <c r="K39" t="s">
        <v>176</v>
      </c>
      <c r="L39" t="s">
        <v>82</v>
      </c>
      <c r="M39" t="s">
        <v>131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1</v>
      </c>
      <c r="U39">
        <v>0</v>
      </c>
      <c r="V39" t="b">
        <f t="shared" si="0"/>
        <v>1</v>
      </c>
      <c r="W39" t="s">
        <v>82</v>
      </c>
      <c r="X39" s="3">
        <v>4.5573683566159886</v>
      </c>
      <c r="Y39" s="3">
        <v>7.0151292697761525</v>
      </c>
      <c r="Z39" s="3">
        <v>6.5171760234407232</v>
      </c>
      <c r="AA39" s="3">
        <v>3.62765344332312</v>
      </c>
      <c r="AB39" s="3">
        <v>21.98985560686101</v>
      </c>
      <c r="AC39" s="3">
        <v>17.279709823939974</v>
      </c>
      <c r="AD39" s="3">
        <v>8.1850217999391077</v>
      </c>
      <c r="AE39" s="3">
        <v>29.00498487663717</v>
      </c>
      <c r="AF39" s="3">
        <v>23.796885847380697</v>
      </c>
    </row>
    <row r="40" spans="1:32" x14ac:dyDescent="0.35">
      <c r="A40" t="s">
        <v>83</v>
      </c>
      <c r="B40" s="26">
        <v>530</v>
      </c>
      <c r="C40" s="26">
        <v>2020</v>
      </c>
      <c r="D40" s="26">
        <v>2592.4178512700573</v>
      </c>
      <c r="E40" s="26">
        <v>0</v>
      </c>
      <c r="F40" s="26">
        <v>525</v>
      </c>
      <c r="G40" s="26">
        <v>594.28457017504911</v>
      </c>
      <c r="H40" s="26">
        <v>530</v>
      </c>
      <c r="I40" s="26">
        <v>2545</v>
      </c>
      <c r="J40" s="26">
        <v>3186.7024214451067</v>
      </c>
      <c r="K40" t="s">
        <v>177</v>
      </c>
      <c r="L40" t="s">
        <v>83</v>
      </c>
      <c r="M40" t="s">
        <v>133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 t="b">
        <f t="shared" si="0"/>
        <v>1</v>
      </c>
      <c r="W40" t="s">
        <v>83</v>
      </c>
      <c r="X40" s="3">
        <v>54.800752734867757</v>
      </c>
      <c r="Y40" s="3">
        <v>195.92438482652926</v>
      </c>
      <c r="Z40" s="3">
        <v>242.01401730513936</v>
      </c>
      <c r="AA40" s="3">
        <v>0</v>
      </c>
      <c r="AB40" s="3">
        <v>50.726957061522185</v>
      </c>
      <c r="AC40" s="3">
        <v>54.452272032846714</v>
      </c>
      <c r="AD40" s="3">
        <v>54.800752734867757</v>
      </c>
      <c r="AE40" s="3">
        <v>246.65134188805143</v>
      </c>
      <c r="AF40" s="3">
        <v>296.4662893379861</v>
      </c>
    </row>
    <row r="41" spans="1:32" x14ac:dyDescent="0.35">
      <c r="A41" t="s">
        <v>84</v>
      </c>
      <c r="B41" s="26">
        <v>8293</v>
      </c>
      <c r="C41" s="26">
        <v>7320</v>
      </c>
      <c r="D41" s="26">
        <v>20252.811629184373</v>
      </c>
      <c r="E41" s="26">
        <v>4557</v>
      </c>
      <c r="F41" s="26">
        <v>2288</v>
      </c>
      <c r="G41" s="26">
        <v>18898.61224042462</v>
      </c>
      <c r="H41" s="26">
        <v>12850</v>
      </c>
      <c r="I41" s="26">
        <v>9608</v>
      </c>
      <c r="J41" s="26">
        <v>39151.423869608989</v>
      </c>
      <c r="K41" t="s">
        <v>178</v>
      </c>
      <c r="L41" t="s">
        <v>84</v>
      </c>
      <c r="M41" t="s">
        <v>132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1</v>
      </c>
      <c r="U41">
        <v>0</v>
      </c>
      <c r="V41" t="b">
        <f t="shared" si="0"/>
        <v>1</v>
      </c>
      <c r="W41" t="s">
        <v>84</v>
      </c>
      <c r="X41" s="3">
        <v>11.906918137676456</v>
      </c>
      <c r="Y41" s="3">
        <v>9.3114595445704076</v>
      </c>
      <c r="Z41" s="3">
        <v>23.534133501916237</v>
      </c>
      <c r="AA41" s="3">
        <v>6.5428464914254931</v>
      </c>
      <c r="AB41" s="3">
        <v>2.747643800037169</v>
      </c>
      <c r="AC41" s="3">
        <v>21.943167738064904</v>
      </c>
      <c r="AD41" s="3">
        <v>18.449764629101949</v>
      </c>
      <c r="AE41" s="3">
        <v>12.059103344607577</v>
      </c>
      <c r="AF41" s="3">
        <v>45.477301239981145</v>
      </c>
    </row>
    <row r="42" spans="1:32" x14ac:dyDescent="0.35">
      <c r="A42" t="s">
        <v>85</v>
      </c>
      <c r="B42" s="26">
        <v>90079</v>
      </c>
      <c r="C42" s="26">
        <v>354250</v>
      </c>
      <c r="D42" s="26">
        <v>468293.95185969712</v>
      </c>
      <c r="E42" s="26">
        <v>23469</v>
      </c>
      <c r="F42" s="26">
        <v>214207</v>
      </c>
      <c r="G42" s="26">
        <v>191862.74170800057</v>
      </c>
      <c r="H42" s="26">
        <v>113548</v>
      </c>
      <c r="I42" s="26">
        <v>568457</v>
      </c>
      <c r="J42" s="26">
        <v>660156.69356769766</v>
      </c>
      <c r="K42" t="s">
        <v>179</v>
      </c>
      <c r="L42" t="s">
        <v>85</v>
      </c>
      <c r="M42" t="s">
        <v>133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 t="b">
        <f t="shared" si="0"/>
        <v>1</v>
      </c>
      <c r="W42" t="s">
        <v>85</v>
      </c>
      <c r="X42" s="3">
        <v>16.720429532704841</v>
      </c>
      <c r="Y42" s="3">
        <v>61.781000175533016</v>
      </c>
      <c r="Z42" s="3">
        <v>78.187272031248852</v>
      </c>
      <c r="AA42" s="3">
        <v>4.3563068051715703</v>
      </c>
      <c r="AB42" s="3">
        <v>36.776829849021532</v>
      </c>
      <c r="AC42" s="3">
        <v>31.953268649492806</v>
      </c>
      <c r="AD42" s="3">
        <v>21.076736337876412</v>
      </c>
      <c r="AE42" s="3">
        <v>98.557830024554548</v>
      </c>
      <c r="AF42" s="3">
        <v>110.14054068074168</v>
      </c>
    </row>
    <row r="43" spans="1:32" x14ac:dyDescent="0.35">
      <c r="A43" t="s">
        <v>86</v>
      </c>
      <c r="B43" s="26">
        <v>0</v>
      </c>
      <c r="C43" s="26">
        <v>6413</v>
      </c>
      <c r="D43" s="26">
        <v>8616.9328736015086</v>
      </c>
      <c r="E43" s="26">
        <v>0</v>
      </c>
      <c r="F43" s="26">
        <v>10147</v>
      </c>
      <c r="G43" s="26">
        <v>12908</v>
      </c>
      <c r="H43" s="26">
        <v>0</v>
      </c>
      <c r="I43" s="26">
        <v>16560</v>
      </c>
      <c r="J43" s="26">
        <v>21524.932873601509</v>
      </c>
      <c r="K43" t="s">
        <v>180</v>
      </c>
      <c r="L43" t="s">
        <v>86</v>
      </c>
      <c r="M43" t="s">
        <v>132</v>
      </c>
      <c r="N43">
        <v>0</v>
      </c>
      <c r="O43">
        <v>0</v>
      </c>
      <c r="P43">
        <v>0</v>
      </c>
      <c r="Q43">
        <v>0</v>
      </c>
      <c r="R43">
        <v>1</v>
      </c>
      <c r="S43">
        <v>1</v>
      </c>
      <c r="T43">
        <v>0</v>
      </c>
      <c r="U43">
        <v>0</v>
      </c>
      <c r="V43" t="b">
        <f t="shared" si="0"/>
        <v>1</v>
      </c>
      <c r="W43" t="s">
        <v>86</v>
      </c>
      <c r="X43" s="3">
        <v>0</v>
      </c>
      <c r="Y43" s="3">
        <v>6.1691166210748785</v>
      </c>
      <c r="Z43" s="3">
        <v>7.8959074273939986</v>
      </c>
      <c r="AA43" s="3">
        <v>0</v>
      </c>
      <c r="AB43" s="3">
        <v>9.7409129744276033</v>
      </c>
      <c r="AC43" s="3">
        <v>11.808674908975751</v>
      </c>
      <c r="AD43" s="3">
        <v>0</v>
      </c>
      <c r="AE43" s="3">
        <v>15.910029595502481</v>
      </c>
      <c r="AF43" s="3">
        <v>19.70458233636975</v>
      </c>
    </row>
    <row r="44" spans="1:32" x14ac:dyDescent="0.35">
      <c r="A44" t="s">
        <v>87</v>
      </c>
      <c r="B44" s="26">
        <v>23402</v>
      </c>
      <c r="C44" s="26">
        <v>39366</v>
      </c>
      <c r="D44" s="26">
        <v>49814.905399934454</v>
      </c>
      <c r="E44" s="26">
        <v>15093</v>
      </c>
      <c r="F44" s="26">
        <v>69773</v>
      </c>
      <c r="G44" s="26">
        <v>138070.13653100963</v>
      </c>
      <c r="H44" s="26">
        <v>38495</v>
      </c>
      <c r="I44" s="26">
        <v>109139</v>
      </c>
      <c r="J44" s="26">
        <v>187885.04193094408</v>
      </c>
      <c r="K44" t="s">
        <v>189</v>
      </c>
      <c r="L44" t="s">
        <v>87</v>
      </c>
      <c r="M44" t="s">
        <v>131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1</v>
      </c>
      <c r="V44" t="b">
        <f t="shared" si="0"/>
        <v>1</v>
      </c>
      <c r="W44" t="s">
        <v>87</v>
      </c>
      <c r="X44" s="3">
        <v>4.7513236254288476</v>
      </c>
      <c r="Y44" s="3">
        <v>6.7766740907794407</v>
      </c>
      <c r="Z44" s="3">
        <v>7.605590561668536</v>
      </c>
      <c r="AA44" s="3">
        <v>3.0521599889356406</v>
      </c>
      <c r="AB44" s="3">
        <v>11.995776998980709</v>
      </c>
      <c r="AC44" s="3">
        <v>21.077761406905779</v>
      </c>
      <c r="AD44" s="3">
        <v>7.8034836143644881</v>
      </c>
      <c r="AE44" s="3">
        <v>18.77245108976015</v>
      </c>
      <c r="AF44" s="3">
        <v>28.683351968574311</v>
      </c>
    </row>
    <row r="45" spans="1:32" x14ac:dyDescent="0.35">
      <c r="A45" t="s">
        <v>88</v>
      </c>
      <c r="B45" s="26">
        <v>2532</v>
      </c>
      <c r="C45" s="26">
        <v>4137</v>
      </c>
      <c r="D45" s="26">
        <v>5574.9682728198168</v>
      </c>
      <c r="E45" s="26">
        <v>638</v>
      </c>
      <c r="F45" s="26">
        <v>22503</v>
      </c>
      <c r="G45" s="26">
        <v>21202.2429589413</v>
      </c>
      <c r="H45" s="26">
        <v>3170</v>
      </c>
      <c r="I45" s="26">
        <v>26640</v>
      </c>
      <c r="J45" s="26">
        <v>26777.211231761117</v>
      </c>
      <c r="K45" t="s">
        <v>187</v>
      </c>
      <c r="L45" t="s">
        <v>88</v>
      </c>
      <c r="M45" t="s">
        <v>132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1</v>
      </c>
      <c r="U45">
        <v>0</v>
      </c>
      <c r="V45" t="b">
        <f t="shared" si="0"/>
        <v>1</v>
      </c>
      <c r="W45" t="s">
        <v>88</v>
      </c>
      <c r="X45" s="3">
        <v>3.5630712154083408</v>
      </c>
      <c r="Y45" s="3">
        <v>5.1412514405011063</v>
      </c>
      <c r="Z45" s="3">
        <v>6.3003257177536511</v>
      </c>
      <c r="AA45" s="3">
        <v>0.89780388445123283</v>
      </c>
      <c r="AB45" s="3">
        <v>27.897223189840187</v>
      </c>
      <c r="AC45" s="3">
        <v>23.934903744456289</v>
      </c>
      <c r="AD45" s="3">
        <v>4.4608750998595736</v>
      </c>
      <c r="AE45" s="3">
        <v>33.038474630341284</v>
      </c>
      <c r="AF45" s="3">
        <v>30.235229462209936</v>
      </c>
    </row>
    <row r="46" spans="1:32" x14ac:dyDescent="0.35">
      <c r="A46" t="s">
        <v>89</v>
      </c>
      <c r="B46" s="26">
        <v>51995</v>
      </c>
      <c r="C46" s="26">
        <v>77940</v>
      </c>
      <c r="D46" s="26">
        <v>121325.78132796781</v>
      </c>
      <c r="E46" s="26">
        <v>207921</v>
      </c>
      <c r="F46" s="26">
        <v>190898</v>
      </c>
      <c r="G46" s="26">
        <v>215143.86052313884</v>
      </c>
      <c r="H46" s="26">
        <v>259916</v>
      </c>
      <c r="I46" s="26">
        <v>268838</v>
      </c>
      <c r="J46" s="26">
        <v>336469.64185110666</v>
      </c>
      <c r="K46" t="s">
        <v>183</v>
      </c>
      <c r="L46" t="s">
        <v>89</v>
      </c>
      <c r="M46" t="s">
        <v>132</v>
      </c>
      <c r="N46">
        <v>1</v>
      </c>
      <c r="O46">
        <v>0</v>
      </c>
      <c r="P46">
        <v>0</v>
      </c>
      <c r="Q46">
        <v>0</v>
      </c>
      <c r="R46">
        <v>1</v>
      </c>
      <c r="S46">
        <v>1</v>
      </c>
      <c r="T46">
        <v>0</v>
      </c>
      <c r="U46">
        <v>0</v>
      </c>
      <c r="V46" t="b">
        <f t="shared" si="0"/>
        <v>1</v>
      </c>
      <c r="W46" t="s">
        <v>89</v>
      </c>
      <c r="X46" s="3">
        <v>14.740498339124736</v>
      </c>
      <c r="Y46" s="3">
        <v>18.773758505730214</v>
      </c>
      <c r="Z46" s="3">
        <v>25.677639566139653</v>
      </c>
      <c r="AA46" s="3">
        <v>58.880912819428268</v>
      </c>
      <c r="AB46" s="3">
        <v>45.975234006565493</v>
      </c>
      <c r="AC46" s="3">
        <v>45.262166963612259</v>
      </c>
      <c r="AD46" s="3">
        <v>73.621411158553016</v>
      </c>
      <c r="AE46" s="3">
        <v>64.7489925122957</v>
      </c>
      <c r="AF46" s="3">
        <v>70.939806529751905</v>
      </c>
    </row>
    <row r="47" spans="1:32" x14ac:dyDescent="0.35">
      <c r="A47" t="s">
        <v>90</v>
      </c>
      <c r="B47" s="26">
        <v>4278</v>
      </c>
      <c r="C47" s="26">
        <v>30782</v>
      </c>
      <c r="D47" s="26">
        <v>69982</v>
      </c>
      <c r="E47" s="26">
        <v>5507</v>
      </c>
      <c r="F47" s="26">
        <v>32379</v>
      </c>
      <c r="G47" s="26">
        <v>42023.819684990805</v>
      </c>
      <c r="H47" s="26">
        <v>9785</v>
      </c>
      <c r="I47" s="26">
        <v>63161</v>
      </c>
      <c r="J47" s="26">
        <v>112005.8196849908</v>
      </c>
      <c r="K47" t="s">
        <v>184</v>
      </c>
      <c r="L47" t="s">
        <v>90</v>
      </c>
      <c r="M47" t="s">
        <v>131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 t="b">
        <f t="shared" si="0"/>
        <v>1</v>
      </c>
      <c r="W47" t="s">
        <v>90</v>
      </c>
      <c r="X47" s="3">
        <v>2.8080123001178361</v>
      </c>
      <c r="Y47" s="3">
        <v>17.258457426269619</v>
      </c>
      <c r="Z47" s="3">
        <v>34.960104008082851</v>
      </c>
      <c r="AA47" s="3">
        <v>3.5799203096873948</v>
      </c>
      <c r="AB47" s="3">
        <v>18.153842927853422</v>
      </c>
      <c r="AC47" s="3">
        <v>20.979369324854559</v>
      </c>
      <c r="AD47" s="3">
        <v>6.3879326098052314</v>
      </c>
      <c r="AE47" s="3">
        <v>35.412300354123047</v>
      </c>
      <c r="AF47" s="3">
        <v>55.939473332937403</v>
      </c>
    </row>
    <row r="48" spans="1:32" x14ac:dyDescent="0.35">
      <c r="A48" t="s">
        <v>91</v>
      </c>
      <c r="B48" s="26">
        <v>21148</v>
      </c>
      <c r="C48" s="26">
        <v>35628</v>
      </c>
      <c r="D48" s="26">
        <v>62258.419764351172</v>
      </c>
      <c r="E48" s="26">
        <v>15850</v>
      </c>
      <c r="F48" s="26">
        <v>36886</v>
      </c>
      <c r="G48" s="26">
        <v>42581.173443884632</v>
      </c>
      <c r="H48" s="26">
        <v>36998</v>
      </c>
      <c r="I48" s="26">
        <v>72514</v>
      </c>
      <c r="J48" s="26">
        <v>104839.5932082358</v>
      </c>
      <c r="K48" t="s">
        <v>185</v>
      </c>
      <c r="L48" t="s">
        <v>91</v>
      </c>
      <c r="M48" t="s">
        <v>131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 t="b">
        <f t="shared" si="0"/>
        <v>1</v>
      </c>
      <c r="W48" t="s">
        <v>91</v>
      </c>
      <c r="X48" s="3">
        <v>15.601137891580859</v>
      </c>
      <c r="Y48" s="3">
        <v>23.66965484875815</v>
      </c>
      <c r="Z48" s="3">
        <v>38.14728630825762</v>
      </c>
      <c r="AA48" s="3">
        <v>11.673558066785303</v>
      </c>
      <c r="AB48" s="3">
        <v>24.478839748437824</v>
      </c>
      <c r="AC48" s="3">
        <v>25.895700272536768</v>
      </c>
      <c r="AD48" s="3">
        <v>27.274695958366152</v>
      </c>
      <c r="AE48" s="3">
        <v>48.14849459719597</v>
      </c>
      <c r="AF48" s="3">
        <v>64.042986580794391</v>
      </c>
    </row>
  </sheetData>
  <autoFilter ref="A1:AF48" xr:uid="{403AF0A0-BE4D-4CBB-B99F-1BE50BD4ED82}"/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E04A8-C8FC-4DD0-AE4C-549F8C2350AE}">
  <dimension ref="A1:B47"/>
  <sheetViews>
    <sheetView workbookViewId="0">
      <selection activeCell="M12" sqref="M12"/>
    </sheetView>
  </sheetViews>
  <sheetFormatPr defaultRowHeight="14.5" x14ac:dyDescent="0.35"/>
  <sheetData>
    <row r="1" spans="1:2" x14ac:dyDescent="0.35">
      <c r="A1" s="15" t="s">
        <v>143</v>
      </c>
      <c r="B1" t="s">
        <v>237</v>
      </c>
    </row>
    <row r="2" spans="1:2" x14ac:dyDescent="0.35">
      <c r="A2" s="15" t="s">
        <v>144</v>
      </c>
      <c r="B2" t="s">
        <v>237</v>
      </c>
    </row>
    <row r="3" spans="1:2" x14ac:dyDescent="0.35">
      <c r="A3" s="15" t="s">
        <v>145</v>
      </c>
      <c r="B3" t="s">
        <v>237</v>
      </c>
    </row>
    <row r="4" spans="1:2" x14ac:dyDescent="0.35">
      <c r="A4" s="15" t="s">
        <v>146</v>
      </c>
      <c r="B4" t="s">
        <v>237</v>
      </c>
    </row>
    <row r="5" spans="1:2" x14ac:dyDescent="0.35">
      <c r="A5" s="15" t="s">
        <v>147</v>
      </c>
      <c r="B5" t="s">
        <v>237</v>
      </c>
    </row>
    <row r="6" spans="1:2" x14ac:dyDescent="0.35">
      <c r="A6" s="15" t="s">
        <v>148</v>
      </c>
      <c r="B6" t="s">
        <v>237</v>
      </c>
    </row>
    <row r="7" spans="1:2" x14ac:dyDescent="0.35">
      <c r="A7" s="15" t="s">
        <v>149</v>
      </c>
      <c r="B7" t="s">
        <v>237</v>
      </c>
    </row>
    <row r="8" spans="1:2" x14ac:dyDescent="0.35">
      <c r="A8" s="15" t="s">
        <v>150</v>
      </c>
      <c r="B8" t="s">
        <v>237</v>
      </c>
    </row>
    <row r="9" spans="1:2" x14ac:dyDescent="0.35">
      <c r="A9" s="15" t="s">
        <v>151</v>
      </c>
      <c r="B9" t="s">
        <v>237</v>
      </c>
    </row>
    <row r="10" spans="1:2" x14ac:dyDescent="0.35">
      <c r="A10" s="15" t="s">
        <v>152</v>
      </c>
      <c r="B10" t="s">
        <v>237</v>
      </c>
    </row>
    <row r="11" spans="1:2" x14ac:dyDescent="0.35">
      <c r="A11" s="15" t="s">
        <v>153</v>
      </c>
      <c r="B11" t="s">
        <v>237</v>
      </c>
    </row>
    <row r="12" spans="1:2" x14ac:dyDescent="0.35">
      <c r="A12" s="15" t="s">
        <v>154</v>
      </c>
      <c r="B12" t="s">
        <v>237</v>
      </c>
    </row>
    <row r="13" spans="1:2" x14ac:dyDescent="0.35">
      <c r="A13" s="15" t="s">
        <v>155</v>
      </c>
      <c r="B13" t="s">
        <v>237</v>
      </c>
    </row>
    <row r="14" spans="1:2" x14ac:dyDescent="0.35">
      <c r="A14" s="15" t="s">
        <v>156</v>
      </c>
      <c r="B14" t="s">
        <v>237</v>
      </c>
    </row>
    <row r="15" spans="1:2" x14ac:dyDescent="0.35">
      <c r="A15" s="15" t="s">
        <v>157</v>
      </c>
      <c r="B15" t="s">
        <v>237</v>
      </c>
    </row>
    <row r="16" spans="1:2" x14ac:dyDescent="0.35">
      <c r="A16" s="15" t="s">
        <v>158</v>
      </c>
      <c r="B16" t="s">
        <v>237</v>
      </c>
    </row>
    <row r="17" spans="1:2" x14ac:dyDescent="0.35">
      <c r="A17" s="15" t="s">
        <v>159</v>
      </c>
      <c r="B17" t="s">
        <v>237</v>
      </c>
    </row>
    <row r="18" spans="1:2" x14ac:dyDescent="0.35">
      <c r="A18" s="15" t="s">
        <v>160</v>
      </c>
      <c r="B18" t="s">
        <v>237</v>
      </c>
    </row>
    <row r="19" spans="1:2" x14ac:dyDescent="0.35">
      <c r="A19" s="15" t="s">
        <v>161</v>
      </c>
      <c r="B19" t="s">
        <v>237</v>
      </c>
    </row>
    <row r="20" spans="1:2" x14ac:dyDescent="0.35">
      <c r="A20" s="15" t="s">
        <v>162</v>
      </c>
      <c r="B20" t="s">
        <v>237</v>
      </c>
    </row>
    <row r="21" spans="1:2" x14ac:dyDescent="0.35">
      <c r="A21" s="15" t="s">
        <v>163</v>
      </c>
      <c r="B21" t="s">
        <v>237</v>
      </c>
    </row>
    <row r="22" spans="1:2" x14ac:dyDescent="0.35">
      <c r="A22" s="15" t="s">
        <v>164</v>
      </c>
      <c r="B22" t="s">
        <v>237</v>
      </c>
    </row>
    <row r="23" spans="1:2" x14ac:dyDescent="0.35">
      <c r="A23" s="15" t="s">
        <v>165</v>
      </c>
      <c r="B23" t="s">
        <v>237</v>
      </c>
    </row>
    <row r="24" spans="1:2" x14ac:dyDescent="0.35">
      <c r="A24" s="15" t="s">
        <v>166</v>
      </c>
      <c r="B24" t="s">
        <v>237</v>
      </c>
    </row>
    <row r="25" spans="1:2" x14ac:dyDescent="0.35">
      <c r="A25" s="15" t="s">
        <v>167</v>
      </c>
      <c r="B25" t="s">
        <v>237</v>
      </c>
    </row>
    <row r="26" spans="1:2" x14ac:dyDescent="0.35">
      <c r="A26" s="15" t="s">
        <v>168</v>
      </c>
      <c r="B26" t="s">
        <v>237</v>
      </c>
    </row>
    <row r="27" spans="1:2" x14ac:dyDescent="0.35">
      <c r="A27" s="15" t="s">
        <v>169</v>
      </c>
      <c r="B27" t="s">
        <v>237</v>
      </c>
    </row>
    <row r="28" spans="1:2" x14ac:dyDescent="0.35">
      <c r="A28" s="15" t="s">
        <v>170</v>
      </c>
      <c r="B28" t="s">
        <v>237</v>
      </c>
    </row>
    <row r="29" spans="1:2" x14ac:dyDescent="0.35">
      <c r="A29" s="15" t="s">
        <v>171</v>
      </c>
      <c r="B29" t="s">
        <v>237</v>
      </c>
    </row>
    <row r="30" spans="1:2" x14ac:dyDescent="0.35">
      <c r="A30" s="15" t="s">
        <v>172</v>
      </c>
      <c r="B30" t="s">
        <v>237</v>
      </c>
    </row>
    <row r="31" spans="1:2" x14ac:dyDescent="0.35">
      <c r="A31" s="15" t="s">
        <v>173</v>
      </c>
      <c r="B31" t="s">
        <v>237</v>
      </c>
    </row>
    <row r="32" spans="1:2" x14ac:dyDescent="0.35">
      <c r="A32" s="15" t="s">
        <v>174</v>
      </c>
      <c r="B32" t="s">
        <v>237</v>
      </c>
    </row>
    <row r="33" spans="1:2" x14ac:dyDescent="0.35">
      <c r="A33" s="15" t="s">
        <v>175</v>
      </c>
      <c r="B33" t="s">
        <v>237</v>
      </c>
    </row>
    <row r="34" spans="1:2" x14ac:dyDescent="0.35">
      <c r="A34" s="15" t="s">
        <v>176</v>
      </c>
      <c r="B34" t="s">
        <v>237</v>
      </c>
    </row>
    <row r="35" spans="1:2" x14ac:dyDescent="0.35">
      <c r="A35" s="15" t="s">
        <v>177</v>
      </c>
      <c r="B35" t="s">
        <v>237</v>
      </c>
    </row>
    <row r="36" spans="1:2" x14ac:dyDescent="0.35">
      <c r="A36" s="15" t="s">
        <v>178</v>
      </c>
      <c r="B36" t="s">
        <v>237</v>
      </c>
    </row>
    <row r="37" spans="1:2" x14ac:dyDescent="0.35">
      <c r="A37" s="15" t="s">
        <v>179</v>
      </c>
      <c r="B37" t="s">
        <v>237</v>
      </c>
    </row>
    <row r="38" spans="1:2" x14ac:dyDescent="0.35">
      <c r="A38" s="15" t="s">
        <v>180</v>
      </c>
      <c r="B38" t="s">
        <v>237</v>
      </c>
    </row>
    <row r="39" spans="1:2" x14ac:dyDescent="0.35">
      <c r="A39" s="15" t="s">
        <v>181</v>
      </c>
      <c r="B39" t="s">
        <v>237</v>
      </c>
    </row>
    <row r="40" spans="1:2" x14ac:dyDescent="0.35">
      <c r="A40" s="15" t="s">
        <v>182</v>
      </c>
      <c r="B40" t="s">
        <v>237</v>
      </c>
    </row>
    <row r="41" spans="1:2" x14ac:dyDescent="0.35">
      <c r="A41" s="15" t="s">
        <v>183</v>
      </c>
      <c r="B41" t="s">
        <v>237</v>
      </c>
    </row>
    <row r="42" spans="1:2" x14ac:dyDescent="0.35">
      <c r="A42" s="15" t="s">
        <v>184</v>
      </c>
      <c r="B42" t="s">
        <v>237</v>
      </c>
    </row>
    <row r="43" spans="1:2" x14ac:dyDescent="0.35">
      <c r="A43" s="15" t="s">
        <v>185</v>
      </c>
      <c r="B43" t="s">
        <v>237</v>
      </c>
    </row>
    <row r="44" spans="1:2" x14ac:dyDescent="0.35">
      <c r="A44" s="15" t="s">
        <v>186</v>
      </c>
      <c r="B44" t="s">
        <v>237</v>
      </c>
    </row>
    <row r="45" spans="1:2" x14ac:dyDescent="0.35">
      <c r="A45" s="15" t="s">
        <v>187</v>
      </c>
      <c r="B45" t="s">
        <v>237</v>
      </c>
    </row>
    <row r="46" spans="1:2" x14ac:dyDescent="0.35">
      <c r="A46" s="15" t="s">
        <v>188</v>
      </c>
      <c r="B46" t="s">
        <v>237</v>
      </c>
    </row>
    <row r="47" spans="1:2" x14ac:dyDescent="0.35">
      <c r="A47" s="15" t="s">
        <v>189</v>
      </c>
      <c r="B47" t="s">
        <v>237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21B0E-6B96-4BD9-B411-60602DDB1619}">
  <dimension ref="A1:D49"/>
  <sheetViews>
    <sheetView topLeftCell="A42" workbookViewId="0">
      <selection activeCell="C15" sqref="C15"/>
    </sheetView>
  </sheetViews>
  <sheetFormatPr defaultRowHeight="14.5" x14ac:dyDescent="0.35"/>
  <cols>
    <col min="1" max="1" width="20.90625" bestFit="1" customWidth="1"/>
    <col min="2" max="4" width="14.6328125" bestFit="1" customWidth="1"/>
  </cols>
  <sheetData>
    <row r="1" spans="1:4" x14ac:dyDescent="0.35">
      <c r="A1" t="s">
        <v>93</v>
      </c>
      <c r="B1" t="s">
        <v>107</v>
      </c>
      <c r="C1" t="s">
        <v>108</v>
      </c>
      <c r="D1" t="s">
        <v>109</v>
      </c>
    </row>
    <row r="2" spans="1:4" x14ac:dyDescent="0.35">
      <c r="A2" t="s">
        <v>45</v>
      </c>
      <c r="B2" s="10">
        <v>38000626.500000022</v>
      </c>
      <c r="C2" s="10">
        <v>41927007.000000007</v>
      </c>
      <c r="D2" s="10">
        <v>44903225.000000007</v>
      </c>
    </row>
    <row r="3" spans="1:4" x14ac:dyDescent="0.35">
      <c r="A3" t="s">
        <v>46</v>
      </c>
      <c r="B3" s="10">
        <v>26147002.000000011</v>
      </c>
      <c r="C3" s="10">
        <v>31273533.000000004</v>
      </c>
      <c r="D3" s="10">
        <v>35588987.00000003</v>
      </c>
    </row>
    <row r="4" spans="1:4" x14ac:dyDescent="0.35">
      <c r="A4" t="s">
        <v>47</v>
      </c>
      <c r="B4" s="10">
        <v>10308730.499999994</v>
      </c>
      <c r="C4" s="10">
        <v>11940683.499999994</v>
      </c>
      <c r="D4" s="10">
        <v>13352864</v>
      </c>
    </row>
    <row r="5" spans="1:4" x14ac:dyDescent="0.35">
      <c r="A5" t="s">
        <v>48</v>
      </c>
      <c r="B5" s="10">
        <v>2217278.0000000009</v>
      </c>
      <c r="C5" s="10">
        <v>2451408.4999999995</v>
      </c>
      <c r="D5" s="10">
        <v>2630296.0000000019</v>
      </c>
    </row>
    <row r="6" spans="1:4" x14ac:dyDescent="0.35">
      <c r="A6" t="s">
        <v>49</v>
      </c>
      <c r="B6" s="10">
        <v>17636407.5</v>
      </c>
      <c r="C6" s="10">
        <v>20392723</v>
      </c>
      <c r="D6" s="10">
        <v>22673762.000000011</v>
      </c>
    </row>
    <row r="7" spans="1:4" x14ac:dyDescent="0.35">
      <c r="A7" t="s">
        <v>50</v>
      </c>
      <c r="B7" s="10">
        <v>10149577.500000002</v>
      </c>
      <c r="C7" s="10">
        <v>11493472.499999993</v>
      </c>
      <c r="D7" s="10">
        <v>12889576.499999994</v>
      </c>
    </row>
    <row r="8" spans="1:4" x14ac:dyDescent="0.35">
      <c r="A8" t="s">
        <v>51</v>
      </c>
      <c r="B8" s="10">
        <v>21632850.000000004</v>
      </c>
      <c r="C8" s="10">
        <v>25076746.500000015</v>
      </c>
      <c r="D8" s="10">
        <v>27914536.499999989</v>
      </c>
    </row>
    <row r="9" spans="1:4" x14ac:dyDescent="0.35">
      <c r="A9" t="s">
        <v>52</v>
      </c>
      <c r="B9" s="10">
        <v>539939.99999999988</v>
      </c>
      <c r="C9" s="10">
        <v>571201.5</v>
      </c>
      <c r="D9" s="10">
        <v>593149.50000000012</v>
      </c>
    </row>
    <row r="10" spans="1:4" x14ac:dyDescent="0.35">
      <c r="A10" t="s">
        <v>53</v>
      </c>
      <c r="B10" s="10">
        <v>4802428.5000000102</v>
      </c>
      <c r="C10" s="10">
        <v>5094779.9999999991</v>
      </c>
      <c r="D10" s="10">
        <v>5579143.5000000047</v>
      </c>
    </row>
    <row r="11" spans="1:4" x14ac:dyDescent="0.35">
      <c r="A11" t="s">
        <v>54</v>
      </c>
      <c r="B11" s="10">
        <v>13216766.5</v>
      </c>
      <c r="C11" s="10">
        <v>15604210</v>
      </c>
      <c r="D11" s="10">
        <v>17723314.500000004</v>
      </c>
    </row>
    <row r="12" spans="1:4" x14ac:dyDescent="0.35">
      <c r="A12" t="s">
        <v>55</v>
      </c>
      <c r="B12" s="10">
        <v>699392.50000000035</v>
      </c>
      <c r="C12" s="10">
        <v>776313.50000000058</v>
      </c>
      <c r="D12" s="10">
        <v>836773.49999999965</v>
      </c>
    </row>
    <row r="13" spans="1:4" x14ac:dyDescent="0.35">
      <c r="A13" t="s">
        <v>56</v>
      </c>
      <c r="B13" s="10">
        <v>4828066.5000000028</v>
      </c>
      <c r="C13" s="10">
        <v>5441061.9999999972</v>
      </c>
      <c r="D13" s="10">
        <v>5970424.0000000009</v>
      </c>
    </row>
    <row r="14" spans="1:4" x14ac:dyDescent="0.35">
      <c r="A14" t="s">
        <v>57</v>
      </c>
      <c r="B14" s="10">
        <v>22469267.5</v>
      </c>
      <c r="C14" s="10">
        <v>25493988.499999996</v>
      </c>
      <c r="D14" s="10">
        <v>28160542.500000004</v>
      </c>
    </row>
    <row r="15" spans="1:4" x14ac:dyDescent="0.35">
      <c r="A15" t="s">
        <v>58</v>
      </c>
      <c r="B15" s="10">
        <v>73460021</v>
      </c>
      <c r="C15" s="10">
        <v>87087354.999999985</v>
      </c>
      <c r="D15" s="10">
        <v>99010212</v>
      </c>
    </row>
    <row r="16" spans="1:4" x14ac:dyDescent="0.35">
      <c r="A16" t="s">
        <v>59</v>
      </c>
      <c r="B16" s="10">
        <v>1243941.0000000002</v>
      </c>
      <c r="C16" s="10">
        <v>1502091.5000000002</v>
      </c>
      <c r="D16" s="10">
        <v>1674908</v>
      </c>
    </row>
    <row r="17" spans="1:4" x14ac:dyDescent="0.35">
      <c r="A17" t="s">
        <v>60</v>
      </c>
      <c r="B17" s="10">
        <v>3296367</v>
      </c>
      <c r="C17" s="10">
        <v>3445374.4999999986</v>
      </c>
      <c r="D17" s="10">
        <v>3684031.5000000019</v>
      </c>
    </row>
    <row r="18" spans="1:4" x14ac:dyDescent="0.35">
      <c r="A18" t="s">
        <v>61</v>
      </c>
      <c r="B18" s="10">
        <v>1118318.9999999998</v>
      </c>
      <c r="C18" s="10">
        <v>1160427.5</v>
      </c>
      <c r="D18" s="10">
        <v>1201670.4999999995</v>
      </c>
    </row>
    <row r="19" spans="1:4" x14ac:dyDescent="0.35">
      <c r="A19" t="s">
        <v>62</v>
      </c>
      <c r="B19" s="10">
        <v>97084366.000000045</v>
      </c>
      <c r="C19" s="10">
        <v>111129438.00000001</v>
      </c>
      <c r="D19" s="10">
        <v>123379924.50000004</v>
      </c>
    </row>
    <row r="20" spans="1:4" x14ac:dyDescent="0.35">
      <c r="A20" t="s">
        <v>63</v>
      </c>
      <c r="B20" s="10">
        <v>1902226.5000000007</v>
      </c>
      <c r="C20" s="10">
        <v>2192011.5</v>
      </c>
      <c r="D20" s="10">
        <v>2388992.5000000005</v>
      </c>
    </row>
    <row r="21" spans="1:4" x14ac:dyDescent="0.35">
      <c r="A21" t="s">
        <v>64</v>
      </c>
      <c r="B21" s="10">
        <v>2124869.5</v>
      </c>
      <c r="C21" s="10">
        <v>2444915.5000000014</v>
      </c>
      <c r="D21" s="10">
        <v>2705991.9999999995</v>
      </c>
    </row>
    <row r="22" spans="1:4" x14ac:dyDescent="0.35">
      <c r="A22" t="s">
        <v>65</v>
      </c>
      <c r="B22" s="10">
        <v>27525596.999999989</v>
      </c>
      <c r="C22" s="10">
        <v>30870640.5</v>
      </c>
      <c r="D22" s="10">
        <v>33475870.500000011</v>
      </c>
    </row>
    <row r="23" spans="1:4" x14ac:dyDescent="0.35">
      <c r="A23" t="s">
        <v>66</v>
      </c>
      <c r="B23" s="10">
        <v>11055430.000000004</v>
      </c>
      <c r="C23" s="10">
        <v>12554864.499999998</v>
      </c>
      <c r="D23" s="10">
        <v>13859340.500000006</v>
      </c>
    </row>
    <row r="24" spans="1:4" x14ac:dyDescent="0.35">
      <c r="A24" t="s">
        <v>67</v>
      </c>
      <c r="B24" s="10">
        <v>1697752.4999999993</v>
      </c>
      <c r="C24" s="10">
        <v>1924954.4999999988</v>
      </c>
      <c r="D24" s="10">
        <v>2105565.4999999991</v>
      </c>
    </row>
    <row r="25" spans="1:4" x14ac:dyDescent="0.35">
      <c r="A25" t="s">
        <v>68</v>
      </c>
      <c r="B25" s="10">
        <v>44792368.000000007</v>
      </c>
      <c r="C25" s="10">
        <v>49953303.999999993</v>
      </c>
      <c r="D25" s="10">
        <v>54027486.999999978</v>
      </c>
    </row>
    <row r="26" spans="1:4" x14ac:dyDescent="0.35">
      <c r="A26" t="s">
        <v>69</v>
      </c>
      <c r="B26" s="10">
        <v>2073938.4999999998</v>
      </c>
      <c r="C26" s="10">
        <v>2198017</v>
      </c>
      <c r="D26" s="10">
        <v>2305825.5000000019</v>
      </c>
    </row>
    <row r="27" spans="1:4" x14ac:dyDescent="0.35">
      <c r="A27" t="s">
        <v>70</v>
      </c>
      <c r="B27" s="10">
        <v>4427312.4999999991</v>
      </c>
      <c r="C27" s="10">
        <v>4889391</v>
      </c>
      <c r="D27" s="10">
        <v>5302681.0000000028</v>
      </c>
    </row>
    <row r="28" spans="1:4" x14ac:dyDescent="0.35">
      <c r="A28" t="s">
        <v>71</v>
      </c>
      <c r="B28" s="10">
        <v>23588073.5</v>
      </c>
      <c r="C28" s="10">
        <v>26846541</v>
      </c>
      <c r="D28" s="10">
        <v>29611714.000000004</v>
      </c>
    </row>
    <row r="29" spans="1:4" x14ac:dyDescent="0.35">
      <c r="A29" t="s">
        <v>72</v>
      </c>
      <c r="B29" s="10">
        <v>16024775.499999994</v>
      </c>
      <c r="C29" s="10">
        <v>18367882.999999985</v>
      </c>
      <c r="D29" s="10">
        <v>20405316.500000019</v>
      </c>
    </row>
    <row r="30" spans="1:4" x14ac:dyDescent="0.35">
      <c r="A30" t="s">
        <v>73</v>
      </c>
      <c r="B30" s="10">
        <v>17004032.499999996</v>
      </c>
      <c r="C30" s="10">
        <v>19934298.000000004</v>
      </c>
      <c r="D30" s="10">
        <v>22593590.500000019</v>
      </c>
    </row>
    <row r="31" spans="1:4" x14ac:dyDescent="0.35">
      <c r="A31" t="s">
        <v>74</v>
      </c>
      <c r="B31" s="10">
        <v>3742958.9999999981</v>
      </c>
      <c r="C31" s="10">
        <v>4270711.4999999972</v>
      </c>
      <c r="D31" s="10">
        <v>4736138.9999999991</v>
      </c>
    </row>
    <row r="32" spans="1:4" x14ac:dyDescent="0.35">
      <c r="A32" t="s">
        <v>75</v>
      </c>
      <c r="B32" s="10">
        <v>1290691.4999999998</v>
      </c>
      <c r="C32" s="10">
        <v>1295381.5000000005</v>
      </c>
      <c r="D32" s="10">
        <v>1299468.9999999986</v>
      </c>
    </row>
    <row r="33" spans="1:4" x14ac:dyDescent="0.35">
      <c r="A33" t="s">
        <v>76</v>
      </c>
      <c r="B33" s="10">
        <v>25251730.999999989</v>
      </c>
      <c r="C33" s="10">
        <v>29423878.499999989</v>
      </c>
      <c r="D33" s="10">
        <v>32969518.500000011</v>
      </c>
    </row>
    <row r="34" spans="1:4" x14ac:dyDescent="0.35">
      <c r="A34" t="s">
        <v>77</v>
      </c>
      <c r="B34" s="10">
        <v>2204510.0000000005</v>
      </c>
      <c r="C34" s="10">
        <v>2405680.5000000005</v>
      </c>
      <c r="D34" s="10">
        <v>2567012.4999999995</v>
      </c>
    </row>
    <row r="35" spans="1:4" x14ac:dyDescent="0.35">
      <c r="A35" t="s">
        <v>78</v>
      </c>
      <c r="B35" s="10">
        <v>18653199</v>
      </c>
      <c r="C35" s="10">
        <v>22577057.999999996</v>
      </c>
      <c r="D35" s="10">
        <v>26207976.5</v>
      </c>
    </row>
    <row r="36" spans="1:4" x14ac:dyDescent="0.35">
      <c r="A36" t="s">
        <v>79</v>
      </c>
      <c r="B36" s="10">
        <v>174726123.50000006</v>
      </c>
      <c r="C36" s="10">
        <v>198387623.50000009</v>
      </c>
      <c r="D36" s="10">
        <v>218541211.50000003</v>
      </c>
    </row>
    <row r="37" spans="1:4" x14ac:dyDescent="0.35">
      <c r="A37" t="s">
        <v>80</v>
      </c>
      <c r="B37" s="10">
        <v>11101349.499999996</v>
      </c>
      <c r="C37" s="10">
        <v>12531807.499999998</v>
      </c>
      <c r="D37" s="10">
        <v>13776697.499999994</v>
      </c>
    </row>
    <row r="38" spans="1:4" x14ac:dyDescent="0.35">
      <c r="A38" t="s">
        <v>81</v>
      </c>
      <c r="B38" s="10">
        <v>193756.99999999997</v>
      </c>
      <c r="C38" s="10">
        <v>211344</v>
      </c>
      <c r="D38" s="10">
        <v>227379.5</v>
      </c>
    </row>
    <row r="39" spans="1:4" x14ac:dyDescent="0.35">
      <c r="A39" t="s">
        <v>82</v>
      </c>
      <c r="B39" s="10">
        <v>13595565.499999993</v>
      </c>
      <c r="C39" s="10">
        <v>15574908.999999998</v>
      </c>
      <c r="D39" s="10">
        <v>17316449</v>
      </c>
    </row>
    <row r="40" spans="1:4" x14ac:dyDescent="0.35">
      <c r="A40" t="s">
        <v>83</v>
      </c>
      <c r="B40" s="10">
        <v>96714</v>
      </c>
      <c r="C40" s="10">
        <v>103101.00000000004</v>
      </c>
      <c r="D40" s="10">
        <v>107118.5</v>
      </c>
    </row>
    <row r="41" spans="1:4" x14ac:dyDescent="0.35">
      <c r="A41" t="s">
        <v>84</v>
      </c>
      <c r="B41" s="10">
        <v>6964858.4999999972</v>
      </c>
      <c r="C41" s="10">
        <v>7861281</v>
      </c>
      <c r="D41" s="10">
        <v>8605718.0000000056</v>
      </c>
    </row>
    <row r="42" spans="1:4" x14ac:dyDescent="0.35">
      <c r="A42" t="s">
        <v>85</v>
      </c>
      <c r="B42" s="10">
        <v>53873616</v>
      </c>
      <c r="C42" s="10">
        <v>57339635.000000022</v>
      </c>
      <c r="D42" s="10">
        <v>59893885.5</v>
      </c>
    </row>
    <row r="43" spans="1:4" x14ac:dyDescent="0.35">
      <c r="A43" t="s">
        <v>86</v>
      </c>
      <c r="B43" s="10">
        <v>11106031.000000004</v>
      </c>
      <c r="C43" s="10">
        <v>10395329.5</v>
      </c>
      <c r="D43" s="10">
        <v>10913163.5</v>
      </c>
    </row>
    <row r="44" spans="1:4" x14ac:dyDescent="0.35">
      <c r="A44" t="s">
        <v>87</v>
      </c>
      <c r="B44" s="10">
        <v>49253643.5</v>
      </c>
      <c r="C44" s="10">
        <v>58090443.000000007</v>
      </c>
      <c r="D44" s="10">
        <v>65497748.000000037</v>
      </c>
    </row>
    <row r="45" spans="1:4" x14ac:dyDescent="0.35">
      <c r="A45" t="s">
        <v>88</v>
      </c>
      <c r="B45" s="10">
        <v>7106229</v>
      </c>
      <c r="C45" s="10">
        <v>8046679</v>
      </c>
      <c r="D45" s="10">
        <v>8848698.5000000019</v>
      </c>
    </row>
    <row r="46" spans="1:4" x14ac:dyDescent="0.35">
      <c r="A46" t="s">
        <v>89</v>
      </c>
      <c r="B46" s="10">
        <v>35273569.999999993</v>
      </c>
      <c r="C46" s="10">
        <v>41515395.000000015</v>
      </c>
      <c r="D46" s="10">
        <v>47249584.999999978</v>
      </c>
    </row>
    <row r="47" spans="1:4" x14ac:dyDescent="0.35">
      <c r="A47" t="s">
        <v>90</v>
      </c>
      <c r="B47" s="10">
        <v>15234975.999999991</v>
      </c>
      <c r="C47" s="10">
        <v>17835892.999999981</v>
      </c>
      <c r="D47" s="10">
        <v>20017675.000000004</v>
      </c>
    </row>
    <row r="48" spans="1:4" x14ac:dyDescent="0.35">
      <c r="A48" t="s">
        <v>91</v>
      </c>
      <c r="B48" s="10">
        <v>13555421.500000009</v>
      </c>
      <c r="C48" s="10">
        <v>15052184.000000007</v>
      </c>
      <c r="D48" s="10">
        <v>16320536.999999994</v>
      </c>
    </row>
    <row r="49" spans="1:4" x14ac:dyDescent="0.35">
      <c r="A49" t="s">
        <v>98</v>
      </c>
      <c r="B49" s="10">
        <v>944292669.00000024</v>
      </c>
      <c r="C49" s="10">
        <v>1076956971.0000002</v>
      </c>
      <c r="D49" s="10">
        <v>1191645698.5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66EB-91E1-4B91-908A-433437052B10}">
  <dimension ref="B1:W16"/>
  <sheetViews>
    <sheetView workbookViewId="0">
      <selection activeCell="I10" sqref="I10"/>
    </sheetView>
  </sheetViews>
  <sheetFormatPr defaultRowHeight="14.5" x14ac:dyDescent="0.35"/>
  <cols>
    <col min="2" max="2" width="20.54296875" bestFit="1" customWidth="1"/>
    <col min="15" max="15" width="20.6328125" bestFit="1" customWidth="1"/>
    <col min="16" max="17" width="16.453125" bestFit="1" customWidth="1"/>
    <col min="18" max="18" width="15.453125" bestFit="1" customWidth="1"/>
    <col min="19" max="23" width="16.453125" bestFit="1" customWidth="1"/>
  </cols>
  <sheetData>
    <row r="1" spans="2:23" x14ac:dyDescent="0.35">
      <c r="B1" s="17"/>
      <c r="C1" s="71" t="s">
        <v>194</v>
      </c>
      <c r="D1" s="71"/>
      <c r="E1" s="71"/>
      <c r="F1" s="71" t="s">
        <v>195</v>
      </c>
      <c r="G1" s="71"/>
      <c r="H1" s="71"/>
      <c r="I1" s="71" t="s">
        <v>196</v>
      </c>
      <c r="J1" s="71"/>
      <c r="K1" s="71"/>
      <c r="N1" s="17"/>
      <c r="O1" s="71" t="s">
        <v>194</v>
      </c>
      <c r="P1" s="71"/>
      <c r="Q1" s="71"/>
      <c r="R1" s="71" t="s">
        <v>195</v>
      </c>
      <c r="S1" s="71"/>
      <c r="T1" s="71"/>
      <c r="U1" s="71" t="s">
        <v>196</v>
      </c>
      <c r="V1" s="71"/>
      <c r="W1" s="71"/>
    </row>
    <row r="2" spans="2:23" ht="56.5" x14ac:dyDescent="0.35">
      <c r="B2" s="18" t="s">
        <v>93</v>
      </c>
      <c r="C2" s="19" t="s">
        <v>197</v>
      </c>
      <c r="D2" s="19" t="s">
        <v>198</v>
      </c>
      <c r="E2" s="19" t="s">
        <v>199</v>
      </c>
      <c r="F2" s="20" t="s">
        <v>197</v>
      </c>
      <c r="G2" s="20" t="s">
        <v>198</v>
      </c>
      <c r="H2" s="20" t="s">
        <v>199</v>
      </c>
      <c r="I2" s="18" t="s">
        <v>197</v>
      </c>
      <c r="J2" s="18" t="s">
        <v>198</v>
      </c>
      <c r="K2" s="18" t="s">
        <v>199</v>
      </c>
      <c r="N2" s="18" t="s">
        <v>93</v>
      </c>
      <c r="O2" s="19">
        <v>2013</v>
      </c>
      <c r="P2" s="19">
        <v>2018</v>
      </c>
      <c r="Q2" s="21" t="s">
        <v>106</v>
      </c>
      <c r="R2" s="20">
        <v>2013</v>
      </c>
      <c r="S2" s="20">
        <v>2018</v>
      </c>
      <c r="T2" s="20" t="s">
        <v>106</v>
      </c>
      <c r="U2" s="18">
        <v>2013</v>
      </c>
      <c r="V2" s="18">
        <v>2018</v>
      </c>
      <c r="W2" s="18" t="s">
        <v>106</v>
      </c>
    </row>
    <row r="3" spans="2:23" x14ac:dyDescent="0.35">
      <c r="B3" t="s">
        <v>98</v>
      </c>
      <c r="C3">
        <v>11.13650671070585</v>
      </c>
      <c r="D3">
        <v>23.576970255075228</v>
      </c>
      <c r="E3">
        <v>26.824343944304964</v>
      </c>
      <c r="F3">
        <v>8.3497580937222491</v>
      </c>
      <c r="G3">
        <v>26.690656580821251</v>
      </c>
      <c r="H3">
        <v>27.342382346071645</v>
      </c>
      <c r="I3">
        <v>19.486264804428103</v>
      </c>
      <c r="J3">
        <v>50.267626835896493</v>
      </c>
      <c r="K3">
        <v>54.166726290376602</v>
      </c>
      <c r="N3" t="s">
        <v>98</v>
      </c>
      <c r="O3" s="26">
        <v>841834</v>
      </c>
      <c r="P3" s="26">
        <v>1994699</v>
      </c>
      <c r="Q3" s="26">
        <v>2609320.8581257504</v>
      </c>
      <c r="R3" s="26">
        <v>724195</v>
      </c>
      <c r="S3" s="26">
        <v>2312731</v>
      </c>
      <c r="T3" s="26">
        <v>2488957.6157619865</v>
      </c>
      <c r="U3" s="26">
        <v>1566029</v>
      </c>
      <c r="V3" s="26">
        <v>4307430</v>
      </c>
      <c r="W3" s="26">
        <v>5098278.4738877341</v>
      </c>
    </row>
    <row r="7" spans="2:23" ht="56.5" x14ac:dyDescent="0.35">
      <c r="C7" s="19" t="s">
        <v>197</v>
      </c>
      <c r="D7" s="19" t="s">
        <v>198</v>
      </c>
      <c r="E7" s="19" t="s">
        <v>199</v>
      </c>
      <c r="F7" s="25" t="s">
        <v>236</v>
      </c>
      <c r="P7" s="19" t="s">
        <v>201</v>
      </c>
      <c r="Q7" s="19" t="s">
        <v>202</v>
      </c>
      <c r="R7" s="21" t="s">
        <v>203</v>
      </c>
      <c r="S7" s="25" t="s">
        <v>236</v>
      </c>
    </row>
    <row r="8" spans="2:23" x14ac:dyDescent="0.35">
      <c r="B8" t="s">
        <v>265</v>
      </c>
      <c r="C8" s="3">
        <v>11.13650671070585</v>
      </c>
      <c r="D8" s="3">
        <v>23.576970255075228</v>
      </c>
      <c r="E8" s="3">
        <v>26.824343944304964</v>
      </c>
      <c r="F8" s="5">
        <f>((E8/C8)^(1/9))-1</f>
        <v>0.10260514329612369</v>
      </c>
      <c r="O8" t="s">
        <v>264</v>
      </c>
      <c r="P8" s="10">
        <v>841834</v>
      </c>
      <c r="Q8" s="10">
        <v>1994699</v>
      </c>
      <c r="R8" s="10">
        <v>2609320.8581257504</v>
      </c>
      <c r="S8" s="5">
        <f>((R8/P8)^(1/9))-1</f>
        <v>0.13393719904621504</v>
      </c>
    </row>
    <row r="9" spans="2:23" x14ac:dyDescent="0.35">
      <c r="B9" t="s">
        <v>195</v>
      </c>
      <c r="C9" s="3">
        <v>8.3497580937222491</v>
      </c>
      <c r="D9" s="3">
        <v>26.690656580821251</v>
      </c>
      <c r="E9" s="3">
        <v>27.342382346071645</v>
      </c>
      <c r="F9" s="5">
        <f t="shared" ref="F9:F10" si="0">((E9/C9)^(1/9))-1</f>
        <v>0.14088080465030628</v>
      </c>
      <c r="O9" t="s">
        <v>195</v>
      </c>
      <c r="P9" s="10">
        <v>724195</v>
      </c>
      <c r="Q9" s="10">
        <v>2312731</v>
      </c>
      <c r="R9" s="10">
        <v>2488957.6157619865</v>
      </c>
      <c r="S9" s="5">
        <f t="shared" ref="S9:S10" si="1">((R9/P9)^(1/9))-1</f>
        <v>0.14702676837881556</v>
      </c>
    </row>
    <row r="10" spans="2:23" x14ac:dyDescent="0.35">
      <c r="B10" t="s">
        <v>200</v>
      </c>
      <c r="C10" s="3">
        <v>19.486264804428103</v>
      </c>
      <c r="D10" s="3">
        <v>50.267626835896493</v>
      </c>
      <c r="E10" s="3">
        <v>54.166726290376602</v>
      </c>
      <c r="F10" s="5">
        <f t="shared" si="0"/>
        <v>0.12029855683320889</v>
      </c>
      <c r="O10" t="s">
        <v>200</v>
      </c>
      <c r="P10" s="10">
        <v>1566029</v>
      </c>
      <c r="Q10" s="10">
        <v>4307430</v>
      </c>
      <c r="R10" s="10">
        <v>5098278.4738877341</v>
      </c>
      <c r="S10" s="5">
        <f t="shared" si="1"/>
        <v>0.14014003239729167</v>
      </c>
    </row>
    <row r="11" spans="2:23" x14ac:dyDescent="0.35">
      <c r="P11">
        <f t="shared" ref="P11:P12" si="2">R8/P8</f>
        <v>3.0995669670335841</v>
      </c>
    </row>
    <row r="12" spans="2:23" x14ac:dyDescent="0.35">
      <c r="C12">
        <f>E8/C8</f>
        <v>2.4086856535108927</v>
      </c>
      <c r="D12" s="5">
        <f>(E10-C10)/C10</f>
        <v>1.7797387972510581</v>
      </c>
      <c r="P12">
        <f t="shared" si="2"/>
        <v>3.4368610881903168</v>
      </c>
      <c r="Q12" s="5">
        <f>(R10-P10)/P10</f>
        <v>2.2555453787175934</v>
      </c>
    </row>
    <row r="13" spans="2:23" x14ac:dyDescent="0.35">
      <c r="C13">
        <f t="shared" ref="C13:C14" si="3">E9/C9</f>
        <v>3.2746316766504848</v>
      </c>
      <c r="P13">
        <f>R10/P10</f>
        <v>3.2555453787175934</v>
      </c>
    </row>
    <row r="14" spans="2:23" x14ac:dyDescent="0.35">
      <c r="C14">
        <f t="shared" si="3"/>
        <v>2.7797387972510581</v>
      </c>
      <c r="D14" s="22">
        <f>(E8-D8)/D8</f>
        <v>0.13773498690022309</v>
      </c>
      <c r="Q14" s="5">
        <f>(R8-Q8)/Q8</f>
        <v>0.30812762132319232</v>
      </c>
    </row>
    <row r="15" spans="2:23" x14ac:dyDescent="0.35">
      <c r="D15" s="22">
        <f t="shared" ref="D15:D16" si="4">(E9-D9)/D9</f>
        <v>2.4417749457639627E-2</v>
      </c>
      <c r="Q15" s="5">
        <f>(R9-Q9)/Q9</f>
        <v>7.6198492501716134E-2</v>
      </c>
    </row>
    <row r="16" spans="2:23" x14ac:dyDescent="0.35">
      <c r="D16" s="22">
        <f t="shared" si="4"/>
        <v>7.7566809891564878E-2</v>
      </c>
      <c r="Q16" s="5">
        <f>(R10-Q10)/Q10</f>
        <v>0.18360100428509207</v>
      </c>
    </row>
  </sheetData>
  <mergeCells count="6">
    <mergeCell ref="U1:W1"/>
    <mergeCell ref="C1:E1"/>
    <mergeCell ref="F1:H1"/>
    <mergeCell ref="I1:K1"/>
    <mergeCell ref="O1:Q1"/>
    <mergeCell ref="R1:T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D40C-9558-4116-A14A-58C76C1349C3}">
  <dimension ref="A1:K67"/>
  <sheetViews>
    <sheetView topLeftCell="A21" zoomScale="82" zoomScaleNormal="70" workbookViewId="0">
      <selection activeCell="A38" sqref="A38"/>
    </sheetView>
  </sheetViews>
  <sheetFormatPr defaultRowHeight="14.5" x14ac:dyDescent="0.35"/>
  <cols>
    <col min="1" max="1" width="34.26953125" bestFit="1" customWidth="1"/>
    <col min="2" max="2" width="11.08984375" bestFit="1" customWidth="1"/>
    <col min="3" max="4" width="12.54296875" bestFit="1" customWidth="1"/>
  </cols>
  <sheetData>
    <row r="1" spans="1:11" x14ac:dyDescent="0.35">
      <c r="B1" t="s">
        <v>191</v>
      </c>
      <c r="C1" t="s">
        <v>192</v>
      </c>
      <c r="D1" t="s">
        <v>193</v>
      </c>
    </row>
    <row r="2" spans="1:11" x14ac:dyDescent="0.35">
      <c r="A2" t="s">
        <v>132</v>
      </c>
      <c r="B2" s="3">
        <v>6.3547751604872342</v>
      </c>
      <c r="C2" s="3">
        <v>9.7650585826332765</v>
      </c>
      <c r="D2" s="3">
        <v>10.762837813162198</v>
      </c>
    </row>
    <row r="3" spans="1:11" x14ac:dyDescent="0.35">
      <c r="A3" t="s">
        <v>131</v>
      </c>
      <c r="B3" s="3">
        <v>10.916495025810013</v>
      </c>
      <c r="C3" s="3">
        <v>22.434036104186966</v>
      </c>
      <c r="D3" s="3">
        <v>26.458951925105207</v>
      </c>
      <c r="I3" s="3">
        <v>6.3547751604872342</v>
      </c>
      <c r="J3" s="3">
        <v>9.7650585826332765</v>
      </c>
      <c r="K3" s="3">
        <v>10.673326510234116</v>
      </c>
    </row>
    <row r="4" spans="1:11" x14ac:dyDescent="0.35">
      <c r="A4" t="s">
        <v>133</v>
      </c>
      <c r="B4" s="3">
        <v>26.078875934650398</v>
      </c>
      <c r="C4" s="3">
        <v>68.114955110526367</v>
      </c>
      <c r="D4" s="3">
        <v>76.000640675561172</v>
      </c>
    </row>
    <row r="5" spans="1:11" x14ac:dyDescent="0.35">
      <c r="A5" t="s">
        <v>98</v>
      </c>
      <c r="B5" s="27">
        <v>11.136506710705849</v>
      </c>
      <c r="C5" s="27">
        <v>23.576970255075217</v>
      </c>
      <c r="D5" s="3">
        <v>26.824343944304967</v>
      </c>
    </row>
    <row r="53" spans="1:7" x14ac:dyDescent="0.35">
      <c r="B53" t="s">
        <v>216</v>
      </c>
      <c r="C53" t="s">
        <v>248</v>
      </c>
      <c r="D53" t="s">
        <v>217</v>
      </c>
      <c r="E53" t="s">
        <v>216</v>
      </c>
      <c r="F53" t="s">
        <v>248</v>
      </c>
      <c r="G53" t="s">
        <v>217</v>
      </c>
    </row>
    <row r="54" spans="1:7" x14ac:dyDescent="0.35">
      <c r="A54" t="s">
        <v>132</v>
      </c>
      <c r="B54" s="10">
        <v>231469</v>
      </c>
      <c r="C54" s="10">
        <v>500896</v>
      </c>
      <c r="D54" s="10">
        <v>703654.41238501901</v>
      </c>
      <c r="E54">
        <f>B54/B57</f>
        <v>0.27495800834843925</v>
      </c>
      <c r="F54">
        <f t="shared" ref="F54:G54" si="0">C54/C57</f>
        <v>0.25111357653460498</v>
      </c>
      <c r="G54">
        <f t="shared" si="0"/>
        <v>0.26993890782408869</v>
      </c>
    </row>
    <row r="55" spans="1:7" x14ac:dyDescent="0.35">
      <c r="A55" t="s">
        <v>131</v>
      </c>
      <c r="B55" s="10">
        <v>500130</v>
      </c>
      <c r="C55" s="10">
        <v>1093979</v>
      </c>
      <c r="D55" s="10">
        <v>1386731.0884352727</v>
      </c>
      <c r="E55">
        <f>B55/B57</f>
        <v>0.59409574809285437</v>
      </c>
      <c r="F55">
        <f t="shared" ref="F55:G55" si="1">C55/C57</f>
        <v>0.54844314856527221</v>
      </c>
      <c r="G55">
        <f t="shared" si="1"/>
        <v>0.53198369664042322</v>
      </c>
    </row>
    <row r="56" spans="1:7" x14ac:dyDescent="0.35">
      <c r="A56" t="s">
        <v>133</v>
      </c>
      <c r="B56" s="10">
        <v>110235</v>
      </c>
      <c r="C56" s="10">
        <v>399824</v>
      </c>
      <c r="D56" s="10">
        <v>516331.76738311263</v>
      </c>
      <c r="E56">
        <f>B56/B57</f>
        <v>0.13094624355870635</v>
      </c>
      <c r="F56">
        <f t="shared" ref="F56:G56" si="2">C56/C57</f>
        <v>0.20044327490012279</v>
      </c>
      <c r="G56">
        <f t="shared" si="2"/>
        <v>0.19807739553548806</v>
      </c>
    </row>
    <row r="57" spans="1:7" x14ac:dyDescent="0.35">
      <c r="A57" t="s">
        <v>98</v>
      </c>
      <c r="B57" s="10">
        <f>SUM(B54:B56)</f>
        <v>841834</v>
      </c>
      <c r="C57" s="10">
        <f t="shared" ref="C57:D57" si="3">SUM(C54:C56)</f>
        <v>1994699</v>
      </c>
      <c r="D57" s="10">
        <f t="shared" si="3"/>
        <v>2606717.2682034043</v>
      </c>
      <c r="E57">
        <f>B57/B57</f>
        <v>1</v>
      </c>
      <c r="F57">
        <f t="shared" ref="F57:G57" si="4">C57/C57</f>
        <v>1</v>
      </c>
      <c r="G57">
        <f t="shared" si="4"/>
        <v>1</v>
      </c>
    </row>
    <row r="63" spans="1:7" x14ac:dyDescent="0.35">
      <c r="B63" t="s">
        <v>216</v>
      </c>
      <c r="C63" t="s">
        <v>248</v>
      </c>
      <c r="D63" t="s">
        <v>217</v>
      </c>
    </row>
    <row r="64" spans="1:7" x14ac:dyDescent="0.35">
      <c r="A64" t="s">
        <v>132</v>
      </c>
      <c r="B64" s="5">
        <v>0.27495800834843925</v>
      </c>
      <c r="C64" s="5">
        <v>0.25111357653460498</v>
      </c>
      <c r="D64" s="5">
        <v>0.26993890782408869</v>
      </c>
    </row>
    <row r="65" spans="1:4" x14ac:dyDescent="0.35">
      <c r="A65" t="s">
        <v>131</v>
      </c>
      <c r="B65" s="5">
        <v>0.59409574809285437</v>
      </c>
      <c r="C65" s="5">
        <v>0.54844314856527221</v>
      </c>
      <c r="D65" s="5">
        <v>0.53198369664042322</v>
      </c>
    </row>
    <row r="66" spans="1:4" x14ac:dyDescent="0.35">
      <c r="A66" t="s">
        <v>133</v>
      </c>
      <c r="B66" s="5">
        <v>0.13094624355870635</v>
      </c>
      <c r="C66" s="5">
        <v>0.20044327490012279</v>
      </c>
      <c r="D66" s="5">
        <v>0.19807739553548806</v>
      </c>
    </row>
    <row r="67" spans="1:4" x14ac:dyDescent="0.35">
      <c r="A67" t="s">
        <v>98</v>
      </c>
      <c r="B67">
        <v>1</v>
      </c>
      <c r="C67">
        <v>1</v>
      </c>
      <c r="D67">
        <v>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4DFE-D8BD-40AE-9894-A96C41A6D30E}">
  <dimension ref="A1:G83"/>
  <sheetViews>
    <sheetView zoomScale="90" zoomScaleNormal="90" workbookViewId="0">
      <selection activeCell="E71" sqref="E71"/>
    </sheetView>
  </sheetViews>
  <sheetFormatPr defaultRowHeight="14.5" x14ac:dyDescent="0.35"/>
  <cols>
    <col min="1" max="1" width="34.26953125" bestFit="1" customWidth="1"/>
    <col min="2" max="2" width="11.08984375" bestFit="1" customWidth="1"/>
    <col min="3" max="4" width="12.54296875" bestFit="1" customWidth="1"/>
    <col min="7" max="7" width="12.7265625" bestFit="1" customWidth="1"/>
  </cols>
  <sheetData>
    <row r="1" spans="1:7" x14ac:dyDescent="0.35">
      <c r="B1" t="s">
        <v>216</v>
      </c>
      <c r="C1" t="s">
        <v>248</v>
      </c>
      <c r="D1" t="s">
        <v>217</v>
      </c>
    </row>
    <row r="2" spans="1:7" x14ac:dyDescent="0.35">
      <c r="A2" t="s">
        <v>132</v>
      </c>
      <c r="B2" s="10">
        <v>231469</v>
      </c>
      <c r="C2" s="10">
        <v>500896</v>
      </c>
      <c r="D2" s="10">
        <v>706258.00230736472</v>
      </c>
    </row>
    <row r="3" spans="1:7" x14ac:dyDescent="0.35">
      <c r="A3" t="s">
        <v>131</v>
      </c>
      <c r="B3" s="10">
        <v>500130</v>
      </c>
      <c r="C3" s="10">
        <v>1093979</v>
      </c>
      <c r="D3" s="10">
        <v>1386731.0884352727</v>
      </c>
    </row>
    <row r="4" spans="1:7" x14ac:dyDescent="0.35">
      <c r="A4" t="s">
        <v>133</v>
      </c>
      <c r="B4" s="10">
        <v>110235</v>
      </c>
      <c r="C4" s="10">
        <v>399824</v>
      </c>
      <c r="D4" s="10">
        <v>516331.76738311263</v>
      </c>
    </row>
    <row r="5" spans="1:7" x14ac:dyDescent="0.35">
      <c r="A5" t="s">
        <v>98</v>
      </c>
      <c r="B5" s="10">
        <v>841834</v>
      </c>
      <c r="C5" s="10">
        <v>1994699</v>
      </c>
      <c r="D5" s="10">
        <v>2609320.85812575</v>
      </c>
    </row>
    <row r="6" spans="1:7" x14ac:dyDescent="0.35">
      <c r="G6" s="10">
        <v>2609320.85812575</v>
      </c>
    </row>
    <row r="7" spans="1:7" x14ac:dyDescent="0.35">
      <c r="G7" s="10">
        <v>2609320.8581257504</v>
      </c>
    </row>
    <row r="53" spans="1:7" x14ac:dyDescent="0.35">
      <c r="B53" t="s">
        <v>216</v>
      </c>
      <c r="C53" t="s">
        <v>248</v>
      </c>
      <c r="D53" t="s">
        <v>217</v>
      </c>
      <c r="E53" t="s">
        <v>216</v>
      </c>
      <c r="F53" t="s">
        <v>248</v>
      </c>
      <c r="G53" t="s">
        <v>217</v>
      </c>
    </row>
    <row r="54" spans="1:7" x14ac:dyDescent="0.35">
      <c r="A54" t="s">
        <v>132</v>
      </c>
      <c r="B54" s="10">
        <v>231469</v>
      </c>
      <c r="C54" s="10">
        <v>500896</v>
      </c>
      <c r="D54" s="10">
        <v>703654.41238501901</v>
      </c>
      <c r="E54">
        <f>B54/B57</f>
        <v>0.27495800834843925</v>
      </c>
      <c r="F54">
        <f t="shared" ref="F54:G54" si="0">C54/C57</f>
        <v>0.25111357653460498</v>
      </c>
      <c r="G54">
        <f t="shared" si="0"/>
        <v>0.26993890782408869</v>
      </c>
    </row>
    <row r="55" spans="1:7" x14ac:dyDescent="0.35">
      <c r="A55" t="s">
        <v>131</v>
      </c>
      <c r="B55" s="10">
        <v>500130</v>
      </c>
      <c r="C55" s="10">
        <v>1093979</v>
      </c>
      <c r="D55" s="10">
        <v>1386731.0884352727</v>
      </c>
      <c r="E55">
        <f>B55/B57</f>
        <v>0.59409574809285437</v>
      </c>
      <c r="F55">
        <f t="shared" ref="F55:G55" si="1">C55/C57</f>
        <v>0.54844314856527221</v>
      </c>
      <c r="G55">
        <f t="shared" si="1"/>
        <v>0.53198369664042322</v>
      </c>
    </row>
    <row r="56" spans="1:7" x14ac:dyDescent="0.35">
      <c r="A56" t="s">
        <v>133</v>
      </c>
      <c r="B56" s="10">
        <v>110235</v>
      </c>
      <c r="C56" s="10">
        <v>399824</v>
      </c>
      <c r="D56" s="10">
        <v>516331.76738311263</v>
      </c>
      <c r="E56">
        <f>B56/B57</f>
        <v>0.13094624355870635</v>
      </c>
      <c r="F56">
        <f t="shared" ref="F56:G56" si="2">C56/C57</f>
        <v>0.20044327490012279</v>
      </c>
      <c r="G56">
        <f t="shared" si="2"/>
        <v>0.19807739553548806</v>
      </c>
    </row>
    <row r="57" spans="1:7" x14ac:dyDescent="0.35">
      <c r="A57" t="s">
        <v>98</v>
      </c>
      <c r="B57" s="10">
        <v>841834</v>
      </c>
      <c r="C57" s="10">
        <v>1994699</v>
      </c>
      <c r="D57" s="10">
        <v>2606717.2682034043</v>
      </c>
      <c r="E57">
        <f>B57/B57</f>
        <v>1</v>
      </c>
      <c r="F57">
        <f t="shared" ref="F57:G57" si="3">C57/C57</f>
        <v>1</v>
      </c>
      <c r="G57">
        <f t="shared" si="3"/>
        <v>1</v>
      </c>
    </row>
    <row r="63" spans="1:7" x14ac:dyDescent="0.35">
      <c r="B63" t="s">
        <v>266</v>
      </c>
      <c r="C63" t="s">
        <v>267</v>
      </c>
      <c r="D63" t="s">
        <v>268</v>
      </c>
    </row>
    <row r="64" spans="1:7" x14ac:dyDescent="0.35">
      <c r="A64" t="s">
        <v>132</v>
      </c>
      <c r="B64" s="5">
        <v>0.27495800834843925</v>
      </c>
      <c r="C64" s="5">
        <v>0.25111357653460498</v>
      </c>
      <c r="D64" s="5">
        <v>0.26993890782408869</v>
      </c>
    </row>
    <row r="65" spans="1:4" x14ac:dyDescent="0.35">
      <c r="A65" t="s">
        <v>131</v>
      </c>
      <c r="B65" s="5">
        <v>0.59409574809285437</v>
      </c>
      <c r="C65" s="5">
        <v>0.54844314856527221</v>
      </c>
      <c r="D65" s="5">
        <v>0.53198369664042322</v>
      </c>
    </row>
    <row r="66" spans="1:4" x14ac:dyDescent="0.35">
      <c r="A66" t="s">
        <v>133</v>
      </c>
      <c r="B66" s="5">
        <v>0.13094624355870635</v>
      </c>
      <c r="C66" s="5">
        <v>0.20044327490012279</v>
      </c>
      <c r="D66" s="5">
        <v>0.19807739553548806</v>
      </c>
    </row>
    <row r="67" spans="1:4" x14ac:dyDescent="0.35">
      <c r="A67" t="s">
        <v>98</v>
      </c>
      <c r="B67">
        <v>1</v>
      </c>
      <c r="C67">
        <v>1</v>
      </c>
      <c r="D67">
        <v>1</v>
      </c>
    </row>
    <row r="82" spans="1:4" x14ac:dyDescent="0.35">
      <c r="B82" t="s">
        <v>216</v>
      </c>
      <c r="C82" t="s">
        <v>248</v>
      </c>
      <c r="D82" t="s">
        <v>217</v>
      </c>
    </row>
    <row r="83" spans="1:4" x14ac:dyDescent="0.35">
      <c r="A83" t="s">
        <v>123</v>
      </c>
    </row>
  </sheetData>
  <phoneticPr fontId="4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408C9-2CF2-465C-8DE1-6E0E33E62627}">
  <dimension ref="A1:AB55"/>
  <sheetViews>
    <sheetView topLeftCell="AD93" zoomScale="80" zoomScaleNormal="80" workbookViewId="0">
      <selection activeCell="AM50" sqref="AM50"/>
    </sheetView>
  </sheetViews>
  <sheetFormatPr defaultRowHeight="14.5" x14ac:dyDescent="0.35"/>
  <cols>
    <col min="1" max="1" width="34.26953125" bestFit="1" customWidth="1"/>
    <col min="19" max="19" width="23.6328125" bestFit="1" customWidth="1"/>
  </cols>
  <sheetData>
    <row r="1" spans="1:28" x14ac:dyDescent="0.35">
      <c r="A1" t="s">
        <v>223</v>
      </c>
      <c r="S1" t="s">
        <v>98</v>
      </c>
    </row>
    <row r="2" spans="1:28" x14ac:dyDescent="0.35">
      <c r="A2" t="s">
        <v>122</v>
      </c>
      <c r="B2" t="s">
        <v>227</v>
      </c>
      <c r="C2" t="s">
        <v>228</v>
      </c>
      <c r="D2" t="s">
        <v>229</v>
      </c>
      <c r="E2" t="s">
        <v>230</v>
      </c>
      <c r="F2" t="s">
        <v>231</v>
      </c>
      <c r="G2" t="s">
        <v>232</v>
      </c>
      <c r="H2" t="s">
        <v>196</v>
      </c>
      <c r="I2" t="s">
        <v>227</v>
      </c>
      <c r="J2" t="s">
        <v>228</v>
      </c>
      <c r="K2" t="s">
        <v>229</v>
      </c>
      <c r="L2" t="s">
        <v>230</v>
      </c>
      <c r="M2" t="s">
        <v>231</v>
      </c>
      <c r="N2" t="s">
        <v>232</v>
      </c>
      <c r="T2" t="s">
        <v>227</v>
      </c>
      <c r="U2" t="s">
        <v>228</v>
      </c>
      <c r="V2" t="s">
        <v>229</v>
      </c>
      <c r="W2" t="s">
        <v>230</v>
      </c>
      <c r="X2" t="s">
        <v>231</v>
      </c>
      <c r="Y2" t="s">
        <v>232</v>
      </c>
      <c r="AA2" t="s">
        <v>234</v>
      </c>
      <c r="AB2" t="s">
        <v>235</v>
      </c>
    </row>
    <row r="3" spans="1:28" x14ac:dyDescent="0.35">
      <c r="A3" t="s">
        <v>133</v>
      </c>
      <c r="B3">
        <v>847</v>
      </c>
      <c r="C3">
        <v>10878</v>
      </c>
      <c r="D3">
        <v>3695</v>
      </c>
      <c r="E3">
        <v>2013</v>
      </c>
      <c r="F3">
        <v>919</v>
      </c>
      <c r="G3">
        <v>119</v>
      </c>
      <c r="H3">
        <f>SUM(B3:G3)</f>
        <v>18471</v>
      </c>
      <c r="I3" s="6">
        <f>B3/$H3</f>
        <v>4.5855665638027177E-2</v>
      </c>
      <c r="J3" s="6">
        <f>C3/$H3</f>
        <v>0.58892317687185314</v>
      </c>
      <c r="K3" s="6">
        <f t="shared" ref="K3:N3" si="0">D3/$H3</f>
        <v>0.20004331113637594</v>
      </c>
      <c r="L3" s="6">
        <f t="shared" si="0"/>
        <v>0.1089816469059607</v>
      </c>
      <c r="M3" s="6">
        <f>F3/$H3</f>
        <v>4.9753667911861837E-2</v>
      </c>
      <c r="N3" s="6">
        <f t="shared" si="0"/>
        <v>6.4425315359211734E-3</v>
      </c>
      <c r="S3" t="s">
        <v>223</v>
      </c>
      <c r="T3" s="23">
        <f>I6</f>
        <v>2.8195701357466064E-2</v>
      </c>
      <c r="U3" s="23">
        <f t="shared" ref="U3:Y3" si="1">J6</f>
        <v>0.51725113122171951</v>
      </c>
      <c r="V3" s="23">
        <f t="shared" si="1"/>
        <v>0.25757918552036196</v>
      </c>
      <c r="W3" s="23">
        <f t="shared" si="1"/>
        <v>0.12055995475113122</v>
      </c>
      <c r="X3" s="23">
        <f t="shared" si="1"/>
        <v>6.097285067873303E-2</v>
      </c>
      <c r="Y3" s="23">
        <f t="shared" si="1"/>
        <v>1.5441176470588236E-2</v>
      </c>
      <c r="AA3" s="24">
        <f>SUM(T3:V3)</f>
        <v>0.80302601809954754</v>
      </c>
      <c r="AB3" s="23">
        <f>SUM(X3:Y3)</f>
        <v>7.6414027149321273E-2</v>
      </c>
    </row>
    <row r="4" spans="1:28" x14ac:dyDescent="0.35">
      <c r="A4" t="s">
        <v>131</v>
      </c>
      <c r="B4">
        <v>82</v>
      </c>
      <c r="C4">
        <v>5820</v>
      </c>
      <c r="D4">
        <v>3871</v>
      </c>
      <c r="E4">
        <v>1691</v>
      </c>
      <c r="F4">
        <v>996</v>
      </c>
      <c r="G4">
        <v>323</v>
      </c>
      <c r="H4">
        <f t="shared" ref="H4:H6" si="2">SUM(B4:G4)</f>
        <v>12783</v>
      </c>
      <c r="I4" s="6">
        <f t="shared" ref="I4:I6" si="3">B4/$H4</f>
        <v>6.4147696158961117E-3</v>
      </c>
      <c r="J4" s="6">
        <f t="shared" ref="J4:J6" si="4">C4/$H4</f>
        <v>0.4552921849331143</v>
      </c>
      <c r="K4" s="6">
        <f t="shared" ref="K4:K6" si="5">D4/$H4</f>
        <v>0.30282406320894939</v>
      </c>
      <c r="L4" s="6">
        <f t="shared" ref="L4:L6" si="6">E4/$H4</f>
        <v>0.13228506610341861</v>
      </c>
      <c r="M4" s="6">
        <f t="shared" ref="M4:M6" si="7">F4/$H4</f>
        <v>7.7915982163811306E-2</v>
      </c>
      <c r="N4" s="6">
        <f t="shared" ref="N4:N6" si="8">G4/$H4</f>
        <v>2.5267933974810294E-2</v>
      </c>
      <c r="S4" t="s">
        <v>224</v>
      </c>
      <c r="T4" s="23">
        <f>I16</f>
        <v>3.4070827357644315E-2</v>
      </c>
      <c r="U4" s="23">
        <f t="shared" ref="U4:Y4" si="9">J16</f>
        <v>0.5313663245081135</v>
      </c>
      <c r="V4" s="23">
        <f t="shared" si="9"/>
        <v>0.32704341707355067</v>
      </c>
      <c r="W4" s="23">
        <f t="shared" si="9"/>
        <v>6.5606351150286568E-2</v>
      </c>
      <c r="X4" s="23">
        <f t="shared" si="9"/>
        <v>3.9248862604809559E-2</v>
      </c>
      <c r="Y4" s="23">
        <f t="shared" si="9"/>
        <v>2.6642173055953936E-3</v>
      </c>
      <c r="AA4" s="24">
        <f t="shared" ref="AA4:AA8" si="10">SUM(T4:V4)</f>
        <v>0.89248056893930849</v>
      </c>
      <c r="AB4" s="23">
        <f t="shared" ref="AB4:AB8" si="11">SUM(X4:Y4)</f>
        <v>4.1913079910404952E-2</v>
      </c>
    </row>
    <row r="5" spans="1:28" x14ac:dyDescent="0.35">
      <c r="A5" t="s">
        <v>132</v>
      </c>
      <c r="B5">
        <v>68</v>
      </c>
      <c r="C5">
        <v>1592</v>
      </c>
      <c r="D5">
        <v>1542</v>
      </c>
      <c r="E5">
        <v>559</v>
      </c>
      <c r="F5">
        <v>241</v>
      </c>
      <c r="G5">
        <v>104</v>
      </c>
      <c r="H5">
        <f t="shared" si="2"/>
        <v>4106</v>
      </c>
      <c r="I5" s="6">
        <f t="shared" si="3"/>
        <v>1.6561130053580127E-2</v>
      </c>
      <c r="J5" s="6">
        <f t="shared" si="4"/>
        <v>0.38772528007793472</v>
      </c>
      <c r="K5" s="6">
        <f t="shared" si="5"/>
        <v>0.37554797856794936</v>
      </c>
      <c r="L5" s="6">
        <f t="shared" si="6"/>
        <v>0.13614223088163663</v>
      </c>
      <c r="M5" s="6">
        <f t="shared" si="7"/>
        <v>5.8694593278129564E-2</v>
      </c>
      <c r="N5" s="6">
        <f t="shared" si="8"/>
        <v>2.5328787140769606E-2</v>
      </c>
      <c r="S5" t="s">
        <v>225</v>
      </c>
      <c r="T5" s="23">
        <f>I27</f>
        <v>2.6533668031884439E-2</v>
      </c>
      <c r="U5" s="23">
        <f t="shared" ref="U5:Y5" si="12">J27</f>
        <v>0.44316730523627074</v>
      </c>
      <c r="V5" s="23">
        <f t="shared" si="12"/>
        <v>0.37933236446910645</v>
      </c>
      <c r="W5" s="23">
        <f t="shared" si="12"/>
        <v>0.10435108116439865</v>
      </c>
      <c r="X5" s="23">
        <f t="shared" si="12"/>
        <v>4.0207865415951026E-2</v>
      </c>
      <c r="Y5" s="23">
        <f t="shared" si="12"/>
        <v>6.4077156823886903E-3</v>
      </c>
      <c r="AA5" s="24">
        <f t="shared" si="10"/>
        <v>0.84903333773726164</v>
      </c>
      <c r="AB5" s="23">
        <f t="shared" si="11"/>
        <v>4.6615581098339715E-2</v>
      </c>
    </row>
    <row r="6" spans="1:28" x14ac:dyDescent="0.35">
      <c r="A6" t="s">
        <v>98</v>
      </c>
      <c r="B6">
        <v>997</v>
      </c>
      <c r="C6">
        <v>18290</v>
      </c>
      <c r="D6">
        <v>9108</v>
      </c>
      <c r="E6">
        <v>4263</v>
      </c>
      <c r="F6">
        <v>2156</v>
      </c>
      <c r="G6">
        <v>546</v>
      </c>
      <c r="H6">
        <f t="shared" si="2"/>
        <v>35360</v>
      </c>
      <c r="I6" s="6">
        <f t="shared" si="3"/>
        <v>2.8195701357466064E-2</v>
      </c>
      <c r="J6" s="6">
        <f t="shared" si="4"/>
        <v>0.51725113122171951</v>
      </c>
      <c r="K6" s="6">
        <f t="shared" si="5"/>
        <v>0.25757918552036196</v>
      </c>
      <c r="L6" s="6">
        <f t="shared" si="6"/>
        <v>0.12055995475113122</v>
      </c>
      <c r="M6" s="6">
        <f t="shared" si="7"/>
        <v>6.097285067873303E-2</v>
      </c>
      <c r="N6" s="6">
        <f t="shared" si="8"/>
        <v>1.5441176470588236E-2</v>
      </c>
      <c r="S6" t="s">
        <v>43</v>
      </c>
      <c r="T6" s="23">
        <f>I37</f>
        <v>3.9601256315717599E-2</v>
      </c>
      <c r="U6" s="23">
        <f t="shared" ref="U6:Y6" si="13">J37</f>
        <v>0.35559197050389185</v>
      </c>
      <c r="V6" s="23">
        <f t="shared" si="13"/>
        <v>0.32882698347671718</v>
      </c>
      <c r="W6" s="23">
        <f t="shared" si="13"/>
        <v>0.17765942919568484</v>
      </c>
      <c r="X6" s="23">
        <f t="shared" si="13"/>
        <v>8.7668988119623106E-2</v>
      </c>
      <c r="Y6" s="23">
        <f t="shared" si="13"/>
        <v>1.0651372388365424E-2</v>
      </c>
      <c r="AA6" s="24">
        <f t="shared" si="10"/>
        <v>0.72402021029632668</v>
      </c>
      <c r="AB6" s="23">
        <f t="shared" si="11"/>
        <v>9.8320360507988536E-2</v>
      </c>
    </row>
    <row r="7" spans="1:28" x14ac:dyDescent="0.35">
      <c r="S7" t="s">
        <v>42</v>
      </c>
      <c r="T7" s="23">
        <f>I46</f>
        <v>8.1049862029134306E-2</v>
      </c>
      <c r="U7" s="23">
        <f t="shared" ref="U7:Y7" si="14">J46</f>
        <v>0.50324071103125201</v>
      </c>
      <c r="V7" s="23">
        <f t="shared" si="14"/>
        <v>0.29820958737085285</v>
      </c>
      <c r="W7" s="23">
        <f t="shared" si="14"/>
        <v>7.732785728036963E-2</v>
      </c>
      <c r="X7" s="23">
        <f t="shared" si="14"/>
        <v>3.4524802669575819E-2</v>
      </c>
      <c r="Y7" s="23">
        <f t="shared" si="14"/>
        <v>5.6471796188153761E-3</v>
      </c>
      <c r="AA7" s="24">
        <f t="shared" si="10"/>
        <v>0.88250016043123924</v>
      </c>
      <c r="AB7" s="23">
        <f t="shared" si="11"/>
        <v>4.0171982288391195E-2</v>
      </c>
    </row>
    <row r="8" spans="1:28" x14ac:dyDescent="0.35">
      <c r="S8" t="s">
        <v>226</v>
      </c>
      <c r="T8" s="23">
        <f>I55</f>
        <v>1.7915522427095595E-2</v>
      </c>
      <c r="U8" s="23">
        <f t="shared" ref="U8:Y8" si="15">J55</f>
        <v>0.34248724990192231</v>
      </c>
      <c r="V8" s="23">
        <f t="shared" si="15"/>
        <v>0.40068000523080949</v>
      </c>
      <c r="W8" s="23">
        <f t="shared" si="15"/>
        <v>0.17627827906368509</v>
      </c>
      <c r="X8" s="23">
        <f t="shared" si="15"/>
        <v>6.2442788021446316E-2</v>
      </c>
      <c r="Y8" s="23">
        <f t="shared" si="15"/>
        <v>1.9615535504119262E-4</v>
      </c>
      <c r="AA8" s="24">
        <f t="shared" si="10"/>
        <v>0.76108277755982745</v>
      </c>
      <c r="AB8" s="23">
        <f t="shared" si="11"/>
        <v>6.263894337648751E-2</v>
      </c>
    </row>
    <row r="11" spans="1:28" x14ac:dyDescent="0.35">
      <c r="A11" t="s">
        <v>224</v>
      </c>
    </row>
    <row r="12" spans="1:28" x14ac:dyDescent="0.35">
      <c r="A12" t="s">
        <v>122</v>
      </c>
      <c r="B12" t="s">
        <v>227</v>
      </c>
      <c r="C12" t="s">
        <v>228</v>
      </c>
      <c r="D12" t="s">
        <v>229</v>
      </c>
      <c r="E12" t="s">
        <v>230</v>
      </c>
      <c r="F12" t="s">
        <v>231</v>
      </c>
      <c r="G12" t="s">
        <v>232</v>
      </c>
      <c r="H12" t="s">
        <v>196</v>
      </c>
      <c r="I12" t="s">
        <v>227</v>
      </c>
      <c r="J12" t="s">
        <v>228</v>
      </c>
      <c r="K12" t="s">
        <v>229</v>
      </c>
      <c r="L12" t="s">
        <v>230</v>
      </c>
      <c r="M12" t="s">
        <v>231</v>
      </c>
      <c r="N12" t="s">
        <v>232</v>
      </c>
    </row>
    <row r="13" spans="1:28" x14ac:dyDescent="0.35">
      <c r="A13" t="s">
        <v>133</v>
      </c>
      <c r="B13">
        <v>239</v>
      </c>
      <c r="C13">
        <v>3982</v>
      </c>
      <c r="D13">
        <v>3892</v>
      </c>
      <c r="E13">
        <v>1502</v>
      </c>
      <c r="F13">
        <v>1156</v>
      </c>
      <c r="G13">
        <v>40</v>
      </c>
      <c r="H13">
        <f>SUM(B13:G13)</f>
        <v>10811</v>
      </c>
      <c r="I13" s="6">
        <f>B13/$H13</f>
        <v>2.2107113125520304E-2</v>
      </c>
      <c r="J13" s="6">
        <f>C13/$H13</f>
        <v>0.36832855425030064</v>
      </c>
      <c r="K13" s="6">
        <f t="shared" ref="K13:K16" si="16">D13/$H13</f>
        <v>0.36000369993525111</v>
      </c>
      <c r="L13" s="6">
        <f t="shared" ref="L13:L16" si="17">E13/$H13</f>
        <v>0.13893256868004811</v>
      </c>
      <c r="M13" s="6">
        <f>F13/$H13</f>
        <v>0.10692812875774674</v>
      </c>
      <c r="N13" s="6">
        <f t="shared" ref="N13:N16" si="18">G13/$H13</f>
        <v>3.6999352511331053E-3</v>
      </c>
      <c r="S13" t="s">
        <v>133</v>
      </c>
    </row>
    <row r="14" spans="1:28" x14ac:dyDescent="0.35">
      <c r="A14" t="s">
        <v>131</v>
      </c>
      <c r="B14">
        <v>5369</v>
      </c>
      <c r="C14">
        <v>88242</v>
      </c>
      <c r="D14">
        <v>51486</v>
      </c>
      <c r="E14">
        <v>8650</v>
      </c>
      <c r="F14">
        <v>4972</v>
      </c>
      <c r="G14">
        <v>267</v>
      </c>
      <c r="H14">
        <f t="shared" ref="H14:H16" si="19">SUM(B14:G14)</f>
        <v>158986</v>
      </c>
      <c r="I14" s="6">
        <f t="shared" ref="I14:I16" si="20">B14/$H14</f>
        <v>3.3770269080296379E-2</v>
      </c>
      <c r="J14" s="6">
        <f t="shared" ref="J14:J16" si="21">C14/$H14</f>
        <v>0.55503000264174207</v>
      </c>
      <c r="K14" s="6">
        <f t="shared" si="16"/>
        <v>0.32383983495402113</v>
      </c>
      <c r="L14" s="6">
        <f t="shared" si="17"/>
        <v>5.44073063036997E-2</v>
      </c>
      <c r="M14" s="6">
        <f t="shared" ref="M14:M16" si="22">F14/$H14</f>
        <v>3.1273193866126578E-2</v>
      </c>
      <c r="N14" s="6">
        <f t="shared" si="18"/>
        <v>1.6793931541141988E-3</v>
      </c>
      <c r="T14" t="s">
        <v>227</v>
      </c>
      <c r="U14" t="s">
        <v>228</v>
      </c>
      <c r="V14" t="s">
        <v>229</v>
      </c>
      <c r="W14" t="s">
        <v>230</v>
      </c>
      <c r="X14" t="s">
        <v>231</v>
      </c>
      <c r="Y14" t="s">
        <v>232</v>
      </c>
      <c r="AA14" t="s">
        <v>234</v>
      </c>
      <c r="AB14" t="s">
        <v>235</v>
      </c>
    </row>
    <row r="15" spans="1:28" x14ac:dyDescent="0.35">
      <c r="A15" t="s">
        <v>132</v>
      </c>
      <c r="B15">
        <v>735</v>
      </c>
      <c r="C15">
        <v>6701</v>
      </c>
      <c r="D15">
        <v>5508</v>
      </c>
      <c r="E15">
        <v>2062</v>
      </c>
      <c r="F15">
        <v>1179</v>
      </c>
      <c r="G15">
        <v>189</v>
      </c>
      <c r="H15">
        <f t="shared" si="19"/>
        <v>16374</v>
      </c>
      <c r="I15" s="6">
        <f t="shared" si="20"/>
        <v>4.4888237449615245E-2</v>
      </c>
      <c r="J15" s="6">
        <f t="shared" si="21"/>
        <v>0.40924636619030169</v>
      </c>
      <c r="K15" s="6">
        <f t="shared" si="16"/>
        <v>0.33638695492854526</v>
      </c>
      <c r="L15" s="6">
        <f t="shared" si="17"/>
        <v>0.12593135458653965</v>
      </c>
      <c r="M15" s="6">
        <f>F15/$H15</f>
        <v>7.2004397215097105E-2</v>
      </c>
      <c r="N15" s="6">
        <f t="shared" si="18"/>
        <v>1.1542689629901062E-2</v>
      </c>
      <c r="S15" t="s">
        <v>223</v>
      </c>
      <c r="T15" s="23">
        <f>I3</f>
        <v>4.5855665638027177E-2</v>
      </c>
      <c r="U15" s="23">
        <f t="shared" ref="U15:Y15" si="23">J3</f>
        <v>0.58892317687185314</v>
      </c>
      <c r="V15" s="23">
        <f t="shared" si="23"/>
        <v>0.20004331113637594</v>
      </c>
      <c r="W15" s="23">
        <f t="shared" si="23"/>
        <v>0.1089816469059607</v>
      </c>
      <c r="X15" s="23">
        <f t="shared" si="23"/>
        <v>4.9753667911861837E-2</v>
      </c>
      <c r="Y15" s="23">
        <f t="shared" si="23"/>
        <v>6.4425315359211734E-3</v>
      </c>
      <c r="AA15" s="24">
        <f>SUM(T15:V15)</f>
        <v>0.83482215364625634</v>
      </c>
      <c r="AB15" s="23">
        <f>SUM(X15:Y15)</f>
        <v>5.6196199447783007E-2</v>
      </c>
    </row>
    <row r="16" spans="1:28" x14ac:dyDescent="0.35">
      <c r="A16" t="s">
        <v>98</v>
      </c>
      <c r="B16">
        <v>6343</v>
      </c>
      <c r="C16">
        <v>98925</v>
      </c>
      <c r="D16">
        <v>60886</v>
      </c>
      <c r="E16">
        <v>12214</v>
      </c>
      <c r="F16">
        <v>7307</v>
      </c>
      <c r="G16">
        <v>496</v>
      </c>
      <c r="H16">
        <f t="shared" si="19"/>
        <v>186171</v>
      </c>
      <c r="I16" s="6">
        <f t="shared" si="20"/>
        <v>3.4070827357644315E-2</v>
      </c>
      <c r="J16" s="6">
        <f t="shared" si="21"/>
        <v>0.5313663245081135</v>
      </c>
      <c r="K16" s="6">
        <f t="shared" si="16"/>
        <v>0.32704341707355067</v>
      </c>
      <c r="L16" s="6">
        <f t="shared" si="17"/>
        <v>6.5606351150286568E-2</v>
      </c>
      <c r="M16" s="6">
        <f t="shared" si="22"/>
        <v>3.9248862604809559E-2</v>
      </c>
      <c r="N16" s="6">
        <f t="shared" si="18"/>
        <v>2.6642173055953936E-3</v>
      </c>
      <c r="S16" t="s">
        <v>224</v>
      </c>
      <c r="T16" s="23">
        <f>I13</f>
        <v>2.2107113125520304E-2</v>
      </c>
      <c r="U16" s="23">
        <f t="shared" ref="U16:Y16" si="24">J13</f>
        <v>0.36832855425030064</v>
      </c>
      <c r="V16" s="23">
        <f t="shared" si="24"/>
        <v>0.36000369993525111</v>
      </c>
      <c r="W16" s="23">
        <f t="shared" si="24"/>
        <v>0.13893256868004811</v>
      </c>
      <c r="X16" s="23">
        <f t="shared" si="24"/>
        <v>0.10692812875774674</v>
      </c>
      <c r="Y16" s="23">
        <f t="shared" si="24"/>
        <v>3.6999352511331053E-3</v>
      </c>
      <c r="AA16" s="24">
        <f t="shared" ref="AA16:AA20" si="25">SUM(T16:V16)</f>
        <v>0.75043936731107208</v>
      </c>
      <c r="AB16" s="23">
        <f t="shared" ref="AB16:AB20" si="26">SUM(X16:Y16)</f>
        <v>0.11062806400887984</v>
      </c>
    </row>
    <row r="17" spans="1:28" x14ac:dyDescent="0.35">
      <c r="S17" t="s">
        <v>225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AA17" s="24">
        <f t="shared" si="25"/>
        <v>0</v>
      </c>
      <c r="AB17" s="23">
        <f t="shared" si="26"/>
        <v>0</v>
      </c>
    </row>
    <row r="18" spans="1:28" x14ac:dyDescent="0.35">
      <c r="S18" t="s">
        <v>43</v>
      </c>
      <c r="T18" s="23">
        <f>I34</f>
        <v>4.9419853889127632E-2</v>
      </c>
      <c r="U18" s="23">
        <f t="shared" ref="U18:Y18" si="27">J34</f>
        <v>0.26987537602062744</v>
      </c>
      <c r="V18" s="23">
        <f t="shared" si="27"/>
        <v>0.30339492909325311</v>
      </c>
      <c r="W18" s="23">
        <f t="shared" si="27"/>
        <v>0.23248818220885259</v>
      </c>
      <c r="X18" s="23">
        <f t="shared" si="27"/>
        <v>0.14396218306832831</v>
      </c>
      <c r="Y18" s="23">
        <f t="shared" si="27"/>
        <v>8.5947571981091536E-4</v>
      </c>
      <c r="AA18" s="24">
        <f t="shared" si="25"/>
        <v>0.62269015900300817</v>
      </c>
      <c r="AB18" s="23">
        <f t="shared" si="26"/>
        <v>0.14482165878813921</v>
      </c>
    </row>
    <row r="19" spans="1:28" x14ac:dyDescent="0.35">
      <c r="S19" t="s">
        <v>42</v>
      </c>
      <c r="T19" s="23">
        <f>I43</f>
        <v>0.18644507920020773</v>
      </c>
      <c r="U19" s="23">
        <f t="shared" ref="U19:Y19" si="28">J43</f>
        <v>0.48039470267462997</v>
      </c>
      <c r="V19" s="23">
        <f t="shared" si="28"/>
        <v>0.23734095040249287</v>
      </c>
      <c r="W19" s="23">
        <f t="shared" si="28"/>
        <v>5.8166709945468707E-2</v>
      </c>
      <c r="X19" s="23">
        <f t="shared" si="28"/>
        <v>3.7392884964944167E-2</v>
      </c>
      <c r="Y19" s="23">
        <f t="shared" si="28"/>
        <v>2.5967281225655674E-4</v>
      </c>
      <c r="AA19" s="24">
        <f t="shared" si="25"/>
        <v>0.90418073227733053</v>
      </c>
      <c r="AB19" s="23">
        <f t="shared" si="26"/>
        <v>3.7652557777200724E-2</v>
      </c>
    </row>
    <row r="20" spans="1:28" x14ac:dyDescent="0.35">
      <c r="S20" t="s">
        <v>226</v>
      </c>
      <c r="T20" s="23">
        <f>I52</f>
        <v>4.7921408889421349E-4</v>
      </c>
      <c r="U20" s="23">
        <f t="shared" ref="U20:Y20" si="29">J52</f>
        <v>0.2024679525578052</v>
      </c>
      <c r="V20" s="23">
        <f t="shared" si="29"/>
        <v>0.40110219240445671</v>
      </c>
      <c r="W20" s="23">
        <f t="shared" si="29"/>
        <v>0.2893255061698814</v>
      </c>
      <c r="X20" s="23">
        <f t="shared" si="29"/>
        <v>0.10650533125673894</v>
      </c>
      <c r="Y20" s="23">
        <f t="shared" si="29"/>
        <v>1.1980352222355337E-4</v>
      </c>
      <c r="AA20" s="24">
        <f t="shared" si="25"/>
        <v>0.60404935905115609</v>
      </c>
      <c r="AB20" s="23">
        <f t="shared" si="26"/>
        <v>0.1066251347789625</v>
      </c>
    </row>
    <row r="21" spans="1:28" x14ac:dyDescent="0.35">
      <c r="A21" t="s">
        <v>233</v>
      </c>
    </row>
    <row r="23" spans="1:28" x14ac:dyDescent="0.35">
      <c r="A23" t="s">
        <v>122</v>
      </c>
      <c r="B23" t="s">
        <v>227</v>
      </c>
      <c r="C23" t="s">
        <v>228</v>
      </c>
      <c r="D23" t="s">
        <v>229</v>
      </c>
      <c r="E23" t="s">
        <v>230</v>
      </c>
      <c r="F23" t="s">
        <v>231</v>
      </c>
      <c r="G23" t="s">
        <v>232</v>
      </c>
      <c r="H23" t="s">
        <v>196</v>
      </c>
      <c r="I23" t="s">
        <v>227</v>
      </c>
      <c r="J23" t="s">
        <v>228</v>
      </c>
      <c r="K23" t="s">
        <v>229</v>
      </c>
      <c r="L23" t="s">
        <v>230</v>
      </c>
      <c r="M23" t="s">
        <v>231</v>
      </c>
      <c r="N23" t="s">
        <v>232</v>
      </c>
    </row>
    <row r="24" spans="1:28" x14ac:dyDescent="0.35">
      <c r="A24" t="s">
        <v>133</v>
      </c>
      <c r="I24" s="6" t="e">
        <f>B24/$H24</f>
        <v>#DIV/0!</v>
      </c>
      <c r="J24" s="6" t="e">
        <f>C24/$H24</f>
        <v>#DIV/0!</v>
      </c>
      <c r="K24" s="6" t="e">
        <f t="shared" ref="K24:K27" si="30">D24/$H24</f>
        <v>#DIV/0!</v>
      </c>
      <c r="L24" s="6" t="e">
        <f t="shared" ref="L24:L27" si="31">E24/$H24</f>
        <v>#DIV/0!</v>
      </c>
      <c r="M24" s="6" t="e">
        <f>F24/$H24</f>
        <v>#DIV/0!</v>
      </c>
      <c r="N24" s="6" t="e">
        <f t="shared" ref="N24:N27" si="32">G24/$H24</f>
        <v>#DIV/0!</v>
      </c>
    </row>
    <row r="25" spans="1:28" x14ac:dyDescent="0.35">
      <c r="A25" t="s">
        <v>131</v>
      </c>
      <c r="B25">
        <v>1147</v>
      </c>
      <c r="C25">
        <v>19361</v>
      </c>
      <c r="D25">
        <v>16415</v>
      </c>
      <c r="E25">
        <v>4415</v>
      </c>
      <c r="F25">
        <v>1763</v>
      </c>
      <c r="G25">
        <v>282</v>
      </c>
      <c r="H25">
        <f t="shared" ref="H25:H26" si="33">SUM(B25:G25)</f>
        <v>43383</v>
      </c>
      <c r="I25" s="6">
        <f t="shared" ref="I25:I27" si="34">B25/$H25</f>
        <v>2.643892769057004E-2</v>
      </c>
      <c r="J25" s="6">
        <f t="shared" ref="J25:J26" si="35">C25/$H25</f>
        <v>0.44628080123550701</v>
      </c>
      <c r="K25" s="6">
        <f t="shared" si="30"/>
        <v>0.37837401747228178</v>
      </c>
      <c r="L25" s="6">
        <f t="shared" si="31"/>
        <v>0.10176797363022382</v>
      </c>
      <c r="M25" s="6">
        <f t="shared" ref="M25" si="36">F25/$H25</f>
        <v>4.0638037941129017E-2</v>
      </c>
      <c r="N25" s="6">
        <f t="shared" si="32"/>
        <v>6.5002420302883619E-3</v>
      </c>
      <c r="S25" t="s">
        <v>131</v>
      </c>
    </row>
    <row r="26" spans="1:28" x14ac:dyDescent="0.35">
      <c r="A26" t="s">
        <v>132</v>
      </c>
      <c r="B26">
        <v>58</v>
      </c>
      <c r="C26">
        <v>765</v>
      </c>
      <c r="D26">
        <v>812</v>
      </c>
      <c r="E26">
        <v>324</v>
      </c>
      <c r="F26">
        <v>63</v>
      </c>
      <c r="G26">
        <v>9</v>
      </c>
      <c r="H26">
        <f t="shared" si="33"/>
        <v>2031</v>
      </c>
      <c r="I26" s="6">
        <f t="shared" si="34"/>
        <v>2.8557360905957656E-2</v>
      </c>
      <c r="J26" s="6">
        <f t="shared" si="35"/>
        <v>0.37666174298375182</v>
      </c>
      <c r="K26" s="6">
        <f t="shared" si="30"/>
        <v>0.39980305268340721</v>
      </c>
      <c r="L26" s="6">
        <f t="shared" si="31"/>
        <v>0.15952732644017725</v>
      </c>
      <c r="M26" s="6">
        <f>F26/$H26</f>
        <v>3.10192023633678E-2</v>
      </c>
      <c r="N26" s="6">
        <f t="shared" si="32"/>
        <v>4.4313146233382573E-3</v>
      </c>
      <c r="T26" t="s">
        <v>227</v>
      </c>
      <c r="U26" t="s">
        <v>228</v>
      </c>
      <c r="V26" t="s">
        <v>229</v>
      </c>
      <c r="W26" t="s">
        <v>230</v>
      </c>
      <c r="X26" t="s">
        <v>231</v>
      </c>
      <c r="Y26" t="s">
        <v>232</v>
      </c>
      <c r="AA26" t="s">
        <v>234</v>
      </c>
      <c r="AB26" t="s">
        <v>235</v>
      </c>
    </row>
    <row r="27" spans="1:28" x14ac:dyDescent="0.35">
      <c r="A27" t="s">
        <v>98</v>
      </c>
      <c r="B27">
        <v>1205</v>
      </c>
      <c r="C27">
        <v>20126</v>
      </c>
      <c r="D27">
        <v>17227</v>
      </c>
      <c r="E27">
        <v>4739</v>
      </c>
      <c r="F27">
        <v>1826</v>
      </c>
      <c r="G27">
        <v>291</v>
      </c>
      <c r="H27">
        <f>SUM(B27:G27)</f>
        <v>45414</v>
      </c>
      <c r="I27" s="6">
        <f t="shared" si="34"/>
        <v>2.6533668031884439E-2</v>
      </c>
      <c r="J27" s="6">
        <f>C27/$H27</f>
        <v>0.44316730523627074</v>
      </c>
      <c r="K27" s="6">
        <f t="shared" si="30"/>
        <v>0.37933236446910645</v>
      </c>
      <c r="L27" s="6">
        <f t="shared" si="31"/>
        <v>0.10435108116439865</v>
      </c>
      <c r="M27" s="6">
        <f t="shared" ref="M27" si="37">F27/$H27</f>
        <v>4.0207865415951026E-2</v>
      </c>
      <c r="N27" s="6">
        <f t="shared" si="32"/>
        <v>6.4077156823886903E-3</v>
      </c>
      <c r="S27" t="s">
        <v>223</v>
      </c>
      <c r="T27" s="23">
        <f>I4</f>
        <v>6.4147696158961117E-3</v>
      </c>
      <c r="U27" s="23">
        <f t="shared" ref="U27:Y27" si="38">J4</f>
        <v>0.4552921849331143</v>
      </c>
      <c r="V27" s="23">
        <f t="shared" si="38"/>
        <v>0.30282406320894939</v>
      </c>
      <c r="W27" s="23">
        <f t="shared" si="38"/>
        <v>0.13228506610341861</v>
      </c>
      <c r="X27" s="23">
        <f t="shared" si="38"/>
        <v>7.7915982163811306E-2</v>
      </c>
      <c r="Y27" s="23">
        <f t="shared" si="38"/>
        <v>2.5267933974810294E-2</v>
      </c>
      <c r="AA27" s="24">
        <f>SUM(T27:V27)</f>
        <v>0.76453101775795984</v>
      </c>
      <c r="AB27" s="23">
        <f>SUM(X27:Y27)</f>
        <v>0.1031839161386216</v>
      </c>
    </row>
    <row r="28" spans="1:28" x14ac:dyDescent="0.35">
      <c r="S28" t="s">
        <v>224</v>
      </c>
      <c r="T28" s="23">
        <f>I14</f>
        <v>3.3770269080296379E-2</v>
      </c>
      <c r="U28" s="23">
        <f t="shared" ref="U28:Y28" si="39">J14</f>
        <v>0.55503000264174207</v>
      </c>
      <c r="V28" s="23">
        <f t="shared" si="39"/>
        <v>0.32383983495402113</v>
      </c>
      <c r="W28" s="23">
        <f t="shared" si="39"/>
        <v>5.44073063036997E-2</v>
      </c>
      <c r="X28" s="23">
        <f t="shared" si="39"/>
        <v>3.1273193866126578E-2</v>
      </c>
      <c r="Y28" s="23">
        <f t="shared" si="39"/>
        <v>1.6793931541141988E-3</v>
      </c>
      <c r="AA28" s="24">
        <f t="shared" ref="AA28:AA32" si="40">SUM(T28:V28)</f>
        <v>0.91264010667605955</v>
      </c>
      <c r="AB28" s="23">
        <f t="shared" ref="AB28:AB32" si="41">SUM(X28:Y28)</f>
        <v>3.295258702024078E-2</v>
      </c>
    </row>
    <row r="29" spans="1:28" x14ac:dyDescent="0.35">
      <c r="S29" t="s">
        <v>225</v>
      </c>
      <c r="T29" s="23">
        <f>I25</f>
        <v>2.643892769057004E-2</v>
      </c>
      <c r="U29" s="23">
        <f t="shared" ref="U29:Y29" si="42">J25</f>
        <v>0.44628080123550701</v>
      </c>
      <c r="V29" s="23">
        <f t="shared" si="42"/>
        <v>0.37837401747228178</v>
      </c>
      <c r="W29" s="23">
        <f t="shared" si="42"/>
        <v>0.10176797363022382</v>
      </c>
      <c r="X29" s="23">
        <f t="shared" si="42"/>
        <v>4.0638037941129017E-2</v>
      </c>
      <c r="Y29" s="23">
        <f t="shared" si="42"/>
        <v>6.5002420302883619E-3</v>
      </c>
      <c r="AA29" s="24">
        <f t="shared" si="40"/>
        <v>0.85109374639835877</v>
      </c>
      <c r="AB29" s="23">
        <f t="shared" si="41"/>
        <v>4.7138279971417382E-2</v>
      </c>
    </row>
    <row r="30" spans="1:28" x14ac:dyDescent="0.35">
      <c r="S30" t="s">
        <v>43</v>
      </c>
      <c r="T30" s="23">
        <f>I35</f>
        <v>3.6471168063085264E-2</v>
      </c>
      <c r="U30" s="23">
        <f t="shared" ref="U30:Y30" si="43">J35</f>
        <v>0.38319369147363236</v>
      </c>
      <c r="V30" s="23">
        <f t="shared" si="43"/>
        <v>0.32897979300147856</v>
      </c>
      <c r="W30" s="23">
        <f t="shared" si="43"/>
        <v>0.16781665845243962</v>
      </c>
      <c r="X30" s="23">
        <f t="shared" si="43"/>
        <v>6.6042385411532775E-2</v>
      </c>
      <c r="Y30" s="23">
        <f t="shared" si="43"/>
        <v>1.7496303597831445E-2</v>
      </c>
      <c r="AA30" s="24">
        <f t="shared" si="40"/>
        <v>0.74864465253819623</v>
      </c>
      <c r="AB30" s="23">
        <f t="shared" si="41"/>
        <v>8.3538689009364217E-2</v>
      </c>
    </row>
    <row r="31" spans="1:28" x14ac:dyDescent="0.35">
      <c r="A31" t="s">
        <v>43</v>
      </c>
      <c r="S31" t="s">
        <v>42</v>
      </c>
      <c r="T31" s="23">
        <f>I44</f>
        <v>4.8932384341637013E-2</v>
      </c>
      <c r="U31" s="23">
        <f t="shared" ref="U31:Y31" si="44">J44</f>
        <v>0.47305541433655313</v>
      </c>
      <c r="V31" s="23">
        <f t="shared" si="44"/>
        <v>0.33934926283680733</v>
      </c>
      <c r="W31" s="23">
        <f t="shared" si="44"/>
        <v>9.36705643111337E-2</v>
      </c>
      <c r="X31" s="23">
        <f t="shared" si="44"/>
        <v>3.9527198779867816E-2</v>
      </c>
      <c r="Y31" s="23">
        <f t="shared" si="44"/>
        <v>5.4651753940010168E-3</v>
      </c>
      <c r="AA31" s="24">
        <f t="shared" si="40"/>
        <v>0.86133706151499745</v>
      </c>
      <c r="AB31" s="23">
        <f t="shared" si="41"/>
        <v>4.4992374173868831E-2</v>
      </c>
    </row>
    <row r="32" spans="1:28" x14ac:dyDescent="0.35">
      <c r="S32" t="s">
        <v>226</v>
      </c>
      <c r="T32" s="23">
        <f>I53</f>
        <v>3.2399907428835917E-2</v>
      </c>
      <c r="U32" s="23">
        <f t="shared" ref="U32:Y32" si="45">J53</f>
        <v>0.58250404998842864</v>
      </c>
      <c r="V32" s="23">
        <f t="shared" si="45"/>
        <v>0.32677620921083084</v>
      </c>
      <c r="W32" s="23">
        <f t="shared" si="45"/>
        <v>4.2582735477898634E-2</v>
      </c>
      <c r="X32" s="23">
        <f t="shared" si="45"/>
        <v>1.5274242073594076E-2</v>
      </c>
      <c r="Y32" s="23">
        <f t="shared" si="45"/>
        <v>4.628558204119417E-4</v>
      </c>
      <c r="AA32" s="24">
        <f t="shared" si="40"/>
        <v>0.94168016662809539</v>
      </c>
      <c r="AB32" s="23">
        <f t="shared" si="41"/>
        <v>1.5737097894006017E-2</v>
      </c>
    </row>
    <row r="33" spans="1:28" x14ac:dyDescent="0.35">
      <c r="A33" t="s">
        <v>122</v>
      </c>
      <c r="B33" t="s">
        <v>227</v>
      </c>
      <c r="C33" t="s">
        <v>228</v>
      </c>
      <c r="D33" t="s">
        <v>229</v>
      </c>
      <c r="E33" t="s">
        <v>230</v>
      </c>
      <c r="F33" t="s">
        <v>231</v>
      </c>
      <c r="G33" t="s">
        <v>232</v>
      </c>
      <c r="H33" t="s">
        <v>196</v>
      </c>
      <c r="I33" t="s">
        <v>227</v>
      </c>
      <c r="J33" t="s">
        <v>228</v>
      </c>
      <c r="K33" t="s">
        <v>229</v>
      </c>
      <c r="L33" t="s">
        <v>230</v>
      </c>
      <c r="M33" t="s">
        <v>231</v>
      </c>
      <c r="N33" t="s">
        <v>232</v>
      </c>
    </row>
    <row r="34" spans="1:28" x14ac:dyDescent="0.35">
      <c r="A34" t="s">
        <v>133</v>
      </c>
      <c r="B34">
        <v>115</v>
      </c>
      <c r="C34">
        <v>628</v>
      </c>
      <c r="D34">
        <v>706</v>
      </c>
      <c r="E34">
        <v>541</v>
      </c>
      <c r="F34">
        <v>335</v>
      </c>
      <c r="G34">
        <v>2</v>
      </c>
      <c r="H34">
        <f>SUM(B34:G34)</f>
        <v>2327</v>
      </c>
      <c r="I34" s="6">
        <f>B34/$H34</f>
        <v>4.9419853889127632E-2</v>
      </c>
      <c r="J34" s="6">
        <f>C34/$H34</f>
        <v>0.26987537602062744</v>
      </c>
      <c r="K34" s="6">
        <f t="shared" ref="K34:K37" si="46">D34/$H34</f>
        <v>0.30339492909325311</v>
      </c>
      <c r="L34" s="6">
        <f t="shared" ref="L34:L37" si="47">E34/$H34</f>
        <v>0.23248818220885259</v>
      </c>
      <c r="M34" s="6">
        <f>F34/$H34</f>
        <v>0.14396218306832831</v>
      </c>
      <c r="N34" s="6">
        <f t="shared" ref="N34:N37" si="48">G34/$H34</f>
        <v>8.5947571981091536E-4</v>
      </c>
    </row>
    <row r="35" spans="1:28" x14ac:dyDescent="0.35">
      <c r="A35" t="s">
        <v>131</v>
      </c>
      <c r="B35">
        <v>148</v>
      </c>
      <c r="C35">
        <v>1555</v>
      </c>
      <c r="D35">
        <v>1335</v>
      </c>
      <c r="E35">
        <v>681</v>
      </c>
      <c r="F35">
        <v>268</v>
      </c>
      <c r="G35">
        <v>71</v>
      </c>
      <c r="H35">
        <f t="shared" ref="H35:H37" si="49">SUM(B35:G35)</f>
        <v>4058</v>
      </c>
      <c r="I35" s="6">
        <f t="shared" ref="I35:I37" si="50">B35/$H35</f>
        <v>3.6471168063085264E-2</v>
      </c>
      <c r="J35" s="6">
        <f t="shared" ref="J35:J37" si="51">C35/$H35</f>
        <v>0.38319369147363236</v>
      </c>
      <c r="K35" s="6">
        <f t="shared" si="46"/>
        <v>0.32897979300147856</v>
      </c>
      <c r="L35" s="6">
        <f t="shared" si="47"/>
        <v>0.16781665845243962</v>
      </c>
      <c r="M35" s="6">
        <f t="shared" ref="M35" si="52">F35/$H35</f>
        <v>6.6042385411532775E-2</v>
      </c>
      <c r="N35" s="6">
        <f t="shared" si="48"/>
        <v>1.7496303597831445E-2</v>
      </c>
    </row>
    <row r="36" spans="1:28" x14ac:dyDescent="0.35">
      <c r="A36" t="s">
        <v>132</v>
      </c>
      <c r="B36">
        <v>27</v>
      </c>
      <c r="C36">
        <v>421</v>
      </c>
      <c r="D36">
        <v>367</v>
      </c>
      <c r="E36">
        <v>79</v>
      </c>
      <c r="F36">
        <v>39</v>
      </c>
      <c r="G36">
        <v>5</v>
      </c>
      <c r="H36">
        <f t="shared" si="49"/>
        <v>938</v>
      </c>
      <c r="I36" s="6">
        <f t="shared" si="50"/>
        <v>2.8784648187633263E-2</v>
      </c>
      <c r="J36" s="6">
        <f t="shared" si="51"/>
        <v>0.44882729211087419</v>
      </c>
      <c r="K36" s="6">
        <f t="shared" si="46"/>
        <v>0.39125799573560766</v>
      </c>
      <c r="L36" s="6">
        <f>E36/$H36</f>
        <v>8.4221748400852878E-2</v>
      </c>
      <c r="M36" s="6">
        <f>F36/$H36</f>
        <v>4.1577825159914712E-2</v>
      </c>
      <c r="N36" s="6">
        <f t="shared" si="48"/>
        <v>5.3304904051172707E-3</v>
      </c>
      <c r="S36" t="s">
        <v>132</v>
      </c>
    </row>
    <row r="37" spans="1:28" x14ac:dyDescent="0.35">
      <c r="A37" t="s">
        <v>98</v>
      </c>
      <c r="B37">
        <v>290</v>
      </c>
      <c r="C37">
        <v>2604</v>
      </c>
      <c r="D37">
        <v>2408</v>
      </c>
      <c r="E37">
        <v>1301</v>
      </c>
      <c r="F37">
        <v>642</v>
      </c>
      <c r="G37">
        <v>78</v>
      </c>
      <c r="H37">
        <f t="shared" si="49"/>
        <v>7323</v>
      </c>
      <c r="I37" s="6">
        <f t="shared" si="50"/>
        <v>3.9601256315717599E-2</v>
      </c>
      <c r="J37" s="6">
        <f t="shared" si="51"/>
        <v>0.35559197050389185</v>
      </c>
      <c r="K37" s="6">
        <f t="shared" si="46"/>
        <v>0.32882698347671718</v>
      </c>
      <c r="L37" s="6">
        <f t="shared" si="47"/>
        <v>0.17765942919568484</v>
      </c>
      <c r="M37" s="6">
        <f t="shared" ref="M37" si="53">F37/$H37</f>
        <v>8.7668988119623106E-2</v>
      </c>
      <c r="N37" s="6">
        <f t="shared" si="48"/>
        <v>1.0651372388365424E-2</v>
      </c>
      <c r="T37" t="s">
        <v>227</v>
      </c>
      <c r="U37" t="s">
        <v>228</v>
      </c>
      <c r="V37" t="s">
        <v>229</v>
      </c>
      <c r="W37" t="s">
        <v>230</v>
      </c>
      <c r="X37" t="s">
        <v>231</v>
      </c>
      <c r="Y37" t="s">
        <v>232</v>
      </c>
      <c r="AA37" t="s">
        <v>234</v>
      </c>
      <c r="AB37" t="s">
        <v>235</v>
      </c>
    </row>
    <row r="38" spans="1:28" x14ac:dyDescent="0.35">
      <c r="S38" t="s">
        <v>223</v>
      </c>
      <c r="T38" s="23">
        <f>I5</f>
        <v>1.6561130053580127E-2</v>
      </c>
      <c r="U38" s="23">
        <f t="shared" ref="U38:Y38" si="54">J5</f>
        <v>0.38772528007793472</v>
      </c>
      <c r="V38" s="23">
        <f t="shared" si="54"/>
        <v>0.37554797856794936</v>
      </c>
      <c r="W38" s="23">
        <f t="shared" si="54"/>
        <v>0.13614223088163663</v>
      </c>
      <c r="X38" s="23">
        <f t="shared" si="54"/>
        <v>5.8694593278129564E-2</v>
      </c>
      <c r="Y38" s="23">
        <f t="shared" si="54"/>
        <v>2.5328787140769606E-2</v>
      </c>
      <c r="AA38" s="24">
        <f>SUM(T38:V38)</f>
        <v>0.7798343886994642</v>
      </c>
      <c r="AB38" s="23">
        <f>SUM(X38:Y38)</f>
        <v>8.4023380418899174E-2</v>
      </c>
    </row>
    <row r="39" spans="1:28" x14ac:dyDescent="0.35">
      <c r="S39" t="s">
        <v>224</v>
      </c>
      <c r="T39" s="23">
        <f>I36</f>
        <v>2.8784648187633263E-2</v>
      </c>
      <c r="U39" s="23">
        <f t="shared" ref="U39:Y39" si="55">J36</f>
        <v>0.44882729211087419</v>
      </c>
      <c r="V39" s="23">
        <f t="shared" si="55"/>
        <v>0.39125799573560766</v>
      </c>
      <c r="W39" s="23">
        <f t="shared" si="55"/>
        <v>8.4221748400852878E-2</v>
      </c>
      <c r="X39" s="23">
        <f t="shared" si="55"/>
        <v>4.1577825159914712E-2</v>
      </c>
      <c r="Y39" s="23">
        <f t="shared" si="55"/>
        <v>5.3304904051172707E-3</v>
      </c>
      <c r="AA39" s="24">
        <f t="shared" ref="AA39:AA43" si="56">SUM(T39:V39)</f>
        <v>0.86886993603411511</v>
      </c>
      <c r="AB39" s="23">
        <f t="shared" ref="AB39:AB43" si="57">SUM(X39:Y39)</f>
        <v>4.6908315565031986E-2</v>
      </c>
    </row>
    <row r="40" spans="1:28" x14ac:dyDescent="0.35">
      <c r="A40" t="s">
        <v>42</v>
      </c>
      <c r="S40" t="s">
        <v>225</v>
      </c>
      <c r="T40" s="23">
        <f>I26</f>
        <v>2.8557360905957656E-2</v>
      </c>
      <c r="U40" s="23">
        <f t="shared" ref="U40:Y40" si="58">J26</f>
        <v>0.37666174298375182</v>
      </c>
      <c r="V40" s="23">
        <f t="shared" si="58"/>
        <v>0.39980305268340721</v>
      </c>
      <c r="W40" s="23">
        <f t="shared" si="58"/>
        <v>0.15952732644017725</v>
      </c>
      <c r="X40" s="23">
        <f t="shared" si="58"/>
        <v>3.10192023633678E-2</v>
      </c>
      <c r="Y40" s="23">
        <f t="shared" si="58"/>
        <v>4.4313146233382573E-3</v>
      </c>
      <c r="AA40" s="24">
        <f t="shared" si="56"/>
        <v>0.80502215657311671</v>
      </c>
      <c r="AB40" s="23">
        <f t="shared" si="57"/>
        <v>3.5450516986706058E-2</v>
      </c>
    </row>
    <row r="41" spans="1:28" x14ac:dyDescent="0.35">
      <c r="S41" t="s">
        <v>43</v>
      </c>
      <c r="T41" s="23">
        <f>I36</f>
        <v>2.8784648187633263E-2</v>
      </c>
      <c r="U41" s="23">
        <f t="shared" ref="U41:Y41" si="59">J36</f>
        <v>0.44882729211087419</v>
      </c>
      <c r="V41" s="23">
        <f t="shared" si="59"/>
        <v>0.39125799573560766</v>
      </c>
      <c r="W41" s="23">
        <f t="shared" si="59"/>
        <v>8.4221748400852878E-2</v>
      </c>
      <c r="X41" s="23">
        <f t="shared" si="59"/>
        <v>4.1577825159914712E-2</v>
      </c>
      <c r="Y41" s="23">
        <f t="shared" si="59"/>
        <v>5.3304904051172707E-3</v>
      </c>
      <c r="AA41" s="24">
        <f t="shared" si="56"/>
        <v>0.86886993603411511</v>
      </c>
      <c r="AB41" s="23">
        <f t="shared" si="57"/>
        <v>4.6908315565031986E-2</v>
      </c>
    </row>
    <row r="42" spans="1:28" x14ac:dyDescent="0.35">
      <c r="A42" t="s">
        <v>122</v>
      </c>
      <c r="B42" t="s">
        <v>227</v>
      </c>
      <c r="C42" t="s">
        <v>228</v>
      </c>
      <c r="D42" t="s">
        <v>229</v>
      </c>
      <c r="E42" t="s">
        <v>230</v>
      </c>
      <c r="F42" t="s">
        <v>231</v>
      </c>
      <c r="G42" t="s">
        <v>232</v>
      </c>
      <c r="H42" t="s">
        <v>196</v>
      </c>
      <c r="I42" t="s">
        <v>227</v>
      </c>
      <c r="J42" t="s">
        <v>228</v>
      </c>
      <c r="K42" t="s">
        <v>229</v>
      </c>
      <c r="L42" t="s">
        <v>230</v>
      </c>
      <c r="M42" t="s">
        <v>231</v>
      </c>
      <c r="N42" t="s">
        <v>232</v>
      </c>
      <c r="S42" t="s">
        <v>42</v>
      </c>
      <c r="T42" s="23">
        <f>I45</f>
        <v>4.1407867494824016E-2</v>
      </c>
      <c r="U42" s="23">
        <f t="shared" ref="U42:Y42" si="60">J45</f>
        <v>0.58747412008281574</v>
      </c>
      <c r="V42" s="23">
        <f t="shared" si="60"/>
        <v>0.27510351966873708</v>
      </c>
      <c r="W42" s="23">
        <f t="shared" si="60"/>
        <v>6.3146997929606624E-2</v>
      </c>
      <c r="X42" s="23">
        <f t="shared" si="60"/>
        <v>2.148033126293996E-2</v>
      </c>
      <c r="Y42" s="23">
        <f t="shared" si="60"/>
        <v>1.1387163561076604E-2</v>
      </c>
      <c r="AA42" s="24">
        <f t="shared" si="56"/>
        <v>0.90398550724637694</v>
      </c>
      <c r="AB42" s="23">
        <f t="shared" si="57"/>
        <v>3.286749482401656E-2</v>
      </c>
    </row>
    <row r="43" spans="1:28" x14ac:dyDescent="0.35">
      <c r="A43" t="s">
        <v>133</v>
      </c>
      <c r="B43">
        <v>718</v>
      </c>
      <c r="C43">
        <v>1850</v>
      </c>
      <c r="D43">
        <v>914</v>
      </c>
      <c r="E43">
        <v>224</v>
      </c>
      <c r="F43">
        <v>144</v>
      </c>
      <c r="G43">
        <v>1</v>
      </c>
      <c r="H43">
        <f>SUM(B43:G43)</f>
        <v>3851</v>
      </c>
      <c r="I43" s="6">
        <f>B43/$H43</f>
        <v>0.18644507920020773</v>
      </c>
      <c r="J43" s="6">
        <f>C43/$H43</f>
        <v>0.48039470267462997</v>
      </c>
      <c r="K43" s="6">
        <f t="shared" ref="K43:K46" si="61">D43/$H43</f>
        <v>0.23734095040249287</v>
      </c>
      <c r="L43" s="6">
        <f t="shared" ref="L43:L44" si="62">E43/$H43</f>
        <v>5.8166709945468707E-2</v>
      </c>
      <c r="M43" s="6">
        <f>F43/$H43</f>
        <v>3.7392884964944167E-2</v>
      </c>
      <c r="N43" s="6">
        <f t="shared" ref="N43:N46" si="63">G43/$H43</f>
        <v>2.5967281225655674E-4</v>
      </c>
      <c r="S43" t="s">
        <v>226</v>
      </c>
      <c r="T43" s="23">
        <f>I54</f>
        <v>4.9504950495049507E-2</v>
      </c>
      <c r="U43" s="23">
        <f t="shared" ref="U43:Y43" si="64">J54</f>
        <v>0.39261233815689262</v>
      </c>
      <c r="V43" s="23">
        <f t="shared" si="64"/>
        <v>0.52094440213252091</v>
      </c>
      <c r="W43" s="23">
        <f t="shared" si="64"/>
        <v>3.6938309215536938E-2</v>
      </c>
      <c r="X43" s="23">
        <f t="shared" si="64"/>
        <v>0</v>
      </c>
      <c r="Y43" s="23">
        <f t="shared" si="64"/>
        <v>0</v>
      </c>
      <c r="AA43" s="24">
        <f t="shared" si="56"/>
        <v>0.96306169078446302</v>
      </c>
      <c r="AB43" s="23">
        <f t="shared" si="57"/>
        <v>0</v>
      </c>
    </row>
    <row r="44" spans="1:28" x14ac:dyDescent="0.35">
      <c r="A44" t="s">
        <v>131</v>
      </c>
      <c r="B44">
        <v>385</v>
      </c>
      <c r="C44">
        <v>3722</v>
      </c>
      <c r="D44">
        <v>2670</v>
      </c>
      <c r="E44">
        <v>737</v>
      </c>
      <c r="F44">
        <v>311</v>
      </c>
      <c r="G44">
        <v>43</v>
      </c>
      <c r="H44">
        <f t="shared" ref="H44:H45" si="65">SUM(B44:G44)</f>
        <v>7868</v>
      </c>
      <c r="I44" s="6">
        <f t="shared" ref="I44:I46" si="66">B44/$H44</f>
        <v>4.8932384341637013E-2</v>
      </c>
      <c r="J44" s="6">
        <f t="shared" ref="J44:J46" si="67">C44/$H44</f>
        <v>0.47305541433655313</v>
      </c>
      <c r="K44" s="6">
        <f t="shared" si="61"/>
        <v>0.33934926283680733</v>
      </c>
      <c r="L44" s="6">
        <f t="shared" si="62"/>
        <v>9.36705643111337E-2</v>
      </c>
      <c r="M44" s="6">
        <f t="shared" ref="M44" si="68">F44/$H44</f>
        <v>3.9527198779867816E-2</v>
      </c>
      <c r="N44" s="6">
        <f t="shared" si="63"/>
        <v>5.4651753940010168E-3</v>
      </c>
    </row>
    <row r="45" spans="1:28" x14ac:dyDescent="0.35">
      <c r="A45" t="s">
        <v>132</v>
      </c>
      <c r="B45">
        <v>160</v>
      </c>
      <c r="C45">
        <v>2270</v>
      </c>
      <c r="D45">
        <v>1063</v>
      </c>
      <c r="E45">
        <v>244</v>
      </c>
      <c r="F45">
        <v>83</v>
      </c>
      <c r="G45">
        <v>44</v>
      </c>
      <c r="H45">
        <f t="shared" si="65"/>
        <v>3864</v>
      </c>
      <c r="I45" s="6">
        <f t="shared" si="66"/>
        <v>4.1407867494824016E-2</v>
      </c>
      <c r="J45" s="6">
        <f t="shared" si="67"/>
        <v>0.58747412008281574</v>
      </c>
      <c r="K45" s="6">
        <f t="shared" si="61"/>
        <v>0.27510351966873708</v>
      </c>
      <c r="L45" s="6">
        <f>E45/$H45</f>
        <v>6.3146997929606624E-2</v>
      </c>
      <c r="M45" s="6">
        <f>F45/$H45</f>
        <v>2.148033126293996E-2</v>
      </c>
      <c r="N45" s="6">
        <f t="shared" si="63"/>
        <v>1.1387163561076604E-2</v>
      </c>
    </row>
    <row r="46" spans="1:28" x14ac:dyDescent="0.35">
      <c r="A46" t="s">
        <v>98</v>
      </c>
      <c r="B46">
        <v>1263</v>
      </c>
      <c r="C46">
        <v>7842</v>
      </c>
      <c r="D46">
        <v>4647</v>
      </c>
      <c r="E46">
        <v>1205</v>
      </c>
      <c r="F46">
        <v>538</v>
      </c>
      <c r="G46">
        <v>88</v>
      </c>
      <c r="H46">
        <f>SUM(B46:G46)</f>
        <v>15583</v>
      </c>
      <c r="I46" s="6">
        <f t="shared" si="66"/>
        <v>8.1049862029134306E-2</v>
      </c>
      <c r="J46" s="6">
        <f t="shared" si="67"/>
        <v>0.50324071103125201</v>
      </c>
      <c r="K46" s="6">
        <f t="shared" si="61"/>
        <v>0.29820958737085285</v>
      </c>
      <c r="L46" s="6">
        <f t="shared" ref="L46" si="69">E46/$H46</f>
        <v>7.732785728036963E-2</v>
      </c>
      <c r="M46" s="6">
        <f t="shared" ref="M46" si="70">F46/$H46</f>
        <v>3.4524802669575819E-2</v>
      </c>
      <c r="N46" s="6">
        <f t="shared" si="63"/>
        <v>5.6471796188153761E-3</v>
      </c>
    </row>
    <row r="50" spans="1:14" x14ac:dyDescent="0.35">
      <c r="A50" t="s">
        <v>226</v>
      </c>
    </row>
    <row r="51" spans="1:14" x14ac:dyDescent="0.35">
      <c r="A51" t="s">
        <v>122</v>
      </c>
      <c r="B51" t="s">
        <v>227</v>
      </c>
      <c r="C51" t="s">
        <v>228</v>
      </c>
      <c r="D51" t="s">
        <v>229</v>
      </c>
      <c r="E51" t="s">
        <v>230</v>
      </c>
      <c r="F51" t="s">
        <v>231</v>
      </c>
      <c r="G51" t="s">
        <v>232</v>
      </c>
      <c r="H51" t="s">
        <v>196</v>
      </c>
      <c r="I51" t="s">
        <v>227</v>
      </c>
      <c r="J51" t="s">
        <v>228</v>
      </c>
      <c r="K51" t="s">
        <v>229</v>
      </c>
      <c r="L51" t="s">
        <v>230</v>
      </c>
      <c r="M51" t="s">
        <v>231</v>
      </c>
      <c r="N51" t="s">
        <v>232</v>
      </c>
    </row>
    <row r="52" spans="1:14" x14ac:dyDescent="0.35">
      <c r="A52" t="s">
        <v>133</v>
      </c>
      <c r="B52">
        <v>4</v>
      </c>
      <c r="C52">
        <v>1690</v>
      </c>
      <c r="D52">
        <v>3348</v>
      </c>
      <c r="E52">
        <v>2415</v>
      </c>
      <c r="F52">
        <v>889</v>
      </c>
      <c r="G52">
        <v>1</v>
      </c>
      <c r="H52">
        <f>SUM(B52:G52)</f>
        <v>8347</v>
      </c>
      <c r="I52" s="6">
        <f>B52/$H52</f>
        <v>4.7921408889421349E-4</v>
      </c>
      <c r="J52" s="6">
        <f>C52/$H52</f>
        <v>0.2024679525578052</v>
      </c>
      <c r="K52" s="6">
        <f t="shared" ref="K52:K55" si="71">D52/$H52</f>
        <v>0.40110219240445671</v>
      </c>
      <c r="L52" s="6">
        <f t="shared" ref="L52:L53" si="72">E52/$H52</f>
        <v>0.2893255061698814</v>
      </c>
      <c r="M52" s="6">
        <f>F52/$H52</f>
        <v>0.10650533125673894</v>
      </c>
      <c r="N52" s="6">
        <f t="shared" ref="N52:N55" si="73">G52/$H52</f>
        <v>1.1980352222355337E-4</v>
      </c>
    </row>
    <row r="53" spans="1:14" x14ac:dyDescent="0.35">
      <c r="A53" t="s">
        <v>131</v>
      </c>
      <c r="B53">
        <v>140</v>
      </c>
      <c r="C53">
        <v>2517</v>
      </c>
      <c r="D53">
        <v>1412</v>
      </c>
      <c r="E53">
        <v>184</v>
      </c>
      <c r="F53">
        <v>66</v>
      </c>
      <c r="G53">
        <v>2</v>
      </c>
      <c r="H53">
        <f t="shared" ref="H53:H54" si="74">SUM(B53:G53)</f>
        <v>4321</v>
      </c>
      <c r="I53" s="6">
        <f t="shared" ref="I53:I55" si="75">B53/$H53</f>
        <v>3.2399907428835917E-2</v>
      </c>
      <c r="J53" s="6">
        <f t="shared" ref="J53:J55" si="76">C53/$H53</f>
        <v>0.58250404998842864</v>
      </c>
      <c r="K53" s="6">
        <f t="shared" si="71"/>
        <v>0.32677620921083084</v>
      </c>
      <c r="L53" s="6">
        <f t="shared" si="72"/>
        <v>4.2582735477898634E-2</v>
      </c>
      <c r="M53" s="6">
        <f t="shared" ref="M53" si="77">F53/$H53</f>
        <v>1.5274242073594076E-2</v>
      </c>
      <c r="N53" s="6">
        <f t="shared" si="73"/>
        <v>4.628558204119417E-4</v>
      </c>
    </row>
    <row r="54" spans="1:14" x14ac:dyDescent="0.35">
      <c r="A54" t="s">
        <v>132</v>
      </c>
      <c r="B54">
        <v>130</v>
      </c>
      <c r="C54">
        <v>1031</v>
      </c>
      <c r="D54">
        <v>1368</v>
      </c>
      <c r="E54">
        <v>97</v>
      </c>
      <c r="F54">
        <v>0</v>
      </c>
      <c r="G54">
        <v>0</v>
      </c>
      <c r="H54">
        <f t="shared" si="74"/>
        <v>2626</v>
      </c>
      <c r="I54" s="6">
        <f t="shared" si="75"/>
        <v>4.9504950495049507E-2</v>
      </c>
      <c r="J54" s="6">
        <f t="shared" si="76"/>
        <v>0.39261233815689262</v>
      </c>
      <c r="K54" s="6">
        <f t="shared" si="71"/>
        <v>0.52094440213252091</v>
      </c>
      <c r="L54" s="6">
        <f>E54/$H54</f>
        <v>3.6938309215536938E-2</v>
      </c>
      <c r="M54" s="6">
        <f>F54/$H54</f>
        <v>0</v>
      </c>
      <c r="N54" s="6">
        <f t="shared" si="73"/>
        <v>0</v>
      </c>
    </row>
    <row r="55" spans="1:14" x14ac:dyDescent="0.35">
      <c r="A55" t="s">
        <v>98</v>
      </c>
      <c r="B55">
        <v>274</v>
      </c>
      <c r="C55">
        <v>5238</v>
      </c>
      <c r="D55">
        <v>6128</v>
      </c>
      <c r="E55">
        <v>2696</v>
      </c>
      <c r="F55">
        <v>955</v>
      </c>
      <c r="G55">
        <v>3</v>
      </c>
      <c r="H55">
        <f>SUM(B55:G55)</f>
        <v>15294</v>
      </c>
      <c r="I55" s="6">
        <f t="shared" si="75"/>
        <v>1.7915522427095595E-2</v>
      </c>
      <c r="J55" s="6">
        <f t="shared" si="76"/>
        <v>0.34248724990192231</v>
      </c>
      <c r="K55" s="6">
        <f t="shared" si="71"/>
        <v>0.40068000523080949</v>
      </c>
      <c r="L55" s="6">
        <f t="shared" ref="L55" si="78">E55/$H55</f>
        <v>0.17627827906368509</v>
      </c>
      <c r="M55" s="6">
        <f t="shared" ref="M55" si="79">F55/$H55</f>
        <v>6.2442788021446316E-2</v>
      </c>
      <c r="N55" s="6">
        <f t="shared" si="73"/>
        <v>1.9615535504119262E-4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79487-F2EE-40AD-B588-2804AB979304}">
  <dimension ref="A1:D100"/>
  <sheetViews>
    <sheetView topLeftCell="A61" workbookViewId="0">
      <selection activeCell="F15" sqref="F15"/>
    </sheetView>
  </sheetViews>
  <sheetFormatPr defaultRowHeight="14.5" x14ac:dyDescent="0.35"/>
  <sheetData>
    <row r="1" spans="1:4" x14ac:dyDescent="0.35">
      <c r="A1" t="s">
        <v>93</v>
      </c>
      <c r="B1" t="s">
        <v>197</v>
      </c>
      <c r="C1" t="s">
        <v>198</v>
      </c>
      <c r="D1" t="s">
        <v>199</v>
      </c>
    </row>
    <row r="2" spans="1:4" x14ac:dyDescent="0.35">
      <c r="A2" t="s">
        <v>48</v>
      </c>
      <c r="B2">
        <v>6.7695615975984937</v>
      </c>
      <c r="C2">
        <v>0</v>
      </c>
      <c r="D2">
        <v>0</v>
      </c>
    </row>
    <row r="3" spans="1:4" x14ac:dyDescent="0.35">
      <c r="A3" t="s">
        <v>85</v>
      </c>
      <c r="B3">
        <v>0</v>
      </c>
      <c r="C3">
        <v>0</v>
      </c>
      <c r="D3">
        <v>0</v>
      </c>
    </row>
    <row r="4" spans="1:4" x14ac:dyDescent="0.35">
      <c r="A4" t="s">
        <v>87</v>
      </c>
      <c r="B4">
        <v>0</v>
      </c>
      <c r="C4">
        <v>0</v>
      </c>
      <c r="D4">
        <v>0</v>
      </c>
    </row>
    <row r="5" spans="1:4" x14ac:dyDescent="0.35">
      <c r="A5" t="s">
        <v>46</v>
      </c>
      <c r="B5">
        <v>1.147359073900709E-2</v>
      </c>
      <c r="C5">
        <v>0.45981373450834601</v>
      </c>
      <c r="D5">
        <v>9.1672595404304561E-3</v>
      </c>
    </row>
    <row r="6" spans="1:4" x14ac:dyDescent="0.35">
      <c r="A6" t="s">
        <v>68</v>
      </c>
      <c r="B6">
        <v>0</v>
      </c>
      <c r="C6">
        <v>0</v>
      </c>
      <c r="D6">
        <v>2.5357462952145089E-2</v>
      </c>
    </row>
    <row r="7" spans="1:4" x14ac:dyDescent="0.35">
      <c r="A7" t="s">
        <v>77</v>
      </c>
      <c r="B7">
        <v>0</v>
      </c>
      <c r="C7">
        <v>2.0784139872273143E-2</v>
      </c>
      <c r="D7">
        <v>6.6224843081208226E-2</v>
      </c>
    </row>
    <row r="8" spans="1:4" x14ac:dyDescent="0.35">
      <c r="A8" t="s">
        <v>61</v>
      </c>
      <c r="B8">
        <v>0</v>
      </c>
      <c r="C8">
        <v>0.12064519325851895</v>
      </c>
      <c r="D8">
        <v>0.11650448271801633</v>
      </c>
    </row>
    <row r="9" spans="1:4" x14ac:dyDescent="0.35">
      <c r="A9" t="s">
        <v>50</v>
      </c>
      <c r="B9">
        <v>3.4484194046500945E-2</v>
      </c>
      <c r="C9">
        <v>0.13920945127767095</v>
      </c>
      <c r="D9">
        <v>0.13865896050318505</v>
      </c>
    </row>
    <row r="10" spans="1:4" x14ac:dyDescent="0.35">
      <c r="A10" t="s">
        <v>59</v>
      </c>
      <c r="B10">
        <v>0</v>
      </c>
      <c r="C10">
        <v>0.33952658676252406</v>
      </c>
      <c r="D10">
        <v>0.15782281068195717</v>
      </c>
    </row>
    <row r="11" spans="1:4" x14ac:dyDescent="0.35">
      <c r="A11" t="s">
        <v>60</v>
      </c>
      <c r="B11">
        <v>0</v>
      </c>
      <c r="C11">
        <v>0.13060989451219315</v>
      </c>
      <c r="D11">
        <v>0.18186598024473993</v>
      </c>
    </row>
    <row r="12" spans="1:4" x14ac:dyDescent="0.35">
      <c r="A12" t="s">
        <v>72</v>
      </c>
      <c r="B12">
        <v>2.9953617758950828E-2</v>
      </c>
      <c r="C12">
        <v>0</v>
      </c>
      <c r="D12">
        <v>0.30188210998834514</v>
      </c>
    </row>
    <row r="13" spans="1:4" x14ac:dyDescent="0.35">
      <c r="A13" t="s">
        <v>58</v>
      </c>
      <c r="B13">
        <v>0.21167976524264812</v>
      </c>
      <c r="C13">
        <v>0.41820078242128272</v>
      </c>
      <c r="D13">
        <v>0.30696678532959842</v>
      </c>
    </row>
    <row r="14" spans="1:4" x14ac:dyDescent="0.35">
      <c r="A14" t="s">
        <v>78</v>
      </c>
      <c r="B14">
        <v>0.49160468400085156</v>
      </c>
      <c r="C14">
        <v>0.40129232072664212</v>
      </c>
      <c r="D14">
        <v>0.31486460872782684</v>
      </c>
    </row>
    <row r="15" spans="1:4" x14ac:dyDescent="0.35">
      <c r="A15" t="s">
        <v>52</v>
      </c>
      <c r="B15">
        <v>0</v>
      </c>
      <c r="C15">
        <v>0.47268783432816613</v>
      </c>
      <c r="D15">
        <v>0.45519721419304904</v>
      </c>
    </row>
    <row r="16" spans="1:4" x14ac:dyDescent="0.35">
      <c r="A16" t="s">
        <v>54</v>
      </c>
      <c r="B16">
        <v>0.3412332358296562</v>
      </c>
      <c r="C16">
        <v>0.5998381206097585</v>
      </c>
      <c r="D16">
        <v>0.51019876995240343</v>
      </c>
    </row>
    <row r="17" spans="1:4" x14ac:dyDescent="0.35">
      <c r="A17" t="s">
        <v>51</v>
      </c>
      <c r="B17">
        <v>5.870701271445971E-2</v>
      </c>
      <c r="C17">
        <v>0.27515531171477908</v>
      </c>
      <c r="D17">
        <v>0.59968754989000106</v>
      </c>
    </row>
    <row r="18" spans="1:4" x14ac:dyDescent="0.35">
      <c r="A18" t="s">
        <v>66</v>
      </c>
      <c r="B18">
        <v>0.45226644282492839</v>
      </c>
      <c r="C18">
        <v>0.68977247822945453</v>
      </c>
      <c r="D18">
        <v>0.64433444480057489</v>
      </c>
    </row>
    <row r="19" spans="1:4" x14ac:dyDescent="0.35">
      <c r="A19" t="s">
        <v>73</v>
      </c>
      <c r="B19">
        <v>1.1532558526925896</v>
      </c>
      <c r="C19">
        <v>1.6228311626524292</v>
      </c>
      <c r="D19">
        <v>0.84980074523719307</v>
      </c>
    </row>
    <row r="20" spans="1:4" x14ac:dyDescent="0.35">
      <c r="A20" t="s">
        <v>67</v>
      </c>
      <c r="B20">
        <v>0.9011914280791814</v>
      </c>
      <c r="C20">
        <v>0.81560369348989858</v>
      </c>
      <c r="D20">
        <v>0.93561563389977698</v>
      </c>
    </row>
    <row r="21" spans="1:4" x14ac:dyDescent="0.35">
      <c r="A21" t="s">
        <v>53</v>
      </c>
      <c r="B21">
        <v>1.0702918325592956</v>
      </c>
      <c r="C21">
        <v>0.87148022093201294</v>
      </c>
      <c r="D21">
        <v>0.96251333201951084</v>
      </c>
    </row>
    <row r="22" spans="1:4" x14ac:dyDescent="0.35">
      <c r="A22" t="s">
        <v>81</v>
      </c>
      <c r="B22">
        <v>1.599942195636803</v>
      </c>
      <c r="C22">
        <v>2.3658111893406013</v>
      </c>
      <c r="D22">
        <v>1.1119986707266545</v>
      </c>
    </row>
    <row r="23" spans="1:4" x14ac:dyDescent="0.35">
      <c r="A23" t="s">
        <v>71</v>
      </c>
      <c r="B23">
        <v>1.441406395482022</v>
      </c>
      <c r="C23">
        <v>1.4877149350450771</v>
      </c>
      <c r="D23">
        <v>1.3487905495777783</v>
      </c>
    </row>
    <row r="24" spans="1:4" x14ac:dyDescent="0.35">
      <c r="A24" t="s">
        <v>64</v>
      </c>
      <c r="B24">
        <v>1.2188983841125303</v>
      </c>
      <c r="C24">
        <v>1.3088386899260929</v>
      </c>
      <c r="D24">
        <v>1.4005954193508334</v>
      </c>
    </row>
    <row r="25" spans="1:4" x14ac:dyDescent="0.35">
      <c r="A25" t="s">
        <v>80</v>
      </c>
      <c r="B25">
        <v>0.56029224194770211</v>
      </c>
      <c r="C25">
        <v>1.1738131151471967</v>
      </c>
      <c r="D25">
        <v>1.4444680954924072</v>
      </c>
    </row>
    <row r="26" spans="1:4" x14ac:dyDescent="0.35">
      <c r="A26" t="s">
        <v>47</v>
      </c>
      <c r="B26">
        <v>0.91475861164476124</v>
      </c>
      <c r="C26">
        <v>0.88353401210240634</v>
      </c>
      <c r="D26">
        <v>1.5389956791292114</v>
      </c>
    </row>
    <row r="27" spans="1:4" x14ac:dyDescent="0.35">
      <c r="A27" t="s">
        <v>56</v>
      </c>
      <c r="B27">
        <v>2.6553072539493798</v>
      </c>
      <c r="C27">
        <v>1.9646899814778815</v>
      </c>
      <c r="D27">
        <v>1.7459628837057743</v>
      </c>
    </row>
    <row r="28" spans="1:4" x14ac:dyDescent="0.35">
      <c r="A28" t="s">
        <v>70</v>
      </c>
      <c r="B28">
        <v>1.8205175261515878</v>
      </c>
      <c r="C28">
        <v>1.8959416418118331</v>
      </c>
      <c r="D28">
        <v>1.864950965132705</v>
      </c>
    </row>
    <row r="29" spans="1:4" x14ac:dyDescent="0.35">
      <c r="A29" t="s">
        <v>82</v>
      </c>
      <c r="B29">
        <v>2.9024169682386525</v>
      </c>
      <c r="C29">
        <v>1.9358058528624471</v>
      </c>
      <c r="D29">
        <v>1.8945373411734798</v>
      </c>
    </row>
    <row r="30" spans="1:4" x14ac:dyDescent="0.35">
      <c r="A30" t="s">
        <v>45</v>
      </c>
      <c r="B30">
        <v>2.931267462129866</v>
      </c>
      <c r="C30">
        <v>2.1341852520023665</v>
      </c>
      <c r="D30">
        <v>2.019899461564286</v>
      </c>
    </row>
    <row r="31" spans="1:4" x14ac:dyDescent="0.35">
      <c r="A31" t="s">
        <v>88</v>
      </c>
      <c r="B31">
        <v>1.1187368152644672</v>
      </c>
      <c r="C31">
        <v>1.5969321008082962</v>
      </c>
      <c r="D31">
        <v>2.1065244792779407</v>
      </c>
    </row>
    <row r="32" spans="1:4" x14ac:dyDescent="0.35">
      <c r="A32" t="s">
        <v>57</v>
      </c>
      <c r="B32">
        <v>1.7138965478069101</v>
      </c>
      <c r="C32">
        <v>2.1416813614707642</v>
      </c>
      <c r="D32">
        <v>2.6366679548165664</v>
      </c>
    </row>
    <row r="33" spans="1:4" x14ac:dyDescent="0.35">
      <c r="A33" t="s">
        <v>84</v>
      </c>
      <c r="B33">
        <v>3.140049435318752</v>
      </c>
      <c r="C33">
        <v>0.49737441009932098</v>
      </c>
      <c r="D33">
        <v>2.6389430841215091</v>
      </c>
    </row>
    <row r="34" spans="1:4" x14ac:dyDescent="0.35">
      <c r="A34" t="s">
        <v>98</v>
      </c>
      <c r="B34">
        <v>1.7072773940815269</v>
      </c>
      <c r="C34">
        <v>2.2110935353363175</v>
      </c>
      <c r="D34">
        <v>2.7317349136321054</v>
      </c>
    </row>
    <row r="35" spans="1:4" x14ac:dyDescent="0.35">
      <c r="A35" t="s">
        <v>86</v>
      </c>
      <c r="B35">
        <v>0</v>
      </c>
      <c r="C35">
        <v>1.6468934438297507</v>
      </c>
      <c r="D35">
        <v>2.7673002425007196</v>
      </c>
    </row>
    <row r="36" spans="1:4" x14ac:dyDescent="0.35">
      <c r="A36" t="s">
        <v>62</v>
      </c>
      <c r="B36">
        <v>0.71329713375271953</v>
      </c>
      <c r="C36">
        <v>1.4542501330745503</v>
      </c>
      <c r="D36">
        <v>2.7995640409068323</v>
      </c>
    </row>
    <row r="37" spans="1:4" x14ac:dyDescent="0.35">
      <c r="A37" t="s">
        <v>74</v>
      </c>
      <c r="B37">
        <v>0.98317935088255093</v>
      </c>
      <c r="C37">
        <v>2.0020083304620333</v>
      </c>
      <c r="D37">
        <v>2.8293088526329151</v>
      </c>
    </row>
    <row r="38" spans="1:4" x14ac:dyDescent="0.35">
      <c r="A38" t="s">
        <v>63</v>
      </c>
      <c r="B38">
        <v>2.2973079178531046</v>
      </c>
      <c r="C38">
        <v>3.3439605586010841</v>
      </c>
      <c r="D38">
        <v>3.8509957649511239</v>
      </c>
    </row>
    <row r="39" spans="1:4" x14ac:dyDescent="0.35">
      <c r="A39" t="s">
        <v>76</v>
      </c>
      <c r="B39">
        <v>1.6889931228872987</v>
      </c>
      <c r="C39">
        <v>2.0462971936211609</v>
      </c>
      <c r="D39">
        <v>4.0595072688125535</v>
      </c>
    </row>
    <row r="40" spans="1:4" x14ac:dyDescent="0.35">
      <c r="A40" t="s">
        <v>49</v>
      </c>
      <c r="B40">
        <v>0.90211115840910339</v>
      </c>
      <c r="C40">
        <v>3.2212471085886865</v>
      </c>
      <c r="D40">
        <v>4.0990110066428311</v>
      </c>
    </row>
    <row r="41" spans="1:4" x14ac:dyDescent="0.35">
      <c r="A41" t="s">
        <v>75</v>
      </c>
      <c r="B41">
        <v>0</v>
      </c>
      <c r="C41">
        <v>4.3770889116449458</v>
      </c>
      <c r="D41">
        <v>4.3633207102285674</v>
      </c>
    </row>
    <row r="42" spans="1:4" x14ac:dyDescent="0.35">
      <c r="A42" t="s">
        <v>90</v>
      </c>
      <c r="B42">
        <v>1.8201538354901259</v>
      </c>
      <c r="C42">
        <v>1.9242097942614949</v>
      </c>
      <c r="D42">
        <v>4.5969374565227969</v>
      </c>
    </row>
    <row r="43" spans="1:4" x14ac:dyDescent="0.35">
      <c r="A43" t="s">
        <v>91</v>
      </c>
      <c r="B43">
        <v>0</v>
      </c>
      <c r="C43">
        <v>0.56735952736161055</v>
      </c>
      <c r="D43">
        <v>5.8827721171184519</v>
      </c>
    </row>
    <row r="44" spans="1:4" x14ac:dyDescent="0.35">
      <c r="A44" t="s">
        <v>79</v>
      </c>
      <c r="B44">
        <v>5.7962139817060594</v>
      </c>
      <c r="C44">
        <v>6.0926179701930829</v>
      </c>
      <c r="D44">
        <v>6.7166736650034533</v>
      </c>
    </row>
    <row r="45" spans="1:4" x14ac:dyDescent="0.35">
      <c r="A45" t="s">
        <v>89</v>
      </c>
      <c r="B45">
        <v>1.9844886695619415</v>
      </c>
      <c r="C45">
        <v>1.7432087542464663</v>
      </c>
      <c r="D45">
        <v>6.9750877177016513</v>
      </c>
    </row>
    <row r="46" spans="1:4" x14ac:dyDescent="0.35">
      <c r="A46" t="s">
        <v>55</v>
      </c>
      <c r="B46">
        <v>4.2179462891008965</v>
      </c>
      <c r="C46">
        <v>6.2732388397213183</v>
      </c>
      <c r="D46">
        <v>7.0030898445039211</v>
      </c>
    </row>
    <row r="47" spans="1:4" x14ac:dyDescent="0.35">
      <c r="A47" t="s">
        <v>65</v>
      </c>
      <c r="B47">
        <v>4.1005468473581175</v>
      </c>
      <c r="C47">
        <v>3.441781520535669</v>
      </c>
      <c r="D47">
        <v>7.1340937945138698</v>
      </c>
    </row>
    <row r="48" spans="1:4" x14ac:dyDescent="0.35">
      <c r="A48" t="s">
        <v>69</v>
      </c>
      <c r="B48">
        <v>0</v>
      </c>
      <c r="C48">
        <v>12.64321431544888</v>
      </c>
      <c r="D48">
        <v>12.052082865767586</v>
      </c>
    </row>
    <row r="49" spans="1:4" x14ac:dyDescent="0.35">
      <c r="A49" t="s">
        <v>83</v>
      </c>
      <c r="B49">
        <v>0</v>
      </c>
      <c r="C49">
        <v>15.324778615144369</v>
      </c>
      <c r="D49">
        <v>16.737593274176241</v>
      </c>
    </row>
    <row r="52" spans="1:4" x14ac:dyDescent="0.35">
      <c r="A52" t="s">
        <v>93</v>
      </c>
      <c r="B52" t="s">
        <v>197</v>
      </c>
      <c r="C52" t="s">
        <v>198</v>
      </c>
      <c r="D52" t="s">
        <v>199</v>
      </c>
    </row>
    <row r="53" spans="1:4" x14ac:dyDescent="0.35">
      <c r="A53" t="s">
        <v>48</v>
      </c>
      <c r="B53">
        <v>6.7695615975984937</v>
      </c>
    </row>
    <row r="54" spans="1:4" x14ac:dyDescent="0.35">
      <c r="A54" t="s">
        <v>85</v>
      </c>
    </row>
    <row r="55" spans="1:4" x14ac:dyDescent="0.35">
      <c r="A55" t="s">
        <v>87</v>
      </c>
    </row>
    <row r="56" spans="1:4" x14ac:dyDescent="0.35">
      <c r="A56" t="s">
        <v>46</v>
      </c>
      <c r="B56">
        <v>1.147359073900709E-2</v>
      </c>
      <c r="C56">
        <v>0.45981373450834601</v>
      </c>
      <c r="D56">
        <v>9.1672595404304561E-3</v>
      </c>
    </row>
    <row r="57" spans="1:4" x14ac:dyDescent="0.35">
      <c r="A57" t="s">
        <v>68</v>
      </c>
      <c r="D57">
        <v>2.5357462952145089E-2</v>
      </c>
    </row>
    <row r="58" spans="1:4" x14ac:dyDescent="0.35">
      <c r="A58" t="s">
        <v>77</v>
      </c>
      <c r="C58">
        <v>2.0784139872273143E-2</v>
      </c>
      <c r="D58">
        <v>6.6224843081208226E-2</v>
      </c>
    </row>
    <row r="59" spans="1:4" x14ac:dyDescent="0.35">
      <c r="A59" t="s">
        <v>61</v>
      </c>
      <c r="C59">
        <v>0.12064519325851895</v>
      </c>
      <c r="D59">
        <v>0.11650448271801633</v>
      </c>
    </row>
    <row r="60" spans="1:4" x14ac:dyDescent="0.35">
      <c r="A60" t="s">
        <v>50</v>
      </c>
      <c r="B60">
        <v>3.4484194046500945E-2</v>
      </c>
      <c r="C60">
        <v>0.13920945127767095</v>
      </c>
      <c r="D60">
        <v>0.13865896050318505</v>
      </c>
    </row>
    <row r="61" spans="1:4" x14ac:dyDescent="0.35">
      <c r="A61" t="s">
        <v>59</v>
      </c>
      <c r="C61">
        <v>0.33952658676252406</v>
      </c>
      <c r="D61">
        <v>0.15782281068195717</v>
      </c>
    </row>
    <row r="62" spans="1:4" x14ac:dyDescent="0.35">
      <c r="A62" t="s">
        <v>60</v>
      </c>
      <c r="C62">
        <v>0.13060989451219315</v>
      </c>
      <c r="D62">
        <v>0.18186598024473993</v>
      </c>
    </row>
    <row r="63" spans="1:4" x14ac:dyDescent="0.35">
      <c r="A63" t="s">
        <v>72</v>
      </c>
      <c r="B63">
        <v>2.9953617758950828E-2</v>
      </c>
      <c r="D63">
        <v>0.30188210998834514</v>
      </c>
    </row>
    <row r="64" spans="1:4" x14ac:dyDescent="0.35">
      <c r="A64" t="s">
        <v>58</v>
      </c>
      <c r="B64">
        <v>0.21167976524264812</v>
      </c>
      <c r="C64">
        <v>0.41820078242128272</v>
      </c>
      <c r="D64">
        <v>0.30696678532959842</v>
      </c>
    </row>
    <row r="65" spans="1:4" x14ac:dyDescent="0.35">
      <c r="A65" t="s">
        <v>78</v>
      </c>
      <c r="B65">
        <v>0.49160468400085156</v>
      </c>
      <c r="C65">
        <v>0.40129232072664212</v>
      </c>
      <c r="D65">
        <v>0.31486460872782684</v>
      </c>
    </row>
    <row r="66" spans="1:4" x14ac:dyDescent="0.35">
      <c r="A66" t="s">
        <v>52</v>
      </c>
      <c r="C66">
        <v>0.47268783432816613</v>
      </c>
      <c r="D66">
        <v>0.45519721419304904</v>
      </c>
    </row>
    <row r="67" spans="1:4" x14ac:dyDescent="0.35">
      <c r="A67" t="s">
        <v>54</v>
      </c>
      <c r="B67">
        <v>0.3412332358296562</v>
      </c>
      <c r="C67">
        <v>0.5998381206097585</v>
      </c>
      <c r="D67">
        <v>0.51019876995240343</v>
      </c>
    </row>
    <row r="68" spans="1:4" x14ac:dyDescent="0.35">
      <c r="A68" t="s">
        <v>51</v>
      </c>
      <c r="B68">
        <v>5.870701271445971E-2</v>
      </c>
      <c r="C68">
        <v>0.27515531171477908</v>
      </c>
      <c r="D68">
        <v>0.59968754989000106</v>
      </c>
    </row>
    <row r="69" spans="1:4" x14ac:dyDescent="0.35">
      <c r="A69" t="s">
        <v>66</v>
      </c>
      <c r="B69">
        <v>0.45226644282492839</v>
      </c>
      <c r="C69">
        <v>0.68977247822945453</v>
      </c>
      <c r="D69">
        <v>0.64433444480057489</v>
      </c>
    </row>
    <row r="70" spans="1:4" x14ac:dyDescent="0.35">
      <c r="A70" t="s">
        <v>73</v>
      </c>
      <c r="B70">
        <v>1.1532558526925896</v>
      </c>
      <c r="C70">
        <v>1.6228311626524292</v>
      </c>
      <c r="D70">
        <v>0.84980074523719307</v>
      </c>
    </row>
    <row r="71" spans="1:4" x14ac:dyDescent="0.35">
      <c r="A71" t="s">
        <v>67</v>
      </c>
      <c r="B71">
        <v>0.9011914280791814</v>
      </c>
      <c r="C71">
        <v>0.81560369348989858</v>
      </c>
      <c r="D71">
        <v>0.93561563389977698</v>
      </c>
    </row>
    <row r="72" spans="1:4" x14ac:dyDescent="0.35">
      <c r="A72" t="s">
        <v>53</v>
      </c>
      <c r="B72">
        <v>1.0702918325592956</v>
      </c>
      <c r="C72">
        <v>0.87148022093201294</v>
      </c>
      <c r="D72">
        <v>0.96251333201951084</v>
      </c>
    </row>
    <row r="73" spans="1:4" x14ac:dyDescent="0.35">
      <c r="A73" t="s">
        <v>81</v>
      </c>
      <c r="B73">
        <v>1.599942195636803</v>
      </c>
      <c r="C73">
        <v>2.3658111893406013</v>
      </c>
      <c r="D73">
        <v>1.1119986707266545</v>
      </c>
    </row>
    <row r="74" spans="1:4" x14ac:dyDescent="0.35">
      <c r="A74" t="s">
        <v>71</v>
      </c>
      <c r="B74">
        <v>1.441406395482022</v>
      </c>
      <c r="C74">
        <v>1.4877149350450771</v>
      </c>
      <c r="D74">
        <v>1.3487905495777783</v>
      </c>
    </row>
    <row r="75" spans="1:4" x14ac:dyDescent="0.35">
      <c r="A75" t="s">
        <v>64</v>
      </c>
      <c r="B75">
        <v>1.2188983841125303</v>
      </c>
      <c r="C75">
        <v>1.3088386899260929</v>
      </c>
      <c r="D75">
        <v>1.4005954193508334</v>
      </c>
    </row>
    <row r="76" spans="1:4" x14ac:dyDescent="0.35">
      <c r="A76" t="s">
        <v>80</v>
      </c>
      <c r="B76">
        <v>0.56029224194770211</v>
      </c>
      <c r="C76">
        <v>1.1738131151471967</v>
      </c>
      <c r="D76">
        <v>1.4444680954924072</v>
      </c>
    </row>
    <row r="77" spans="1:4" x14ac:dyDescent="0.35">
      <c r="A77" t="s">
        <v>47</v>
      </c>
      <c r="B77">
        <v>0.91475861164476124</v>
      </c>
      <c r="C77">
        <v>0.88353401210240634</v>
      </c>
      <c r="D77">
        <v>1.5389956791292114</v>
      </c>
    </row>
    <row r="78" spans="1:4" x14ac:dyDescent="0.35">
      <c r="A78" t="s">
        <v>56</v>
      </c>
      <c r="B78">
        <v>2.6553072539493798</v>
      </c>
      <c r="C78">
        <v>1.9646899814778815</v>
      </c>
      <c r="D78">
        <v>1.7459628837057743</v>
      </c>
    </row>
    <row r="79" spans="1:4" x14ac:dyDescent="0.35">
      <c r="A79" t="s">
        <v>70</v>
      </c>
      <c r="B79">
        <v>1.8205175261515878</v>
      </c>
      <c r="C79">
        <v>1.8959416418118331</v>
      </c>
      <c r="D79">
        <v>1.864950965132705</v>
      </c>
    </row>
    <row r="80" spans="1:4" x14ac:dyDescent="0.35">
      <c r="A80" t="s">
        <v>82</v>
      </c>
      <c r="B80">
        <v>2.9024169682386525</v>
      </c>
      <c r="C80">
        <v>1.9358058528624471</v>
      </c>
      <c r="D80">
        <v>1.8945373411734798</v>
      </c>
    </row>
    <row r="81" spans="1:4" x14ac:dyDescent="0.35">
      <c r="A81" t="s">
        <v>45</v>
      </c>
      <c r="B81">
        <v>2.931267462129866</v>
      </c>
      <c r="C81">
        <v>2.1341852520023665</v>
      </c>
      <c r="D81">
        <v>2.019899461564286</v>
      </c>
    </row>
    <row r="82" spans="1:4" x14ac:dyDescent="0.35">
      <c r="A82" t="s">
        <v>88</v>
      </c>
      <c r="B82">
        <v>1.1187368152644672</v>
      </c>
      <c r="C82">
        <v>1.5969321008082962</v>
      </c>
      <c r="D82">
        <v>2.1065244792779407</v>
      </c>
    </row>
    <row r="83" spans="1:4" x14ac:dyDescent="0.35">
      <c r="A83" t="s">
        <v>57</v>
      </c>
      <c r="B83">
        <v>1.7138965478069101</v>
      </c>
      <c r="C83">
        <v>2.1416813614707642</v>
      </c>
      <c r="D83">
        <v>2.6366679548165664</v>
      </c>
    </row>
    <row r="84" spans="1:4" x14ac:dyDescent="0.35">
      <c r="A84" t="s">
        <v>84</v>
      </c>
      <c r="B84">
        <v>3.140049435318752</v>
      </c>
      <c r="C84">
        <v>0.49737441009932098</v>
      </c>
      <c r="D84">
        <v>2.6389430841215091</v>
      </c>
    </row>
    <row r="85" spans="1:4" x14ac:dyDescent="0.35">
      <c r="A85" t="s">
        <v>86</v>
      </c>
      <c r="C85">
        <v>1.6468934438297507</v>
      </c>
      <c r="D85">
        <v>2.7673002425007196</v>
      </c>
    </row>
    <row r="86" spans="1:4" x14ac:dyDescent="0.35">
      <c r="A86" t="s">
        <v>62</v>
      </c>
      <c r="B86">
        <v>0.71329713375271953</v>
      </c>
      <c r="C86">
        <v>1.4542501330745503</v>
      </c>
      <c r="D86">
        <v>2.7995640409068323</v>
      </c>
    </row>
    <row r="87" spans="1:4" x14ac:dyDescent="0.35">
      <c r="A87" t="s">
        <v>74</v>
      </c>
      <c r="B87">
        <v>0.98317935088255093</v>
      </c>
      <c r="C87">
        <v>2.0020083304620333</v>
      </c>
      <c r="D87">
        <v>2.8293088526329151</v>
      </c>
    </row>
    <row r="88" spans="1:4" x14ac:dyDescent="0.35">
      <c r="A88" t="s">
        <v>63</v>
      </c>
      <c r="B88">
        <v>2.2973079178531046</v>
      </c>
      <c r="C88">
        <v>3.3439605586010841</v>
      </c>
      <c r="D88">
        <v>3.8509957649511239</v>
      </c>
    </row>
    <row r="89" spans="1:4" x14ac:dyDescent="0.35">
      <c r="A89" t="s">
        <v>76</v>
      </c>
      <c r="B89">
        <v>1.6889931228872987</v>
      </c>
      <c r="C89">
        <v>2.0462971936211609</v>
      </c>
      <c r="D89">
        <v>4.0595072688125535</v>
      </c>
    </row>
    <row r="90" spans="1:4" x14ac:dyDescent="0.35">
      <c r="A90" t="s">
        <v>49</v>
      </c>
      <c r="B90">
        <v>0.90211115840910339</v>
      </c>
      <c r="C90">
        <v>3.2212471085886865</v>
      </c>
      <c r="D90">
        <v>4.0990110066428311</v>
      </c>
    </row>
    <row r="91" spans="1:4" x14ac:dyDescent="0.35">
      <c r="A91" t="s">
        <v>75</v>
      </c>
      <c r="C91">
        <v>4.3770889116449458</v>
      </c>
      <c r="D91">
        <v>4.3633207102285674</v>
      </c>
    </row>
    <row r="92" spans="1:4" x14ac:dyDescent="0.35">
      <c r="A92" t="s">
        <v>90</v>
      </c>
      <c r="B92">
        <v>1.8201538354901259</v>
      </c>
      <c r="C92">
        <v>1.9242097942614949</v>
      </c>
      <c r="D92">
        <v>4.5969374565227969</v>
      </c>
    </row>
    <row r="93" spans="1:4" x14ac:dyDescent="0.35">
      <c r="A93" t="s">
        <v>91</v>
      </c>
      <c r="C93">
        <v>0.56735952736161055</v>
      </c>
      <c r="D93">
        <v>5.8827721171184519</v>
      </c>
    </row>
    <row r="94" spans="1:4" x14ac:dyDescent="0.35">
      <c r="A94" t="s">
        <v>79</v>
      </c>
      <c r="B94">
        <v>5.7962139817060594</v>
      </c>
      <c r="C94">
        <v>6.0926179701930829</v>
      </c>
      <c r="D94">
        <v>6.7166736650034533</v>
      </c>
    </row>
    <row r="95" spans="1:4" x14ac:dyDescent="0.35">
      <c r="A95" t="s">
        <v>89</v>
      </c>
      <c r="B95">
        <v>1.9844886695619415</v>
      </c>
      <c r="C95">
        <v>1.7432087542464663</v>
      </c>
      <c r="D95">
        <v>6.9750877177016513</v>
      </c>
    </row>
    <row r="96" spans="1:4" x14ac:dyDescent="0.35">
      <c r="A96" t="s">
        <v>55</v>
      </c>
      <c r="B96">
        <v>4.2179462891008965</v>
      </c>
      <c r="C96">
        <v>6.2732388397213183</v>
      </c>
      <c r="D96">
        <v>7.0030898445039211</v>
      </c>
    </row>
    <row r="97" spans="1:4" x14ac:dyDescent="0.35">
      <c r="A97" t="s">
        <v>65</v>
      </c>
      <c r="B97">
        <v>4.1005468473581175</v>
      </c>
      <c r="C97">
        <v>3.441781520535669</v>
      </c>
      <c r="D97">
        <v>7.1340937945138698</v>
      </c>
    </row>
    <row r="98" spans="1:4" x14ac:dyDescent="0.35">
      <c r="A98" t="s">
        <v>69</v>
      </c>
      <c r="C98">
        <v>12.64321431544888</v>
      </c>
      <c r="D98">
        <v>12.052082865767586</v>
      </c>
    </row>
    <row r="99" spans="1:4" x14ac:dyDescent="0.35">
      <c r="A99" t="s">
        <v>83</v>
      </c>
      <c r="C99">
        <v>15.324778615144369</v>
      </c>
      <c r="D99">
        <v>16.737593274176241</v>
      </c>
    </row>
    <row r="100" spans="1:4" x14ac:dyDescent="0.35">
      <c r="B100">
        <f>AVERAGE(B53:B99)</f>
        <v>1.7072773940815269</v>
      </c>
      <c r="C100">
        <f t="shared" ref="C100:D100" si="0">AVERAGE(C53:C99)</f>
        <v>2.2110935353363175</v>
      </c>
      <c r="D100">
        <f t="shared" si="0"/>
        <v>2.7317349136321054</v>
      </c>
    </row>
  </sheetData>
  <autoFilter ref="A52:D99" xr:uid="{AFF79487-F2EE-40AD-B588-2804AB979304}"/>
  <sortState xmlns:xlrd2="http://schemas.microsoft.com/office/spreadsheetml/2017/richdata2" ref="A2:D49">
    <sortCondition ref="D2:D49"/>
  </sortState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D28E7-4DC0-426C-8B3C-CD3CB418765C}">
  <dimension ref="A1:D107"/>
  <sheetViews>
    <sheetView tabSelected="1" topLeftCell="G70" workbookViewId="0">
      <selection activeCell="Q88" sqref="Q88"/>
    </sheetView>
  </sheetViews>
  <sheetFormatPr defaultRowHeight="14.5" x14ac:dyDescent="0.35"/>
  <sheetData>
    <row r="1" spans="1:4" x14ac:dyDescent="0.35">
      <c r="A1" t="s">
        <v>93</v>
      </c>
      <c r="B1" t="s">
        <v>197</v>
      </c>
      <c r="C1" t="s">
        <v>198</v>
      </c>
      <c r="D1" t="s">
        <v>199</v>
      </c>
    </row>
    <row r="2" spans="1:4" x14ac:dyDescent="0.35">
      <c r="A2" t="s">
        <v>45</v>
      </c>
      <c r="B2">
        <v>0</v>
      </c>
      <c r="C2">
        <v>0</v>
      </c>
      <c r="D2">
        <v>0</v>
      </c>
    </row>
    <row r="3" spans="1:4" x14ac:dyDescent="0.35">
      <c r="A3" t="s">
        <v>48</v>
      </c>
      <c r="B3">
        <v>0.74866570633001328</v>
      </c>
      <c r="C3">
        <v>0</v>
      </c>
      <c r="D3">
        <v>0</v>
      </c>
    </row>
    <row r="4" spans="1:4" x14ac:dyDescent="0.35">
      <c r="A4" t="s">
        <v>55</v>
      </c>
      <c r="B4">
        <v>0</v>
      </c>
      <c r="C4">
        <v>0</v>
      </c>
      <c r="D4">
        <v>0</v>
      </c>
    </row>
    <row r="5" spans="1:4" x14ac:dyDescent="0.35">
      <c r="A5" t="s">
        <v>56</v>
      </c>
      <c r="B5">
        <v>0</v>
      </c>
      <c r="C5">
        <v>0</v>
      </c>
      <c r="D5">
        <v>0</v>
      </c>
    </row>
    <row r="6" spans="1:4" x14ac:dyDescent="0.35">
      <c r="A6" t="s">
        <v>58</v>
      </c>
      <c r="B6">
        <v>0</v>
      </c>
      <c r="C6">
        <v>0</v>
      </c>
      <c r="D6">
        <v>0</v>
      </c>
    </row>
    <row r="7" spans="1:4" x14ac:dyDescent="0.35">
      <c r="A7" t="s">
        <v>81</v>
      </c>
      <c r="B7">
        <v>0</v>
      </c>
      <c r="C7">
        <v>0</v>
      </c>
      <c r="D7">
        <v>0</v>
      </c>
    </row>
    <row r="8" spans="1:4" x14ac:dyDescent="0.35">
      <c r="A8" t="s">
        <v>83</v>
      </c>
      <c r="B8">
        <v>0</v>
      </c>
      <c r="C8">
        <v>0</v>
      </c>
      <c r="D8">
        <v>0</v>
      </c>
    </row>
    <row r="9" spans="1:4" x14ac:dyDescent="0.35">
      <c r="A9" t="s">
        <v>46</v>
      </c>
      <c r="B9">
        <v>0</v>
      </c>
      <c r="C9">
        <v>0.53719546173436805</v>
      </c>
      <c r="D9">
        <v>2.0834680773705585E-3</v>
      </c>
    </row>
    <row r="10" spans="1:4" x14ac:dyDescent="0.35">
      <c r="A10" t="s">
        <v>47</v>
      </c>
      <c r="B10">
        <v>0</v>
      </c>
      <c r="C10">
        <v>0</v>
      </c>
      <c r="D10">
        <v>1.5726963144386104E-2</v>
      </c>
    </row>
    <row r="11" spans="1:4" x14ac:dyDescent="0.35">
      <c r="A11" t="s">
        <v>51</v>
      </c>
      <c r="B11">
        <v>0</v>
      </c>
      <c r="C11">
        <v>0</v>
      </c>
      <c r="D11">
        <v>0.11105324997962983</v>
      </c>
    </row>
    <row r="12" spans="1:4" x14ac:dyDescent="0.35">
      <c r="A12" t="s">
        <v>63</v>
      </c>
      <c r="B12">
        <v>0</v>
      </c>
      <c r="C12">
        <v>0.53375632381490701</v>
      </c>
      <c r="D12">
        <v>0.45573449456448667</v>
      </c>
    </row>
    <row r="13" spans="1:4" x14ac:dyDescent="0.35">
      <c r="A13" t="s">
        <v>78</v>
      </c>
      <c r="B13">
        <v>3.5168230393081639</v>
      </c>
      <c r="C13">
        <v>2.4361012847643838E-2</v>
      </c>
      <c r="D13">
        <v>0.85432005786482601</v>
      </c>
    </row>
    <row r="14" spans="1:4" x14ac:dyDescent="0.35">
      <c r="A14" t="s">
        <v>59</v>
      </c>
      <c r="B14">
        <v>0</v>
      </c>
      <c r="C14">
        <v>0</v>
      </c>
      <c r="D14">
        <v>0.87168966892509914</v>
      </c>
    </row>
    <row r="15" spans="1:4" x14ac:dyDescent="0.35">
      <c r="A15" t="s">
        <v>74</v>
      </c>
      <c r="B15">
        <v>0</v>
      </c>
      <c r="C15">
        <v>1.1707651055333528</v>
      </c>
      <c r="D15">
        <v>1.0557122584451177</v>
      </c>
    </row>
    <row r="16" spans="1:4" x14ac:dyDescent="0.35">
      <c r="A16" t="s">
        <v>90</v>
      </c>
      <c r="B16">
        <v>0</v>
      </c>
      <c r="C16">
        <v>0.71933600409018006</v>
      </c>
      <c r="D16">
        <v>1.2094311652077474</v>
      </c>
    </row>
    <row r="17" spans="1:4" x14ac:dyDescent="0.35">
      <c r="A17" t="s">
        <v>49</v>
      </c>
      <c r="B17">
        <v>1.190151679133066</v>
      </c>
      <c r="C17">
        <v>1.3480298830126805</v>
      </c>
      <c r="D17">
        <v>1.3870658076061657</v>
      </c>
    </row>
    <row r="18" spans="1:4" x14ac:dyDescent="0.35">
      <c r="A18" t="s">
        <v>73</v>
      </c>
      <c r="B18">
        <v>0</v>
      </c>
      <c r="C18">
        <v>0.57789845421193153</v>
      </c>
      <c r="D18">
        <v>1.4619190340729584</v>
      </c>
    </row>
    <row r="19" spans="1:4" x14ac:dyDescent="0.35">
      <c r="A19" t="s">
        <v>76</v>
      </c>
      <c r="B19">
        <v>0.47679899647275681</v>
      </c>
      <c r="C19">
        <v>1.6269099262355917</v>
      </c>
      <c r="D19">
        <v>2.120746774024012</v>
      </c>
    </row>
    <row r="20" spans="1:4" x14ac:dyDescent="0.35">
      <c r="A20" t="s">
        <v>86</v>
      </c>
      <c r="B20">
        <v>0</v>
      </c>
      <c r="C20">
        <v>1.3996670331613827</v>
      </c>
      <c r="D20">
        <v>2.5895332732804746</v>
      </c>
    </row>
    <row r="21" spans="1:4" x14ac:dyDescent="0.35">
      <c r="A21" t="s">
        <v>52</v>
      </c>
      <c r="B21">
        <v>0</v>
      </c>
      <c r="C21">
        <v>2.0483139487553865</v>
      </c>
      <c r="D21">
        <v>2.613169192589726</v>
      </c>
    </row>
    <row r="22" spans="1:4" x14ac:dyDescent="0.35">
      <c r="A22" t="s">
        <v>53</v>
      </c>
      <c r="B22">
        <v>0</v>
      </c>
      <c r="C22">
        <v>0.22572122839455289</v>
      </c>
      <c r="D22">
        <v>2.8588617589778766</v>
      </c>
    </row>
    <row r="23" spans="1:4" x14ac:dyDescent="0.35">
      <c r="A23" t="s">
        <v>87</v>
      </c>
      <c r="B23">
        <v>0</v>
      </c>
      <c r="C23">
        <v>0</v>
      </c>
      <c r="D23">
        <v>3.166063053038096</v>
      </c>
    </row>
    <row r="24" spans="1:4" x14ac:dyDescent="0.35">
      <c r="A24" t="s">
        <v>62</v>
      </c>
      <c r="B24">
        <v>0</v>
      </c>
      <c r="C24">
        <v>3.352756989556628</v>
      </c>
      <c r="D24">
        <v>3.3312550778874876</v>
      </c>
    </row>
    <row r="25" spans="1:4" x14ac:dyDescent="0.35">
      <c r="A25" t="s">
        <v>54</v>
      </c>
      <c r="B25">
        <v>0</v>
      </c>
      <c r="C25">
        <v>4.4859688507140061E-3</v>
      </c>
      <c r="D25">
        <v>4.5572739794241075</v>
      </c>
    </row>
    <row r="26" spans="1:4" x14ac:dyDescent="0.35">
      <c r="A26" t="s">
        <v>65</v>
      </c>
      <c r="B26">
        <v>1.92293740259294</v>
      </c>
      <c r="C26">
        <v>5.1246102263411091</v>
      </c>
      <c r="D26">
        <v>4.7257919700699027</v>
      </c>
    </row>
    <row r="27" spans="1:4" x14ac:dyDescent="0.35">
      <c r="A27" t="s">
        <v>57</v>
      </c>
      <c r="B27">
        <v>0</v>
      </c>
      <c r="C27">
        <v>5.709581299920961</v>
      </c>
      <c r="D27">
        <v>5.1689345118262544</v>
      </c>
    </row>
    <row r="28" spans="1:4" x14ac:dyDescent="0.35">
      <c r="A28" t="s">
        <v>72</v>
      </c>
      <c r="B28">
        <v>0</v>
      </c>
      <c r="C28">
        <v>5.4529964068259842</v>
      </c>
      <c r="D28">
        <v>5.2667646689038072</v>
      </c>
    </row>
    <row r="29" spans="1:4" x14ac:dyDescent="0.35">
      <c r="A29" t="s">
        <v>64</v>
      </c>
      <c r="B29">
        <v>0</v>
      </c>
      <c r="C29">
        <v>6.3519577670475691</v>
      </c>
      <c r="D29">
        <v>5.7391152671552623</v>
      </c>
    </row>
    <row r="30" spans="1:4" x14ac:dyDescent="0.35">
      <c r="A30" t="s">
        <v>75</v>
      </c>
      <c r="B30">
        <v>0</v>
      </c>
      <c r="C30">
        <v>1.3895520354428401</v>
      </c>
      <c r="D30">
        <v>7.0490331050606132</v>
      </c>
    </row>
    <row r="31" spans="1:4" x14ac:dyDescent="0.35">
      <c r="A31" t="s">
        <v>79</v>
      </c>
      <c r="B31">
        <v>0</v>
      </c>
      <c r="C31">
        <v>5.8700234392393922</v>
      </c>
      <c r="D31">
        <v>7.0685523769048926</v>
      </c>
    </row>
    <row r="32" spans="1:4" x14ac:dyDescent="0.35">
      <c r="A32" t="s">
        <v>60</v>
      </c>
      <c r="B32">
        <v>0</v>
      </c>
      <c r="C32">
        <v>0.70529343036584291</v>
      </c>
      <c r="D32">
        <v>7.1280606585475681</v>
      </c>
    </row>
    <row r="33" spans="1:4" x14ac:dyDescent="0.35">
      <c r="A33" t="s">
        <v>88</v>
      </c>
      <c r="B33">
        <v>0</v>
      </c>
      <c r="C33">
        <v>9.3206153743674882</v>
      </c>
      <c r="D33">
        <v>8.4758227438758347</v>
      </c>
    </row>
    <row r="34" spans="1:4" x14ac:dyDescent="0.35">
      <c r="A34" t="s">
        <v>77</v>
      </c>
      <c r="B34">
        <v>0</v>
      </c>
      <c r="C34">
        <v>9.5274497174500095</v>
      </c>
      <c r="D34">
        <v>8.928667078948779</v>
      </c>
    </row>
    <row r="35" spans="1:4" x14ac:dyDescent="0.35">
      <c r="A35" t="s">
        <v>50</v>
      </c>
      <c r="B35">
        <v>0</v>
      </c>
      <c r="C35">
        <v>10.305849689900079</v>
      </c>
      <c r="D35">
        <v>9.1895959498746951</v>
      </c>
    </row>
    <row r="36" spans="1:4" x14ac:dyDescent="0.35">
      <c r="A36" t="s">
        <v>98</v>
      </c>
      <c r="B36" s="3">
        <v>8.1711452857998328</v>
      </c>
      <c r="C36" s="3">
        <v>10.293177863764198</v>
      </c>
      <c r="D36" s="3">
        <v>10.432233706901258</v>
      </c>
    </row>
    <row r="37" spans="1:4" x14ac:dyDescent="0.35">
      <c r="A37" t="s">
        <v>85</v>
      </c>
      <c r="B37">
        <v>0</v>
      </c>
      <c r="C37">
        <v>9.448961438279122</v>
      </c>
      <c r="D37">
        <v>10.567021904097372</v>
      </c>
    </row>
    <row r="38" spans="1:4" x14ac:dyDescent="0.35">
      <c r="A38" t="s">
        <v>82</v>
      </c>
      <c r="B38">
        <v>0.56636114180024388</v>
      </c>
      <c r="C38">
        <v>11.182729863782834</v>
      </c>
      <c r="D38">
        <v>10.831897463504209</v>
      </c>
    </row>
    <row r="39" spans="1:4" x14ac:dyDescent="0.35">
      <c r="A39" t="s">
        <v>66</v>
      </c>
      <c r="B39">
        <v>6.0603703338540411</v>
      </c>
      <c r="C39">
        <v>13.195682040216365</v>
      </c>
      <c r="D39">
        <v>11.953671244313533</v>
      </c>
    </row>
    <row r="40" spans="1:4" x14ac:dyDescent="0.35">
      <c r="A40" t="s">
        <v>91</v>
      </c>
      <c r="B40">
        <v>8.262376791455722</v>
      </c>
      <c r="C40">
        <v>10.555278888432397</v>
      </c>
      <c r="D40">
        <v>12.084161201313416</v>
      </c>
    </row>
    <row r="41" spans="1:4" x14ac:dyDescent="0.35">
      <c r="A41" t="s">
        <v>71</v>
      </c>
      <c r="B41">
        <v>0</v>
      </c>
      <c r="C41">
        <v>13.037061273554757</v>
      </c>
      <c r="D41">
        <v>14.053897724393797</v>
      </c>
    </row>
    <row r="42" spans="1:4" x14ac:dyDescent="0.35">
      <c r="A42" t="s">
        <v>68</v>
      </c>
      <c r="B42">
        <v>0</v>
      </c>
      <c r="C42">
        <v>11.626658368783776</v>
      </c>
      <c r="D42">
        <v>15.996116939512664</v>
      </c>
    </row>
    <row r="43" spans="1:4" x14ac:dyDescent="0.35">
      <c r="A43" t="s">
        <v>84</v>
      </c>
      <c r="B43">
        <v>0</v>
      </c>
      <c r="C43">
        <v>0.64238894399017155</v>
      </c>
      <c r="D43">
        <v>16.228744655588287</v>
      </c>
    </row>
    <row r="44" spans="1:4" x14ac:dyDescent="0.35">
      <c r="A44" t="s">
        <v>67</v>
      </c>
      <c r="B44">
        <v>0</v>
      </c>
      <c r="C44">
        <v>21.07582283113706</v>
      </c>
      <c r="D44">
        <v>22.881554702193021</v>
      </c>
    </row>
    <row r="45" spans="1:4" x14ac:dyDescent="0.35">
      <c r="A45" t="s">
        <v>70</v>
      </c>
      <c r="B45">
        <v>0</v>
      </c>
      <c r="C45">
        <v>6.9354240640603297</v>
      </c>
      <c r="D45">
        <v>23.808711102930751</v>
      </c>
    </row>
    <row r="46" spans="1:4" x14ac:dyDescent="0.35">
      <c r="A46" t="s">
        <v>89</v>
      </c>
      <c r="B46">
        <v>50.795822481251555</v>
      </c>
      <c r="C46">
        <v>43.116535444261082</v>
      </c>
      <c r="D46">
        <v>37.883930620766314</v>
      </c>
    </row>
    <row r="47" spans="1:4" x14ac:dyDescent="0.35">
      <c r="A47" t="s">
        <v>61</v>
      </c>
      <c r="B47">
        <v>0</v>
      </c>
      <c r="C47">
        <v>54.497157297633848</v>
      </c>
      <c r="D47">
        <v>38.167125193710874</v>
      </c>
    </row>
    <row r="48" spans="1:4" x14ac:dyDescent="0.35">
      <c r="A48" t="s">
        <v>80</v>
      </c>
      <c r="B48">
        <v>0</v>
      </c>
      <c r="C48">
        <v>35.908626907969982</v>
      </c>
      <c r="D48">
        <v>42.511639672715482</v>
      </c>
    </row>
    <row r="49" spans="1:4" x14ac:dyDescent="0.35">
      <c r="A49" t="s">
        <v>69</v>
      </c>
      <c r="B49">
        <v>0</v>
      </c>
      <c r="C49">
        <v>66.004949006308863</v>
      </c>
      <c r="D49">
        <v>62.918898242733405</v>
      </c>
    </row>
    <row r="59" spans="1:4" x14ac:dyDescent="0.35">
      <c r="A59" t="s">
        <v>93</v>
      </c>
      <c r="B59" t="s">
        <v>197</v>
      </c>
      <c r="C59" t="s">
        <v>198</v>
      </c>
      <c r="D59" t="s">
        <v>199</v>
      </c>
    </row>
    <row r="60" spans="1:4" x14ac:dyDescent="0.35">
      <c r="A60" t="s">
        <v>45</v>
      </c>
      <c r="B60">
        <v>0</v>
      </c>
      <c r="C60">
        <v>0</v>
      </c>
      <c r="D60">
        <v>0</v>
      </c>
    </row>
    <row r="61" spans="1:4" x14ac:dyDescent="0.35">
      <c r="A61" t="s">
        <v>48</v>
      </c>
      <c r="B61">
        <v>0.74866570633001328</v>
      </c>
      <c r="C61">
        <v>0</v>
      </c>
      <c r="D61">
        <v>0</v>
      </c>
    </row>
    <row r="62" spans="1:4" x14ac:dyDescent="0.35">
      <c r="A62" t="s">
        <v>55</v>
      </c>
      <c r="B62">
        <v>0</v>
      </c>
      <c r="C62">
        <v>0</v>
      </c>
      <c r="D62">
        <v>0</v>
      </c>
    </row>
    <row r="63" spans="1:4" x14ac:dyDescent="0.35">
      <c r="A63" t="s">
        <v>56</v>
      </c>
      <c r="B63">
        <v>0</v>
      </c>
      <c r="C63">
        <v>0</v>
      </c>
      <c r="D63">
        <v>0</v>
      </c>
    </row>
    <row r="64" spans="1:4" x14ac:dyDescent="0.35">
      <c r="A64" t="s">
        <v>58</v>
      </c>
      <c r="B64">
        <v>0</v>
      </c>
      <c r="C64">
        <v>0</v>
      </c>
      <c r="D64">
        <v>0</v>
      </c>
    </row>
    <row r="65" spans="1:4" x14ac:dyDescent="0.35">
      <c r="A65" t="s">
        <v>81</v>
      </c>
      <c r="B65">
        <v>0</v>
      </c>
      <c r="C65">
        <v>0</v>
      </c>
      <c r="D65">
        <v>0</v>
      </c>
    </row>
    <row r="66" spans="1:4" x14ac:dyDescent="0.35">
      <c r="A66" t="s">
        <v>83</v>
      </c>
      <c r="B66">
        <v>0</v>
      </c>
      <c r="C66">
        <v>0</v>
      </c>
      <c r="D66">
        <v>0</v>
      </c>
    </row>
    <row r="67" spans="1:4" x14ac:dyDescent="0.35">
      <c r="A67" t="s">
        <v>46</v>
      </c>
      <c r="B67">
        <v>0</v>
      </c>
      <c r="C67">
        <v>0.53719546173436805</v>
      </c>
      <c r="D67">
        <v>2.0834680773705585E-3</v>
      </c>
    </row>
    <row r="68" spans="1:4" x14ac:dyDescent="0.35">
      <c r="A68" t="s">
        <v>47</v>
      </c>
      <c r="B68">
        <v>0</v>
      </c>
      <c r="C68">
        <v>0</v>
      </c>
      <c r="D68">
        <v>1.5726963144386104E-2</v>
      </c>
    </row>
    <row r="69" spans="1:4" x14ac:dyDescent="0.35">
      <c r="A69" t="s">
        <v>51</v>
      </c>
      <c r="B69">
        <v>0</v>
      </c>
      <c r="C69">
        <v>0</v>
      </c>
      <c r="D69">
        <v>0.11105324997962983</v>
      </c>
    </row>
    <row r="70" spans="1:4" x14ac:dyDescent="0.35">
      <c r="A70" t="s">
        <v>63</v>
      </c>
      <c r="B70">
        <v>0</v>
      </c>
      <c r="C70">
        <v>0.53375632381490701</v>
      </c>
      <c r="D70">
        <v>0.45573449456448667</v>
      </c>
    </row>
    <row r="71" spans="1:4" x14ac:dyDescent="0.35">
      <c r="A71" t="s">
        <v>78</v>
      </c>
      <c r="B71">
        <v>3.5168230393081639</v>
      </c>
      <c r="C71">
        <v>2.4361012847643838E-2</v>
      </c>
      <c r="D71">
        <v>0.85432005786482601</v>
      </c>
    </row>
    <row r="72" spans="1:4" x14ac:dyDescent="0.35">
      <c r="A72" t="s">
        <v>59</v>
      </c>
      <c r="B72">
        <v>0</v>
      </c>
      <c r="C72">
        <v>0</v>
      </c>
      <c r="D72">
        <v>0.87168966892509914</v>
      </c>
    </row>
    <row r="73" spans="1:4" x14ac:dyDescent="0.35">
      <c r="A73" t="s">
        <v>74</v>
      </c>
      <c r="B73">
        <v>0</v>
      </c>
      <c r="C73">
        <v>1.1707651055333528</v>
      </c>
      <c r="D73">
        <v>1.0557122584451177</v>
      </c>
    </row>
    <row r="74" spans="1:4" x14ac:dyDescent="0.35">
      <c r="A74" t="s">
        <v>90</v>
      </c>
      <c r="B74">
        <v>0</v>
      </c>
      <c r="C74">
        <v>0.71933600409018006</v>
      </c>
      <c r="D74">
        <v>1.2094311652077474</v>
      </c>
    </row>
    <row r="75" spans="1:4" x14ac:dyDescent="0.35">
      <c r="A75" t="s">
        <v>49</v>
      </c>
      <c r="B75">
        <v>1.190151679133066</v>
      </c>
      <c r="C75">
        <v>1.3480298830126805</v>
      </c>
      <c r="D75">
        <v>1.3870658076061657</v>
      </c>
    </row>
    <row r="76" spans="1:4" x14ac:dyDescent="0.35">
      <c r="A76" t="s">
        <v>73</v>
      </c>
      <c r="B76">
        <v>0</v>
      </c>
      <c r="C76">
        <v>0.57789845421193153</v>
      </c>
      <c r="D76">
        <v>1.4619190340729584</v>
      </c>
    </row>
    <row r="77" spans="1:4" x14ac:dyDescent="0.35">
      <c r="A77" t="s">
        <v>76</v>
      </c>
      <c r="B77">
        <v>0.47679899647275681</v>
      </c>
      <c r="C77">
        <v>1.6269099262355917</v>
      </c>
      <c r="D77">
        <v>2.120746774024012</v>
      </c>
    </row>
    <row r="78" spans="1:4" x14ac:dyDescent="0.35">
      <c r="A78" t="s">
        <v>86</v>
      </c>
      <c r="B78">
        <v>0</v>
      </c>
      <c r="C78">
        <v>1.3996670331613827</v>
      </c>
      <c r="D78">
        <v>2.5895332732804746</v>
      </c>
    </row>
    <row r="79" spans="1:4" x14ac:dyDescent="0.35">
      <c r="A79" t="s">
        <v>52</v>
      </c>
      <c r="B79">
        <v>0</v>
      </c>
      <c r="C79">
        <v>2.0483139487553865</v>
      </c>
      <c r="D79">
        <v>2.613169192589726</v>
      </c>
    </row>
    <row r="80" spans="1:4" x14ac:dyDescent="0.35">
      <c r="A80" t="s">
        <v>53</v>
      </c>
      <c r="B80">
        <v>0</v>
      </c>
      <c r="C80">
        <v>0.22572122839455289</v>
      </c>
      <c r="D80">
        <v>2.8588617589778766</v>
      </c>
    </row>
    <row r="81" spans="1:4" x14ac:dyDescent="0.35">
      <c r="A81" t="s">
        <v>87</v>
      </c>
      <c r="B81">
        <v>0</v>
      </c>
      <c r="C81">
        <v>0</v>
      </c>
      <c r="D81">
        <v>3.166063053038096</v>
      </c>
    </row>
    <row r="82" spans="1:4" x14ac:dyDescent="0.35">
      <c r="A82" t="s">
        <v>62</v>
      </c>
      <c r="B82">
        <v>0</v>
      </c>
      <c r="C82">
        <v>3.352756989556628</v>
      </c>
      <c r="D82">
        <v>3.3312550778874876</v>
      </c>
    </row>
    <row r="83" spans="1:4" x14ac:dyDescent="0.35">
      <c r="A83" t="s">
        <v>54</v>
      </c>
      <c r="B83">
        <v>0</v>
      </c>
      <c r="C83">
        <v>4.4859688507140061E-3</v>
      </c>
      <c r="D83">
        <v>4.5572739794241075</v>
      </c>
    </row>
    <row r="84" spans="1:4" x14ac:dyDescent="0.35">
      <c r="A84" t="s">
        <v>65</v>
      </c>
      <c r="B84">
        <v>1.92293740259294</v>
      </c>
      <c r="C84">
        <v>5.1246102263411091</v>
      </c>
      <c r="D84">
        <v>4.7257919700699027</v>
      </c>
    </row>
    <row r="85" spans="1:4" x14ac:dyDescent="0.35">
      <c r="A85" t="s">
        <v>57</v>
      </c>
      <c r="B85">
        <v>0</v>
      </c>
      <c r="C85">
        <v>5.709581299920961</v>
      </c>
      <c r="D85">
        <v>5.1689345118262544</v>
      </c>
    </row>
    <row r="86" spans="1:4" x14ac:dyDescent="0.35">
      <c r="A86" t="s">
        <v>72</v>
      </c>
      <c r="B86">
        <v>0</v>
      </c>
      <c r="C86">
        <v>5.4529964068259842</v>
      </c>
      <c r="D86">
        <v>5.2667646689038072</v>
      </c>
    </row>
    <row r="87" spans="1:4" x14ac:dyDescent="0.35">
      <c r="A87" t="s">
        <v>64</v>
      </c>
      <c r="B87">
        <v>0</v>
      </c>
      <c r="C87">
        <v>6.3519577670475691</v>
      </c>
      <c r="D87">
        <v>5.7391152671552623</v>
      </c>
    </row>
    <row r="88" spans="1:4" x14ac:dyDescent="0.35">
      <c r="A88" t="s">
        <v>75</v>
      </c>
      <c r="B88">
        <v>0</v>
      </c>
      <c r="C88">
        <v>1.3895520354428401</v>
      </c>
      <c r="D88">
        <v>7.0490331050606132</v>
      </c>
    </row>
    <row r="89" spans="1:4" x14ac:dyDescent="0.35">
      <c r="A89" t="s">
        <v>79</v>
      </c>
      <c r="B89">
        <v>0</v>
      </c>
      <c r="C89">
        <v>5.8700234392393922</v>
      </c>
      <c r="D89">
        <v>7.0685523769048926</v>
      </c>
    </row>
    <row r="90" spans="1:4" x14ac:dyDescent="0.35">
      <c r="A90" t="s">
        <v>60</v>
      </c>
      <c r="B90">
        <v>0</v>
      </c>
      <c r="C90">
        <v>0.70529343036584291</v>
      </c>
      <c r="D90">
        <v>7.1280606585475681</v>
      </c>
    </row>
    <row r="91" spans="1:4" x14ac:dyDescent="0.35">
      <c r="A91" t="s">
        <v>88</v>
      </c>
      <c r="B91">
        <v>0</v>
      </c>
      <c r="C91">
        <v>9.3206153743674882</v>
      </c>
      <c r="D91">
        <v>8.4758227438758347</v>
      </c>
    </row>
    <row r="92" spans="1:4" x14ac:dyDescent="0.35">
      <c r="A92" t="s">
        <v>77</v>
      </c>
      <c r="B92">
        <v>0</v>
      </c>
      <c r="C92">
        <v>9.5274497174500095</v>
      </c>
      <c r="D92">
        <v>8.928667078948779</v>
      </c>
    </row>
    <row r="93" spans="1:4" x14ac:dyDescent="0.35">
      <c r="A93" t="s">
        <v>50</v>
      </c>
      <c r="B93">
        <v>0</v>
      </c>
      <c r="C93">
        <v>10.305849689900079</v>
      </c>
      <c r="D93">
        <v>9.1895959498746951</v>
      </c>
    </row>
    <row r="94" spans="1:4" x14ac:dyDescent="0.35">
      <c r="A94" t="s">
        <v>85</v>
      </c>
      <c r="B94">
        <v>0</v>
      </c>
      <c r="C94">
        <v>9.448961438279122</v>
      </c>
      <c r="D94">
        <v>10.567021904097372</v>
      </c>
    </row>
    <row r="95" spans="1:4" x14ac:dyDescent="0.35">
      <c r="A95" t="s">
        <v>82</v>
      </c>
      <c r="B95">
        <v>0.56636114180024388</v>
      </c>
      <c r="C95">
        <v>11.182729863782834</v>
      </c>
      <c r="D95">
        <v>10.831897463504209</v>
      </c>
    </row>
    <row r="96" spans="1:4" x14ac:dyDescent="0.35">
      <c r="A96" t="s">
        <v>66</v>
      </c>
      <c r="B96">
        <v>6.0603703338540411</v>
      </c>
      <c r="C96">
        <v>13.195682040216365</v>
      </c>
      <c r="D96">
        <v>11.953671244313533</v>
      </c>
    </row>
    <row r="97" spans="1:4" x14ac:dyDescent="0.35">
      <c r="A97" t="s">
        <v>91</v>
      </c>
      <c r="B97">
        <v>8.262376791455722</v>
      </c>
      <c r="C97">
        <v>10.555278888432397</v>
      </c>
      <c r="D97">
        <v>12.084161201313416</v>
      </c>
    </row>
    <row r="98" spans="1:4" x14ac:dyDescent="0.35">
      <c r="A98" t="s">
        <v>71</v>
      </c>
      <c r="B98">
        <v>0</v>
      </c>
      <c r="C98">
        <v>13.037061273554757</v>
      </c>
      <c r="D98">
        <v>14.053897724393797</v>
      </c>
    </row>
    <row r="99" spans="1:4" x14ac:dyDescent="0.35">
      <c r="A99" t="s">
        <v>68</v>
      </c>
      <c r="B99">
        <v>0</v>
      </c>
      <c r="C99">
        <v>11.626658368783776</v>
      </c>
      <c r="D99">
        <v>15.996116939512664</v>
      </c>
    </row>
    <row r="100" spans="1:4" x14ac:dyDescent="0.35">
      <c r="A100" t="s">
        <v>84</v>
      </c>
      <c r="B100">
        <v>0</v>
      </c>
      <c r="C100">
        <v>0.64238894399017155</v>
      </c>
      <c r="D100">
        <v>16.228744655588287</v>
      </c>
    </row>
    <row r="101" spans="1:4" x14ac:dyDescent="0.35">
      <c r="A101" t="s">
        <v>67</v>
      </c>
      <c r="B101">
        <v>0</v>
      </c>
      <c r="C101">
        <v>21.07582283113706</v>
      </c>
      <c r="D101">
        <v>22.881554702193021</v>
      </c>
    </row>
    <row r="102" spans="1:4" x14ac:dyDescent="0.35">
      <c r="A102" t="s">
        <v>70</v>
      </c>
      <c r="B102">
        <v>0</v>
      </c>
      <c r="C102">
        <v>6.9354240640603297</v>
      </c>
      <c r="D102">
        <v>23.808711102930751</v>
      </c>
    </row>
    <row r="103" spans="1:4" x14ac:dyDescent="0.35">
      <c r="A103" t="s">
        <v>89</v>
      </c>
      <c r="B103">
        <v>50.795822481251555</v>
      </c>
      <c r="C103">
        <v>43.116535444261082</v>
      </c>
      <c r="D103">
        <v>37.883930620766314</v>
      </c>
    </row>
    <row r="104" spans="1:4" x14ac:dyDescent="0.35">
      <c r="A104" t="s">
        <v>61</v>
      </c>
      <c r="B104">
        <v>0</v>
      </c>
      <c r="C104">
        <v>54.497157297633848</v>
      </c>
      <c r="D104">
        <v>38.167125193710874</v>
      </c>
    </row>
    <row r="105" spans="1:4" x14ac:dyDescent="0.35">
      <c r="A105" t="s">
        <v>80</v>
      </c>
      <c r="B105">
        <v>0</v>
      </c>
      <c r="C105">
        <v>35.908626907969982</v>
      </c>
      <c r="D105">
        <v>42.511639672715482</v>
      </c>
    </row>
    <row r="106" spans="1:4" x14ac:dyDescent="0.35">
      <c r="A106" t="s">
        <v>69</v>
      </c>
      <c r="B106">
        <v>0</v>
      </c>
      <c r="C106">
        <v>66.004949006308863</v>
      </c>
      <c r="D106">
        <v>62.918898242733405</v>
      </c>
    </row>
    <row r="107" spans="1:4" x14ac:dyDescent="0.35">
      <c r="A107" t="s">
        <v>98</v>
      </c>
    </row>
  </sheetData>
  <autoFilter ref="B1:D48" xr:uid="{63BD28E7-4DC0-426C-8B3C-CD3CB418765C}"/>
  <sortState xmlns:xlrd2="http://schemas.microsoft.com/office/spreadsheetml/2017/richdata2" ref="A2:D49">
    <sortCondition ref="D2:D49"/>
  </sortState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7A139-B10A-47C4-A1A1-6DB2914FBEC5}">
  <dimension ref="A1:D49"/>
  <sheetViews>
    <sheetView topLeftCell="A40" workbookViewId="0">
      <selection activeCell="B55" sqref="B55"/>
    </sheetView>
  </sheetViews>
  <sheetFormatPr defaultRowHeight="14.5" x14ac:dyDescent="0.35"/>
  <sheetData>
    <row r="1" spans="1:4" x14ac:dyDescent="0.35">
      <c r="A1" t="s">
        <v>93</v>
      </c>
      <c r="B1" t="s">
        <v>197</v>
      </c>
      <c r="C1" t="s">
        <v>198</v>
      </c>
      <c r="D1" t="s">
        <v>199</v>
      </c>
    </row>
    <row r="2" spans="1:4" x14ac:dyDescent="0.35">
      <c r="A2" t="s">
        <v>58</v>
      </c>
      <c r="B2">
        <v>0.41736987796396086</v>
      </c>
      <c r="C2">
        <v>9.8604441482922525</v>
      </c>
      <c r="D2">
        <v>1.6064460590182004</v>
      </c>
    </row>
    <row r="3" spans="1:4" x14ac:dyDescent="0.35">
      <c r="A3" t="s">
        <v>78</v>
      </c>
      <c r="B3">
        <v>3.5168230393081639</v>
      </c>
      <c r="C3">
        <v>1.5878951101600574</v>
      </c>
      <c r="D3">
        <v>2.5989823492576525</v>
      </c>
    </row>
    <row r="4" spans="1:4" x14ac:dyDescent="0.35">
      <c r="A4" t="s">
        <v>51</v>
      </c>
      <c r="B4">
        <v>0</v>
      </c>
      <c r="C4">
        <v>6.7165810365391669</v>
      </c>
      <c r="D4">
        <v>2.9859846717331378</v>
      </c>
    </row>
    <row r="5" spans="1:4" x14ac:dyDescent="0.35">
      <c r="A5" t="s">
        <v>49</v>
      </c>
      <c r="B5">
        <v>2.5997358022034818</v>
      </c>
      <c r="C5">
        <v>3.7258388690907043</v>
      </c>
      <c r="D5">
        <v>4.6584670006919868</v>
      </c>
    </row>
    <row r="6" spans="1:4" x14ac:dyDescent="0.35">
      <c r="A6" t="s">
        <v>56</v>
      </c>
      <c r="B6">
        <v>10.196628401866455</v>
      </c>
      <c r="C6">
        <v>6.0778575947122118</v>
      </c>
      <c r="D6">
        <v>7.2792150105252142</v>
      </c>
    </row>
    <row r="7" spans="1:4" x14ac:dyDescent="0.35">
      <c r="A7" t="s">
        <v>53</v>
      </c>
      <c r="B7">
        <v>0.79959545467464954</v>
      </c>
      <c r="C7">
        <v>2.017751502518264</v>
      </c>
      <c r="D7">
        <v>7.8017480569011566</v>
      </c>
    </row>
    <row r="8" spans="1:4" x14ac:dyDescent="0.35">
      <c r="A8" t="s">
        <v>55</v>
      </c>
      <c r="B8">
        <v>12.024721454691029</v>
      </c>
      <c r="C8">
        <v>15.650893614499799</v>
      </c>
      <c r="D8">
        <v>9.0076044008087113</v>
      </c>
    </row>
    <row r="9" spans="1:4" x14ac:dyDescent="0.35">
      <c r="A9" t="s">
        <v>47</v>
      </c>
      <c r="B9">
        <v>14.614796652216302</v>
      </c>
      <c r="C9">
        <v>9.7917342838875214</v>
      </c>
      <c r="D9">
        <v>10.453140826335456</v>
      </c>
    </row>
    <row r="10" spans="1:4" x14ac:dyDescent="0.35">
      <c r="A10" t="s">
        <v>73</v>
      </c>
      <c r="B10">
        <v>0</v>
      </c>
      <c r="C10">
        <v>7.1545032586550068</v>
      </c>
      <c r="D10">
        <v>10.512715984650592</v>
      </c>
    </row>
    <row r="11" spans="1:4" x14ac:dyDescent="0.35">
      <c r="A11" t="s">
        <v>86</v>
      </c>
      <c r="B11">
        <v>0</v>
      </c>
      <c r="C11">
        <v>9.7409129744276033</v>
      </c>
      <c r="D11">
        <v>11.808674908975751</v>
      </c>
    </row>
    <row r="12" spans="1:4" x14ac:dyDescent="0.35">
      <c r="A12" t="s">
        <v>72</v>
      </c>
      <c r="B12">
        <v>0</v>
      </c>
      <c r="C12">
        <v>8.0755087562350063</v>
      </c>
      <c r="D12">
        <v>12.845430559235803</v>
      </c>
    </row>
    <row r="13" spans="1:4" x14ac:dyDescent="0.35">
      <c r="A13" t="s">
        <v>66</v>
      </c>
      <c r="B13">
        <v>6.0603703338540411</v>
      </c>
      <c r="C13">
        <v>14.409554161257576</v>
      </c>
      <c r="D13">
        <v>13.053290667041477</v>
      </c>
    </row>
    <row r="14" spans="1:4" x14ac:dyDescent="0.35">
      <c r="A14" t="s">
        <v>57</v>
      </c>
      <c r="B14">
        <v>2.1941080188751148</v>
      </c>
      <c r="C14">
        <v>20.123567561819524</v>
      </c>
      <c r="D14">
        <v>13.387900643835712</v>
      </c>
    </row>
    <row r="15" spans="1:4" x14ac:dyDescent="0.35">
      <c r="A15" t="s">
        <v>79</v>
      </c>
      <c r="B15">
        <v>18.948340028845195</v>
      </c>
      <c r="C15">
        <v>26.795572759104093</v>
      </c>
      <c r="D15">
        <v>13.891883050958661</v>
      </c>
    </row>
    <row r="16" spans="1:4" x14ac:dyDescent="0.35">
      <c r="A16" t="s">
        <v>62</v>
      </c>
      <c r="B16">
        <v>5.2634633263197068E-2</v>
      </c>
      <c r="C16">
        <v>14.399424930053186</v>
      </c>
      <c r="D16">
        <v>15.250791281886587</v>
      </c>
    </row>
    <row r="17" spans="1:4" x14ac:dyDescent="0.35">
      <c r="A17" t="s">
        <v>46</v>
      </c>
      <c r="B17">
        <v>0.23023672082940894</v>
      </c>
      <c r="C17">
        <v>16.090283115757977</v>
      </c>
      <c r="D17">
        <v>16.295060637006831</v>
      </c>
    </row>
    <row r="18" spans="1:4" x14ac:dyDescent="0.35">
      <c r="A18" t="s">
        <v>71</v>
      </c>
      <c r="B18">
        <v>7.376609200407995E-2</v>
      </c>
      <c r="C18">
        <v>16.426697204678998</v>
      </c>
      <c r="D18">
        <v>17.207717189217753</v>
      </c>
    </row>
    <row r="19" spans="1:4" x14ac:dyDescent="0.35">
      <c r="A19" t="s">
        <v>82</v>
      </c>
      <c r="B19">
        <v>3.62765344332312</v>
      </c>
      <c r="C19">
        <v>21.98985560686101</v>
      </c>
      <c r="D19">
        <v>17.279709823939974</v>
      </c>
    </row>
    <row r="20" spans="1:4" x14ac:dyDescent="0.35">
      <c r="A20" t="s">
        <v>59</v>
      </c>
      <c r="B20">
        <v>4.8233798869882084E-2</v>
      </c>
      <c r="C20">
        <v>13.241536883738439</v>
      </c>
      <c r="D20">
        <v>17.296472403260356</v>
      </c>
    </row>
    <row r="21" spans="1:4" x14ac:dyDescent="0.35">
      <c r="A21" t="s">
        <v>54</v>
      </c>
      <c r="B21">
        <v>1.2590068834158492</v>
      </c>
      <c r="C21">
        <v>2.4352402332447465</v>
      </c>
      <c r="D21">
        <v>19.134534593819922</v>
      </c>
    </row>
    <row r="22" spans="1:4" x14ac:dyDescent="0.35">
      <c r="A22" t="s">
        <v>90</v>
      </c>
      <c r="B22">
        <v>3.5799203096873948</v>
      </c>
      <c r="C22">
        <v>18.153842927853422</v>
      </c>
      <c r="D22">
        <v>20.979369324854559</v>
      </c>
    </row>
    <row r="23" spans="1:4" x14ac:dyDescent="0.35">
      <c r="A23" t="s">
        <v>87</v>
      </c>
      <c r="B23">
        <v>3.0521599889356406</v>
      </c>
      <c r="C23">
        <v>11.995776998980709</v>
      </c>
      <c r="D23">
        <v>21.077761406905779</v>
      </c>
    </row>
    <row r="24" spans="1:4" x14ac:dyDescent="0.35">
      <c r="A24" t="s">
        <v>60</v>
      </c>
      <c r="B24">
        <v>0</v>
      </c>
      <c r="C24">
        <v>15.914090035785666</v>
      </c>
      <c r="D24">
        <v>21.333867423538706</v>
      </c>
    </row>
    <row r="25" spans="1:4" x14ac:dyDescent="0.35">
      <c r="A25" t="s">
        <v>84</v>
      </c>
      <c r="B25">
        <v>6.5428464914254931</v>
      </c>
      <c r="C25">
        <v>2.747643800037169</v>
      </c>
      <c r="D25">
        <v>21.943167738064904</v>
      </c>
    </row>
    <row r="26" spans="1:4" x14ac:dyDescent="0.35">
      <c r="A26" t="s">
        <v>65</v>
      </c>
      <c r="B26">
        <v>8.8612065344123181</v>
      </c>
      <c r="C26">
        <v>20.294363506970317</v>
      </c>
      <c r="D26">
        <v>22.610200047155839</v>
      </c>
    </row>
    <row r="27" spans="1:4" x14ac:dyDescent="0.35">
      <c r="A27" t="s">
        <v>88</v>
      </c>
      <c r="B27">
        <v>0.89780388445123283</v>
      </c>
      <c r="C27">
        <v>27.897223189840187</v>
      </c>
      <c r="D27">
        <v>23.934903744456289</v>
      </c>
    </row>
    <row r="28" spans="1:4" x14ac:dyDescent="0.35">
      <c r="A28" t="s">
        <v>74</v>
      </c>
      <c r="B28">
        <v>0.65189065656343048</v>
      </c>
      <c r="C28">
        <v>26.819887037558036</v>
      </c>
      <c r="D28">
        <v>24.184256416460755</v>
      </c>
    </row>
    <row r="29" spans="1:4" x14ac:dyDescent="0.35">
      <c r="A29" t="s">
        <v>63</v>
      </c>
      <c r="B29">
        <v>6.8078117931802522</v>
      </c>
      <c r="C29">
        <v>19.721611861981561</v>
      </c>
      <c r="D29">
        <v>25.853652875942235</v>
      </c>
    </row>
    <row r="30" spans="1:4" x14ac:dyDescent="0.35">
      <c r="A30" t="s">
        <v>91</v>
      </c>
      <c r="B30">
        <v>11.673558066785303</v>
      </c>
      <c r="C30">
        <v>24.478839748437824</v>
      </c>
      <c r="D30">
        <v>25.895700272536768</v>
      </c>
    </row>
    <row r="31" spans="1:4" x14ac:dyDescent="0.35">
      <c r="A31" t="s">
        <v>64</v>
      </c>
      <c r="B31">
        <v>4.7249960526987653</v>
      </c>
      <c r="C31">
        <v>10.707936531957847</v>
      </c>
      <c r="D31">
        <v>26.021236160614649</v>
      </c>
    </row>
    <row r="32" spans="1:4" x14ac:dyDescent="0.35">
      <c r="A32" t="s">
        <v>98</v>
      </c>
      <c r="B32">
        <v>8.3497580937222491</v>
      </c>
      <c r="C32">
        <v>26.690656580821251</v>
      </c>
      <c r="D32">
        <v>27.342382346071645</v>
      </c>
    </row>
    <row r="33" spans="1:4" x14ac:dyDescent="0.35">
      <c r="A33" t="s">
        <v>68</v>
      </c>
      <c r="B33">
        <v>3.0424825943562523</v>
      </c>
      <c r="C33">
        <v>18.43441627004292</v>
      </c>
      <c r="D33">
        <v>28.237952683290491</v>
      </c>
    </row>
    <row r="34" spans="1:4" x14ac:dyDescent="0.35">
      <c r="A34" t="s">
        <v>67</v>
      </c>
      <c r="B34">
        <v>2.921509466191333</v>
      </c>
      <c r="C34">
        <v>32.016341165466521</v>
      </c>
      <c r="D34">
        <v>30.758335221751548</v>
      </c>
    </row>
    <row r="35" spans="1:4" x14ac:dyDescent="0.35">
      <c r="A35" t="s">
        <v>48</v>
      </c>
      <c r="B35">
        <v>4.5100343754820074</v>
      </c>
      <c r="C35">
        <v>30.541625355382433</v>
      </c>
      <c r="D35">
        <v>31.089269196228852</v>
      </c>
    </row>
    <row r="36" spans="1:4" x14ac:dyDescent="0.35">
      <c r="A36" t="s">
        <v>85</v>
      </c>
      <c r="B36">
        <v>4.3563068051715703</v>
      </c>
      <c r="C36">
        <v>36.776829849021532</v>
      </c>
      <c r="D36">
        <v>31.953268649492806</v>
      </c>
    </row>
    <row r="37" spans="1:4" x14ac:dyDescent="0.35">
      <c r="A37" t="s">
        <v>50</v>
      </c>
      <c r="B37">
        <v>4.33515582298869E-2</v>
      </c>
      <c r="C37">
        <v>32.732492290732871</v>
      </c>
      <c r="D37">
        <v>32.677825618073008</v>
      </c>
    </row>
    <row r="38" spans="1:4" x14ac:dyDescent="0.35">
      <c r="A38" t="s">
        <v>77</v>
      </c>
      <c r="B38">
        <v>0</v>
      </c>
      <c r="C38">
        <v>39.793314199454151</v>
      </c>
      <c r="D38">
        <v>32.852091573059646</v>
      </c>
    </row>
    <row r="39" spans="1:4" x14ac:dyDescent="0.35">
      <c r="A39" t="s">
        <v>81</v>
      </c>
      <c r="B39">
        <v>1.4451090799300157</v>
      </c>
      <c r="C39">
        <v>52.284427284427281</v>
      </c>
      <c r="D39">
        <v>36.42137080117601</v>
      </c>
    </row>
    <row r="40" spans="1:4" x14ac:dyDescent="0.35">
      <c r="A40" t="s">
        <v>52</v>
      </c>
      <c r="B40">
        <v>141.90465607289701</v>
      </c>
      <c r="C40">
        <v>92.384211175916022</v>
      </c>
      <c r="D40">
        <v>41.402684045284943</v>
      </c>
    </row>
    <row r="41" spans="1:4" x14ac:dyDescent="0.35">
      <c r="A41" t="s">
        <v>76</v>
      </c>
      <c r="B41">
        <v>2.099658039284515</v>
      </c>
      <c r="C41">
        <v>25.972782615996739</v>
      </c>
      <c r="D41">
        <v>42.24648380749376</v>
      </c>
    </row>
    <row r="42" spans="1:4" x14ac:dyDescent="0.35">
      <c r="A42" t="s">
        <v>70</v>
      </c>
      <c r="B42">
        <v>4.5987266541496687</v>
      </c>
      <c r="C42">
        <v>28.355269603105992</v>
      </c>
      <c r="D42">
        <v>43.559097746969861</v>
      </c>
    </row>
    <row r="43" spans="1:4" x14ac:dyDescent="0.35">
      <c r="A43" t="s">
        <v>89</v>
      </c>
      <c r="B43">
        <v>58.880912819428268</v>
      </c>
      <c r="C43">
        <v>45.975234006565493</v>
      </c>
      <c r="D43">
        <v>45.262166963612259</v>
      </c>
    </row>
    <row r="44" spans="1:4" x14ac:dyDescent="0.35">
      <c r="A44" t="s">
        <v>80</v>
      </c>
      <c r="B44">
        <v>2.4069145827721221</v>
      </c>
      <c r="C44">
        <v>39.643124106398872</v>
      </c>
      <c r="D44">
        <v>46.22297905575703</v>
      </c>
    </row>
    <row r="45" spans="1:4" x14ac:dyDescent="0.35">
      <c r="A45" t="s">
        <v>83</v>
      </c>
      <c r="B45">
        <v>0</v>
      </c>
      <c r="C45">
        <v>50.726957061522185</v>
      </c>
      <c r="D45">
        <v>54.452272032846714</v>
      </c>
    </row>
    <row r="46" spans="1:4" x14ac:dyDescent="0.35">
      <c r="A46" t="s">
        <v>75</v>
      </c>
      <c r="B46">
        <v>0</v>
      </c>
      <c r="C46">
        <v>49.136103919964881</v>
      </c>
      <c r="D46">
        <v>56.818910790883159</v>
      </c>
    </row>
    <row r="47" spans="1:4" x14ac:dyDescent="0.35">
      <c r="A47" t="s">
        <v>45</v>
      </c>
      <c r="B47">
        <v>5.2630711233142405E-2</v>
      </c>
      <c r="C47">
        <v>57.067989613472768</v>
      </c>
      <c r="D47">
        <v>81.723256247054991</v>
      </c>
    </row>
    <row r="48" spans="1:4" x14ac:dyDescent="0.35">
      <c r="A48" t="s">
        <v>61</v>
      </c>
      <c r="B48">
        <v>41.678626581503138</v>
      </c>
      <c r="C48">
        <v>103.65145603667615</v>
      </c>
      <c r="D48">
        <v>88.53557152009499</v>
      </c>
    </row>
    <row r="49" spans="1:4" x14ac:dyDescent="0.35">
      <c r="A49" t="s">
        <v>69</v>
      </c>
      <c r="B49">
        <v>1.0414966499729863</v>
      </c>
      <c r="C49">
        <v>113.92541549951613</v>
      </c>
      <c r="D49">
        <v>102.68854878266576</v>
      </c>
    </row>
  </sheetData>
  <sortState xmlns:xlrd2="http://schemas.microsoft.com/office/spreadsheetml/2017/richdata2" ref="A2:D49">
    <sortCondition ref="D2:D49"/>
  </sortState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0B0C4-8F05-4D9C-8704-CFC947F2BF2F}">
  <dimension ref="A1:D43"/>
  <sheetViews>
    <sheetView topLeftCell="A39" workbookViewId="0">
      <selection activeCell="F41" sqref="F41"/>
    </sheetView>
  </sheetViews>
  <sheetFormatPr defaultRowHeight="14.5" x14ac:dyDescent="0.35"/>
  <cols>
    <col min="1" max="1" width="17.453125" bestFit="1" customWidth="1"/>
  </cols>
  <sheetData>
    <row r="1" spans="1:4" ht="56.5" x14ac:dyDescent="0.35">
      <c r="B1" s="19" t="s">
        <v>197</v>
      </c>
      <c r="C1" s="19" t="s">
        <v>198</v>
      </c>
      <c r="D1" s="19" t="s">
        <v>199</v>
      </c>
    </row>
    <row r="2" spans="1:4" x14ac:dyDescent="0.35">
      <c r="A2" t="s">
        <v>265</v>
      </c>
      <c r="B2" s="3">
        <v>11.13650671070585</v>
      </c>
      <c r="C2" s="3">
        <v>23.576970255075228</v>
      </c>
      <c r="D2" s="3">
        <v>26.824343944304964</v>
      </c>
    </row>
    <row r="26" spans="1:4" x14ac:dyDescent="0.35">
      <c r="B26">
        <v>2013</v>
      </c>
      <c r="C26">
        <v>2018</v>
      </c>
      <c r="D26">
        <v>2022</v>
      </c>
    </row>
    <row r="27" spans="1:4" x14ac:dyDescent="0.35">
      <c r="A27" t="s">
        <v>39</v>
      </c>
      <c r="B27" s="3">
        <v>1.4360619707825135</v>
      </c>
      <c r="C27" s="3">
        <v>3.4003387838166272</v>
      </c>
      <c r="D27" s="3">
        <v>5.3272558356958237</v>
      </c>
    </row>
    <row r="28" spans="1:4" x14ac:dyDescent="0.35">
      <c r="A28" t="s">
        <v>224</v>
      </c>
      <c r="B28" s="3">
        <v>7.8859215776329581</v>
      </c>
      <c r="C28" s="3">
        <v>15.694911183818338</v>
      </c>
      <c r="D28" s="3">
        <v>16.808155188707438</v>
      </c>
    </row>
    <row r="29" spans="1:4" x14ac:dyDescent="0.35">
      <c r="A29" t="s">
        <v>225</v>
      </c>
      <c r="B29" s="3">
        <v>1.2350517318887642</v>
      </c>
      <c r="C29" s="3">
        <v>1.975870818811178</v>
      </c>
      <c r="D29" s="3">
        <v>2.5573688553151626</v>
      </c>
    </row>
    <row r="30" spans="1:4" x14ac:dyDescent="0.35">
      <c r="A30" t="s">
        <v>43</v>
      </c>
      <c r="B30" s="3">
        <v>0.15328749771229525</v>
      </c>
      <c r="C30" s="3">
        <v>0.44274520045280896</v>
      </c>
      <c r="D30" s="3">
        <v>0.37161166510087645</v>
      </c>
    </row>
    <row r="31" spans="1:4" x14ac:dyDescent="0.35">
      <c r="A31" t="s">
        <v>42</v>
      </c>
      <c r="B31" s="3">
        <v>0.26443342356580612</v>
      </c>
      <c r="C31" s="3">
        <v>1.0906498566266449</v>
      </c>
      <c r="D31" s="3">
        <v>0.72882071991244723</v>
      </c>
    </row>
    <row r="39" spans="1:2" x14ac:dyDescent="0.35">
      <c r="A39" t="s">
        <v>271</v>
      </c>
    </row>
    <row r="40" spans="1:2" x14ac:dyDescent="0.35">
      <c r="A40" t="s">
        <v>223</v>
      </c>
      <c r="B40">
        <v>7.77</v>
      </c>
    </row>
    <row r="41" spans="1:2" x14ac:dyDescent="0.35">
      <c r="A41" t="s">
        <v>272</v>
      </c>
      <c r="B41">
        <v>58.64</v>
      </c>
    </row>
    <row r="42" spans="1:2" x14ac:dyDescent="0.35">
      <c r="A42" t="s">
        <v>43</v>
      </c>
      <c r="B42">
        <v>5.28</v>
      </c>
    </row>
    <row r="43" spans="1:2" x14ac:dyDescent="0.35">
      <c r="A43" t="s">
        <v>42</v>
      </c>
      <c r="B43">
        <v>14.72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F4A47-387D-4302-B511-4BEF94F5CE1F}">
  <sheetPr filterMode="1"/>
  <dimension ref="A1:H55"/>
  <sheetViews>
    <sheetView workbookViewId="0">
      <selection activeCell="K58" sqref="K58"/>
    </sheetView>
  </sheetViews>
  <sheetFormatPr defaultRowHeight="14.5" x14ac:dyDescent="0.35"/>
  <cols>
    <col min="1" max="1" width="30.7265625" customWidth="1"/>
  </cols>
  <sheetData>
    <row r="1" spans="1:8" ht="15" thickBot="1" x14ac:dyDescent="0.4">
      <c r="A1" s="28" t="s">
        <v>258</v>
      </c>
      <c r="B1" s="29">
        <v>398</v>
      </c>
      <c r="C1" s="29">
        <v>1164</v>
      </c>
      <c r="D1" s="30">
        <v>1258</v>
      </c>
      <c r="F1">
        <f>47*33</f>
        <v>1551</v>
      </c>
    </row>
    <row r="2" spans="1:8" x14ac:dyDescent="0.35">
      <c r="B2" s="5">
        <f>B1/1551</f>
        <v>0.25660863958736302</v>
      </c>
      <c r="C2" s="5">
        <f t="shared" ref="C2:D2" si="0">C1/1551</f>
        <v>0.75048355899419728</v>
      </c>
      <c r="D2" s="5">
        <f t="shared" si="0"/>
        <v>0.81108961960025794</v>
      </c>
    </row>
    <row r="6" spans="1:8" ht="15" thickBot="1" x14ac:dyDescent="0.4"/>
    <row r="7" spans="1:8" ht="52.5" thickBot="1" x14ac:dyDescent="0.4">
      <c r="A7" s="31" t="s">
        <v>259</v>
      </c>
      <c r="B7" s="32" t="s">
        <v>93</v>
      </c>
      <c r="C7" s="33" t="s">
        <v>260</v>
      </c>
      <c r="D7" s="33" t="s">
        <v>261</v>
      </c>
      <c r="E7" s="34" t="s">
        <v>262</v>
      </c>
      <c r="F7">
        <v>2013</v>
      </c>
      <c r="G7">
        <v>2018</v>
      </c>
      <c r="H7">
        <v>2022</v>
      </c>
    </row>
    <row r="8" spans="1:8" ht="15" hidden="1" thickBot="1" x14ac:dyDescent="0.4">
      <c r="A8" s="35">
        <v>1</v>
      </c>
      <c r="B8" s="36" t="s">
        <v>45</v>
      </c>
      <c r="C8" s="37">
        <v>5</v>
      </c>
      <c r="D8" s="37">
        <v>30</v>
      </c>
      <c r="E8" s="37">
        <v>30</v>
      </c>
      <c r="F8">
        <f>C8-33</f>
        <v>-28</v>
      </c>
      <c r="G8">
        <f t="shared" ref="G8:H8" si="1">D8-33</f>
        <v>-3</v>
      </c>
      <c r="H8">
        <f t="shared" si="1"/>
        <v>-3</v>
      </c>
    </row>
    <row r="9" spans="1:8" ht="15" hidden="1" thickBot="1" x14ac:dyDescent="0.4">
      <c r="A9" s="38">
        <v>2</v>
      </c>
      <c r="B9" s="39" t="s">
        <v>46</v>
      </c>
      <c r="C9" s="40">
        <v>4</v>
      </c>
      <c r="D9" s="40">
        <v>28</v>
      </c>
      <c r="E9" s="40">
        <v>32</v>
      </c>
      <c r="F9">
        <f t="shared" ref="F9:F55" si="2">C9-33</f>
        <v>-29</v>
      </c>
      <c r="G9">
        <f t="shared" ref="G9:G55" si="3">D9-33</f>
        <v>-5</v>
      </c>
      <c r="H9">
        <f t="shared" ref="H9:H55" si="4">E9-33</f>
        <v>-1</v>
      </c>
    </row>
    <row r="10" spans="1:8" ht="15" hidden="1" thickBot="1" x14ac:dyDescent="0.4">
      <c r="A10" s="41">
        <v>3</v>
      </c>
      <c r="B10" s="36" t="s">
        <v>47</v>
      </c>
      <c r="C10" s="37">
        <v>9</v>
      </c>
      <c r="D10" s="37">
        <v>25</v>
      </c>
      <c r="E10" s="37">
        <v>26</v>
      </c>
      <c r="F10">
        <f t="shared" si="2"/>
        <v>-24</v>
      </c>
      <c r="G10">
        <f t="shared" si="3"/>
        <v>-8</v>
      </c>
      <c r="H10">
        <f t="shared" si="4"/>
        <v>-7</v>
      </c>
    </row>
    <row r="11" spans="1:8" ht="15" hidden="1" thickBot="1" x14ac:dyDescent="0.4">
      <c r="A11" s="38">
        <v>4</v>
      </c>
      <c r="B11" s="39" t="s">
        <v>48</v>
      </c>
      <c r="C11" s="40">
        <v>8</v>
      </c>
      <c r="D11" s="40">
        <v>25</v>
      </c>
      <c r="E11" s="40">
        <v>25</v>
      </c>
      <c r="F11">
        <f t="shared" si="2"/>
        <v>-25</v>
      </c>
      <c r="G11">
        <f t="shared" si="3"/>
        <v>-8</v>
      </c>
      <c r="H11">
        <f t="shared" si="4"/>
        <v>-8</v>
      </c>
    </row>
    <row r="12" spans="1:8" ht="26.5" hidden="1" thickBot="1" x14ac:dyDescent="0.4">
      <c r="A12" s="41">
        <v>5</v>
      </c>
      <c r="B12" s="36" t="s">
        <v>49</v>
      </c>
      <c r="C12" s="37">
        <v>13</v>
      </c>
      <c r="D12" s="37">
        <v>30</v>
      </c>
      <c r="E12" s="37">
        <v>32</v>
      </c>
      <c r="F12">
        <f t="shared" si="2"/>
        <v>-20</v>
      </c>
      <c r="G12">
        <f t="shared" si="3"/>
        <v>-3</v>
      </c>
      <c r="H12">
        <f t="shared" si="4"/>
        <v>-1</v>
      </c>
    </row>
    <row r="13" spans="1:8" ht="15" hidden="1" thickBot="1" x14ac:dyDescent="0.4">
      <c r="A13" s="38">
        <v>6</v>
      </c>
      <c r="B13" s="39" t="s">
        <v>50</v>
      </c>
      <c r="C13" s="40">
        <v>11</v>
      </c>
      <c r="D13" s="40">
        <v>25</v>
      </c>
      <c r="E13" s="40">
        <v>27</v>
      </c>
      <c r="F13">
        <f t="shared" si="2"/>
        <v>-22</v>
      </c>
      <c r="G13">
        <f t="shared" si="3"/>
        <v>-8</v>
      </c>
      <c r="H13">
        <f t="shared" si="4"/>
        <v>-6</v>
      </c>
    </row>
    <row r="14" spans="1:8" ht="15" thickBot="1" x14ac:dyDescent="0.4">
      <c r="A14" s="41">
        <v>7</v>
      </c>
      <c r="B14" s="36" t="s">
        <v>51</v>
      </c>
      <c r="C14" s="37">
        <v>7</v>
      </c>
      <c r="D14" s="37">
        <v>16</v>
      </c>
      <c r="E14" s="37">
        <v>33</v>
      </c>
      <c r="F14">
        <f t="shared" si="2"/>
        <v>-26</v>
      </c>
      <c r="G14">
        <f t="shared" si="3"/>
        <v>-17</v>
      </c>
      <c r="H14">
        <f t="shared" si="4"/>
        <v>0</v>
      </c>
    </row>
    <row r="15" spans="1:8" ht="15" hidden="1" thickBot="1" x14ac:dyDescent="0.4">
      <c r="A15" s="38">
        <v>8</v>
      </c>
      <c r="B15" s="39" t="s">
        <v>263</v>
      </c>
      <c r="C15" s="40">
        <v>4</v>
      </c>
      <c r="D15" s="40">
        <v>29</v>
      </c>
      <c r="E15" s="40">
        <v>29</v>
      </c>
      <c r="F15">
        <f t="shared" si="2"/>
        <v>-29</v>
      </c>
      <c r="G15">
        <f t="shared" si="3"/>
        <v>-4</v>
      </c>
      <c r="H15">
        <f t="shared" si="4"/>
        <v>-4</v>
      </c>
    </row>
    <row r="16" spans="1:8" ht="39.5" hidden="1" thickBot="1" x14ac:dyDescent="0.4">
      <c r="A16" s="41">
        <v>9</v>
      </c>
      <c r="B16" s="36" t="s">
        <v>53</v>
      </c>
      <c r="C16" s="37">
        <v>10</v>
      </c>
      <c r="D16" s="37">
        <v>26</v>
      </c>
      <c r="E16" s="37">
        <v>27</v>
      </c>
      <c r="F16">
        <f t="shared" si="2"/>
        <v>-23</v>
      </c>
      <c r="G16">
        <f t="shared" si="3"/>
        <v>-7</v>
      </c>
      <c r="H16">
        <f t="shared" si="4"/>
        <v>-6</v>
      </c>
    </row>
    <row r="17" spans="1:8" ht="15" hidden="1" thickBot="1" x14ac:dyDescent="0.4">
      <c r="A17" s="38">
        <v>10</v>
      </c>
      <c r="B17" s="39" t="s">
        <v>54</v>
      </c>
      <c r="C17" s="40">
        <v>6</v>
      </c>
      <c r="D17" s="40">
        <v>28</v>
      </c>
      <c r="E17" s="40">
        <v>30</v>
      </c>
      <c r="F17">
        <f t="shared" si="2"/>
        <v>-27</v>
      </c>
      <c r="G17">
        <f t="shared" si="3"/>
        <v>-5</v>
      </c>
      <c r="H17">
        <f t="shared" si="4"/>
        <v>-3</v>
      </c>
    </row>
    <row r="18" spans="1:8" ht="15" hidden="1" thickBot="1" x14ac:dyDescent="0.4">
      <c r="A18" s="41">
        <v>11</v>
      </c>
      <c r="B18" s="36" t="s">
        <v>55</v>
      </c>
      <c r="C18" s="37">
        <v>8</v>
      </c>
      <c r="D18" s="37">
        <v>17</v>
      </c>
      <c r="E18" s="37">
        <v>17</v>
      </c>
      <c r="F18">
        <f t="shared" si="2"/>
        <v>-25</v>
      </c>
      <c r="G18">
        <f t="shared" si="3"/>
        <v>-16</v>
      </c>
      <c r="H18">
        <f t="shared" si="4"/>
        <v>-16</v>
      </c>
    </row>
    <row r="19" spans="1:8" ht="15" hidden="1" thickBot="1" x14ac:dyDescent="0.4">
      <c r="A19" s="38">
        <v>12</v>
      </c>
      <c r="B19" s="39" t="s">
        <v>56</v>
      </c>
      <c r="C19" s="40">
        <v>8</v>
      </c>
      <c r="D19" s="40">
        <v>20</v>
      </c>
      <c r="E19" s="40">
        <v>21</v>
      </c>
      <c r="F19">
        <f t="shared" si="2"/>
        <v>-25</v>
      </c>
      <c r="G19">
        <f t="shared" si="3"/>
        <v>-13</v>
      </c>
      <c r="H19">
        <f t="shared" si="4"/>
        <v>-12</v>
      </c>
    </row>
    <row r="20" spans="1:8" ht="26.5" hidden="1" thickBot="1" x14ac:dyDescent="0.4">
      <c r="A20" s="41">
        <v>13</v>
      </c>
      <c r="B20" s="36" t="s">
        <v>57</v>
      </c>
      <c r="C20" s="37">
        <v>17</v>
      </c>
      <c r="D20" s="37">
        <v>28</v>
      </c>
      <c r="E20" s="37">
        <v>29</v>
      </c>
      <c r="F20">
        <f t="shared" si="2"/>
        <v>-16</v>
      </c>
      <c r="G20">
        <f t="shared" si="3"/>
        <v>-5</v>
      </c>
      <c r="H20">
        <f t="shared" si="4"/>
        <v>-4</v>
      </c>
    </row>
    <row r="21" spans="1:8" ht="15" hidden="1" thickBot="1" x14ac:dyDescent="0.4">
      <c r="A21" s="38">
        <v>14</v>
      </c>
      <c r="B21" s="39" t="s">
        <v>58</v>
      </c>
      <c r="C21" s="40">
        <v>11</v>
      </c>
      <c r="D21" s="40">
        <v>21</v>
      </c>
      <c r="E21" s="40">
        <v>21</v>
      </c>
      <c r="F21">
        <f t="shared" si="2"/>
        <v>-22</v>
      </c>
      <c r="G21">
        <f t="shared" si="3"/>
        <v>-12</v>
      </c>
      <c r="H21">
        <f t="shared" si="4"/>
        <v>-12</v>
      </c>
    </row>
    <row r="22" spans="1:8" ht="26.5" hidden="1" thickBot="1" x14ac:dyDescent="0.4">
      <c r="A22" s="41">
        <v>15</v>
      </c>
      <c r="B22" s="36" t="s">
        <v>59</v>
      </c>
      <c r="C22" s="37">
        <v>2</v>
      </c>
      <c r="D22" s="37">
        <v>13</v>
      </c>
      <c r="E22" s="37">
        <v>19</v>
      </c>
      <c r="F22">
        <f t="shared" si="2"/>
        <v>-31</v>
      </c>
      <c r="G22">
        <f t="shared" si="3"/>
        <v>-20</v>
      </c>
      <c r="H22">
        <f t="shared" si="4"/>
        <v>-14</v>
      </c>
    </row>
    <row r="23" spans="1:8" ht="15" hidden="1" thickBot="1" x14ac:dyDescent="0.4">
      <c r="A23" s="38">
        <v>16</v>
      </c>
      <c r="B23" s="39" t="s">
        <v>60</v>
      </c>
      <c r="C23" s="40">
        <v>4</v>
      </c>
      <c r="D23" s="40">
        <v>20</v>
      </c>
      <c r="E23" s="40">
        <v>23</v>
      </c>
      <c r="F23">
        <f t="shared" si="2"/>
        <v>-29</v>
      </c>
      <c r="G23">
        <f t="shared" si="3"/>
        <v>-13</v>
      </c>
      <c r="H23">
        <f t="shared" si="4"/>
        <v>-10</v>
      </c>
    </row>
    <row r="24" spans="1:8" ht="15" hidden="1" thickBot="1" x14ac:dyDescent="0.4">
      <c r="A24" s="41">
        <v>17</v>
      </c>
      <c r="B24" s="36" t="s">
        <v>61</v>
      </c>
      <c r="C24" s="37">
        <v>5</v>
      </c>
      <c r="D24" s="37">
        <v>29</v>
      </c>
      <c r="E24" s="37">
        <v>32</v>
      </c>
      <c r="F24">
        <f t="shared" si="2"/>
        <v>-28</v>
      </c>
      <c r="G24">
        <f t="shared" si="3"/>
        <v>-4</v>
      </c>
      <c r="H24">
        <f t="shared" si="4"/>
        <v>-1</v>
      </c>
    </row>
    <row r="25" spans="1:8" ht="15" hidden="1" thickBot="1" x14ac:dyDescent="0.4">
      <c r="A25" s="38">
        <v>18</v>
      </c>
      <c r="B25" s="39" t="s">
        <v>62</v>
      </c>
      <c r="C25" s="40">
        <v>4</v>
      </c>
      <c r="D25" s="40">
        <v>27</v>
      </c>
      <c r="E25" s="40">
        <v>28</v>
      </c>
      <c r="F25">
        <f t="shared" si="2"/>
        <v>-29</v>
      </c>
      <c r="G25">
        <f t="shared" si="3"/>
        <v>-6</v>
      </c>
      <c r="H25">
        <f t="shared" si="4"/>
        <v>-5</v>
      </c>
    </row>
    <row r="26" spans="1:8" ht="15" thickBot="1" x14ac:dyDescent="0.4">
      <c r="A26" s="41">
        <v>19</v>
      </c>
      <c r="B26" s="36" t="s">
        <v>63</v>
      </c>
      <c r="C26" s="37">
        <v>4</v>
      </c>
      <c r="D26" s="37">
        <v>33</v>
      </c>
      <c r="E26" s="37">
        <v>33</v>
      </c>
      <c r="F26">
        <f t="shared" si="2"/>
        <v>-29</v>
      </c>
      <c r="G26">
        <f t="shared" si="3"/>
        <v>0</v>
      </c>
      <c r="H26">
        <f t="shared" si="4"/>
        <v>0</v>
      </c>
    </row>
    <row r="27" spans="1:8" ht="15" hidden="1" thickBot="1" x14ac:dyDescent="0.4">
      <c r="A27" s="38">
        <v>20</v>
      </c>
      <c r="B27" s="39" t="s">
        <v>64</v>
      </c>
      <c r="C27" s="40">
        <v>16</v>
      </c>
      <c r="D27" s="40">
        <v>23</v>
      </c>
      <c r="E27" s="40">
        <v>25</v>
      </c>
      <c r="F27">
        <f t="shared" si="2"/>
        <v>-17</v>
      </c>
      <c r="G27">
        <f t="shared" si="3"/>
        <v>-10</v>
      </c>
      <c r="H27">
        <f t="shared" si="4"/>
        <v>-8</v>
      </c>
    </row>
    <row r="28" spans="1:8" ht="15" hidden="1" thickBot="1" x14ac:dyDescent="0.4">
      <c r="A28" s="41">
        <v>21</v>
      </c>
      <c r="B28" s="36" t="s">
        <v>65</v>
      </c>
      <c r="C28" s="37">
        <v>12</v>
      </c>
      <c r="D28" s="37">
        <v>28</v>
      </c>
      <c r="E28" s="37">
        <v>31</v>
      </c>
      <c r="F28">
        <f t="shared" si="2"/>
        <v>-21</v>
      </c>
      <c r="G28">
        <f t="shared" si="3"/>
        <v>-5</v>
      </c>
      <c r="H28">
        <f t="shared" si="4"/>
        <v>-2</v>
      </c>
    </row>
    <row r="29" spans="1:8" ht="15" hidden="1" thickBot="1" x14ac:dyDescent="0.4">
      <c r="A29" s="38">
        <v>22</v>
      </c>
      <c r="B29" s="39" t="s">
        <v>66</v>
      </c>
      <c r="C29" s="40">
        <v>8</v>
      </c>
      <c r="D29" s="40">
        <v>19</v>
      </c>
      <c r="E29" s="40">
        <v>20</v>
      </c>
      <c r="F29">
        <f t="shared" si="2"/>
        <v>-25</v>
      </c>
      <c r="G29">
        <f t="shared" si="3"/>
        <v>-14</v>
      </c>
      <c r="H29">
        <f t="shared" si="4"/>
        <v>-13</v>
      </c>
    </row>
    <row r="30" spans="1:8" ht="26.5" hidden="1" thickBot="1" x14ac:dyDescent="0.4">
      <c r="A30" s="41">
        <v>23</v>
      </c>
      <c r="B30" s="36" t="s">
        <v>67</v>
      </c>
      <c r="C30" s="37">
        <v>8</v>
      </c>
      <c r="D30" s="37">
        <v>29</v>
      </c>
      <c r="E30" s="37">
        <v>29</v>
      </c>
      <c r="F30">
        <f t="shared" si="2"/>
        <v>-25</v>
      </c>
      <c r="G30">
        <f t="shared" si="3"/>
        <v>-4</v>
      </c>
      <c r="H30">
        <f t="shared" si="4"/>
        <v>-4</v>
      </c>
    </row>
    <row r="31" spans="1:8" ht="15" hidden="1" thickBot="1" x14ac:dyDescent="0.4">
      <c r="A31" s="38">
        <v>24</v>
      </c>
      <c r="B31" s="39" t="s">
        <v>68</v>
      </c>
      <c r="C31" s="40">
        <v>9</v>
      </c>
      <c r="D31" s="40">
        <v>18</v>
      </c>
      <c r="E31" s="40">
        <v>25</v>
      </c>
      <c r="F31">
        <f t="shared" si="2"/>
        <v>-24</v>
      </c>
      <c r="G31">
        <f t="shared" si="3"/>
        <v>-15</v>
      </c>
      <c r="H31">
        <f t="shared" si="4"/>
        <v>-8</v>
      </c>
    </row>
    <row r="32" spans="1:8" ht="15" hidden="1" thickBot="1" x14ac:dyDescent="0.4">
      <c r="A32" s="41">
        <v>25</v>
      </c>
      <c r="B32" s="36" t="s">
        <v>69</v>
      </c>
      <c r="C32" s="37">
        <v>2</v>
      </c>
      <c r="D32" s="37">
        <v>29</v>
      </c>
      <c r="E32" s="37">
        <v>29</v>
      </c>
      <c r="F32">
        <f t="shared" si="2"/>
        <v>-31</v>
      </c>
      <c r="G32">
        <f t="shared" si="3"/>
        <v>-4</v>
      </c>
      <c r="H32">
        <f t="shared" si="4"/>
        <v>-4</v>
      </c>
    </row>
    <row r="33" spans="1:8" ht="15" hidden="1" thickBot="1" x14ac:dyDescent="0.4">
      <c r="A33" s="38">
        <v>26</v>
      </c>
      <c r="B33" s="39" t="s">
        <v>70</v>
      </c>
      <c r="C33" s="40">
        <v>4</v>
      </c>
      <c r="D33" s="40">
        <v>24</v>
      </c>
      <c r="E33" s="40">
        <v>24</v>
      </c>
      <c r="F33">
        <f t="shared" si="2"/>
        <v>-29</v>
      </c>
      <c r="G33">
        <f t="shared" si="3"/>
        <v>-9</v>
      </c>
      <c r="H33">
        <f t="shared" si="4"/>
        <v>-9</v>
      </c>
    </row>
    <row r="34" spans="1:8" ht="26.5" hidden="1" thickBot="1" x14ac:dyDescent="0.4">
      <c r="A34" s="41">
        <v>27</v>
      </c>
      <c r="B34" s="36" t="s">
        <v>71</v>
      </c>
      <c r="C34" s="37">
        <v>9</v>
      </c>
      <c r="D34" s="37">
        <v>25</v>
      </c>
      <c r="E34" s="37">
        <v>25</v>
      </c>
      <c r="F34">
        <f t="shared" si="2"/>
        <v>-24</v>
      </c>
      <c r="G34">
        <f t="shared" si="3"/>
        <v>-8</v>
      </c>
      <c r="H34">
        <f t="shared" si="4"/>
        <v>-8</v>
      </c>
    </row>
    <row r="35" spans="1:8" ht="15" hidden="1" thickBot="1" x14ac:dyDescent="0.4">
      <c r="A35" s="38">
        <v>28</v>
      </c>
      <c r="B35" s="39" t="s">
        <v>72</v>
      </c>
      <c r="C35" s="40">
        <v>6</v>
      </c>
      <c r="D35" s="40">
        <v>23</v>
      </c>
      <c r="E35" s="40">
        <v>29</v>
      </c>
      <c r="F35">
        <f t="shared" si="2"/>
        <v>-27</v>
      </c>
      <c r="G35">
        <f t="shared" si="3"/>
        <v>-10</v>
      </c>
      <c r="H35">
        <f t="shared" si="4"/>
        <v>-4</v>
      </c>
    </row>
    <row r="36" spans="1:8" ht="15" hidden="1" thickBot="1" x14ac:dyDescent="0.4">
      <c r="A36" s="41">
        <v>29</v>
      </c>
      <c r="B36" s="36" t="s">
        <v>73</v>
      </c>
      <c r="C36" s="37">
        <v>5</v>
      </c>
      <c r="D36" s="37">
        <v>23</v>
      </c>
      <c r="E36" s="37">
        <v>23</v>
      </c>
      <c r="F36">
        <f t="shared" si="2"/>
        <v>-28</v>
      </c>
      <c r="G36">
        <f t="shared" si="3"/>
        <v>-10</v>
      </c>
      <c r="H36">
        <f t="shared" si="4"/>
        <v>-10</v>
      </c>
    </row>
    <row r="37" spans="1:8" ht="15" hidden="1" thickBot="1" x14ac:dyDescent="0.4">
      <c r="A37" s="38">
        <v>30</v>
      </c>
      <c r="B37" s="39" t="s">
        <v>74</v>
      </c>
      <c r="C37" s="40">
        <v>6</v>
      </c>
      <c r="D37" s="40">
        <v>26</v>
      </c>
      <c r="E37" s="40">
        <v>26</v>
      </c>
      <c r="F37">
        <f t="shared" si="2"/>
        <v>-27</v>
      </c>
      <c r="G37">
        <f t="shared" si="3"/>
        <v>-7</v>
      </c>
      <c r="H37">
        <f t="shared" si="4"/>
        <v>-7</v>
      </c>
    </row>
    <row r="38" spans="1:8" ht="15" hidden="1" thickBot="1" x14ac:dyDescent="0.4">
      <c r="A38" s="41">
        <v>31</v>
      </c>
      <c r="B38" s="36" t="s">
        <v>75</v>
      </c>
      <c r="C38" s="37">
        <v>4</v>
      </c>
      <c r="D38" s="37">
        <v>26</v>
      </c>
      <c r="E38" s="37">
        <v>30</v>
      </c>
      <c r="F38">
        <f t="shared" si="2"/>
        <v>-29</v>
      </c>
      <c r="G38">
        <f t="shared" si="3"/>
        <v>-7</v>
      </c>
      <c r="H38">
        <f t="shared" si="4"/>
        <v>-3</v>
      </c>
    </row>
    <row r="39" spans="1:8" ht="26.5" hidden="1" thickBot="1" x14ac:dyDescent="0.4">
      <c r="A39" s="38">
        <v>32</v>
      </c>
      <c r="B39" s="39" t="s">
        <v>76</v>
      </c>
      <c r="C39" s="40">
        <v>17</v>
      </c>
      <c r="D39" s="40">
        <v>28</v>
      </c>
      <c r="E39" s="40">
        <v>31</v>
      </c>
      <c r="F39">
        <f t="shared" si="2"/>
        <v>-16</v>
      </c>
      <c r="G39">
        <f t="shared" si="3"/>
        <v>-5</v>
      </c>
      <c r="H39">
        <f t="shared" si="4"/>
        <v>-2</v>
      </c>
    </row>
    <row r="40" spans="1:8" ht="15" hidden="1" thickBot="1" x14ac:dyDescent="0.4">
      <c r="A40" s="41">
        <v>33</v>
      </c>
      <c r="B40" s="36" t="s">
        <v>77</v>
      </c>
      <c r="C40" s="37">
        <v>4</v>
      </c>
      <c r="D40" s="37">
        <v>28</v>
      </c>
      <c r="E40" s="37">
        <v>31</v>
      </c>
      <c r="F40">
        <f t="shared" si="2"/>
        <v>-29</v>
      </c>
      <c r="G40">
        <f t="shared" si="3"/>
        <v>-5</v>
      </c>
      <c r="H40">
        <f t="shared" si="4"/>
        <v>-2</v>
      </c>
    </row>
    <row r="41" spans="1:8" ht="15" hidden="1" thickBot="1" x14ac:dyDescent="0.4">
      <c r="A41" s="38">
        <v>34</v>
      </c>
      <c r="B41" s="39" t="s">
        <v>78</v>
      </c>
      <c r="C41" s="40">
        <v>8</v>
      </c>
      <c r="D41" s="40">
        <v>24</v>
      </c>
      <c r="E41" s="40">
        <v>26</v>
      </c>
      <c r="F41">
        <f t="shared" si="2"/>
        <v>-25</v>
      </c>
      <c r="G41">
        <f t="shared" si="3"/>
        <v>-9</v>
      </c>
      <c r="H41">
        <f t="shared" si="4"/>
        <v>-7</v>
      </c>
    </row>
    <row r="42" spans="1:8" ht="15" hidden="1" thickBot="1" x14ac:dyDescent="0.4">
      <c r="A42" s="41">
        <v>35</v>
      </c>
      <c r="B42" s="36" t="s">
        <v>79</v>
      </c>
      <c r="C42" s="37">
        <v>7</v>
      </c>
      <c r="D42" s="37">
        <v>26</v>
      </c>
      <c r="E42" s="37">
        <v>26</v>
      </c>
      <c r="F42">
        <f t="shared" si="2"/>
        <v>-26</v>
      </c>
      <c r="G42">
        <f t="shared" si="3"/>
        <v>-7</v>
      </c>
      <c r="H42">
        <f t="shared" si="4"/>
        <v>-7</v>
      </c>
    </row>
    <row r="43" spans="1:8" ht="15" hidden="1" thickBot="1" x14ac:dyDescent="0.4">
      <c r="A43" s="38">
        <v>36</v>
      </c>
      <c r="B43" s="39" t="s">
        <v>80</v>
      </c>
      <c r="C43" s="40">
        <v>13</v>
      </c>
      <c r="D43" s="40">
        <v>18</v>
      </c>
      <c r="E43" s="40">
        <v>20</v>
      </c>
      <c r="F43">
        <f t="shared" si="2"/>
        <v>-20</v>
      </c>
      <c r="G43">
        <f t="shared" si="3"/>
        <v>-15</v>
      </c>
      <c r="H43">
        <f t="shared" si="4"/>
        <v>-13</v>
      </c>
    </row>
    <row r="44" spans="1:8" ht="39.5" hidden="1" thickBot="1" x14ac:dyDescent="0.4">
      <c r="A44" s="41">
        <v>37</v>
      </c>
      <c r="B44" s="36" t="s">
        <v>81</v>
      </c>
      <c r="C44" s="37">
        <v>6</v>
      </c>
      <c r="D44" s="37">
        <v>14</v>
      </c>
      <c r="E44" s="37">
        <v>14</v>
      </c>
      <c r="F44">
        <f t="shared" si="2"/>
        <v>-27</v>
      </c>
      <c r="G44">
        <f t="shared" si="3"/>
        <v>-19</v>
      </c>
      <c r="H44">
        <f t="shared" si="4"/>
        <v>-19</v>
      </c>
    </row>
    <row r="45" spans="1:8" ht="15" hidden="1" thickBot="1" x14ac:dyDescent="0.4">
      <c r="A45" s="38">
        <v>38</v>
      </c>
      <c r="B45" s="39" t="s">
        <v>82</v>
      </c>
      <c r="C45" s="40">
        <v>15</v>
      </c>
      <c r="D45" s="40">
        <v>31</v>
      </c>
      <c r="E45" s="40">
        <v>32</v>
      </c>
      <c r="F45">
        <f t="shared" si="2"/>
        <v>-18</v>
      </c>
      <c r="G45">
        <f t="shared" si="3"/>
        <v>-2</v>
      </c>
      <c r="H45">
        <f t="shared" si="4"/>
        <v>-1</v>
      </c>
    </row>
    <row r="46" spans="1:8" ht="15" hidden="1" thickBot="1" x14ac:dyDescent="0.4">
      <c r="A46" s="41">
        <v>39</v>
      </c>
      <c r="B46" s="36" t="s">
        <v>83</v>
      </c>
      <c r="C46" s="37">
        <v>4</v>
      </c>
      <c r="D46" s="37">
        <v>20</v>
      </c>
      <c r="E46" s="37">
        <v>24</v>
      </c>
      <c r="F46">
        <f t="shared" si="2"/>
        <v>-29</v>
      </c>
      <c r="G46">
        <f t="shared" si="3"/>
        <v>-13</v>
      </c>
      <c r="H46">
        <f t="shared" si="4"/>
        <v>-9</v>
      </c>
    </row>
    <row r="47" spans="1:8" ht="26.5" hidden="1" thickBot="1" x14ac:dyDescent="0.4">
      <c r="A47" s="38">
        <v>40</v>
      </c>
      <c r="B47" s="39" t="s">
        <v>84</v>
      </c>
      <c r="C47" s="40">
        <v>8</v>
      </c>
      <c r="D47" s="40">
        <v>25</v>
      </c>
      <c r="E47" s="40">
        <v>26</v>
      </c>
      <c r="F47">
        <f t="shared" si="2"/>
        <v>-25</v>
      </c>
      <c r="G47">
        <f t="shared" si="3"/>
        <v>-8</v>
      </c>
      <c r="H47">
        <f t="shared" si="4"/>
        <v>-7</v>
      </c>
    </row>
    <row r="48" spans="1:8" ht="26.5" hidden="1" thickBot="1" x14ac:dyDescent="0.4">
      <c r="A48" s="41">
        <v>41</v>
      </c>
      <c r="B48" s="36" t="s">
        <v>85</v>
      </c>
      <c r="C48" s="37">
        <v>12</v>
      </c>
      <c r="D48" s="37">
        <v>25</v>
      </c>
      <c r="E48" s="37">
        <v>28</v>
      </c>
      <c r="F48">
        <f t="shared" si="2"/>
        <v>-21</v>
      </c>
      <c r="G48">
        <f t="shared" si="3"/>
        <v>-8</v>
      </c>
      <c r="H48">
        <f t="shared" si="4"/>
        <v>-5</v>
      </c>
    </row>
    <row r="49" spans="1:8" ht="26.5" hidden="1" thickBot="1" x14ac:dyDescent="0.4">
      <c r="A49" s="38">
        <v>42</v>
      </c>
      <c r="B49" s="39" t="s">
        <v>86</v>
      </c>
      <c r="C49" s="42"/>
      <c r="D49" s="40">
        <v>27</v>
      </c>
      <c r="E49" s="40">
        <v>27</v>
      </c>
      <c r="F49">
        <f t="shared" si="2"/>
        <v>-33</v>
      </c>
      <c r="G49">
        <f t="shared" si="3"/>
        <v>-6</v>
      </c>
      <c r="H49">
        <f t="shared" si="4"/>
        <v>-6</v>
      </c>
    </row>
    <row r="50" spans="1:8" ht="15" hidden="1" thickBot="1" x14ac:dyDescent="0.4">
      <c r="A50" s="41">
        <v>43</v>
      </c>
      <c r="B50" s="36" t="s">
        <v>87</v>
      </c>
      <c r="C50" s="37">
        <v>16</v>
      </c>
      <c r="D50" s="37">
        <v>26</v>
      </c>
      <c r="E50" s="37">
        <v>27</v>
      </c>
      <c r="F50">
        <f t="shared" si="2"/>
        <v>-17</v>
      </c>
      <c r="G50">
        <f t="shared" si="3"/>
        <v>-7</v>
      </c>
      <c r="H50">
        <f t="shared" si="4"/>
        <v>-6</v>
      </c>
    </row>
    <row r="51" spans="1:8" ht="15" hidden="1" thickBot="1" x14ac:dyDescent="0.4">
      <c r="A51" s="38">
        <v>44</v>
      </c>
      <c r="B51" s="39" t="s">
        <v>88</v>
      </c>
      <c r="C51" s="40">
        <v>11</v>
      </c>
      <c r="D51" s="40">
        <v>32</v>
      </c>
      <c r="E51" s="40">
        <v>32</v>
      </c>
      <c r="F51">
        <f t="shared" si="2"/>
        <v>-22</v>
      </c>
      <c r="G51">
        <f t="shared" si="3"/>
        <v>-1</v>
      </c>
      <c r="H51">
        <f t="shared" si="4"/>
        <v>-1</v>
      </c>
    </row>
    <row r="52" spans="1:8" ht="15" hidden="1" thickBot="1" x14ac:dyDescent="0.4">
      <c r="A52" s="41">
        <v>45</v>
      </c>
      <c r="B52" s="36" t="s">
        <v>89</v>
      </c>
      <c r="C52" s="37">
        <v>16</v>
      </c>
      <c r="D52" s="37">
        <v>23</v>
      </c>
      <c r="E52" s="37">
        <v>24</v>
      </c>
      <c r="F52">
        <f t="shared" si="2"/>
        <v>-17</v>
      </c>
      <c r="G52">
        <f t="shared" si="3"/>
        <v>-10</v>
      </c>
      <c r="H52">
        <f t="shared" si="4"/>
        <v>-9</v>
      </c>
    </row>
    <row r="53" spans="1:8" ht="15" hidden="1" thickBot="1" x14ac:dyDescent="0.4">
      <c r="A53" s="38">
        <v>46</v>
      </c>
      <c r="B53" s="39" t="s">
        <v>90</v>
      </c>
      <c r="C53" s="40">
        <v>12</v>
      </c>
      <c r="D53" s="40">
        <v>24</v>
      </c>
      <c r="E53" s="40">
        <v>27</v>
      </c>
      <c r="F53">
        <f t="shared" si="2"/>
        <v>-21</v>
      </c>
      <c r="G53">
        <f t="shared" si="3"/>
        <v>-9</v>
      </c>
      <c r="H53">
        <f t="shared" si="4"/>
        <v>-6</v>
      </c>
    </row>
    <row r="54" spans="1:8" ht="15" thickBot="1" x14ac:dyDescent="0.4">
      <c r="A54" s="41">
        <v>47</v>
      </c>
      <c r="B54" s="36" t="s">
        <v>91</v>
      </c>
      <c r="C54" s="37">
        <v>20</v>
      </c>
      <c r="D54" s="37">
        <v>30</v>
      </c>
      <c r="E54" s="37">
        <v>33</v>
      </c>
      <c r="F54">
        <f t="shared" si="2"/>
        <v>-13</v>
      </c>
      <c r="G54">
        <f t="shared" si="3"/>
        <v>-3</v>
      </c>
      <c r="H54">
        <f t="shared" si="4"/>
        <v>0</v>
      </c>
    </row>
    <row r="55" spans="1:8" ht="52.5" hidden="1" thickBot="1" x14ac:dyDescent="0.4">
      <c r="A55" s="43">
        <v>48</v>
      </c>
      <c r="B55" s="44" t="s">
        <v>258</v>
      </c>
      <c r="C55" s="45">
        <v>398</v>
      </c>
      <c r="D55" s="45">
        <v>1164</v>
      </c>
      <c r="E55" s="45">
        <v>1258</v>
      </c>
      <c r="F55">
        <f t="shared" si="2"/>
        <v>365</v>
      </c>
      <c r="G55">
        <f t="shared" si="3"/>
        <v>1131</v>
      </c>
      <c r="H55">
        <f t="shared" si="4"/>
        <v>1225</v>
      </c>
    </row>
  </sheetData>
  <autoFilter ref="A7:H55" xr:uid="{28DF4A47-387D-4302-B511-4BEF94F5CE1F}">
    <filterColumn colId="7">
      <filters>
        <filter val="0"/>
      </filters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7ABE4-3D98-4043-80C7-FA313980FC85}">
  <dimension ref="A1:F49"/>
  <sheetViews>
    <sheetView topLeftCell="A52" workbookViewId="0">
      <selection activeCell="C36" sqref="C36:F36"/>
    </sheetView>
  </sheetViews>
  <sheetFormatPr defaultRowHeight="14.5" x14ac:dyDescent="0.35"/>
  <cols>
    <col min="2" max="2" width="18.54296875" bestFit="1" customWidth="1"/>
  </cols>
  <sheetData>
    <row r="1" spans="1:6" x14ac:dyDescent="0.35">
      <c r="A1" s="46" t="s">
        <v>270</v>
      </c>
      <c r="B1" s="47" t="s">
        <v>93</v>
      </c>
      <c r="C1" s="21">
        <v>2013</v>
      </c>
      <c r="D1" s="21">
        <v>2018</v>
      </c>
      <c r="E1" s="21">
        <v>2022</v>
      </c>
      <c r="F1" t="s">
        <v>273</v>
      </c>
    </row>
    <row r="2" spans="1:6" x14ac:dyDescent="0.35">
      <c r="A2" s="48">
        <v>1</v>
      </c>
      <c r="B2" s="49" t="s">
        <v>78</v>
      </c>
      <c r="C2" s="50">
        <v>2.9362255771784778</v>
      </c>
      <c r="D2" s="50">
        <v>2.731976858986676</v>
      </c>
      <c r="E2" s="50">
        <v>2.3568659730003425</v>
      </c>
      <c r="F2" s="55">
        <v>80.290000000000006</v>
      </c>
    </row>
    <row r="3" spans="1:6" x14ac:dyDescent="0.35">
      <c r="A3" s="48">
        <v>2</v>
      </c>
      <c r="B3" s="49" t="s">
        <v>53</v>
      </c>
      <c r="C3" s="50">
        <v>2.4570901992606395</v>
      </c>
      <c r="D3" s="50">
        <v>3.9785819996152929</v>
      </c>
      <c r="E3" s="50">
        <v>2.4089830338186218</v>
      </c>
      <c r="F3" s="55">
        <v>80.290000000000006</v>
      </c>
    </row>
    <row r="4" spans="1:6" x14ac:dyDescent="0.35">
      <c r="A4" s="48">
        <v>3</v>
      </c>
      <c r="B4" s="49" t="s">
        <v>54</v>
      </c>
      <c r="C4" s="50">
        <v>3.557602383306083</v>
      </c>
      <c r="D4" s="50">
        <v>4.4808420291703328</v>
      </c>
      <c r="E4" s="50">
        <v>3.5764373051455833</v>
      </c>
      <c r="F4" s="55">
        <v>80.290000000000006</v>
      </c>
    </row>
    <row r="5" spans="1:6" x14ac:dyDescent="0.35">
      <c r="A5" s="48">
        <v>4</v>
      </c>
      <c r="B5" s="49" t="s">
        <v>71</v>
      </c>
      <c r="C5" s="50">
        <v>4.4467387300620373</v>
      </c>
      <c r="D5" s="50">
        <v>5.4640186234792782</v>
      </c>
      <c r="E5" s="50">
        <v>4.761050716296678</v>
      </c>
      <c r="F5" s="55">
        <v>80.290000000000006</v>
      </c>
    </row>
    <row r="6" spans="1:6" x14ac:dyDescent="0.35">
      <c r="A6" s="48">
        <v>5</v>
      </c>
      <c r="B6" s="49" t="s">
        <v>72</v>
      </c>
      <c r="C6" s="50">
        <v>2.4730455662233775</v>
      </c>
      <c r="D6" s="50">
        <v>6.2979495241776151</v>
      </c>
      <c r="E6" s="50">
        <v>6.0858545949756246</v>
      </c>
      <c r="F6" s="55">
        <v>80.290000000000006</v>
      </c>
    </row>
    <row r="7" spans="1:6" x14ac:dyDescent="0.35">
      <c r="A7" s="48">
        <v>6</v>
      </c>
      <c r="B7" s="49" t="s">
        <v>88</v>
      </c>
      <c r="C7" s="50">
        <v>3.5630712154083408</v>
      </c>
      <c r="D7" s="50">
        <v>5.1412514405011063</v>
      </c>
      <c r="E7" s="50">
        <v>6.3003257177536511</v>
      </c>
      <c r="F7" s="55">
        <v>80.290000000000006</v>
      </c>
    </row>
    <row r="8" spans="1:6" x14ac:dyDescent="0.35">
      <c r="A8" s="48">
        <v>7</v>
      </c>
      <c r="B8" s="49" t="s">
        <v>73</v>
      </c>
      <c r="C8" s="50">
        <v>4.8159164598162238</v>
      </c>
      <c r="D8" s="50">
        <v>6.4376483184910729</v>
      </c>
      <c r="E8" s="50">
        <v>6.4341278578313545</v>
      </c>
      <c r="F8" s="55">
        <v>80.290000000000006</v>
      </c>
    </row>
    <row r="9" spans="1:6" x14ac:dyDescent="0.35">
      <c r="A9" s="48">
        <v>8</v>
      </c>
      <c r="B9" s="49" t="s">
        <v>82</v>
      </c>
      <c r="C9" s="50">
        <v>4.5573683566159886</v>
      </c>
      <c r="D9" s="50">
        <v>7.0151292697761525</v>
      </c>
      <c r="E9" s="50">
        <v>6.5171760234407232</v>
      </c>
      <c r="F9" s="55">
        <v>80.290000000000006</v>
      </c>
    </row>
    <row r="10" spans="1:6" x14ac:dyDescent="0.35">
      <c r="A10" s="48">
        <v>9</v>
      </c>
      <c r="B10" s="49" t="s">
        <v>66</v>
      </c>
      <c r="C10" s="50">
        <v>7.4850096287525645</v>
      </c>
      <c r="D10" s="50">
        <v>8.9017288876355476</v>
      </c>
      <c r="E10" s="51">
        <v>6.64</v>
      </c>
      <c r="F10" s="55">
        <v>80.290000000000006</v>
      </c>
    </row>
    <row r="11" spans="1:6" x14ac:dyDescent="0.35">
      <c r="A11" s="48">
        <v>10</v>
      </c>
      <c r="B11" s="49" t="s">
        <v>87</v>
      </c>
      <c r="C11" s="50">
        <v>4.7513236254288476</v>
      </c>
      <c r="D11" s="50">
        <v>6.7766740907794407</v>
      </c>
      <c r="E11" s="50">
        <v>7.605590561668536</v>
      </c>
      <c r="F11" s="55">
        <v>80.290000000000006</v>
      </c>
    </row>
    <row r="12" spans="1:6" x14ac:dyDescent="0.35">
      <c r="A12" s="48">
        <v>11</v>
      </c>
      <c r="B12" s="49" t="s">
        <v>86</v>
      </c>
      <c r="C12" s="50">
        <v>0</v>
      </c>
      <c r="D12" s="50">
        <v>6.1691166210748785</v>
      </c>
      <c r="E12" s="50">
        <v>7.8959074273939986</v>
      </c>
      <c r="F12" s="55">
        <v>80.290000000000006</v>
      </c>
    </row>
    <row r="13" spans="1:6" x14ac:dyDescent="0.35">
      <c r="A13" s="48">
        <v>12</v>
      </c>
      <c r="B13" s="49" t="s">
        <v>64</v>
      </c>
      <c r="C13" s="50">
        <v>14.019684502977714</v>
      </c>
      <c r="D13" s="50">
        <v>9.341836149347488</v>
      </c>
      <c r="E13" s="50">
        <v>8.1498514118713352</v>
      </c>
      <c r="F13" s="55">
        <v>80.290000000000006</v>
      </c>
    </row>
    <row r="14" spans="1:6" x14ac:dyDescent="0.35">
      <c r="A14" s="48">
        <v>13</v>
      </c>
      <c r="B14" s="49" t="s">
        <v>47</v>
      </c>
      <c r="C14" s="50">
        <v>7.6857184306059843</v>
      </c>
      <c r="D14" s="50">
        <v>4.8313817211552434</v>
      </c>
      <c r="E14" s="50">
        <v>8.2764831925559506</v>
      </c>
      <c r="F14" s="55">
        <v>80.290000000000006</v>
      </c>
    </row>
    <row r="15" spans="1:6" x14ac:dyDescent="0.35">
      <c r="A15" s="48">
        <v>14</v>
      </c>
      <c r="B15" s="49" t="s">
        <v>50</v>
      </c>
      <c r="C15" s="50">
        <v>7.0643334660974784</v>
      </c>
      <c r="D15" s="50">
        <v>9.1643321894231757</v>
      </c>
      <c r="E15" s="50">
        <v>8.3085116295989803</v>
      </c>
      <c r="F15" s="55">
        <v>80.290000000000006</v>
      </c>
    </row>
    <row r="16" spans="1:6" x14ac:dyDescent="0.35">
      <c r="A16" s="48">
        <v>15</v>
      </c>
      <c r="B16" s="49" t="s">
        <v>51</v>
      </c>
      <c r="C16" s="50">
        <v>10.318104179523269</v>
      </c>
      <c r="D16" s="50">
        <v>5.7950101302016952</v>
      </c>
      <c r="E16" s="50">
        <v>8.340457309760458</v>
      </c>
      <c r="F16" s="55">
        <v>80.290000000000006</v>
      </c>
    </row>
    <row r="17" spans="1:6" x14ac:dyDescent="0.35">
      <c r="A17" s="48">
        <v>16</v>
      </c>
      <c r="B17" s="49" t="s">
        <v>59</v>
      </c>
      <c r="C17" s="50">
        <v>0</v>
      </c>
      <c r="D17" s="50">
        <v>4.4071882438586458</v>
      </c>
      <c r="E17" s="50">
        <v>10.634113902446874</v>
      </c>
      <c r="F17" s="55">
        <v>80.290000000000006</v>
      </c>
    </row>
    <row r="18" spans="1:6" x14ac:dyDescent="0.35">
      <c r="A18" s="48">
        <v>17</v>
      </c>
      <c r="B18" s="49" t="s">
        <v>49</v>
      </c>
      <c r="C18" s="50">
        <v>5.0934409402821972</v>
      </c>
      <c r="D18" s="50">
        <v>9.6338286946770175</v>
      </c>
      <c r="E18" s="50">
        <v>12.168856040551496</v>
      </c>
      <c r="F18" s="55">
        <v>80.290000000000006</v>
      </c>
    </row>
    <row r="19" spans="1:6" x14ac:dyDescent="0.35">
      <c r="A19" s="48">
        <v>18</v>
      </c>
      <c r="B19" s="49" t="s">
        <v>76</v>
      </c>
      <c r="C19" s="50">
        <v>5.5497185519677856</v>
      </c>
      <c r="D19" s="50">
        <v>6.6605767149290012</v>
      </c>
      <c r="E19" s="50">
        <v>12.362024638000094</v>
      </c>
      <c r="F19" s="55">
        <v>80.290000000000006</v>
      </c>
    </row>
    <row r="20" spans="1:6" x14ac:dyDescent="0.35">
      <c r="A20" s="48">
        <v>19</v>
      </c>
      <c r="B20" s="49" t="s">
        <v>57</v>
      </c>
      <c r="C20" s="50">
        <v>10.33456030553733</v>
      </c>
      <c r="D20" s="50">
        <v>11.548997129264416</v>
      </c>
      <c r="E20" s="50">
        <v>12.531853132190035</v>
      </c>
      <c r="F20" s="55">
        <v>80.290000000000006</v>
      </c>
    </row>
    <row r="21" spans="1:6" x14ac:dyDescent="0.35">
      <c r="A21" s="48">
        <v>20</v>
      </c>
      <c r="B21" s="49" t="s">
        <v>67</v>
      </c>
      <c r="C21" s="50">
        <v>7.2684328251615025</v>
      </c>
      <c r="D21" s="50">
        <v>10.893763982473359</v>
      </c>
      <c r="E21" s="50">
        <v>12.878829589909351</v>
      </c>
      <c r="F21" s="55">
        <v>80.290000000000006</v>
      </c>
    </row>
    <row r="22" spans="1:6" x14ac:dyDescent="0.35">
      <c r="A22" s="48">
        <v>21</v>
      </c>
      <c r="B22" s="49" t="s">
        <v>56</v>
      </c>
      <c r="C22" s="50">
        <v>9.4675580794092156</v>
      </c>
      <c r="D22" s="50">
        <v>12.795296212393836</v>
      </c>
      <c r="E22" s="50">
        <v>13.050801436856251</v>
      </c>
      <c r="F22" s="55">
        <v>80.290000000000006</v>
      </c>
    </row>
    <row r="23" spans="1:6" x14ac:dyDescent="0.35">
      <c r="A23" s="48">
        <v>22</v>
      </c>
      <c r="B23" s="49" t="s">
        <v>80</v>
      </c>
      <c r="C23" s="50">
        <v>10.441973743822771</v>
      </c>
      <c r="D23" s="50">
        <v>14.187099506595519</v>
      </c>
      <c r="E23" s="50">
        <v>13.401063461919398</v>
      </c>
      <c r="F23" s="55">
        <v>80.290000000000006</v>
      </c>
    </row>
    <row r="24" spans="1:6" x14ac:dyDescent="0.35">
      <c r="A24" s="48">
        <v>23</v>
      </c>
      <c r="B24" s="49" t="s">
        <v>70</v>
      </c>
      <c r="C24" s="50">
        <v>2.1999802363171792</v>
      </c>
      <c r="D24" s="50">
        <v>22.91287401641636</v>
      </c>
      <c r="E24" s="50">
        <v>13.444654516010845</v>
      </c>
      <c r="F24" s="55">
        <v>80.290000000000006</v>
      </c>
    </row>
    <row r="25" spans="1:6" x14ac:dyDescent="0.35">
      <c r="A25" s="48">
        <v>24</v>
      </c>
      <c r="B25" s="49" t="s">
        <v>58</v>
      </c>
      <c r="C25" s="50">
        <v>9.2661285789722267</v>
      </c>
      <c r="D25" s="50">
        <v>16.223939744179855</v>
      </c>
      <c r="E25" s="50">
        <v>14.28160096277502</v>
      </c>
      <c r="F25" s="55">
        <v>80.290000000000006</v>
      </c>
    </row>
    <row r="26" spans="1:6" x14ac:dyDescent="0.35">
      <c r="A26" s="48">
        <v>25</v>
      </c>
      <c r="B26" s="49" t="s">
        <v>60</v>
      </c>
      <c r="C26" s="50">
        <v>13.451172154071436</v>
      </c>
      <c r="D26" s="50">
        <v>18.566922115433325</v>
      </c>
      <c r="E26" s="50">
        <v>16.774083760782815</v>
      </c>
      <c r="F26" s="55">
        <v>80.290000000000006</v>
      </c>
    </row>
    <row r="27" spans="1:6" x14ac:dyDescent="0.35">
      <c r="A27" s="48">
        <v>26</v>
      </c>
      <c r="B27" s="49" t="s">
        <v>62</v>
      </c>
      <c r="C27" s="50">
        <v>0.71329713375271953</v>
      </c>
      <c r="D27" s="50">
        <v>9.7927247683912508</v>
      </c>
      <c r="E27" s="50">
        <v>18.578792370715053</v>
      </c>
      <c r="F27" s="55">
        <v>80.290000000000006</v>
      </c>
    </row>
    <row r="28" spans="1:6" x14ac:dyDescent="0.35">
      <c r="A28" s="48">
        <v>27</v>
      </c>
      <c r="B28" s="49" t="s">
        <v>74</v>
      </c>
      <c r="C28" s="50">
        <v>12.920259078445698</v>
      </c>
      <c r="D28" s="50">
        <v>15.917722374831463</v>
      </c>
      <c r="E28" s="50">
        <v>19.794578938796668</v>
      </c>
      <c r="F28" s="55">
        <v>80.290000000000006</v>
      </c>
    </row>
    <row r="29" spans="1:6" x14ac:dyDescent="0.35">
      <c r="A29" s="48">
        <v>28</v>
      </c>
      <c r="B29" s="49" t="s">
        <v>46</v>
      </c>
      <c r="C29" s="50">
        <v>1.147359073900709E-2</v>
      </c>
      <c r="D29" s="50">
        <v>19.33519951199629</v>
      </c>
      <c r="E29" s="50">
        <v>22.16128506058643</v>
      </c>
      <c r="F29" s="55">
        <v>80.290000000000006</v>
      </c>
    </row>
    <row r="30" spans="1:6" x14ac:dyDescent="0.35">
      <c r="A30" s="48">
        <v>29</v>
      </c>
      <c r="B30" s="49" t="s">
        <v>55</v>
      </c>
      <c r="C30" s="50">
        <v>6.4627516022834079</v>
      </c>
      <c r="D30" s="50">
        <v>19.850228032875876</v>
      </c>
      <c r="E30" s="50">
        <v>22.326190141323295</v>
      </c>
      <c r="F30" s="55">
        <v>80.290000000000006</v>
      </c>
    </row>
    <row r="31" spans="1:6" x14ac:dyDescent="0.35">
      <c r="A31" s="48">
        <v>30</v>
      </c>
      <c r="B31" s="49" t="s">
        <v>79</v>
      </c>
      <c r="C31" s="50">
        <v>14.994266155054937</v>
      </c>
      <c r="D31" s="50">
        <v>22.251085637910265</v>
      </c>
      <c r="E31" s="50">
        <v>22.692099302180001</v>
      </c>
      <c r="F31" s="55">
        <v>80.290000000000006</v>
      </c>
    </row>
    <row r="32" spans="1:6" x14ac:dyDescent="0.35">
      <c r="A32" s="48">
        <v>31</v>
      </c>
      <c r="B32" s="49" t="s">
        <v>69</v>
      </c>
      <c r="C32" s="50">
        <v>0</v>
      </c>
      <c r="D32" s="50">
        <v>52.870382713145531</v>
      </c>
      <c r="E32" s="50">
        <v>22.993174843373964</v>
      </c>
      <c r="F32" s="55">
        <v>80.290000000000006</v>
      </c>
    </row>
    <row r="33" spans="1:6" x14ac:dyDescent="0.35">
      <c r="A33" s="48">
        <v>32</v>
      </c>
      <c r="B33" s="49" t="s">
        <v>84</v>
      </c>
      <c r="C33" s="50">
        <v>11.906918137676456</v>
      </c>
      <c r="D33" s="50">
        <v>9.3114595445704076</v>
      </c>
      <c r="E33" s="50">
        <v>23.534133501916237</v>
      </c>
      <c r="F33" s="55">
        <v>80.290000000000006</v>
      </c>
    </row>
    <row r="34" spans="1:6" x14ac:dyDescent="0.35">
      <c r="A34" s="48">
        <v>33</v>
      </c>
      <c r="B34" s="49" t="s">
        <v>68</v>
      </c>
      <c r="C34" s="50">
        <v>11.658459316104921</v>
      </c>
      <c r="D34" s="50">
        <v>14.413861393432555</v>
      </c>
      <c r="E34" s="50">
        <v>24.523813221222014</v>
      </c>
      <c r="F34" s="55">
        <v>80.290000000000006</v>
      </c>
    </row>
    <row r="35" spans="1:6" x14ac:dyDescent="0.35">
      <c r="A35" s="48">
        <v>34</v>
      </c>
      <c r="B35" s="49" t="s">
        <v>89</v>
      </c>
      <c r="C35" s="50">
        <v>14.740498339124736</v>
      </c>
      <c r="D35" s="50">
        <v>18.773758505730214</v>
      </c>
      <c r="E35" s="50">
        <v>25.677639566139653</v>
      </c>
      <c r="F35" s="55">
        <v>80.290000000000006</v>
      </c>
    </row>
    <row r="36" spans="1:6" x14ac:dyDescent="0.35">
      <c r="A36" s="48">
        <v>35</v>
      </c>
      <c r="B36" s="53" t="s">
        <v>98</v>
      </c>
      <c r="C36" s="54">
        <v>11.13650671070585</v>
      </c>
      <c r="D36" s="54">
        <v>23.576970255075228</v>
      </c>
      <c r="E36" s="54">
        <v>26.824343944304964</v>
      </c>
      <c r="F36" s="55">
        <v>80.290000000000006</v>
      </c>
    </row>
    <row r="37" spans="1:6" x14ac:dyDescent="0.35">
      <c r="A37" s="48">
        <v>36</v>
      </c>
      <c r="B37" s="49" t="s">
        <v>81</v>
      </c>
      <c r="C37" s="50">
        <v>27.663516672946013</v>
      </c>
      <c r="D37" s="50">
        <v>26.449769096827922</v>
      </c>
      <c r="E37" s="50">
        <v>26.971849712707133</v>
      </c>
      <c r="F37" s="55">
        <v>80.290000000000006</v>
      </c>
    </row>
    <row r="38" spans="1:6" x14ac:dyDescent="0.35">
      <c r="A38" s="48">
        <v>37</v>
      </c>
      <c r="B38" s="49" t="s">
        <v>63</v>
      </c>
      <c r="C38" s="50">
        <v>2.2973079178531046</v>
      </c>
      <c r="D38" s="50">
        <v>39.060014055583196</v>
      </c>
      <c r="E38" s="50">
        <v>31.25849879805093</v>
      </c>
      <c r="F38" s="55">
        <v>80.290000000000006</v>
      </c>
    </row>
    <row r="39" spans="1:6" x14ac:dyDescent="0.35">
      <c r="A39" s="48">
        <v>38</v>
      </c>
      <c r="B39" s="49" t="s">
        <v>90</v>
      </c>
      <c r="C39" s="50">
        <v>2.8080123001178361</v>
      </c>
      <c r="D39" s="50">
        <v>17.258457426269619</v>
      </c>
      <c r="E39" s="50">
        <v>34.960104008082851</v>
      </c>
      <c r="F39" s="55">
        <v>80.290000000000006</v>
      </c>
    </row>
    <row r="40" spans="1:6" x14ac:dyDescent="0.35">
      <c r="A40" s="48">
        <v>39</v>
      </c>
      <c r="B40" s="49" t="s">
        <v>48</v>
      </c>
      <c r="C40" s="50">
        <v>36.941691569573123</v>
      </c>
      <c r="D40" s="50">
        <v>37.8721049551717</v>
      </c>
      <c r="E40" s="50">
        <v>37.02657488516612</v>
      </c>
      <c r="F40" s="55">
        <v>80.290000000000006</v>
      </c>
    </row>
    <row r="41" spans="1:6" x14ac:dyDescent="0.35">
      <c r="A41" s="48">
        <v>40</v>
      </c>
      <c r="B41" s="49" t="s">
        <v>91</v>
      </c>
      <c r="C41" s="50">
        <v>15.601137891580859</v>
      </c>
      <c r="D41" s="50">
        <v>23.66965484875815</v>
      </c>
      <c r="E41" s="50">
        <v>38.14728630825762</v>
      </c>
      <c r="F41" s="55">
        <v>80.290000000000006</v>
      </c>
    </row>
    <row r="42" spans="1:6" x14ac:dyDescent="0.35">
      <c r="A42" s="48">
        <v>41</v>
      </c>
      <c r="B42" s="49" t="s">
        <v>65</v>
      </c>
      <c r="C42" s="50">
        <v>18.681157033578607</v>
      </c>
      <c r="D42" s="50">
        <v>46.40817219195695</v>
      </c>
      <c r="E42" s="50">
        <v>48.030714224150685</v>
      </c>
      <c r="F42" s="55">
        <v>80.290000000000006</v>
      </c>
    </row>
    <row r="43" spans="1:6" x14ac:dyDescent="0.35">
      <c r="A43" s="48">
        <v>42</v>
      </c>
      <c r="B43" s="49" t="s">
        <v>45</v>
      </c>
      <c r="C43" s="50">
        <v>2.931267462129866</v>
      </c>
      <c r="D43" s="50">
        <v>41.893522234964195</v>
      </c>
      <c r="E43" s="50">
        <v>49.173528181995827</v>
      </c>
      <c r="F43" s="55">
        <v>80.290000000000006</v>
      </c>
    </row>
    <row r="44" spans="1:6" x14ac:dyDescent="0.35">
      <c r="A44" s="48">
        <v>43</v>
      </c>
      <c r="B44" s="49" t="s">
        <v>61</v>
      </c>
      <c r="C44" s="50">
        <v>33.398341618089297</v>
      </c>
      <c r="D44" s="50">
        <v>47.999551889282181</v>
      </c>
      <c r="E44" s="50">
        <v>51.66268983905934</v>
      </c>
      <c r="F44" s="55">
        <v>80.290000000000006</v>
      </c>
    </row>
    <row r="45" spans="1:6" x14ac:dyDescent="0.35">
      <c r="A45" s="48">
        <v>44</v>
      </c>
      <c r="B45" s="49" t="s">
        <v>75</v>
      </c>
      <c r="C45" s="50">
        <v>52.839892414260113</v>
      </c>
      <c r="D45" s="50">
        <v>72.905163459567675</v>
      </c>
      <c r="E45" s="50">
        <v>60.383936189147697</v>
      </c>
      <c r="F45" s="55">
        <v>80.290000000000006</v>
      </c>
    </row>
    <row r="46" spans="1:6" x14ac:dyDescent="0.35">
      <c r="A46" s="48">
        <v>45</v>
      </c>
      <c r="B46" s="49" t="s">
        <v>52</v>
      </c>
      <c r="C46" s="50">
        <v>13.168129792199135</v>
      </c>
      <c r="D46" s="50">
        <v>29.16659007373055</v>
      </c>
      <c r="E46" s="50">
        <v>62.960411138791216</v>
      </c>
      <c r="F46" s="55">
        <v>80.290000000000006</v>
      </c>
    </row>
    <row r="47" spans="1:6" x14ac:dyDescent="0.35">
      <c r="A47" s="48">
        <v>46</v>
      </c>
      <c r="B47" s="49" t="s">
        <v>77</v>
      </c>
      <c r="C47" s="50">
        <v>18.952057373293837</v>
      </c>
      <c r="D47" s="50">
        <v>64.854830057441106</v>
      </c>
      <c r="E47" s="50">
        <v>72.50007161772831</v>
      </c>
      <c r="F47" s="55">
        <v>80.290000000000006</v>
      </c>
    </row>
    <row r="48" spans="1:6" x14ac:dyDescent="0.35">
      <c r="A48" s="48">
        <v>47</v>
      </c>
      <c r="B48" s="49" t="s">
        <v>85</v>
      </c>
      <c r="C48" s="50">
        <v>16.720429532704841</v>
      </c>
      <c r="D48" s="50">
        <v>61.781000175533016</v>
      </c>
      <c r="E48" s="50">
        <v>78.187272031248852</v>
      </c>
      <c r="F48" s="55">
        <v>80.290000000000006</v>
      </c>
    </row>
    <row r="49" spans="1:6" x14ac:dyDescent="0.35">
      <c r="A49" s="52">
        <v>48</v>
      </c>
      <c r="B49" s="49" t="s">
        <v>83</v>
      </c>
      <c r="C49" s="50">
        <v>54.800752734867757</v>
      </c>
      <c r="D49" s="50">
        <v>195.92438482652926</v>
      </c>
      <c r="E49" s="50">
        <v>242.01401730513936</v>
      </c>
      <c r="F49" s="55">
        <v>80.290000000000006</v>
      </c>
    </row>
  </sheetData>
  <sortState xmlns:xlrd2="http://schemas.microsoft.com/office/spreadsheetml/2017/richdata2" ref="B2:F49">
    <sortCondition ref="E2:E49"/>
  </sortState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86794-C8F0-4588-BE55-DC665F962113}">
  <dimension ref="A3:F52"/>
  <sheetViews>
    <sheetView topLeftCell="A49" workbookViewId="0">
      <selection activeCell="B45" sqref="B45:F45"/>
    </sheetView>
  </sheetViews>
  <sheetFormatPr defaultRowHeight="14.5" x14ac:dyDescent="0.35"/>
  <sheetData>
    <row r="3" spans="1:6" x14ac:dyDescent="0.35">
      <c r="A3" s="1"/>
      <c r="B3" s="48"/>
      <c r="C3" s="72" t="s">
        <v>274</v>
      </c>
      <c r="D3" s="72"/>
      <c r="E3" s="72"/>
    </row>
    <row r="4" spans="1:6" x14ac:dyDescent="0.35">
      <c r="A4" s="56" t="s">
        <v>270</v>
      </c>
      <c r="B4" s="47" t="s">
        <v>93</v>
      </c>
      <c r="C4" s="21">
        <v>2013</v>
      </c>
      <c r="D4" s="21">
        <v>2018</v>
      </c>
      <c r="E4" s="21">
        <v>2022</v>
      </c>
      <c r="F4" t="s">
        <v>275</v>
      </c>
    </row>
    <row r="5" spans="1:6" x14ac:dyDescent="0.35">
      <c r="A5" s="1">
        <v>1</v>
      </c>
      <c r="B5" s="49" t="s">
        <v>53</v>
      </c>
      <c r="C5" s="57">
        <v>0.67465866488173498</v>
      </c>
      <c r="D5" s="57">
        <v>0.65753575227978456</v>
      </c>
      <c r="E5" s="57">
        <v>0.2623871892948651</v>
      </c>
      <c r="F5" s="62">
        <v>7.77</v>
      </c>
    </row>
    <row r="6" spans="1:6" x14ac:dyDescent="0.35">
      <c r="A6" s="1">
        <v>2</v>
      </c>
      <c r="B6" s="58" t="s">
        <v>78</v>
      </c>
      <c r="C6" s="59">
        <v>0.50715161511974438</v>
      </c>
      <c r="D6" s="59">
        <v>0.47171779423164883</v>
      </c>
      <c r="E6" s="57">
        <v>0.2692574787728213</v>
      </c>
      <c r="F6" s="62">
        <v>7.77</v>
      </c>
    </row>
    <row r="7" spans="1:6" x14ac:dyDescent="0.35">
      <c r="A7" s="1">
        <v>3</v>
      </c>
      <c r="B7" s="58" t="s">
        <v>86</v>
      </c>
      <c r="C7" s="59">
        <v>0</v>
      </c>
      <c r="D7" s="59">
        <v>0.39536986297548338</v>
      </c>
      <c r="E7" s="57">
        <v>0.41784401012593642</v>
      </c>
      <c r="F7" s="62">
        <v>7.77</v>
      </c>
    </row>
    <row r="8" spans="1:6" x14ac:dyDescent="0.35">
      <c r="A8" s="1">
        <v>4</v>
      </c>
      <c r="B8" s="58" t="s">
        <v>72</v>
      </c>
      <c r="C8" s="59">
        <v>0.12480674066229511</v>
      </c>
      <c r="D8" s="59">
        <v>1.5026228117851155</v>
      </c>
      <c r="E8" s="57">
        <v>0.54082168986968526</v>
      </c>
      <c r="F8" s="62">
        <v>7.77</v>
      </c>
    </row>
    <row r="9" spans="1:6" x14ac:dyDescent="0.35">
      <c r="A9" s="1">
        <v>5</v>
      </c>
      <c r="B9" s="49" t="s">
        <v>50</v>
      </c>
      <c r="C9" s="57">
        <v>0.54583552862175777</v>
      </c>
      <c r="D9" s="57">
        <v>0.9431440324062208</v>
      </c>
      <c r="E9" s="57">
        <v>0.78735018131878509</v>
      </c>
      <c r="F9" s="62">
        <v>7.77</v>
      </c>
    </row>
    <row r="10" spans="1:6" x14ac:dyDescent="0.35">
      <c r="A10" s="1">
        <v>6</v>
      </c>
      <c r="B10" s="58" t="s">
        <v>60</v>
      </c>
      <c r="C10" s="59">
        <v>0.52178656078039853</v>
      </c>
      <c r="D10" s="59">
        <v>0.81268378807586839</v>
      </c>
      <c r="E10" s="57">
        <v>0.81111588628736697</v>
      </c>
      <c r="F10" s="62">
        <v>7.77</v>
      </c>
    </row>
    <row r="11" spans="1:6" x14ac:dyDescent="0.35">
      <c r="A11" s="1">
        <v>7</v>
      </c>
      <c r="B11" s="58" t="s">
        <v>88</v>
      </c>
      <c r="C11" s="59">
        <v>0.5080050192584562</v>
      </c>
      <c r="D11" s="59">
        <v>0.75931946583180465</v>
      </c>
      <c r="E11" s="57">
        <v>0.82498008040391457</v>
      </c>
      <c r="F11" s="62">
        <v>7.77</v>
      </c>
    </row>
    <row r="12" spans="1:6" x14ac:dyDescent="0.35">
      <c r="A12" s="1">
        <v>8</v>
      </c>
      <c r="B12" s="49" t="s">
        <v>54</v>
      </c>
      <c r="C12" s="57">
        <v>0.43354023088778937</v>
      </c>
      <c r="D12" s="57">
        <v>0.51460471244619244</v>
      </c>
      <c r="E12" s="57">
        <v>0.85029242131882254</v>
      </c>
      <c r="F12" s="62">
        <v>7.77</v>
      </c>
    </row>
    <row r="13" spans="1:6" x14ac:dyDescent="0.35">
      <c r="A13" s="1">
        <v>9</v>
      </c>
      <c r="B13" s="58" t="s">
        <v>64</v>
      </c>
      <c r="C13" s="59">
        <v>1.0024145012199572</v>
      </c>
      <c r="D13" s="59">
        <v>1.2188560299936739</v>
      </c>
      <c r="E13" s="57">
        <v>1.0120770028849391</v>
      </c>
      <c r="F13" s="62">
        <v>7.77</v>
      </c>
    </row>
    <row r="14" spans="1:6" x14ac:dyDescent="0.35">
      <c r="A14" s="1">
        <v>10</v>
      </c>
      <c r="B14" s="58" t="s">
        <v>80</v>
      </c>
      <c r="C14" s="59">
        <v>0.99447368988788287</v>
      </c>
      <c r="D14" s="59">
        <v>1.3150537143185452</v>
      </c>
      <c r="E14" s="57">
        <v>1.1962228248097926</v>
      </c>
      <c r="F14" s="62">
        <v>7.77</v>
      </c>
    </row>
    <row r="15" spans="1:6" x14ac:dyDescent="0.35">
      <c r="A15" s="1">
        <v>11</v>
      </c>
      <c r="B15" s="58" t="s">
        <v>84</v>
      </c>
      <c r="C15" s="59">
        <v>0</v>
      </c>
      <c r="D15" s="59">
        <v>0.71998444019492502</v>
      </c>
      <c r="E15" s="57">
        <v>1.2851920083832624</v>
      </c>
      <c r="F15" s="62">
        <v>7.77</v>
      </c>
    </row>
    <row r="16" spans="1:6" x14ac:dyDescent="0.35">
      <c r="A16" s="1">
        <v>12</v>
      </c>
      <c r="B16" s="58" t="s">
        <v>87</v>
      </c>
      <c r="C16" s="59">
        <v>0.30068841506111116</v>
      </c>
      <c r="D16" s="59">
        <v>0.49663935253514929</v>
      </c>
      <c r="E16" s="57">
        <v>1.3272212046130187</v>
      </c>
      <c r="F16" s="62">
        <v>7.77</v>
      </c>
    </row>
    <row r="17" spans="1:6" x14ac:dyDescent="0.35">
      <c r="A17" s="1">
        <v>13</v>
      </c>
      <c r="B17" s="49" t="s">
        <v>51</v>
      </c>
      <c r="C17" s="57">
        <v>0.85148281433098261</v>
      </c>
      <c r="D17" s="57">
        <v>1.2996103780847321</v>
      </c>
      <c r="E17" s="57">
        <v>1.3466102150755759</v>
      </c>
      <c r="F17" s="62">
        <v>7.77</v>
      </c>
    </row>
    <row r="18" spans="1:6" x14ac:dyDescent="0.35">
      <c r="A18" s="1">
        <v>14</v>
      </c>
      <c r="B18" s="58" t="s">
        <v>65</v>
      </c>
      <c r="C18" s="59">
        <v>0.99180410146962517</v>
      </c>
      <c r="D18" s="59">
        <v>1.4272460592451912</v>
      </c>
      <c r="E18" s="57">
        <v>1.411763138467153</v>
      </c>
      <c r="F18" s="62">
        <v>7.77</v>
      </c>
    </row>
    <row r="19" spans="1:6" x14ac:dyDescent="0.35">
      <c r="A19" s="1">
        <v>15</v>
      </c>
      <c r="B19" s="49" t="s">
        <v>49</v>
      </c>
      <c r="C19" s="57">
        <v>0.45530814594752361</v>
      </c>
      <c r="D19" s="57">
        <v>0.82578476645811349</v>
      </c>
      <c r="E19" s="57">
        <v>1.4655706450477866</v>
      </c>
      <c r="F19" s="62">
        <v>7.77</v>
      </c>
    </row>
    <row r="20" spans="1:6" x14ac:dyDescent="0.35">
      <c r="A20" s="1">
        <v>16</v>
      </c>
      <c r="B20" s="58" t="s">
        <v>82</v>
      </c>
      <c r="C20" s="59">
        <v>0</v>
      </c>
      <c r="D20" s="59">
        <v>1.8510541538316534</v>
      </c>
      <c r="E20" s="57">
        <v>1.4788611139805827</v>
      </c>
      <c r="F20" s="62">
        <v>7.77</v>
      </c>
    </row>
    <row r="21" spans="1:6" x14ac:dyDescent="0.35">
      <c r="A21" s="1">
        <v>17</v>
      </c>
      <c r="B21" s="58" t="s">
        <v>59</v>
      </c>
      <c r="C21" s="59">
        <v>0</v>
      </c>
      <c r="D21" s="59">
        <v>1.637716477325116</v>
      </c>
      <c r="E21" s="57">
        <v>1.6399848588255548</v>
      </c>
      <c r="F21" s="62">
        <v>7.77</v>
      </c>
    </row>
    <row r="22" spans="1:6" x14ac:dyDescent="0.35">
      <c r="A22" s="1">
        <v>18</v>
      </c>
      <c r="B22" s="58" t="s">
        <v>76</v>
      </c>
      <c r="C22" s="59">
        <v>0.57501008544721166</v>
      </c>
      <c r="D22" s="59">
        <v>0.84047383488210115</v>
      </c>
      <c r="E22" s="57">
        <v>1.734632551579423</v>
      </c>
      <c r="F22" s="62">
        <v>7.77</v>
      </c>
    </row>
    <row r="23" spans="1:6" x14ac:dyDescent="0.35">
      <c r="A23" s="1">
        <v>19</v>
      </c>
      <c r="B23" s="49" t="s">
        <v>56</v>
      </c>
      <c r="C23" s="57">
        <v>0</v>
      </c>
      <c r="D23" s="57">
        <v>0.99980481751540462</v>
      </c>
      <c r="E23" s="57">
        <v>1.7452696826892025</v>
      </c>
      <c r="F23" s="62">
        <v>7.77</v>
      </c>
    </row>
    <row r="24" spans="1:6" x14ac:dyDescent="0.35">
      <c r="A24" s="1">
        <v>20</v>
      </c>
      <c r="B24" s="58" t="s">
        <v>71</v>
      </c>
      <c r="C24" s="59">
        <v>1.4935513915538714</v>
      </c>
      <c r="D24" s="59">
        <v>1.9481094417340394</v>
      </c>
      <c r="E24" s="57">
        <v>1.766192932972404</v>
      </c>
      <c r="F24" s="62">
        <v>7.77</v>
      </c>
    </row>
    <row r="25" spans="1:6" x14ac:dyDescent="0.35">
      <c r="A25" s="1">
        <v>21</v>
      </c>
      <c r="B25" s="58" t="s">
        <v>70</v>
      </c>
      <c r="C25" s="59">
        <v>0.37946271016559152</v>
      </c>
      <c r="D25" s="59">
        <v>1.4173544312573898</v>
      </c>
      <c r="E25" s="57">
        <v>1.7990899320551237</v>
      </c>
      <c r="F25" s="62">
        <v>7.77</v>
      </c>
    </row>
    <row r="26" spans="1:6" x14ac:dyDescent="0.35">
      <c r="A26" s="1">
        <v>22</v>
      </c>
      <c r="B26" s="58" t="s">
        <v>89</v>
      </c>
      <c r="C26" s="59">
        <v>0.95538954520339181</v>
      </c>
      <c r="D26" s="59">
        <v>4.139669151648441</v>
      </c>
      <c r="E26" s="57">
        <v>1.9157377420283819</v>
      </c>
      <c r="F26" s="62">
        <v>7.77</v>
      </c>
    </row>
    <row r="27" spans="1:6" x14ac:dyDescent="0.35">
      <c r="A27" s="1">
        <v>23</v>
      </c>
      <c r="B27" s="58" t="s">
        <v>91</v>
      </c>
      <c r="C27" s="59">
        <v>0.82181140586443524</v>
      </c>
      <c r="D27" s="59">
        <v>2.010339496248517</v>
      </c>
      <c r="E27" s="57">
        <v>1.9188084102461731</v>
      </c>
      <c r="F27" s="62">
        <v>7.77</v>
      </c>
    </row>
    <row r="28" spans="1:6" x14ac:dyDescent="0.35">
      <c r="A28" s="1">
        <v>24</v>
      </c>
      <c r="B28" s="58" t="s">
        <v>62</v>
      </c>
      <c r="C28" s="59">
        <v>0</v>
      </c>
      <c r="D28" s="59">
        <v>1.0135028308160794</v>
      </c>
      <c r="E28" s="57">
        <v>1.9242190409996556</v>
      </c>
      <c r="F28" s="62">
        <v>7.77</v>
      </c>
    </row>
    <row r="29" spans="1:6" x14ac:dyDescent="0.35">
      <c r="A29" s="1">
        <v>25</v>
      </c>
      <c r="B29" s="58" t="s">
        <v>73</v>
      </c>
      <c r="C29" s="59">
        <v>1.1591368106359479</v>
      </c>
      <c r="D29" s="59">
        <v>1.4377230640376699</v>
      </c>
      <c r="E29" s="57">
        <v>1.9483401719615994</v>
      </c>
      <c r="F29" s="62">
        <v>7.77</v>
      </c>
    </row>
    <row r="30" spans="1:6" x14ac:dyDescent="0.35">
      <c r="A30" s="1">
        <v>26</v>
      </c>
      <c r="B30" s="49" t="s">
        <v>47</v>
      </c>
      <c r="C30" s="57">
        <v>0</v>
      </c>
      <c r="D30" s="57">
        <v>0.76042548150614686</v>
      </c>
      <c r="E30" s="57">
        <v>1.953139041931379</v>
      </c>
      <c r="F30" s="62">
        <v>7.77</v>
      </c>
    </row>
    <row r="31" spans="1:6" x14ac:dyDescent="0.35">
      <c r="A31" s="1">
        <v>27</v>
      </c>
      <c r="B31" s="58" t="s">
        <v>66</v>
      </c>
      <c r="C31" s="57">
        <v>1.667958641138336</v>
      </c>
      <c r="D31" s="57">
        <v>2.2198566937938682</v>
      </c>
      <c r="E31" s="57">
        <v>2.1249207348646921</v>
      </c>
      <c r="F31" s="62">
        <v>7.77</v>
      </c>
    </row>
    <row r="32" spans="1:6" x14ac:dyDescent="0.35">
      <c r="A32" s="1">
        <v>28</v>
      </c>
      <c r="B32" s="49" t="s">
        <v>58</v>
      </c>
      <c r="C32" s="57">
        <v>0.87367249731660168</v>
      </c>
      <c r="D32" s="57">
        <v>3.6223398907912641</v>
      </c>
      <c r="E32" s="57">
        <v>2.1502790761743422</v>
      </c>
      <c r="F32" s="62">
        <v>7.77</v>
      </c>
    </row>
    <row r="33" spans="1:6" x14ac:dyDescent="0.35">
      <c r="A33" s="1">
        <v>29</v>
      </c>
      <c r="B33" s="49" t="s">
        <v>57</v>
      </c>
      <c r="C33" s="57">
        <v>2.3320742431857204</v>
      </c>
      <c r="D33" s="57">
        <v>2.1973807668423482</v>
      </c>
      <c r="E33" s="57">
        <v>2.2469567053544797</v>
      </c>
      <c r="F33" s="62">
        <v>7.77</v>
      </c>
    </row>
    <row r="34" spans="1:6" x14ac:dyDescent="0.35">
      <c r="A34" s="1">
        <v>30</v>
      </c>
      <c r="B34" s="58" t="s">
        <v>69</v>
      </c>
      <c r="C34" s="59">
        <v>0</v>
      </c>
      <c r="D34" s="59">
        <v>4.5404562385095293</v>
      </c>
      <c r="E34" s="57">
        <v>2.3271916222532258</v>
      </c>
      <c r="F34" s="62">
        <v>7.77</v>
      </c>
    </row>
    <row r="35" spans="1:6" x14ac:dyDescent="0.35">
      <c r="A35" s="1">
        <v>31</v>
      </c>
      <c r="B35" s="58" t="s">
        <v>68</v>
      </c>
      <c r="C35" s="59">
        <v>1.9382766278398138</v>
      </c>
      <c r="D35" s="59">
        <v>1.6099035210964225</v>
      </c>
      <c r="E35" s="57">
        <v>2.3676836940426274</v>
      </c>
      <c r="F35" s="62">
        <v>7.77</v>
      </c>
    </row>
    <row r="36" spans="1:6" x14ac:dyDescent="0.35">
      <c r="A36" s="1">
        <v>32</v>
      </c>
      <c r="B36" s="49" t="s">
        <v>46</v>
      </c>
      <c r="C36" s="57">
        <v>0</v>
      </c>
      <c r="D36" s="57">
        <v>2.1081724281039813</v>
      </c>
      <c r="E36" s="57">
        <v>2.4426095634584915</v>
      </c>
      <c r="F36" s="62">
        <v>7.77</v>
      </c>
    </row>
    <row r="37" spans="1:6" x14ac:dyDescent="0.35">
      <c r="A37" s="1">
        <v>33</v>
      </c>
      <c r="B37" s="58" t="s">
        <v>67</v>
      </c>
      <c r="C37" s="59">
        <v>2.0851095786930078</v>
      </c>
      <c r="D37" s="59">
        <v>3.0026683747589895</v>
      </c>
      <c r="E37" s="57">
        <v>2.5212882917133439</v>
      </c>
      <c r="F37" s="62">
        <v>7.77</v>
      </c>
    </row>
    <row r="38" spans="1:6" x14ac:dyDescent="0.35">
      <c r="A38" s="1">
        <v>34</v>
      </c>
      <c r="B38" s="58" t="s">
        <v>74</v>
      </c>
      <c r="C38" s="59">
        <v>1.6617868376330072</v>
      </c>
      <c r="D38" s="59">
        <v>3.8073281231944631</v>
      </c>
      <c r="E38" s="57">
        <v>2.6879166644164951</v>
      </c>
      <c r="F38" s="62">
        <v>7.77</v>
      </c>
    </row>
    <row r="39" spans="1:6" x14ac:dyDescent="0.35">
      <c r="A39" s="1">
        <v>35</v>
      </c>
      <c r="B39" s="58" t="s">
        <v>90</v>
      </c>
      <c r="C39" s="59">
        <v>0</v>
      </c>
      <c r="D39" s="59">
        <v>2.2544427688594029</v>
      </c>
      <c r="E39" s="57">
        <v>3.2626166625244934</v>
      </c>
      <c r="F39" s="62">
        <v>7.77</v>
      </c>
    </row>
    <row r="40" spans="1:6" x14ac:dyDescent="0.35">
      <c r="A40" s="1">
        <v>36</v>
      </c>
      <c r="B40" s="49" t="s">
        <v>48</v>
      </c>
      <c r="C40" s="57">
        <v>3.6937181535197645</v>
      </c>
      <c r="D40" s="57">
        <v>3.77334091808852</v>
      </c>
      <c r="E40" s="57">
        <v>3.7714386517715091</v>
      </c>
      <c r="F40" s="62">
        <v>7.77</v>
      </c>
    </row>
    <row r="41" spans="1:6" x14ac:dyDescent="0.35">
      <c r="A41" s="1">
        <v>37</v>
      </c>
      <c r="B41" s="58" t="s">
        <v>79</v>
      </c>
      <c r="C41" s="59">
        <v>3.7635471263688842</v>
      </c>
      <c r="D41" s="59">
        <v>4.229447307230835</v>
      </c>
      <c r="E41" s="57">
        <v>3.943466745172683</v>
      </c>
      <c r="F41" s="62">
        <v>7.77</v>
      </c>
    </row>
    <row r="42" spans="1:6" x14ac:dyDescent="0.35">
      <c r="A42" s="1">
        <v>38</v>
      </c>
      <c r="B42" s="49" t="s">
        <v>55</v>
      </c>
      <c r="C42" s="57">
        <v>1.7586691307098652</v>
      </c>
      <c r="D42" s="57">
        <v>2.8339066627077822</v>
      </c>
      <c r="E42" s="57">
        <v>4.2305355033351333</v>
      </c>
      <c r="F42" s="62">
        <v>7.77</v>
      </c>
    </row>
    <row r="43" spans="1:6" x14ac:dyDescent="0.35">
      <c r="A43" s="1">
        <v>39</v>
      </c>
      <c r="B43" s="58" t="s">
        <v>81</v>
      </c>
      <c r="C43" s="59">
        <v>3.2514954298425351</v>
      </c>
      <c r="D43" s="59">
        <v>2.8389734272087215</v>
      </c>
      <c r="E43" s="57">
        <v>4.6178305432107996</v>
      </c>
      <c r="F43" s="62">
        <v>7.77</v>
      </c>
    </row>
    <row r="44" spans="1:6" x14ac:dyDescent="0.35">
      <c r="A44" s="1">
        <v>40</v>
      </c>
      <c r="B44" s="58" t="s">
        <v>63</v>
      </c>
      <c r="C44" s="59">
        <v>0</v>
      </c>
      <c r="D44" s="59">
        <v>6.2408431707589127</v>
      </c>
      <c r="E44" s="57">
        <v>5.2967509113158195</v>
      </c>
      <c r="F44" s="62">
        <v>7.77</v>
      </c>
    </row>
    <row r="45" spans="1:6" x14ac:dyDescent="0.35">
      <c r="A45" s="1">
        <v>41</v>
      </c>
      <c r="B45" s="60" t="s">
        <v>98</v>
      </c>
      <c r="C45" s="61">
        <v>1.4360619707825135</v>
      </c>
      <c r="D45" s="61">
        <v>3.4003387838166272</v>
      </c>
      <c r="E45" s="61">
        <v>5.3272558356958237</v>
      </c>
      <c r="F45" s="62">
        <v>7.77</v>
      </c>
    </row>
    <row r="46" spans="1:6" x14ac:dyDescent="0.35">
      <c r="A46" s="1">
        <v>42</v>
      </c>
      <c r="B46" s="58" t="s">
        <v>61</v>
      </c>
      <c r="C46" s="59">
        <v>0</v>
      </c>
      <c r="D46" s="59">
        <v>2.395668837562019</v>
      </c>
      <c r="E46" s="57">
        <v>5.7170414019483733</v>
      </c>
      <c r="F46" s="62">
        <v>7.77</v>
      </c>
    </row>
    <row r="47" spans="1:6" x14ac:dyDescent="0.35">
      <c r="A47" s="1">
        <v>43</v>
      </c>
      <c r="B47" s="58" t="s">
        <v>77</v>
      </c>
      <c r="C47" s="59">
        <v>0</v>
      </c>
      <c r="D47" s="59">
        <v>6.0066164230869381</v>
      </c>
      <c r="E47" s="57">
        <v>6.2212396706287967</v>
      </c>
      <c r="F47" s="62">
        <v>7.77</v>
      </c>
    </row>
    <row r="48" spans="1:6" x14ac:dyDescent="0.35">
      <c r="A48" s="1">
        <v>44</v>
      </c>
      <c r="B48" s="58" t="s">
        <v>85</v>
      </c>
      <c r="C48" s="59">
        <v>0</v>
      </c>
      <c r="D48" s="59">
        <v>7.5868986609349687</v>
      </c>
      <c r="E48" s="57">
        <v>8.0176798681728538</v>
      </c>
      <c r="F48" s="62">
        <v>7.77</v>
      </c>
    </row>
    <row r="49" spans="1:6" x14ac:dyDescent="0.35">
      <c r="A49" s="1">
        <v>45</v>
      </c>
      <c r="B49" s="58" t="s">
        <v>75</v>
      </c>
      <c r="C49" s="59">
        <v>15.851967724278035</v>
      </c>
      <c r="D49" s="59">
        <v>18.48876180492001</v>
      </c>
      <c r="E49" s="57">
        <v>14.110806020448374</v>
      </c>
      <c r="F49" s="62">
        <v>7.77</v>
      </c>
    </row>
    <row r="50" spans="1:6" x14ac:dyDescent="0.35">
      <c r="A50" s="1">
        <v>46</v>
      </c>
      <c r="B50" s="49" t="s">
        <v>45</v>
      </c>
      <c r="C50" s="57">
        <v>0</v>
      </c>
      <c r="D50" s="57">
        <v>17.451281461612556</v>
      </c>
      <c r="E50" s="57">
        <v>16.816609497424736</v>
      </c>
      <c r="F50" s="62">
        <v>7.77</v>
      </c>
    </row>
    <row r="51" spans="1:6" x14ac:dyDescent="0.35">
      <c r="A51" s="1">
        <v>47</v>
      </c>
      <c r="B51" s="49" t="s">
        <v>52</v>
      </c>
      <c r="C51" s="57">
        <v>5.7043375189835919</v>
      </c>
      <c r="D51" s="57">
        <v>7.913144485790041</v>
      </c>
      <c r="E51" s="57">
        <v>44.57560867875636</v>
      </c>
      <c r="F51" s="62">
        <v>7.77</v>
      </c>
    </row>
    <row r="52" spans="1:6" x14ac:dyDescent="0.35">
      <c r="A52" s="1">
        <v>48</v>
      </c>
      <c r="B52" s="58" t="s">
        <v>83</v>
      </c>
      <c r="C52" s="59">
        <v>9.6159811402692483</v>
      </c>
      <c r="D52" s="59">
        <v>23.278144731864863</v>
      </c>
      <c r="E52" s="57">
        <v>77.297572314772893</v>
      </c>
      <c r="F52" s="62">
        <v>7.77</v>
      </c>
    </row>
  </sheetData>
  <sortState xmlns:xlrd2="http://schemas.microsoft.com/office/spreadsheetml/2017/richdata2" ref="B5:F52">
    <sortCondition ref="E5:E52"/>
  </sortState>
  <mergeCells count="1">
    <mergeCell ref="C3:E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157E-9C85-4E56-BA31-D9626C43267A}">
  <dimension ref="B1:G52"/>
  <sheetViews>
    <sheetView topLeftCell="A64" workbookViewId="0">
      <selection activeCell="D37" sqref="D37:G37"/>
    </sheetView>
  </sheetViews>
  <sheetFormatPr defaultRowHeight="14.5" x14ac:dyDescent="0.35"/>
  <sheetData>
    <row r="1" spans="2:7" x14ac:dyDescent="0.35">
      <c r="D1" s="73" t="s">
        <v>276</v>
      </c>
      <c r="E1" s="73"/>
      <c r="F1" s="73"/>
    </row>
    <row r="3" spans="2:7" ht="14.5" customHeight="1" x14ac:dyDescent="0.35">
      <c r="B3" s="1"/>
      <c r="C3" s="1"/>
      <c r="D3" s="50" t="s">
        <v>197</v>
      </c>
      <c r="E3" s="50" t="s">
        <v>198</v>
      </c>
      <c r="F3" s="50" t="s">
        <v>199</v>
      </c>
    </row>
    <row r="4" spans="2:7" x14ac:dyDescent="0.35">
      <c r="B4" s="56" t="s">
        <v>270</v>
      </c>
      <c r="C4" s="18" t="s">
        <v>93</v>
      </c>
      <c r="D4" s="65">
        <v>2013</v>
      </c>
      <c r="E4" s="65">
        <v>2018</v>
      </c>
      <c r="F4" s="65">
        <v>2022</v>
      </c>
      <c r="G4" t="s">
        <v>277</v>
      </c>
    </row>
    <row r="5" spans="2:7" x14ac:dyDescent="0.35">
      <c r="B5" s="1">
        <v>1</v>
      </c>
      <c r="C5" s="58" t="s">
        <v>78</v>
      </c>
      <c r="D5" s="63">
        <v>2.3856497751404464</v>
      </c>
      <c r="E5" s="63">
        <v>2.2203955891861558</v>
      </c>
      <c r="F5" s="50">
        <v>2.0567007249193994</v>
      </c>
      <c r="G5" s="55">
        <v>58.64</v>
      </c>
    </row>
    <row r="6" spans="2:7" x14ac:dyDescent="0.35">
      <c r="B6" s="1">
        <v>2</v>
      </c>
      <c r="C6" s="58" t="s">
        <v>53</v>
      </c>
      <c r="D6" s="63">
        <v>1.7407859377812667</v>
      </c>
      <c r="E6" s="63">
        <v>3.2170182029449759</v>
      </c>
      <c r="F6" s="50">
        <v>2.1248425477555357</v>
      </c>
      <c r="G6" s="55">
        <v>58.64</v>
      </c>
    </row>
    <row r="7" spans="2:7" x14ac:dyDescent="0.35">
      <c r="B7" s="1">
        <v>3</v>
      </c>
      <c r="C7" s="58" t="s">
        <v>54</v>
      </c>
      <c r="D7" s="63">
        <v>3.0695858930397235</v>
      </c>
      <c r="E7" s="63">
        <v>3.6752901941206888</v>
      </c>
      <c r="F7" s="50">
        <v>2.421326474001444</v>
      </c>
      <c r="G7" s="55">
        <v>58.64</v>
      </c>
    </row>
    <row r="8" spans="2:7" x14ac:dyDescent="0.35">
      <c r="B8" s="1">
        <v>4</v>
      </c>
      <c r="C8" s="58" t="s">
        <v>71</v>
      </c>
      <c r="D8" s="63">
        <v>2.8989226271488429</v>
      </c>
      <c r="E8" s="63">
        <v>3.1862577752567827</v>
      </c>
      <c r="F8" s="50">
        <v>2.888721672781251</v>
      </c>
      <c r="G8" s="55">
        <v>58.64</v>
      </c>
    </row>
    <row r="9" spans="2:7" x14ac:dyDescent="0.35">
      <c r="B9" s="1">
        <v>5</v>
      </c>
      <c r="C9" s="58" t="s">
        <v>73</v>
      </c>
      <c r="D9" s="63">
        <v>3.656779649180276</v>
      </c>
      <c r="E9" s="63">
        <v>4.2439417731188724</v>
      </c>
      <c r="F9" s="50">
        <v>3.650152464455966</v>
      </c>
      <c r="G9" s="55">
        <v>58.64</v>
      </c>
    </row>
    <row r="10" spans="2:7" x14ac:dyDescent="0.35">
      <c r="B10" s="1">
        <v>6</v>
      </c>
      <c r="C10" s="58" t="s">
        <v>66</v>
      </c>
      <c r="D10" s="63">
        <v>5.6886073178519494</v>
      </c>
      <c r="E10" s="63">
        <v>6.4206188764522318</v>
      </c>
      <c r="F10" s="50">
        <v>4.2657096319873329</v>
      </c>
      <c r="G10" s="55">
        <v>58.64</v>
      </c>
    </row>
    <row r="11" spans="2:7" x14ac:dyDescent="0.35">
      <c r="B11" s="1">
        <v>7</v>
      </c>
      <c r="C11" s="58" t="s">
        <v>82</v>
      </c>
      <c r="D11" s="63">
        <v>4.1395850727945103</v>
      </c>
      <c r="E11" s="63">
        <v>4.8745068109226199</v>
      </c>
      <c r="F11" s="50">
        <v>4.6300866446132325</v>
      </c>
      <c r="G11" s="55">
        <v>58.64</v>
      </c>
    </row>
    <row r="12" spans="2:7" x14ac:dyDescent="0.35">
      <c r="B12" s="1">
        <v>8</v>
      </c>
      <c r="C12" s="58" t="s">
        <v>87</v>
      </c>
      <c r="D12" s="63">
        <v>4.2230378347542956</v>
      </c>
      <c r="E12" s="63">
        <v>5.4983226759004049</v>
      </c>
      <c r="F12" s="50">
        <v>4.8765035402438537</v>
      </c>
      <c r="G12" s="55">
        <v>58.64</v>
      </c>
    </row>
    <row r="13" spans="2:7" x14ac:dyDescent="0.35">
      <c r="B13" s="1">
        <v>9</v>
      </c>
      <c r="C13" s="58" t="s">
        <v>72</v>
      </c>
      <c r="D13" s="63">
        <v>2.2421530959981317</v>
      </c>
      <c r="E13" s="63">
        <v>4.3320180120920888</v>
      </c>
      <c r="F13" s="50">
        <v>5.0026178226640061</v>
      </c>
      <c r="G13" s="55">
        <v>58.64</v>
      </c>
    </row>
    <row r="14" spans="2:7" x14ac:dyDescent="0.35">
      <c r="B14" s="1">
        <v>10</v>
      </c>
      <c r="C14" s="58" t="s">
        <v>88</v>
      </c>
      <c r="D14" s="63">
        <v>3.0058136319558519</v>
      </c>
      <c r="E14" s="63">
        <v>4.0401760776091606</v>
      </c>
      <c r="F14" s="50">
        <v>5.0787129881304001</v>
      </c>
      <c r="G14" s="55">
        <v>58.64</v>
      </c>
    </row>
    <row r="15" spans="2:7" x14ac:dyDescent="0.35">
      <c r="B15" s="1">
        <v>11</v>
      </c>
      <c r="C15" s="58" t="s">
        <v>47</v>
      </c>
      <c r="D15" s="63">
        <v>5.6486101756176508</v>
      </c>
      <c r="E15" s="63">
        <v>3.7393169327367244</v>
      </c>
      <c r="F15" s="50">
        <v>5.9522810986467025</v>
      </c>
      <c r="G15" s="55">
        <v>58.64</v>
      </c>
    </row>
    <row r="16" spans="2:7" x14ac:dyDescent="0.35">
      <c r="B16" s="1">
        <v>12</v>
      </c>
      <c r="C16" s="58" t="s">
        <v>51</v>
      </c>
      <c r="D16" s="63">
        <v>8.8203819653905953</v>
      </c>
      <c r="E16" s="63">
        <v>4.2330052664527251</v>
      </c>
      <c r="F16" s="50">
        <v>6.5009139592914282</v>
      </c>
      <c r="G16" s="55">
        <v>58.64</v>
      </c>
    </row>
    <row r="17" spans="2:7" x14ac:dyDescent="0.35">
      <c r="B17" s="1">
        <v>13</v>
      </c>
      <c r="C17" s="58" t="s">
        <v>64</v>
      </c>
      <c r="D17" s="63">
        <v>12.447823266322944</v>
      </c>
      <c r="E17" s="63">
        <v>7.4358398071426146</v>
      </c>
      <c r="F17" s="50">
        <v>6.6829601481629322</v>
      </c>
      <c r="G17" s="55">
        <v>58.64</v>
      </c>
    </row>
    <row r="18" spans="2:7" x14ac:dyDescent="0.35">
      <c r="B18" s="1">
        <v>14</v>
      </c>
      <c r="C18" s="58" t="s">
        <v>86</v>
      </c>
      <c r="D18" s="63">
        <v>0</v>
      </c>
      <c r="E18" s="63">
        <v>5.2311954132863221</v>
      </c>
      <c r="F18" s="50">
        <v>6.9182506062517986</v>
      </c>
      <c r="G18" s="55">
        <v>58.64</v>
      </c>
    </row>
    <row r="19" spans="2:7" x14ac:dyDescent="0.35">
      <c r="B19" s="1">
        <v>15</v>
      </c>
      <c r="C19" s="58" t="s">
        <v>50</v>
      </c>
      <c r="D19" s="63">
        <v>6.5106158359793778</v>
      </c>
      <c r="E19" s="63">
        <v>8.1054703006423914</v>
      </c>
      <c r="F19" s="50">
        <v>7.4096503697244298</v>
      </c>
      <c r="G19" s="55">
        <v>58.64</v>
      </c>
    </row>
    <row r="20" spans="2:7" x14ac:dyDescent="0.35">
      <c r="B20" s="1">
        <v>16</v>
      </c>
      <c r="C20" s="58" t="s">
        <v>59</v>
      </c>
      <c r="D20" s="63">
        <v>0</v>
      </c>
      <c r="E20" s="63">
        <v>2.7028979259918584</v>
      </c>
      <c r="F20" s="50">
        <v>8.3672289392573767</v>
      </c>
      <c r="G20" s="55">
        <v>58.64</v>
      </c>
    </row>
    <row r="21" spans="2:7" x14ac:dyDescent="0.35">
      <c r="B21" s="1">
        <v>17</v>
      </c>
      <c r="C21" s="58" t="s">
        <v>76</v>
      </c>
      <c r="D21" s="63">
        <v>4.2361452369344512</v>
      </c>
      <c r="E21" s="63">
        <v>4.8171759545567738</v>
      </c>
      <c r="F21" s="50">
        <v>9.2667413386701387</v>
      </c>
      <c r="G21" s="55">
        <v>58.64</v>
      </c>
    </row>
    <row r="22" spans="2:7" x14ac:dyDescent="0.35">
      <c r="B22" s="1">
        <v>18</v>
      </c>
      <c r="C22" s="58" t="s">
        <v>57</v>
      </c>
      <c r="D22" s="63">
        <v>5.6214560621524488</v>
      </c>
      <c r="E22" s="63">
        <v>8.0893580068885669</v>
      </c>
      <c r="F22" s="50">
        <v>9.463679007454445</v>
      </c>
      <c r="G22" s="55">
        <v>58.64</v>
      </c>
    </row>
    <row r="23" spans="2:7" x14ac:dyDescent="0.35">
      <c r="B23" s="1">
        <v>19</v>
      </c>
      <c r="C23" s="58" t="s">
        <v>67</v>
      </c>
      <c r="D23" s="63">
        <v>5.1833232464684951</v>
      </c>
      <c r="E23" s="63">
        <v>7.3819926652811843</v>
      </c>
      <c r="F23" s="50">
        <v>9.8595840404869897</v>
      </c>
      <c r="G23" s="55">
        <v>58.64</v>
      </c>
    </row>
    <row r="24" spans="2:7" x14ac:dyDescent="0.35">
      <c r="B24" s="1">
        <v>20</v>
      </c>
      <c r="C24" s="58" t="s">
        <v>70</v>
      </c>
      <c r="D24" s="63">
        <v>1.8205175261515878</v>
      </c>
      <c r="E24" s="63">
        <v>19.255976869102923</v>
      </c>
      <c r="F24" s="50">
        <v>10.207514450251695</v>
      </c>
      <c r="G24" s="55">
        <v>58.64</v>
      </c>
    </row>
    <row r="25" spans="2:7" x14ac:dyDescent="0.35">
      <c r="B25" s="1">
        <v>21</v>
      </c>
      <c r="C25" s="58" t="s">
        <v>49</v>
      </c>
      <c r="D25" s="63">
        <v>4.4152982970029466</v>
      </c>
      <c r="E25" s="63">
        <v>8.2843276986599577</v>
      </c>
      <c r="F25" s="50">
        <v>10.256348284858944</v>
      </c>
      <c r="G25" s="55">
        <v>58.64</v>
      </c>
    </row>
    <row r="26" spans="2:7" x14ac:dyDescent="0.35">
      <c r="B26" s="1">
        <v>22</v>
      </c>
      <c r="C26" s="58" t="s">
        <v>56</v>
      </c>
      <c r="D26" s="63">
        <v>9.4675580794092156</v>
      </c>
      <c r="E26" s="63">
        <v>11.302940492131873</v>
      </c>
      <c r="F26" s="50">
        <v>11.080308317128926</v>
      </c>
      <c r="G26" s="55">
        <v>58.64</v>
      </c>
    </row>
    <row r="27" spans="2:7" x14ac:dyDescent="0.35">
      <c r="B27" s="1">
        <v>23</v>
      </c>
      <c r="C27" s="58" t="s">
        <v>80</v>
      </c>
      <c r="D27" s="63">
        <v>9.2304093299647967</v>
      </c>
      <c r="E27" s="63">
        <v>11.822715917077407</v>
      </c>
      <c r="F27" s="50">
        <v>11.244523405784753</v>
      </c>
      <c r="G27" s="55">
        <v>58.64</v>
      </c>
    </row>
    <row r="28" spans="2:7" x14ac:dyDescent="0.35">
      <c r="B28" s="1">
        <v>24</v>
      </c>
      <c r="C28" s="58" t="s">
        <v>58</v>
      </c>
      <c r="D28" s="63">
        <v>8.3539317256661274</v>
      </c>
      <c r="E28" s="63">
        <v>12.335545154632381</v>
      </c>
      <c r="F28" s="50">
        <v>11.953846200151981</v>
      </c>
      <c r="G28" s="55">
        <v>58.64</v>
      </c>
    </row>
    <row r="29" spans="2:7" x14ac:dyDescent="0.35">
      <c r="B29" s="1">
        <v>25</v>
      </c>
      <c r="C29" s="58" t="s">
        <v>62</v>
      </c>
      <c r="D29" s="63">
        <v>0.71329713375271953</v>
      </c>
      <c r="E29" s="63">
        <v>7.0128132925498994</v>
      </c>
      <c r="F29" s="50">
        <v>13.438409909223111</v>
      </c>
      <c r="G29" s="55">
        <v>58.64</v>
      </c>
    </row>
    <row r="30" spans="2:7" x14ac:dyDescent="0.35">
      <c r="B30" s="1">
        <v>26</v>
      </c>
      <c r="C30" s="58" t="s">
        <v>60</v>
      </c>
      <c r="D30" s="63">
        <v>12.929385593291038</v>
      </c>
      <c r="E30" s="63">
        <v>14.55864957495913</v>
      </c>
      <c r="F30" s="50">
        <v>13.772954981519559</v>
      </c>
      <c r="G30" s="55">
        <v>58.64</v>
      </c>
    </row>
    <row r="31" spans="2:7" x14ac:dyDescent="0.35">
      <c r="B31" s="1">
        <v>27</v>
      </c>
      <c r="C31" s="58" t="s">
        <v>52</v>
      </c>
      <c r="D31" s="63">
        <v>7.4637922732155442</v>
      </c>
      <c r="E31" s="63">
        <v>13.918030677440449</v>
      </c>
      <c r="F31" s="50">
        <v>16.319663086624868</v>
      </c>
      <c r="G31" s="55">
        <v>58.64</v>
      </c>
    </row>
    <row r="32" spans="2:7" x14ac:dyDescent="0.35">
      <c r="B32" s="1">
        <v>28</v>
      </c>
      <c r="C32" s="58" t="s">
        <v>55</v>
      </c>
      <c r="D32" s="63">
        <v>4.2179462891008965</v>
      </c>
      <c r="E32" s="63">
        <v>15.895640099006378</v>
      </c>
      <c r="F32" s="50">
        <v>16.384015197312582</v>
      </c>
      <c r="G32" s="55">
        <v>58.64</v>
      </c>
    </row>
    <row r="33" spans="2:7" x14ac:dyDescent="0.35">
      <c r="B33" s="1">
        <v>29</v>
      </c>
      <c r="C33" s="58" t="s">
        <v>74</v>
      </c>
      <c r="D33" s="63">
        <v>11.25847224081269</v>
      </c>
      <c r="E33" s="63">
        <v>11.522670168659257</v>
      </c>
      <c r="F33" s="50">
        <v>16.559902485970117</v>
      </c>
      <c r="G33" s="55">
        <v>58.64</v>
      </c>
    </row>
    <row r="34" spans="2:7" x14ac:dyDescent="0.35">
      <c r="B34" s="1">
        <v>30</v>
      </c>
      <c r="C34" s="58" t="s">
        <v>79</v>
      </c>
      <c r="D34" s="63">
        <v>10.084067366148597</v>
      </c>
      <c r="E34" s="63">
        <v>15.201502728823197</v>
      </c>
      <c r="F34" s="50">
        <v>16.814586021456186</v>
      </c>
      <c r="G34" s="55">
        <v>58.64</v>
      </c>
    </row>
    <row r="35" spans="2:7" x14ac:dyDescent="0.35">
      <c r="B35" s="1">
        <v>31</v>
      </c>
      <c r="C35" s="58" t="s">
        <v>69</v>
      </c>
      <c r="D35" s="63">
        <v>0</v>
      </c>
      <c r="E35" s="63">
        <v>43.880461343110632</v>
      </c>
      <c r="F35" s="50">
        <v>17.410164529383941</v>
      </c>
      <c r="G35" s="55">
        <v>58.64</v>
      </c>
    </row>
    <row r="36" spans="2:7" x14ac:dyDescent="0.35">
      <c r="B36" s="1">
        <v>32</v>
      </c>
      <c r="C36" s="58" t="s">
        <v>46</v>
      </c>
      <c r="D36" s="50">
        <v>1.147359073900709E-2</v>
      </c>
      <c r="E36" s="50">
        <v>15.194957346200697</v>
      </c>
      <c r="F36" s="50">
        <v>18.755796326105237</v>
      </c>
      <c r="G36" s="55">
        <v>58.64</v>
      </c>
    </row>
    <row r="37" spans="2:7" x14ac:dyDescent="0.35">
      <c r="B37" s="1">
        <v>33</v>
      </c>
      <c r="C37" s="60" t="s">
        <v>98</v>
      </c>
      <c r="D37" s="64">
        <v>9.1209733095217231</v>
      </c>
      <c r="E37" s="64">
        <v>17.670782002629522</v>
      </c>
      <c r="F37" s="64">
        <v>19.365524044022607</v>
      </c>
      <c r="G37" s="55">
        <v>58.64</v>
      </c>
    </row>
    <row r="38" spans="2:7" x14ac:dyDescent="0.35">
      <c r="B38" s="1">
        <v>34</v>
      </c>
      <c r="C38" s="58" t="s">
        <v>68</v>
      </c>
      <c r="D38" s="63">
        <v>8.9952824106106632</v>
      </c>
      <c r="E38" s="63">
        <v>11.991399007360956</v>
      </c>
      <c r="F38" s="50">
        <v>20.322248191924977</v>
      </c>
      <c r="G38" s="55">
        <v>58.64</v>
      </c>
    </row>
    <row r="39" spans="2:7" x14ac:dyDescent="0.35">
      <c r="B39" s="1">
        <v>35</v>
      </c>
      <c r="C39" s="58" t="s">
        <v>81</v>
      </c>
      <c r="D39" s="63">
        <v>24.412021243103478</v>
      </c>
      <c r="E39" s="63">
        <v>21.576198046786281</v>
      </c>
      <c r="F39" s="50">
        <v>20.462907613705241</v>
      </c>
      <c r="G39" s="55">
        <v>58.64</v>
      </c>
    </row>
    <row r="40" spans="2:7" x14ac:dyDescent="0.35">
      <c r="B40" s="1">
        <v>36</v>
      </c>
      <c r="C40" s="58" t="s">
        <v>84</v>
      </c>
      <c r="D40" s="63">
        <v>11.906918137676456</v>
      </c>
      <c r="E40" s="63">
        <v>7.8206083715872774</v>
      </c>
      <c r="F40" s="50">
        <v>20.84311849400595</v>
      </c>
      <c r="G40" s="55">
        <v>58.64</v>
      </c>
    </row>
    <row r="41" spans="2:7" x14ac:dyDescent="0.35">
      <c r="B41" s="1">
        <v>37</v>
      </c>
      <c r="C41" s="58" t="s">
        <v>89</v>
      </c>
      <c r="D41" s="63">
        <v>13.366665183025139</v>
      </c>
      <c r="E41" s="63">
        <v>14.487155909271724</v>
      </c>
      <c r="F41" s="50">
        <v>22.678294423115048</v>
      </c>
      <c r="G41" s="55">
        <v>58.64</v>
      </c>
    </row>
    <row r="42" spans="2:7" x14ac:dyDescent="0.35">
      <c r="B42" s="1">
        <v>38</v>
      </c>
      <c r="C42" s="58" t="s">
        <v>63</v>
      </c>
      <c r="D42" s="63">
        <v>2.2973079178531046</v>
      </c>
      <c r="E42" s="63">
        <v>31.103851416837912</v>
      </c>
      <c r="F42" s="50">
        <v>23.74055120630122</v>
      </c>
      <c r="G42" s="55">
        <v>58.64</v>
      </c>
    </row>
    <row r="43" spans="2:7" x14ac:dyDescent="0.35">
      <c r="B43" s="1">
        <v>39</v>
      </c>
      <c r="C43" s="58" t="s">
        <v>45</v>
      </c>
      <c r="D43" s="50">
        <v>2.931267462129866</v>
      </c>
      <c r="E43" s="50">
        <v>15.897390433807972</v>
      </c>
      <c r="F43" s="50">
        <v>25.353635512816727</v>
      </c>
      <c r="G43" s="55">
        <v>58.64</v>
      </c>
    </row>
    <row r="44" spans="2:7" x14ac:dyDescent="0.35">
      <c r="B44" s="1">
        <v>40</v>
      </c>
      <c r="C44" s="58" t="s">
        <v>90</v>
      </c>
      <c r="D44" s="63">
        <v>1.8201538354901259</v>
      </c>
      <c r="E44" s="63">
        <v>13.555811307008865</v>
      </c>
      <c r="F44" s="50">
        <v>29.562374251755003</v>
      </c>
      <c r="G44" s="55">
        <v>58.64</v>
      </c>
    </row>
    <row r="45" spans="2:7" x14ac:dyDescent="0.35">
      <c r="B45" s="1">
        <v>41</v>
      </c>
      <c r="C45" s="58" t="s">
        <v>48</v>
      </c>
      <c r="D45" s="63">
        <v>32.999921525401852</v>
      </c>
      <c r="E45" s="63">
        <v>31.186152777066741</v>
      </c>
      <c r="F45" s="50">
        <v>30.521279734296041</v>
      </c>
      <c r="G45" s="55">
        <v>58.64</v>
      </c>
    </row>
    <row r="46" spans="2:7" x14ac:dyDescent="0.35">
      <c r="B46" s="1">
        <v>42</v>
      </c>
      <c r="C46" s="58" t="s">
        <v>91</v>
      </c>
      <c r="D46" s="63">
        <v>13.811448061574467</v>
      </c>
      <c r="E46" s="63">
        <v>19.085602461410243</v>
      </c>
      <c r="F46" s="50">
        <v>34.39715249565625</v>
      </c>
      <c r="G46" s="55">
        <v>58.64</v>
      </c>
    </row>
    <row r="47" spans="2:7" x14ac:dyDescent="0.35">
      <c r="B47" s="1">
        <v>43</v>
      </c>
      <c r="C47" s="58" t="s">
        <v>75</v>
      </c>
      <c r="D47" s="63">
        <v>30.704471207875784</v>
      </c>
      <c r="E47" s="63">
        <v>42.867680293411617</v>
      </c>
      <c r="F47" s="50">
        <v>39.753766677912594</v>
      </c>
      <c r="G47" s="55">
        <v>58.64</v>
      </c>
    </row>
    <row r="48" spans="2:7" x14ac:dyDescent="0.35">
      <c r="B48" s="1">
        <v>44</v>
      </c>
      <c r="C48" s="58" t="s">
        <v>61</v>
      </c>
      <c r="D48" s="63">
        <v>33.398341618089297</v>
      </c>
      <c r="E48" s="63">
        <v>40.674665155729244</v>
      </c>
      <c r="F48" s="50">
        <v>43.739111511849558</v>
      </c>
      <c r="G48" s="55">
        <v>58.64</v>
      </c>
    </row>
    <row r="49" spans="2:7" x14ac:dyDescent="0.35">
      <c r="B49" s="1">
        <v>45</v>
      </c>
      <c r="C49" s="58" t="s">
        <v>65</v>
      </c>
      <c r="D49" s="63">
        <v>17.689352932108982</v>
      </c>
      <c r="E49" s="63">
        <v>43.941103198036984</v>
      </c>
      <c r="F49" s="50">
        <v>44.236721783822048</v>
      </c>
      <c r="G49" s="55">
        <v>58.64</v>
      </c>
    </row>
    <row r="50" spans="2:7" x14ac:dyDescent="0.35">
      <c r="B50" s="1">
        <v>46</v>
      </c>
      <c r="C50" s="58" t="s">
        <v>77</v>
      </c>
      <c r="D50" s="63">
        <v>18.643598804269427</v>
      </c>
      <c r="E50" s="63">
        <v>53.87664737690644</v>
      </c>
      <c r="F50" s="50">
        <v>60.674896300150309</v>
      </c>
      <c r="G50" s="55">
        <v>58.64</v>
      </c>
    </row>
    <row r="51" spans="2:7" x14ac:dyDescent="0.35">
      <c r="B51" s="1">
        <v>47</v>
      </c>
      <c r="C51" s="58" t="s">
        <v>85</v>
      </c>
      <c r="D51" s="63">
        <v>10.899955183999529</v>
      </c>
      <c r="E51" s="63">
        <v>50.132513051399776</v>
      </c>
      <c r="F51" s="50">
        <v>66.327513452394967</v>
      </c>
      <c r="G51" s="55">
        <v>58.64</v>
      </c>
    </row>
    <row r="52" spans="2:7" x14ac:dyDescent="0.35">
      <c r="B52" s="1">
        <v>48</v>
      </c>
      <c r="C52" s="58" t="s">
        <v>83</v>
      </c>
      <c r="D52" s="63">
        <v>43.323613954546396</v>
      </c>
      <c r="E52" s="63">
        <v>138.69894569402814</v>
      </c>
      <c r="F52" s="50">
        <v>135.95136120408563</v>
      </c>
      <c r="G52" s="55">
        <v>58.64</v>
      </c>
    </row>
  </sheetData>
  <sortState xmlns:xlrd2="http://schemas.microsoft.com/office/spreadsheetml/2017/richdata2" ref="C5:G52">
    <sortCondition ref="F5:F52"/>
  </sortState>
  <mergeCells count="1">
    <mergeCell ref="D1:F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49DC-4317-4500-8E56-0D6CCC3840D9}">
  <dimension ref="B1:K51"/>
  <sheetViews>
    <sheetView topLeftCell="A40" workbookViewId="0">
      <selection activeCell="C45" sqref="C45:F45"/>
    </sheetView>
  </sheetViews>
  <sheetFormatPr defaultRowHeight="14.5" x14ac:dyDescent="0.35"/>
  <cols>
    <col min="2" max="2" width="18.54296875" bestFit="1" customWidth="1"/>
  </cols>
  <sheetData>
    <row r="1" spans="2:11" x14ac:dyDescent="0.35">
      <c r="F1" s="74" t="s">
        <v>43</v>
      </c>
      <c r="G1" s="74"/>
      <c r="H1" s="74"/>
      <c r="I1" s="74" t="s">
        <v>31</v>
      </c>
      <c r="J1" s="74"/>
      <c r="K1" s="74"/>
    </row>
    <row r="3" spans="2:11" x14ac:dyDescent="0.35">
      <c r="B3" s="47" t="s">
        <v>93</v>
      </c>
      <c r="C3" s="21">
        <v>2013</v>
      </c>
      <c r="D3" s="21">
        <v>2018</v>
      </c>
      <c r="E3" s="21">
        <v>2022</v>
      </c>
      <c r="F3" t="s">
        <v>278</v>
      </c>
    </row>
    <row r="4" spans="2:11" x14ac:dyDescent="0.35">
      <c r="B4" s="49" t="s">
        <v>59</v>
      </c>
      <c r="C4" s="67">
        <v>0</v>
      </c>
      <c r="D4" s="67">
        <v>0</v>
      </c>
      <c r="E4" s="67">
        <v>0</v>
      </c>
      <c r="F4" s="67">
        <v>5.28</v>
      </c>
    </row>
    <row r="5" spans="2:11" x14ac:dyDescent="0.35">
      <c r="B5" s="49" t="s">
        <v>78</v>
      </c>
      <c r="C5" s="67">
        <v>1.6083032191958065E-2</v>
      </c>
      <c r="D5" s="67">
        <v>1.3287825189623912E-2</v>
      </c>
      <c r="E5" s="67">
        <v>1.0524722297308976E-2</v>
      </c>
      <c r="F5" s="67">
        <v>5.28</v>
      </c>
    </row>
    <row r="6" spans="2:11" x14ac:dyDescent="0.35">
      <c r="B6" s="49" t="s">
        <v>50</v>
      </c>
      <c r="C6" s="67">
        <v>3.9410507481715366E-3</v>
      </c>
      <c r="D6" s="67">
        <v>1.2180826986796209E-2</v>
      </c>
      <c r="E6" s="67">
        <v>1.0861489514415006E-2</v>
      </c>
      <c r="F6" s="67">
        <v>5.28</v>
      </c>
    </row>
    <row r="7" spans="2:11" x14ac:dyDescent="0.35">
      <c r="B7" s="49" t="s">
        <v>53</v>
      </c>
      <c r="C7" s="67">
        <v>0</v>
      </c>
      <c r="D7" s="67">
        <v>3.3367485936586082E-2</v>
      </c>
      <c r="E7" s="67">
        <v>1.7150012745503849E-2</v>
      </c>
      <c r="F7" s="67">
        <v>5.28</v>
      </c>
    </row>
    <row r="8" spans="2:11" x14ac:dyDescent="0.35">
      <c r="B8" s="49" t="s">
        <v>56</v>
      </c>
      <c r="C8" s="67">
        <v>0</v>
      </c>
      <c r="D8" s="67">
        <v>4.9622665575213103E-2</v>
      </c>
      <c r="E8" s="67">
        <v>1.732487977216314E-2</v>
      </c>
      <c r="F8" s="67">
        <v>5.28</v>
      </c>
    </row>
    <row r="9" spans="2:11" x14ac:dyDescent="0.35">
      <c r="B9" s="49" t="s">
        <v>54</v>
      </c>
      <c r="C9" s="67">
        <v>0</v>
      </c>
      <c r="D9" s="67">
        <v>8.9719377014280122E-3</v>
      </c>
      <c r="E9" s="67">
        <v>1.805531352501813E-2</v>
      </c>
      <c r="F9" s="67">
        <v>5.28</v>
      </c>
    </row>
    <row r="10" spans="2:11" x14ac:dyDescent="0.35">
      <c r="B10" s="49" t="s">
        <v>88</v>
      </c>
      <c r="C10" s="67">
        <v>2.5329890156931333E-2</v>
      </c>
      <c r="D10" s="67">
        <v>5.7166440962787259E-2</v>
      </c>
      <c r="E10" s="67">
        <v>2.5956667887166412E-2</v>
      </c>
      <c r="F10" s="67">
        <v>5.28</v>
      </c>
    </row>
    <row r="11" spans="2:11" x14ac:dyDescent="0.35">
      <c r="B11" s="49" t="s">
        <v>70</v>
      </c>
      <c r="C11" s="67">
        <v>0</v>
      </c>
      <c r="D11" s="67">
        <v>4.9085867749173673E-2</v>
      </c>
      <c r="E11" s="67">
        <v>3.3409367854906322E-2</v>
      </c>
      <c r="F11" s="67">
        <v>5.28</v>
      </c>
    </row>
    <row r="12" spans="2:11" x14ac:dyDescent="0.35">
      <c r="B12" s="49" t="s">
        <v>73</v>
      </c>
      <c r="C12" s="67">
        <v>0</v>
      </c>
      <c r="D12" s="67">
        <v>4.1636780989227705E-2</v>
      </c>
      <c r="E12" s="67">
        <v>3.6736082297322295E-2</v>
      </c>
      <c r="F12" s="67">
        <v>5.28</v>
      </c>
    </row>
    <row r="13" spans="2:11" x14ac:dyDescent="0.35">
      <c r="B13" s="49" t="s">
        <v>47</v>
      </c>
      <c r="C13" s="67">
        <v>0</v>
      </c>
      <c r="D13" s="67">
        <v>3.7686284876405955E-2</v>
      </c>
      <c r="E13" s="67">
        <v>4.3043534966387631E-2</v>
      </c>
      <c r="F13" s="67">
        <v>5.28</v>
      </c>
    </row>
    <row r="14" spans="2:11" x14ac:dyDescent="0.35">
      <c r="B14" s="49" t="s">
        <v>58</v>
      </c>
      <c r="C14" s="67">
        <v>0</v>
      </c>
      <c r="D14" s="67">
        <v>4.6390202113728227E-2</v>
      </c>
      <c r="E14" s="67">
        <v>4.5579916609546439E-2</v>
      </c>
      <c r="F14" s="67">
        <v>5.28</v>
      </c>
    </row>
    <row r="15" spans="2:11" x14ac:dyDescent="0.35">
      <c r="B15" s="49" t="s">
        <v>66</v>
      </c>
      <c r="C15" s="67">
        <v>0</v>
      </c>
      <c r="D15" s="67">
        <v>5.8144793199480578E-2</v>
      </c>
      <c r="E15" s="67">
        <v>6.4271567544569724E-2</v>
      </c>
      <c r="F15" s="67">
        <v>5.28</v>
      </c>
    </row>
    <row r="16" spans="2:11" x14ac:dyDescent="0.35">
      <c r="B16" s="49" t="s">
        <v>64</v>
      </c>
      <c r="C16" s="67">
        <v>8.0004913242907386E-2</v>
      </c>
      <c r="D16" s="67">
        <v>5.7261692684266563E-2</v>
      </c>
      <c r="E16" s="67">
        <v>9.238756064319481E-2</v>
      </c>
      <c r="F16" s="67">
        <v>5.28</v>
      </c>
    </row>
    <row r="17" spans="2:6" x14ac:dyDescent="0.35">
      <c r="B17" s="49" t="s">
        <v>71</v>
      </c>
      <c r="C17" s="67">
        <v>4.7057679381913069E-2</v>
      </c>
      <c r="D17" s="67">
        <v>0.20710303051704126</v>
      </c>
      <c r="E17" s="67">
        <v>9.2596083798969664E-2</v>
      </c>
      <c r="F17" s="67">
        <v>5.28</v>
      </c>
    </row>
    <row r="18" spans="2:6" x14ac:dyDescent="0.35">
      <c r="B18" s="49" t="s">
        <v>49</v>
      </c>
      <c r="C18" s="67">
        <v>2.1546338164390905E-2</v>
      </c>
      <c r="D18" s="67">
        <v>0.13534239640287371</v>
      </c>
      <c r="E18" s="67">
        <v>9.3790335176511655E-2</v>
      </c>
      <c r="F18" s="67">
        <v>5.28</v>
      </c>
    </row>
    <row r="19" spans="2:6" x14ac:dyDescent="0.35">
      <c r="B19" s="49" t="s">
        <v>67</v>
      </c>
      <c r="C19" s="67">
        <v>0</v>
      </c>
      <c r="D19" s="67">
        <v>8.311884774419348E-2</v>
      </c>
      <c r="E19" s="67">
        <v>0.10649909069718268</v>
      </c>
      <c r="F19" s="67">
        <v>5.28</v>
      </c>
    </row>
    <row r="20" spans="2:6" x14ac:dyDescent="0.35">
      <c r="B20" s="49" t="s">
        <v>72</v>
      </c>
      <c r="C20" s="67">
        <v>0</v>
      </c>
      <c r="D20" s="67">
        <v>0.10235256833898612</v>
      </c>
      <c r="E20" s="67">
        <v>0.13419424981615888</v>
      </c>
      <c r="F20" s="67">
        <v>5.28</v>
      </c>
    </row>
    <row r="21" spans="2:6" x14ac:dyDescent="0.35">
      <c r="B21" s="49" t="s">
        <v>51</v>
      </c>
      <c r="C21" s="67">
        <v>2.681107667274538E-2</v>
      </c>
      <c r="D21" s="67">
        <v>0.12282295073645212</v>
      </c>
      <c r="E21" s="67">
        <v>0.14508569755403253</v>
      </c>
      <c r="F21" s="67">
        <v>5.28</v>
      </c>
    </row>
    <row r="22" spans="2:6" x14ac:dyDescent="0.35">
      <c r="B22" s="49" t="s">
        <v>86</v>
      </c>
      <c r="C22" s="67">
        <v>0</v>
      </c>
      <c r="D22" s="67">
        <v>5.1946405354443073E-2</v>
      </c>
      <c r="E22" s="67">
        <v>0.14677720354961385</v>
      </c>
      <c r="F22" s="67">
        <v>5.28</v>
      </c>
    </row>
    <row r="23" spans="2:6" x14ac:dyDescent="0.35">
      <c r="B23" s="49" t="s">
        <v>80</v>
      </c>
      <c r="C23" s="67">
        <v>0.11440050599253725</v>
      </c>
      <c r="D23" s="67">
        <v>0.18193704300038124</v>
      </c>
      <c r="E23" s="67">
        <v>0.17130375403829554</v>
      </c>
      <c r="F23" s="67">
        <v>5.28</v>
      </c>
    </row>
    <row r="24" spans="2:6" x14ac:dyDescent="0.35">
      <c r="B24" s="49" t="s">
        <v>82</v>
      </c>
      <c r="C24" s="67">
        <v>3.9718833321056066E-2</v>
      </c>
      <c r="D24" s="67">
        <v>0.15152576493384329</v>
      </c>
      <c r="E24" s="67">
        <v>0.17203665304474242</v>
      </c>
      <c r="F24" s="67">
        <v>5.28</v>
      </c>
    </row>
    <row r="25" spans="2:6" x14ac:dyDescent="0.35">
      <c r="B25" s="49" t="s">
        <v>84</v>
      </c>
      <c r="C25" s="67">
        <v>0</v>
      </c>
      <c r="D25" s="67">
        <v>0.54571258806293776</v>
      </c>
      <c r="E25" s="67">
        <v>0.18570400422645994</v>
      </c>
      <c r="F25" s="67">
        <v>5.28</v>
      </c>
    </row>
    <row r="26" spans="2:6" x14ac:dyDescent="0.35">
      <c r="B26" s="49" t="s">
        <v>57</v>
      </c>
      <c r="C26" s="67">
        <v>0.27148192525635295</v>
      </c>
      <c r="D26" s="67">
        <v>0.19847816280296826</v>
      </c>
      <c r="E26" s="67">
        <v>0.20045574946370559</v>
      </c>
      <c r="F26" s="67">
        <v>5.28</v>
      </c>
    </row>
    <row r="27" spans="2:6" x14ac:dyDescent="0.35">
      <c r="B27" s="49" t="s">
        <v>87</v>
      </c>
      <c r="C27" s="67">
        <v>9.4409259286574398E-2</v>
      </c>
      <c r="D27" s="67">
        <v>0.24961076643880986</v>
      </c>
      <c r="E27" s="67">
        <v>0.20412280091117724</v>
      </c>
      <c r="F27" s="67">
        <v>5.28</v>
      </c>
    </row>
    <row r="28" spans="2:6" x14ac:dyDescent="0.35">
      <c r="B28" s="49" t="s">
        <v>76</v>
      </c>
      <c r="C28" s="67">
        <v>0.14810865837276666</v>
      </c>
      <c r="D28" s="67">
        <v>0.2022167132045492</v>
      </c>
      <c r="E28" s="67">
        <v>0.2089809106553982</v>
      </c>
      <c r="F28" s="67">
        <v>5.28</v>
      </c>
    </row>
    <row r="29" spans="2:6" x14ac:dyDescent="0.35">
      <c r="B29" s="49" t="s">
        <v>65</v>
      </c>
      <c r="C29" s="67">
        <v>0</v>
      </c>
      <c r="D29" s="67">
        <v>0.30449643569915563</v>
      </c>
      <c r="E29" s="67">
        <v>0.21858130949635596</v>
      </c>
      <c r="F29" s="67">
        <v>5.28</v>
      </c>
    </row>
    <row r="30" spans="2:6" x14ac:dyDescent="0.35">
      <c r="B30" s="49" t="s">
        <v>91</v>
      </c>
      <c r="C30" s="67">
        <v>0.30024887090379271</v>
      </c>
      <c r="D30" s="67">
        <v>0.43183102199654194</v>
      </c>
      <c r="E30" s="67">
        <v>0.24928322816147885</v>
      </c>
      <c r="F30" s="67">
        <v>5.28</v>
      </c>
    </row>
    <row r="31" spans="2:6" x14ac:dyDescent="0.35">
      <c r="B31" s="49" t="s">
        <v>81</v>
      </c>
      <c r="C31" s="67">
        <v>0</v>
      </c>
      <c r="D31" s="67">
        <v>0.28389734272087214</v>
      </c>
      <c r="E31" s="67">
        <v>0.26387603104061713</v>
      </c>
      <c r="F31" s="67">
        <v>5.28</v>
      </c>
    </row>
    <row r="32" spans="2:6" x14ac:dyDescent="0.35">
      <c r="B32" s="49" t="s">
        <v>46</v>
      </c>
      <c r="C32" s="67">
        <v>0</v>
      </c>
      <c r="D32" s="67">
        <v>0.78277052995579344</v>
      </c>
      <c r="E32" s="67">
        <v>0.29491930541770073</v>
      </c>
      <c r="F32" s="67">
        <v>5.28</v>
      </c>
    </row>
    <row r="33" spans="2:6" x14ac:dyDescent="0.35">
      <c r="B33" s="49" t="s">
        <v>62</v>
      </c>
      <c r="C33" s="67">
        <v>0</v>
      </c>
      <c r="D33" s="67">
        <v>0.18293982553929589</v>
      </c>
      <c r="E33" s="67">
        <v>0.30126457080138663</v>
      </c>
      <c r="F33" s="67">
        <v>5.28</v>
      </c>
    </row>
    <row r="34" spans="2:6" x14ac:dyDescent="0.35">
      <c r="B34" s="49" t="s">
        <v>74</v>
      </c>
      <c r="C34" s="67">
        <v>0</v>
      </c>
      <c r="D34" s="67">
        <v>0.35357106187107251</v>
      </c>
      <c r="E34" s="67">
        <v>0.31495266819191492</v>
      </c>
      <c r="F34" s="67">
        <v>5.28</v>
      </c>
    </row>
    <row r="35" spans="2:6" x14ac:dyDescent="0.35">
      <c r="B35" s="49" t="s">
        <v>89</v>
      </c>
      <c r="C35" s="67">
        <v>7.8245553257013697E-2</v>
      </c>
      <c r="D35" s="67">
        <v>1.2525473983807689E-2</v>
      </c>
      <c r="E35" s="67">
        <v>0.33608760796523413</v>
      </c>
      <c r="F35" s="67">
        <v>5.28</v>
      </c>
    </row>
    <row r="36" spans="2:6" x14ac:dyDescent="0.35">
      <c r="B36" s="49" t="s">
        <v>55</v>
      </c>
      <c r="C36" s="67">
        <v>0.25736621425022416</v>
      </c>
      <c r="D36" s="67">
        <v>0.41220460548476834</v>
      </c>
      <c r="E36" s="67">
        <v>0.38242128843707418</v>
      </c>
      <c r="F36" s="67">
        <v>5.28</v>
      </c>
    </row>
    <row r="37" spans="2:6" x14ac:dyDescent="0.35">
      <c r="B37" s="49" t="s">
        <v>68</v>
      </c>
      <c r="C37" s="67">
        <v>0.2332986726667364</v>
      </c>
      <c r="D37" s="67">
        <v>0.35312979497812602</v>
      </c>
      <c r="E37" s="67">
        <v>0.43144705212737372</v>
      </c>
      <c r="F37" s="67">
        <v>5.28</v>
      </c>
    </row>
    <row r="38" spans="2:6" x14ac:dyDescent="0.35">
      <c r="B38" s="49" t="s">
        <v>63</v>
      </c>
      <c r="C38" s="67">
        <v>0</v>
      </c>
      <c r="D38" s="67">
        <v>0.19616685405163248</v>
      </c>
      <c r="E38" s="67">
        <v>0.46463101077127689</v>
      </c>
      <c r="F38" s="67">
        <v>5.28</v>
      </c>
    </row>
    <row r="39" spans="2:6" x14ac:dyDescent="0.35">
      <c r="B39" s="49" t="s">
        <v>48</v>
      </c>
      <c r="C39" s="67">
        <v>0.24805189065151045</v>
      </c>
      <c r="D39" s="67">
        <v>0.50175235991879785</v>
      </c>
      <c r="E39" s="67">
        <v>0.4806411555020636</v>
      </c>
      <c r="F39" s="67">
        <v>5.28</v>
      </c>
    </row>
    <row r="40" spans="2:6" x14ac:dyDescent="0.35">
      <c r="B40" s="49" t="s">
        <v>90</v>
      </c>
      <c r="C40" s="67">
        <v>0.18510039004984333</v>
      </c>
      <c r="D40" s="67">
        <v>0.32070163237691579</v>
      </c>
      <c r="E40" s="67">
        <v>0.52403688240517432</v>
      </c>
      <c r="F40" s="67">
        <v>5.28</v>
      </c>
    </row>
    <row r="41" spans="2:6" x14ac:dyDescent="0.35">
      <c r="B41" s="49" t="s">
        <v>85</v>
      </c>
      <c r="C41" s="67">
        <v>1.929515924826728</v>
      </c>
      <c r="D41" s="67">
        <v>1.2371895984339625</v>
      </c>
      <c r="E41" s="67">
        <v>0.58865812570329368</v>
      </c>
      <c r="F41" s="67">
        <v>5.28</v>
      </c>
    </row>
    <row r="42" spans="2:6" x14ac:dyDescent="0.35">
      <c r="B42" s="49" t="s">
        <v>69</v>
      </c>
      <c r="C42" s="67">
        <v>0</v>
      </c>
      <c r="D42" s="67">
        <v>1.2693259424290169</v>
      </c>
      <c r="E42" s="67">
        <v>0.63720722990266898</v>
      </c>
      <c r="F42" s="67">
        <v>5.28</v>
      </c>
    </row>
    <row r="43" spans="2:6" x14ac:dyDescent="0.35">
      <c r="B43" s="49" t="s">
        <v>60</v>
      </c>
      <c r="C43" s="67">
        <v>0</v>
      </c>
      <c r="D43" s="67">
        <v>1.0158547350948355</v>
      </c>
      <c r="E43" s="67">
        <v>0.67073044442993801</v>
      </c>
      <c r="F43" s="67">
        <v>5.28</v>
      </c>
    </row>
    <row r="44" spans="2:6" x14ac:dyDescent="0.35">
      <c r="B44" s="49" t="s">
        <v>61</v>
      </c>
      <c r="C44" s="67">
        <v>0</v>
      </c>
      <c r="D44" s="67">
        <v>1.034101656501591</v>
      </c>
      <c r="E44" s="67">
        <v>0.75141527725118284</v>
      </c>
      <c r="F44" s="67">
        <v>5.28</v>
      </c>
    </row>
    <row r="45" spans="2:6" x14ac:dyDescent="0.35">
      <c r="B45" s="53" t="s">
        <v>98</v>
      </c>
      <c r="C45" s="66">
        <v>0.39073721684637214</v>
      </c>
      <c r="D45" s="66">
        <v>0.87371310014348447</v>
      </c>
      <c r="E45" s="66">
        <v>0.79844545799656541</v>
      </c>
      <c r="F45" s="67">
        <v>5.28</v>
      </c>
    </row>
    <row r="46" spans="2:6" x14ac:dyDescent="0.35">
      <c r="B46" s="49" t="s">
        <v>79</v>
      </c>
      <c r="C46" s="67">
        <v>0</v>
      </c>
      <c r="D46" s="67">
        <v>1.2847071581559619</v>
      </c>
      <c r="E46" s="67">
        <v>0.85054380366784099</v>
      </c>
      <c r="F46" s="67">
        <v>5.28</v>
      </c>
    </row>
    <row r="47" spans="2:6" x14ac:dyDescent="0.35">
      <c r="B47" s="49" t="s">
        <v>52</v>
      </c>
      <c r="C47" s="67">
        <v>0</v>
      </c>
      <c r="D47" s="67">
        <v>2.713578308180213</v>
      </c>
      <c r="E47" s="67">
        <v>1.4572087867796579</v>
      </c>
      <c r="F47" s="67">
        <v>5.28</v>
      </c>
    </row>
    <row r="48" spans="2:6" x14ac:dyDescent="0.35">
      <c r="B48" s="49" t="s">
        <v>77</v>
      </c>
      <c r="C48" s="67">
        <v>0.30845856902440899</v>
      </c>
      <c r="D48" s="67">
        <v>1.2013232846173876</v>
      </c>
      <c r="E48" s="67">
        <v>1.4863086388999653</v>
      </c>
      <c r="F48" s="67">
        <v>5.28</v>
      </c>
    </row>
    <row r="49" spans="2:6" x14ac:dyDescent="0.35">
      <c r="B49" s="49" t="s">
        <v>45</v>
      </c>
      <c r="C49" s="67">
        <v>0</v>
      </c>
      <c r="D49" s="67">
        <v>3.6928464748270717</v>
      </c>
      <c r="E49" s="67">
        <v>3.6231250650704925</v>
      </c>
      <c r="F49" s="67">
        <v>5.28</v>
      </c>
    </row>
    <row r="50" spans="2:6" x14ac:dyDescent="0.35">
      <c r="B50" s="49" t="s">
        <v>75</v>
      </c>
      <c r="C50" s="67">
        <v>2.7194724688277567</v>
      </c>
      <c r="D50" s="67">
        <v>4.0991785045563782</v>
      </c>
      <c r="E50" s="67">
        <v>3.7853853141600422</v>
      </c>
      <c r="F50" s="67">
        <v>5.28</v>
      </c>
    </row>
    <row r="51" spans="2:6" x14ac:dyDescent="0.35">
      <c r="B51" s="49" t="s">
        <v>83</v>
      </c>
      <c r="C51" s="67">
        <v>1.4475670533738652</v>
      </c>
      <c r="D51" s="67">
        <v>15.809739963724885</v>
      </c>
      <c r="E51" s="67">
        <v>16.338918623069532</v>
      </c>
      <c r="F51" s="67">
        <v>5.28</v>
      </c>
    </row>
  </sheetData>
  <sortState xmlns:xlrd2="http://schemas.microsoft.com/office/spreadsheetml/2017/richdata2" ref="B4:F51">
    <sortCondition ref="E4:E51"/>
  </sortState>
  <mergeCells count="2">
    <mergeCell ref="F1:H1"/>
    <mergeCell ref="I1:K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5C527-A976-42CA-BE8F-7102FB8D2F73}">
  <dimension ref="A1:I52"/>
  <sheetViews>
    <sheetView topLeftCell="A61" workbookViewId="0">
      <selection activeCell="C35" sqref="C35:F35"/>
    </sheetView>
  </sheetViews>
  <sheetFormatPr defaultRowHeight="14.5" x14ac:dyDescent="0.35"/>
  <cols>
    <col min="2" max="2" width="18.54296875" bestFit="1" customWidth="1"/>
  </cols>
  <sheetData>
    <row r="1" spans="1:9" x14ac:dyDescent="0.35">
      <c r="D1" s="68" t="s">
        <v>279</v>
      </c>
      <c r="E1" s="68"/>
      <c r="F1" s="68"/>
      <c r="G1" s="68" t="s">
        <v>280</v>
      </c>
      <c r="H1" s="68"/>
      <c r="I1" s="68"/>
    </row>
    <row r="4" spans="1:9" x14ac:dyDescent="0.35">
      <c r="A4" s="46" t="s">
        <v>270</v>
      </c>
      <c r="B4" s="47" t="s">
        <v>93</v>
      </c>
      <c r="C4" s="21">
        <v>2013</v>
      </c>
      <c r="D4" s="21">
        <v>2018</v>
      </c>
      <c r="E4" s="21">
        <v>2022</v>
      </c>
      <c r="F4" t="s">
        <v>281</v>
      </c>
    </row>
    <row r="5" spans="1:9" x14ac:dyDescent="0.35">
      <c r="A5" s="48">
        <v>1</v>
      </c>
      <c r="B5" s="49" t="s">
        <v>53</v>
      </c>
      <c r="C5" s="67">
        <v>4.164559659763796E-2</v>
      </c>
      <c r="D5" s="67">
        <v>7.0660558453946989E-2</v>
      </c>
      <c r="E5" s="67">
        <v>4.6032840227169308E-3</v>
      </c>
      <c r="F5" s="67">
        <v>14.72</v>
      </c>
    </row>
    <row r="6" spans="1:9" x14ac:dyDescent="0.35">
      <c r="A6" s="48">
        <v>2</v>
      </c>
      <c r="B6" s="49" t="s">
        <v>71</v>
      </c>
      <c r="C6" s="67">
        <v>7.2070319774101095E-3</v>
      </c>
      <c r="D6" s="67">
        <v>0.12254837597141471</v>
      </c>
      <c r="E6" s="67">
        <v>1.3540026744053708E-2</v>
      </c>
      <c r="F6" s="67">
        <v>14.72</v>
      </c>
    </row>
    <row r="7" spans="1:9" x14ac:dyDescent="0.35">
      <c r="A7" s="48">
        <v>3</v>
      </c>
      <c r="B7" s="49" t="s">
        <v>78</v>
      </c>
      <c r="C7" s="67">
        <v>2.7341154726328712E-2</v>
      </c>
      <c r="D7" s="67">
        <v>2.6575650379247823E-2</v>
      </c>
      <c r="E7" s="67">
        <v>2.0383047010812855E-2</v>
      </c>
      <c r="F7" s="67">
        <v>14.72</v>
      </c>
    </row>
    <row r="8" spans="1:9" x14ac:dyDescent="0.35">
      <c r="A8" s="48">
        <v>4</v>
      </c>
      <c r="B8" s="49" t="s">
        <v>50</v>
      </c>
      <c r="C8" s="67">
        <v>3.9410507481715366E-3</v>
      </c>
      <c r="D8" s="67">
        <v>0.10353702938776778</v>
      </c>
      <c r="E8" s="67">
        <v>0.10064958904134991</v>
      </c>
      <c r="F8" s="67">
        <v>14.72</v>
      </c>
    </row>
    <row r="9" spans="1:9" x14ac:dyDescent="0.35">
      <c r="A9" s="48">
        <v>5</v>
      </c>
      <c r="B9" s="49" t="s">
        <v>58</v>
      </c>
      <c r="C9" s="67">
        <v>3.8524355989498014E-2</v>
      </c>
      <c r="D9" s="67">
        <v>0.21966449664248044</v>
      </c>
      <c r="E9" s="67">
        <v>0.13189576983914927</v>
      </c>
      <c r="F9" s="67">
        <v>14.72</v>
      </c>
    </row>
    <row r="10" spans="1:9" x14ac:dyDescent="0.35">
      <c r="A10" s="48">
        <v>6</v>
      </c>
      <c r="B10" s="49" t="s">
        <v>66</v>
      </c>
      <c r="C10" s="67">
        <v>0.12844366976227967</v>
      </c>
      <c r="D10" s="67">
        <v>0.20310852418996639</v>
      </c>
      <c r="E10" s="67">
        <v>0.18399143884227384</v>
      </c>
      <c r="F10" s="67">
        <v>14.72</v>
      </c>
    </row>
    <row r="11" spans="1:9" x14ac:dyDescent="0.35">
      <c r="A11" s="48">
        <v>7</v>
      </c>
      <c r="B11" s="49" t="s">
        <v>56</v>
      </c>
      <c r="C11" s="67">
        <v>0</v>
      </c>
      <c r="D11" s="67">
        <v>0.44292823717134655</v>
      </c>
      <c r="E11" s="67">
        <v>0.20789855726595771</v>
      </c>
      <c r="F11" s="67">
        <v>14.72</v>
      </c>
    </row>
    <row r="12" spans="1:9" x14ac:dyDescent="0.35">
      <c r="A12" s="48">
        <v>8</v>
      </c>
      <c r="B12" s="49" t="s">
        <v>74</v>
      </c>
      <c r="C12" s="67">
        <v>0</v>
      </c>
      <c r="D12" s="67">
        <v>0.23415302110667058</v>
      </c>
      <c r="E12" s="67">
        <v>0.23180712021814376</v>
      </c>
      <c r="F12" s="67">
        <v>14.72</v>
      </c>
    </row>
    <row r="13" spans="1:9" x14ac:dyDescent="0.35">
      <c r="A13" s="48">
        <v>9</v>
      </c>
      <c r="B13" s="49" t="s">
        <v>82</v>
      </c>
      <c r="C13" s="67">
        <v>0.37806445050042259</v>
      </c>
      <c r="D13" s="67">
        <v>0.13804254008803521</v>
      </c>
      <c r="E13" s="67">
        <v>0.23619161180216569</v>
      </c>
      <c r="F13" s="67">
        <v>14.72</v>
      </c>
    </row>
    <row r="14" spans="1:9" x14ac:dyDescent="0.35">
      <c r="A14" s="48">
        <v>10</v>
      </c>
      <c r="B14" s="49" t="s">
        <v>54</v>
      </c>
      <c r="C14" s="67">
        <v>5.4476259378570396E-2</v>
      </c>
      <c r="D14" s="67">
        <v>0.28197518490202322</v>
      </c>
      <c r="E14" s="67">
        <v>0.28676309630029845</v>
      </c>
      <c r="F14" s="67">
        <v>14.72</v>
      </c>
    </row>
    <row r="15" spans="1:9" x14ac:dyDescent="0.35">
      <c r="A15" s="48">
        <v>11</v>
      </c>
      <c r="B15" s="49" t="s">
        <v>47</v>
      </c>
      <c r="C15" s="67">
        <v>2.0371082549883335</v>
      </c>
      <c r="D15" s="67">
        <v>0.29395302203596646</v>
      </c>
      <c r="E15" s="67">
        <v>0.32801951701148158</v>
      </c>
      <c r="F15" s="67">
        <v>14.72</v>
      </c>
    </row>
    <row r="16" spans="1:9" x14ac:dyDescent="0.35">
      <c r="A16" s="48">
        <v>12</v>
      </c>
      <c r="B16" s="49" t="s">
        <v>51</v>
      </c>
      <c r="C16" s="67">
        <v>0.61942832312894502</v>
      </c>
      <c r="D16" s="67">
        <v>0.13957153492778651</v>
      </c>
      <c r="E16" s="67">
        <v>0.34784743783942118</v>
      </c>
      <c r="F16" s="67">
        <v>14.72</v>
      </c>
    </row>
    <row r="17" spans="1:6" x14ac:dyDescent="0.35">
      <c r="A17" s="48">
        <v>13</v>
      </c>
      <c r="B17" s="49" t="s">
        <v>49</v>
      </c>
      <c r="C17" s="67">
        <v>0.20128815916733608</v>
      </c>
      <c r="D17" s="67">
        <v>0.38837383315607243</v>
      </c>
      <c r="E17" s="67">
        <v>0.35314677546825235</v>
      </c>
      <c r="F17" s="67">
        <v>14.72</v>
      </c>
    </row>
    <row r="18" spans="1:6" x14ac:dyDescent="0.35">
      <c r="A18" s="48">
        <v>14</v>
      </c>
      <c r="B18" s="49" t="s">
        <v>64</v>
      </c>
      <c r="C18" s="67">
        <v>0.48944182219190402</v>
      </c>
      <c r="D18" s="67">
        <v>0.62987861952693214</v>
      </c>
      <c r="E18" s="67">
        <v>0.36242670018027034</v>
      </c>
      <c r="F18" s="67">
        <v>14.72</v>
      </c>
    </row>
    <row r="19" spans="1:6" x14ac:dyDescent="0.35">
      <c r="A19" s="48">
        <v>15</v>
      </c>
      <c r="B19" s="49" t="s">
        <v>88</v>
      </c>
      <c r="C19" s="67">
        <v>2.3922674037101816E-2</v>
      </c>
      <c r="D19" s="67">
        <v>0.28458945609735392</v>
      </c>
      <c r="E19" s="67">
        <v>0.37067598133216989</v>
      </c>
      <c r="F19" s="67">
        <v>14.72</v>
      </c>
    </row>
    <row r="20" spans="1:6" x14ac:dyDescent="0.35">
      <c r="A20" s="48">
        <v>16</v>
      </c>
      <c r="B20" s="49" t="s">
        <v>67</v>
      </c>
      <c r="C20" s="67">
        <v>0</v>
      </c>
      <c r="D20" s="67">
        <v>0.42598409468899162</v>
      </c>
      <c r="E20" s="67">
        <v>0.39145816701183556</v>
      </c>
      <c r="F20" s="67">
        <v>14.72</v>
      </c>
    </row>
    <row r="21" spans="1:6" x14ac:dyDescent="0.35">
      <c r="A21" s="48">
        <v>17</v>
      </c>
      <c r="B21" s="49" t="s">
        <v>72</v>
      </c>
      <c r="C21" s="67">
        <v>0.10608572956295084</v>
      </c>
      <c r="D21" s="67">
        <v>0.36095613196142451</v>
      </c>
      <c r="E21" s="67">
        <v>0.40822083262577541</v>
      </c>
      <c r="F21" s="67">
        <v>14.72</v>
      </c>
    </row>
    <row r="22" spans="1:6" x14ac:dyDescent="0.35">
      <c r="A22" s="48">
        <v>18</v>
      </c>
      <c r="B22" s="49" t="s">
        <v>86</v>
      </c>
      <c r="C22" s="67">
        <v>0</v>
      </c>
      <c r="D22" s="67">
        <v>0.49060493945862899</v>
      </c>
      <c r="E22" s="67">
        <v>0.41303560746665047</v>
      </c>
      <c r="F22" s="67">
        <v>14.72</v>
      </c>
    </row>
    <row r="23" spans="1:6" x14ac:dyDescent="0.35">
      <c r="A23" s="48">
        <v>19</v>
      </c>
      <c r="B23" s="49" t="s">
        <v>52</v>
      </c>
      <c r="C23" s="67">
        <v>0</v>
      </c>
      <c r="D23" s="67">
        <v>4.6218366023198474</v>
      </c>
      <c r="E23" s="67">
        <v>0.60793058663032995</v>
      </c>
      <c r="F23" s="67">
        <v>14.72</v>
      </c>
    </row>
    <row r="24" spans="1:6" x14ac:dyDescent="0.35">
      <c r="A24" s="48">
        <v>20</v>
      </c>
      <c r="B24" s="49" t="s">
        <v>57</v>
      </c>
      <c r="C24" s="67">
        <v>2.1095480749428077</v>
      </c>
      <c r="D24" s="67">
        <v>1.0637801927305335</v>
      </c>
      <c r="E24" s="67">
        <v>0.62076166991740389</v>
      </c>
      <c r="F24" s="67">
        <v>14.72</v>
      </c>
    </row>
    <row r="25" spans="1:6" x14ac:dyDescent="0.35">
      <c r="A25" s="48">
        <v>21</v>
      </c>
      <c r="B25" s="49" t="s">
        <v>59</v>
      </c>
      <c r="C25" s="67">
        <v>0</v>
      </c>
      <c r="D25" s="67">
        <v>6.6573840541671384E-2</v>
      </c>
      <c r="E25" s="67">
        <v>0.62690010436394117</v>
      </c>
      <c r="F25" s="67">
        <v>14.72</v>
      </c>
    </row>
    <row r="26" spans="1:6" x14ac:dyDescent="0.35">
      <c r="A26" s="48">
        <v>22</v>
      </c>
      <c r="B26" s="49" t="s">
        <v>46</v>
      </c>
      <c r="C26" s="67">
        <v>0</v>
      </c>
      <c r="D26" s="67">
        <v>1.2492992077358192</v>
      </c>
      <c r="E26" s="67">
        <v>0.66795986560500087</v>
      </c>
      <c r="F26" s="67">
        <v>14.72</v>
      </c>
    </row>
    <row r="27" spans="1:6" x14ac:dyDescent="0.35">
      <c r="A27" s="48">
        <v>23</v>
      </c>
      <c r="B27" s="49" t="s">
        <v>89</v>
      </c>
      <c r="C27" s="67">
        <v>0.34019805763918998</v>
      </c>
      <c r="D27" s="67">
        <v>0.13440797082624406</v>
      </c>
      <c r="E27" s="67">
        <v>0.7475197930309867</v>
      </c>
      <c r="F27" s="67">
        <v>14.72</v>
      </c>
    </row>
    <row r="28" spans="1:6" x14ac:dyDescent="0.35">
      <c r="A28" s="48">
        <v>24</v>
      </c>
      <c r="B28" s="49" t="s">
        <v>80</v>
      </c>
      <c r="C28" s="67">
        <v>0.10269021797755312</v>
      </c>
      <c r="D28" s="67">
        <v>0.86739283219918606</v>
      </c>
      <c r="E28" s="67">
        <v>0.78901347728655613</v>
      </c>
      <c r="F28" s="67">
        <v>14.72</v>
      </c>
    </row>
    <row r="29" spans="1:6" x14ac:dyDescent="0.35">
      <c r="A29" s="48">
        <v>25</v>
      </c>
      <c r="B29" s="49" t="s">
        <v>73</v>
      </c>
      <c r="C29" s="67">
        <v>0</v>
      </c>
      <c r="D29" s="67">
        <v>0.71434670034530423</v>
      </c>
      <c r="E29" s="67">
        <v>0.79889913911646671</v>
      </c>
      <c r="F29" s="67">
        <v>14.72</v>
      </c>
    </row>
    <row r="30" spans="1:6" x14ac:dyDescent="0.35">
      <c r="A30" s="48">
        <v>26</v>
      </c>
      <c r="B30" s="49" t="s">
        <v>79</v>
      </c>
      <c r="C30" s="67">
        <v>1.1466516625374563</v>
      </c>
      <c r="D30" s="67">
        <v>1.535428443700269</v>
      </c>
      <c r="E30" s="67">
        <v>1.0835027318832955</v>
      </c>
      <c r="F30" s="67">
        <v>14.72</v>
      </c>
    </row>
    <row r="31" spans="1:6" x14ac:dyDescent="0.35">
      <c r="A31" s="48">
        <v>27</v>
      </c>
      <c r="B31" s="49" t="s">
        <v>76</v>
      </c>
      <c r="C31" s="67">
        <v>0.59045457121335576</v>
      </c>
      <c r="D31" s="67">
        <v>0.80071021228557637</v>
      </c>
      <c r="E31" s="67">
        <v>1.1516698370951335</v>
      </c>
      <c r="F31" s="67">
        <v>14.72</v>
      </c>
    </row>
    <row r="32" spans="1:6" x14ac:dyDescent="0.35">
      <c r="A32" s="48">
        <v>28</v>
      </c>
      <c r="B32" s="49" t="s">
        <v>87</v>
      </c>
      <c r="C32" s="67">
        <v>0.13318811632686625</v>
      </c>
      <c r="D32" s="67">
        <v>0.53210129590507682</v>
      </c>
      <c r="E32" s="67">
        <v>1.1977430159004858</v>
      </c>
      <c r="F32" s="67">
        <v>14.72</v>
      </c>
    </row>
    <row r="33" spans="1:6" x14ac:dyDescent="0.35">
      <c r="A33" s="48">
        <v>29</v>
      </c>
      <c r="B33" s="49" t="s">
        <v>84</v>
      </c>
      <c r="C33" s="67">
        <v>0</v>
      </c>
      <c r="D33" s="67">
        <v>0.22515414472526804</v>
      </c>
      <c r="E33" s="67">
        <v>1.2201189953005658</v>
      </c>
      <c r="F33" s="67">
        <v>14.72</v>
      </c>
    </row>
    <row r="34" spans="1:6" x14ac:dyDescent="0.35">
      <c r="A34" s="48">
        <v>30</v>
      </c>
      <c r="B34" s="49" t="s">
        <v>55</v>
      </c>
      <c r="C34" s="67">
        <v>0.22876996822242149</v>
      </c>
      <c r="D34" s="67">
        <v>0.70847666567694567</v>
      </c>
      <c r="E34" s="67">
        <v>1.3292181522385038</v>
      </c>
      <c r="F34" s="67">
        <v>14.72</v>
      </c>
    </row>
    <row r="35" spans="1:6" x14ac:dyDescent="0.35">
      <c r="A35" s="48">
        <v>31</v>
      </c>
      <c r="B35" s="53" t="s">
        <v>98</v>
      </c>
      <c r="C35" s="69">
        <v>0.69033105400946848</v>
      </c>
      <c r="D35" s="69">
        <v>1.6507260089141806</v>
      </c>
      <c r="E35" s="69">
        <v>1.3500832625737085</v>
      </c>
      <c r="F35" s="67">
        <v>14.72</v>
      </c>
    </row>
    <row r="36" spans="1:6" x14ac:dyDescent="0.35">
      <c r="A36" s="48">
        <v>32</v>
      </c>
      <c r="B36" s="49" t="s">
        <v>68</v>
      </c>
      <c r="C36" s="67">
        <v>0.49160160498770678</v>
      </c>
      <c r="D36" s="67">
        <v>0.45942906999705169</v>
      </c>
      <c r="E36" s="67">
        <v>1.4024342831270316</v>
      </c>
      <c r="F36" s="67">
        <v>14.72</v>
      </c>
    </row>
    <row r="37" spans="1:6" x14ac:dyDescent="0.35">
      <c r="A37" s="48">
        <v>33</v>
      </c>
      <c r="B37" s="49" t="s">
        <v>70</v>
      </c>
      <c r="C37" s="67">
        <v>0</v>
      </c>
      <c r="D37" s="67">
        <v>2.1904568483068751</v>
      </c>
      <c r="E37" s="67">
        <v>1.4046407658491202</v>
      </c>
      <c r="F37" s="67">
        <v>14.72</v>
      </c>
    </row>
    <row r="38" spans="1:6" x14ac:dyDescent="0.35">
      <c r="A38" s="48">
        <v>34</v>
      </c>
      <c r="B38" s="49" t="s">
        <v>61</v>
      </c>
      <c r="C38" s="67">
        <v>0</v>
      </c>
      <c r="D38" s="67">
        <v>3.8951162394893264</v>
      </c>
      <c r="E38" s="67">
        <v>1.4551216480102274</v>
      </c>
      <c r="F38" s="67">
        <v>14.72</v>
      </c>
    </row>
    <row r="39" spans="1:6" x14ac:dyDescent="0.35">
      <c r="A39" s="48">
        <v>35</v>
      </c>
      <c r="B39" s="49" t="s">
        <v>60</v>
      </c>
      <c r="C39" s="67">
        <v>0</v>
      </c>
      <c r="D39" s="67">
        <v>2.17973401730349</v>
      </c>
      <c r="E39" s="67">
        <v>1.5192824485459528</v>
      </c>
      <c r="F39" s="67">
        <v>14.72</v>
      </c>
    </row>
    <row r="40" spans="1:6" x14ac:dyDescent="0.35">
      <c r="A40" s="48">
        <v>36</v>
      </c>
      <c r="B40" s="49" t="s">
        <v>91</v>
      </c>
      <c r="C40" s="67">
        <v>0.66762955323816331</v>
      </c>
      <c r="D40" s="67">
        <v>2.1418818691028481</v>
      </c>
      <c r="E40" s="67">
        <v>1.582042174193719</v>
      </c>
      <c r="F40" s="67">
        <v>14.72</v>
      </c>
    </row>
    <row r="41" spans="1:6" x14ac:dyDescent="0.35">
      <c r="A41" s="48">
        <v>37</v>
      </c>
      <c r="B41" s="49" t="s">
        <v>90</v>
      </c>
      <c r="C41" s="67">
        <v>0.80275807457786663</v>
      </c>
      <c r="D41" s="67">
        <v>1.1275017180244364</v>
      </c>
      <c r="E41" s="67">
        <v>1.6110762113981765</v>
      </c>
      <c r="F41" s="67">
        <v>14.72</v>
      </c>
    </row>
    <row r="42" spans="1:6" x14ac:dyDescent="0.35">
      <c r="A42" s="48">
        <v>38</v>
      </c>
      <c r="B42" s="49" t="s">
        <v>81</v>
      </c>
      <c r="C42" s="67">
        <v>0</v>
      </c>
      <c r="D42" s="67">
        <v>1.7507002801120448</v>
      </c>
      <c r="E42" s="67">
        <v>1.6272355247504722</v>
      </c>
      <c r="F42" s="67">
        <v>14.72</v>
      </c>
    </row>
    <row r="43" spans="1:6" x14ac:dyDescent="0.35">
      <c r="A43" s="48">
        <v>39</v>
      </c>
      <c r="B43" s="49" t="s">
        <v>63</v>
      </c>
      <c r="C43" s="67">
        <v>0</v>
      </c>
      <c r="D43" s="67">
        <v>1.5191526139347351</v>
      </c>
      <c r="E43" s="67">
        <v>1.7565656696626113</v>
      </c>
      <c r="F43" s="67">
        <v>14.72</v>
      </c>
    </row>
    <row r="44" spans="1:6" x14ac:dyDescent="0.35">
      <c r="A44" s="48">
        <v>40</v>
      </c>
      <c r="B44" s="49" t="s">
        <v>65</v>
      </c>
      <c r="C44" s="67">
        <v>0</v>
      </c>
      <c r="D44" s="67">
        <v>0.73532649897562052</v>
      </c>
      <c r="E44" s="67">
        <v>2.1636479923651271</v>
      </c>
      <c r="F44" s="67">
        <v>14.72</v>
      </c>
    </row>
    <row r="45" spans="1:6" x14ac:dyDescent="0.35">
      <c r="A45" s="48">
        <v>41</v>
      </c>
      <c r="B45" s="49" t="s">
        <v>48</v>
      </c>
      <c r="C45" s="67">
        <v>0</v>
      </c>
      <c r="D45" s="67">
        <v>2.4108589000976384</v>
      </c>
      <c r="E45" s="67">
        <v>2.2532153435965059</v>
      </c>
      <c r="F45" s="67">
        <v>14.72</v>
      </c>
    </row>
    <row r="46" spans="1:6" x14ac:dyDescent="0.35">
      <c r="A46" s="48">
        <v>42</v>
      </c>
      <c r="B46" s="49" t="s">
        <v>69</v>
      </c>
      <c r="C46" s="67">
        <v>0</v>
      </c>
      <c r="D46" s="67">
        <v>3.1801391890963537</v>
      </c>
      <c r="E46" s="67">
        <v>2.6186114618341243</v>
      </c>
      <c r="F46" s="67">
        <v>14.72</v>
      </c>
    </row>
    <row r="47" spans="1:6" x14ac:dyDescent="0.35">
      <c r="A47" s="48">
        <v>43</v>
      </c>
      <c r="B47" s="49" t="s">
        <v>75</v>
      </c>
      <c r="C47" s="67">
        <v>3.5639810132785414</v>
      </c>
      <c r="D47" s="67">
        <v>7.4495428566796704</v>
      </c>
      <c r="E47" s="67">
        <v>2.7339781766266871</v>
      </c>
      <c r="F47" s="67">
        <v>14.72</v>
      </c>
    </row>
    <row r="48" spans="1:6" x14ac:dyDescent="0.35">
      <c r="A48" s="48">
        <v>44</v>
      </c>
      <c r="B48" s="49" t="s">
        <v>62</v>
      </c>
      <c r="C48" s="67">
        <v>0</v>
      </c>
      <c r="D48" s="67">
        <v>1.5834688194859761</v>
      </c>
      <c r="E48" s="67">
        <v>2.9148988496908981</v>
      </c>
      <c r="F48" s="67">
        <v>14.72</v>
      </c>
    </row>
    <row r="49" spans="1:6" x14ac:dyDescent="0.35">
      <c r="A49" s="48">
        <v>45</v>
      </c>
      <c r="B49" s="49" t="s">
        <v>85</v>
      </c>
      <c r="C49" s="67">
        <v>3.8909584238785828</v>
      </c>
      <c r="D49" s="67">
        <v>2.8243988647643112</v>
      </c>
      <c r="E49" s="67">
        <v>3.2534205849777438</v>
      </c>
      <c r="F49" s="67">
        <v>14.72</v>
      </c>
    </row>
    <row r="50" spans="1:6" x14ac:dyDescent="0.35">
      <c r="A50" s="48">
        <v>46</v>
      </c>
      <c r="B50" s="49" t="s">
        <v>45</v>
      </c>
      <c r="C50" s="67">
        <v>0</v>
      </c>
      <c r="D50" s="67">
        <v>4.8520038647166004</v>
      </c>
      <c r="E50" s="67">
        <v>3.3801581066838735</v>
      </c>
      <c r="F50" s="67">
        <v>14.72</v>
      </c>
    </row>
    <row r="51" spans="1:6" x14ac:dyDescent="0.35">
      <c r="A51" s="48">
        <v>47</v>
      </c>
      <c r="B51" s="49" t="s">
        <v>77</v>
      </c>
      <c r="C51" s="67">
        <v>0</v>
      </c>
      <c r="D51" s="67">
        <v>3.7702429728303484</v>
      </c>
      <c r="E51" s="67">
        <v>4.117627008049241</v>
      </c>
      <c r="F51" s="67">
        <v>14.72</v>
      </c>
    </row>
    <row r="52" spans="1:6" x14ac:dyDescent="0.35">
      <c r="A52" s="52">
        <v>48</v>
      </c>
      <c r="B52" s="49" t="s">
        <v>83</v>
      </c>
      <c r="C52" s="67">
        <v>0.41359058667824722</v>
      </c>
      <c r="D52" s="67">
        <v>18.137554436911373</v>
      </c>
      <c r="E52" s="67">
        <v>12.426165163211333</v>
      </c>
      <c r="F52" s="67">
        <v>14.72</v>
      </c>
    </row>
  </sheetData>
  <sortState xmlns:xlrd2="http://schemas.microsoft.com/office/spreadsheetml/2017/richdata2" ref="B5:F52">
    <sortCondition ref="E5:E52"/>
  </sortState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5BC71-5AE8-4C95-96C3-8A262274B78A}">
  <dimension ref="A2:H7"/>
  <sheetViews>
    <sheetView topLeftCell="A37" workbookViewId="0">
      <selection activeCell="J41" sqref="J41"/>
    </sheetView>
  </sheetViews>
  <sheetFormatPr defaultRowHeight="14.5" x14ac:dyDescent="0.35"/>
  <cols>
    <col min="1" max="1" width="13.36328125" bestFit="1" customWidth="1"/>
  </cols>
  <sheetData>
    <row r="2" spans="1:8" x14ac:dyDescent="0.35">
      <c r="B2">
        <v>2013</v>
      </c>
      <c r="C2">
        <v>2018</v>
      </c>
      <c r="D2">
        <v>2022</v>
      </c>
      <c r="E2" t="s">
        <v>284</v>
      </c>
      <c r="F2">
        <v>2013</v>
      </c>
      <c r="G2">
        <v>2018</v>
      </c>
      <c r="H2">
        <v>2022</v>
      </c>
    </row>
    <row r="3" spans="1:8" x14ac:dyDescent="0.35">
      <c r="A3" t="s">
        <v>282</v>
      </c>
      <c r="B3" s="54">
        <v>11.13650671070585</v>
      </c>
      <c r="C3" s="54">
        <v>23.576970255075228</v>
      </c>
      <c r="D3" s="54">
        <v>26.824343944304964</v>
      </c>
      <c r="E3" s="55">
        <v>80.290000000000006</v>
      </c>
      <c r="F3" s="5">
        <f>B3/E3</f>
        <v>0.13870353357461515</v>
      </c>
      <c r="G3" s="5">
        <f>C3/E3</f>
        <v>0.29364765543747945</v>
      </c>
      <c r="H3" s="5">
        <f>D3/E3</f>
        <v>0.33409321141244191</v>
      </c>
    </row>
    <row r="4" spans="1:8" x14ac:dyDescent="0.35">
      <c r="A4" s="60" t="s">
        <v>223</v>
      </c>
      <c r="B4" s="61">
        <v>1.4360619707825135</v>
      </c>
      <c r="C4" s="61">
        <v>3.4003387838166272</v>
      </c>
      <c r="D4" s="61">
        <v>5.3272558356958237</v>
      </c>
      <c r="E4" s="62">
        <v>7.77</v>
      </c>
      <c r="F4" s="5">
        <f t="shared" ref="F4:F7" si="0">B4/E4</f>
        <v>0.18482136046106995</v>
      </c>
      <c r="G4" s="5">
        <f t="shared" ref="G4:G7" si="1">C4/E4</f>
        <v>0.43762403910123904</v>
      </c>
      <c r="H4" s="5">
        <f t="shared" ref="H4:H7" si="2">D4/E4</f>
        <v>0.68561851167256427</v>
      </c>
    </row>
    <row r="5" spans="1:8" x14ac:dyDescent="0.35">
      <c r="A5" t="s">
        <v>283</v>
      </c>
      <c r="B5" s="64">
        <v>9.1209733095217231</v>
      </c>
      <c r="C5" s="64">
        <v>17.670782002629522</v>
      </c>
      <c r="D5" s="64">
        <v>19.365524044022607</v>
      </c>
      <c r="E5" s="55">
        <v>58.64</v>
      </c>
      <c r="F5" s="5">
        <f t="shared" si="0"/>
        <v>0.1555418367926624</v>
      </c>
      <c r="G5" s="5">
        <f t="shared" si="1"/>
        <v>0.30134348572014874</v>
      </c>
      <c r="H5" s="5">
        <f t="shared" si="2"/>
        <v>0.33024427087350966</v>
      </c>
    </row>
    <row r="6" spans="1:8" x14ac:dyDescent="0.35">
      <c r="A6" t="s">
        <v>43</v>
      </c>
      <c r="B6" s="70">
        <v>0.39073721684637214</v>
      </c>
      <c r="C6" s="70">
        <v>0.87371310014348447</v>
      </c>
      <c r="D6" s="70">
        <v>0.79844545799656541</v>
      </c>
      <c r="E6" s="70">
        <v>5.28</v>
      </c>
      <c r="F6" s="5">
        <f t="shared" si="0"/>
        <v>7.4003260766358353E-2</v>
      </c>
      <c r="G6" s="5">
        <f t="shared" si="1"/>
        <v>0.16547596593626598</v>
      </c>
      <c r="H6" s="5">
        <f t="shared" si="2"/>
        <v>0.15122073068116768</v>
      </c>
    </row>
    <row r="7" spans="1:8" x14ac:dyDescent="0.35">
      <c r="A7" t="s">
        <v>42</v>
      </c>
      <c r="B7" s="69">
        <v>0.69033105400946848</v>
      </c>
      <c r="C7" s="69">
        <v>1.6507260089141806</v>
      </c>
      <c r="D7" s="69">
        <v>1.3500832625737085</v>
      </c>
      <c r="E7" s="67">
        <v>14.72</v>
      </c>
      <c r="F7" s="5">
        <f t="shared" si="0"/>
        <v>4.6897490082164976E-2</v>
      </c>
      <c r="G7" s="5">
        <f t="shared" si="1"/>
        <v>0.11214171256210466</v>
      </c>
      <c r="H7" s="5">
        <f t="shared" si="2"/>
        <v>9.1717612946583454E-2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Sheet1</vt:lpstr>
      <vt:lpstr>Doctors nurses and midwives</vt:lpstr>
      <vt:lpstr>Income level </vt:lpstr>
      <vt:lpstr>Economic groups</vt:lpstr>
      <vt:lpstr>Country codes</vt:lpstr>
      <vt:lpstr>Sheet4</vt:lpstr>
      <vt:lpstr>Sheet7</vt:lpstr>
      <vt:lpstr>Econ pivot</vt:lpstr>
      <vt:lpstr>Core and others density F</vt:lpstr>
      <vt:lpstr>Sheet2</vt:lpstr>
      <vt:lpstr>Pop</vt:lpstr>
      <vt:lpstr>Density and stock all</vt:lpstr>
      <vt:lpstr>Core density Final </vt:lpstr>
      <vt:lpstr>Core stock Final</vt:lpstr>
      <vt:lpstr>Age groups</vt:lpstr>
      <vt:lpstr>Midwifrey final</vt:lpstr>
      <vt:lpstr>Community health workers</vt:lpstr>
      <vt:lpstr>Other workers</vt:lpstr>
      <vt:lpstr>SDG 3c </vt:lpstr>
      <vt:lpstr>Sheet8</vt:lpstr>
      <vt:lpstr>SDG 3c all countries</vt:lpstr>
      <vt:lpstr>Med doctors</vt:lpstr>
      <vt:lpstr>nurses and midwives</vt:lpstr>
      <vt:lpstr>Dentists</vt:lpstr>
      <vt:lpstr>Pharmacists</vt:lpstr>
      <vt:lpstr>Synthesis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2024-02-21T05:15:06Z</dcterms:created>
  <dcterms:modified xsi:type="dcterms:W3CDTF">2024-09-04T19:56:52Z</dcterms:modified>
</cp:coreProperties>
</file>