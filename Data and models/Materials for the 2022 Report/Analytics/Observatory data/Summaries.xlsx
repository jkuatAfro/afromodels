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Observatory data\"/>
    </mc:Choice>
  </mc:AlternateContent>
  <xr:revisionPtr revIDLastSave="0" documentId="13_ncr:1_{CFE2BFE1-597C-47D4-A056-04270CF1AE00}" xr6:coauthVersionLast="47" xr6:coauthVersionMax="47" xr10:uidLastSave="{00000000-0000-0000-0000-000000000000}"/>
  <bookViews>
    <workbookView xWindow="-110" yWindow="-110" windowWidth="19420" windowHeight="10300" xr2:uid="{9B2237D9-0ADF-439A-B6CB-93C82084A70B}"/>
  </bookViews>
  <sheets>
    <sheet name="Sheet1" sheetId="1" r:id="rId1"/>
    <sheet name="Sheet2" sheetId="2" r:id="rId2"/>
  </sheets>
  <definedNames>
    <definedName name="_xlnm._FilterDatabase" localSheetId="1" hidden="1">Sheet2!$A$1:$F$48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2" i="2"/>
</calcChain>
</file>

<file path=xl/sharedStrings.xml><?xml version="1.0" encoding="utf-8"?>
<sst xmlns="http://schemas.openxmlformats.org/spreadsheetml/2006/main" count="868" uniqueCount="73">
  <si>
    <t>Row Labels</t>
  </si>
  <si>
    <t>Sum of Value</t>
  </si>
  <si>
    <t>Dental Assistants and Therapists (number)</t>
  </si>
  <si>
    <t>MOZ</t>
  </si>
  <si>
    <t>MUS</t>
  </si>
  <si>
    <t>ZAF</t>
  </si>
  <si>
    <t>ZMB</t>
  </si>
  <si>
    <t>Dental Prosthetic Technicians (number)</t>
  </si>
  <si>
    <t>Dentists (number)</t>
  </si>
  <si>
    <t>BDI</t>
  </si>
  <si>
    <t>BWA</t>
  </si>
  <si>
    <t>CMR</t>
  </si>
  <si>
    <t>COG</t>
  </si>
  <si>
    <t>CPV</t>
  </si>
  <si>
    <t>KEN</t>
  </si>
  <si>
    <t>MDG</t>
  </si>
  <si>
    <t>SWZ</t>
  </si>
  <si>
    <t>SYC</t>
  </si>
  <si>
    <t>ZWE</t>
  </si>
  <si>
    <t>Dentists (per 10,000)</t>
  </si>
  <si>
    <t>Generalist medical practitioners (number)</t>
  </si>
  <si>
    <t>BEN</t>
  </si>
  <si>
    <t>SLE</t>
  </si>
  <si>
    <t>Medical doctors (number)</t>
  </si>
  <si>
    <t>BFA</t>
  </si>
  <si>
    <t>CIV</t>
  </si>
  <si>
    <t>ERI</t>
  </si>
  <si>
    <t>GHA</t>
  </si>
  <si>
    <t>GNB</t>
  </si>
  <si>
    <t>MLI</t>
  </si>
  <si>
    <t>Medical doctors (per 10,000)</t>
  </si>
  <si>
    <t>Medical doctors not further defined (number)</t>
  </si>
  <si>
    <t>Midwifery personnel (number)</t>
  </si>
  <si>
    <t>RWA</t>
  </si>
  <si>
    <t>Nursing and midwifery personnel  (number)</t>
  </si>
  <si>
    <t>Nursing and midwifery personnel (per 10,000)</t>
  </si>
  <si>
    <t>Nursing personnel (number)</t>
  </si>
  <si>
    <t>Pharmaceutical Technicians and Assistants  (number)</t>
  </si>
  <si>
    <t>NGA</t>
  </si>
  <si>
    <t>Pharmacists  (number)</t>
  </si>
  <si>
    <t>Pharmacists  (per 10,000)</t>
  </si>
  <si>
    <t>Specialist medical practitioners (number)</t>
  </si>
  <si>
    <t>Grand Total</t>
  </si>
  <si>
    <t>TZA</t>
  </si>
  <si>
    <t>COM</t>
  </si>
  <si>
    <t>NER</t>
  </si>
  <si>
    <t>TCD</t>
  </si>
  <si>
    <t>UGA</t>
  </si>
  <si>
    <t>GMB</t>
  </si>
  <si>
    <t>SEN</t>
  </si>
  <si>
    <t>COD</t>
  </si>
  <si>
    <t>MWI</t>
  </si>
  <si>
    <t>AGO</t>
  </si>
  <si>
    <t>CAF</t>
  </si>
  <si>
    <t>ETH</t>
  </si>
  <si>
    <t>GAB</t>
  </si>
  <si>
    <t>GIN</t>
  </si>
  <si>
    <t>LBR</t>
  </si>
  <si>
    <t>MRT</t>
  </si>
  <si>
    <t>STP</t>
  </si>
  <si>
    <t>TGO</t>
  </si>
  <si>
    <t>NAM</t>
  </si>
  <si>
    <t>DZA</t>
  </si>
  <si>
    <t>EHI</t>
  </si>
  <si>
    <t>GNQ</t>
  </si>
  <si>
    <t>LSO</t>
  </si>
  <si>
    <t>SSD</t>
  </si>
  <si>
    <t>Country</t>
  </si>
  <si>
    <t>Dentists</t>
  </si>
  <si>
    <t>medical doctors</t>
  </si>
  <si>
    <t>Midwives</t>
  </si>
  <si>
    <t>Nurses</t>
  </si>
  <si>
    <t>Pharmacists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</si>
</sst>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 Narrow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9BFC-696E-4353-9458-8A4F2D4FFB59}">
  <dimension ref="A1:K219"/>
  <sheetViews>
    <sheetView tabSelected="1" topLeftCell="E1" workbookViewId="0">
      <selection activeCell="K20" sqref="K20"/>
    </sheetView>
  </sheetViews>
  <sheetFormatPr defaultRowHeight="14.5"/>
  <cols>
    <col min="1" max="1" width="45.6328125" bestFit="1" customWidth="1"/>
    <col min="4" max="4" width="45.6328125" bestFit="1" customWidth="1"/>
    <col min="7" max="7" width="45.6328125" bestFit="1" customWidth="1"/>
    <col min="10" max="10" width="45.6328125" bestFit="1" customWidth="1"/>
  </cols>
  <sheetData>
    <row r="1" spans="1:11">
      <c r="B1">
        <v>2011</v>
      </c>
      <c r="E1">
        <v>2012</v>
      </c>
      <c r="H1">
        <v>2013</v>
      </c>
      <c r="K1">
        <v>2014</v>
      </c>
    </row>
    <row r="2" spans="1:11">
      <c r="A2" t="s">
        <v>0</v>
      </c>
      <c r="B2" t="s">
        <v>1</v>
      </c>
      <c r="D2" t="s">
        <v>0</v>
      </c>
      <c r="E2" t="s">
        <v>1</v>
      </c>
    </row>
    <row r="3" spans="1:11">
      <c r="A3" s="1" t="s">
        <v>2</v>
      </c>
      <c r="B3">
        <v>4536</v>
      </c>
      <c r="D3" s="1" t="s">
        <v>2</v>
      </c>
      <c r="E3">
        <v>5057</v>
      </c>
      <c r="G3" t="s">
        <v>0</v>
      </c>
      <c r="H3" t="s">
        <v>1</v>
      </c>
    </row>
    <row r="4" spans="1:11">
      <c r="A4" s="2" t="s">
        <v>3</v>
      </c>
      <c r="B4">
        <v>252</v>
      </c>
      <c r="D4" s="2" t="s">
        <v>3</v>
      </c>
      <c r="E4">
        <v>305</v>
      </c>
      <c r="G4" s="1" t="s">
        <v>2</v>
      </c>
      <c r="H4">
        <v>4863</v>
      </c>
      <c r="J4" t="s">
        <v>0</v>
      </c>
      <c r="K4" t="s">
        <v>1</v>
      </c>
    </row>
    <row r="5" spans="1:11">
      <c r="A5" s="2" t="s">
        <v>4</v>
      </c>
      <c r="B5">
        <v>230</v>
      </c>
      <c r="D5" s="2" t="s">
        <v>43</v>
      </c>
      <c r="E5">
        <v>366</v>
      </c>
      <c r="G5" s="2" t="s">
        <v>3</v>
      </c>
      <c r="H5">
        <v>238</v>
      </c>
      <c r="J5" s="1" t="s">
        <v>2</v>
      </c>
      <c r="K5">
        <v>5911</v>
      </c>
    </row>
    <row r="6" spans="1:11">
      <c r="A6" s="2" t="s">
        <v>5</v>
      </c>
      <c r="B6">
        <v>3792</v>
      </c>
      <c r="D6" s="2" t="s">
        <v>5</v>
      </c>
      <c r="E6">
        <v>4104</v>
      </c>
      <c r="G6" s="2" t="s">
        <v>5</v>
      </c>
      <c r="H6">
        <v>4625</v>
      </c>
      <c r="J6" s="2" t="s">
        <v>25</v>
      </c>
      <c r="K6">
        <v>120</v>
      </c>
    </row>
    <row r="7" spans="1:11">
      <c r="A7" s="2" t="s">
        <v>6</v>
      </c>
      <c r="B7">
        <v>262</v>
      </c>
      <c r="D7" s="2" t="s">
        <v>6</v>
      </c>
      <c r="E7">
        <v>282</v>
      </c>
      <c r="G7" s="1" t="s">
        <v>7</v>
      </c>
      <c r="H7">
        <v>44</v>
      </c>
      <c r="J7" s="2" t="s">
        <v>43</v>
      </c>
      <c r="K7">
        <v>933</v>
      </c>
    </row>
    <row r="8" spans="1:11">
      <c r="A8" s="1" t="s">
        <v>7</v>
      </c>
      <c r="B8">
        <v>116</v>
      </c>
      <c r="D8" s="1" t="s">
        <v>7</v>
      </c>
      <c r="E8">
        <v>119</v>
      </c>
      <c r="G8" s="2" t="s">
        <v>3</v>
      </c>
      <c r="H8">
        <v>44</v>
      </c>
      <c r="J8" s="2" t="s">
        <v>5</v>
      </c>
      <c r="K8">
        <v>4687</v>
      </c>
    </row>
    <row r="9" spans="1:11">
      <c r="A9" s="2" t="s">
        <v>3</v>
      </c>
      <c r="B9">
        <v>42</v>
      </c>
      <c r="D9" s="2" t="s">
        <v>3</v>
      </c>
      <c r="E9">
        <v>33</v>
      </c>
      <c r="G9" s="1" t="s">
        <v>8</v>
      </c>
      <c r="H9">
        <v>7737</v>
      </c>
      <c r="J9" s="2" t="s">
        <v>18</v>
      </c>
      <c r="K9">
        <v>171</v>
      </c>
    </row>
    <row r="10" spans="1:11">
      <c r="A10" s="2" t="s">
        <v>4</v>
      </c>
      <c r="B10">
        <v>36</v>
      </c>
      <c r="D10" s="2" t="s">
        <v>43</v>
      </c>
      <c r="E10">
        <v>44</v>
      </c>
      <c r="G10" s="2" t="s">
        <v>9</v>
      </c>
      <c r="H10">
        <v>4</v>
      </c>
      <c r="J10" s="1" t="s">
        <v>7</v>
      </c>
      <c r="K10">
        <v>190</v>
      </c>
    </row>
    <row r="11" spans="1:11">
      <c r="A11" s="2" t="s">
        <v>6</v>
      </c>
      <c r="B11">
        <v>38</v>
      </c>
      <c r="D11" s="2" t="s">
        <v>6</v>
      </c>
      <c r="E11">
        <v>42</v>
      </c>
      <c r="G11" s="2" t="s">
        <v>14</v>
      </c>
      <c r="H11">
        <v>1045</v>
      </c>
      <c r="J11" s="2" t="s">
        <v>25</v>
      </c>
      <c r="K11">
        <v>190</v>
      </c>
    </row>
    <row r="12" spans="1:11">
      <c r="A12" s="1" t="s">
        <v>8</v>
      </c>
      <c r="B12">
        <v>7410</v>
      </c>
      <c r="D12" s="1" t="s">
        <v>8</v>
      </c>
      <c r="E12">
        <v>7547</v>
      </c>
      <c r="G12" s="2" t="s">
        <v>15</v>
      </c>
      <c r="H12">
        <v>111</v>
      </c>
      <c r="J12" s="1" t="s">
        <v>8</v>
      </c>
      <c r="K12">
        <v>8063</v>
      </c>
    </row>
    <row r="13" spans="1:11">
      <c r="A13" s="2" t="s">
        <v>9</v>
      </c>
      <c r="B13">
        <v>2</v>
      </c>
      <c r="D13" s="2" t="s">
        <v>24</v>
      </c>
      <c r="E13">
        <v>38</v>
      </c>
      <c r="G13" s="2" t="s">
        <v>3</v>
      </c>
      <c r="H13">
        <v>136</v>
      </c>
      <c r="J13" s="2" t="s">
        <v>25</v>
      </c>
      <c r="K13">
        <v>490</v>
      </c>
    </row>
    <row r="14" spans="1:11">
      <c r="A14" s="2" t="s">
        <v>10</v>
      </c>
      <c r="B14">
        <v>55</v>
      </c>
      <c r="D14" s="2" t="s">
        <v>10</v>
      </c>
      <c r="E14">
        <v>55</v>
      </c>
      <c r="G14" s="2" t="s">
        <v>4</v>
      </c>
      <c r="H14">
        <v>351</v>
      </c>
      <c r="J14" s="2" t="s">
        <v>14</v>
      </c>
      <c r="K14">
        <v>1090</v>
      </c>
    </row>
    <row r="15" spans="1:11">
      <c r="A15" s="2" t="s">
        <v>11</v>
      </c>
      <c r="B15">
        <v>58</v>
      </c>
      <c r="D15" s="2" t="s">
        <v>44</v>
      </c>
      <c r="E15">
        <v>18</v>
      </c>
      <c r="G15" s="2" t="s">
        <v>45</v>
      </c>
      <c r="H15">
        <v>30</v>
      </c>
      <c r="J15" s="2" t="s">
        <v>4</v>
      </c>
      <c r="K15">
        <v>366</v>
      </c>
    </row>
    <row r="16" spans="1:11">
      <c r="A16" s="2" t="s">
        <v>12</v>
      </c>
      <c r="B16">
        <v>133</v>
      </c>
      <c r="D16" s="2" t="s">
        <v>14</v>
      </c>
      <c r="E16">
        <v>985</v>
      </c>
      <c r="G16" s="2" t="s">
        <v>49</v>
      </c>
      <c r="H16">
        <v>54</v>
      </c>
      <c r="J16" s="2" t="s">
        <v>61</v>
      </c>
      <c r="K16">
        <v>68</v>
      </c>
    </row>
    <row r="17" spans="1:11">
      <c r="A17" s="2" t="s">
        <v>13</v>
      </c>
      <c r="B17">
        <v>3</v>
      </c>
      <c r="D17" s="2" t="s">
        <v>15</v>
      </c>
      <c r="E17">
        <v>181</v>
      </c>
      <c r="G17" s="2" t="s">
        <v>5</v>
      </c>
      <c r="H17">
        <v>5770</v>
      </c>
      <c r="J17" s="2" t="s">
        <v>45</v>
      </c>
      <c r="K17">
        <v>21</v>
      </c>
    </row>
    <row r="18" spans="1:11">
      <c r="A18" s="2" t="s">
        <v>14</v>
      </c>
      <c r="B18">
        <v>930</v>
      </c>
      <c r="D18" s="2" t="s">
        <v>3</v>
      </c>
      <c r="E18">
        <v>69</v>
      </c>
      <c r="G18" s="2" t="s">
        <v>18</v>
      </c>
      <c r="H18">
        <v>236</v>
      </c>
      <c r="J18" s="2" t="s">
        <v>43</v>
      </c>
      <c r="K18">
        <v>104</v>
      </c>
    </row>
    <row r="19" spans="1:11">
      <c r="A19" s="2" t="s">
        <v>15</v>
      </c>
      <c r="B19">
        <v>180</v>
      </c>
      <c r="D19" s="2" t="s">
        <v>4</v>
      </c>
      <c r="E19">
        <v>301</v>
      </c>
      <c r="G19" s="1" t="s">
        <v>19</v>
      </c>
      <c r="H19">
        <v>4.3580000000000005</v>
      </c>
      <c r="J19" s="2" t="s">
        <v>5</v>
      </c>
      <c r="K19">
        <v>5817</v>
      </c>
    </row>
    <row r="20" spans="1:11">
      <c r="A20" s="2" t="s">
        <v>3</v>
      </c>
      <c r="B20">
        <v>75</v>
      </c>
      <c r="D20" s="2" t="s">
        <v>17</v>
      </c>
      <c r="E20">
        <v>14</v>
      </c>
      <c r="G20" s="2" t="s">
        <v>9</v>
      </c>
      <c r="H20">
        <v>4.0000000000000001E-3</v>
      </c>
      <c r="J20" s="2" t="s">
        <v>18</v>
      </c>
      <c r="K20">
        <v>107</v>
      </c>
    </row>
    <row r="21" spans="1:11">
      <c r="A21" s="2" t="s">
        <v>4</v>
      </c>
      <c r="B21">
        <v>268</v>
      </c>
      <c r="D21" s="2" t="s">
        <v>43</v>
      </c>
      <c r="E21">
        <v>99</v>
      </c>
      <c r="G21" s="2" t="s">
        <v>14</v>
      </c>
      <c r="H21">
        <v>0.23300000000000001</v>
      </c>
      <c r="J21" s="1" t="s">
        <v>19</v>
      </c>
      <c r="K21">
        <v>4.758</v>
      </c>
    </row>
    <row r="22" spans="1:11">
      <c r="A22" s="2" t="s">
        <v>16</v>
      </c>
      <c r="B22">
        <v>46</v>
      </c>
      <c r="D22" s="2" t="s">
        <v>5</v>
      </c>
      <c r="E22">
        <v>5554</v>
      </c>
      <c r="G22" s="2" t="s">
        <v>15</v>
      </c>
      <c r="H22">
        <v>4.7E-2</v>
      </c>
      <c r="J22" s="2" t="s">
        <v>25</v>
      </c>
      <c r="K22">
        <v>0.21299999999999999</v>
      </c>
    </row>
    <row r="23" spans="1:11">
      <c r="A23" s="2" t="s">
        <v>17</v>
      </c>
      <c r="B23">
        <v>18</v>
      </c>
      <c r="D23" s="2" t="s">
        <v>18</v>
      </c>
      <c r="E23">
        <v>233</v>
      </c>
      <c r="G23" s="2" t="s">
        <v>3</v>
      </c>
      <c r="H23">
        <v>5.3999999999999999E-2</v>
      </c>
      <c r="J23" s="2" t="s">
        <v>14</v>
      </c>
      <c r="K23">
        <v>0.23799999999999999</v>
      </c>
    </row>
    <row r="24" spans="1:11">
      <c r="A24" s="2" t="s">
        <v>5</v>
      </c>
      <c r="B24">
        <v>5387</v>
      </c>
      <c r="D24" s="1" t="s">
        <v>19</v>
      </c>
      <c r="E24">
        <v>5.9169999999999998</v>
      </c>
      <c r="G24" s="2" t="s">
        <v>4</v>
      </c>
      <c r="H24">
        <v>2.7189999999999999</v>
      </c>
      <c r="J24" s="2" t="s">
        <v>4</v>
      </c>
      <c r="K24">
        <v>2.8330000000000002</v>
      </c>
    </row>
    <row r="25" spans="1:11">
      <c r="A25" s="2" t="s">
        <v>18</v>
      </c>
      <c r="B25">
        <v>255</v>
      </c>
      <c r="D25" s="2" t="s">
        <v>24</v>
      </c>
      <c r="E25">
        <v>2.1999999999999999E-2</v>
      </c>
      <c r="G25" s="2" t="s">
        <v>45</v>
      </c>
      <c r="H25">
        <v>1.6E-2</v>
      </c>
      <c r="J25" s="2" t="s">
        <v>61</v>
      </c>
      <c r="K25">
        <v>0.30299999999999999</v>
      </c>
    </row>
    <row r="26" spans="1:11">
      <c r="A26" s="1" t="s">
        <v>19</v>
      </c>
      <c r="B26">
        <v>6.6079999999999997</v>
      </c>
      <c r="D26" s="2" t="s">
        <v>10</v>
      </c>
      <c r="E26">
        <v>0.253</v>
      </c>
      <c r="G26" s="2" t="s">
        <v>49</v>
      </c>
      <c r="H26">
        <v>0.04</v>
      </c>
      <c r="J26" s="2" t="s">
        <v>45</v>
      </c>
      <c r="K26">
        <v>1.0999999999999999E-2</v>
      </c>
    </row>
    <row r="27" spans="1:11">
      <c r="A27" s="2" t="s">
        <v>9</v>
      </c>
      <c r="B27">
        <v>2E-3</v>
      </c>
      <c r="D27" s="2" t="s">
        <v>44</v>
      </c>
      <c r="E27">
        <v>0.26300000000000001</v>
      </c>
      <c r="G27" s="2" t="s">
        <v>5</v>
      </c>
      <c r="H27">
        <v>1.071</v>
      </c>
      <c r="J27" s="2" t="s">
        <v>43</v>
      </c>
      <c r="K27">
        <v>0.02</v>
      </c>
    </row>
    <row r="28" spans="1:11">
      <c r="A28" s="2" t="s">
        <v>10</v>
      </c>
      <c r="B28">
        <v>0.25800000000000001</v>
      </c>
      <c r="D28" s="2" t="s">
        <v>14</v>
      </c>
      <c r="E28">
        <v>0.22500000000000001</v>
      </c>
      <c r="G28" s="2" t="s">
        <v>18</v>
      </c>
      <c r="H28">
        <v>0.17399999999999999</v>
      </c>
      <c r="J28" s="2" t="s">
        <v>5</v>
      </c>
      <c r="K28">
        <v>1.0629999999999999</v>
      </c>
    </row>
    <row r="29" spans="1:11">
      <c r="A29" s="2" t="s">
        <v>11</v>
      </c>
      <c r="B29">
        <v>2.8000000000000001E-2</v>
      </c>
      <c r="D29" s="2" t="s">
        <v>15</v>
      </c>
      <c r="E29">
        <v>7.9000000000000001E-2</v>
      </c>
      <c r="G29" s="1" t="s">
        <v>20</v>
      </c>
      <c r="H29">
        <v>4123</v>
      </c>
      <c r="J29" s="2" t="s">
        <v>18</v>
      </c>
      <c r="K29">
        <v>7.6999999999999999E-2</v>
      </c>
    </row>
    <row r="30" spans="1:11">
      <c r="A30" s="2" t="s">
        <v>12</v>
      </c>
      <c r="B30">
        <v>0.28999999999999998</v>
      </c>
      <c r="D30" s="2" t="s">
        <v>3</v>
      </c>
      <c r="E30">
        <v>2.8000000000000001E-2</v>
      </c>
      <c r="G30" s="2" t="s">
        <v>9</v>
      </c>
      <c r="H30">
        <v>486</v>
      </c>
      <c r="J30" s="1" t="s">
        <v>20</v>
      </c>
      <c r="K30">
        <v>2848</v>
      </c>
    </row>
    <row r="31" spans="1:11">
      <c r="A31" s="2" t="s">
        <v>13</v>
      </c>
      <c r="B31">
        <v>5.7000000000000002E-2</v>
      </c>
      <c r="D31" s="2" t="s">
        <v>4</v>
      </c>
      <c r="E31">
        <v>2.3359999999999999</v>
      </c>
      <c r="G31" s="2" t="s">
        <v>15</v>
      </c>
      <c r="H31">
        <v>3028</v>
      </c>
      <c r="J31" s="2" t="s">
        <v>9</v>
      </c>
      <c r="K31">
        <v>556</v>
      </c>
    </row>
    <row r="32" spans="1:11">
      <c r="A32" s="2" t="s">
        <v>14</v>
      </c>
      <c r="B32">
        <v>0.218</v>
      </c>
      <c r="D32" s="2" t="s">
        <v>17</v>
      </c>
      <c r="E32">
        <v>1.4690000000000001</v>
      </c>
      <c r="G32" s="2" t="s">
        <v>33</v>
      </c>
      <c r="H32">
        <v>609</v>
      </c>
      <c r="J32" s="2" t="s">
        <v>33</v>
      </c>
      <c r="K32">
        <v>834</v>
      </c>
    </row>
    <row r="33" spans="1:11">
      <c r="A33" s="2" t="s">
        <v>15</v>
      </c>
      <c r="B33">
        <v>8.1000000000000003E-2</v>
      </c>
      <c r="D33" s="2" t="s">
        <v>43</v>
      </c>
      <c r="E33">
        <v>2.1000000000000001E-2</v>
      </c>
      <c r="G33" s="1" t="s">
        <v>23</v>
      </c>
      <c r="H33">
        <v>98355</v>
      </c>
      <c r="J33" s="2" t="s">
        <v>18</v>
      </c>
      <c r="K33">
        <v>1458</v>
      </c>
    </row>
    <row r="34" spans="1:11">
      <c r="A34" s="2" t="s">
        <v>3</v>
      </c>
      <c r="B34">
        <v>3.2000000000000001E-2</v>
      </c>
      <c r="D34" s="2" t="s">
        <v>5</v>
      </c>
      <c r="E34">
        <v>1.0449999999999999</v>
      </c>
      <c r="G34" s="2" t="s">
        <v>9</v>
      </c>
      <c r="H34">
        <v>554</v>
      </c>
      <c r="J34" s="1" t="s">
        <v>23</v>
      </c>
      <c r="K34">
        <v>36834</v>
      </c>
    </row>
    <row r="35" spans="1:11">
      <c r="A35" s="2" t="s">
        <v>4</v>
      </c>
      <c r="B35">
        <v>2.0840000000000001</v>
      </c>
      <c r="D35" s="2" t="s">
        <v>18</v>
      </c>
      <c r="E35">
        <v>0.17599999999999999</v>
      </c>
      <c r="G35" s="2" t="s">
        <v>24</v>
      </c>
      <c r="H35">
        <v>803</v>
      </c>
      <c r="J35" s="2" t="s">
        <v>9</v>
      </c>
      <c r="K35">
        <v>609</v>
      </c>
    </row>
    <row r="36" spans="1:11">
      <c r="A36" s="2" t="s">
        <v>16</v>
      </c>
      <c r="B36">
        <v>0.41599999999999998</v>
      </c>
      <c r="D36" s="1" t="s">
        <v>20</v>
      </c>
      <c r="E36">
        <v>475</v>
      </c>
      <c r="G36" s="2" t="s">
        <v>50</v>
      </c>
      <c r="H36">
        <v>6418</v>
      </c>
      <c r="J36" s="2" t="s">
        <v>24</v>
      </c>
      <c r="K36">
        <v>857</v>
      </c>
    </row>
    <row r="37" spans="1:11">
      <c r="A37" s="2" t="s">
        <v>17</v>
      </c>
      <c r="B37">
        <v>1.919</v>
      </c>
      <c r="D37" s="2" t="s">
        <v>9</v>
      </c>
      <c r="E37">
        <v>475</v>
      </c>
      <c r="G37" s="2" t="s">
        <v>13</v>
      </c>
      <c r="H37">
        <v>308</v>
      </c>
      <c r="J37" s="2" t="s">
        <v>25</v>
      </c>
      <c r="K37">
        <v>5240</v>
      </c>
    </row>
    <row r="38" spans="1:11">
      <c r="A38" s="2" t="s">
        <v>5</v>
      </c>
      <c r="B38">
        <v>1.0269999999999999</v>
      </c>
      <c r="D38" s="1" t="s">
        <v>23</v>
      </c>
      <c r="E38">
        <v>28673</v>
      </c>
      <c r="G38" s="2" t="s">
        <v>26</v>
      </c>
      <c r="H38">
        <v>172</v>
      </c>
      <c r="J38" s="2" t="s">
        <v>26</v>
      </c>
      <c r="K38">
        <v>204</v>
      </c>
    </row>
    <row r="39" spans="1:11">
      <c r="A39" s="2" t="s">
        <v>18</v>
      </c>
      <c r="B39">
        <v>0.19600000000000001</v>
      </c>
      <c r="D39" s="2" t="s">
        <v>9</v>
      </c>
      <c r="E39">
        <v>498</v>
      </c>
      <c r="G39" s="2" t="s">
        <v>27</v>
      </c>
      <c r="H39">
        <v>2730</v>
      </c>
      <c r="J39" s="2" t="s">
        <v>27</v>
      </c>
      <c r="K39">
        <v>3016</v>
      </c>
    </row>
    <row r="40" spans="1:11">
      <c r="A40" s="1" t="s">
        <v>20</v>
      </c>
      <c r="B40">
        <v>1973</v>
      </c>
      <c r="D40" s="2" t="s">
        <v>24</v>
      </c>
      <c r="E40">
        <v>787</v>
      </c>
      <c r="G40" s="2" t="s">
        <v>14</v>
      </c>
      <c r="H40">
        <v>8682</v>
      </c>
      <c r="J40" s="2" t="s">
        <v>56</v>
      </c>
      <c r="K40">
        <v>1844</v>
      </c>
    </row>
    <row r="41" spans="1:11">
      <c r="A41" s="2" t="s">
        <v>9</v>
      </c>
      <c r="B41">
        <v>317</v>
      </c>
      <c r="D41" s="2" t="s">
        <v>10</v>
      </c>
      <c r="E41">
        <v>819</v>
      </c>
      <c r="G41" s="2" t="s">
        <v>15</v>
      </c>
      <c r="H41">
        <v>3523</v>
      </c>
      <c r="J41" s="2" t="s">
        <v>14</v>
      </c>
      <c r="K41">
        <v>9149</v>
      </c>
    </row>
    <row r="42" spans="1:11">
      <c r="A42" s="2" t="s">
        <v>21</v>
      </c>
      <c r="B42">
        <v>157</v>
      </c>
      <c r="D42" s="2" t="s">
        <v>44</v>
      </c>
      <c r="E42">
        <v>123</v>
      </c>
      <c r="G42" s="2" t="s">
        <v>29</v>
      </c>
      <c r="H42">
        <v>1971</v>
      </c>
      <c r="J42" s="2" t="s">
        <v>15</v>
      </c>
      <c r="K42">
        <v>4275</v>
      </c>
    </row>
    <row r="43" spans="1:11">
      <c r="A43" s="2" t="s">
        <v>11</v>
      </c>
      <c r="B43">
        <v>1420</v>
      </c>
      <c r="D43" s="2" t="s">
        <v>13</v>
      </c>
      <c r="E43">
        <v>260</v>
      </c>
      <c r="G43" s="2" t="s">
        <v>3</v>
      </c>
      <c r="H43">
        <v>1452</v>
      </c>
      <c r="J43" s="2" t="s">
        <v>29</v>
      </c>
      <c r="K43">
        <v>1750</v>
      </c>
    </row>
    <row r="44" spans="1:11">
      <c r="A44" s="2" t="s">
        <v>22</v>
      </c>
      <c r="B44">
        <v>79</v>
      </c>
      <c r="D44" s="2" t="s">
        <v>26</v>
      </c>
      <c r="E44">
        <v>153</v>
      </c>
      <c r="G44" s="2" t="s">
        <v>4</v>
      </c>
      <c r="H44">
        <v>2046</v>
      </c>
      <c r="J44" s="2" t="s">
        <v>58</v>
      </c>
      <c r="K44">
        <v>622</v>
      </c>
    </row>
    <row r="45" spans="1:11">
      <c r="A45" s="1" t="s">
        <v>23</v>
      </c>
      <c r="B45">
        <v>28163</v>
      </c>
      <c r="D45" s="2" t="s">
        <v>27</v>
      </c>
      <c r="E45">
        <v>2486</v>
      </c>
      <c r="G45" s="2" t="s">
        <v>51</v>
      </c>
      <c r="H45">
        <v>200</v>
      </c>
      <c r="J45" s="2" t="s">
        <v>4</v>
      </c>
      <c r="K45">
        <v>2429</v>
      </c>
    </row>
    <row r="46" spans="1:11">
      <c r="A46" s="2" t="s">
        <v>9</v>
      </c>
      <c r="B46">
        <v>357</v>
      </c>
      <c r="D46" s="2" t="s">
        <v>14</v>
      </c>
      <c r="E46">
        <v>8092</v>
      </c>
      <c r="G46" s="2" t="s">
        <v>45</v>
      </c>
      <c r="H46">
        <v>946</v>
      </c>
      <c r="J46" s="2" t="s">
        <v>45</v>
      </c>
      <c r="K46">
        <v>523</v>
      </c>
    </row>
    <row r="47" spans="1:11">
      <c r="A47" s="2" t="s">
        <v>21</v>
      </c>
      <c r="B47">
        <v>546</v>
      </c>
      <c r="D47" s="2" t="s">
        <v>15</v>
      </c>
      <c r="E47">
        <v>3188</v>
      </c>
      <c r="G47" s="2" t="s">
        <v>38</v>
      </c>
      <c r="H47">
        <v>65759</v>
      </c>
      <c r="J47" s="2" t="s">
        <v>33</v>
      </c>
      <c r="K47">
        <v>1008</v>
      </c>
    </row>
    <row r="48" spans="1:11">
      <c r="A48" s="2" t="s">
        <v>24</v>
      </c>
      <c r="B48">
        <v>620</v>
      </c>
      <c r="D48" s="2" t="s">
        <v>29</v>
      </c>
      <c r="E48">
        <v>1704</v>
      </c>
      <c r="G48" s="2" t="s">
        <v>33</v>
      </c>
      <c r="H48">
        <v>1104</v>
      </c>
      <c r="J48" s="2" t="s">
        <v>46</v>
      </c>
      <c r="K48">
        <v>608</v>
      </c>
    </row>
    <row r="49" spans="1:11">
      <c r="A49" s="2" t="s">
        <v>10</v>
      </c>
      <c r="B49">
        <v>819</v>
      </c>
      <c r="D49" s="2" t="s">
        <v>3</v>
      </c>
      <c r="E49">
        <v>1358</v>
      </c>
      <c r="G49" s="2" t="s">
        <v>46</v>
      </c>
      <c r="H49">
        <v>573</v>
      </c>
      <c r="J49" s="2" t="s">
        <v>43</v>
      </c>
      <c r="K49">
        <v>3015</v>
      </c>
    </row>
    <row r="50" spans="1:11">
      <c r="A50" s="2" t="s">
        <v>25</v>
      </c>
      <c r="B50">
        <v>3220</v>
      </c>
      <c r="D50" s="2" t="s">
        <v>4</v>
      </c>
      <c r="E50">
        <v>1722</v>
      </c>
      <c r="G50" s="2" t="s">
        <v>18</v>
      </c>
      <c r="H50">
        <v>1114</v>
      </c>
      <c r="J50" s="2" t="s">
        <v>18</v>
      </c>
      <c r="K50">
        <v>1685</v>
      </c>
    </row>
    <row r="51" spans="1:11">
      <c r="A51" s="2" t="s">
        <v>11</v>
      </c>
      <c r="B51">
        <v>1842</v>
      </c>
      <c r="D51" s="2" t="s">
        <v>45</v>
      </c>
      <c r="E51">
        <v>952</v>
      </c>
      <c r="G51" s="1" t="s">
        <v>30</v>
      </c>
      <c r="H51">
        <v>36.758000000000003</v>
      </c>
      <c r="J51" s="1" t="s">
        <v>30</v>
      </c>
      <c r="K51">
        <v>35.227000000000011</v>
      </c>
    </row>
    <row r="52" spans="1:11">
      <c r="A52" s="2" t="s">
        <v>12</v>
      </c>
      <c r="B52">
        <v>723</v>
      </c>
      <c r="D52" s="2" t="s">
        <v>17</v>
      </c>
      <c r="E52">
        <v>93</v>
      </c>
      <c r="G52" s="2" t="s">
        <v>9</v>
      </c>
      <c r="H52">
        <v>0.54600000000000004</v>
      </c>
      <c r="J52" s="2" t="s">
        <v>9</v>
      </c>
      <c r="K52">
        <v>0.57999999999999996</v>
      </c>
    </row>
    <row r="53" spans="1:11">
      <c r="A53" s="2" t="s">
        <v>13</v>
      </c>
      <c r="B53">
        <v>292</v>
      </c>
      <c r="D53" s="2" t="s">
        <v>46</v>
      </c>
      <c r="E53">
        <v>528</v>
      </c>
      <c r="G53" s="2" t="s">
        <v>24</v>
      </c>
      <c r="H53">
        <v>0.45500000000000002</v>
      </c>
      <c r="J53" s="2" t="s">
        <v>24</v>
      </c>
      <c r="K53">
        <v>0.47199999999999998</v>
      </c>
    </row>
    <row r="54" spans="1:11">
      <c r="A54" s="2" t="s">
        <v>26</v>
      </c>
      <c r="B54">
        <v>136</v>
      </c>
      <c r="D54" s="2" t="s">
        <v>43</v>
      </c>
      <c r="E54">
        <v>1481</v>
      </c>
      <c r="G54" s="2" t="s">
        <v>50</v>
      </c>
      <c r="H54">
        <v>0.874</v>
      </c>
      <c r="J54" s="2" t="s">
        <v>25</v>
      </c>
      <c r="K54">
        <v>2.2789999999999999</v>
      </c>
    </row>
    <row r="55" spans="1:11">
      <c r="A55" s="2" t="s">
        <v>27</v>
      </c>
      <c r="B55">
        <v>2486</v>
      </c>
      <c r="D55" s="2" t="s">
        <v>47</v>
      </c>
      <c r="E55">
        <v>3370</v>
      </c>
      <c r="G55" s="2" t="s">
        <v>13</v>
      </c>
      <c r="H55">
        <v>5.7050000000000001</v>
      </c>
      <c r="J55" s="2" t="s">
        <v>26</v>
      </c>
      <c r="K55">
        <v>0.61399999999999999</v>
      </c>
    </row>
    <row r="56" spans="1:11">
      <c r="A56" s="2" t="s">
        <v>28</v>
      </c>
      <c r="B56">
        <v>100</v>
      </c>
      <c r="D56" s="2" t="s">
        <v>18</v>
      </c>
      <c r="E56">
        <v>1059</v>
      </c>
      <c r="G56" s="2" t="s">
        <v>26</v>
      </c>
      <c r="H56">
        <v>0.52200000000000002</v>
      </c>
      <c r="J56" s="2" t="s">
        <v>27</v>
      </c>
      <c r="K56">
        <v>1.07</v>
      </c>
    </row>
    <row r="57" spans="1:11">
      <c r="A57" s="2" t="s">
        <v>14</v>
      </c>
      <c r="B57">
        <v>7549</v>
      </c>
      <c r="D57" s="1" t="s">
        <v>30</v>
      </c>
      <c r="E57">
        <v>43.778000000000006</v>
      </c>
      <c r="G57" s="2" t="s">
        <v>27</v>
      </c>
      <c r="H57">
        <v>0.99199999999999999</v>
      </c>
      <c r="J57" s="2" t="s">
        <v>56</v>
      </c>
      <c r="K57">
        <v>1.627</v>
      </c>
    </row>
    <row r="58" spans="1:11">
      <c r="A58" s="2" t="s">
        <v>15</v>
      </c>
      <c r="B58">
        <v>3131</v>
      </c>
      <c r="D58" s="2" t="s">
        <v>9</v>
      </c>
      <c r="E58">
        <v>0.50800000000000001</v>
      </c>
      <c r="G58" s="2" t="s">
        <v>14</v>
      </c>
      <c r="H58">
        <v>1.9379999999999999</v>
      </c>
      <c r="J58" s="2" t="s">
        <v>14</v>
      </c>
      <c r="K58">
        <v>1.996</v>
      </c>
    </row>
    <row r="59" spans="1:11">
      <c r="A59" s="2" t="s">
        <v>29</v>
      </c>
      <c r="B59">
        <v>1829</v>
      </c>
      <c r="D59" s="2" t="s">
        <v>24</v>
      </c>
      <c r="E59">
        <v>0.46</v>
      </c>
      <c r="G59" s="2" t="s">
        <v>15</v>
      </c>
      <c r="H59">
        <v>1.494</v>
      </c>
      <c r="J59" s="2" t="s">
        <v>15</v>
      </c>
      <c r="K59">
        <v>1.7649999999999999</v>
      </c>
    </row>
    <row r="60" spans="1:11">
      <c r="A60" s="2" t="s">
        <v>3</v>
      </c>
      <c r="B60">
        <v>1268</v>
      </c>
      <c r="D60" s="2" t="s">
        <v>10</v>
      </c>
      <c r="E60">
        <v>3.7650000000000001</v>
      </c>
      <c r="G60" s="2" t="s">
        <v>29</v>
      </c>
      <c r="H60">
        <v>1.159</v>
      </c>
      <c r="J60" s="2" t="s">
        <v>29</v>
      </c>
      <c r="K60">
        <v>0.997</v>
      </c>
    </row>
    <row r="61" spans="1:11">
      <c r="A61" s="2" t="s">
        <v>4</v>
      </c>
      <c r="B61">
        <v>1810</v>
      </c>
      <c r="D61" s="2" t="s">
        <v>44</v>
      </c>
      <c r="E61">
        <v>1.7969999999999999</v>
      </c>
      <c r="G61" s="2" t="s">
        <v>3</v>
      </c>
      <c r="H61">
        <v>0.57499999999999996</v>
      </c>
      <c r="J61" s="2" t="s">
        <v>58</v>
      </c>
      <c r="K61">
        <v>1.6180000000000001</v>
      </c>
    </row>
    <row r="62" spans="1:11">
      <c r="A62" s="2" t="s">
        <v>22</v>
      </c>
      <c r="B62">
        <v>165</v>
      </c>
      <c r="D62" s="2" t="s">
        <v>13</v>
      </c>
      <c r="E62">
        <v>4.87</v>
      </c>
      <c r="G62" s="2" t="s">
        <v>4</v>
      </c>
      <c r="H62">
        <v>15.852</v>
      </c>
      <c r="J62" s="2" t="s">
        <v>4</v>
      </c>
      <c r="K62">
        <v>18.798999999999999</v>
      </c>
    </row>
    <row r="63" spans="1:11">
      <c r="A63" s="2" t="s">
        <v>16</v>
      </c>
      <c r="B63">
        <v>109</v>
      </c>
      <c r="D63" s="2" t="s">
        <v>26</v>
      </c>
      <c r="E63">
        <v>0.47</v>
      </c>
      <c r="G63" s="2" t="s">
        <v>51</v>
      </c>
      <c r="H63">
        <v>0.125</v>
      </c>
      <c r="J63" s="2" t="s">
        <v>45</v>
      </c>
      <c r="K63">
        <v>0.27</v>
      </c>
    </row>
    <row r="64" spans="1:11">
      <c r="A64" s="2" t="s">
        <v>17</v>
      </c>
      <c r="B64">
        <v>107</v>
      </c>
      <c r="D64" s="2" t="s">
        <v>27</v>
      </c>
      <c r="E64">
        <v>0.92600000000000005</v>
      </c>
      <c r="G64" s="2" t="s">
        <v>45</v>
      </c>
      <c r="H64">
        <v>0.50700000000000001</v>
      </c>
      <c r="J64" s="2" t="s">
        <v>33</v>
      </c>
      <c r="K64">
        <v>0.88700000000000001</v>
      </c>
    </row>
    <row r="65" spans="1:11">
      <c r="A65" s="2" t="s">
        <v>18</v>
      </c>
      <c r="B65">
        <v>1054</v>
      </c>
      <c r="D65" s="2" t="s">
        <v>14</v>
      </c>
      <c r="E65">
        <v>1.851</v>
      </c>
      <c r="G65" s="2" t="s">
        <v>38</v>
      </c>
      <c r="H65">
        <v>3.7639999999999998</v>
      </c>
      <c r="J65" s="2" t="s">
        <v>46</v>
      </c>
      <c r="K65">
        <v>0.44400000000000001</v>
      </c>
    </row>
    <row r="66" spans="1:11">
      <c r="A66" s="1" t="s">
        <v>30</v>
      </c>
      <c r="B66">
        <v>49.021999999999991</v>
      </c>
      <c r="D66" s="2" t="s">
        <v>15</v>
      </c>
      <c r="E66">
        <v>1.3879999999999999</v>
      </c>
      <c r="G66" s="2" t="s">
        <v>33</v>
      </c>
      <c r="H66">
        <v>0.99399999999999999</v>
      </c>
      <c r="J66" s="2" t="s">
        <v>43</v>
      </c>
      <c r="K66">
        <v>0.59299999999999997</v>
      </c>
    </row>
    <row r="67" spans="1:11">
      <c r="A67" s="2" t="s">
        <v>9</v>
      </c>
      <c r="B67">
        <v>0.378</v>
      </c>
      <c r="D67" s="2" t="s">
        <v>29</v>
      </c>
      <c r="E67">
        <v>1.032</v>
      </c>
      <c r="G67" s="2" t="s">
        <v>46</v>
      </c>
      <c r="H67">
        <v>0.434</v>
      </c>
      <c r="J67" s="2" t="s">
        <v>18</v>
      </c>
      <c r="K67">
        <v>1.216</v>
      </c>
    </row>
    <row r="68" spans="1:11">
      <c r="A68" s="2" t="s">
        <v>21</v>
      </c>
      <c r="B68">
        <v>0.56100000000000005</v>
      </c>
      <c r="D68" s="2" t="s">
        <v>3</v>
      </c>
      <c r="E68">
        <v>0.55500000000000005</v>
      </c>
      <c r="G68" s="2" t="s">
        <v>18</v>
      </c>
      <c r="H68">
        <v>0.82199999999999995</v>
      </c>
      <c r="J68" s="1" t="s">
        <v>31</v>
      </c>
      <c r="K68">
        <v>32603</v>
      </c>
    </row>
    <row r="69" spans="1:11">
      <c r="A69" s="2" t="s">
        <v>24</v>
      </c>
      <c r="B69">
        <v>0.373</v>
      </c>
      <c r="D69" s="2" t="s">
        <v>4</v>
      </c>
      <c r="E69">
        <v>13.362</v>
      </c>
      <c r="G69" s="1" t="s">
        <v>31</v>
      </c>
      <c r="H69">
        <v>93142</v>
      </c>
      <c r="J69" s="2" t="s">
        <v>24</v>
      </c>
      <c r="K69">
        <v>857</v>
      </c>
    </row>
    <row r="70" spans="1:11">
      <c r="A70" s="2" t="s">
        <v>10</v>
      </c>
      <c r="B70">
        <v>3.8380000000000001</v>
      </c>
      <c r="D70" s="2" t="s">
        <v>45</v>
      </c>
      <c r="E70">
        <v>0.53</v>
      </c>
      <c r="G70" s="2" t="s">
        <v>24</v>
      </c>
      <c r="H70">
        <v>803</v>
      </c>
      <c r="J70" s="2" t="s">
        <v>25</v>
      </c>
      <c r="K70">
        <v>5240</v>
      </c>
    </row>
    <row r="71" spans="1:11">
      <c r="A71" s="2" t="s">
        <v>25</v>
      </c>
      <c r="B71">
        <v>1.4930000000000001</v>
      </c>
      <c r="D71" s="2" t="s">
        <v>17</v>
      </c>
      <c r="E71">
        <v>9.7590000000000003</v>
      </c>
      <c r="G71" s="2" t="s">
        <v>50</v>
      </c>
      <c r="H71">
        <v>6418</v>
      </c>
      <c r="J71" s="2" t="s">
        <v>26</v>
      </c>
      <c r="K71">
        <v>204</v>
      </c>
    </row>
    <row r="72" spans="1:11">
      <c r="A72" s="2" t="s">
        <v>11</v>
      </c>
      <c r="B72">
        <v>0.90100000000000002</v>
      </c>
      <c r="D72" s="2" t="s">
        <v>46</v>
      </c>
      <c r="E72">
        <v>0.41399999999999998</v>
      </c>
      <c r="G72" s="2" t="s">
        <v>13</v>
      </c>
      <c r="H72">
        <v>308</v>
      </c>
      <c r="J72" s="2" t="s">
        <v>27</v>
      </c>
      <c r="K72">
        <v>3016</v>
      </c>
    </row>
    <row r="73" spans="1:11">
      <c r="A73" s="2" t="s">
        <v>12</v>
      </c>
      <c r="B73">
        <v>1.577</v>
      </c>
      <c r="D73" s="2" t="s">
        <v>43</v>
      </c>
      <c r="E73">
        <v>0.31</v>
      </c>
      <c r="G73" s="2" t="s">
        <v>26</v>
      </c>
      <c r="H73">
        <v>172</v>
      </c>
      <c r="J73" s="2" t="s">
        <v>56</v>
      </c>
      <c r="K73">
        <v>1844</v>
      </c>
    </row>
    <row r="74" spans="1:11">
      <c r="A74" s="2" t="s">
        <v>13</v>
      </c>
      <c r="B74">
        <v>5.5359999999999996</v>
      </c>
      <c r="D74" s="2" t="s">
        <v>47</v>
      </c>
      <c r="E74">
        <v>0.98299999999999998</v>
      </c>
      <c r="G74" s="2" t="s">
        <v>27</v>
      </c>
      <c r="H74">
        <v>2730</v>
      </c>
      <c r="J74" s="2" t="s">
        <v>14</v>
      </c>
      <c r="K74">
        <v>9149</v>
      </c>
    </row>
    <row r="75" spans="1:11">
      <c r="A75" s="2" t="s">
        <v>26</v>
      </c>
      <c r="B75">
        <v>0.42399999999999999</v>
      </c>
      <c r="D75" s="2" t="s">
        <v>18</v>
      </c>
      <c r="E75">
        <v>0.79800000000000004</v>
      </c>
      <c r="G75" s="2" t="s">
        <v>14</v>
      </c>
      <c r="H75">
        <v>8682</v>
      </c>
      <c r="J75" s="2" t="s">
        <v>15</v>
      </c>
      <c r="K75">
        <v>4275</v>
      </c>
    </row>
    <row r="76" spans="1:11">
      <c r="A76" s="2" t="s">
        <v>27</v>
      </c>
      <c r="B76">
        <v>0.94899999999999995</v>
      </c>
      <c r="D76" s="1" t="s">
        <v>31</v>
      </c>
      <c r="E76">
        <v>28175</v>
      </c>
      <c r="G76" s="2" t="s">
        <v>29</v>
      </c>
      <c r="H76">
        <v>1971</v>
      </c>
      <c r="J76" s="2" t="s">
        <v>29</v>
      </c>
      <c r="K76">
        <v>1750</v>
      </c>
    </row>
    <row r="77" spans="1:11">
      <c r="A77" s="2" t="s">
        <v>28</v>
      </c>
      <c r="B77">
        <v>0.622</v>
      </c>
      <c r="D77" s="2" t="s">
        <v>24</v>
      </c>
      <c r="E77">
        <v>787</v>
      </c>
      <c r="G77" s="2" t="s">
        <v>3</v>
      </c>
      <c r="H77">
        <v>1452</v>
      </c>
      <c r="J77" s="2" t="s">
        <v>58</v>
      </c>
      <c r="K77">
        <v>622</v>
      </c>
    </row>
    <row r="78" spans="1:11">
      <c r="A78" s="2" t="s">
        <v>14</v>
      </c>
      <c r="B78">
        <v>1.7709999999999999</v>
      </c>
      <c r="D78" s="2" t="s">
        <v>10</v>
      </c>
      <c r="E78">
        <v>819</v>
      </c>
      <c r="G78" s="2" t="s">
        <v>4</v>
      </c>
      <c r="H78">
        <v>2046</v>
      </c>
      <c r="J78" s="2" t="s">
        <v>4</v>
      </c>
      <c r="K78">
        <v>2429</v>
      </c>
    </row>
    <row r="79" spans="1:11">
      <c r="A79" s="2" t="s">
        <v>15</v>
      </c>
      <c r="B79">
        <v>1.401</v>
      </c>
      <c r="D79" s="2" t="s">
        <v>44</v>
      </c>
      <c r="E79">
        <v>123</v>
      </c>
      <c r="G79" s="2" t="s">
        <v>51</v>
      </c>
      <c r="H79">
        <v>168</v>
      </c>
      <c r="J79" s="2" t="s">
        <v>45</v>
      </c>
      <c r="K79">
        <v>523</v>
      </c>
    </row>
    <row r="80" spans="1:11">
      <c r="A80" s="2" t="s">
        <v>29</v>
      </c>
      <c r="B80">
        <v>1.1399999999999999</v>
      </c>
      <c r="D80" s="2" t="s">
        <v>13</v>
      </c>
      <c r="E80">
        <v>260</v>
      </c>
      <c r="G80" s="2" t="s">
        <v>45</v>
      </c>
      <c r="H80">
        <v>946</v>
      </c>
      <c r="J80" s="2" t="s">
        <v>46</v>
      </c>
      <c r="K80">
        <v>608</v>
      </c>
    </row>
    <row r="81" spans="1:11">
      <c r="A81" s="2" t="s">
        <v>3</v>
      </c>
      <c r="B81">
        <v>0.53400000000000003</v>
      </c>
      <c r="D81" s="2" t="s">
        <v>26</v>
      </c>
      <c r="E81">
        <v>153</v>
      </c>
      <c r="G81" s="2" t="s">
        <v>38</v>
      </c>
      <c r="H81">
        <v>65759</v>
      </c>
      <c r="J81" s="2" t="s">
        <v>43</v>
      </c>
      <c r="K81">
        <v>2086</v>
      </c>
    </row>
    <row r="82" spans="1:11">
      <c r="A82" s="2" t="s">
        <v>4</v>
      </c>
      <c r="B82">
        <v>14.071999999999999</v>
      </c>
      <c r="D82" s="2" t="s">
        <v>27</v>
      </c>
      <c r="E82">
        <v>2486</v>
      </c>
      <c r="G82" s="2" t="s">
        <v>46</v>
      </c>
      <c r="H82">
        <v>573</v>
      </c>
      <c r="J82" s="1" t="s">
        <v>32</v>
      </c>
      <c r="K82">
        <v>25592</v>
      </c>
    </row>
    <row r="83" spans="1:11">
      <c r="A83" s="2" t="s">
        <v>22</v>
      </c>
      <c r="B83">
        <v>0.25</v>
      </c>
      <c r="D83" s="2" t="s">
        <v>14</v>
      </c>
      <c r="E83">
        <v>8092</v>
      </c>
      <c r="G83" s="2" t="s">
        <v>18</v>
      </c>
      <c r="H83">
        <v>1114</v>
      </c>
      <c r="J83" s="2" t="s">
        <v>9</v>
      </c>
      <c r="K83">
        <v>24</v>
      </c>
    </row>
    <row r="84" spans="1:11">
      <c r="A84" s="2" t="s">
        <v>16</v>
      </c>
      <c r="B84">
        <v>0.98599999999999999</v>
      </c>
      <c r="D84" s="2" t="s">
        <v>15</v>
      </c>
      <c r="E84">
        <v>3188</v>
      </c>
      <c r="G84" s="1" t="s">
        <v>32</v>
      </c>
      <c r="H84">
        <v>162049</v>
      </c>
      <c r="J84" s="2" t="s">
        <v>24</v>
      </c>
      <c r="K84">
        <v>1744</v>
      </c>
    </row>
    <row r="85" spans="1:11">
      <c r="A85" s="2" t="s">
        <v>17</v>
      </c>
      <c r="B85">
        <v>11.407</v>
      </c>
      <c r="D85" s="2" t="s">
        <v>29</v>
      </c>
      <c r="E85">
        <v>1704</v>
      </c>
      <c r="G85" s="2" t="s">
        <v>52</v>
      </c>
      <c r="H85">
        <v>30</v>
      </c>
      <c r="J85" s="2" t="s">
        <v>25</v>
      </c>
      <c r="K85">
        <v>5300</v>
      </c>
    </row>
    <row r="86" spans="1:11">
      <c r="A86" s="2" t="s">
        <v>18</v>
      </c>
      <c r="B86">
        <v>0.80900000000000005</v>
      </c>
      <c r="D86" s="2" t="s">
        <v>3</v>
      </c>
      <c r="E86">
        <v>1358</v>
      </c>
      <c r="G86" s="2" t="s">
        <v>9</v>
      </c>
      <c r="H86">
        <v>35</v>
      </c>
      <c r="J86" s="2" t="s">
        <v>62</v>
      </c>
      <c r="K86">
        <v>11139</v>
      </c>
    </row>
    <row r="87" spans="1:11">
      <c r="A87" s="1" t="s">
        <v>31</v>
      </c>
      <c r="B87">
        <v>25053</v>
      </c>
      <c r="D87" s="2" t="s">
        <v>4</v>
      </c>
      <c r="E87">
        <v>1722</v>
      </c>
      <c r="G87" s="2" t="s">
        <v>21</v>
      </c>
      <c r="H87">
        <v>943</v>
      </c>
      <c r="J87" s="2" t="s">
        <v>56</v>
      </c>
      <c r="K87">
        <v>500</v>
      </c>
    </row>
    <row r="88" spans="1:11">
      <c r="A88" s="2" t="s">
        <v>24</v>
      </c>
      <c r="B88">
        <v>620</v>
      </c>
      <c r="D88" s="2" t="s">
        <v>45</v>
      </c>
      <c r="E88">
        <v>952</v>
      </c>
      <c r="G88" s="2" t="s">
        <v>24</v>
      </c>
      <c r="H88">
        <v>1591</v>
      </c>
      <c r="J88" s="2" t="s">
        <v>3</v>
      </c>
      <c r="K88">
        <v>4649</v>
      </c>
    </row>
    <row r="89" spans="1:11">
      <c r="A89" s="2" t="s">
        <v>10</v>
      </c>
      <c r="B89">
        <v>819</v>
      </c>
      <c r="D89" s="2" t="s">
        <v>17</v>
      </c>
      <c r="E89">
        <v>93</v>
      </c>
      <c r="G89" s="2" t="s">
        <v>10</v>
      </c>
      <c r="H89">
        <v>1501</v>
      </c>
      <c r="J89" s="2" t="s">
        <v>45</v>
      </c>
      <c r="K89">
        <v>959</v>
      </c>
    </row>
    <row r="90" spans="1:11">
      <c r="A90" s="2" t="s">
        <v>25</v>
      </c>
      <c r="B90">
        <v>3220</v>
      </c>
      <c r="D90" s="2" t="s">
        <v>46</v>
      </c>
      <c r="E90">
        <v>528</v>
      </c>
      <c r="G90" s="2" t="s">
        <v>53</v>
      </c>
      <c r="H90">
        <v>514</v>
      </c>
      <c r="J90" s="2" t="s">
        <v>33</v>
      </c>
      <c r="K90">
        <v>692</v>
      </c>
    </row>
    <row r="91" spans="1:11">
      <c r="A91" s="2" t="s">
        <v>12</v>
      </c>
      <c r="B91">
        <v>523</v>
      </c>
      <c r="D91" s="2" t="s">
        <v>43</v>
      </c>
      <c r="E91">
        <v>1481</v>
      </c>
      <c r="G91" s="2" t="s">
        <v>25</v>
      </c>
      <c r="H91">
        <v>3851</v>
      </c>
      <c r="J91" s="2" t="s">
        <v>22</v>
      </c>
      <c r="K91">
        <v>585</v>
      </c>
    </row>
    <row r="92" spans="1:11">
      <c r="A92" s="2" t="s">
        <v>13</v>
      </c>
      <c r="B92">
        <v>292</v>
      </c>
      <c r="D92" s="2" t="s">
        <v>47</v>
      </c>
      <c r="E92">
        <v>3370</v>
      </c>
      <c r="G92" s="2" t="s">
        <v>11</v>
      </c>
      <c r="H92">
        <v>127</v>
      </c>
      <c r="J92" s="1" t="s">
        <v>34</v>
      </c>
      <c r="K92">
        <v>266435</v>
      </c>
    </row>
    <row r="93" spans="1:11">
      <c r="A93" s="2" t="s">
        <v>26</v>
      </c>
      <c r="B93">
        <v>136</v>
      </c>
      <c r="D93" s="2" t="s">
        <v>18</v>
      </c>
      <c r="E93">
        <v>1059</v>
      </c>
      <c r="G93" s="2" t="s">
        <v>50</v>
      </c>
      <c r="H93">
        <v>1555</v>
      </c>
      <c r="J93" s="2" t="s">
        <v>9</v>
      </c>
      <c r="K93">
        <v>6843</v>
      </c>
    </row>
    <row r="94" spans="1:11">
      <c r="A94" s="2" t="s">
        <v>27</v>
      </c>
      <c r="B94">
        <v>2486</v>
      </c>
      <c r="D94" s="1" t="s">
        <v>32</v>
      </c>
      <c r="E94">
        <v>15430</v>
      </c>
      <c r="G94" s="2" t="s">
        <v>12</v>
      </c>
      <c r="H94">
        <v>1282</v>
      </c>
      <c r="J94" s="2" t="s">
        <v>24</v>
      </c>
      <c r="K94">
        <v>8102</v>
      </c>
    </row>
    <row r="95" spans="1:11">
      <c r="A95" s="2" t="s">
        <v>28</v>
      </c>
      <c r="B95">
        <v>100</v>
      </c>
      <c r="D95" s="2" t="s">
        <v>9</v>
      </c>
      <c r="E95">
        <v>16</v>
      </c>
      <c r="G95" s="2" t="s">
        <v>44</v>
      </c>
      <c r="H95">
        <v>295</v>
      </c>
      <c r="J95" s="2" t="s">
        <v>25</v>
      </c>
      <c r="K95">
        <v>14168</v>
      </c>
    </row>
    <row r="96" spans="1:11">
      <c r="A96" s="2" t="s">
        <v>14</v>
      </c>
      <c r="B96">
        <v>7549</v>
      </c>
      <c r="D96" s="2" t="s">
        <v>21</v>
      </c>
      <c r="E96">
        <v>1480</v>
      </c>
      <c r="G96" s="2" t="s">
        <v>54</v>
      </c>
      <c r="H96">
        <v>6925</v>
      </c>
      <c r="J96" s="2" t="s">
        <v>12</v>
      </c>
      <c r="K96">
        <v>3458</v>
      </c>
    </row>
    <row r="97" spans="1:11">
      <c r="A97" s="2" t="s">
        <v>15</v>
      </c>
      <c r="B97">
        <v>3131</v>
      </c>
      <c r="D97" s="2" t="s">
        <v>24</v>
      </c>
      <c r="E97">
        <v>4451</v>
      </c>
      <c r="G97" s="2" t="s">
        <v>55</v>
      </c>
      <c r="H97">
        <v>437</v>
      </c>
      <c r="J97" s="2" t="s">
        <v>13</v>
      </c>
      <c r="K97">
        <v>476</v>
      </c>
    </row>
    <row r="98" spans="1:11">
      <c r="A98" s="2" t="s">
        <v>29</v>
      </c>
      <c r="B98">
        <v>1829</v>
      </c>
      <c r="D98" s="2" t="s">
        <v>44</v>
      </c>
      <c r="E98">
        <v>667</v>
      </c>
      <c r="G98" s="2" t="s">
        <v>27</v>
      </c>
      <c r="H98">
        <v>11287</v>
      </c>
      <c r="J98" s="2" t="s">
        <v>26</v>
      </c>
      <c r="K98">
        <v>4132</v>
      </c>
    </row>
    <row r="99" spans="1:11">
      <c r="A99" s="2" t="s">
        <v>3</v>
      </c>
      <c r="B99">
        <v>1268</v>
      </c>
      <c r="D99" s="2" t="s">
        <v>15</v>
      </c>
      <c r="E99">
        <v>1475</v>
      </c>
      <c r="G99" s="2" t="s">
        <v>56</v>
      </c>
      <c r="H99">
        <v>500</v>
      </c>
      <c r="J99" s="2" t="s">
        <v>27</v>
      </c>
      <c r="K99">
        <v>37404</v>
      </c>
    </row>
    <row r="100" spans="1:11">
      <c r="A100" s="2" t="s">
        <v>4</v>
      </c>
      <c r="B100">
        <v>1810</v>
      </c>
      <c r="D100" s="2" t="s">
        <v>29</v>
      </c>
      <c r="E100">
        <v>1770</v>
      </c>
      <c r="G100" s="2" t="s">
        <v>48</v>
      </c>
      <c r="H100">
        <v>259</v>
      </c>
      <c r="J100" s="2" t="s">
        <v>56</v>
      </c>
      <c r="K100">
        <v>6289</v>
      </c>
    </row>
    <row r="101" spans="1:11">
      <c r="A101" s="2" t="s">
        <v>16</v>
      </c>
      <c r="B101">
        <v>109</v>
      </c>
      <c r="D101" s="2" t="s">
        <v>3</v>
      </c>
      <c r="E101">
        <v>4261</v>
      </c>
      <c r="G101" s="2" t="s">
        <v>28</v>
      </c>
      <c r="H101">
        <v>153</v>
      </c>
      <c r="J101" s="2" t="s">
        <v>28</v>
      </c>
      <c r="K101">
        <v>885</v>
      </c>
    </row>
    <row r="102" spans="1:11">
      <c r="A102" s="2" t="s">
        <v>17</v>
      </c>
      <c r="B102">
        <v>107</v>
      </c>
      <c r="D102" s="2" t="s">
        <v>45</v>
      </c>
      <c r="E102">
        <v>894</v>
      </c>
      <c r="G102" s="2" t="s">
        <v>57</v>
      </c>
      <c r="H102">
        <v>806</v>
      </c>
      <c r="J102" s="2" t="s">
        <v>14</v>
      </c>
      <c r="K102">
        <v>43311</v>
      </c>
    </row>
    <row r="103" spans="1:11">
      <c r="A103" s="2" t="s">
        <v>18</v>
      </c>
      <c r="B103">
        <v>1054</v>
      </c>
      <c r="D103" s="2" t="s">
        <v>46</v>
      </c>
      <c r="E103">
        <v>416</v>
      </c>
      <c r="G103" s="2" t="s">
        <v>15</v>
      </c>
      <c r="H103">
        <v>3400</v>
      </c>
      <c r="J103" s="2" t="s">
        <v>3</v>
      </c>
      <c r="K103">
        <v>10997</v>
      </c>
    </row>
    <row r="104" spans="1:11">
      <c r="A104" s="1" t="s">
        <v>32</v>
      </c>
      <c r="B104">
        <v>15894</v>
      </c>
      <c r="D104" s="1" t="s">
        <v>34</v>
      </c>
      <c r="E104">
        <v>199938</v>
      </c>
      <c r="G104" s="2" t="s">
        <v>29</v>
      </c>
      <c r="H104">
        <v>1961</v>
      </c>
      <c r="J104" s="2" t="s">
        <v>58</v>
      </c>
      <c r="K104">
        <v>3846</v>
      </c>
    </row>
    <row r="105" spans="1:11">
      <c r="A105" s="2" t="s">
        <v>9</v>
      </c>
      <c r="B105">
        <v>16</v>
      </c>
      <c r="D105" s="2" t="s">
        <v>9</v>
      </c>
      <c r="E105">
        <v>6502</v>
      </c>
      <c r="G105" s="2" t="s">
        <v>3</v>
      </c>
      <c r="H105">
        <v>4265</v>
      </c>
      <c r="J105" s="2" t="s">
        <v>4</v>
      </c>
      <c r="K105">
        <v>4125</v>
      </c>
    </row>
    <row r="106" spans="1:11">
      <c r="A106" s="2" t="s">
        <v>21</v>
      </c>
      <c r="B106">
        <v>972</v>
      </c>
      <c r="D106" s="2" t="s">
        <v>21</v>
      </c>
      <c r="E106">
        <v>6618</v>
      </c>
      <c r="G106" s="2" t="s">
        <v>58</v>
      </c>
      <c r="H106">
        <v>368</v>
      </c>
      <c r="J106" s="2" t="s">
        <v>61</v>
      </c>
      <c r="K106">
        <v>4212</v>
      </c>
    </row>
    <row r="107" spans="1:11">
      <c r="A107" s="2" t="s">
        <v>24</v>
      </c>
      <c r="B107">
        <v>1274</v>
      </c>
      <c r="D107" s="2" t="s">
        <v>24</v>
      </c>
      <c r="E107">
        <v>10459</v>
      </c>
      <c r="G107" s="2" t="s">
        <v>51</v>
      </c>
      <c r="H107">
        <v>48</v>
      </c>
      <c r="J107" s="2" t="s">
        <v>45</v>
      </c>
      <c r="K107">
        <v>5899</v>
      </c>
    </row>
    <row r="108" spans="1:11">
      <c r="A108" s="2" t="s">
        <v>25</v>
      </c>
      <c r="B108">
        <v>2353</v>
      </c>
      <c r="D108" s="2" t="s">
        <v>10</v>
      </c>
      <c r="E108">
        <v>5816</v>
      </c>
      <c r="G108" s="2" t="s">
        <v>45</v>
      </c>
      <c r="H108">
        <v>836</v>
      </c>
      <c r="J108" s="2" t="s">
        <v>33</v>
      </c>
      <c r="K108">
        <v>10317</v>
      </c>
    </row>
    <row r="109" spans="1:11">
      <c r="A109" s="2" t="s">
        <v>11</v>
      </c>
      <c r="B109">
        <v>205</v>
      </c>
      <c r="D109" s="2" t="s">
        <v>13</v>
      </c>
      <c r="E109">
        <v>551</v>
      </c>
      <c r="G109" s="2" t="s">
        <v>38</v>
      </c>
      <c r="H109">
        <v>101275</v>
      </c>
      <c r="J109" s="2" t="s">
        <v>22</v>
      </c>
      <c r="K109">
        <v>6693</v>
      </c>
    </row>
    <row r="110" spans="1:11">
      <c r="A110" s="2" t="s">
        <v>27</v>
      </c>
      <c r="B110">
        <v>3863</v>
      </c>
      <c r="D110" s="2" t="s">
        <v>48</v>
      </c>
      <c r="E110">
        <v>2386</v>
      </c>
      <c r="G110" s="2" t="s">
        <v>33</v>
      </c>
      <c r="H110">
        <v>622</v>
      </c>
      <c r="J110" s="2" t="s">
        <v>16</v>
      </c>
      <c r="K110">
        <v>3847</v>
      </c>
    </row>
    <row r="111" spans="1:11">
      <c r="A111" s="2" t="s">
        <v>28</v>
      </c>
      <c r="B111">
        <v>172</v>
      </c>
      <c r="D111" s="2" t="s">
        <v>14</v>
      </c>
      <c r="E111">
        <v>61769</v>
      </c>
      <c r="G111" s="2" t="s">
        <v>49</v>
      </c>
      <c r="H111">
        <v>3946</v>
      </c>
      <c r="J111" s="2" t="s">
        <v>46</v>
      </c>
      <c r="K111">
        <v>3606</v>
      </c>
    </row>
    <row r="112" spans="1:11">
      <c r="A112" s="2" t="s">
        <v>15</v>
      </c>
      <c r="B112">
        <v>1449</v>
      </c>
      <c r="D112" s="2" t="s">
        <v>15</v>
      </c>
      <c r="E112">
        <v>4858</v>
      </c>
      <c r="G112" s="2" t="s">
        <v>22</v>
      </c>
      <c r="H112">
        <v>2187</v>
      </c>
      <c r="J112" s="2" t="s">
        <v>43</v>
      </c>
      <c r="K112">
        <v>21552</v>
      </c>
    </row>
    <row r="113" spans="1:11">
      <c r="A113" s="2" t="s">
        <v>29</v>
      </c>
      <c r="B113">
        <v>1615</v>
      </c>
      <c r="D113" s="2" t="s">
        <v>29</v>
      </c>
      <c r="E113">
        <v>6027</v>
      </c>
      <c r="G113" s="2" t="s">
        <v>59</v>
      </c>
      <c r="H113">
        <v>31</v>
      </c>
      <c r="J113" s="2" t="s">
        <v>47</v>
      </c>
      <c r="K113">
        <v>45388</v>
      </c>
    </row>
    <row r="114" spans="1:11">
      <c r="A114" s="2" t="s">
        <v>3</v>
      </c>
      <c r="B114">
        <v>3926</v>
      </c>
      <c r="D114" s="2" t="s">
        <v>3</v>
      </c>
      <c r="E114">
        <v>10087</v>
      </c>
      <c r="G114" s="2" t="s">
        <v>46</v>
      </c>
      <c r="H114">
        <v>451</v>
      </c>
      <c r="J114" s="2" t="s">
        <v>18</v>
      </c>
      <c r="K114">
        <v>20885</v>
      </c>
    </row>
    <row r="115" spans="1:11">
      <c r="A115" s="2" t="s">
        <v>33</v>
      </c>
      <c r="B115">
        <v>49</v>
      </c>
      <c r="D115" s="2" t="s">
        <v>4</v>
      </c>
      <c r="E115">
        <v>3737</v>
      </c>
      <c r="G115" s="2" t="s">
        <v>60</v>
      </c>
      <c r="H115">
        <v>795</v>
      </c>
      <c r="J115" s="1" t="s">
        <v>35</v>
      </c>
      <c r="K115">
        <v>233.65599999999998</v>
      </c>
    </row>
    <row r="116" spans="1:11">
      <c r="A116" s="1" t="s">
        <v>34</v>
      </c>
      <c r="B116">
        <v>170595</v>
      </c>
      <c r="D116" s="2" t="s">
        <v>17</v>
      </c>
      <c r="E116">
        <v>419</v>
      </c>
      <c r="G116" s="2" t="s">
        <v>47</v>
      </c>
      <c r="H116">
        <v>7000</v>
      </c>
      <c r="J116" s="2" t="s">
        <v>9</v>
      </c>
      <c r="K116">
        <v>6.52</v>
      </c>
    </row>
    <row r="117" spans="1:11">
      <c r="A117" s="2" t="s">
        <v>9</v>
      </c>
      <c r="B117">
        <v>5973</v>
      </c>
      <c r="D117" s="2" t="s">
        <v>46</v>
      </c>
      <c r="E117">
        <v>3557</v>
      </c>
      <c r="G117" s="2" t="s">
        <v>6</v>
      </c>
      <c r="H117">
        <v>2773</v>
      </c>
      <c r="J117" s="2" t="s">
        <v>24</v>
      </c>
      <c r="K117">
        <v>4.4589999999999996</v>
      </c>
    </row>
    <row r="118" spans="1:11">
      <c r="A118" s="2" t="s">
        <v>21</v>
      </c>
      <c r="B118">
        <v>4018</v>
      </c>
      <c r="D118" s="2" t="s">
        <v>43</v>
      </c>
      <c r="E118">
        <v>20800</v>
      </c>
      <c r="G118" s="1" t="s">
        <v>34</v>
      </c>
      <c r="H118">
        <v>436102</v>
      </c>
      <c r="J118" s="2" t="s">
        <v>25</v>
      </c>
      <c r="K118">
        <v>6.1609999999999996</v>
      </c>
    </row>
    <row r="119" spans="1:11">
      <c r="A119" s="2" t="s">
        <v>24</v>
      </c>
      <c r="B119">
        <v>7340</v>
      </c>
      <c r="D119" s="2" t="s">
        <v>47</v>
      </c>
      <c r="E119">
        <v>40816</v>
      </c>
      <c r="G119" s="2" t="s">
        <v>9</v>
      </c>
      <c r="H119">
        <v>6608</v>
      </c>
      <c r="J119" s="2" t="s">
        <v>12</v>
      </c>
      <c r="K119">
        <v>6.9930000000000003</v>
      </c>
    </row>
    <row r="120" spans="1:11">
      <c r="A120" s="2" t="s">
        <v>10</v>
      </c>
      <c r="B120">
        <v>5816</v>
      </c>
      <c r="D120" s="2" t="s">
        <v>18</v>
      </c>
      <c r="E120">
        <v>15536</v>
      </c>
      <c r="G120" s="2" t="s">
        <v>21</v>
      </c>
      <c r="H120">
        <v>5823</v>
      </c>
      <c r="J120" s="2" t="s">
        <v>13</v>
      </c>
      <c r="K120">
        <v>8.7159999999999993</v>
      </c>
    </row>
    <row r="121" spans="1:11">
      <c r="A121" s="2" t="s">
        <v>25</v>
      </c>
      <c r="B121">
        <v>9714</v>
      </c>
      <c r="D121" s="1" t="s">
        <v>35</v>
      </c>
      <c r="E121">
        <v>195.726</v>
      </c>
      <c r="G121" s="2" t="s">
        <v>24</v>
      </c>
      <c r="H121">
        <v>7787</v>
      </c>
      <c r="J121" s="2" t="s">
        <v>26</v>
      </c>
      <c r="K121">
        <v>12.433</v>
      </c>
    </row>
    <row r="122" spans="1:11">
      <c r="A122" s="2" t="s">
        <v>11</v>
      </c>
      <c r="B122">
        <v>19159</v>
      </c>
      <c r="D122" s="2" t="s">
        <v>9</v>
      </c>
      <c r="E122">
        <v>6.6379999999999999</v>
      </c>
      <c r="G122" s="2" t="s">
        <v>25</v>
      </c>
      <c r="H122">
        <v>12631</v>
      </c>
      <c r="J122" s="2" t="s">
        <v>27</v>
      </c>
      <c r="K122">
        <v>13.266</v>
      </c>
    </row>
    <row r="123" spans="1:11">
      <c r="A123" s="2" t="s">
        <v>12</v>
      </c>
      <c r="B123">
        <v>7866</v>
      </c>
      <c r="D123" s="2" t="s">
        <v>21</v>
      </c>
      <c r="E123">
        <v>6.609</v>
      </c>
      <c r="G123" s="2" t="s">
        <v>50</v>
      </c>
      <c r="H123">
        <v>61368</v>
      </c>
      <c r="J123" s="2" t="s">
        <v>56</v>
      </c>
      <c r="K123">
        <v>5.5490000000000004</v>
      </c>
    </row>
    <row r="124" spans="1:11">
      <c r="A124" s="2" t="s">
        <v>13</v>
      </c>
      <c r="B124">
        <v>543</v>
      </c>
      <c r="D124" s="2" t="s">
        <v>24</v>
      </c>
      <c r="E124">
        <v>6.1109999999999998</v>
      </c>
      <c r="G124" s="2" t="s">
        <v>12</v>
      </c>
      <c r="H124">
        <v>4571</v>
      </c>
      <c r="J124" s="2" t="s">
        <v>28</v>
      </c>
      <c r="K124">
        <v>5.077</v>
      </c>
    </row>
    <row r="125" spans="1:11">
      <c r="A125" s="2" t="s">
        <v>28</v>
      </c>
      <c r="B125">
        <v>879</v>
      </c>
      <c r="D125" s="2" t="s">
        <v>10</v>
      </c>
      <c r="E125">
        <v>26.734999999999999</v>
      </c>
      <c r="G125" s="2" t="s">
        <v>13</v>
      </c>
      <c r="H125">
        <v>403</v>
      </c>
      <c r="J125" s="2" t="s">
        <v>14</v>
      </c>
      <c r="K125">
        <v>9.4499999999999993</v>
      </c>
    </row>
    <row r="126" spans="1:11">
      <c r="A126" s="2" t="s">
        <v>14</v>
      </c>
      <c r="B126">
        <v>60127</v>
      </c>
      <c r="D126" s="2" t="s">
        <v>13</v>
      </c>
      <c r="E126">
        <v>10.32</v>
      </c>
      <c r="G126" s="2" t="s">
        <v>26</v>
      </c>
      <c r="H126">
        <v>4262</v>
      </c>
      <c r="J126" s="2" t="s">
        <v>3</v>
      </c>
      <c r="K126">
        <v>4.2229999999999999</v>
      </c>
    </row>
    <row r="127" spans="1:11">
      <c r="A127" s="2" t="s">
        <v>15</v>
      </c>
      <c r="B127">
        <v>4737</v>
      </c>
      <c r="D127" s="2" t="s">
        <v>48</v>
      </c>
      <c r="E127">
        <v>11.577</v>
      </c>
      <c r="G127" s="2" t="s">
        <v>28</v>
      </c>
      <c r="H127">
        <v>880</v>
      </c>
      <c r="J127" s="2" t="s">
        <v>58</v>
      </c>
      <c r="K127">
        <v>10.007</v>
      </c>
    </row>
    <row r="128" spans="1:11">
      <c r="A128" s="2" t="s">
        <v>29</v>
      </c>
      <c r="B128">
        <v>5705</v>
      </c>
      <c r="D128" s="2" t="s">
        <v>14</v>
      </c>
      <c r="E128">
        <v>14.125999999999999</v>
      </c>
      <c r="G128" s="2" t="s">
        <v>14</v>
      </c>
      <c r="H128">
        <v>40292</v>
      </c>
      <c r="J128" s="2" t="s">
        <v>4</v>
      </c>
      <c r="K128">
        <v>31.925000000000001</v>
      </c>
    </row>
    <row r="129" spans="1:11">
      <c r="A129" s="2" t="s">
        <v>3</v>
      </c>
      <c r="B129">
        <v>9501</v>
      </c>
      <c r="D129" s="2" t="s">
        <v>15</v>
      </c>
      <c r="E129">
        <v>2.1150000000000002</v>
      </c>
      <c r="G129" s="2" t="s">
        <v>15</v>
      </c>
      <c r="H129">
        <v>6838</v>
      </c>
      <c r="J129" s="2" t="s">
        <v>61</v>
      </c>
      <c r="K129">
        <v>18.777999999999999</v>
      </c>
    </row>
    <row r="130" spans="1:11">
      <c r="A130" s="2" t="s">
        <v>4</v>
      </c>
      <c r="B130">
        <v>3670</v>
      </c>
      <c r="D130" s="2" t="s">
        <v>29</v>
      </c>
      <c r="E130">
        <v>3.649</v>
      </c>
      <c r="G130" s="2" t="s">
        <v>3</v>
      </c>
      <c r="H130">
        <v>10697</v>
      </c>
      <c r="J130" s="2" t="s">
        <v>45</v>
      </c>
      <c r="K130">
        <v>3.0449999999999999</v>
      </c>
    </row>
    <row r="131" spans="1:11">
      <c r="A131" s="2" t="s">
        <v>33</v>
      </c>
      <c r="B131">
        <v>6773</v>
      </c>
      <c r="D131" s="2" t="s">
        <v>3</v>
      </c>
      <c r="E131">
        <v>4.1189999999999998</v>
      </c>
      <c r="G131" s="2" t="s">
        <v>4</v>
      </c>
      <c r="H131">
        <v>3963</v>
      </c>
      <c r="J131" s="2" t="s">
        <v>33</v>
      </c>
      <c r="K131">
        <v>9.0749999999999993</v>
      </c>
    </row>
    <row r="132" spans="1:11">
      <c r="A132" s="2" t="s">
        <v>22</v>
      </c>
      <c r="B132">
        <v>1752</v>
      </c>
      <c r="D132" s="2" t="s">
        <v>4</v>
      </c>
      <c r="E132">
        <v>28.998000000000001</v>
      </c>
      <c r="G132" s="2" t="s">
        <v>51</v>
      </c>
      <c r="H132">
        <v>3593</v>
      </c>
      <c r="J132" s="2" t="s">
        <v>22</v>
      </c>
      <c r="K132">
        <v>9.3729999999999993</v>
      </c>
    </row>
    <row r="133" spans="1:11">
      <c r="A133" s="2" t="s">
        <v>18</v>
      </c>
      <c r="B133">
        <v>17022</v>
      </c>
      <c r="D133" s="2" t="s">
        <v>17</v>
      </c>
      <c r="E133">
        <v>43.966000000000001</v>
      </c>
      <c r="G133" s="2" t="s">
        <v>61</v>
      </c>
      <c r="H133">
        <v>4110</v>
      </c>
      <c r="J133" s="2" t="s">
        <v>16</v>
      </c>
      <c r="K133">
        <v>34.167999999999999</v>
      </c>
    </row>
    <row r="134" spans="1:11">
      <c r="A134" s="1" t="s">
        <v>35</v>
      </c>
      <c r="B134">
        <v>163.34800000000001</v>
      </c>
      <c r="D134" s="2" t="s">
        <v>46</v>
      </c>
      <c r="E134">
        <v>2.7890000000000001</v>
      </c>
      <c r="G134" s="2" t="s">
        <v>45</v>
      </c>
      <c r="H134">
        <v>4125</v>
      </c>
      <c r="J134" s="2" t="s">
        <v>46</v>
      </c>
      <c r="K134">
        <v>2.633</v>
      </c>
    </row>
    <row r="135" spans="1:11">
      <c r="A135" s="2" t="s">
        <v>9</v>
      </c>
      <c r="B135">
        <v>6.3170000000000002</v>
      </c>
      <c r="D135" s="2" t="s">
        <v>43</v>
      </c>
      <c r="E135">
        <v>4.3529999999999998</v>
      </c>
      <c r="G135" s="2" t="s">
        <v>38</v>
      </c>
      <c r="H135">
        <v>176195</v>
      </c>
      <c r="J135" s="2" t="s">
        <v>43</v>
      </c>
      <c r="K135">
        <v>4.2409999999999997</v>
      </c>
    </row>
    <row r="136" spans="1:11">
      <c r="A136" s="2" t="s">
        <v>21</v>
      </c>
      <c r="B136">
        <v>4.1310000000000002</v>
      </c>
      <c r="D136" s="2" t="s">
        <v>47</v>
      </c>
      <c r="E136">
        <v>11.909000000000001</v>
      </c>
      <c r="G136" s="2" t="s">
        <v>22</v>
      </c>
      <c r="H136">
        <v>8293</v>
      </c>
      <c r="J136" s="2" t="s">
        <v>47</v>
      </c>
      <c r="K136">
        <v>12.491</v>
      </c>
    </row>
    <row r="137" spans="1:11">
      <c r="A137" s="2" t="s">
        <v>24</v>
      </c>
      <c r="B137">
        <v>4.4210000000000003</v>
      </c>
      <c r="D137" s="2" t="s">
        <v>18</v>
      </c>
      <c r="E137">
        <v>11.712</v>
      </c>
      <c r="G137" s="2" t="s">
        <v>16</v>
      </c>
      <c r="H137">
        <v>3735</v>
      </c>
      <c r="J137" s="2" t="s">
        <v>18</v>
      </c>
      <c r="K137">
        <v>15.073</v>
      </c>
    </row>
    <row r="138" spans="1:11">
      <c r="A138" s="2" t="s">
        <v>10</v>
      </c>
      <c r="B138">
        <v>27.254000000000001</v>
      </c>
      <c r="D138" s="1" t="s">
        <v>36</v>
      </c>
      <c r="E138">
        <v>186069</v>
      </c>
      <c r="G138" s="2" t="s">
        <v>46</v>
      </c>
      <c r="H138">
        <v>4057</v>
      </c>
      <c r="J138" s="1" t="s">
        <v>36</v>
      </c>
      <c r="K138">
        <v>251982</v>
      </c>
    </row>
    <row r="139" spans="1:11">
      <c r="A139" s="2" t="s">
        <v>25</v>
      </c>
      <c r="B139">
        <v>4.5049999999999999</v>
      </c>
      <c r="D139" s="2" t="s">
        <v>9</v>
      </c>
      <c r="E139">
        <v>6486</v>
      </c>
      <c r="G139" s="2" t="s">
        <v>47</v>
      </c>
      <c r="H139">
        <v>47149</v>
      </c>
      <c r="J139" s="2" t="s">
        <v>9</v>
      </c>
      <c r="K139">
        <v>6819</v>
      </c>
    </row>
    <row r="140" spans="1:11">
      <c r="A140" s="2" t="s">
        <v>11</v>
      </c>
      <c r="B140">
        <v>9.3689999999999998</v>
      </c>
      <c r="D140" s="2" t="s">
        <v>21</v>
      </c>
      <c r="E140">
        <v>5138</v>
      </c>
      <c r="G140" s="2" t="s">
        <v>18</v>
      </c>
      <c r="H140">
        <v>18722</v>
      </c>
      <c r="J140" s="2" t="s">
        <v>24</v>
      </c>
      <c r="K140">
        <v>6358</v>
      </c>
    </row>
    <row r="141" spans="1:11">
      <c r="A141" s="2" t="s">
        <v>12</v>
      </c>
      <c r="B141">
        <v>17.158999999999999</v>
      </c>
      <c r="D141" s="2" t="s">
        <v>24</v>
      </c>
      <c r="E141">
        <v>6008</v>
      </c>
      <c r="G141" s="1" t="s">
        <v>35</v>
      </c>
      <c r="H141">
        <v>221.16200000000001</v>
      </c>
      <c r="J141" s="2" t="s">
        <v>25</v>
      </c>
      <c r="K141">
        <v>8868</v>
      </c>
    </row>
    <row r="142" spans="1:11">
      <c r="A142" s="2" t="s">
        <v>13</v>
      </c>
      <c r="B142">
        <v>10.294</v>
      </c>
      <c r="D142" s="2" t="s">
        <v>10</v>
      </c>
      <c r="E142">
        <v>5816</v>
      </c>
      <c r="G142" s="2" t="s">
        <v>9</v>
      </c>
      <c r="H142">
        <v>6.5110000000000001</v>
      </c>
      <c r="J142" s="2" t="s">
        <v>12</v>
      </c>
      <c r="K142">
        <v>3458</v>
      </c>
    </row>
    <row r="143" spans="1:11">
      <c r="A143" s="2" t="s">
        <v>28</v>
      </c>
      <c r="B143">
        <v>5.4630000000000001</v>
      </c>
      <c r="D143" s="2" t="s">
        <v>13</v>
      </c>
      <c r="E143">
        <v>551</v>
      </c>
      <c r="G143" s="2" t="s">
        <v>21</v>
      </c>
      <c r="H143">
        <v>5.649</v>
      </c>
      <c r="J143" s="2" t="s">
        <v>13</v>
      </c>
      <c r="K143">
        <v>476</v>
      </c>
    </row>
    <row r="144" spans="1:11">
      <c r="A144" s="2" t="s">
        <v>14</v>
      </c>
      <c r="B144">
        <v>14.103</v>
      </c>
      <c r="D144" s="2" t="s">
        <v>48</v>
      </c>
      <c r="E144">
        <v>2386</v>
      </c>
      <c r="G144" s="2" t="s">
        <v>24</v>
      </c>
      <c r="H144">
        <v>4.415</v>
      </c>
      <c r="J144" s="2" t="s">
        <v>26</v>
      </c>
      <c r="K144">
        <v>4132</v>
      </c>
    </row>
    <row r="145" spans="1:11">
      <c r="A145" s="2" t="s">
        <v>15</v>
      </c>
      <c r="B145">
        <v>2.12</v>
      </c>
      <c r="D145" s="2" t="s">
        <v>14</v>
      </c>
      <c r="E145">
        <v>61769</v>
      </c>
      <c r="G145" s="2" t="s">
        <v>25</v>
      </c>
      <c r="H145">
        <v>5.6210000000000004</v>
      </c>
      <c r="J145" s="2" t="s">
        <v>27</v>
      </c>
      <c r="K145">
        <v>37404</v>
      </c>
    </row>
    <row r="146" spans="1:11">
      <c r="A146" s="2" t="s">
        <v>29</v>
      </c>
      <c r="B146">
        <v>3.5569999999999999</v>
      </c>
      <c r="D146" s="2" t="s">
        <v>15</v>
      </c>
      <c r="E146">
        <v>3383</v>
      </c>
      <c r="G146" s="2" t="s">
        <v>50</v>
      </c>
      <c r="H146">
        <v>8.3539999999999992</v>
      </c>
      <c r="J146" s="2" t="s">
        <v>56</v>
      </c>
      <c r="K146">
        <v>5789</v>
      </c>
    </row>
    <row r="147" spans="1:11">
      <c r="A147" s="2" t="s">
        <v>3</v>
      </c>
      <c r="B147">
        <v>3.9990000000000001</v>
      </c>
      <c r="D147" s="2" t="s">
        <v>29</v>
      </c>
      <c r="E147">
        <v>4257</v>
      </c>
      <c r="G147" s="2" t="s">
        <v>12</v>
      </c>
      <c r="H147">
        <v>9.4670000000000005</v>
      </c>
      <c r="J147" s="2" t="s">
        <v>28</v>
      </c>
      <c r="K147">
        <v>885</v>
      </c>
    </row>
    <row r="148" spans="1:11">
      <c r="A148" s="2" t="s">
        <v>4</v>
      </c>
      <c r="B148">
        <v>28.533999999999999</v>
      </c>
      <c r="D148" s="2" t="s">
        <v>3</v>
      </c>
      <c r="E148">
        <v>5826</v>
      </c>
      <c r="G148" s="2" t="s">
        <v>13</v>
      </c>
      <c r="H148">
        <v>7.4640000000000004</v>
      </c>
      <c r="J148" s="2" t="s">
        <v>14</v>
      </c>
      <c r="K148">
        <v>43311</v>
      </c>
    </row>
    <row r="149" spans="1:11">
      <c r="A149" s="2" t="s">
        <v>33</v>
      </c>
      <c r="B149">
        <v>6.4039999999999999</v>
      </c>
      <c r="D149" s="2" t="s">
        <v>4</v>
      </c>
      <c r="E149">
        <v>3737</v>
      </c>
      <c r="G149" s="2" t="s">
        <v>26</v>
      </c>
      <c r="H149">
        <v>12.929</v>
      </c>
      <c r="J149" s="2" t="s">
        <v>3</v>
      </c>
      <c r="K149">
        <v>6348</v>
      </c>
    </row>
    <row r="150" spans="1:11">
      <c r="A150" s="2" t="s">
        <v>22</v>
      </c>
      <c r="B150">
        <v>2.65</v>
      </c>
      <c r="D150" s="2" t="s">
        <v>17</v>
      </c>
      <c r="E150">
        <v>419</v>
      </c>
      <c r="G150" s="2" t="s">
        <v>28</v>
      </c>
      <c r="H150">
        <v>5.1829999999999998</v>
      </c>
      <c r="J150" s="2" t="s">
        <v>58</v>
      </c>
      <c r="K150">
        <v>3846</v>
      </c>
    </row>
    <row r="151" spans="1:11">
      <c r="A151" s="2" t="s">
        <v>18</v>
      </c>
      <c r="B151">
        <v>13.068</v>
      </c>
      <c r="D151" s="2" t="s">
        <v>46</v>
      </c>
      <c r="E151">
        <v>3141</v>
      </c>
      <c r="G151" s="2" t="s">
        <v>14</v>
      </c>
      <c r="H151">
        <v>8.9949999999999992</v>
      </c>
      <c r="J151" s="2" t="s">
        <v>4</v>
      </c>
      <c r="K151">
        <v>4125</v>
      </c>
    </row>
    <row r="152" spans="1:11">
      <c r="A152" s="1" t="s">
        <v>36</v>
      </c>
      <c r="B152">
        <v>158564</v>
      </c>
      <c r="D152" s="2" t="s">
        <v>43</v>
      </c>
      <c r="E152">
        <v>20800</v>
      </c>
      <c r="G152" s="2" t="s">
        <v>15</v>
      </c>
      <c r="H152">
        <v>2.899</v>
      </c>
      <c r="J152" s="2" t="s">
        <v>61</v>
      </c>
      <c r="K152">
        <v>4212</v>
      </c>
    </row>
    <row r="153" spans="1:11">
      <c r="A153" s="2" t="s">
        <v>9</v>
      </c>
      <c r="B153">
        <v>5957</v>
      </c>
      <c r="D153" s="2" t="s">
        <v>47</v>
      </c>
      <c r="E153">
        <v>40816</v>
      </c>
      <c r="G153" s="2" t="s">
        <v>3</v>
      </c>
      <c r="H153">
        <v>4.2359999999999998</v>
      </c>
      <c r="J153" s="2" t="s">
        <v>45</v>
      </c>
      <c r="K153">
        <v>4940</v>
      </c>
    </row>
    <row r="154" spans="1:11">
      <c r="A154" s="2" t="s">
        <v>21</v>
      </c>
      <c r="B154">
        <v>3046</v>
      </c>
      <c r="D154" s="2" t="s">
        <v>18</v>
      </c>
      <c r="E154">
        <v>15536</v>
      </c>
      <c r="G154" s="2" t="s">
        <v>4</v>
      </c>
      <c r="H154">
        <v>30.704000000000001</v>
      </c>
      <c r="J154" s="2" t="s">
        <v>33</v>
      </c>
      <c r="K154">
        <v>9625</v>
      </c>
    </row>
    <row r="155" spans="1:11">
      <c r="A155" s="2" t="s">
        <v>24</v>
      </c>
      <c r="B155">
        <v>6066</v>
      </c>
      <c r="D155" s="1" t="s">
        <v>37</v>
      </c>
      <c r="E155">
        <v>10639</v>
      </c>
      <c r="G155" s="2" t="s">
        <v>51</v>
      </c>
      <c r="H155">
        <v>2.242</v>
      </c>
      <c r="J155" s="2" t="s">
        <v>22</v>
      </c>
      <c r="K155">
        <v>6108</v>
      </c>
    </row>
    <row r="156" spans="1:11">
      <c r="A156" s="2" t="s">
        <v>10</v>
      </c>
      <c r="B156">
        <v>5816</v>
      </c>
      <c r="D156" s="2" t="s">
        <v>24</v>
      </c>
      <c r="E156">
        <v>148</v>
      </c>
      <c r="G156" s="2" t="s">
        <v>61</v>
      </c>
      <c r="H156">
        <v>18.643999999999998</v>
      </c>
      <c r="J156" s="2" t="s">
        <v>16</v>
      </c>
      <c r="K156">
        <v>3847</v>
      </c>
    </row>
    <row r="157" spans="1:11">
      <c r="A157" s="2" t="s">
        <v>25</v>
      </c>
      <c r="B157">
        <v>7361</v>
      </c>
      <c r="D157" s="2" t="s">
        <v>3</v>
      </c>
      <c r="E157">
        <v>1390</v>
      </c>
      <c r="G157" s="2" t="s">
        <v>45</v>
      </c>
      <c r="H157">
        <v>2.2109999999999999</v>
      </c>
      <c r="J157" s="2" t="s">
        <v>46</v>
      </c>
      <c r="K157">
        <v>3606</v>
      </c>
    </row>
    <row r="158" spans="1:11">
      <c r="A158" s="2" t="s">
        <v>11</v>
      </c>
      <c r="B158">
        <v>18954</v>
      </c>
      <c r="D158" s="2" t="s">
        <v>43</v>
      </c>
      <c r="E158">
        <v>317</v>
      </c>
      <c r="G158" s="2" t="s">
        <v>38</v>
      </c>
      <c r="H158">
        <v>10.084</v>
      </c>
      <c r="J158" s="2" t="s">
        <v>43</v>
      </c>
      <c r="K158">
        <v>21552</v>
      </c>
    </row>
    <row r="159" spans="1:11">
      <c r="A159" s="2" t="s">
        <v>12</v>
      </c>
      <c r="B159">
        <v>7866</v>
      </c>
      <c r="D159" s="2" t="s">
        <v>47</v>
      </c>
      <c r="E159">
        <v>650</v>
      </c>
      <c r="G159" s="2" t="s">
        <v>22</v>
      </c>
      <c r="H159">
        <v>11.907</v>
      </c>
      <c r="J159" s="2" t="s">
        <v>47</v>
      </c>
      <c r="K159">
        <v>45388</v>
      </c>
    </row>
    <row r="160" spans="1:11">
      <c r="A160" s="2" t="s">
        <v>13</v>
      </c>
      <c r="B160">
        <v>543</v>
      </c>
      <c r="D160" s="2" t="s">
        <v>5</v>
      </c>
      <c r="E160">
        <v>7320</v>
      </c>
      <c r="G160" s="2" t="s">
        <v>16</v>
      </c>
      <c r="H160">
        <v>33.399000000000001</v>
      </c>
      <c r="J160" s="2" t="s">
        <v>18</v>
      </c>
      <c r="K160">
        <v>20885</v>
      </c>
    </row>
    <row r="161" spans="1:11">
      <c r="A161" s="2" t="s">
        <v>28</v>
      </c>
      <c r="B161">
        <v>707</v>
      </c>
      <c r="D161" s="2" t="s">
        <v>6</v>
      </c>
      <c r="E161">
        <v>814</v>
      </c>
      <c r="G161" s="2" t="s">
        <v>46</v>
      </c>
      <c r="H161">
        <v>3.07</v>
      </c>
      <c r="J161" s="1" t="s">
        <v>37</v>
      </c>
      <c r="K161">
        <v>21444</v>
      </c>
    </row>
    <row r="162" spans="1:11">
      <c r="A162" s="2" t="s">
        <v>14</v>
      </c>
      <c r="B162">
        <v>60127</v>
      </c>
      <c r="D162" s="1" t="s">
        <v>39</v>
      </c>
      <c r="E162">
        <v>18252</v>
      </c>
      <c r="G162" s="2" t="s">
        <v>47</v>
      </c>
      <c r="H162">
        <v>13.367000000000001</v>
      </c>
      <c r="J162" s="2" t="s">
        <v>25</v>
      </c>
      <c r="K162">
        <v>2310</v>
      </c>
    </row>
    <row r="163" spans="1:11">
      <c r="A163" s="2" t="s">
        <v>15</v>
      </c>
      <c r="B163">
        <v>3288</v>
      </c>
      <c r="D163" s="2" t="s">
        <v>9</v>
      </c>
      <c r="E163">
        <v>4</v>
      </c>
      <c r="G163" s="2" t="s">
        <v>18</v>
      </c>
      <c r="H163">
        <v>13.811</v>
      </c>
      <c r="J163" s="2" t="s">
        <v>43</v>
      </c>
      <c r="K163">
        <v>1132</v>
      </c>
    </row>
    <row r="164" spans="1:11">
      <c r="A164" s="2" t="s">
        <v>29</v>
      </c>
      <c r="B164">
        <v>4090</v>
      </c>
      <c r="D164" s="2" t="s">
        <v>24</v>
      </c>
      <c r="E164">
        <v>203</v>
      </c>
      <c r="G164" s="1" t="s">
        <v>36</v>
      </c>
      <c r="H164">
        <v>307230</v>
      </c>
      <c r="J164" s="2" t="s">
        <v>5</v>
      </c>
      <c r="K164">
        <v>17491</v>
      </c>
    </row>
    <row r="165" spans="1:11">
      <c r="A165" s="2" t="s">
        <v>3</v>
      </c>
      <c r="B165">
        <v>5575</v>
      </c>
      <c r="D165" s="2" t="s">
        <v>44</v>
      </c>
      <c r="E165">
        <v>16</v>
      </c>
      <c r="G165" s="2" t="s">
        <v>9</v>
      </c>
      <c r="H165">
        <v>6573</v>
      </c>
      <c r="J165" s="2" t="s">
        <v>18</v>
      </c>
      <c r="K165">
        <v>511</v>
      </c>
    </row>
    <row r="166" spans="1:11">
      <c r="A166" s="2" t="s">
        <v>4</v>
      </c>
      <c r="B166">
        <v>3670</v>
      </c>
      <c r="D166" s="2" t="s">
        <v>14</v>
      </c>
      <c r="E166">
        <v>2076</v>
      </c>
      <c r="G166" s="2" t="s">
        <v>21</v>
      </c>
      <c r="H166">
        <v>4880</v>
      </c>
      <c r="J166" s="1" t="s">
        <v>39</v>
      </c>
      <c r="K166">
        <v>21468</v>
      </c>
    </row>
    <row r="167" spans="1:11">
      <c r="A167" s="2" t="s">
        <v>33</v>
      </c>
      <c r="B167">
        <v>6724</v>
      </c>
      <c r="D167" s="2" t="s">
        <v>15</v>
      </c>
      <c r="E167">
        <v>6</v>
      </c>
      <c r="G167" s="2" t="s">
        <v>24</v>
      </c>
      <c r="H167">
        <v>6196</v>
      </c>
      <c r="J167" s="2" t="s">
        <v>24</v>
      </c>
      <c r="K167">
        <v>217</v>
      </c>
    </row>
    <row r="168" spans="1:11">
      <c r="A168" s="2" t="s">
        <v>22</v>
      </c>
      <c r="B168">
        <v>1752</v>
      </c>
      <c r="D168" s="2" t="s">
        <v>3</v>
      </c>
      <c r="E168">
        <v>72</v>
      </c>
      <c r="G168" s="2" t="s">
        <v>25</v>
      </c>
      <c r="H168">
        <v>8780</v>
      </c>
      <c r="J168" s="2" t="s">
        <v>25</v>
      </c>
      <c r="K168">
        <v>2430</v>
      </c>
    </row>
    <row r="169" spans="1:11">
      <c r="A169" s="2" t="s">
        <v>18</v>
      </c>
      <c r="B169">
        <v>17022</v>
      </c>
      <c r="D169" s="2" t="s">
        <v>4</v>
      </c>
      <c r="E169">
        <v>432</v>
      </c>
      <c r="G169" s="2" t="s">
        <v>50</v>
      </c>
      <c r="H169">
        <v>59813</v>
      </c>
      <c r="J169" s="2" t="s">
        <v>14</v>
      </c>
      <c r="K169">
        <v>2355</v>
      </c>
    </row>
    <row r="170" spans="1:11">
      <c r="A170" s="1" t="s">
        <v>37</v>
      </c>
      <c r="B170">
        <v>11637</v>
      </c>
      <c r="D170" s="2" t="s">
        <v>45</v>
      </c>
      <c r="E170">
        <v>53</v>
      </c>
      <c r="G170" s="2" t="s">
        <v>12</v>
      </c>
      <c r="H170">
        <v>3289</v>
      </c>
      <c r="J170" s="2" t="s">
        <v>4</v>
      </c>
      <c r="K170">
        <v>494</v>
      </c>
    </row>
    <row r="171" spans="1:11">
      <c r="A171" s="2" t="s">
        <v>9</v>
      </c>
      <c r="B171">
        <v>51</v>
      </c>
      <c r="D171" s="2" t="s">
        <v>17</v>
      </c>
      <c r="E171">
        <v>4</v>
      </c>
      <c r="G171" s="2" t="s">
        <v>13</v>
      </c>
      <c r="H171">
        <v>403</v>
      </c>
      <c r="J171" s="2" t="s">
        <v>46</v>
      </c>
      <c r="K171">
        <v>78</v>
      </c>
    </row>
    <row r="172" spans="1:11">
      <c r="A172" s="2" t="s">
        <v>11</v>
      </c>
      <c r="B172">
        <v>1178</v>
      </c>
      <c r="D172" s="2" t="s">
        <v>46</v>
      </c>
      <c r="E172">
        <v>68</v>
      </c>
      <c r="G172" s="2" t="s">
        <v>26</v>
      </c>
      <c r="H172">
        <v>4262</v>
      </c>
      <c r="J172" s="2" t="s">
        <v>43</v>
      </c>
      <c r="K172">
        <v>707</v>
      </c>
    </row>
    <row r="173" spans="1:11">
      <c r="A173" s="2" t="s">
        <v>13</v>
      </c>
      <c r="B173">
        <v>2</v>
      </c>
      <c r="D173" s="2" t="s">
        <v>43</v>
      </c>
      <c r="E173">
        <v>339</v>
      </c>
      <c r="G173" s="2" t="s">
        <v>28</v>
      </c>
      <c r="H173">
        <v>727</v>
      </c>
      <c r="J173" s="2" t="s">
        <v>5</v>
      </c>
      <c r="K173">
        <v>14994</v>
      </c>
    </row>
    <row r="174" spans="1:11">
      <c r="A174" s="2" t="s">
        <v>3</v>
      </c>
      <c r="B174">
        <v>1251</v>
      </c>
      <c r="D174" s="2" t="s">
        <v>47</v>
      </c>
      <c r="E174">
        <v>550</v>
      </c>
      <c r="G174" s="2" t="s">
        <v>14</v>
      </c>
      <c r="H174">
        <v>40292</v>
      </c>
      <c r="J174" s="2" t="s">
        <v>18</v>
      </c>
      <c r="K174">
        <v>193</v>
      </c>
    </row>
    <row r="175" spans="1:11">
      <c r="A175" s="2" t="s">
        <v>4</v>
      </c>
      <c r="B175">
        <v>966</v>
      </c>
      <c r="D175" s="2" t="s">
        <v>5</v>
      </c>
      <c r="E175">
        <v>13642</v>
      </c>
      <c r="G175" s="2" t="s">
        <v>15</v>
      </c>
      <c r="H175">
        <v>3438</v>
      </c>
      <c r="J175" s="1" t="s">
        <v>40</v>
      </c>
      <c r="K175">
        <v>8.588000000000001</v>
      </c>
    </row>
    <row r="176" spans="1:11">
      <c r="A176" s="2" t="s">
        <v>38</v>
      </c>
      <c r="B176">
        <v>1645</v>
      </c>
      <c r="D176" s="2" t="s">
        <v>6</v>
      </c>
      <c r="E176">
        <v>409</v>
      </c>
      <c r="G176" s="2" t="s">
        <v>3</v>
      </c>
      <c r="H176">
        <v>6432</v>
      </c>
      <c r="J176" s="2" t="s">
        <v>24</v>
      </c>
      <c r="K176">
        <v>0.11899999999999999</v>
      </c>
    </row>
    <row r="177" spans="1:11">
      <c r="A177" s="2" t="s">
        <v>5</v>
      </c>
      <c r="B177">
        <v>5822</v>
      </c>
      <c r="D177" s="2" t="s">
        <v>18</v>
      </c>
      <c r="E177">
        <v>378</v>
      </c>
      <c r="G177" s="2" t="s">
        <v>4</v>
      </c>
      <c r="H177">
        <v>3963</v>
      </c>
      <c r="J177" s="2" t="s">
        <v>25</v>
      </c>
      <c r="K177">
        <v>1.0569999999999999</v>
      </c>
    </row>
    <row r="178" spans="1:11">
      <c r="A178" s="2" t="s">
        <v>6</v>
      </c>
      <c r="B178">
        <v>722</v>
      </c>
      <c r="D178" s="1" t="s">
        <v>40</v>
      </c>
      <c r="E178">
        <v>8.0790000000000006</v>
      </c>
      <c r="G178" s="2" t="s">
        <v>51</v>
      </c>
      <c r="H178">
        <v>3545</v>
      </c>
      <c r="J178" s="2" t="s">
        <v>14</v>
      </c>
      <c r="K178">
        <v>0.51400000000000001</v>
      </c>
    </row>
    <row r="179" spans="1:11">
      <c r="A179" s="1" t="s">
        <v>39</v>
      </c>
      <c r="B179">
        <v>30357</v>
      </c>
      <c r="D179" s="2" t="s">
        <v>9</v>
      </c>
      <c r="E179">
        <v>4.0000000000000001E-3</v>
      </c>
      <c r="G179" s="2" t="s">
        <v>61</v>
      </c>
      <c r="H179">
        <v>4110</v>
      </c>
      <c r="J179" s="2" t="s">
        <v>4</v>
      </c>
      <c r="K179">
        <v>3.823</v>
      </c>
    </row>
    <row r="180" spans="1:11">
      <c r="A180" s="2" t="s">
        <v>9</v>
      </c>
      <c r="B180">
        <v>23</v>
      </c>
      <c r="D180" s="2" t="s">
        <v>24</v>
      </c>
      <c r="E180">
        <v>0.11899999999999999</v>
      </c>
      <c r="G180" s="2" t="s">
        <v>45</v>
      </c>
      <c r="H180">
        <v>3289</v>
      </c>
      <c r="J180" s="2" t="s">
        <v>46</v>
      </c>
      <c r="K180">
        <v>5.7000000000000002E-2</v>
      </c>
    </row>
    <row r="181" spans="1:11">
      <c r="A181" s="2" t="s">
        <v>21</v>
      </c>
      <c r="B181">
        <v>15</v>
      </c>
      <c r="D181" s="2" t="s">
        <v>44</v>
      </c>
      <c r="E181">
        <v>0.23400000000000001</v>
      </c>
      <c r="G181" s="2" t="s">
        <v>38</v>
      </c>
      <c r="H181">
        <v>74920</v>
      </c>
      <c r="J181" s="2" t="s">
        <v>43</v>
      </c>
      <c r="K181">
        <v>0.13900000000000001</v>
      </c>
    </row>
    <row r="182" spans="1:11">
      <c r="A182" s="2" t="s">
        <v>24</v>
      </c>
      <c r="B182">
        <v>223</v>
      </c>
      <c r="D182" s="2" t="s">
        <v>14</v>
      </c>
      <c r="E182">
        <v>0.47499999999999998</v>
      </c>
      <c r="G182" s="2" t="s">
        <v>22</v>
      </c>
      <c r="H182">
        <v>6106</v>
      </c>
      <c r="J182" s="2" t="s">
        <v>5</v>
      </c>
      <c r="K182">
        <v>2.74</v>
      </c>
    </row>
    <row r="183" spans="1:11">
      <c r="A183" s="2" t="s">
        <v>10</v>
      </c>
      <c r="B183">
        <v>430</v>
      </c>
      <c r="D183" s="2" t="s">
        <v>15</v>
      </c>
      <c r="E183">
        <v>3.0000000000000001E-3</v>
      </c>
      <c r="G183" s="2" t="s">
        <v>16</v>
      </c>
      <c r="H183">
        <v>3735</v>
      </c>
      <c r="J183" s="2" t="s">
        <v>18</v>
      </c>
      <c r="K183">
        <v>0.13900000000000001</v>
      </c>
    </row>
    <row r="184" spans="1:11">
      <c r="A184" s="2" t="s">
        <v>11</v>
      </c>
      <c r="B184">
        <v>162</v>
      </c>
      <c r="D184" s="2" t="s">
        <v>3</v>
      </c>
      <c r="E184">
        <v>2.9000000000000001E-2</v>
      </c>
      <c r="G184" s="2" t="s">
        <v>46</v>
      </c>
      <c r="H184">
        <v>3606</v>
      </c>
      <c r="J184" s="1" t="s">
        <v>41</v>
      </c>
      <c r="K184">
        <v>1383</v>
      </c>
    </row>
    <row r="185" spans="1:11">
      <c r="A185" s="2" t="s">
        <v>12</v>
      </c>
      <c r="B185">
        <v>250</v>
      </c>
      <c r="D185" s="2" t="s">
        <v>4</v>
      </c>
      <c r="E185">
        <v>3.3519999999999999</v>
      </c>
      <c r="G185" s="2" t="s">
        <v>47</v>
      </c>
      <c r="H185">
        <v>40149</v>
      </c>
      <c r="J185" s="2" t="s">
        <v>9</v>
      </c>
      <c r="K185">
        <v>53</v>
      </c>
    </row>
    <row r="186" spans="1:11">
      <c r="A186" s="2" t="s">
        <v>13</v>
      </c>
      <c r="B186">
        <v>3</v>
      </c>
      <c r="D186" s="2" t="s">
        <v>45</v>
      </c>
      <c r="E186">
        <v>0.03</v>
      </c>
      <c r="G186" s="2" t="s">
        <v>18</v>
      </c>
      <c r="H186">
        <v>18722</v>
      </c>
      <c r="J186" s="2" t="s">
        <v>33</v>
      </c>
      <c r="K186">
        <v>174</v>
      </c>
    </row>
    <row r="187" spans="1:11">
      <c r="A187" s="2" t="s">
        <v>15</v>
      </c>
      <c r="B187">
        <v>5</v>
      </c>
      <c r="D187" s="2" t="s">
        <v>17</v>
      </c>
      <c r="E187">
        <v>0.42</v>
      </c>
      <c r="G187" s="1" t="s">
        <v>37</v>
      </c>
      <c r="H187">
        <v>2529</v>
      </c>
      <c r="J187" s="2" t="s">
        <v>43</v>
      </c>
      <c r="K187">
        <v>929</v>
      </c>
    </row>
    <row r="188" spans="1:11">
      <c r="A188" s="2" t="s">
        <v>3</v>
      </c>
      <c r="B188">
        <v>56</v>
      </c>
      <c r="D188" s="2" t="s">
        <v>46</v>
      </c>
      <c r="E188">
        <v>5.2999999999999999E-2</v>
      </c>
      <c r="G188" s="2" t="s">
        <v>21</v>
      </c>
      <c r="H188">
        <v>770</v>
      </c>
      <c r="J188" s="2" t="s">
        <v>18</v>
      </c>
      <c r="K188">
        <v>227</v>
      </c>
    </row>
    <row r="189" spans="1:11">
      <c r="A189" s="2" t="s">
        <v>4</v>
      </c>
      <c r="B189">
        <v>408</v>
      </c>
      <c r="D189" s="2" t="s">
        <v>43</v>
      </c>
      <c r="E189">
        <v>7.0999999999999994E-2</v>
      </c>
      <c r="G189" s="2" t="s">
        <v>3</v>
      </c>
      <c r="H189">
        <v>1388</v>
      </c>
    </row>
    <row r="190" spans="1:11">
      <c r="A190" s="2" t="s">
        <v>38</v>
      </c>
      <c r="B190">
        <v>15377</v>
      </c>
      <c r="D190" s="2" t="s">
        <v>47</v>
      </c>
      <c r="E190">
        <v>0.16</v>
      </c>
      <c r="G190" s="2" t="s">
        <v>49</v>
      </c>
      <c r="H190">
        <v>371</v>
      </c>
    </row>
    <row r="191" spans="1:11">
      <c r="A191" s="2" t="s">
        <v>22</v>
      </c>
      <c r="B191">
        <v>197</v>
      </c>
      <c r="D191" s="2" t="s">
        <v>5</v>
      </c>
      <c r="E191">
        <v>2.5670000000000002</v>
      </c>
      <c r="G191" s="1" t="s">
        <v>39</v>
      </c>
      <c r="H191">
        <v>3942</v>
      </c>
    </row>
    <row r="192" spans="1:11">
      <c r="A192" s="2" t="s">
        <v>16</v>
      </c>
      <c r="B192">
        <v>30</v>
      </c>
      <c r="D192" s="2" t="s">
        <v>6</v>
      </c>
      <c r="E192">
        <v>0.27700000000000002</v>
      </c>
      <c r="G192" s="2" t="s">
        <v>24</v>
      </c>
      <c r="H192">
        <v>207</v>
      </c>
    </row>
    <row r="193" spans="1:8">
      <c r="A193" s="2" t="s">
        <v>17</v>
      </c>
      <c r="B193">
        <v>5</v>
      </c>
      <c r="D193" s="2" t="s">
        <v>18</v>
      </c>
      <c r="E193">
        <v>0.28499999999999998</v>
      </c>
      <c r="G193" s="2" t="s">
        <v>50</v>
      </c>
      <c r="H193">
        <v>283</v>
      </c>
    </row>
    <row r="194" spans="1:8">
      <c r="A194" s="2" t="s">
        <v>5</v>
      </c>
      <c r="B194">
        <v>12813</v>
      </c>
      <c r="D194" s="1" t="s">
        <v>41</v>
      </c>
      <c r="E194">
        <v>23</v>
      </c>
      <c r="G194" s="2" t="s">
        <v>14</v>
      </c>
      <c r="H194">
        <v>2202</v>
      </c>
    </row>
    <row r="195" spans="1:8">
      <c r="A195" s="2" t="s">
        <v>6</v>
      </c>
      <c r="B195">
        <v>360</v>
      </c>
      <c r="D195" s="2" t="s">
        <v>9</v>
      </c>
      <c r="E195">
        <v>23</v>
      </c>
      <c r="G195" s="2" t="s">
        <v>3</v>
      </c>
      <c r="H195">
        <v>103</v>
      </c>
    </row>
    <row r="196" spans="1:8">
      <c r="A196" s="1" t="s">
        <v>40</v>
      </c>
      <c r="B196">
        <v>10.793000000000001</v>
      </c>
      <c r="G196" s="2" t="s">
        <v>4</v>
      </c>
      <c r="H196">
        <v>460</v>
      </c>
    </row>
    <row r="197" spans="1:8">
      <c r="A197" s="2" t="s">
        <v>9</v>
      </c>
      <c r="B197">
        <v>2.4E-2</v>
      </c>
      <c r="G197" s="2" t="s">
        <v>51</v>
      </c>
      <c r="H197">
        <v>170</v>
      </c>
    </row>
    <row r="198" spans="1:8">
      <c r="A198" s="2" t="s">
        <v>21</v>
      </c>
      <c r="B198">
        <v>1.4999999999999999E-2</v>
      </c>
      <c r="G198" s="2" t="s">
        <v>45</v>
      </c>
      <c r="H198">
        <v>51</v>
      </c>
    </row>
    <row r="199" spans="1:8">
      <c r="A199" s="2" t="s">
        <v>24</v>
      </c>
      <c r="B199">
        <v>0.13400000000000001</v>
      </c>
      <c r="G199" s="2" t="s">
        <v>46</v>
      </c>
      <c r="H199">
        <v>72</v>
      </c>
    </row>
    <row r="200" spans="1:8">
      <c r="A200" s="2" t="s">
        <v>10</v>
      </c>
      <c r="B200">
        <v>2.0150000000000001</v>
      </c>
      <c r="G200" s="2" t="s">
        <v>18</v>
      </c>
      <c r="H200">
        <v>394</v>
      </c>
    </row>
    <row r="201" spans="1:8">
      <c r="A201" s="2" t="s">
        <v>11</v>
      </c>
      <c r="B201">
        <v>7.9000000000000001E-2</v>
      </c>
      <c r="G201" s="1" t="s">
        <v>40</v>
      </c>
      <c r="H201">
        <v>4.7310000000000008</v>
      </c>
    </row>
    <row r="202" spans="1:8">
      <c r="A202" s="2" t="s">
        <v>12</v>
      </c>
      <c r="B202">
        <v>0.54500000000000004</v>
      </c>
      <c r="G202" s="2" t="s">
        <v>24</v>
      </c>
      <c r="H202">
        <v>0.11700000000000001</v>
      </c>
    </row>
    <row r="203" spans="1:8">
      <c r="A203" s="2" t="s">
        <v>13</v>
      </c>
      <c r="B203">
        <v>5.7000000000000002E-2</v>
      </c>
      <c r="G203" s="2" t="s">
        <v>50</v>
      </c>
      <c r="H203">
        <v>3.9E-2</v>
      </c>
    </row>
    <row r="204" spans="1:8">
      <c r="A204" s="2" t="s">
        <v>15</v>
      </c>
      <c r="B204">
        <v>2E-3</v>
      </c>
      <c r="G204" s="2" t="s">
        <v>14</v>
      </c>
      <c r="H204">
        <v>0.49199999999999999</v>
      </c>
    </row>
    <row r="205" spans="1:8">
      <c r="A205" s="2" t="s">
        <v>3</v>
      </c>
      <c r="B205">
        <v>2.4E-2</v>
      </c>
      <c r="G205" s="2" t="s">
        <v>3</v>
      </c>
      <c r="H205">
        <v>4.1000000000000002E-2</v>
      </c>
    </row>
    <row r="206" spans="1:8">
      <c r="A206" s="2" t="s">
        <v>4</v>
      </c>
      <c r="B206">
        <v>3.1720000000000002</v>
      </c>
      <c r="G206" s="2" t="s">
        <v>4</v>
      </c>
      <c r="H206">
        <v>3.5640000000000001</v>
      </c>
    </row>
    <row r="207" spans="1:8">
      <c r="A207" s="2" t="s">
        <v>38</v>
      </c>
      <c r="B207">
        <v>0.92900000000000005</v>
      </c>
      <c r="G207" s="2" t="s">
        <v>51</v>
      </c>
      <c r="H207">
        <v>0.106</v>
      </c>
    </row>
    <row r="208" spans="1:8">
      <c r="A208" s="2" t="s">
        <v>22</v>
      </c>
      <c r="B208">
        <v>0.29799999999999999</v>
      </c>
      <c r="G208" s="2" t="s">
        <v>45</v>
      </c>
      <c r="H208">
        <v>2.7E-2</v>
      </c>
    </row>
    <row r="209" spans="1:8">
      <c r="A209" s="2" t="s">
        <v>16</v>
      </c>
      <c r="B209">
        <v>0.27100000000000002</v>
      </c>
      <c r="G209" s="2" t="s">
        <v>46</v>
      </c>
      <c r="H209">
        <v>5.3999999999999999E-2</v>
      </c>
    </row>
    <row r="210" spans="1:8">
      <c r="A210" s="2" t="s">
        <v>17</v>
      </c>
      <c r="B210">
        <v>0.53300000000000003</v>
      </c>
      <c r="G210" s="2" t="s">
        <v>18</v>
      </c>
      <c r="H210">
        <v>0.29099999999999998</v>
      </c>
    </row>
    <row r="211" spans="1:8">
      <c r="A211" s="2" t="s">
        <v>5</v>
      </c>
      <c r="B211">
        <v>2.4430000000000001</v>
      </c>
      <c r="G211" s="1" t="s">
        <v>41</v>
      </c>
      <c r="H211">
        <v>1090</v>
      </c>
    </row>
    <row r="212" spans="1:8">
      <c r="A212" s="2" t="s">
        <v>6</v>
      </c>
      <c r="B212">
        <v>0.252</v>
      </c>
      <c r="G212" s="2" t="s">
        <v>9</v>
      </c>
      <c r="H212">
        <v>68</v>
      </c>
    </row>
    <row r="213" spans="1:8">
      <c r="A213" s="1" t="s">
        <v>41</v>
      </c>
      <c r="B213">
        <v>1137</v>
      </c>
      <c r="G213" s="2" t="s">
        <v>15</v>
      </c>
      <c r="H213">
        <v>495</v>
      </c>
    </row>
    <row r="214" spans="1:8">
      <c r="A214" s="2" t="s">
        <v>9</v>
      </c>
      <c r="B214">
        <v>40</v>
      </c>
      <c r="G214" s="2" t="s">
        <v>51</v>
      </c>
      <c r="H214">
        <v>32</v>
      </c>
    </row>
    <row r="215" spans="1:8">
      <c r="A215" s="2" t="s">
        <v>21</v>
      </c>
      <c r="B215">
        <v>389</v>
      </c>
      <c r="G215" s="2" t="s">
        <v>33</v>
      </c>
      <c r="H215">
        <v>495</v>
      </c>
    </row>
    <row r="216" spans="1:8">
      <c r="A216" s="2" t="s">
        <v>11</v>
      </c>
      <c r="B216">
        <v>422</v>
      </c>
      <c r="G216" s="1" t="s">
        <v>42</v>
      </c>
      <c r="H216">
        <v>1121473.0090000001</v>
      </c>
    </row>
    <row r="217" spans="1:8">
      <c r="A217" s="2" t="s">
        <v>12</v>
      </c>
      <c r="B217">
        <v>200</v>
      </c>
    </row>
    <row r="218" spans="1:8">
      <c r="A218" s="2" t="s">
        <v>22</v>
      </c>
      <c r="B218">
        <v>86</v>
      </c>
    </row>
    <row r="219" spans="1:8">
      <c r="A219" s="1" t="s">
        <v>42</v>
      </c>
      <c r="B219">
        <v>455664.77100000001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C14B-6FD9-4634-96EB-038CD650536F}">
  <dimension ref="A1:F48"/>
  <sheetViews>
    <sheetView workbookViewId="0">
      <selection activeCell="B2" sqref="B2"/>
    </sheetView>
  </sheetViews>
  <sheetFormatPr defaultRowHeight="14.5"/>
  <cols>
    <col min="3" max="3" width="14.08984375" bestFit="1" customWidth="1"/>
  </cols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 s="3" t="s">
        <v>52</v>
      </c>
      <c r="B2" t="e">
        <f>VLOOKUP(A2,Sheet1!G410:H418,2,FALSE)</f>
        <v>#N/A</v>
      </c>
    </row>
    <row r="3" spans="1:6">
      <c r="A3" s="3" t="s">
        <v>9</v>
      </c>
      <c r="B3" t="e">
        <f>VLOOKUP(A3,Sheet1!G411:H419,2,FALSE)</f>
        <v>#N/A</v>
      </c>
    </row>
    <row r="4" spans="1:6">
      <c r="A4" s="3" t="s">
        <v>21</v>
      </c>
      <c r="B4" t="e">
        <f>VLOOKUP(A4,Sheet1!G412:H420,2,FALSE)</f>
        <v>#N/A</v>
      </c>
    </row>
    <row r="5" spans="1:6">
      <c r="A5" s="3" t="s">
        <v>24</v>
      </c>
      <c r="B5" t="e">
        <f>VLOOKUP(A5,Sheet1!G413:H421,2,FALSE)</f>
        <v>#N/A</v>
      </c>
    </row>
    <row r="6" spans="1:6">
      <c r="A6" s="3" t="s">
        <v>10</v>
      </c>
      <c r="B6" t="e">
        <f>VLOOKUP(A6,Sheet1!G414:H422,2,FALSE)</f>
        <v>#N/A</v>
      </c>
    </row>
    <row r="7" spans="1:6">
      <c r="A7" s="3" t="s">
        <v>53</v>
      </c>
      <c r="B7" t="e">
        <f>VLOOKUP(A7,Sheet1!G415:H423,2,FALSE)</f>
        <v>#N/A</v>
      </c>
    </row>
    <row r="8" spans="1:6">
      <c r="A8" s="3" t="s">
        <v>25</v>
      </c>
      <c r="B8" t="e">
        <f>VLOOKUP(A8,Sheet1!G416:H424,2,FALSE)</f>
        <v>#N/A</v>
      </c>
    </row>
    <row r="9" spans="1:6">
      <c r="A9" s="3" t="s">
        <v>11</v>
      </c>
      <c r="B9" t="e">
        <f>VLOOKUP(A9,Sheet1!G417:H425,2,FALSE)</f>
        <v>#N/A</v>
      </c>
    </row>
    <row r="10" spans="1:6">
      <c r="A10" s="3" t="s">
        <v>50</v>
      </c>
      <c r="B10" t="e">
        <f>VLOOKUP(A10,Sheet1!G418:H426,2,FALSE)</f>
        <v>#N/A</v>
      </c>
    </row>
    <row r="11" spans="1:6">
      <c r="A11" s="3" t="s">
        <v>12</v>
      </c>
      <c r="B11" t="e">
        <f>VLOOKUP(A11,Sheet1!G419:H427,2,FALSE)</f>
        <v>#N/A</v>
      </c>
    </row>
    <row r="12" spans="1:6">
      <c r="A12" s="3" t="s">
        <v>44</v>
      </c>
      <c r="B12" t="e">
        <f>VLOOKUP(A12,Sheet1!G420:H428,2,FALSE)</f>
        <v>#N/A</v>
      </c>
    </row>
    <row r="13" spans="1:6">
      <c r="A13" s="3" t="s">
        <v>13</v>
      </c>
      <c r="B13" t="e">
        <f>VLOOKUP(A13,Sheet1!G421:H429,2,FALSE)</f>
        <v>#N/A</v>
      </c>
    </row>
    <row r="14" spans="1:6">
      <c r="A14" s="3" t="s">
        <v>62</v>
      </c>
      <c r="B14" t="e">
        <f>VLOOKUP(A14,Sheet1!G422:H430,2,FALSE)</f>
        <v>#N/A</v>
      </c>
    </row>
    <row r="15" spans="1:6">
      <c r="A15" s="3" t="s">
        <v>26</v>
      </c>
      <c r="B15" t="e">
        <f>VLOOKUP(A15,Sheet1!G423:H431,2,FALSE)</f>
        <v>#N/A</v>
      </c>
    </row>
    <row r="16" spans="1:6">
      <c r="A16" s="3" t="s">
        <v>63</v>
      </c>
      <c r="B16" t="e">
        <f>VLOOKUP(A16,Sheet1!G424:H432,2,FALSE)</f>
        <v>#N/A</v>
      </c>
    </row>
    <row r="17" spans="1:2">
      <c r="A17" s="3" t="s">
        <v>55</v>
      </c>
      <c r="B17" t="e">
        <f>VLOOKUP(A17,Sheet1!G425:H433,2,FALSE)</f>
        <v>#N/A</v>
      </c>
    </row>
    <row r="18" spans="1:2">
      <c r="A18" s="3" t="s">
        <v>27</v>
      </c>
      <c r="B18" t="e">
        <f>VLOOKUP(A18,Sheet1!G426:H434,2,FALSE)</f>
        <v>#N/A</v>
      </c>
    </row>
    <row r="19" spans="1:2">
      <c r="A19" s="3" t="s">
        <v>56</v>
      </c>
      <c r="B19" t="e">
        <f>VLOOKUP(A19,Sheet1!G427:H435,2,FALSE)</f>
        <v>#N/A</v>
      </c>
    </row>
    <row r="20" spans="1:2">
      <c r="A20" s="3" t="s">
        <v>48</v>
      </c>
      <c r="B20" t="e">
        <f>VLOOKUP(A20,Sheet1!G428:H436,2,FALSE)</f>
        <v>#N/A</v>
      </c>
    </row>
    <row r="21" spans="1:2">
      <c r="A21" s="3" t="s">
        <v>28</v>
      </c>
      <c r="B21" t="e">
        <f>VLOOKUP(A21,Sheet1!G429:H437,2,FALSE)</f>
        <v>#N/A</v>
      </c>
    </row>
    <row r="22" spans="1:2">
      <c r="A22" s="3" t="s">
        <v>64</v>
      </c>
      <c r="B22" t="e">
        <f>VLOOKUP(A22,Sheet1!G430:H438,2,FALSE)</f>
        <v>#N/A</v>
      </c>
    </row>
    <row r="23" spans="1:2">
      <c r="A23" s="3" t="s">
        <v>14</v>
      </c>
      <c r="B23" t="e">
        <f>VLOOKUP(A23,Sheet1!G431:H439,2,FALSE)</f>
        <v>#N/A</v>
      </c>
    </row>
    <row r="24" spans="1:2">
      <c r="A24" s="3" t="s">
        <v>57</v>
      </c>
      <c r="B24" t="e">
        <f>VLOOKUP(A24,Sheet1!G432:H440,2,FALSE)</f>
        <v>#N/A</v>
      </c>
    </row>
    <row r="25" spans="1:2">
      <c r="A25" s="3" t="s">
        <v>65</v>
      </c>
      <c r="B25" t="e">
        <f>VLOOKUP(A25,Sheet1!G433:H441,2,FALSE)</f>
        <v>#N/A</v>
      </c>
    </row>
    <row r="26" spans="1:2">
      <c r="A26" s="3" t="s">
        <v>15</v>
      </c>
      <c r="B26" t="e">
        <f>VLOOKUP(A26,Sheet1!G434:H442,2,FALSE)</f>
        <v>#N/A</v>
      </c>
    </row>
    <row r="27" spans="1:2">
      <c r="A27" s="3" t="s">
        <v>29</v>
      </c>
      <c r="B27" t="e">
        <f>VLOOKUP(A27,Sheet1!G435:H443,2,FALSE)</f>
        <v>#N/A</v>
      </c>
    </row>
    <row r="28" spans="1:2">
      <c r="A28" s="3" t="s">
        <v>3</v>
      </c>
      <c r="B28" t="e">
        <f>VLOOKUP(A28,Sheet1!G436:H444,2,FALSE)</f>
        <v>#N/A</v>
      </c>
    </row>
    <row r="29" spans="1:2">
      <c r="A29" s="3" t="s">
        <v>58</v>
      </c>
      <c r="B29" t="e">
        <f>VLOOKUP(A29,Sheet1!G437:H445,2,FALSE)</f>
        <v>#N/A</v>
      </c>
    </row>
    <row r="30" spans="1:2">
      <c r="A30" s="3" t="s">
        <v>4</v>
      </c>
      <c r="B30" t="e">
        <f>VLOOKUP(A30,Sheet1!G438:H446,2,FALSE)</f>
        <v>#N/A</v>
      </c>
    </row>
    <row r="31" spans="1:2">
      <c r="A31" s="3" t="s">
        <v>51</v>
      </c>
      <c r="B31" t="e">
        <f>VLOOKUP(A31,Sheet1!G439:H447,2,FALSE)</f>
        <v>#N/A</v>
      </c>
    </row>
    <row r="32" spans="1:2">
      <c r="A32" s="3" t="s">
        <v>61</v>
      </c>
      <c r="B32" t="e">
        <f>VLOOKUP(A32,Sheet1!G440:H448,2,FALSE)</f>
        <v>#N/A</v>
      </c>
    </row>
    <row r="33" spans="1:2">
      <c r="A33" s="3" t="s">
        <v>45</v>
      </c>
      <c r="B33" t="e">
        <f>VLOOKUP(A33,Sheet1!G441:H449,2,FALSE)</f>
        <v>#N/A</v>
      </c>
    </row>
    <row r="34" spans="1:2">
      <c r="A34" s="3" t="s">
        <v>38</v>
      </c>
      <c r="B34" t="e">
        <f>VLOOKUP(A34,Sheet1!G442:H450,2,FALSE)</f>
        <v>#N/A</v>
      </c>
    </row>
    <row r="35" spans="1:2">
      <c r="A35" s="3" t="s">
        <v>33</v>
      </c>
      <c r="B35" t="e">
        <f>VLOOKUP(A35,Sheet1!G443:H451,2,FALSE)</f>
        <v>#N/A</v>
      </c>
    </row>
    <row r="36" spans="1:2">
      <c r="A36" s="3" t="s">
        <v>49</v>
      </c>
      <c r="B36" t="e">
        <f>VLOOKUP(A36,Sheet1!G444:H452,2,FALSE)</f>
        <v>#N/A</v>
      </c>
    </row>
    <row r="37" spans="1:2">
      <c r="A37" s="3" t="s">
        <v>22</v>
      </c>
      <c r="B37" t="e">
        <f>VLOOKUP(A37,Sheet1!G445:H453,2,FALSE)</f>
        <v>#N/A</v>
      </c>
    </row>
    <row r="38" spans="1:2">
      <c r="A38" s="3" t="s">
        <v>66</v>
      </c>
      <c r="B38" t="e">
        <f>VLOOKUP(A38,Sheet1!G446:H454,2,FALSE)</f>
        <v>#N/A</v>
      </c>
    </row>
    <row r="39" spans="1:2">
      <c r="A39" s="3" t="s">
        <v>59</v>
      </c>
      <c r="B39" t="e">
        <f>VLOOKUP(A39,Sheet1!G447:H455,2,FALSE)</f>
        <v>#N/A</v>
      </c>
    </row>
    <row r="40" spans="1:2">
      <c r="A40" s="3" t="s">
        <v>16</v>
      </c>
      <c r="B40" t="e">
        <f>VLOOKUP(A40,Sheet1!G448:H456,2,FALSE)</f>
        <v>#N/A</v>
      </c>
    </row>
    <row r="41" spans="1:2">
      <c r="A41" s="3" t="s">
        <v>17</v>
      </c>
      <c r="B41" t="e">
        <f>VLOOKUP(A41,Sheet1!G449:H457,2,FALSE)</f>
        <v>#N/A</v>
      </c>
    </row>
    <row r="42" spans="1:2">
      <c r="A42" s="3" t="s">
        <v>46</v>
      </c>
      <c r="B42" t="e">
        <f>VLOOKUP(A42,Sheet1!G450:H458,2,FALSE)</f>
        <v>#N/A</v>
      </c>
    </row>
    <row r="43" spans="1:2">
      <c r="A43" s="3" t="s">
        <v>60</v>
      </c>
      <c r="B43" t="e">
        <f>VLOOKUP(A43,Sheet1!G451:H459,2,FALSE)</f>
        <v>#N/A</v>
      </c>
    </row>
    <row r="44" spans="1:2">
      <c r="A44" s="3" t="s">
        <v>43</v>
      </c>
      <c r="B44" t="e">
        <f>VLOOKUP(A44,Sheet1!G452:H460,2,FALSE)</f>
        <v>#N/A</v>
      </c>
    </row>
    <row r="45" spans="1:2">
      <c r="A45" s="3" t="s">
        <v>47</v>
      </c>
      <c r="B45" t="e">
        <f>VLOOKUP(A45,Sheet1!G453:H461,2,FALSE)</f>
        <v>#N/A</v>
      </c>
    </row>
    <row r="46" spans="1:2">
      <c r="A46" s="3" t="s">
        <v>5</v>
      </c>
      <c r="B46" t="e">
        <f>VLOOKUP(A46,Sheet1!G454:H462,2,FALSE)</f>
        <v>#N/A</v>
      </c>
    </row>
    <row r="47" spans="1:2">
      <c r="A47" s="3" t="s">
        <v>6</v>
      </c>
      <c r="B47" t="e">
        <f>VLOOKUP(A47,Sheet1!G455:H463,2,FALSE)</f>
        <v>#N/A</v>
      </c>
    </row>
    <row r="48" spans="1:2">
      <c r="A48" s="3" t="s">
        <v>18</v>
      </c>
      <c r="B48" t="e">
        <f>VLOOKUP(A48,Sheet1!G456:H464,2,FALSE)</f>
        <v>#N/A</v>
      </c>
    </row>
  </sheetData>
  <autoFilter ref="A1:F48" xr:uid="{92EEC14B-6FD9-4634-96EB-038CD65053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2024-02-12T08:36:50Z</dcterms:created>
  <dcterms:modified xsi:type="dcterms:W3CDTF">2024-02-12T12:48:12Z</dcterms:modified>
</cp:coreProperties>
</file>