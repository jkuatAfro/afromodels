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Mapping\"/>
    </mc:Choice>
  </mc:AlternateContent>
  <xr:revisionPtr revIDLastSave="0" documentId="8_{678DBD79-29F0-4008-96D2-A2DECA54C576}" xr6:coauthVersionLast="47" xr6:coauthVersionMax="47" xr10:uidLastSave="{00000000-0000-0000-0000-000000000000}"/>
  <bookViews>
    <workbookView xWindow="-110" yWindow="-110" windowWidth="19420" windowHeight="10300" xr2:uid="{DBE6EC53-E42B-4499-838D-152297B7C7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" i="1"/>
</calcChain>
</file>

<file path=xl/sharedStrings.xml><?xml version="1.0" encoding="utf-8"?>
<sst xmlns="http://schemas.openxmlformats.org/spreadsheetml/2006/main" count="110" uniqueCount="62">
  <si>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</si>
  <si>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</si>
  <si>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</si>
  <si>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</si>
  <si>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</si>
  <si>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</si>
  <si>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</si>
  <si>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</si>
  <si>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</si>
  <si>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</si>
  <si>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</si>
  <si>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</si>
  <si>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</si>
  <si>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</si>
  <si>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</si>
  <si>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</si>
  <si>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</si>
  <si>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</si>
  <si>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</si>
  <si>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</si>
  <si>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</si>
  <si>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</si>
  <si>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</si>
  <si>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</si>
  <si>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</si>
  <si>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</si>
  <si>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</si>
  <si>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</si>
  <si>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</si>
  <si>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</si>
  <si>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</si>
  <si>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</si>
  <si>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</si>
  <si>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</si>
  <si>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</si>
  <si>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</si>
  <si>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</si>
  <si>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</si>
  <si>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</si>
  <si>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</si>
  <si>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</si>
  <si>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</si>
  <si>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</si>
  <si>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</si>
  <si>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</si>
  <si>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</si>
  <si>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</si>
  <si>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Doctors stock 2022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</si>
  <si>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</si>
  <si>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</si>
  <si>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</si>
  <si>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</si>
  <si>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</si>
  <si>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</si>
  <si>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</si>
  <si>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</si>
  <si>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</si>
  <si>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</si>
  <si>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</si>
  <si>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Total</t>
  </si>
  <si>
    <t>Cabo Verde</t>
  </si>
  <si>
    <t>Doctors graduates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</si>
</sst>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29DF-BFB0-4D75-BA10-F5240BA75D02}">
  <dimension ref="A1:E48"/>
  <sheetViews>
    <sheetView tabSelected="1" workbookViewId="0">
      <selection activeCell="H18" sqref="H18"/>
    </sheetView>
  </sheetViews>
  <sheetFormatPr defaultRowHeight="14.5" x14ac:dyDescent="0.35"/>
  <cols>
    <col min="1" max="1" width="20.90625" bestFit="1" customWidth="1"/>
    <col min="4" max="4" width="16.5429687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47</v>
      </c>
      <c r="E1" t="s">
        <v>61</v>
      </c>
    </row>
    <row r="2" spans="1:5" x14ac:dyDescent="0.35">
      <c r="A2" t="s">
        <v>1</v>
      </c>
      <c r="B2">
        <v>0</v>
      </c>
      <c r="C2">
        <v>73168</v>
      </c>
      <c r="D2">
        <v>48033.824348850052</v>
      </c>
      <c r="E2">
        <f>VLOOKUP(A2,Sheet2!A$2:B$48,2,FALSE)</f>
        <v>0</v>
      </c>
    </row>
    <row r="3" spans="1:5" x14ac:dyDescent="0.35">
      <c r="A3" t="s">
        <v>2</v>
      </c>
      <c r="B3">
        <v>0</v>
      </c>
      <c r="C3">
        <v>6593</v>
      </c>
      <c r="D3">
        <v>8693</v>
      </c>
      <c r="E3">
        <f>VLOOKUP(A3,Sheet2!A$2:B$48,2,FALSE)</f>
        <v>611</v>
      </c>
    </row>
    <row r="4" spans="1:5" x14ac:dyDescent="0.35">
      <c r="A4" t="s">
        <v>3</v>
      </c>
      <c r="B4">
        <v>0</v>
      </c>
      <c r="C4">
        <v>908</v>
      </c>
      <c r="D4">
        <v>2608</v>
      </c>
      <c r="E4">
        <f>VLOOKUP(A4,Sheet2!A$2:B$48,2,FALSE)</f>
        <v>780</v>
      </c>
    </row>
    <row r="5" spans="1:5" x14ac:dyDescent="0.35">
      <c r="A5" t="s">
        <v>4</v>
      </c>
      <c r="B5">
        <v>819</v>
      </c>
      <c r="C5">
        <v>925</v>
      </c>
      <c r="D5">
        <v>992</v>
      </c>
      <c r="E5">
        <f>VLOOKUP(A5,Sheet2!A$2:B$48,2,FALSE)</f>
        <v>60</v>
      </c>
    </row>
    <row r="6" spans="1:5" x14ac:dyDescent="0.35">
      <c r="A6" t="s">
        <v>5</v>
      </c>
      <c r="B6">
        <v>803</v>
      </c>
      <c r="C6">
        <v>1684</v>
      </c>
      <c r="D6">
        <v>3323</v>
      </c>
      <c r="E6">
        <f>VLOOKUP(A6,Sheet2!A$2:B$48,2,FALSE)</f>
        <v>1492</v>
      </c>
    </row>
    <row r="7" spans="1:5" x14ac:dyDescent="0.35">
      <c r="A7" t="s">
        <v>6</v>
      </c>
      <c r="B7">
        <v>554</v>
      </c>
      <c r="C7">
        <v>1084</v>
      </c>
      <c r="D7">
        <v>1014.8610394397346</v>
      </c>
      <c r="E7">
        <f>VLOOKUP(A7,Sheet2!A$2:B$48,2,FALSE)</f>
        <v>325</v>
      </c>
    </row>
    <row r="8" spans="1:5" x14ac:dyDescent="0.35">
      <c r="A8" t="s">
        <v>7</v>
      </c>
      <c r="B8">
        <v>1842</v>
      </c>
      <c r="C8">
        <v>3259</v>
      </c>
      <c r="D8">
        <v>3759</v>
      </c>
      <c r="E8">
        <f>VLOOKUP(A8,Sheet2!A$2:B$48,2,FALSE)</f>
        <v>800</v>
      </c>
    </row>
    <row r="9" spans="1:5" x14ac:dyDescent="0.35">
      <c r="A9" t="s">
        <v>60</v>
      </c>
      <c r="B9">
        <v>308</v>
      </c>
      <c r="C9">
        <v>452</v>
      </c>
      <c r="D9">
        <v>2644</v>
      </c>
      <c r="E9">
        <f>VLOOKUP(A9,Sheet2!A$2:B$48,2,FALSE)</f>
        <v>0</v>
      </c>
    </row>
    <row r="10" spans="1:5" x14ac:dyDescent="0.35">
      <c r="A10" t="s">
        <v>8</v>
      </c>
      <c r="B10">
        <v>324</v>
      </c>
      <c r="C10">
        <v>335</v>
      </c>
      <c r="D10">
        <v>146.38957816377172</v>
      </c>
      <c r="E10">
        <f>VLOOKUP(A10,Sheet2!A$2:B$48,2,FALSE)</f>
        <v>18</v>
      </c>
    </row>
    <row r="11" spans="1:5" x14ac:dyDescent="0.35">
      <c r="A11" t="s">
        <v>9</v>
      </c>
      <c r="B11">
        <v>573</v>
      </c>
      <c r="C11">
        <v>803</v>
      </c>
      <c r="D11">
        <v>1507</v>
      </c>
      <c r="E11">
        <f>VLOOKUP(A11,Sheet2!A$2:B$48,2,FALSE)</f>
        <v>330</v>
      </c>
    </row>
    <row r="12" spans="1:5" x14ac:dyDescent="0.35">
      <c r="A12" t="s">
        <v>10</v>
      </c>
      <c r="B12">
        <v>123</v>
      </c>
      <c r="C12">
        <v>220</v>
      </c>
      <c r="D12">
        <v>354</v>
      </c>
      <c r="E12">
        <f>VLOOKUP(A12,Sheet2!A$2:B$48,2,FALSE)</f>
        <v>0</v>
      </c>
    </row>
    <row r="13" spans="1:5" x14ac:dyDescent="0.35">
      <c r="A13" t="s">
        <v>11</v>
      </c>
      <c r="B13">
        <v>0</v>
      </c>
      <c r="C13">
        <v>544</v>
      </c>
      <c r="D13">
        <v>1042</v>
      </c>
      <c r="E13">
        <f>VLOOKUP(A13,Sheet2!A$2:B$48,2,FALSE)</f>
        <v>60</v>
      </c>
    </row>
    <row r="14" spans="1:5" x14ac:dyDescent="0.35">
      <c r="A14" t="s">
        <v>12</v>
      </c>
      <c r="B14">
        <v>5240</v>
      </c>
      <c r="C14">
        <v>5602</v>
      </c>
      <c r="D14">
        <v>6327.5519796794806</v>
      </c>
      <c r="E14">
        <f>VLOOKUP(A14,Sheet2!A$2:B$48,2,FALSE)</f>
        <v>254</v>
      </c>
    </row>
    <row r="15" spans="1:5" x14ac:dyDescent="0.35">
      <c r="A15" t="s">
        <v>13</v>
      </c>
      <c r="B15">
        <v>6418</v>
      </c>
      <c r="C15">
        <v>31546</v>
      </c>
      <c r="D15">
        <v>21289.958719118578</v>
      </c>
      <c r="E15">
        <f>VLOOKUP(A15,Sheet2!A$2:B$48,2,FALSE)</f>
        <v>6020</v>
      </c>
    </row>
    <row r="16" spans="1:5" x14ac:dyDescent="0.35">
      <c r="A16" t="s">
        <v>14</v>
      </c>
      <c r="B16">
        <v>0</v>
      </c>
      <c r="C16">
        <v>246</v>
      </c>
      <c r="D16">
        <v>274.68237599257924</v>
      </c>
      <c r="E16">
        <f>VLOOKUP(A16,Sheet2!A$2:B$48,2,FALSE)</f>
        <v>767</v>
      </c>
    </row>
    <row r="17" spans="1:5" x14ac:dyDescent="0.35">
      <c r="A17" t="s">
        <v>15</v>
      </c>
      <c r="B17">
        <v>172</v>
      </c>
      <c r="C17">
        <v>280</v>
      </c>
      <c r="D17">
        <v>298.81764752330793</v>
      </c>
      <c r="E17">
        <f>VLOOKUP(A17,Sheet2!A$2:B$48,2,FALSE)</f>
        <v>0</v>
      </c>
    </row>
    <row r="18" spans="1:5" x14ac:dyDescent="0.35">
      <c r="A18" t="s">
        <v>16</v>
      </c>
      <c r="B18">
        <v>0</v>
      </c>
      <c r="C18">
        <v>278</v>
      </c>
      <c r="D18">
        <v>687</v>
      </c>
      <c r="E18">
        <f>VLOOKUP(A18,Sheet2!A$2:B$48,2,FALSE)</f>
        <v>0</v>
      </c>
    </row>
    <row r="19" spans="1:5" x14ac:dyDescent="0.35">
      <c r="A19" t="s">
        <v>17</v>
      </c>
      <c r="B19">
        <v>0</v>
      </c>
      <c r="C19">
        <v>11263</v>
      </c>
      <c r="D19">
        <v>23741</v>
      </c>
      <c r="E19">
        <f>VLOOKUP(A19,Sheet2!A$2:B$48,2,FALSE)</f>
        <v>3114</v>
      </c>
    </row>
    <row r="20" spans="1:5" x14ac:dyDescent="0.35">
      <c r="A20" t="s">
        <v>18</v>
      </c>
      <c r="B20">
        <v>0</v>
      </c>
      <c r="C20">
        <v>1368</v>
      </c>
      <c r="D20">
        <v>1265.3898201501661</v>
      </c>
      <c r="E20">
        <f>VLOOKUP(A20,Sheet2!A$2:B$48,2,FALSE)</f>
        <v>46</v>
      </c>
    </row>
    <row r="21" spans="1:5" x14ac:dyDescent="0.35">
      <c r="A21" t="s">
        <v>19</v>
      </c>
      <c r="B21">
        <v>213</v>
      </c>
      <c r="C21">
        <v>298</v>
      </c>
      <c r="D21">
        <v>273.86722731906218</v>
      </c>
      <c r="E21">
        <f>VLOOKUP(A21,Sheet2!A$2:B$48,2,FALSE)</f>
        <v>23</v>
      </c>
    </row>
    <row r="22" spans="1:5" x14ac:dyDescent="0.35">
      <c r="A22" t="s">
        <v>20</v>
      </c>
      <c r="B22">
        <v>2730</v>
      </c>
      <c r="C22">
        <v>4406</v>
      </c>
      <c r="D22">
        <v>4726</v>
      </c>
      <c r="E22">
        <f>VLOOKUP(A22,Sheet2!A$2:B$48,2,FALSE)</f>
        <v>1566</v>
      </c>
    </row>
    <row r="23" spans="1:5" x14ac:dyDescent="0.35">
      <c r="A23" t="s">
        <v>21</v>
      </c>
      <c r="B23">
        <v>1844</v>
      </c>
      <c r="C23">
        <v>2787</v>
      </c>
      <c r="D23">
        <v>341.34169736316329</v>
      </c>
      <c r="E23">
        <f>VLOOKUP(A23,Sheet2!A$2:B$48,2,FALSE)</f>
        <v>767</v>
      </c>
    </row>
    <row r="24" spans="1:5" x14ac:dyDescent="0.35">
      <c r="A24" t="s">
        <v>22</v>
      </c>
      <c r="B24">
        <v>354</v>
      </c>
      <c r="C24">
        <v>578</v>
      </c>
      <c r="D24">
        <v>530.87376425855507</v>
      </c>
      <c r="E24">
        <f>VLOOKUP(A24,Sheet2!A$2:B$48,2,FALSE)</f>
        <v>0</v>
      </c>
    </row>
    <row r="25" spans="1:5" x14ac:dyDescent="0.35">
      <c r="A25" t="s">
        <v>23</v>
      </c>
      <c r="B25">
        <v>8682</v>
      </c>
      <c r="C25">
        <v>8042</v>
      </c>
      <c r="D25">
        <v>12792</v>
      </c>
      <c r="E25">
        <f>VLOOKUP(A25,Sheet2!A$2:B$48,2,FALSE)</f>
        <v>558</v>
      </c>
    </row>
    <row r="26" spans="1:5" x14ac:dyDescent="0.35">
      <c r="A26" t="s">
        <v>24</v>
      </c>
      <c r="B26">
        <v>0</v>
      </c>
      <c r="C26">
        <v>998</v>
      </c>
      <c r="D26">
        <v>536.60977859778598</v>
      </c>
      <c r="E26">
        <f>VLOOKUP(A26,Sheet2!A$2:B$48,2,FALSE)</f>
        <v>8</v>
      </c>
    </row>
    <row r="27" spans="1:5" x14ac:dyDescent="0.35">
      <c r="A27" t="s">
        <v>25</v>
      </c>
      <c r="B27">
        <v>168</v>
      </c>
      <c r="C27">
        <v>693</v>
      </c>
      <c r="D27">
        <v>954</v>
      </c>
      <c r="E27">
        <f>VLOOKUP(A27,Sheet2!A$2:B$48,2,FALSE)</f>
        <v>29</v>
      </c>
    </row>
    <row r="28" spans="1:5" x14ac:dyDescent="0.35">
      <c r="A28" t="s">
        <v>26</v>
      </c>
      <c r="B28">
        <v>3523</v>
      </c>
      <c r="C28">
        <v>5230</v>
      </c>
      <c r="D28">
        <v>5230</v>
      </c>
      <c r="E28">
        <f>VLOOKUP(A28,Sheet2!A$2:B$48,2,FALSE)</f>
        <v>316</v>
      </c>
    </row>
    <row r="29" spans="1:5" x14ac:dyDescent="0.35">
      <c r="A29" t="s">
        <v>27</v>
      </c>
      <c r="B29">
        <v>200</v>
      </c>
      <c r="C29">
        <v>2760</v>
      </c>
      <c r="D29">
        <v>1103.5637751855782</v>
      </c>
      <c r="E29">
        <f>VLOOKUP(A29,Sheet2!A$2:B$48,2,FALSE)</f>
        <v>115</v>
      </c>
    </row>
    <row r="30" spans="1:5" x14ac:dyDescent="0.35">
      <c r="A30" t="s">
        <v>28</v>
      </c>
      <c r="B30">
        <v>1971</v>
      </c>
      <c r="C30">
        <v>2866</v>
      </c>
      <c r="D30">
        <v>4402</v>
      </c>
      <c r="E30">
        <f>VLOOKUP(A30,Sheet2!A$2:B$48,2,FALSE)</f>
        <v>0</v>
      </c>
    </row>
    <row r="31" spans="1:5" x14ac:dyDescent="0.35">
      <c r="A31" t="s">
        <v>29</v>
      </c>
      <c r="B31">
        <v>622</v>
      </c>
      <c r="C31">
        <v>1626</v>
      </c>
      <c r="D31">
        <v>1273.0346943092873</v>
      </c>
      <c r="E31">
        <f>VLOOKUP(A31,Sheet2!A$2:B$48,2,FALSE)</f>
        <v>0</v>
      </c>
    </row>
    <row r="32" spans="1:5" x14ac:dyDescent="0.35">
      <c r="A32" t="s">
        <v>30</v>
      </c>
      <c r="B32">
        <v>2046</v>
      </c>
      <c r="C32">
        <v>2395</v>
      </c>
      <c r="D32">
        <v>1833.6554988586008</v>
      </c>
      <c r="E32">
        <f>VLOOKUP(A32,Sheet2!A$2:B$48,2,FALSE)</f>
        <v>432</v>
      </c>
    </row>
    <row r="33" spans="1:5" x14ac:dyDescent="0.35">
      <c r="A33" t="s">
        <v>31</v>
      </c>
      <c r="B33">
        <v>1452</v>
      </c>
      <c r="C33">
        <v>2473</v>
      </c>
      <c r="D33">
        <v>5719</v>
      </c>
      <c r="E33">
        <f>VLOOKUP(A33,Sheet2!A$2:B$48,2,FALSE)</f>
        <v>819</v>
      </c>
    </row>
    <row r="34" spans="1:5" x14ac:dyDescent="0.35">
      <c r="A34" t="s">
        <v>32</v>
      </c>
      <c r="B34">
        <v>0</v>
      </c>
      <c r="C34">
        <v>1445</v>
      </c>
      <c r="D34">
        <v>1597</v>
      </c>
      <c r="E34">
        <f>VLOOKUP(A34,Sheet2!A$2:B$48,2,FALSE)</f>
        <v>475</v>
      </c>
    </row>
    <row r="35" spans="1:5" x14ac:dyDescent="0.35">
      <c r="A35" t="s">
        <v>33</v>
      </c>
      <c r="B35">
        <v>946</v>
      </c>
      <c r="C35">
        <v>1065</v>
      </c>
      <c r="D35">
        <v>705.66936761273496</v>
      </c>
      <c r="E35">
        <f>VLOOKUP(A35,Sheet2!A$2:B$48,2,FALSE)</f>
        <v>370</v>
      </c>
    </row>
    <row r="36" spans="1:5" x14ac:dyDescent="0.35">
      <c r="A36" t="s">
        <v>34</v>
      </c>
      <c r="B36">
        <v>65759</v>
      </c>
      <c r="C36">
        <v>83907</v>
      </c>
      <c r="D36">
        <v>86181</v>
      </c>
      <c r="E36">
        <f>VLOOKUP(A36,Sheet2!A$2:B$48,2,FALSE)</f>
        <v>4340</v>
      </c>
    </row>
    <row r="37" spans="1:5" x14ac:dyDescent="0.35">
      <c r="A37" t="s">
        <v>35</v>
      </c>
      <c r="B37">
        <v>1104</v>
      </c>
      <c r="C37">
        <v>1648</v>
      </c>
      <c r="D37">
        <v>1648</v>
      </c>
      <c r="E37">
        <f>VLOOKUP(A37,Sheet2!A$2:B$48,2,FALSE)</f>
        <v>11</v>
      </c>
    </row>
    <row r="38" spans="1:5" x14ac:dyDescent="0.35">
      <c r="A38" t="s">
        <v>36</v>
      </c>
      <c r="B38">
        <v>63</v>
      </c>
      <c r="C38">
        <v>60</v>
      </c>
      <c r="D38">
        <v>105</v>
      </c>
      <c r="E38">
        <f>VLOOKUP(A38,Sheet2!A$2:B$48,2,FALSE)</f>
        <v>0</v>
      </c>
    </row>
    <row r="39" spans="1:5" x14ac:dyDescent="0.35">
      <c r="A39" t="s">
        <v>37</v>
      </c>
      <c r="B39">
        <v>0</v>
      </c>
      <c r="C39">
        <v>2883</v>
      </c>
      <c r="D39">
        <v>2560.8623058327948</v>
      </c>
      <c r="E39">
        <f>VLOOKUP(A39,Sheet2!A$2:B$48,2,FALSE)</f>
        <v>434</v>
      </c>
    </row>
    <row r="40" spans="1:5" x14ac:dyDescent="0.35">
      <c r="A40" t="s">
        <v>38</v>
      </c>
      <c r="B40">
        <v>93</v>
      </c>
      <c r="C40">
        <v>240</v>
      </c>
      <c r="D40">
        <v>828</v>
      </c>
      <c r="E40">
        <f>VLOOKUP(A40,Sheet2!A$2:B$48,2,FALSE)</f>
        <v>10</v>
      </c>
    </row>
    <row r="41" spans="1:5" x14ac:dyDescent="0.35">
      <c r="A41" t="s">
        <v>39</v>
      </c>
      <c r="B41">
        <v>0</v>
      </c>
      <c r="C41">
        <v>566</v>
      </c>
      <c r="D41">
        <v>1106</v>
      </c>
      <c r="E41">
        <f>VLOOKUP(A41,Sheet2!A$2:B$48,2,FALSE)</f>
        <v>217</v>
      </c>
    </row>
    <row r="42" spans="1:5" x14ac:dyDescent="0.35">
      <c r="A42" t="s">
        <v>40</v>
      </c>
      <c r="B42">
        <v>0</v>
      </c>
      <c r="C42">
        <v>43503</v>
      </c>
      <c r="D42">
        <v>48021</v>
      </c>
      <c r="E42">
        <f>VLOOKUP(A42,Sheet2!A$2:B$48,2,FALSE)</f>
        <v>998</v>
      </c>
    </row>
    <row r="43" spans="1:5" x14ac:dyDescent="0.35">
      <c r="A43" t="s">
        <v>41</v>
      </c>
      <c r="B43">
        <v>0</v>
      </c>
      <c r="C43">
        <v>411</v>
      </c>
      <c r="D43">
        <v>456</v>
      </c>
      <c r="E43">
        <f>VLOOKUP(A43,Sheet2!A$2:B$48,2,FALSE)</f>
        <v>0</v>
      </c>
    </row>
    <row r="44" spans="1:5" x14ac:dyDescent="0.35">
      <c r="A44" t="s">
        <v>42</v>
      </c>
      <c r="B44">
        <v>1481</v>
      </c>
      <c r="C44">
        <v>2885</v>
      </c>
      <c r="D44">
        <v>8693</v>
      </c>
      <c r="E44">
        <f>VLOOKUP(A44,Sheet2!A$2:B$48,2,FALSE)</f>
        <v>330</v>
      </c>
    </row>
    <row r="45" spans="1:5" x14ac:dyDescent="0.35">
      <c r="A45" t="s">
        <v>43</v>
      </c>
      <c r="B45">
        <v>361</v>
      </c>
      <c r="C45">
        <v>611</v>
      </c>
      <c r="D45">
        <v>730</v>
      </c>
      <c r="E45">
        <f>VLOOKUP(A45,Sheet2!A$2:B$48,2,FALSE)</f>
        <v>77</v>
      </c>
    </row>
    <row r="46" spans="1:5" x14ac:dyDescent="0.35">
      <c r="A46" t="s">
        <v>44</v>
      </c>
      <c r="B46">
        <v>3370</v>
      </c>
      <c r="C46">
        <v>17186</v>
      </c>
      <c r="D46">
        <v>9051.7813279678066</v>
      </c>
      <c r="E46">
        <f>VLOOKUP(A46,Sheet2!A$2:B$48,2,FALSE)</f>
        <v>1997</v>
      </c>
    </row>
    <row r="47" spans="1:5" x14ac:dyDescent="0.35">
      <c r="A47" t="s">
        <v>45</v>
      </c>
      <c r="B47">
        <v>0</v>
      </c>
      <c r="C47">
        <v>4021</v>
      </c>
      <c r="D47">
        <v>6531</v>
      </c>
      <c r="E47">
        <f>VLOOKUP(A47,Sheet2!A$2:B$48,2,FALSE)</f>
        <v>100</v>
      </c>
    </row>
    <row r="48" spans="1:5" x14ac:dyDescent="0.35">
      <c r="A48" t="s">
        <v>46</v>
      </c>
      <c r="B48">
        <v>1114</v>
      </c>
      <c r="C48">
        <v>3026</v>
      </c>
      <c r="D48">
        <v>3131.5983655333839</v>
      </c>
      <c r="E48">
        <f>VLOOKUP(A48,Sheet2!A$2:B$48,2,FALSE)</f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513-39E9-4195-8CC9-087689CFA46C}">
  <dimension ref="A1:M48"/>
  <sheetViews>
    <sheetView topLeftCell="A9" workbookViewId="0">
      <selection activeCell="A15" sqref="A15"/>
    </sheetView>
  </sheetViews>
  <sheetFormatPr defaultRowHeight="14.5" x14ac:dyDescent="0.35"/>
  <cols>
    <col min="1" max="1" width="29.36328125" bestFit="1" customWidth="1"/>
    <col min="2" max="2" width="27.54296875" bestFit="1" customWidth="1"/>
  </cols>
  <sheetData>
    <row r="1" spans="1:13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5">
      <c r="A2" t="s">
        <v>1</v>
      </c>
      <c r="B2">
        <v>0</v>
      </c>
      <c r="M2">
        <v>0</v>
      </c>
    </row>
    <row r="3" spans="1:13" x14ac:dyDescent="0.35">
      <c r="A3" t="s">
        <v>2</v>
      </c>
      <c r="B3">
        <v>611</v>
      </c>
      <c r="D3">
        <v>145</v>
      </c>
      <c r="F3">
        <v>529</v>
      </c>
      <c r="I3">
        <v>2950</v>
      </c>
      <c r="M3">
        <v>4235</v>
      </c>
    </row>
    <row r="4" spans="1:13" x14ac:dyDescent="0.35">
      <c r="A4" t="s">
        <v>3</v>
      </c>
      <c r="B4">
        <v>780</v>
      </c>
      <c r="C4">
        <v>385</v>
      </c>
      <c r="F4">
        <v>143</v>
      </c>
      <c r="H4">
        <v>247</v>
      </c>
      <c r="I4">
        <v>257</v>
      </c>
      <c r="J4">
        <v>1113</v>
      </c>
      <c r="L4">
        <v>1194</v>
      </c>
      <c r="M4">
        <v>4119</v>
      </c>
    </row>
    <row r="5" spans="1:13" x14ac:dyDescent="0.35">
      <c r="A5" t="s">
        <v>4</v>
      </c>
      <c r="B5">
        <v>60</v>
      </c>
      <c r="C5">
        <v>48</v>
      </c>
      <c r="D5">
        <v>7</v>
      </c>
      <c r="E5">
        <v>10</v>
      </c>
      <c r="F5">
        <v>95</v>
      </c>
      <c r="G5">
        <v>60</v>
      </c>
      <c r="H5">
        <v>40</v>
      </c>
      <c r="I5">
        <v>490</v>
      </c>
      <c r="J5">
        <v>189</v>
      </c>
      <c r="K5">
        <v>30</v>
      </c>
      <c r="L5">
        <v>597</v>
      </c>
      <c r="M5">
        <v>1626</v>
      </c>
    </row>
    <row r="6" spans="1:13" x14ac:dyDescent="0.35">
      <c r="A6" t="s">
        <v>5</v>
      </c>
      <c r="B6">
        <v>1492</v>
      </c>
      <c r="C6">
        <v>385</v>
      </c>
      <c r="D6">
        <v>62</v>
      </c>
      <c r="F6">
        <v>594</v>
      </c>
      <c r="H6">
        <v>1170</v>
      </c>
      <c r="I6">
        <v>1170</v>
      </c>
      <c r="M6">
        <v>4873</v>
      </c>
    </row>
    <row r="7" spans="1:13" x14ac:dyDescent="0.35">
      <c r="A7" t="s">
        <v>6</v>
      </c>
      <c r="B7">
        <v>325</v>
      </c>
      <c r="C7">
        <v>240</v>
      </c>
      <c r="F7">
        <v>39</v>
      </c>
      <c r="H7">
        <v>196</v>
      </c>
      <c r="I7">
        <v>1467</v>
      </c>
      <c r="J7">
        <v>322</v>
      </c>
      <c r="L7">
        <v>194</v>
      </c>
      <c r="M7">
        <v>2783</v>
      </c>
    </row>
    <row r="8" spans="1:13" x14ac:dyDescent="0.35">
      <c r="A8" t="s">
        <v>7</v>
      </c>
      <c r="B8">
        <v>800</v>
      </c>
      <c r="I8">
        <v>2660</v>
      </c>
      <c r="J8">
        <v>800</v>
      </c>
      <c r="M8">
        <v>4260</v>
      </c>
    </row>
    <row r="9" spans="1:13" x14ac:dyDescent="0.35">
      <c r="A9" t="s">
        <v>60</v>
      </c>
      <c r="E9">
        <v>7</v>
      </c>
      <c r="L9">
        <v>83</v>
      </c>
      <c r="M9">
        <v>90</v>
      </c>
    </row>
    <row r="10" spans="1:13" x14ac:dyDescent="0.35">
      <c r="A10" t="s">
        <v>8</v>
      </c>
      <c r="B10">
        <v>18</v>
      </c>
      <c r="M10">
        <v>18</v>
      </c>
    </row>
    <row r="11" spans="1:13" x14ac:dyDescent="0.35">
      <c r="A11" t="s">
        <v>9</v>
      </c>
      <c r="B11">
        <v>330</v>
      </c>
      <c r="C11">
        <v>30</v>
      </c>
      <c r="F11">
        <v>80</v>
      </c>
      <c r="G11">
        <v>180</v>
      </c>
      <c r="H11">
        <v>2084</v>
      </c>
      <c r="I11">
        <v>2920</v>
      </c>
      <c r="J11">
        <v>220</v>
      </c>
      <c r="M11">
        <v>5844</v>
      </c>
    </row>
    <row r="12" spans="1:13" x14ac:dyDescent="0.35">
      <c r="A12" t="s">
        <v>10</v>
      </c>
      <c r="H12">
        <v>29</v>
      </c>
      <c r="I12">
        <v>40</v>
      </c>
      <c r="M12">
        <v>69</v>
      </c>
    </row>
    <row r="13" spans="1:13" x14ac:dyDescent="0.35">
      <c r="A13" t="s">
        <v>11</v>
      </c>
      <c r="B13">
        <v>60</v>
      </c>
      <c r="C13">
        <v>315</v>
      </c>
      <c r="E13">
        <v>10</v>
      </c>
      <c r="G13">
        <v>5</v>
      </c>
      <c r="H13">
        <v>120</v>
      </c>
      <c r="I13">
        <v>60</v>
      </c>
      <c r="K13">
        <v>50</v>
      </c>
      <c r="L13">
        <v>408</v>
      </c>
      <c r="M13">
        <v>1028</v>
      </c>
    </row>
    <row r="14" spans="1:13" x14ac:dyDescent="0.35">
      <c r="A14" t="s">
        <v>12</v>
      </c>
      <c r="B14">
        <v>254</v>
      </c>
      <c r="C14">
        <v>48</v>
      </c>
      <c r="G14">
        <v>151</v>
      </c>
      <c r="I14">
        <v>1007</v>
      </c>
      <c r="J14">
        <v>1106</v>
      </c>
      <c r="L14">
        <v>450</v>
      </c>
      <c r="M14">
        <v>3016</v>
      </c>
    </row>
    <row r="15" spans="1:13" x14ac:dyDescent="0.35">
      <c r="A15" t="s">
        <v>13</v>
      </c>
      <c r="B15">
        <v>6020</v>
      </c>
      <c r="D15">
        <v>66</v>
      </c>
      <c r="F15">
        <v>178</v>
      </c>
      <c r="G15">
        <v>328</v>
      </c>
      <c r="H15">
        <v>3453</v>
      </c>
      <c r="I15">
        <v>24061</v>
      </c>
      <c r="J15">
        <v>2571</v>
      </c>
      <c r="L15">
        <v>3151</v>
      </c>
      <c r="M15">
        <v>39828</v>
      </c>
    </row>
    <row r="16" spans="1:13" x14ac:dyDescent="0.35">
      <c r="A16" t="s">
        <v>14</v>
      </c>
      <c r="B16">
        <v>767</v>
      </c>
      <c r="H16">
        <v>492</v>
      </c>
      <c r="I16">
        <v>962</v>
      </c>
      <c r="J16">
        <v>27</v>
      </c>
      <c r="L16">
        <v>1304</v>
      </c>
      <c r="M16">
        <v>3552</v>
      </c>
    </row>
    <row r="17" spans="1:13" x14ac:dyDescent="0.35">
      <c r="A17" t="s">
        <v>15</v>
      </c>
      <c r="I17">
        <v>400</v>
      </c>
      <c r="L17">
        <v>1023</v>
      </c>
      <c r="M17">
        <v>1423</v>
      </c>
    </row>
    <row r="18" spans="1:13" x14ac:dyDescent="0.35">
      <c r="A18" t="s">
        <v>16</v>
      </c>
      <c r="F18">
        <v>44</v>
      </c>
      <c r="G18">
        <v>30</v>
      </c>
      <c r="H18">
        <v>80</v>
      </c>
      <c r="I18">
        <v>160</v>
      </c>
      <c r="J18">
        <v>78</v>
      </c>
      <c r="L18">
        <v>58</v>
      </c>
      <c r="M18">
        <v>450</v>
      </c>
    </row>
    <row r="19" spans="1:13" x14ac:dyDescent="0.35">
      <c r="A19" t="s">
        <v>17</v>
      </c>
      <c r="B19">
        <v>3114</v>
      </c>
      <c r="C19">
        <v>880</v>
      </c>
      <c r="D19">
        <v>189</v>
      </c>
      <c r="E19">
        <v>64</v>
      </c>
      <c r="F19">
        <v>699</v>
      </c>
      <c r="G19">
        <v>2878</v>
      </c>
      <c r="H19">
        <v>2440</v>
      </c>
      <c r="I19">
        <v>6298</v>
      </c>
      <c r="J19">
        <v>1220</v>
      </c>
      <c r="K19">
        <v>1613</v>
      </c>
      <c r="L19">
        <v>3672</v>
      </c>
      <c r="M19">
        <v>23067</v>
      </c>
    </row>
    <row r="20" spans="1:13" x14ac:dyDescent="0.35">
      <c r="A20" t="s">
        <v>18</v>
      </c>
      <c r="B20">
        <v>46</v>
      </c>
      <c r="C20">
        <v>16</v>
      </c>
      <c r="F20">
        <v>2</v>
      </c>
      <c r="H20">
        <v>34</v>
      </c>
      <c r="I20">
        <v>95</v>
      </c>
      <c r="J20">
        <v>6</v>
      </c>
      <c r="M20">
        <v>199</v>
      </c>
    </row>
    <row r="21" spans="1:13" x14ac:dyDescent="0.35">
      <c r="A21" t="s">
        <v>19</v>
      </c>
      <c r="B21">
        <v>23</v>
      </c>
      <c r="I21">
        <v>137</v>
      </c>
      <c r="J21">
        <v>6</v>
      </c>
      <c r="M21">
        <v>166</v>
      </c>
    </row>
    <row r="22" spans="1:13" x14ac:dyDescent="0.35">
      <c r="A22" t="s">
        <v>20</v>
      </c>
      <c r="B22">
        <v>1566</v>
      </c>
      <c r="F22">
        <v>343</v>
      </c>
      <c r="H22">
        <v>4827</v>
      </c>
      <c r="I22">
        <v>21271</v>
      </c>
      <c r="J22">
        <v>396</v>
      </c>
      <c r="M22">
        <v>28403</v>
      </c>
    </row>
    <row r="23" spans="1:13" x14ac:dyDescent="0.35">
      <c r="A23" t="s">
        <v>21</v>
      </c>
      <c r="B23">
        <v>767</v>
      </c>
      <c r="C23">
        <v>74</v>
      </c>
      <c r="F23">
        <v>113</v>
      </c>
      <c r="G23">
        <v>34</v>
      </c>
      <c r="H23">
        <v>492</v>
      </c>
      <c r="I23">
        <v>964</v>
      </c>
      <c r="J23">
        <v>27</v>
      </c>
      <c r="L23">
        <v>1304</v>
      </c>
      <c r="M23">
        <v>3775</v>
      </c>
    </row>
    <row r="24" spans="1:13" x14ac:dyDescent="0.35">
      <c r="A24" t="s">
        <v>22</v>
      </c>
      <c r="J24">
        <v>23</v>
      </c>
      <c r="L24">
        <v>489</v>
      </c>
      <c r="M24">
        <v>512</v>
      </c>
    </row>
    <row r="25" spans="1:13" x14ac:dyDescent="0.35">
      <c r="A25" t="s">
        <v>23</v>
      </c>
      <c r="B25">
        <v>558</v>
      </c>
      <c r="D25">
        <v>36</v>
      </c>
      <c r="F25">
        <v>379</v>
      </c>
      <c r="G25">
        <v>20</v>
      </c>
      <c r="I25">
        <v>1070</v>
      </c>
      <c r="J25">
        <v>519</v>
      </c>
      <c r="L25">
        <v>366</v>
      </c>
      <c r="M25">
        <v>2948</v>
      </c>
    </row>
    <row r="26" spans="1:13" x14ac:dyDescent="0.35">
      <c r="A26" t="s">
        <v>24</v>
      </c>
      <c r="B26">
        <v>8</v>
      </c>
      <c r="C26">
        <v>22</v>
      </c>
      <c r="D26">
        <v>8</v>
      </c>
      <c r="F26">
        <v>33</v>
      </c>
      <c r="G26">
        <v>20</v>
      </c>
      <c r="H26">
        <v>69</v>
      </c>
      <c r="I26">
        <v>376</v>
      </c>
      <c r="J26">
        <v>20</v>
      </c>
      <c r="M26">
        <v>556</v>
      </c>
    </row>
    <row r="27" spans="1:13" x14ac:dyDescent="0.35">
      <c r="A27" t="s">
        <v>25</v>
      </c>
      <c r="B27">
        <v>29</v>
      </c>
      <c r="C27">
        <v>50</v>
      </c>
      <c r="F27">
        <v>22</v>
      </c>
      <c r="I27">
        <v>63</v>
      </c>
      <c r="J27">
        <v>56</v>
      </c>
      <c r="L27">
        <v>50</v>
      </c>
      <c r="M27">
        <v>270</v>
      </c>
    </row>
    <row r="28" spans="1:13" x14ac:dyDescent="0.35">
      <c r="A28" t="s">
        <v>26</v>
      </c>
      <c r="B28">
        <v>316</v>
      </c>
      <c r="C28">
        <v>156</v>
      </c>
      <c r="H28">
        <v>2473</v>
      </c>
      <c r="I28">
        <v>2540</v>
      </c>
      <c r="J28">
        <v>116</v>
      </c>
      <c r="L28">
        <v>297</v>
      </c>
      <c r="M28">
        <v>5898</v>
      </c>
    </row>
    <row r="29" spans="1:13" x14ac:dyDescent="0.35">
      <c r="A29" t="s">
        <v>27</v>
      </c>
      <c r="B29">
        <v>115</v>
      </c>
      <c r="C29">
        <v>167</v>
      </c>
      <c r="F29">
        <v>110</v>
      </c>
      <c r="G29">
        <v>189</v>
      </c>
      <c r="H29">
        <v>1171</v>
      </c>
      <c r="I29">
        <v>386</v>
      </c>
      <c r="J29">
        <v>175</v>
      </c>
      <c r="L29">
        <v>616</v>
      </c>
      <c r="M29">
        <v>2929</v>
      </c>
    </row>
    <row r="30" spans="1:13" x14ac:dyDescent="0.35">
      <c r="A30" t="s">
        <v>28</v>
      </c>
      <c r="M30">
        <v>0</v>
      </c>
    </row>
    <row r="31" spans="1:13" x14ac:dyDescent="0.35">
      <c r="A31" t="s">
        <v>29</v>
      </c>
      <c r="C31">
        <v>76</v>
      </c>
      <c r="I31">
        <v>113</v>
      </c>
      <c r="L31">
        <v>366</v>
      </c>
      <c r="M31">
        <v>555</v>
      </c>
    </row>
    <row r="32" spans="1:13" x14ac:dyDescent="0.35">
      <c r="A32" t="s">
        <v>30</v>
      </c>
      <c r="B32">
        <v>432</v>
      </c>
      <c r="H32">
        <v>40</v>
      </c>
      <c r="I32">
        <v>175</v>
      </c>
      <c r="L32">
        <v>39</v>
      </c>
      <c r="M32">
        <v>686</v>
      </c>
    </row>
    <row r="33" spans="1:13" x14ac:dyDescent="0.35">
      <c r="A33" t="s">
        <v>31</v>
      </c>
      <c r="B33">
        <v>819</v>
      </c>
      <c r="C33">
        <v>146</v>
      </c>
      <c r="D33">
        <v>161</v>
      </c>
      <c r="G33">
        <v>112</v>
      </c>
      <c r="H33">
        <v>140</v>
      </c>
      <c r="I33">
        <v>580</v>
      </c>
      <c r="J33">
        <v>248</v>
      </c>
      <c r="K33">
        <v>20</v>
      </c>
      <c r="M33">
        <v>2226</v>
      </c>
    </row>
    <row r="34" spans="1:13" x14ac:dyDescent="0.35">
      <c r="A34" t="s">
        <v>32</v>
      </c>
      <c r="B34">
        <v>475</v>
      </c>
      <c r="C34">
        <v>3</v>
      </c>
      <c r="F34">
        <v>247</v>
      </c>
      <c r="G34">
        <v>31</v>
      </c>
      <c r="H34">
        <v>1414</v>
      </c>
      <c r="I34">
        <v>200</v>
      </c>
      <c r="J34">
        <v>121</v>
      </c>
      <c r="L34">
        <v>175</v>
      </c>
      <c r="M34">
        <v>2666</v>
      </c>
    </row>
    <row r="35" spans="1:13" x14ac:dyDescent="0.35">
      <c r="A35" t="s">
        <v>33</v>
      </c>
      <c r="B35">
        <v>370</v>
      </c>
      <c r="C35">
        <v>14</v>
      </c>
      <c r="H35">
        <v>124</v>
      </c>
      <c r="I35">
        <v>305</v>
      </c>
      <c r="J35">
        <v>45</v>
      </c>
      <c r="L35">
        <v>1891</v>
      </c>
      <c r="M35">
        <v>2749</v>
      </c>
    </row>
    <row r="36" spans="1:13" x14ac:dyDescent="0.35">
      <c r="A36" t="s">
        <v>34</v>
      </c>
      <c r="B36">
        <v>4340</v>
      </c>
      <c r="D36">
        <v>459</v>
      </c>
      <c r="H36">
        <v>375</v>
      </c>
      <c r="I36">
        <v>12835</v>
      </c>
      <c r="J36">
        <v>1774</v>
      </c>
      <c r="M36">
        <v>19783</v>
      </c>
    </row>
    <row r="37" spans="1:13" x14ac:dyDescent="0.35">
      <c r="A37" t="s">
        <v>35</v>
      </c>
      <c r="B37">
        <v>11</v>
      </c>
      <c r="F37">
        <v>95</v>
      </c>
      <c r="H37">
        <v>176</v>
      </c>
      <c r="I37">
        <v>355</v>
      </c>
      <c r="L37">
        <v>81</v>
      </c>
      <c r="M37">
        <v>718</v>
      </c>
    </row>
    <row r="38" spans="1:13" x14ac:dyDescent="0.35">
      <c r="A38" t="s">
        <v>36</v>
      </c>
      <c r="M38">
        <v>0</v>
      </c>
    </row>
    <row r="39" spans="1:13" x14ac:dyDescent="0.35">
      <c r="A39" t="s">
        <v>37</v>
      </c>
      <c r="B39">
        <v>434</v>
      </c>
      <c r="C39">
        <v>137</v>
      </c>
      <c r="D39">
        <v>67</v>
      </c>
      <c r="F39">
        <v>171</v>
      </c>
      <c r="H39">
        <v>104</v>
      </c>
      <c r="I39">
        <v>582</v>
      </c>
      <c r="J39">
        <v>36</v>
      </c>
      <c r="L39">
        <v>710</v>
      </c>
      <c r="M39">
        <v>2241</v>
      </c>
    </row>
    <row r="40" spans="1:13" x14ac:dyDescent="0.35">
      <c r="A40" t="s">
        <v>38</v>
      </c>
      <c r="B40">
        <v>10</v>
      </c>
      <c r="G40">
        <v>20</v>
      </c>
      <c r="H40">
        <v>10</v>
      </c>
      <c r="I40">
        <v>40</v>
      </c>
      <c r="L40">
        <v>80</v>
      </c>
      <c r="M40">
        <v>160</v>
      </c>
    </row>
    <row r="41" spans="1:13" x14ac:dyDescent="0.35">
      <c r="A41" t="s">
        <v>39</v>
      </c>
      <c r="B41">
        <v>217</v>
      </c>
      <c r="F41">
        <v>69</v>
      </c>
      <c r="G41">
        <v>51</v>
      </c>
      <c r="H41">
        <v>120</v>
      </c>
      <c r="I41">
        <v>1755</v>
      </c>
      <c r="J41">
        <v>90</v>
      </c>
      <c r="L41">
        <v>186</v>
      </c>
      <c r="M41">
        <v>2488</v>
      </c>
    </row>
    <row r="42" spans="1:13" x14ac:dyDescent="0.35">
      <c r="A42" t="s">
        <v>40</v>
      </c>
      <c r="B42">
        <v>998</v>
      </c>
      <c r="D42">
        <v>805</v>
      </c>
      <c r="F42">
        <v>1291</v>
      </c>
      <c r="I42">
        <v>3154</v>
      </c>
      <c r="J42">
        <v>451</v>
      </c>
      <c r="L42">
        <v>13559</v>
      </c>
      <c r="M42">
        <v>20258</v>
      </c>
    </row>
    <row r="43" spans="1:13" x14ac:dyDescent="0.35">
      <c r="A43" t="s">
        <v>41</v>
      </c>
      <c r="H43">
        <v>307</v>
      </c>
      <c r="I43">
        <v>241</v>
      </c>
      <c r="J43">
        <v>681</v>
      </c>
      <c r="L43">
        <v>484</v>
      </c>
      <c r="M43">
        <v>1713</v>
      </c>
    </row>
    <row r="44" spans="1:13" x14ac:dyDescent="0.35">
      <c r="A44" t="s">
        <v>42</v>
      </c>
      <c r="B44">
        <v>330</v>
      </c>
      <c r="C44">
        <v>1597</v>
      </c>
      <c r="D44">
        <v>80</v>
      </c>
      <c r="G44">
        <v>629</v>
      </c>
      <c r="H44">
        <v>2084</v>
      </c>
      <c r="I44">
        <v>2920</v>
      </c>
      <c r="J44">
        <v>17</v>
      </c>
      <c r="L44">
        <v>5457</v>
      </c>
      <c r="M44">
        <v>13114</v>
      </c>
    </row>
    <row r="45" spans="1:13" x14ac:dyDescent="0.35">
      <c r="A45" t="s">
        <v>43</v>
      </c>
      <c r="B45">
        <v>77</v>
      </c>
      <c r="C45">
        <v>37</v>
      </c>
      <c r="F45">
        <v>60</v>
      </c>
      <c r="H45">
        <v>130</v>
      </c>
      <c r="I45">
        <v>240</v>
      </c>
      <c r="J45">
        <v>215</v>
      </c>
      <c r="L45">
        <v>250</v>
      </c>
      <c r="M45">
        <v>1009</v>
      </c>
    </row>
    <row r="46" spans="1:13" x14ac:dyDescent="0.35">
      <c r="A46" t="s">
        <v>44</v>
      </c>
      <c r="B46">
        <v>1997</v>
      </c>
      <c r="C46">
        <v>246</v>
      </c>
      <c r="D46">
        <v>41</v>
      </c>
      <c r="E46">
        <v>220</v>
      </c>
      <c r="F46">
        <v>120</v>
      </c>
      <c r="G46">
        <v>1860</v>
      </c>
      <c r="H46">
        <v>8990</v>
      </c>
      <c r="I46">
        <v>14001</v>
      </c>
      <c r="J46">
        <v>3610</v>
      </c>
      <c r="L46">
        <v>1020</v>
      </c>
      <c r="M46">
        <v>32105</v>
      </c>
    </row>
    <row r="47" spans="1:13" x14ac:dyDescent="0.35">
      <c r="A47" t="s">
        <v>45</v>
      </c>
      <c r="B47">
        <v>100</v>
      </c>
      <c r="E47">
        <v>36</v>
      </c>
      <c r="G47">
        <v>180</v>
      </c>
      <c r="H47">
        <v>1939</v>
      </c>
      <c r="I47">
        <v>5272</v>
      </c>
      <c r="J47">
        <v>282</v>
      </c>
      <c r="K47">
        <v>100</v>
      </c>
      <c r="L47">
        <v>400</v>
      </c>
      <c r="M47">
        <v>8309</v>
      </c>
    </row>
    <row r="48" spans="1:13" x14ac:dyDescent="0.35">
      <c r="A48" t="s">
        <v>46</v>
      </c>
      <c r="B48">
        <v>265</v>
      </c>
      <c r="C48">
        <v>30</v>
      </c>
      <c r="D48">
        <v>80</v>
      </c>
      <c r="E48">
        <v>30</v>
      </c>
      <c r="F48">
        <v>155</v>
      </c>
      <c r="G48">
        <v>30</v>
      </c>
      <c r="H48">
        <v>270</v>
      </c>
      <c r="I48">
        <v>1100</v>
      </c>
      <c r="J48">
        <v>358</v>
      </c>
      <c r="L48">
        <v>421</v>
      </c>
      <c r="M48">
        <v>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2024-03-05T16:05:31Z</dcterms:created>
  <dcterms:modified xsi:type="dcterms:W3CDTF">2024-03-05T16:12:13Z</dcterms:modified>
</cp:coreProperties>
</file>