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H:\Brazzaville\HRH 24\Analytics\Feb latest\"/>
    </mc:Choice>
  </mc:AlternateContent>
  <xr:revisionPtr revIDLastSave="0" documentId="13_ncr:1_{B09400F9-9074-458A-8403-6BDF85E857FE}" xr6:coauthVersionLast="47" xr6:coauthVersionMax="47" xr10:uidLastSave="{00000000-0000-0000-0000-000000000000}"/>
  <bookViews>
    <workbookView xWindow="-110" yWindow="-110" windowWidth="19420" windowHeight="10300" activeTab="1" xr2:uid="{A2A88114-6080-43A7-B086-6DF312C8D61B}"/>
  </bookViews>
  <sheets>
    <sheet name="Sheet1" sheetId="5" r:id="rId1"/>
    <sheet name="Education capacity" sheetId="4" r:id="rId2"/>
  </sheets>
  <externalReferences>
    <externalReference r:id="rId3"/>
  </externalReferences>
  <calcPr calcId="191029"/>
  <pivotCaches>
    <pivotCache cacheId="1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56" i="4" l="1"/>
  <c r="I56" i="4"/>
  <c r="I39" i="4"/>
  <c r="B56" i="4"/>
  <c r="B52" i="4" l="1"/>
  <c r="B2" i="4"/>
  <c r="C49" i="4" l="1"/>
  <c r="D49" i="4"/>
  <c r="E49" i="4"/>
  <c r="F49" i="4"/>
  <c r="G49" i="4"/>
  <c r="H49" i="4"/>
  <c r="I49" i="4"/>
  <c r="J49" i="4"/>
  <c r="K49" i="4"/>
  <c r="L49" i="4"/>
  <c r="B49" i="4"/>
  <c r="M3" i="4"/>
  <c r="M4" i="4"/>
  <c r="M5" i="4"/>
  <c r="M6" i="4"/>
  <c r="M7" i="4"/>
  <c r="M8" i="4"/>
  <c r="M9" i="4"/>
  <c r="M10" i="4"/>
  <c r="M11" i="4"/>
  <c r="M12" i="4"/>
  <c r="M13" i="4"/>
  <c r="M14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2" i="4"/>
  <c r="I54" i="4" l="1"/>
  <c r="M51" i="4"/>
  <c r="M49" i="4"/>
  <c r="M50" i="4" s="1"/>
  <c r="B51" i="4" s="1"/>
  <c r="H52" i="4" l="1"/>
  <c r="J53" i="4"/>
  <c r="C56" i="4" s="1"/>
  <c r="I52" i="4"/>
  <c r="L50" i="4"/>
  <c r="C52" i="4"/>
</calcChain>
</file>

<file path=xl/sharedStrings.xml><?xml version="1.0" encoding="utf-8"?>
<sst xmlns="http://schemas.openxmlformats.org/spreadsheetml/2006/main" count="173" uniqueCount="96">
  <si>
    <t>Benin</t>
  </si>
  <si>
    <t>Botswana</t>
  </si>
  <si>
    <t>Comoros</t>
  </si>
  <si>
    <t>Congo</t>
  </si>
  <si>
    <t>Eritrea</t>
  </si>
  <si>
    <t>Ethiopia</t>
  </si>
  <si>
    <t>Mozambique</t>
  </si>
  <si>
    <t>Niger</t>
  </si>
  <si>
    <t>Zimbabwe</t>
  </si>
  <si>
    <t>Burkina Faso</t>
  </si>
  <si>
    <t>Cameroon</t>
  </si>
  <si>
    <t>Chad</t>
  </si>
  <si>
    <t>Eswatini</t>
  </si>
  <si>
    <t>Gabon</t>
  </si>
  <si>
    <t>Gambia</t>
  </si>
  <si>
    <t>Ghana</t>
  </si>
  <si>
    <t>Guinea</t>
  </si>
  <si>
    <t>Guinea-Bissau</t>
  </si>
  <si>
    <t>Kenya</t>
  </si>
  <si>
    <t>Madagascar</t>
  </si>
  <si>
    <t>Senegal</t>
  </si>
  <si>
    <t>Seychelles</t>
  </si>
  <si>
    <t>South Sudan</t>
  </si>
  <si>
    <t>Togo</t>
  </si>
  <si>
    <t>Zambia</t>
  </si>
  <si>
    <t>Angola</t>
  </si>
  <si>
    <t>Burundi</t>
  </si>
  <si>
    <t>Cote d'Ivoire</t>
  </si>
  <si>
    <t>Lesotho</t>
  </si>
  <si>
    <t>Liberia</t>
  </si>
  <si>
    <t>Malawi</t>
  </si>
  <si>
    <t>Mali</t>
  </si>
  <si>
    <t>Mauritania</t>
  </si>
  <si>
    <t>Mauritius</t>
  </si>
  <si>
    <t>Namibia</t>
  </si>
  <si>
    <t>Nigeria</t>
  </si>
  <si>
    <t>Rwanda</t>
  </si>
  <si>
    <t>Sierra Leone</t>
  </si>
  <si>
    <t>South Africa</t>
  </si>
  <si>
    <t>Tanzania</t>
  </si>
  <si>
    <t>Uganda</t>
  </si>
  <si>
    <t>Other Health Workers</t>
  </si>
  <si>
    <t>Med-2021; Pharm-2021;Mid-2021; Nur-2021;Biom-2021; others-2021</t>
  </si>
  <si>
    <t>2022 for all</t>
  </si>
  <si>
    <t>2021 for all</t>
  </si>
  <si>
    <t>Nurs-2022</t>
  </si>
  <si>
    <t>Total</t>
  </si>
  <si>
    <t>Algeria</t>
  </si>
  <si>
    <t>Equatorial Guinea</t>
  </si>
  <si>
    <t>Sao Tome and Principe</t>
  </si>
  <si>
    <t>Med-2021,2022; Nurs-2022; Midw-2022; Other-2021,2022, CHW-2021</t>
  </si>
  <si>
    <t>Other Pharmacy practitioners</t>
  </si>
  <si>
    <t>Other Dental practitioners</t>
  </si>
  <si>
    <t>capacity-HLMA data extracted</t>
  </si>
  <si>
    <t>2030 starategic plan</t>
  </si>
  <si>
    <t>Dent-2018;</t>
  </si>
  <si>
    <t>2018 dataset</t>
  </si>
  <si>
    <t>pharmacist from 2018</t>
  </si>
  <si>
    <t>Total (row)</t>
  </si>
  <si>
    <t>Total (column)</t>
  </si>
  <si>
    <t>2022 data set for -all</t>
  </si>
  <si>
    <t xml:space="preserve">HLMA 2023; Ismaila (2023) </t>
  </si>
  <si>
    <t>Democratic Republic of the Congo</t>
  </si>
  <si>
    <t>Central African Republic</t>
  </si>
  <si>
    <t>Cabo Verde</t>
  </si>
  <si>
    <t>Generalist Medical Practitioners</t>
  </si>
  <si>
    <t>Specialist Medical Practitioners</t>
  </si>
  <si>
    <t>Dentists</t>
  </si>
  <si>
    <t>Pharmacists</t>
  </si>
  <si>
    <t>Midwifery personnel</t>
  </si>
  <si>
    <t>Medical and Pathology Laboratory scientists</t>
  </si>
  <si>
    <t>Paramedical Practitioners</t>
  </si>
  <si>
    <t>Country</t>
  </si>
  <si>
    <t>Row Labels</t>
  </si>
  <si>
    <t>Grand Total</t>
  </si>
  <si>
    <t>Sum of Generalist Medical Practitioners</t>
  </si>
  <si>
    <t>Sum of Specialist Medical Practitioners</t>
  </si>
  <si>
    <t>Sum of Dentists</t>
  </si>
  <si>
    <t>Sum of Other Dental practitioners</t>
  </si>
  <si>
    <t>Sum of Pharmacists</t>
  </si>
  <si>
    <t>Sum of Other Pharmacy practitioners</t>
  </si>
  <si>
    <t>Sum of Midwifery personnel</t>
  </si>
  <si>
    <t>Count of Nursing Professionals</t>
  </si>
  <si>
    <t>Sum of Medical and Pathology Laboratory scientists</t>
  </si>
  <si>
    <t>Sum of Paramedical Practitioners</t>
  </si>
  <si>
    <t>Sum of Other Health Workers</t>
  </si>
  <si>
    <t>Sum of Total</t>
  </si>
  <si>
    <t>NHWA dataset, 2023</t>
  </si>
  <si>
    <t>HLMA data, Dentist-2018; CMHW-2022; Biom -2018;</t>
  </si>
  <si>
    <t>SADC dataset, 2022</t>
  </si>
  <si>
    <t>NHWA dataset, 2023; Other and Medical specialist from 2018 Survey dataset</t>
  </si>
  <si>
    <t>other occupations, Medical specialis taken from 2018 survey dataset</t>
  </si>
  <si>
    <t>NHWA dataset, 2023; Zambia HLMA</t>
  </si>
  <si>
    <t>NHWA dataset, 2023; HLMA dataset, 2019; 2018 survey dataset</t>
  </si>
  <si>
    <t>Data Sorce(s)</t>
  </si>
  <si>
    <t>Nursing Personnel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</si>
</sst>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_(* #,##0_);_(* \(#,##0\);_(* &quot;-&quot;??_);_(@_)"/>
    <numFmt numFmtId="166" formatCode="_(* #,##0.000_);_(* \(#,##0.000\);_(* &quot;-&quot;??_);_(@_)"/>
  </numFmts>
  <fonts count="12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rgb="FF7030A0"/>
      <name val="Arial"/>
      <family val="2"/>
    </font>
    <font>
      <sz val="11"/>
      <name val="Arial"/>
      <family val="2"/>
    </font>
    <font>
      <sz val="11"/>
      <name val="Aptos Narrow"/>
      <family val="2"/>
      <scheme val="minor"/>
    </font>
    <font>
      <b/>
      <sz val="11"/>
      <name val="Arial"/>
      <family val="2"/>
    </font>
    <font>
      <sz val="11"/>
      <color rgb="FFFFC000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B050"/>
      <name val="Arial"/>
      <family val="2"/>
    </font>
    <font>
      <sz val="11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164" fontId="8" fillId="0" borderId="0" applyFon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</cellStyleXfs>
  <cellXfs count="42">
    <xf numFmtId="0" fontId="0" fillId="0" borderId="0" xfId="0"/>
    <xf numFmtId="0" fontId="4" fillId="0" borderId="0" xfId="0" applyFont="1"/>
    <xf numFmtId="0" fontId="3" fillId="0" borderId="0" xfId="0" applyFont="1"/>
    <xf numFmtId="165" fontId="4" fillId="0" borderId="0" xfId="1" applyNumberFormat="1" applyFont="1" applyFill="1" applyAlignment="1"/>
    <xf numFmtId="165" fontId="0" fillId="0" borderId="0" xfId="1" applyNumberFormat="1" applyFont="1" applyAlignment="1"/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/>
    <xf numFmtId="0" fontId="7" fillId="0" borderId="0" xfId="0" applyFont="1" applyAlignment="1">
      <alignment horizontal="center"/>
    </xf>
    <xf numFmtId="0" fontId="7" fillId="0" borderId="0" xfId="0" applyFont="1"/>
    <xf numFmtId="165" fontId="0" fillId="0" borderId="0" xfId="1" applyNumberFormat="1" applyFont="1" applyFill="1" applyAlignment="1">
      <alignment horizontal="center"/>
    </xf>
    <xf numFmtId="165" fontId="0" fillId="0" borderId="0" xfId="1" applyNumberFormat="1" applyFont="1" applyFill="1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pivotButton="1"/>
    <xf numFmtId="0" fontId="4" fillId="0" borderId="0" xfId="0" applyFont="1" applyAlignment="1">
      <alignment horizontal="left"/>
    </xf>
    <xf numFmtId="165" fontId="2" fillId="0" borderId="0" xfId="1" applyNumberFormat="1" applyFont="1" applyFill="1" applyAlignment="1">
      <alignment horizontal="left"/>
    </xf>
    <xf numFmtId="0" fontId="6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165" fontId="4" fillId="0" borderId="0" xfId="1" applyNumberFormat="1" applyFont="1" applyFill="1" applyAlignment="1">
      <alignment horizontal="left"/>
    </xf>
    <xf numFmtId="165" fontId="5" fillId="0" borderId="0" xfId="1" applyNumberFormat="1" applyFont="1" applyFill="1" applyAlignment="1"/>
    <xf numFmtId="3" fontId="2" fillId="0" borderId="0" xfId="1" applyNumberFormat="1" applyFont="1" applyFill="1" applyAlignment="1"/>
    <xf numFmtId="3" fontId="3" fillId="0" borderId="0" xfId="1" applyNumberFormat="1" applyFont="1" applyFill="1" applyAlignment="1"/>
    <xf numFmtId="0" fontId="2" fillId="0" borderId="0" xfId="2" applyFont="1" applyAlignment="1">
      <alignment horizontal="left" vertical="center" wrapText="1"/>
    </xf>
    <xf numFmtId="0" fontId="2" fillId="0" borderId="0" xfId="2" applyFont="1" applyAlignment="1">
      <alignment vertical="center" wrapText="1"/>
    </xf>
    <xf numFmtId="165" fontId="2" fillId="0" borderId="0" xfId="3" applyNumberFormat="1" applyFont="1" applyFill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9" fontId="0" fillId="0" borderId="0" xfId="4" applyFont="1"/>
    <xf numFmtId="166" fontId="0" fillId="0" borderId="0" xfId="1" applyNumberFormat="1" applyFont="1"/>
    <xf numFmtId="9" fontId="0" fillId="0" borderId="0" xfId="4" applyFont="1" applyAlignment="1"/>
    <xf numFmtId="166" fontId="0" fillId="0" borderId="0" xfId="1" applyNumberFormat="1" applyFont="1" applyAlignment="1"/>
    <xf numFmtId="165" fontId="4" fillId="2" borderId="0" xfId="1" applyNumberFormat="1" applyFont="1" applyFill="1" applyAlignment="1"/>
    <xf numFmtId="0" fontId="4" fillId="3" borderId="0" xfId="0" applyFont="1" applyFill="1" applyAlignment="1">
      <alignment horizontal="left"/>
    </xf>
    <xf numFmtId="0" fontId="4" fillId="4" borderId="0" xfId="0" applyFont="1" applyFill="1"/>
    <xf numFmtId="3" fontId="10" fillId="0" borderId="0" xfId="0" applyNumberFormat="1" applyFont="1"/>
    <xf numFmtId="9" fontId="4" fillId="0" borderId="0" xfId="0" applyNumberFormat="1" applyFont="1"/>
    <xf numFmtId="0" fontId="11" fillId="0" borderId="0" xfId="0" applyFont="1"/>
    <xf numFmtId="165" fontId="11" fillId="0" borderId="0" xfId="1" applyNumberFormat="1" applyFont="1" applyFill="1" applyAlignment="1"/>
    <xf numFmtId="9" fontId="0" fillId="0" borderId="0" xfId="0" applyNumberFormat="1"/>
  </cellXfs>
  <cellStyles count="5">
    <cellStyle name="Comma" xfId="1" builtinId="3"/>
    <cellStyle name="Comma 2 2" xfId="3" xr:uid="{53379E01-D342-5D4A-B95A-59DEC7B47416}"/>
    <cellStyle name="Normal" xfId="0" builtinId="0"/>
    <cellStyle name="Normal 2" xfId="2" xr:uid="{5B8B15BB-476C-2940-8750-A242EB6EF789}"/>
    <cellStyle name="Percent" xfId="4" builtinId="5"/>
  </cellStyles>
  <dxfs count="2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Arial"/>
        <family val="2"/>
        <scheme val="none"/>
      </font>
      <numFmt numFmtId="3" formatCode="#,##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7030A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65" formatCode="_(* #,##0_);_(* \(#,##0\);_(* &quot;-&quot;??_);_(@_)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37212524\Desktop\CHPE%20ACTIVITIES\WHO%20PROJECT%20PROPOSAL\CONSULTANCY\2024\Education,%20migration,%20governance.xlsx" TargetMode="External"/><Relationship Id="rId1" Type="http://schemas.openxmlformats.org/officeDocument/2006/relationships/externalLinkPath" Target="file:///C:\Users\37212524\Desktop\CHPE%20ACTIVITIES\WHO%20PROJECT%20PROPOSAL\CONSULTANCY\2024\Education,%20migration,%20governanc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emale in leadership"/>
      <sheetName val="Sheet3"/>
      <sheetName val="Sheet6"/>
      <sheetName val="Sheet11"/>
      <sheetName val="Accreditation"/>
      <sheetName val="Accreditation-Pivot"/>
      <sheetName val="E_Applications"/>
      <sheetName val="Sheet4"/>
      <sheetName val="G_Existence of HWF Unit"/>
      <sheetName val="G_Alignment of educat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mes Avoka Asamani" refreshedDate="45355.95460740741" createdVersion="8" refreshedVersion="8" minRefreshableVersion="3" recordCount="48" xr:uid="{AB45801D-F58A-464A-8F97-6D798ACC670D}">
  <cacheSource type="worksheet">
    <worksheetSource name="Table1"/>
  </cacheSource>
  <cacheFields count="15">
    <cacheField name="Country" numFmtId="0">
      <sharedItems count="48">
        <s v="Algeria"/>
        <s v="Angola"/>
        <s v="Benin"/>
        <s v="Botswana"/>
        <s v="Burkina Faso"/>
        <s v="Burundi"/>
        <s v="Cameroon"/>
        <s v="Cabo Verde"/>
        <s v="Central African Republic"/>
        <s v="Chad"/>
        <s v="Comoros"/>
        <s v="Congo"/>
        <s v="Cote d'Ivoire"/>
        <s v="Democratic Republic of the Congo"/>
        <s v="Equatorial Guinea"/>
        <s v="Eritrea"/>
        <s v="Eswatini"/>
        <s v="Ethiopia"/>
        <s v="Gabon"/>
        <s v="Gambia"/>
        <s v="Ghana"/>
        <s v="Guinea"/>
        <s v="Guinea-Bissau"/>
        <s v="Kenya"/>
        <s v="Lesotho"/>
        <s v="Liberia"/>
        <s v="Madagascar"/>
        <s v="Malawi"/>
        <s v="Mali"/>
        <s v="Mauritania"/>
        <s v="Mauritius"/>
        <s v="Mozambique"/>
        <s v="Namibia"/>
        <s v="Niger"/>
        <s v="Nigeria"/>
        <s v="Rwanda"/>
        <s v="Sao Tome and Principe"/>
        <s v="Senegal"/>
        <s v="Seychelles"/>
        <s v="Sierra Leone"/>
        <s v="South Africa"/>
        <s v="South Sudan"/>
        <s v="Tanzania"/>
        <s v="Togo"/>
        <s v="Uganda"/>
        <s v="Zambia"/>
        <s v="Zimbabwe"/>
        <s v="Total (row)"/>
      </sharedItems>
    </cacheField>
    <cacheField name="Generalist Medical Practitioners" numFmtId="0">
      <sharedItems containsString="0" containsBlank="1" containsNumber="1" containsInteger="1" minValue="8" maxValue="26009"/>
    </cacheField>
    <cacheField name="Specialist Medical Practitioners" numFmtId="0">
      <sharedItems containsString="0" containsBlank="1" containsNumber="1" containsInteger="1" minValue="3" maxValue="4965"/>
    </cacheField>
    <cacheField name="Dentists" numFmtId="0">
      <sharedItems containsString="0" containsBlank="1" containsNumber="1" containsInteger="1" minValue="7" maxValue="2143"/>
    </cacheField>
    <cacheField name="Other Dental practitioners" numFmtId="0">
      <sharedItems containsString="0" containsBlank="1" containsNumber="1" containsInteger="1" minValue="7" maxValue="377"/>
    </cacheField>
    <cacheField name="Pharmacists" numFmtId="0">
      <sharedItems containsString="0" containsBlank="1" containsNumber="1" containsInteger="1" minValue="2" maxValue="5551"/>
    </cacheField>
    <cacheField name="Other Pharmacy practitioners" numFmtId="0">
      <sharedItems containsString="0" containsBlank="1" containsNumber="1" containsInteger="1" minValue="5" maxValue="6480"/>
    </cacheField>
    <cacheField name="Midwifery personnel" numFmtId="0">
      <sharedItems containsString="0" containsBlank="1" containsNumber="1" containsInteger="1" minValue="10" maxValue="35683"/>
    </cacheField>
    <cacheField name="Nursing Professionals" numFmtId="165">
      <sharedItems containsBlank="1" containsMixedTypes="1" containsNumber="1" containsInteger="1" minValue="40" maxValue="120139"/>
    </cacheField>
    <cacheField name="Medical and Pathology Laboratory scientists" numFmtId="0">
      <sharedItems containsString="0" containsBlank="1" containsNumber="1" containsInteger="1" minValue="6" maxValue="14347"/>
    </cacheField>
    <cacheField name="Paramedical Practitioners" numFmtId="0">
      <sharedItems containsString="0" containsBlank="1" containsNumber="1" containsInteger="1" minValue="20" maxValue="1813"/>
    </cacheField>
    <cacheField name="Other Health Workers" numFmtId="0">
      <sharedItems containsString="0" containsBlank="1" containsNumber="1" containsInteger="1" minValue="39" maxValue="37308"/>
    </cacheField>
    <cacheField name="Total" numFmtId="0">
      <sharedItems containsSemiMixedTypes="0" containsString="0" containsNumber="1" containsInteger="1" minValue="0" maxValue="254815"/>
    </cacheField>
    <cacheField name="Year " numFmtId="0">
      <sharedItems containsBlank="1" containsMixedTypes="1" containsNumber="1" containsInteger="1" minValue="2022" maxValue="2022"/>
    </cacheField>
    <cacheField name="Source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">
  <r>
    <x v="0"/>
    <n v="3000"/>
    <m/>
    <m/>
    <m/>
    <m/>
    <m/>
    <m/>
    <m/>
    <m/>
    <m/>
    <m/>
    <n v="3000"/>
    <m/>
    <m/>
  </r>
  <r>
    <x v="1"/>
    <n v="611"/>
    <m/>
    <n v="145"/>
    <m/>
    <n v="529"/>
    <m/>
    <m/>
    <n v="2950"/>
    <m/>
    <m/>
    <m/>
    <n v="4235"/>
    <s v="Dent-2018;"/>
    <m/>
  </r>
  <r>
    <x v="2"/>
    <n v="780"/>
    <n v="385"/>
    <m/>
    <m/>
    <n v="143"/>
    <m/>
    <n v="247"/>
    <n v="257"/>
    <n v="1113"/>
    <m/>
    <n v="1194"/>
    <n v="4119"/>
    <s v="Med-2021; Pharm-2021;Mid-2021; Nur-2021;Biom-2021; others-2021"/>
    <s v="1900 doctors from HLMA dataset"/>
  </r>
  <r>
    <x v="3"/>
    <n v="60"/>
    <n v="48"/>
    <n v="7"/>
    <n v="10"/>
    <n v="95"/>
    <n v="60"/>
    <n v="40"/>
    <s v="490`"/>
    <n v="189"/>
    <n v="30"/>
    <n v="597"/>
    <n v="1136"/>
    <s v="2022 for all"/>
    <m/>
  </r>
  <r>
    <x v="4"/>
    <n v="1492"/>
    <n v="385"/>
    <n v="62"/>
    <m/>
    <n v="594"/>
    <m/>
    <n v="1170"/>
    <n v="1170"/>
    <m/>
    <m/>
    <m/>
    <n v="4873"/>
    <m/>
    <m/>
  </r>
  <r>
    <x v="5"/>
    <n v="325"/>
    <n v="240"/>
    <m/>
    <m/>
    <n v="39"/>
    <m/>
    <n v="196"/>
    <n v="1467"/>
    <n v="322"/>
    <m/>
    <n v="194"/>
    <n v="2783"/>
    <s v="2018 dataset"/>
    <m/>
  </r>
  <r>
    <x v="6"/>
    <n v="800"/>
    <m/>
    <m/>
    <m/>
    <m/>
    <m/>
    <m/>
    <n v="2660"/>
    <n v="800"/>
    <m/>
    <m/>
    <n v="4260"/>
    <m/>
    <m/>
  </r>
  <r>
    <x v="7"/>
    <m/>
    <m/>
    <m/>
    <n v="7"/>
    <m/>
    <m/>
    <m/>
    <m/>
    <m/>
    <m/>
    <n v="83"/>
    <n v="90"/>
    <m/>
    <m/>
  </r>
  <r>
    <x v="8"/>
    <n v="18"/>
    <m/>
    <m/>
    <m/>
    <m/>
    <m/>
    <m/>
    <m/>
    <m/>
    <m/>
    <m/>
    <n v="18"/>
    <m/>
    <m/>
  </r>
  <r>
    <x v="9"/>
    <n v="330"/>
    <n v="30"/>
    <m/>
    <m/>
    <n v="80"/>
    <n v="180"/>
    <n v="2084"/>
    <n v="29020"/>
    <n v="220"/>
    <m/>
    <m/>
    <n v="31944"/>
    <m/>
    <m/>
  </r>
  <r>
    <x v="10"/>
    <m/>
    <m/>
    <m/>
    <m/>
    <m/>
    <m/>
    <n v="29"/>
    <n v="40"/>
    <m/>
    <m/>
    <m/>
    <n v="69"/>
    <s v="2021 for all"/>
    <m/>
  </r>
  <r>
    <x v="11"/>
    <n v="60"/>
    <n v="315"/>
    <m/>
    <n v="10"/>
    <m/>
    <n v="5"/>
    <n v="120"/>
    <n v="60"/>
    <m/>
    <n v="50"/>
    <n v="408"/>
    <n v="1028"/>
    <s v="2022 for all"/>
    <m/>
  </r>
  <r>
    <x v="12"/>
    <n v="254"/>
    <n v="48"/>
    <m/>
    <m/>
    <m/>
    <n v="151"/>
    <m/>
    <n v="1007"/>
    <n v="1106"/>
    <m/>
    <n v="450"/>
    <n v="3016"/>
    <m/>
    <m/>
  </r>
  <r>
    <x v="13"/>
    <m/>
    <m/>
    <m/>
    <m/>
    <m/>
    <m/>
    <m/>
    <m/>
    <m/>
    <m/>
    <n v="84"/>
    <n v="84"/>
    <m/>
    <m/>
  </r>
  <r>
    <x v="14"/>
    <n v="767"/>
    <m/>
    <m/>
    <m/>
    <m/>
    <m/>
    <n v="492"/>
    <n v="962"/>
    <n v="27"/>
    <m/>
    <n v="1304"/>
    <n v="3552"/>
    <m/>
    <m/>
  </r>
  <r>
    <x v="15"/>
    <m/>
    <m/>
    <m/>
    <m/>
    <m/>
    <m/>
    <m/>
    <n v="400"/>
    <m/>
    <m/>
    <n v="1023"/>
    <n v="1423"/>
    <s v="Nurs-2022"/>
    <m/>
  </r>
  <r>
    <x v="16"/>
    <m/>
    <m/>
    <m/>
    <m/>
    <n v="44"/>
    <n v="30"/>
    <n v="80"/>
    <n v="160"/>
    <n v="78"/>
    <m/>
    <n v="58"/>
    <n v="450"/>
    <m/>
    <m/>
  </r>
  <r>
    <x v="17"/>
    <n v="3114"/>
    <n v="880"/>
    <n v="189"/>
    <n v="64"/>
    <n v="699"/>
    <n v="2878"/>
    <n v="2440"/>
    <n v="6298"/>
    <n v="1220"/>
    <n v="1613"/>
    <n v="3672"/>
    <n v="23067"/>
    <s v="2022-all"/>
    <s v="pharmacist from 2018"/>
  </r>
  <r>
    <x v="18"/>
    <n v="46"/>
    <n v="16"/>
    <m/>
    <m/>
    <n v="2"/>
    <m/>
    <n v="34"/>
    <n v="95"/>
    <n v="6"/>
    <m/>
    <m/>
    <n v="199"/>
    <m/>
    <m/>
  </r>
  <r>
    <x v="19"/>
    <n v="23"/>
    <m/>
    <m/>
    <m/>
    <m/>
    <m/>
    <m/>
    <n v="137"/>
    <n v="6"/>
    <m/>
    <m/>
    <n v="166"/>
    <m/>
    <m/>
  </r>
  <r>
    <x v="20"/>
    <n v="1566"/>
    <m/>
    <m/>
    <m/>
    <n v="343"/>
    <m/>
    <n v="4827"/>
    <n v="21271"/>
    <n v="396"/>
    <m/>
    <m/>
    <n v="28403"/>
    <n v="2022"/>
    <s v="HLMA 2023; Ismaila (2023) "/>
  </r>
  <r>
    <x v="21"/>
    <n v="767"/>
    <n v="74"/>
    <m/>
    <m/>
    <n v="113"/>
    <n v="34"/>
    <n v="492"/>
    <n v="964"/>
    <n v="27"/>
    <m/>
    <n v="1304"/>
    <n v="3775"/>
    <m/>
    <m/>
  </r>
  <r>
    <x v="22"/>
    <m/>
    <m/>
    <m/>
    <m/>
    <m/>
    <m/>
    <m/>
    <m/>
    <n v="23"/>
    <m/>
    <n v="489"/>
    <n v="512"/>
    <m/>
    <m/>
  </r>
  <r>
    <x v="23"/>
    <n v="558"/>
    <m/>
    <n v="36"/>
    <m/>
    <n v="379"/>
    <n v="20"/>
    <m/>
    <n v="1070"/>
    <n v="519"/>
    <m/>
    <n v="366"/>
    <n v="2948"/>
    <s v="Dentist-2018; CMHW-2022; Biom -2018;"/>
    <s v="HLMA data"/>
  </r>
  <r>
    <x v="24"/>
    <n v="8"/>
    <n v="22"/>
    <n v="8"/>
    <m/>
    <n v="33"/>
    <n v="20"/>
    <n v="69"/>
    <n v="376"/>
    <n v="20"/>
    <m/>
    <m/>
    <n v="556"/>
    <m/>
    <s v="HLMA extracted data"/>
  </r>
  <r>
    <x v="25"/>
    <n v="29"/>
    <n v="50"/>
    <m/>
    <m/>
    <n v="22"/>
    <m/>
    <m/>
    <n v="63"/>
    <n v="56"/>
    <m/>
    <n v="50"/>
    <n v="270"/>
    <m/>
    <m/>
  </r>
  <r>
    <x v="26"/>
    <n v="316"/>
    <n v="156"/>
    <m/>
    <m/>
    <m/>
    <m/>
    <n v="2473"/>
    <n v="2540"/>
    <n v="116"/>
    <m/>
    <n v="297"/>
    <n v="5898"/>
    <m/>
    <m/>
  </r>
  <r>
    <x v="27"/>
    <n v="115"/>
    <n v="167"/>
    <m/>
    <m/>
    <n v="110"/>
    <n v="189"/>
    <n v="1171"/>
    <n v="386"/>
    <n v="175"/>
    <m/>
    <n v="616"/>
    <n v="2929"/>
    <m/>
    <m/>
  </r>
  <r>
    <x v="28"/>
    <m/>
    <m/>
    <m/>
    <m/>
    <m/>
    <m/>
    <m/>
    <m/>
    <m/>
    <m/>
    <m/>
    <n v="0"/>
    <m/>
    <m/>
  </r>
  <r>
    <x v="29"/>
    <m/>
    <n v="76"/>
    <m/>
    <m/>
    <m/>
    <m/>
    <m/>
    <n v="113"/>
    <m/>
    <m/>
    <n v="366"/>
    <n v="555"/>
    <m/>
    <m/>
  </r>
  <r>
    <x v="30"/>
    <n v="432"/>
    <m/>
    <m/>
    <m/>
    <m/>
    <m/>
    <n v="40"/>
    <n v="175"/>
    <m/>
    <m/>
    <n v="39"/>
    <n v="686"/>
    <n v="2022"/>
    <s v="SADC dataset"/>
  </r>
  <r>
    <x v="31"/>
    <n v="819"/>
    <n v="146"/>
    <n v="161"/>
    <m/>
    <m/>
    <n v="112"/>
    <n v="140"/>
    <n v="580"/>
    <n v="248"/>
    <n v="20"/>
    <m/>
    <n v="2226"/>
    <m/>
    <s v="capacity-HLMA data extracted"/>
  </r>
  <r>
    <x v="32"/>
    <n v="475"/>
    <n v="3"/>
    <m/>
    <m/>
    <n v="247"/>
    <n v="31"/>
    <n v="1414"/>
    <n v="200"/>
    <n v="121"/>
    <m/>
    <n v="175"/>
    <n v="2666"/>
    <m/>
    <s v="capacity-HLMA data extracted, Nurs from 2018 dataset,"/>
  </r>
  <r>
    <x v="33"/>
    <n v="370"/>
    <n v="14"/>
    <m/>
    <m/>
    <m/>
    <m/>
    <n v="124"/>
    <n v="305"/>
    <n v="45"/>
    <m/>
    <n v="1891"/>
    <n v="2749"/>
    <s v="Med-2021,2022; Nurs-2022; Midw-2022; Other-2021,2022, CHW-2021"/>
    <m/>
  </r>
  <r>
    <x v="34"/>
    <n v="4340"/>
    <m/>
    <n v="459"/>
    <m/>
    <m/>
    <m/>
    <n v="375"/>
    <n v="12835"/>
    <n v="1774"/>
    <m/>
    <m/>
    <n v="19783"/>
    <m/>
    <m/>
  </r>
  <r>
    <x v="35"/>
    <n v="11"/>
    <m/>
    <m/>
    <m/>
    <n v="95"/>
    <m/>
    <n v="176"/>
    <n v="355"/>
    <m/>
    <m/>
    <n v="81"/>
    <n v="718"/>
    <m/>
    <m/>
  </r>
  <r>
    <x v="36"/>
    <m/>
    <m/>
    <m/>
    <m/>
    <m/>
    <m/>
    <m/>
    <m/>
    <m/>
    <m/>
    <m/>
    <n v="0"/>
    <m/>
    <m/>
  </r>
  <r>
    <x v="37"/>
    <n v="529"/>
    <m/>
    <n v="70"/>
    <m/>
    <n v="289"/>
    <m/>
    <n v="3600"/>
    <n v="3500"/>
    <n v="36"/>
    <m/>
    <n v="710"/>
    <n v="8734"/>
    <m/>
    <s v="Others from 2018 dataset"/>
  </r>
  <r>
    <x v="38"/>
    <n v="10"/>
    <m/>
    <m/>
    <m/>
    <m/>
    <n v="20"/>
    <n v="10"/>
    <n v="40"/>
    <m/>
    <m/>
    <n v="80"/>
    <n v="160"/>
    <m/>
    <m/>
  </r>
  <r>
    <x v="39"/>
    <n v="217"/>
    <m/>
    <m/>
    <m/>
    <n v="69"/>
    <n v="51"/>
    <n v="120"/>
    <n v="1755"/>
    <n v="90"/>
    <m/>
    <n v="186"/>
    <n v="2488"/>
    <m/>
    <s v="Lower figure sreoirted on extracted data"/>
  </r>
  <r>
    <x v="40"/>
    <n v="998"/>
    <m/>
    <n v="805"/>
    <m/>
    <n v="1291"/>
    <m/>
    <m/>
    <n v="3154"/>
    <n v="451"/>
    <m/>
    <n v="13559"/>
    <n v="20258"/>
    <m/>
    <s v="2030 starategic plan"/>
  </r>
  <r>
    <x v="41"/>
    <m/>
    <m/>
    <m/>
    <m/>
    <m/>
    <m/>
    <n v="307"/>
    <n v="241"/>
    <n v="681"/>
    <m/>
    <n v="484"/>
    <n v="1713"/>
    <m/>
    <s v="2018 dataset"/>
  </r>
  <r>
    <x v="42"/>
    <n v="330"/>
    <n v="1597"/>
    <n v="80"/>
    <m/>
    <m/>
    <n v="629"/>
    <n v="2084"/>
    <n v="2920"/>
    <n v="17"/>
    <m/>
    <n v="5457"/>
    <n v="13114"/>
    <m/>
    <s v="Other and Medical specialist from 2018 dataHLMA dsts extracted"/>
  </r>
  <r>
    <x v="43"/>
    <n v="77"/>
    <n v="37"/>
    <m/>
    <m/>
    <n v="60"/>
    <m/>
    <n v="130"/>
    <n v="240"/>
    <n v="215"/>
    <m/>
    <n v="250"/>
    <n v="1009"/>
    <m/>
    <s v="other, Med specialis-2018;"/>
  </r>
  <r>
    <x v="44"/>
    <n v="1997"/>
    <n v="246"/>
    <n v="41"/>
    <n v="220"/>
    <n v="120"/>
    <n v="1860"/>
    <n v="8990"/>
    <n v="14001"/>
    <n v="3610"/>
    <m/>
    <n v="1020"/>
    <n v="32105"/>
    <m/>
    <s v="Den-2018, specialist-2018"/>
  </r>
  <r>
    <x v="45"/>
    <n v="100"/>
    <m/>
    <m/>
    <n v="36"/>
    <m/>
    <n v="180"/>
    <n v="1939"/>
    <n v="5272"/>
    <n v="282"/>
    <n v="100"/>
    <n v="400"/>
    <n v="8309"/>
    <m/>
    <s v="Zambia HLMA"/>
  </r>
  <r>
    <x v="46"/>
    <n v="265"/>
    <n v="30"/>
    <n v="80"/>
    <n v="30"/>
    <n v="155"/>
    <n v="30"/>
    <n v="270"/>
    <n v="1100"/>
    <n v="358"/>
    <m/>
    <n v="421"/>
    <n v="2739"/>
    <s v="2022 data set for -all"/>
    <m/>
  </r>
  <r>
    <x v="47"/>
    <n v="26009"/>
    <n v="4965"/>
    <n v="2143"/>
    <n v="377"/>
    <n v="5551"/>
    <n v="6480"/>
    <n v="35683"/>
    <n v="120139"/>
    <n v="14347"/>
    <n v="1813"/>
    <n v="37308"/>
    <n v="254815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9EF861-4139-EE4A-A2C0-19491D335539}" name="PivotTable8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M52" firstHeaderRow="0" firstDataRow="1" firstDataCol="1"/>
  <pivotFields count="15">
    <pivotField axis="axisRow" showAll="0">
      <items count="49">
        <item x="0"/>
        <item x="1"/>
        <item x="2"/>
        <item x="3"/>
        <item x="4"/>
        <item x="5"/>
        <item x="7"/>
        <item x="6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7"/>
        <item x="44"/>
        <item x="45"/>
        <item x="46"/>
        <item t="default"/>
      </items>
    </pivotField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showAll="0"/>
  </pivotFields>
  <rowFields count="1">
    <field x="0"/>
  </rowFields>
  <rowItems count="4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 t="grand">
      <x/>
    </i>
  </rowItems>
  <colFields count="1">
    <field x="-2"/>
  </colFields>
  <colItems count="12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</colItems>
  <dataFields count="12">
    <dataField name="Sum of Generalist Medical Practitioners" fld="1" baseField="0" baseItem="0"/>
    <dataField name="Sum of Specialist Medical Practitioners" fld="2" baseField="0" baseItem="0"/>
    <dataField name="Sum of Dentists" fld="3" baseField="0" baseItem="0"/>
    <dataField name="Sum of Other Dental practitioners" fld="4" baseField="0" baseItem="0"/>
    <dataField name="Sum of Pharmacists" fld="5" baseField="0" baseItem="0"/>
    <dataField name="Sum of Other Pharmacy practitioners" fld="6" baseField="0" baseItem="0"/>
    <dataField name="Sum of Midwifery personnel" fld="7" baseField="0" baseItem="0"/>
    <dataField name="Count of Nursing Professionals" fld="8" subtotal="count" baseField="0" baseItem="0"/>
    <dataField name="Sum of Medical and Pathology Laboratory scientists" fld="9" baseField="0" baseItem="0"/>
    <dataField name="Sum of Paramedical Practitioners" fld="10" baseField="0" baseItem="0"/>
    <dataField name="Sum of Other Health Workers" fld="11" baseField="0" baseItem="0"/>
    <dataField name="Sum of Total" fld="1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96C5B2E-0E53-9242-B9AB-92D2102473E2}" name="Table1" displayName="Table1" ref="A1:N50" totalsRowCount="1" headerRowDxfId="28">
  <autoFilter ref="A1:N49" xr:uid="{E96C5B2E-0E53-9242-B9AB-92D2102473E2}"/>
  <tableColumns count="14">
    <tableColumn id="1" xr3:uid="{DF7E5635-E61D-6843-890E-A49EAE18CABD}" name="Country" totalsRowLabel="Total" dataDxfId="27" totalsRowDxfId="26"/>
    <tableColumn id="2" xr3:uid="{0A8F987E-BDEA-3346-ABBD-A4C1610D3233}" name="Generalist Medical Practitioners" dataDxfId="25" totalsRowDxfId="24"/>
    <tableColumn id="3" xr3:uid="{A6EA4D98-859D-5249-B670-E2648DA43E07}" name="Specialist Medical Practitioners" dataDxfId="23" totalsRowDxfId="22"/>
    <tableColumn id="4" xr3:uid="{89A81064-ADC2-DB4F-BA7E-4F512F118DA3}" name="Dentists" dataDxfId="21" totalsRowDxfId="20"/>
    <tableColumn id="5" xr3:uid="{6F9497DC-98AA-674F-8F33-C4F020D8C0E0}" name="Other Dental practitioners" dataDxfId="19" totalsRowDxfId="18"/>
    <tableColumn id="6" xr3:uid="{5DF7402E-61B8-8E4B-ADFB-AB04929ABCC8}" name="Pharmacists" dataDxfId="17" totalsRowDxfId="16"/>
    <tableColumn id="7" xr3:uid="{051FC208-5128-6B4C-986C-EC612809BD96}" name="Other Pharmacy practitioners" dataDxfId="15" totalsRowDxfId="14"/>
    <tableColumn id="8" xr3:uid="{491E1509-B57B-9247-98E2-0FA3EB365D7B}" name="Midwifery personnel" dataDxfId="13" totalsRowDxfId="12"/>
    <tableColumn id="9" xr3:uid="{266ABA76-D23E-9345-B9B3-44ADCFE095ED}" name="Nursing Personnel" dataDxfId="11" totalsRowDxfId="10" dataCellStyle="Comma"/>
    <tableColumn id="10" xr3:uid="{430CFCE8-A0E0-D643-B2D8-23A807F0DF02}" name="Medical and Pathology Laboratory scientists" dataDxfId="9" totalsRowDxfId="8"/>
    <tableColumn id="11" xr3:uid="{D0D03E61-40AF-6E4A-BB67-1D5B6A731326}" name="Paramedical Practitioners" dataDxfId="7" totalsRowDxfId="6"/>
    <tableColumn id="12" xr3:uid="{0F81AA18-7627-6643-A0AB-A213866C623B}" name="Other Health Workers" totalsRowFunction="custom" dataDxfId="5" totalsRowDxfId="4">
      <totalsRowFormula>L49/Table1[[#Totals],[Total]]</totalsRowFormula>
    </tableColumn>
    <tableColumn id="13" xr3:uid="{DF15877D-A72A-3041-9A0E-93FADD6560E4}" name="Total" totalsRowFunction="custom" dataDxfId="3" totalsRowDxfId="2">
      <totalsRowFormula>M49-C49</totalsRowFormula>
    </tableColumn>
    <tableColumn id="14" xr3:uid="{4F805A75-8655-AC44-B81B-DA4A8637FF71}" name="Data Sorce(s)" dataDxfId="1" totalsRowDxfId="0"/>
  </tableColumns>
  <tableStyleInfo name="TableStyleMedium1" showFirstColumn="1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EDCA2-029F-914F-88C3-CD56A7C82519}">
  <dimension ref="A3:M52"/>
  <sheetViews>
    <sheetView workbookViewId="0">
      <selection activeCell="G13" sqref="G13"/>
    </sheetView>
  </sheetViews>
  <sheetFormatPr defaultColWidth="11.54296875" defaultRowHeight="14.5" x14ac:dyDescent="0.35"/>
  <cols>
    <col min="1" max="1" width="26.6328125" bestFit="1" customWidth="1"/>
    <col min="2" max="2" width="32.453125" bestFit="1" customWidth="1"/>
    <col min="3" max="3" width="32" bestFit="1" customWidth="1"/>
    <col min="4" max="4" width="13.453125" bestFit="1" customWidth="1"/>
    <col min="5" max="5" width="27.81640625" bestFit="1" customWidth="1"/>
    <col min="6" max="6" width="16.453125" bestFit="1" customWidth="1"/>
    <col min="7" max="7" width="30.08984375" bestFit="1" customWidth="1"/>
    <col min="8" max="8" width="23" bestFit="1" customWidth="1"/>
    <col min="9" max="9" width="25.36328125" bestFit="1" customWidth="1"/>
    <col min="10" max="10" width="41.453125" bestFit="1" customWidth="1"/>
    <col min="11" max="11" width="27.36328125" bestFit="1" customWidth="1"/>
    <col min="12" max="12" width="24" bestFit="1" customWidth="1"/>
    <col min="13" max="13" width="10.6328125" bestFit="1" customWidth="1"/>
  </cols>
  <sheetData>
    <row r="3" spans="1:13" x14ac:dyDescent="0.35">
      <c r="A3" s="14" t="s">
        <v>73</v>
      </c>
      <c r="B3" t="s">
        <v>75</v>
      </c>
      <c r="C3" t="s">
        <v>76</v>
      </c>
      <c r="D3" t="s">
        <v>77</v>
      </c>
      <c r="E3" t="s">
        <v>78</v>
      </c>
      <c r="F3" t="s">
        <v>79</v>
      </c>
      <c r="G3" t="s">
        <v>80</v>
      </c>
      <c r="H3" t="s">
        <v>81</v>
      </c>
      <c r="I3" t="s">
        <v>82</v>
      </c>
      <c r="J3" t="s">
        <v>83</v>
      </c>
      <c r="K3" t="s">
        <v>84</v>
      </c>
      <c r="L3" t="s">
        <v>85</v>
      </c>
      <c r="M3" t="s">
        <v>86</v>
      </c>
    </row>
    <row r="4" spans="1:13" x14ac:dyDescent="0.35">
      <c r="A4" s="13" t="s">
        <v>47</v>
      </c>
      <c r="B4">
        <v>3000</v>
      </c>
      <c r="M4">
        <v>3000</v>
      </c>
    </row>
    <row r="5" spans="1:13" x14ac:dyDescent="0.35">
      <c r="A5" s="13" t="s">
        <v>25</v>
      </c>
      <c r="B5">
        <v>611</v>
      </c>
      <c r="D5">
        <v>145</v>
      </c>
      <c r="F5">
        <v>529</v>
      </c>
      <c r="I5">
        <v>1</v>
      </c>
      <c r="M5">
        <v>4235</v>
      </c>
    </row>
    <row r="6" spans="1:13" x14ac:dyDescent="0.35">
      <c r="A6" s="13" t="s">
        <v>0</v>
      </c>
      <c r="B6">
        <v>780</v>
      </c>
      <c r="C6">
        <v>385</v>
      </c>
      <c r="F6">
        <v>143</v>
      </c>
      <c r="H6">
        <v>247</v>
      </c>
      <c r="I6">
        <v>1</v>
      </c>
      <c r="J6">
        <v>1113</v>
      </c>
      <c r="L6">
        <v>1194</v>
      </c>
      <c r="M6">
        <v>4119</v>
      </c>
    </row>
    <row r="7" spans="1:13" x14ac:dyDescent="0.35">
      <c r="A7" s="13" t="s">
        <v>1</v>
      </c>
      <c r="B7">
        <v>60</v>
      </c>
      <c r="C7">
        <v>48</v>
      </c>
      <c r="D7">
        <v>7</v>
      </c>
      <c r="E7">
        <v>10</v>
      </c>
      <c r="F7">
        <v>95</v>
      </c>
      <c r="G7">
        <v>60</v>
      </c>
      <c r="H7">
        <v>40</v>
      </c>
      <c r="I7">
        <v>1</v>
      </c>
      <c r="J7">
        <v>189</v>
      </c>
      <c r="K7">
        <v>30</v>
      </c>
      <c r="L7">
        <v>597</v>
      </c>
      <c r="M7">
        <v>1136</v>
      </c>
    </row>
    <row r="8" spans="1:13" x14ac:dyDescent="0.35">
      <c r="A8" s="13" t="s">
        <v>9</v>
      </c>
      <c r="B8">
        <v>1492</v>
      </c>
      <c r="C8">
        <v>385</v>
      </c>
      <c r="D8">
        <v>62</v>
      </c>
      <c r="F8">
        <v>594</v>
      </c>
      <c r="H8">
        <v>1170</v>
      </c>
      <c r="I8">
        <v>1</v>
      </c>
      <c r="M8">
        <v>4873</v>
      </c>
    </row>
    <row r="9" spans="1:13" x14ac:dyDescent="0.35">
      <c r="A9" s="13" t="s">
        <v>26</v>
      </c>
      <c r="B9">
        <v>325</v>
      </c>
      <c r="C9">
        <v>240</v>
      </c>
      <c r="F9">
        <v>39</v>
      </c>
      <c r="H9">
        <v>196</v>
      </c>
      <c r="I9">
        <v>1</v>
      </c>
      <c r="J9">
        <v>322</v>
      </c>
      <c r="L9">
        <v>194</v>
      </c>
      <c r="M9">
        <v>2783</v>
      </c>
    </row>
    <row r="10" spans="1:13" x14ac:dyDescent="0.35">
      <c r="A10" s="13" t="s">
        <v>64</v>
      </c>
      <c r="E10">
        <v>7</v>
      </c>
      <c r="L10">
        <v>83</v>
      </c>
      <c r="M10">
        <v>90</v>
      </c>
    </row>
    <row r="11" spans="1:13" x14ac:dyDescent="0.35">
      <c r="A11" s="13" t="s">
        <v>10</v>
      </c>
      <c r="B11">
        <v>800</v>
      </c>
      <c r="I11">
        <v>1</v>
      </c>
      <c r="J11">
        <v>800</v>
      </c>
      <c r="M11">
        <v>4260</v>
      </c>
    </row>
    <row r="12" spans="1:13" x14ac:dyDescent="0.35">
      <c r="A12" s="13" t="s">
        <v>63</v>
      </c>
      <c r="B12">
        <v>18</v>
      </c>
      <c r="M12">
        <v>18</v>
      </c>
    </row>
    <row r="13" spans="1:13" x14ac:dyDescent="0.35">
      <c r="A13" s="13" t="s">
        <v>11</v>
      </c>
      <c r="B13">
        <v>330</v>
      </c>
      <c r="C13">
        <v>30</v>
      </c>
      <c r="F13">
        <v>80</v>
      </c>
      <c r="G13">
        <v>180</v>
      </c>
      <c r="H13">
        <v>2084</v>
      </c>
      <c r="I13">
        <v>1</v>
      </c>
      <c r="J13">
        <v>220</v>
      </c>
      <c r="M13">
        <v>31944</v>
      </c>
    </row>
    <row r="14" spans="1:13" x14ac:dyDescent="0.35">
      <c r="A14" s="13" t="s">
        <v>2</v>
      </c>
      <c r="H14">
        <v>29</v>
      </c>
      <c r="I14">
        <v>1</v>
      </c>
      <c r="M14">
        <v>69</v>
      </c>
    </row>
    <row r="15" spans="1:13" x14ac:dyDescent="0.35">
      <c r="A15" s="13" t="s">
        <v>3</v>
      </c>
      <c r="B15">
        <v>60</v>
      </c>
      <c r="C15">
        <v>315</v>
      </c>
      <c r="E15">
        <v>10</v>
      </c>
      <c r="G15">
        <v>5</v>
      </c>
      <c r="H15">
        <v>120</v>
      </c>
      <c r="I15">
        <v>1</v>
      </c>
      <c r="K15">
        <v>50</v>
      </c>
      <c r="L15">
        <v>408</v>
      </c>
      <c r="M15">
        <v>1028</v>
      </c>
    </row>
    <row r="16" spans="1:13" x14ac:dyDescent="0.35">
      <c r="A16" s="13" t="s">
        <v>27</v>
      </c>
      <c r="B16">
        <v>254</v>
      </c>
      <c r="C16">
        <v>48</v>
      </c>
      <c r="G16">
        <v>151</v>
      </c>
      <c r="I16">
        <v>1</v>
      </c>
      <c r="J16">
        <v>1106</v>
      </c>
      <c r="L16">
        <v>450</v>
      </c>
      <c r="M16">
        <v>3016</v>
      </c>
    </row>
    <row r="17" spans="1:13" x14ac:dyDescent="0.35">
      <c r="A17" s="13" t="s">
        <v>62</v>
      </c>
      <c r="L17">
        <v>84</v>
      </c>
      <c r="M17">
        <v>84</v>
      </c>
    </row>
    <row r="18" spans="1:13" x14ac:dyDescent="0.35">
      <c r="A18" s="13" t="s">
        <v>48</v>
      </c>
      <c r="B18">
        <v>767</v>
      </c>
      <c r="H18">
        <v>492</v>
      </c>
      <c r="I18">
        <v>1</v>
      </c>
      <c r="J18">
        <v>27</v>
      </c>
      <c r="L18">
        <v>1304</v>
      </c>
      <c r="M18">
        <v>3552</v>
      </c>
    </row>
    <row r="19" spans="1:13" x14ac:dyDescent="0.35">
      <c r="A19" s="13" t="s">
        <v>4</v>
      </c>
      <c r="I19">
        <v>1</v>
      </c>
      <c r="L19">
        <v>1023</v>
      </c>
      <c r="M19">
        <v>1423</v>
      </c>
    </row>
    <row r="20" spans="1:13" x14ac:dyDescent="0.35">
      <c r="A20" s="13" t="s">
        <v>12</v>
      </c>
      <c r="F20">
        <v>44</v>
      </c>
      <c r="G20">
        <v>30</v>
      </c>
      <c r="H20">
        <v>80</v>
      </c>
      <c r="I20">
        <v>1</v>
      </c>
      <c r="J20">
        <v>78</v>
      </c>
      <c r="L20">
        <v>58</v>
      </c>
      <c r="M20">
        <v>450</v>
      </c>
    </row>
    <row r="21" spans="1:13" x14ac:dyDescent="0.35">
      <c r="A21" s="13" t="s">
        <v>5</v>
      </c>
      <c r="B21">
        <v>3114</v>
      </c>
      <c r="C21">
        <v>880</v>
      </c>
      <c r="D21">
        <v>189</v>
      </c>
      <c r="E21">
        <v>64</v>
      </c>
      <c r="F21">
        <v>699</v>
      </c>
      <c r="G21">
        <v>2878</v>
      </c>
      <c r="H21">
        <v>2440</v>
      </c>
      <c r="I21">
        <v>1</v>
      </c>
      <c r="J21">
        <v>1220</v>
      </c>
      <c r="K21">
        <v>1613</v>
      </c>
      <c r="L21">
        <v>3672</v>
      </c>
      <c r="M21">
        <v>23067</v>
      </c>
    </row>
    <row r="22" spans="1:13" x14ac:dyDescent="0.35">
      <c r="A22" s="13" t="s">
        <v>13</v>
      </c>
      <c r="B22">
        <v>46</v>
      </c>
      <c r="C22">
        <v>16</v>
      </c>
      <c r="F22">
        <v>2</v>
      </c>
      <c r="H22">
        <v>34</v>
      </c>
      <c r="I22">
        <v>1</v>
      </c>
      <c r="J22">
        <v>6</v>
      </c>
      <c r="M22">
        <v>199</v>
      </c>
    </row>
    <row r="23" spans="1:13" x14ac:dyDescent="0.35">
      <c r="A23" s="13" t="s">
        <v>14</v>
      </c>
      <c r="B23">
        <v>23</v>
      </c>
      <c r="I23">
        <v>1</v>
      </c>
      <c r="J23">
        <v>6</v>
      </c>
      <c r="M23">
        <v>166</v>
      </c>
    </row>
    <row r="24" spans="1:13" x14ac:dyDescent="0.35">
      <c r="A24" s="13" t="s">
        <v>15</v>
      </c>
      <c r="B24">
        <v>1566</v>
      </c>
      <c r="F24">
        <v>343</v>
      </c>
      <c r="H24">
        <v>4827</v>
      </c>
      <c r="I24">
        <v>1</v>
      </c>
      <c r="J24">
        <v>396</v>
      </c>
      <c r="M24">
        <v>28403</v>
      </c>
    </row>
    <row r="25" spans="1:13" x14ac:dyDescent="0.35">
      <c r="A25" s="13" t="s">
        <v>16</v>
      </c>
      <c r="B25">
        <v>767</v>
      </c>
      <c r="C25">
        <v>74</v>
      </c>
      <c r="F25">
        <v>113</v>
      </c>
      <c r="G25">
        <v>34</v>
      </c>
      <c r="H25">
        <v>492</v>
      </c>
      <c r="I25">
        <v>1</v>
      </c>
      <c r="J25">
        <v>27</v>
      </c>
      <c r="L25">
        <v>1304</v>
      </c>
      <c r="M25">
        <v>3775</v>
      </c>
    </row>
    <row r="26" spans="1:13" x14ac:dyDescent="0.35">
      <c r="A26" s="13" t="s">
        <v>17</v>
      </c>
      <c r="J26">
        <v>23</v>
      </c>
      <c r="L26">
        <v>489</v>
      </c>
      <c r="M26">
        <v>512</v>
      </c>
    </row>
    <row r="27" spans="1:13" x14ac:dyDescent="0.35">
      <c r="A27" s="13" t="s">
        <v>18</v>
      </c>
      <c r="B27">
        <v>558</v>
      </c>
      <c r="D27">
        <v>36</v>
      </c>
      <c r="F27">
        <v>379</v>
      </c>
      <c r="G27">
        <v>20</v>
      </c>
      <c r="I27">
        <v>1</v>
      </c>
      <c r="J27">
        <v>519</v>
      </c>
      <c r="L27">
        <v>366</v>
      </c>
      <c r="M27">
        <v>2948</v>
      </c>
    </row>
    <row r="28" spans="1:13" x14ac:dyDescent="0.35">
      <c r="A28" s="13" t="s">
        <v>28</v>
      </c>
      <c r="B28">
        <v>8</v>
      </c>
      <c r="C28">
        <v>22</v>
      </c>
      <c r="D28">
        <v>8</v>
      </c>
      <c r="F28">
        <v>33</v>
      </c>
      <c r="G28">
        <v>20</v>
      </c>
      <c r="H28">
        <v>69</v>
      </c>
      <c r="I28">
        <v>1</v>
      </c>
      <c r="J28">
        <v>20</v>
      </c>
      <c r="M28">
        <v>556</v>
      </c>
    </row>
    <row r="29" spans="1:13" x14ac:dyDescent="0.35">
      <c r="A29" s="13" t="s">
        <v>29</v>
      </c>
      <c r="B29">
        <v>29</v>
      </c>
      <c r="C29">
        <v>50</v>
      </c>
      <c r="F29">
        <v>22</v>
      </c>
      <c r="I29">
        <v>1</v>
      </c>
      <c r="J29">
        <v>56</v>
      </c>
      <c r="L29">
        <v>50</v>
      </c>
      <c r="M29">
        <v>270</v>
      </c>
    </row>
    <row r="30" spans="1:13" x14ac:dyDescent="0.35">
      <c r="A30" s="13" t="s">
        <v>19</v>
      </c>
      <c r="B30">
        <v>316</v>
      </c>
      <c r="C30">
        <v>156</v>
      </c>
      <c r="H30">
        <v>2473</v>
      </c>
      <c r="I30">
        <v>1</v>
      </c>
      <c r="J30">
        <v>116</v>
      </c>
      <c r="L30">
        <v>297</v>
      </c>
      <c r="M30">
        <v>5898</v>
      </c>
    </row>
    <row r="31" spans="1:13" x14ac:dyDescent="0.35">
      <c r="A31" s="13" t="s">
        <v>30</v>
      </c>
      <c r="B31">
        <v>115</v>
      </c>
      <c r="C31">
        <v>167</v>
      </c>
      <c r="F31">
        <v>110</v>
      </c>
      <c r="G31">
        <v>189</v>
      </c>
      <c r="H31">
        <v>1171</v>
      </c>
      <c r="I31">
        <v>1</v>
      </c>
      <c r="J31">
        <v>175</v>
      </c>
      <c r="L31">
        <v>616</v>
      </c>
      <c r="M31">
        <v>2929</v>
      </c>
    </row>
    <row r="32" spans="1:13" x14ac:dyDescent="0.35">
      <c r="A32" s="13" t="s">
        <v>31</v>
      </c>
      <c r="M32">
        <v>0</v>
      </c>
    </row>
    <row r="33" spans="1:13" x14ac:dyDescent="0.35">
      <c r="A33" s="13" t="s">
        <v>32</v>
      </c>
      <c r="C33">
        <v>76</v>
      </c>
      <c r="I33">
        <v>1</v>
      </c>
      <c r="L33">
        <v>366</v>
      </c>
      <c r="M33">
        <v>555</v>
      </c>
    </row>
    <row r="34" spans="1:13" x14ac:dyDescent="0.35">
      <c r="A34" s="13" t="s">
        <v>33</v>
      </c>
      <c r="B34">
        <v>432</v>
      </c>
      <c r="H34">
        <v>40</v>
      </c>
      <c r="I34">
        <v>1</v>
      </c>
      <c r="L34">
        <v>39</v>
      </c>
      <c r="M34">
        <v>686</v>
      </c>
    </row>
    <row r="35" spans="1:13" x14ac:dyDescent="0.35">
      <c r="A35" s="13" t="s">
        <v>6</v>
      </c>
      <c r="B35">
        <v>819</v>
      </c>
      <c r="C35">
        <v>146</v>
      </c>
      <c r="D35">
        <v>161</v>
      </c>
      <c r="G35">
        <v>112</v>
      </c>
      <c r="H35">
        <v>140</v>
      </c>
      <c r="I35">
        <v>1</v>
      </c>
      <c r="J35">
        <v>248</v>
      </c>
      <c r="K35">
        <v>20</v>
      </c>
      <c r="M35">
        <v>2226</v>
      </c>
    </row>
    <row r="36" spans="1:13" x14ac:dyDescent="0.35">
      <c r="A36" s="13" t="s">
        <v>34</v>
      </c>
      <c r="B36">
        <v>475</v>
      </c>
      <c r="C36">
        <v>3</v>
      </c>
      <c r="F36">
        <v>247</v>
      </c>
      <c r="G36">
        <v>31</v>
      </c>
      <c r="H36">
        <v>1414</v>
      </c>
      <c r="I36">
        <v>1</v>
      </c>
      <c r="J36">
        <v>121</v>
      </c>
      <c r="L36">
        <v>175</v>
      </c>
      <c r="M36">
        <v>2666</v>
      </c>
    </row>
    <row r="37" spans="1:13" x14ac:dyDescent="0.35">
      <c r="A37" s="13" t="s">
        <v>7</v>
      </c>
      <c r="B37">
        <v>370</v>
      </c>
      <c r="C37">
        <v>14</v>
      </c>
      <c r="H37">
        <v>124</v>
      </c>
      <c r="I37">
        <v>1</v>
      </c>
      <c r="J37">
        <v>45</v>
      </c>
      <c r="L37">
        <v>1891</v>
      </c>
      <c r="M37">
        <v>2749</v>
      </c>
    </row>
    <row r="38" spans="1:13" x14ac:dyDescent="0.35">
      <c r="A38" s="13" t="s">
        <v>35</v>
      </c>
      <c r="B38">
        <v>4340</v>
      </c>
      <c r="D38">
        <v>459</v>
      </c>
      <c r="H38">
        <v>375</v>
      </c>
      <c r="I38">
        <v>1</v>
      </c>
      <c r="J38">
        <v>1774</v>
      </c>
      <c r="M38">
        <v>19783</v>
      </c>
    </row>
    <row r="39" spans="1:13" x14ac:dyDescent="0.35">
      <c r="A39" s="13" t="s">
        <v>36</v>
      </c>
      <c r="B39">
        <v>11</v>
      </c>
      <c r="F39">
        <v>95</v>
      </c>
      <c r="H39">
        <v>176</v>
      </c>
      <c r="I39">
        <v>1</v>
      </c>
      <c r="L39">
        <v>81</v>
      </c>
      <c r="M39">
        <v>718</v>
      </c>
    </row>
    <row r="40" spans="1:13" x14ac:dyDescent="0.35">
      <c r="A40" s="13" t="s">
        <v>49</v>
      </c>
      <c r="M40">
        <v>0</v>
      </c>
    </row>
    <row r="41" spans="1:13" x14ac:dyDescent="0.35">
      <c r="A41" s="13" t="s">
        <v>20</v>
      </c>
      <c r="B41">
        <v>529</v>
      </c>
      <c r="D41">
        <v>70</v>
      </c>
      <c r="F41">
        <v>289</v>
      </c>
      <c r="H41">
        <v>3600</v>
      </c>
      <c r="I41">
        <v>1</v>
      </c>
      <c r="J41">
        <v>36</v>
      </c>
      <c r="L41">
        <v>710</v>
      </c>
      <c r="M41">
        <v>8734</v>
      </c>
    </row>
    <row r="42" spans="1:13" x14ac:dyDescent="0.35">
      <c r="A42" s="13" t="s">
        <v>21</v>
      </c>
      <c r="B42">
        <v>10</v>
      </c>
      <c r="G42">
        <v>20</v>
      </c>
      <c r="H42">
        <v>10</v>
      </c>
      <c r="I42">
        <v>1</v>
      </c>
      <c r="L42">
        <v>80</v>
      </c>
      <c r="M42">
        <v>160</v>
      </c>
    </row>
    <row r="43" spans="1:13" x14ac:dyDescent="0.35">
      <c r="A43" s="13" t="s">
        <v>37</v>
      </c>
      <c r="B43">
        <v>217</v>
      </c>
      <c r="F43">
        <v>69</v>
      </c>
      <c r="G43">
        <v>51</v>
      </c>
      <c r="H43">
        <v>120</v>
      </c>
      <c r="I43">
        <v>1</v>
      </c>
      <c r="J43">
        <v>90</v>
      </c>
      <c r="L43">
        <v>186</v>
      </c>
      <c r="M43">
        <v>2488</v>
      </c>
    </row>
    <row r="44" spans="1:13" x14ac:dyDescent="0.35">
      <c r="A44" s="13" t="s">
        <v>38</v>
      </c>
      <c r="B44">
        <v>998</v>
      </c>
      <c r="D44">
        <v>805</v>
      </c>
      <c r="F44">
        <v>1291</v>
      </c>
      <c r="I44">
        <v>1</v>
      </c>
      <c r="J44">
        <v>451</v>
      </c>
      <c r="L44">
        <v>13559</v>
      </c>
      <c r="M44">
        <v>20258</v>
      </c>
    </row>
    <row r="45" spans="1:13" x14ac:dyDescent="0.35">
      <c r="A45" s="13" t="s">
        <v>22</v>
      </c>
      <c r="H45">
        <v>307</v>
      </c>
      <c r="I45">
        <v>1</v>
      </c>
      <c r="J45">
        <v>681</v>
      </c>
      <c r="L45">
        <v>484</v>
      </c>
      <c r="M45">
        <v>1713</v>
      </c>
    </row>
    <row r="46" spans="1:13" x14ac:dyDescent="0.35">
      <c r="A46" s="13" t="s">
        <v>39</v>
      </c>
      <c r="B46">
        <v>330</v>
      </c>
      <c r="C46">
        <v>1597</v>
      </c>
      <c r="D46">
        <v>80</v>
      </c>
      <c r="G46">
        <v>629</v>
      </c>
      <c r="H46">
        <v>2084</v>
      </c>
      <c r="I46">
        <v>1</v>
      </c>
      <c r="J46">
        <v>17</v>
      </c>
      <c r="L46">
        <v>5457</v>
      </c>
      <c r="M46">
        <v>13114</v>
      </c>
    </row>
    <row r="47" spans="1:13" x14ac:dyDescent="0.35">
      <c r="A47" s="13" t="s">
        <v>23</v>
      </c>
      <c r="B47">
        <v>77</v>
      </c>
      <c r="C47">
        <v>37</v>
      </c>
      <c r="F47">
        <v>60</v>
      </c>
      <c r="H47">
        <v>130</v>
      </c>
      <c r="I47">
        <v>1</v>
      </c>
      <c r="J47">
        <v>215</v>
      </c>
      <c r="L47">
        <v>250</v>
      </c>
      <c r="M47">
        <v>1009</v>
      </c>
    </row>
    <row r="48" spans="1:13" x14ac:dyDescent="0.35">
      <c r="A48" s="13" t="s">
        <v>58</v>
      </c>
      <c r="B48">
        <v>26009</v>
      </c>
      <c r="C48">
        <v>4965</v>
      </c>
      <c r="D48">
        <v>2143</v>
      </c>
      <c r="E48">
        <v>377</v>
      </c>
      <c r="F48">
        <v>5551</v>
      </c>
      <c r="G48">
        <v>6480</v>
      </c>
      <c r="H48">
        <v>35683</v>
      </c>
      <c r="I48">
        <v>1</v>
      </c>
      <c r="J48">
        <v>14347</v>
      </c>
      <c r="K48">
        <v>1813</v>
      </c>
      <c r="L48">
        <v>37308</v>
      </c>
      <c r="M48">
        <v>254815</v>
      </c>
    </row>
    <row r="49" spans="1:13" x14ac:dyDescent="0.35">
      <c r="A49" s="13" t="s">
        <v>40</v>
      </c>
      <c r="B49">
        <v>1997</v>
      </c>
      <c r="C49">
        <v>246</v>
      </c>
      <c r="D49">
        <v>41</v>
      </c>
      <c r="E49">
        <v>220</v>
      </c>
      <c r="F49">
        <v>120</v>
      </c>
      <c r="G49">
        <v>1860</v>
      </c>
      <c r="H49">
        <v>8990</v>
      </c>
      <c r="I49">
        <v>1</v>
      </c>
      <c r="J49">
        <v>3610</v>
      </c>
      <c r="L49">
        <v>1020</v>
      </c>
      <c r="M49">
        <v>32105</v>
      </c>
    </row>
    <row r="50" spans="1:13" x14ac:dyDescent="0.35">
      <c r="A50" s="13" t="s">
        <v>24</v>
      </c>
      <c r="B50">
        <v>100</v>
      </c>
      <c r="E50">
        <v>36</v>
      </c>
      <c r="G50">
        <v>180</v>
      </c>
      <c r="H50">
        <v>1939</v>
      </c>
      <c r="I50">
        <v>1</v>
      </c>
      <c r="J50">
        <v>282</v>
      </c>
      <c r="K50">
        <v>100</v>
      </c>
      <c r="L50">
        <v>400</v>
      </c>
      <c r="M50">
        <v>8309</v>
      </c>
    </row>
    <row r="51" spans="1:13" x14ac:dyDescent="0.35">
      <c r="A51" s="13" t="s">
        <v>8</v>
      </c>
      <c r="B51">
        <v>265</v>
      </c>
      <c r="C51">
        <v>30</v>
      </c>
      <c r="D51">
        <v>80</v>
      </c>
      <c r="E51">
        <v>30</v>
      </c>
      <c r="F51">
        <v>155</v>
      </c>
      <c r="G51">
        <v>30</v>
      </c>
      <c r="H51">
        <v>270</v>
      </c>
      <c r="I51">
        <v>1</v>
      </c>
      <c r="J51">
        <v>358</v>
      </c>
      <c r="L51">
        <v>421</v>
      </c>
      <c r="M51">
        <v>2739</v>
      </c>
    </row>
    <row r="52" spans="1:13" x14ac:dyDescent="0.35">
      <c r="A52" s="13" t="s">
        <v>74</v>
      </c>
      <c r="B52">
        <v>52018</v>
      </c>
      <c r="C52">
        <v>9930</v>
      </c>
      <c r="D52">
        <v>4286</v>
      </c>
      <c r="E52">
        <v>754</v>
      </c>
      <c r="F52">
        <v>11102</v>
      </c>
      <c r="G52">
        <v>12960</v>
      </c>
      <c r="H52">
        <v>71366</v>
      </c>
      <c r="I52">
        <v>41</v>
      </c>
      <c r="J52">
        <v>28694</v>
      </c>
      <c r="K52">
        <v>3626</v>
      </c>
      <c r="L52">
        <v>74616</v>
      </c>
      <c r="M52">
        <v>509630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A62233-3D50-4782-B2C8-ABE347CC59C5}">
  <dimension ref="A1:O56"/>
  <sheetViews>
    <sheetView tabSelected="1" workbookViewId="0">
      <pane ySplit="1" topLeftCell="A13" activePane="bottomLeft" state="frozen"/>
      <selection pane="bottomLeft" activeCell="A22" sqref="A22:XFD22"/>
    </sheetView>
  </sheetViews>
  <sheetFormatPr defaultColWidth="8.81640625" defaultRowHeight="14.5" x14ac:dyDescent="0.35"/>
  <cols>
    <col min="1" max="1" width="31.36328125" style="18" customWidth="1"/>
    <col min="2" max="2" width="19.6328125" customWidth="1"/>
    <col min="3" max="3" width="18.81640625" customWidth="1"/>
    <col min="4" max="4" width="10.81640625" customWidth="1"/>
    <col min="5" max="5" width="17.81640625" customWidth="1"/>
    <col min="6" max="6" width="14.36328125" customWidth="1"/>
    <col min="7" max="7" width="15.36328125" customWidth="1"/>
    <col min="8" max="8" width="14.81640625" customWidth="1"/>
    <col min="9" max="9" width="24" style="4" customWidth="1"/>
    <col min="10" max="10" width="13.453125" customWidth="1"/>
    <col min="11" max="11" width="12.81640625" customWidth="1"/>
    <col min="12" max="12" width="10.36328125" customWidth="1"/>
    <col min="13" max="13" width="10.08984375" customWidth="1"/>
    <col min="14" max="14" width="69.36328125" style="13" bestFit="1" customWidth="1"/>
    <col min="15" max="15" width="8.81640625" style="5"/>
  </cols>
  <sheetData>
    <row r="1" spans="1:15" s="29" customFormat="1" ht="56" x14ac:dyDescent="0.35">
      <c r="A1" s="23" t="s">
        <v>72</v>
      </c>
      <c r="B1" s="24" t="s">
        <v>65</v>
      </c>
      <c r="C1" s="24" t="s">
        <v>66</v>
      </c>
      <c r="D1" s="24" t="s">
        <v>67</v>
      </c>
      <c r="E1" s="24" t="s">
        <v>52</v>
      </c>
      <c r="F1" s="24" t="s">
        <v>68</v>
      </c>
      <c r="G1" s="24" t="s">
        <v>51</v>
      </c>
      <c r="H1" s="24" t="s">
        <v>69</v>
      </c>
      <c r="I1" s="25" t="s">
        <v>95</v>
      </c>
      <c r="J1" s="24" t="s">
        <v>70</v>
      </c>
      <c r="K1" s="24" t="s">
        <v>71</v>
      </c>
      <c r="L1" s="24" t="s">
        <v>41</v>
      </c>
      <c r="M1" s="26" t="s">
        <v>46</v>
      </c>
      <c r="N1" s="27" t="s">
        <v>94</v>
      </c>
      <c r="O1" s="28"/>
    </row>
    <row r="2" spans="1:15" x14ac:dyDescent="0.35">
      <c r="A2" s="15" t="s">
        <v>47</v>
      </c>
      <c r="B2" s="36">
        <f>+'[1]G_Alignment of education'!$H$25</f>
        <v>0</v>
      </c>
      <c r="C2" s="1"/>
      <c r="D2" s="1"/>
      <c r="E2" s="1"/>
      <c r="F2" s="1"/>
      <c r="G2" s="1"/>
      <c r="H2" s="1"/>
      <c r="I2" s="3"/>
      <c r="J2" s="1"/>
      <c r="K2" s="1"/>
      <c r="L2" s="1"/>
      <c r="M2" s="2">
        <f t="shared" ref="M2:M48" si="0">SUM(B2:L2)</f>
        <v>0</v>
      </c>
      <c r="N2" s="12" t="s">
        <v>87</v>
      </c>
    </row>
    <row r="3" spans="1:15" x14ac:dyDescent="0.35">
      <c r="A3" s="15" t="s">
        <v>25</v>
      </c>
      <c r="B3" s="1">
        <v>611</v>
      </c>
      <c r="C3" s="1"/>
      <c r="D3" s="1">
        <v>145</v>
      </c>
      <c r="E3" s="1"/>
      <c r="F3" s="1">
        <v>529</v>
      </c>
      <c r="G3" s="1"/>
      <c r="H3" s="1"/>
      <c r="I3" s="3">
        <v>2950</v>
      </c>
      <c r="J3" s="1"/>
      <c r="K3" s="1"/>
      <c r="L3" s="1"/>
      <c r="M3" s="2">
        <f t="shared" si="0"/>
        <v>4235</v>
      </c>
      <c r="N3" s="12" t="s">
        <v>55</v>
      </c>
    </row>
    <row r="4" spans="1:15" x14ac:dyDescent="0.35">
      <c r="A4" s="15" t="s">
        <v>0</v>
      </c>
      <c r="B4" s="1">
        <v>780</v>
      </c>
      <c r="C4" s="1">
        <v>385</v>
      </c>
      <c r="D4" s="1"/>
      <c r="E4" s="1"/>
      <c r="F4" s="1">
        <v>143</v>
      </c>
      <c r="G4" s="1"/>
      <c r="H4" s="1">
        <v>247</v>
      </c>
      <c r="I4" s="3">
        <v>257</v>
      </c>
      <c r="J4" s="1">
        <v>1113</v>
      </c>
      <c r="K4" s="1"/>
      <c r="L4" s="1">
        <v>1194</v>
      </c>
      <c r="M4" s="2">
        <f t="shared" si="0"/>
        <v>4119</v>
      </c>
      <c r="N4" s="12" t="s">
        <v>42</v>
      </c>
    </row>
    <row r="5" spans="1:15" x14ac:dyDescent="0.35">
      <c r="A5" s="15" t="s">
        <v>1</v>
      </c>
      <c r="B5" s="1">
        <v>60</v>
      </c>
      <c r="C5" s="1">
        <v>48</v>
      </c>
      <c r="D5" s="1">
        <v>7</v>
      </c>
      <c r="E5" s="1">
        <v>10</v>
      </c>
      <c r="F5" s="1">
        <v>95</v>
      </c>
      <c r="G5" s="1">
        <v>60</v>
      </c>
      <c r="H5" s="1">
        <v>40</v>
      </c>
      <c r="I5" s="3">
        <v>490</v>
      </c>
      <c r="J5" s="1">
        <v>189</v>
      </c>
      <c r="K5" s="1">
        <v>30</v>
      </c>
      <c r="L5" s="1">
        <v>597</v>
      </c>
      <c r="M5" s="2">
        <f t="shared" si="0"/>
        <v>1626</v>
      </c>
      <c r="N5" s="12" t="s">
        <v>43</v>
      </c>
    </row>
    <row r="6" spans="1:15" x14ac:dyDescent="0.35">
      <c r="A6" s="15" t="s">
        <v>9</v>
      </c>
      <c r="B6" s="36">
        <v>1492</v>
      </c>
      <c r="C6" s="1">
        <v>385</v>
      </c>
      <c r="D6" s="1">
        <v>62</v>
      </c>
      <c r="E6" s="1"/>
      <c r="F6" s="1">
        <v>594</v>
      </c>
      <c r="G6" s="1"/>
      <c r="H6" s="1">
        <v>1170</v>
      </c>
      <c r="I6" s="3">
        <v>1170</v>
      </c>
      <c r="J6" s="1"/>
      <c r="K6" s="1"/>
      <c r="L6" s="1"/>
      <c r="M6" s="2">
        <f t="shared" si="0"/>
        <v>4873</v>
      </c>
      <c r="N6" s="12" t="s">
        <v>87</v>
      </c>
    </row>
    <row r="7" spans="1:15" x14ac:dyDescent="0.35">
      <c r="A7" s="15" t="s">
        <v>26</v>
      </c>
      <c r="B7" s="1">
        <v>325</v>
      </c>
      <c r="C7" s="1">
        <v>240</v>
      </c>
      <c r="D7" s="1"/>
      <c r="E7" s="1"/>
      <c r="F7" s="1">
        <v>39</v>
      </c>
      <c r="G7" s="1"/>
      <c r="H7" s="1">
        <v>196</v>
      </c>
      <c r="I7" s="3">
        <v>1467</v>
      </c>
      <c r="J7" s="1">
        <v>322</v>
      </c>
      <c r="K7" s="1"/>
      <c r="L7" s="1">
        <v>194</v>
      </c>
      <c r="M7" s="2">
        <f t="shared" si="0"/>
        <v>2783</v>
      </c>
      <c r="N7" s="12" t="s">
        <v>56</v>
      </c>
    </row>
    <row r="8" spans="1:15" x14ac:dyDescent="0.35">
      <c r="A8" s="15" t="s">
        <v>10</v>
      </c>
      <c r="B8" s="1">
        <v>800</v>
      </c>
      <c r="C8" s="1"/>
      <c r="D8" s="1"/>
      <c r="E8" s="1"/>
      <c r="F8" s="1"/>
      <c r="G8" s="1"/>
      <c r="H8" s="1"/>
      <c r="I8" s="3">
        <v>2660</v>
      </c>
      <c r="J8" s="1">
        <v>800</v>
      </c>
      <c r="K8" s="1"/>
      <c r="L8" s="1"/>
      <c r="M8" s="2">
        <f t="shared" si="0"/>
        <v>4260</v>
      </c>
      <c r="N8" s="12" t="s">
        <v>87</v>
      </c>
    </row>
    <row r="9" spans="1:15" x14ac:dyDescent="0.35">
      <c r="A9" s="15" t="s">
        <v>64</v>
      </c>
      <c r="B9" s="1"/>
      <c r="C9" s="1"/>
      <c r="D9" s="1"/>
      <c r="E9" s="1">
        <v>7</v>
      </c>
      <c r="F9" s="1"/>
      <c r="G9" s="1"/>
      <c r="H9" s="1"/>
      <c r="I9" s="3"/>
      <c r="J9" s="1"/>
      <c r="K9" s="1"/>
      <c r="L9" s="1">
        <v>83</v>
      </c>
      <c r="M9" s="2">
        <f t="shared" si="0"/>
        <v>90</v>
      </c>
      <c r="N9" s="12" t="s">
        <v>87</v>
      </c>
    </row>
    <row r="10" spans="1:15" x14ac:dyDescent="0.35">
      <c r="A10" s="15" t="s">
        <v>63</v>
      </c>
      <c r="B10" s="1">
        <v>18</v>
      </c>
      <c r="C10" s="1"/>
      <c r="D10" s="1"/>
      <c r="E10" s="1"/>
      <c r="F10" s="1"/>
      <c r="G10" s="1"/>
      <c r="H10" s="1"/>
      <c r="I10" s="3"/>
      <c r="J10" s="1"/>
      <c r="K10" s="1"/>
      <c r="L10" s="1"/>
      <c r="M10" s="2">
        <f t="shared" si="0"/>
        <v>18</v>
      </c>
      <c r="N10" s="12" t="s">
        <v>87</v>
      </c>
    </row>
    <row r="11" spans="1:15" x14ac:dyDescent="0.35">
      <c r="A11" s="15" t="s">
        <v>11</v>
      </c>
      <c r="B11" s="1">
        <v>330</v>
      </c>
      <c r="C11" s="1">
        <v>30</v>
      </c>
      <c r="D11" s="1"/>
      <c r="E11" s="1"/>
      <c r="F11" s="1">
        <v>80</v>
      </c>
      <c r="G11" s="1">
        <v>180</v>
      </c>
      <c r="H11" s="1">
        <v>2084</v>
      </c>
      <c r="I11" s="34">
        <v>2920</v>
      </c>
      <c r="J11" s="1">
        <v>220</v>
      </c>
      <c r="K11" s="1"/>
      <c r="L11" s="1"/>
      <c r="M11" s="2">
        <f t="shared" si="0"/>
        <v>5844</v>
      </c>
      <c r="N11" s="12" t="s">
        <v>87</v>
      </c>
    </row>
    <row r="12" spans="1:15" x14ac:dyDescent="0.35">
      <c r="A12" s="15" t="s">
        <v>2</v>
      </c>
      <c r="B12" s="1"/>
      <c r="C12" s="1"/>
      <c r="D12" s="1"/>
      <c r="E12" s="1"/>
      <c r="F12" s="1"/>
      <c r="G12" s="1"/>
      <c r="H12" s="1">
        <v>29</v>
      </c>
      <c r="I12" s="3">
        <v>40</v>
      </c>
      <c r="J12" s="1"/>
      <c r="K12" s="1"/>
      <c r="L12" s="1"/>
      <c r="M12" s="2">
        <f t="shared" si="0"/>
        <v>69</v>
      </c>
      <c r="N12" s="12" t="s">
        <v>44</v>
      </c>
    </row>
    <row r="13" spans="1:15" x14ac:dyDescent="0.35">
      <c r="A13" s="15" t="s">
        <v>3</v>
      </c>
      <c r="B13" s="1">
        <v>60</v>
      </c>
      <c r="C13" s="1">
        <v>315</v>
      </c>
      <c r="D13" s="1"/>
      <c r="E13" s="1">
        <v>10</v>
      </c>
      <c r="F13" s="1"/>
      <c r="G13" s="1">
        <v>5</v>
      </c>
      <c r="H13" s="1">
        <v>120</v>
      </c>
      <c r="I13" s="3">
        <v>60</v>
      </c>
      <c r="J13" s="1"/>
      <c r="K13" s="1">
        <v>50</v>
      </c>
      <c r="L13" s="1">
        <v>408</v>
      </c>
      <c r="M13" s="2">
        <f t="shared" si="0"/>
        <v>1028</v>
      </c>
      <c r="N13" s="12" t="s">
        <v>43</v>
      </c>
    </row>
    <row r="14" spans="1:15" x14ac:dyDescent="0.35">
      <c r="A14" s="15" t="s">
        <v>27</v>
      </c>
      <c r="B14" s="1">
        <v>254</v>
      </c>
      <c r="C14" s="1">
        <v>48</v>
      </c>
      <c r="D14" s="1"/>
      <c r="E14" s="1"/>
      <c r="F14" s="1"/>
      <c r="G14" s="1">
        <v>151</v>
      </c>
      <c r="H14" s="1"/>
      <c r="I14" s="3">
        <v>1007</v>
      </c>
      <c r="J14" s="1">
        <v>1106</v>
      </c>
      <c r="K14" s="1"/>
      <c r="L14" s="1">
        <v>450</v>
      </c>
      <c r="M14" s="2">
        <f t="shared" si="0"/>
        <v>3016</v>
      </c>
      <c r="N14" s="12" t="s">
        <v>87</v>
      </c>
    </row>
    <row r="15" spans="1:15" x14ac:dyDescent="0.35">
      <c r="A15" s="35" t="s">
        <v>62</v>
      </c>
      <c r="B15" s="1">
        <v>6020</v>
      </c>
      <c r="C15" s="1"/>
      <c r="D15" s="1">
        <v>66</v>
      </c>
      <c r="E15" s="1"/>
      <c r="F15" s="1">
        <v>178</v>
      </c>
      <c r="G15" s="1">
        <v>328</v>
      </c>
      <c r="H15" s="1">
        <v>3453</v>
      </c>
      <c r="I15" s="3">
        <v>24061</v>
      </c>
      <c r="J15" s="1">
        <v>2571</v>
      </c>
      <c r="K15" s="1"/>
      <c r="L15" s="1">
        <v>3151</v>
      </c>
      <c r="M15" s="2">
        <v>39828</v>
      </c>
      <c r="N15" s="12" t="s">
        <v>87</v>
      </c>
    </row>
    <row r="16" spans="1:15" x14ac:dyDescent="0.35">
      <c r="A16" s="15" t="s">
        <v>48</v>
      </c>
      <c r="B16" s="1">
        <v>767</v>
      </c>
      <c r="C16" s="1"/>
      <c r="D16" s="1"/>
      <c r="E16" s="1"/>
      <c r="F16" s="1"/>
      <c r="G16" s="1"/>
      <c r="H16" s="1">
        <v>492</v>
      </c>
      <c r="I16" s="3">
        <v>962</v>
      </c>
      <c r="J16" s="1">
        <v>27</v>
      </c>
      <c r="K16" s="1"/>
      <c r="L16" s="1">
        <v>1304</v>
      </c>
      <c r="M16" s="2">
        <f t="shared" si="0"/>
        <v>3552</v>
      </c>
      <c r="N16" s="12" t="s">
        <v>87</v>
      </c>
    </row>
    <row r="17" spans="1:15" x14ac:dyDescent="0.35">
      <c r="A17" s="15" t="s">
        <v>4</v>
      </c>
      <c r="B17" s="1"/>
      <c r="C17" s="1"/>
      <c r="D17" s="1"/>
      <c r="E17" s="1"/>
      <c r="F17" s="1"/>
      <c r="G17" s="1"/>
      <c r="H17" s="1"/>
      <c r="I17" s="3">
        <v>400</v>
      </c>
      <c r="J17" s="1"/>
      <c r="K17" s="1"/>
      <c r="L17" s="1">
        <v>1023</v>
      </c>
      <c r="M17" s="2">
        <f t="shared" si="0"/>
        <v>1423</v>
      </c>
      <c r="N17" s="12" t="s">
        <v>45</v>
      </c>
    </row>
    <row r="18" spans="1:15" x14ac:dyDescent="0.35">
      <c r="A18" s="15" t="s">
        <v>12</v>
      </c>
      <c r="B18" s="1"/>
      <c r="C18" s="1"/>
      <c r="D18" s="1"/>
      <c r="E18" s="1"/>
      <c r="F18" s="1">
        <v>44</v>
      </c>
      <c r="G18" s="1">
        <v>30</v>
      </c>
      <c r="H18" s="1">
        <v>80</v>
      </c>
      <c r="I18" s="3">
        <v>160</v>
      </c>
      <c r="J18" s="1">
        <v>78</v>
      </c>
      <c r="K18" s="1"/>
      <c r="L18" s="1">
        <v>58</v>
      </c>
      <c r="M18" s="2">
        <f t="shared" si="0"/>
        <v>450</v>
      </c>
      <c r="N18" s="12" t="s">
        <v>87</v>
      </c>
    </row>
    <row r="19" spans="1:15" x14ac:dyDescent="0.35">
      <c r="A19" s="15" t="s">
        <v>5</v>
      </c>
      <c r="B19" s="36">
        <v>3114</v>
      </c>
      <c r="C19" s="1">
        <v>880</v>
      </c>
      <c r="D19" s="1">
        <v>189</v>
      </c>
      <c r="E19" s="1">
        <v>64</v>
      </c>
      <c r="F19" s="1">
        <v>699</v>
      </c>
      <c r="G19" s="1">
        <v>2878</v>
      </c>
      <c r="H19" s="1">
        <v>2440</v>
      </c>
      <c r="I19" s="3">
        <v>6298</v>
      </c>
      <c r="J19" s="1">
        <v>1220</v>
      </c>
      <c r="K19" s="1">
        <v>1613</v>
      </c>
      <c r="L19" s="1">
        <v>3672</v>
      </c>
      <c r="M19" s="2">
        <f t="shared" si="0"/>
        <v>23067</v>
      </c>
      <c r="N19" s="13" t="s">
        <v>57</v>
      </c>
    </row>
    <row r="20" spans="1:15" x14ac:dyDescent="0.35">
      <c r="A20" s="15" t="s">
        <v>13</v>
      </c>
      <c r="B20" s="1">
        <v>46</v>
      </c>
      <c r="C20" s="1">
        <v>16</v>
      </c>
      <c r="D20" s="1"/>
      <c r="E20" s="1"/>
      <c r="F20" s="1">
        <v>2</v>
      </c>
      <c r="G20" s="1"/>
      <c r="H20" s="1">
        <v>34</v>
      </c>
      <c r="I20" s="3">
        <v>95</v>
      </c>
      <c r="J20" s="1">
        <v>6</v>
      </c>
      <c r="K20" s="1"/>
      <c r="L20" s="1"/>
      <c r="M20" s="2">
        <f t="shared" si="0"/>
        <v>199</v>
      </c>
      <c r="N20" s="12" t="s">
        <v>87</v>
      </c>
    </row>
    <row r="21" spans="1:15" x14ac:dyDescent="0.35">
      <c r="A21" s="15" t="s">
        <v>14</v>
      </c>
      <c r="B21" s="1">
        <v>23</v>
      </c>
      <c r="C21" s="1"/>
      <c r="D21" s="1"/>
      <c r="E21" s="1"/>
      <c r="F21" s="1"/>
      <c r="G21" s="1"/>
      <c r="H21" s="1"/>
      <c r="I21" s="3">
        <v>137</v>
      </c>
      <c r="J21" s="1">
        <v>6</v>
      </c>
      <c r="K21" s="1"/>
      <c r="L21" s="1"/>
      <c r="M21" s="2">
        <f t="shared" si="0"/>
        <v>166</v>
      </c>
      <c r="N21" s="12" t="s">
        <v>87</v>
      </c>
    </row>
    <row r="22" spans="1:15" x14ac:dyDescent="0.35">
      <c r="A22" s="15" t="s">
        <v>15</v>
      </c>
      <c r="B22" s="36">
        <v>1566</v>
      </c>
      <c r="C22" s="1"/>
      <c r="D22" s="1"/>
      <c r="E22" s="1"/>
      <c r="F22" s="1">
        <v>343</v>
      </c>
      <c r="G22" s="1"/>
      <c r="H22" s="1">
        <v>4827</v>
      </c>
      <c r="I22" s="34">
        <v>21271</v>
      </c>
      <c r="J22" s="1">
        <v>396</v>
      </c>
      <c r="K22" s="1"/>
      <c r="L22" s="1"/>
      <c r="M22" s="2">
        <f t="shared" si="0"/>
        <v>28403</v>
      </c>
      <c r="N22" s="13" t="s">
        <v>61</v>
      </c>
    </row>
    <row r="23" spans="1:15" x14ac:dyDescent="0.35">
      <c r="A23" s="15" t="s">
        <v>16</v>
      </c>
      <c r="B23" s="1">
        <v>767</v>
      </c>
      <c r="C23" s="1">
        <v>74</v>
      </c>
      <c r="D23" s="1"/>
      <c r="E23" s="1"/>
      <c r="F23" s="1">
        <v>113</v>
      </c>
      <c r="G23" s="1">
        <v>34</v>
      </c>
      <c r="H23" s="1">
        <v>492</v>
      </c>
      <c r="I23" s="3">
        <v>964</v>
      </c>
      <c r="J23" s="1">
        <v>27</v>
      </c>
      <c r="K23" s="1"/>
      <c r="L23" s="1">
        <v>1304</v>
      </c>
      <c r="M23" s="2">
        <f t="shared" si="0"/>
        <v>3775</v>
      </c>
      <c r="N23" s="12" t="s">
        <v>87</v>
      </c>
    </row>
    <row r="24" spans="1:15" x14ac:dyDescent="0.35">
      <c r="A24" s="15" t="s">
        <v>17</v>
      </c>
      <c r="B24" s="1"/>
      <c r="C24" s="1"/>
      <c r="D24" s="1"/>
      <c r="E24" s="1"/>
      <c r="F24" s="1"/>
      <c r="G24" s="1"/>
      <c r="H24" s="1"/>
      <c r="I24" s="3"/>
      <c r="J24" s="1">
        <v>23</v>
      </c>
      <c r="K24" s="1"/>
      <c r="L24" s="1">
        <v>489</v>
      </c>
      <c r="M24" s="2">
        <f t="shared" si="0"/>
        <v>512</v>
      </c>
      <c r="N24" s="12" t="s">
        <v>87</v>
      </c>
    </row>
    <row r="25" spans="1:15" x14ac:dyDescent="0.35">
      <c r="A25" s="15" t="s">
        <v>18</v>
      </c>
      <c r="B25" s="1">
        <v>558</v>
      </c>
      <c r="C25" s="1"/>
      <c r="D25" s="1">
        <v>36</v>
      </c>
      <c r="E25" s="1"/>
      <c r="F25" s="1">
        <v>379</v>
      </c>
      <c r="G25" s="1">
        <v>20</v>
      </c>
      <c r="H25" s="1"/>
      <c r="I25" s="3">
        <v>1070</v>
      </c>
      <c r="J25" s="1">
        <v>519</v>
      </c>
      <c r="K25" s="1"/>
      <c r="L25" s="1">
        <v>366</v>
      </c>
      <c r="M25" s="2">
        <f t="shared" si="0"/>
        <v>2948</v>
      </c>
      <c r="N25" s="12" t="s">
        <v>88</v>
      </c>
    </row>
    <row r="26" spans="1:15" s="7" customFormat="1" x14ac:dyDescent="0.35">
      <c r="A26" s="15" t="s">
        <v>28</v>
      </c>
      <c r="B26" s="1">
        <v>8</v>
      </c>
      <c r="C26" s="1">
        <v>22</v>
      </c>
      <c r="D26" s="1">
        <v>8</v>
      </c>
      <c r="E26" s="1"/>
      <c r="F26" s="7">
        <v>33</v>
      </c>
      <c r="G26" s="1">
        <v>20</v>
      </c>
      <c r="H26" s="1">
        <v>69</v>
      </c>
      <c r="I26" s="3">
        <v>376</v>
      </c>
      <c r="J26" s="1">
        <v>20</v>
      </c>
      <c r="K26" s="1"/>
      <c r="L26" s="1"/>
      <c r="M26" s="2">
        <f t="shared" si="0"/>
        <v>556</v>
      </c>
      <c r="N26" s="12" t="s">
        <v>87</v>
      </c>
      <c r="O26" s="6"/>
    </row>
    <row r="27" spans="1:15" x14ac:dyDescent="0.35">
      <c r="A27" s="15" t="s">
        <v>29</v>
      </c>
      <c r="B27" s="1">
        <v>29</v>
      </c>
      <c r="C27" s="1">
        <v>50</v>
      </c>
      <c r="D27" s="1"/>
      <c r="E27" s="1"/>
      <c r="F27" s="1">
        <v>22</v>
      </c>
      <c r="G27" s="1"/>
      <c r="H27" s="1"/>
      <c r="I27" s="3">
        <v>63</v>
      </c>
      <c r="J27" s="1">
        <v>56</v>
      </c>
      <c r="K27" s="1"/>
      <c r="L27" s="1">
        <v>50</v>
      </c>
      <c r="M27" s="2">
        <f t="shared" si="0"/>
        <v>270</v>
      </c>
      <c r="N27" s="12" t="s">
        <v>87</v>
      </c>
    </row>
    <row r="28" spans="1:15" x14ac:dyDescent="0.35">
      <c r="A28" s="15" t="s">
        <v>19</v>
      </c>
      <c r="B28" s="1">
        <v>316</v>
      </c>
      <c r="C28" s="1">
        <v>156</v>
      </c>
      <c r="D28" s="1"/>
      <c r="E28" s="1"/>
      <c r="F28" s="1"/>
      <c r="G28" s="1"/>
      <c r="H28" s="1">
        <v>2473</v>
      </c>
      <c r="I28" s="20">
        <v>2540</v>
      </c>
      <c r="J28" s="1">
        <v>116</v>
      </c>
      <c r="K28" s="1"/>
      <c r="L28" s="1">
        <v>297</v>
      </c>
      <c r="M28" s="2">
        <f t="shared" si="0"/>
        <v>5898</v>
      </c>
      <c r="N28" s="12" t="s">
        <v>87</v>
      </c>
    </row>
    <row r="29" spans="1:15" x14ac:dyDescent="0.35">
      <c r="A29" s="15" t="s">
        <v>30</v>
      </c>
      <c r="B29" s="1">
        <v>115</v>
      </c>
      <c r="C29" s="1">
        <v>167</v>
      </c>
      <c r="D29" s="1"/>
      <c r="E29" s="1"/>
      <c r="F29" s="1">
        <v>110</v>
      </c>
      <c r="G29" s="1">
        <v>189</v>
      </c>
      <c r="H29" s="1">
        <v>1171</v>
      </c>
      <c r="I29" s="3">
        <v>386</v>
      </c>
      <c r="J29" s="7">
        <v>175</v>
      </c>
      <c r="K29" s="1"/>
      <c r="L29" s="1">
        <v>616</v>
      </c>
      <c r="M29" s="2">
        <f t="shared" si="0"/>
        <v>2929</v>
      </c>
      <c r="N29" s="12" t="s">
        <v>87</v>
      </c>
    </row>
    <row r="30" spans="1:15" x14ac:dyDescent="0.35">
      <c r="A30" s="15" t="s">
        <v>31</v>
      </c>
      <c r="B30" s="1"/>
      <c r="C30" s="1"/>
      <c r="D30" s="1"/>
      <c r="E30" s="1"/>
      <c r="F30" s="1"/>
      <c r="G30" s="1"/>
      <c r="H30" s="1"/>
      <c r="I30" s="3"/>
      <c r="J30" s="1"/>
      <c r="K30" s="1"/>
      <c r="L30" s="1"/>
      <c r="M30" s="2">
        <f t="shared" si="0"/>
        <v>0</v>
      </c>
      <c r="N30" s="12" t="s">
        <v>87</v>
      </c>
    </row>
    <row r="31" spans="1:15" x14ac:dyDescent="0.35">
      <c r="A31" s="15" t="s">
        <v>32</v>
      </c>
      <c r="B31" s="1"/>
      <c r="C31" s="1">
        <v>76</v>
      </c>
      <c r="D31" s="1"/>
      <c r="E31" s="1"/>
      <c r="F31" s="1"/>
      <c r="G31" s="1"/>
      <c r="H31" s="1"/>
      <c r="I31" s="3">
        <v>113</v>
      </c>
      <c r="J31" s="1"/>
      <c r="K31" s="1"/>
      <c r="L31" s="1">
        <v>366</v>
      </c>
      <c r="M31" s="2">
        <f t="shared" si="0"/>
        <v>555</v>
      </c>
      <c r="N31" s="12" t="s">
        <v>87</v>
      </c>
    </row>
    <row r="32" spans="1:15" x14ac:dyDescent="0.35">
      <c r="A32" s="15" t="s">
        <v>33</v>
      </c>
      <c r="B32" s="1">
        <v>432</v>
      </c>
      <c r="C32" s="1"/>
      <c r="D32" s="1"/>
      <c r="E32" s="1"/>
      <c r="F32" s="1"/>
      <c r="G32" s="1"/>
      <c r="H32" s="1">
        <v>40</v>
      </c>
      <c r="I32" s="20">
        <v>175</v>
      </c>
      <c r="J32" s="1"/>
      <c r="K32" s="1"/>
      <c r="L32" s="1">
        <v>39</v>
      </c>
      <c r="M32" s="2">
        <f t="shared" si="0"/>
        <v>686</v>
      </c>
      <c r="N32" s="13" t="s">
        <v>89</v>
      </c>
    </row>
    <row r="33" spans="1:15" x14ac:dyDescent="0.35">
      <c r="A33" s="15" t="s">
        <v>6</v>
      </c>
      <c r="B33" s="1">
        <v>819</v>
      </c>
      <c r="C33" s="1">
        <v>146</v>
      </c>
      <c r="D33" s="1">
        <v>161</v>
      </c>
      <c r="E33" s="1"/>
      <c r="F33" s="1"/>
      <c r="G33" s="1">
        <v>112</v>
      </c>
      <c r="H33" s="1">
        <v>140</v>
      </c>
      <c r="I33" s="3">
        <v>580</v>
      </c>
      <c r="J33" s="1">
        <v>248</v>
      </c>
      <c r="K33" s="1">
        <v>20</v>
      </c>
      <c r="L33" s="1"/>
      <c r="M33" s="2">
        <f t="shared" si="0"/>
        <v>2226</v>
      </c>
      <c r="N33" s="13" t="s">
        <v>53</v>
      </c>
    </row>
    <row r="34" spans="1:15" s="9" customFormat="1" x14ac:dyDescent="0.35">
      <c r="A34" s="15" t="s">
        <v>34</v>
      </c>
      <c r="B34" s="1">
        <v>475</v>
      </c>
      <c r="C34" s="1">
        <v>3</v>
      </c>
      <c r="D34" s="1"/>
      <c r="E34" s="1"/>
      <c r="F34" s="1">
        <v>247</v>
      </c>
      <c r="G34" s="1">
        <v>31</v>
      </c>
      <c r="H34" s="1">
        <v>1414</v>
      </c>
      <c r="I34" s="3">
        <v>200</v>
      </c>
      <c r="J34" s="1">
        <v>121</v>
      </c>
      <c r="K34" s="1"/>
      <c r="L34" s="1">
        <v>175</v>
      </c>
      <c r="M34" s="2">
        <f t="shared" si="0"/>
        <v>2666</v>
      </c>
      <c r="N34" s="12" t="s">
        <v>93</v>
      </c>
      <c r="O34" s="8"/>
    </row>
    <row r="35" spans="1:15" x14ac:dyDescent="0.35">
      <c r="A35" s="15" t="s">
        <v>7</v>
      </c>
      <c r="B35" s="1">
        <v>370</v>
      </c>
      <c r="C35" s="1">
        <v>14</v>
      </c>
      <c r="D35" s="1"/>
      <c r="E35" s="1"/>
      <c r="F35" s="1"/>
      <c r="G35" s="1"/>
      <c r="H35" s="1">
        <v>124</v>
      </c>
      <c r="I35" s="3">
        <v>305</v>
      </c>
      <c r="J35" s="1">
        <v>45</v>
      </c>
      <c r="K35" s="1"/>
      <c r="L35" s="1">
        <v>1891</v>
      </c>
      <c r="M35" s="2">
        <f t="shared" si="0"/>
        <v>2749</v>
      </c>
      <c r="N35" s="12" t="s">
        <v>50</v>
      </c>
    </row>
    <row r="36" spans="1:15" x14ac:dyDescent="0.35">
      <c r="A36" s="35" t="s">
        <v>35</v>
      </c>
      <c r="B36" s="36">
        <v>4340</v>
      </c>
      <c r="C36" s="1"/>
      <c r="D36" s="1">
        <v>459</v>
      </c>
      <c r="E36" s="1"/>
      <c r="F36" s="1"/>
      <c r="G36" s="1"/>
      <c r="H36" s="1">
        <v>375</v>
      </c>
      <c r="I36" s="34">
        <v>12835</v>
      </c>
      <c r="J36" s="1">
        <v>1774</v>
      </c>
      <c r="K36" s="1"/>
      <c r="L36" s="1"/>
      <c r="M36" s="2">
        <f t="shared" si="0"/>
        <v>19783</v>
      </c>
      <c r="N36" s="12" t="s">
        <v>87</v>
      </c>
    </row>
    <row r="37" spans="1:15" x14ac:dyDescent="0.35">
      <c r="A37" s="15" t="s">
        <v>36</v>
      </c>
      <c r="B37" s="1">
        <v>11</v>
      </c>
      <c r="C37" s="1"/>
      <c r="D37" s="1"/>
      <c r="E37" s="1"/>
      <c r="F37" s="1">
        <v>95</v>
      </c>
      <c r="G37" s="1"/>
      <c r="H37" s="1">
        <v>176</v>
      </c>
      <c r="I37" s="3">
        <v>355</v>
      </c>
      <c r="J37" s="1"/>
      <c r="K37" s="1"/>
      <c r="L37" s="1">
        <v>81</v>
      </c>
      <c r="M37" s="2">
        <f t="shared" si="0"/>
        <v>718</v>
      </c>
      <c r="N37" s="12" t="s">
        <v>87</v>
      </c>
    </row>
    <row r="38" spans="1:15" x14ac:dyDescent="0.35">
      <c r="A38" s="15" t="s">
        <v>49</v>
      </c>
      <c r="B38" s="1"/>
      <c r="C38" s="1"/>
      <c r="D38" s="1"/>
      <c r="E38" s="1"/>
      <c r="F38" s="1"/>
      <c r="G38" s="1"/>
      <c r="H38" s="1"/>
      <c r="I38" s="3"/>
      <c r="J38" s="1"/>
      <c r="K38" s="1"/>
      <c r="L38" s="1"/>
      <c r="M38" s="2">
        <f t="shared" si="0"/>
        <v>0</v>
      </c>
      <c r="N38" s="12" t="s">
        <v>87</v>
      </c>
    </row>
    <row r="39" spans="1:15" x14ac:dyDescent="0.35">
      <c r="A39" s="15" t="s">
        <v>20</v>
      </c>
      <c r="B39" s="1">
        <v>434</v>
      </c>
      <c r="C39" s="1">
        <v>137</v>
      </c>
      <c r="D39" s="1">
        <v>67</v>
      </c>
      <c r="E39" s="1"/>
      <c r="F39" s="1">
        <v>171</v>
      </c>
      <c r="G39" s="1"/>
      <c r="H39" s="1">
        <v>104</v>
      </c>
      <c r="I39" s="3">
        <f>288+294</f>
        <v>582</v>
      </c>
      <c r="J39" s="1">
        <v>36</v>
      </c>
      <c r="K39" s="1"/>
      <c r="L39" s="1">
        <v>710</v>
      </c>
      <c r="M39" s="2">
        <f t="shared" si="0"/>
        <v>2241</v>
      </c>
      <c r="N39" s="12" t="s">
        <v>87</v>
      </c>
    </row>
    <row r="40" spans="1:15" x14ac:dyDescent="0.35">
      <c r="A40" s="15" t="s">
        <v>21</v>
      </c>
      <c r="B40" s="1">
        <v>10</v>
      </c>
      <c r="C40" s="1"/>
      <c r="D40" s="1"/>
      <c r="E40" s="1"/>
      <c r="F40" s="1"/>
      <c r="G40" s="1">
        <v>20</v>
      </c>
      <c r="H40" s="1">
        <v>10</v>
      </c>
      <c r="I40" s="3">
        <v>40</v>
      </c>
      <c r="J40" s="1"/>
      <c r="K40" s="1"/>
      <c r="L40" s="1">
        <v>80</v>
      </c>
      <c r="M40" s="2">
        <f t="shared" si="0"/>
        <v>160</v>
      </c>
      <c r="N40" s="12" t="s">
        <v>87</v>
      </c>
    </row>
    <row r="41" spans="1:15" x14ac:dyDescent="0.35">
      <c r="A41" s="15" t="s">
        <v>37</v>
      </c>
      <c r="B41" s="1">
        <v>217</v>
      </c>
      <c r="C41" s="1"/>
      <c r="D41" s="1"/>
      <c r="E41" s="1"/>
      <c r="F41" s="1">
        <v>69</v>
      </c>
      <c r="G41" s="1">
        <v>51</v>
      </c>
      <c r="H41" s="1">
        <v>120</v>
      </c>
      <c r="I41" s="3">
        <v>1755</v>
      </c>
      <c r="J41" s="1">
        <v>90</v>
      </c>
      <c r="K41" s="1"/>
      <c r="L41" s="1">
        <v>186</v>
      </c>
      <c r="M41" s="2">
        <f t="shared" si="0"/>
        <v>2488</v>
      </c>
      <c r="N41" s="12" t="s">
        <v>87</v>
      </c>
    </row>
    <row r="42" spans="1:15" x14ac:dyDescent="0.35">
      <c r="A42" s="15" t="s">
        <v>38</v>
      </c>
      <c r="B42" s="1">
        <v>998</v>
      </c>
      <c r="C42" s="1"/>
      <c r="D42" s="1">
        <v>805</v>
      </c>
      <c r="E42" s="1"/>
      <c r="F42" s="1">
        <v>1291</v>
      </c>
      <c r="G42" s="1"/>
      <c r="H42" s="1"/>
      <c r="I42" s="3">
        <v>3154</v>
      </c>
      <c r="J42" s="1">
        <v>451</v>
      </c>
      <c r="K42" s="1"/>
      <c r="L42" s="1">
        <v>13559</v>
      </c>
      <c r="M42" s="2">
        <f t="shared" si="0"/>
        <v>20258</v>
      </c>
      <c r="N42" s="13" t="s">
        <v>54</v>
      </c>
    </row>
    <row r="43" spans="1:15" x14ac:dyDescent="0.35">
      <c r="A43" s="15" t="s">
        <v>22</v>
      </c>
      <c r="B43" s="1"/>
      <c r="C43" s="1"/>
      <c r="D43" s="1"/>
      <c r="E43" s="1"/>
      <c r="F43" s="1"/>
      <c r="G43" s="1"/>
      <c r="H43" s="1">
        <v>307</v>
      </c>
      <c r="I43" s="3">
        <v>241</v>
      </c>
      <c r="J43" s="1">
        <v>681</v>
      </c>
      <c r="K43" s="1"/>
      <c r="L43" s="1">
        <v>484</v>
      </c>
      <c r="M43" s="2">
        <f t="shared" si="0"/>
        <v>1713</v>
      </c>
      <c r="N43" s="12" t="s">
        <v>87</v>
      </c>
    </row>
    <row r="44" spans="1:15" x14ac:dyDescent="0.35">
      <c r="A44" s="15" t="s">
        <v>39</v>
      </c>
      <c r="B44" s="39">
        <v>891</v>
      </c>
      <c r="C44" s="1">
        <v>1597</v>
      </c>
      <c r="D44" s="1">
        <v>80</v>
      </c>
      <c r="E44" s="1"/>
      <c r="F44" s="39">
        <v>164</v>
      </c>
      <c r="G44" s="1">
        <v>629</v>
      </c>
      <c r="H44" s="1"/>
      <c r="I44" s="40">
        <v>4607</v>
      </c>
      <c r="J44" s="39">
        <v>428</v>
      </c>
      <c r="K44" s="1"/>
      <c r="L44" s="1">
        <v>5457</v>
      </c>
      <c r="M44" s="2">
        <f t="shared" si="0"/>
        <v>13853</v>
      </c>
      <c r="N44" s="12" t="s">
        <v>90</v>
      </c>
    </row>
    <row r="45" spans="1:15" x14ac:dyDescent="0.35">
      <c r="A45" s="15" t="s">
        <v>23</v>
      </c>
      <c r="B45" s="1">
        <v>77</v>
      </c>
      <c r="C45" s="1">
        <v>37</v>
      </c>
      <c r="D45" s="1"/>
      <c r="E45" s="1"/>
      <c r="F45" s="1">
        <v>60</v>
      </c>
      <c r="G45" s="1"/>
      <c r="H45" s="1">
        <v>130</v>
      </c>
      <c r="I45" s="3">
        <v>240</v>
      </c>
      <c r="J45" s="1">
        <v>215</v>
      </c>
      <c r="K45" s="1"/>
      <c r="L45" s="1">
        <v>250</v>
      </c>
      <c r="M45" s="2">
        <f t="shared" si="0"/>
        <v>1009</v>
      </c>
      <c r="N45" s="12" t="s">
        <v>91</v>
      </c>
    </row>
    <row r="46" spans="1:15" x14ac:dyDescent="0.35">
      <c r="A46" s="15" t="s">
        <v>40</v>
      </c>
      <c r="B46" s="36">
        <v>1997</v>
      </c>
      <c r="C46" s="1">
        <v>246</v>
      </c>
      <c r="D46" s="1">
        <v>41</v>
      </c>
      <c r="E46" s="1">
        <v>220</v>
      </c>
      <c r="F46" s="1">
        <v>120</v>
      </c>
      <c r="G46" s="1">
        <v>1860</v>
      </c>
      <c r="H46" s="1">
        <v>8990</v>
      </c>
      <c r="I46" s="34">
        <v>14001</v>
      </c>
      <c r="J46" s="1">
        <v>3610</v>
      </c>
      <c r="K46" s="1"/>
      <c r="L46" s="1">
        <v>1020</v>
      </c>
      <c r="M46" s="2">
        <f t="shared" si="0"/>
        <v>32105</v>
      </c>
      <c r="N46" s="12" t="s">
        <v>87</v>
      </c>
    </row>
    <row r="47" spans="1:15" x14ac:dyDescent="0.35">
      <c r="A47" s="15" t="s">
        <v>24</v>
      </c>
      <c r="B47" s="39">
        <v>115</v>
      </c>
      <c r="C47" s="1"/>
      <c r="D47" s="1"/>
      <c r="E47" s="1">
        <v>36</v>
      </c>
      <c r="F47" s="1"/>
      <c r="G47" s="1">
        <v>180</v>
      </c>
      <c r="H47" s="1">
        <v>1939</v>
      </c>
      <c r="I47" s="3">
        <v>5272</v>
      </c>
      <c r="J47" s="1">
        <v>282</v>
      </c>
      <c r="K47" s="1">
        <v>100</v>
      </c>
      <c r="L47" s="1">
        <v>400</v>
      </c>
      <c r="M47" s="2">
        <f t="shared" si="0"/>
        <v>8324</v>
      </c>
      <c r="N47" s="12" t="s">
        <v>92</v>
      </c>
    </row>
    <row r="48" spans="1:15" x14ac:dyDescent="0.35">
      <c r="A48" s="15" t="s">
        <v>8</v>
      </c>
      <c r="B48" s="1">
        <v>265</v>
      </c>
      <c r="C48" s="1">
        <v>30</v>
      </c>
      <c r="D48" s="1">
        <v>80</v>
      </c>
      <c r="E48" s="1">
        <v>30</v>
      </c>
      <c r="F48" s="1">
        <v>155</v>
      </c>
      <c r="G48" s="1">
        <v>30</v>
      </c>
      <c r="H48" s="1">
        <v>270</v>
      </c>
      <c r="I48" s="3">
        <v>1100</v>
      </c>
      <c r="J48" s="1">
        <v>358</v>
      </c>
      <c r="K48" s="1"/>
      <c r="L48" s="1">
        <v>421</v>
      </c>
      <c r="M48" s="2">
        <f t="shared" si="0"/>
        <v>2739</v>
      </c>
      <c r="N48" s="12" t="s">
        <v>60</v>
      </c>
    </row>
    <row r="49" spans="1:15" s="11" customFormat="1" x14ac:dyDescent="0.35">
      <c r="A49" s="19" t="s">
        <v>58</v>
      </c>
      <c r="B49" s="21">
        <f>SUM(B2:B48)</f>
        <v>29510</v>
      </c>
      <c r="C49" s="21">
        <f t="shared" ref="C49:L49" si="1">SUM(C2:C48)</f>
        <v>5102</v>
      </c>
      <c r="D49" s="21">
        <f t="shared" si="1"/>
        <v>2206</v>
      </c>
      <c r="E49" s="21">
        <f t="shared" si="1"/>
        <v>377</v>
      </c>
      <c r="F49" s="21">
        <f t="shared" si="1"/>
        <v>5775</v>
      </c>
      <c r="G49" s="21">
        <f t="shared" si="1"/>
        <v>6808</v>
      </c>
      <c r="H49" s="21">
        <f t="shared" si="1"/>
        <v>33556</v>
      </c>
      <c r="I49" s="21">
        <f t="shared" si="1"/>
        <v>117359</v>
      </c>
      <c r="J49" s="21">
        <f t="shared" si="1"/>
        <v>17329</v>
      </c>
      <c r="K49" s="21">
        <f t="shared" si="1"/>
        <v>1813</v>
      </c>
      <c r="L49" s="21">
        <f t="shared" si="1"/>
        <v>40375</v>
      </c>
      <c r="M49" s="22">
        <f>+SUM(B49:L49)</f>
        <v>260210</v>
      </c>
      <c r="N49" s="16"/>
      <c r="O49" s="10"/>
    </row>
    <row r="50" spans="1:15" x14ac:dyDescent="0.35">
      <c r="A50" s="17" t="s">
        <v>46</v>
      </c>
      <c r="B50" s="1"/>
      <c r="C50" s="1"/>
      <c r="D50" s="1"/>
      <c r="E50" s="1"/>
      <c r="F50" s="1"/>
      <c r="G50" s="1"/>
      <c r="H50" s="1"/>
      <c r="I50" s="1"/>
      <c r="J50" s="1"/>
      <c r="K50" s="1"/>
      <c r="L50" s="38">
        <f>L49/Table1[[#Totals],[Total]]</f>
        <v>0.15826630289916427</v>
      </c>
      <c r="M50" s="37">
        <f>M49-C49</f>
        <v>255108</v>
      </c>
      <c r="N50" s="12"/>
    </row>
    <row r="51" spans="1:15" x14ac:dyDescent="0.35">
      <c r="A51" s="18" t="s">
        <v>59</v>
      </c>
      <c r="B51" s="30">
        <f>B49/M50</f>
        <v>0.11567649779701146</v>
      </c>
      <c r="M51" s="2">
        <f>SUM(M2:M48)</f>
        <v>260210</v>
      </c>
    </row>
    <row r="52" spans="1:15" x14ac:dyDescent="0.35">
      <c r="B52">
        <f>COUNTIF(B2:B48,"&gt;500")</f>
        <v>15</v>
      </c>
      <c r="C52" s="31">
        <f>(B49+C49)/M49</f>
        <v>0.13301564121286652</v>
      </c>
      <c r="H52" s="30">
        <f>(H49)/M50</f>
        <v>0.13153644730859088</v>
      </c>
      <c r="I52" s="32">
        <f>I49/M50</f>
        <v>0.46003653354657636</v>
      </c>
    </row>
    <row r="53" spans="1:15" x14ac:dyDescent="0.35">
      <c r="J53" s="30">
        <f>(H49+I49)/Table1[[#Totals],[Total]]</f>
        <v>0.59157298085516719</v>
      </c>
    </row>
    <row r="54" spans="1:15" x14ac:dyDescent="0.35">
      <c r="I54" s="33">
        <f>COUNTIF(I4:I50,"&gt;500")</f>
        <v>22</v>
      </c>
    </row>
    <row r="56" spans="1:15" x14ac:dyDescent="0.35">
      <c r="B56" s="30">
        <f>18529/29029</f>
        <v>0.63829274174101758</v>
      </c>
      <c r="C56" s="41">
        <f>B51+J53</f>
        <v>0.70724947865217869</v>
      </c>
      <c r="I56" s="32">
        <f>83738/115672</f>
        <v>0.72392627429282796</v>
      </c>
      <c r="N56" s="13">
        <f>255108/148357</f>
        <v>1.7195548575395836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Education capacity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Christmal Christmals</dc:creator>
  <cp:lastModifiedBy>Joseph Mung'atu</cp:lastModifiedBy>
  <dcterms:created xsi:type="dcterms:W3CDTF">2024-02-25T20:47:38Z</dcterms:created>
  <dcterms:modified xsi:type="dcterms:W3CDTF">2024-03-08T16:51:54Z</dcterms:modified>
</cp:coreProperties>
</file>