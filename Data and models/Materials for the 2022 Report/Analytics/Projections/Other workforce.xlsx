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Projections\"/>
    </mc:Choice>
  </mc:AlternateContent>
  <xr:revisionPtr revIDLastSave="0" documentId="13_ncr:1_{D0C8D556-4C92-487B-8AB3-20DC835B047E}" xr6:coauthVersionLast="47" xr6:coauthVersionMax="47" xr10:uidLastSave="{00000000-0000-0000-0000-000000000000}"/>
  <bookViews>
    <workbookView xWindow="-110" yWindow="-110" windowWidth="19420" windowHeight="10300" activeTab="1" xr2:uid="{32124F01-AE62-4F36-BA04-CD5E24FAD49C}"/>
  </bookViews>
  <sheets>
    <sheet name="Other with medical doctors" sheetId="1" r:id="rId1"/>
    <sheet name="Other with nur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4" i="2" l="1"/>
  <c r="Z54" i="2"/>
  <c r="AA54" i="2"/>
  <c r="AB54" i="2"/>
  <c r="AC54" i="2"/>
  <c r="AD54" i="2"/>
  <c r="AE54" i="2"/>
  <c r="X54" i="2"/>
  <c r="O3" i="1"/>
  <c r="O3" i="2"/>
  <c r="N50" i="2"/>
  <c r="M50" i="2"/>
  <c r="L50" i="2"/>
  <c r="W50" i="2"/>
  <c r="V50" i="2"/>
  <c r="U50" i="2"/>
  <c r="T50" i="2"/>
  <c r="S50" i="2"/>
  <c r="R50" i="2"/>
  <c r="Q50" i="2"/>
  <c r="P50" i="2"/>
  <c r="H50" i="2"/>
  <c r="G50" i="2"/>
  <c r="F50" i="2"/>
  <c r="E50" i="2"/>
  <c r="D50" i="2"/>
  <c r="C50" i="2"/>
  <c r="Z49" i="2"/>
  <c r="O49" i="2"/>
  <c r="Y49" i="2" s="1"/>
  <c r="AD48" i="2"/>
  <c r="AC48" i="2"/>
  <c r="AA48" i="2"/>
  <c r="Y48" i="2"/>
  <c r="X48" i="2"/>
  <c r="O48" i="2"/>
  <c r="AE48" i="2" s="1"/>
  <c r="AC47" i="2"/>
  <c r="AB47" i="2"/>
  <c r="Y47" i="2"/>
  <c r="O47" i="2"/>
  <c r="AA47" i="2" s="1"/>
  <c r="AD46" i="2"/>
  <c r="AC46" i="2"/>
  <c r="AA46" i="2"/>
  <c r="Z46" i="2"/>
  <c r="X46" i="2"/>
  <c r="O46" i="2"/>
  <c r="AB46" i="2" s="1"/>
  <c r="AD45" i="2"/>
  <c r="AA45" i="2"/>
  <c r="O45" i="2"/>
  <c r="AC45" i="2" s="1"/>
  <c r="O44" i="2"/>
  <c r="AD44" i="2" s="1"/>
  <c r="AD43" i="2"/>
  <c r="AA43" i="2"/>
  <c r="Z43" i="2"/>
  <c r="Y43" i="2"/>
  <c r="X43" i="2"/>
  <c r="O43" i="2"/>
  <c r="AE43" i="2" s="1"/>
  <c r="O42" i="2"/>
  <c r="X42" i="2" s="1"/>
  <c r="Z41" i="2"/>
  <c r="O41" i="2"/>
  <c r="Y41" i="2" s="1"/>
  <c r="Y40" i="2"/>
  <c r="O40" i="2"/>
  <c r="AE40" i="2" s="1"/>
  <c r="O39" i="2"/>
  <c r="AA39" i="2" s="1"/>
  <c r="AD38" i="2"/>
  <c r="AA38" i="2"/>
  <c r="X38" i="2"/>
  <c r="O38" i="2"/>
  <c r="AB38" i="2" s="1"/>
  <c r="AD37" i="2"/>
  <c r="AB37" i="2"/>
  <c r="AA37" i="2"/>
  <c r="O37" i="2"/>
  <c r="AC37" i="2" s="1"/>
  <c r="AC36" i="2"/>
  <c r="O36" i="2"/>
  <c r="AD36" i="2" s="1"/>
  <c r="Y35" i="2"/>
  <c r="O35" i="2"/>
  <c r="AE35" i="2" s="1"/>
  <c r="O34" i="2"/>
  <c r="X34" i="2" s="1"/>
  <c r="Z33" i="2"/>
  <c r="X33" i="2"/>
  <c r="O33" i="2"/>
  <c r="Y33" i="2" s="1"/>
  <c r="AD32" i="2"/>
  <c r="AC32" i="2"/>
  <c r="AA32" i="2"/>
  <c r="Z32" i="2"/>
  <c r="Y32" i="2"/>
  <c r="X32" i="2"/>
  <c r="O32" i="2"/>
  <c r="AE32" i="2" s="1"/>
  <c r="AC31" i="2"/>
  <c r="AB31" i="2"/>
  <c r="Y31" i="2"/>
  <c r="O31" i="2"/>
  <c r="AA31" i="2" s="1"/>
  <c r="AD30" i="2"/>
  <c r="AC30" i="2"/>
  <c r="AA30" i="2"/>
  <c r="Z30" i="2"/>
  <c r="X30" i="2"/>
  <c r="O30" i="2"/>
  <c r="AB30" i="2" s="1"/>
  <c r="AD29" i="2"/>
  <c r="AA29" i="2"/>
  <c r="O29" i="2"/>
  <c r="AC29" i="2" s="1"/>
  <c r="O28" i="2"/>
  <c r="AD28" i="2" s="1"/>
  <c r="AD27" i="2"/>
  <c r="AA27" i="2"/>
  <c r="Z27" i="2"/>
  <c r="Y27" i="2"/>
  <c r="X27" i="2"/>
  <c r="O27" i="2"/>
  <c r="AE27" i="2" s="1"/>
  <c r="O26" i="2"/>
  <c r="X26" i="2" s="1"/>
  <c r="Z25" i="2"/>
  <c r="O25" i="2"/>
  <c r="Y25" i="2" s="1"/>
  <c r="Y24" i="2"/>
  <c r="O24" i="2"/>
  <c r="AE24" i="2" s="1"/>
  <c r="O23" i="2"/>
  <c r="AA23" i="2" s="1"/>
  <c r="AD22" i="2"/>
  <c r="AA22" i="2"/>
  <c r="X22" i="2"/>
  <c r="O22" i="2"/>
  <c r="AB22" i="2" s="1"/>
  <c r="AD21" i="2"/>
  <c r="AB21" i="2"/>
  <c r="AA21" i="2"/>
  <c r="O21" i="2"/>
  <c r="AC21" i="2" s="1"/>
  <c r="AE20" i="2"/>
  <c r="O20" i="2"/>
  <c r="AD20" i="2" s="1"/>
  <c r="AA19" i="2"/>
  <c r="Z19" i="2"/>
  <c r="X19" i="2"/>
  <c r="O19" i="2"/>
  <c r="AE19" i="2" s="1"/>
  <c r="O18" i="2"/>
  <c r="X18" i="2" s="1"/>
  <c r="O17" i="2"/>
  <c r="Y17" i="2" s="1"/>
  <c r="AD16" i="2"/>
  <c r="AB16" i="2"/>
  <c r="O16" i="2"/>
  <c r="AE16" i="2" s="1"/>
  <c r="AC15" i="2"/>
  <c r="Z15" i="2"/>
  <c r="O15" i="2"/>
  <c r="AA15" i="2" s="1"/>
  <c r="Z14" i="2"/>
  <c r="O14" i="2"/>
  <c r="AB14" i="2" s="1"/>
  <c r="AD13" i="2"/>
  <c r="AB13" i="2"/>
  <c r="AA13" i="2"/>
  <c r="O13" i="2"/>
  <c r="AC13" i="2" s="1"/>
  <c r="O12" i="2"/>
  <c r="AD12" i="2" s="1"/>
  <c r="AC11" i="2"/>
  <c r="O11" i="2"/>
  <c r="AE11" i="2" s="1"/>
  <c r="O10" i="2"/>
  <c r="X10" i="2" s="1"/>
  <c r="X9" i="2"/>
  <c r="O9" i="2"/>
  <c r="Y9" i="2" s="1"/>
  <c r="AD8" i="2"/>
  <c r="AA8" i="2"/>
  <c r="Z8" i="2"/>
  <c r="X8" i="2"/>
  <c r="O8" i="2"/>
  <c r="AE8" i="2" s="1"/>
  <c r="O7" i="2"/>
  <c r="AA7" i="2" s="1"/>
  <c r="AC6" i="2"/>
  <c r="AA6" i="2"/>
  <c r="Z6" i="2"/>
  <c r="O6" i="2"/>
  <c r="AB6" i="2" s="1"/>
  <c r="AB5" i="2"/>
  <c r="O5" i="2"/>
  <c r="AC5" i="2" s="1"/>
  <c r="O4" i="2"/>
  <c r="AD4" i="2" s="1"/>
  <c r="AA3" i="2"/>
  <c r="Z3" i="2"/>
  <c r="X3" i="2"/>
  <c r="AE3" i="2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P50" i="1"/>
  <c r="X4" i="1"/>
  <c r="Y4" i="1"/>
  <c r="Z4" i="1"/>
  <c r="AA4" i="1"/>
  <c r="AB4" i="1"/>
  <c r="AC4" i="1"/>
  <c r="AD4" i="1"/>
  <c r="AE4" i="1"/>
  <c r="X5" i="1"/>
  <c r="Y5" i="1"/>
  <c r="Z5" i="1"/>
  <c r="AA5" i="1"/>
  <c r="AB5" i="1"/>
  <c r="AC5" i="1"/>
  <c r="AD5" i="1"/>
  <c r="AE5" i="1"/>
  <c r="X6" i="1"/>
  <c r="Y6" i="1"/>
  <c r="Z6" i="1"/>
  <c r="AA6" i="1"/>
  <c r="AB6" i="1"/>
  <c r="AC6" i="1"/>
  <c r="AD6" i="1"/>
  <c r="AE6" i="1"/>
  <c r="X7" i="1"/>
  <c r="Y7" i="1"/>
  <c r="Z7" i="1"/>
  <c r="AA7" i="1"/>
  <c r="AB7" i="1"/>
  <c r="AC7" i="1"/>
  <c r="AD7" i="1"/>
  <c r="AE7" i="1"/>
  <c r="X8" i="1"/>
  <c r="Y8" i="1"/>
  <c r="Z8" i="1"/>
  <c r="AA8" i="1"/>
  <c r="AB8" i="1"/>
  <c r="AC8" i="1"/>
  <c r="AD8" i="1"/>
  <c r="AE8" i="1"/>
  <c r="X9" i="1"/>
  <c r="Y9" i="1"/>
  <c r="Z9" i="1"/>
  <c r="AA9" i="1"/>
  <c r="AB9" i="1"/>
  <c r="AC9" i="1"/>
  <c r="AD9" i="1"/>
  <c r="AE9" i="1"/>
  <c r="X10" i="1"/>
  <c r="Y10" i="1"/>
  <c r="Z10" i="1"/>
  <c r="AA10" i="1"/>
  <c r="AB10" i="1"/>
  <c r="AC10" i="1"/>
  <c r="AD10" i="1"/>
  <c r="AE10" i="1"/>
  <c r="X11" i="1"/>
  <c r="Y11" i="1"/>
  <c r="Z11" i="1"/>
  <c r="AA11" i="1"/>
  <c r="AB11" i="1"/>
  <c r="AC11" i="1"/>
  <c r="AD11" i="1"/>
  <c r="AE11" i="1"/>
  <c r="X12" i="1"/>
  <c r="Y12" i="1"/>
  <c r="Z12" i="1"/>
  <c r="AA12" i="1"/>
  <c r="AB12" i="1"/>
  <c r="AC12" i="1"/>
  <c r="AD12" i="1"/>
  <c r="AE12" i="1"/>
  <c r="X13" i="1"/>
  <c r="Y13" i="1"/>
  <c r="Z13" i="1"/>
  <c r="AA13" i="1"/>
  <c r="AB13" i="1"/>
  <c r="AC13" i="1"/>
  <c r="AD13" i="1"/>
  <c r="AE13" i="1"/>
  <c r="X14" i="1"/>
  <c r="Y14" i="1"/>
  <c r="Z14" i="1"/>
  <c r="AA14" i="1"/>
  <c r="AB14" i="1"/>
  <c r="AC14" i="1"/>
  <c r="AD14" i="1"/>
  <c r="AE14" i="1"/>
  <c r="X15" i="1"/>
  <c r="Y15" i="1"/>
  <c r="Z15" i="1"/>
  <c r="AA15" i="1"/>
  <c r="AB15" i="1"/>
  <c r="AC15" i="1"/>
  <c r="AD15" i="1"/>
  <c r="AE15" i="1"/>
  <c r="X16" i="1"/>
  <c r="Y16" i="1"/>
  <c r="Z16" i="1"/>
  <c r="AA16" i="1"/>
  <c r="AB16" i="1"/>
  <c r="AC16" i="1"/>
  <c r="AD16" i="1"/>
  <c r="AE16" i="1"/>
  <c r="X17" i="1"/>
  <c r="Y17" i="1"/>
  <c r="Z17" i="1"/>
  <c r="AA17" i="1"/>
  <c r="AB17" i="1"/>
  <c r="AC17" i="1"/>
  <c r="AD17" i="1"/>
  <c r="AE17" i="1"/>
  <c r="X18" i="1"/>
  <c r="Y18" i="1"/>
  <c r="Z18" i="1"/>
  <c r="AA18" i="1"/>
  <c r="AB18" i="1"/>
  <c r="AC18" i="1"/>
  <c r="AD18" i="1"/>
  <c r="AE18" i="1"/>
  <c r="X19" i="1"/>
  <c r="Y19" i="1"/>
  <c r="Z19" i="1"/>
  <c r="AA19" i="1"/>
  <c r="AB19" i="1"/>
  <c r="AC19" i="1"/>
  <c r="AD19" i="1"/>
  <c r="AE19" i="1"/>
  <c r="X20" i="1"/>
  <c r="Y20" i="1"/>
  <c r="Z20" i="1"/>
  <c r="AA20" i="1"/>
  <c r="AB20" i="1"/>
  <c r="AC20" i="1"/>
  <c r="AD20" i="1"/>
  <c r="AE20" i="1"/>
  <c r="X21" i="1"/>
  <c r="Y21" i="1"/>
  <c r="Z21" i="1"/>
  <c r="AA21" i="1"/>
  <c r="AB21" i="1"/>
  <c r="AC21" i="1"/>
  <c r="AD21" i="1"/>
  <c r="AE21" i="1"/>
  <c r="X22" i="1"/>
  <c r="Y22" i="1"/>
  <c r="Z22" i="1"/>
  <c r="AA22" i="1"/>
  <c r="AB22" i="1"/>
  <c r="AC22" i="1"/>
  <c r="AD22" i="1"/>
  <c r="AE22" i="1"/>
  <c r="X23" i="1"/>
  <c r="Y23" i="1"/>
  <c r="Z23" i="1"/>
  <c r="AA23" i="1"/>
  <c r="AB23" i="1"/>
  <c r="AC23" i="1"/>
  <c r="AD23" i="1"/>
  <c r="AE23" i="1"/>
  <c r="X24" i="1"/>
  <c r="Y24" i="1"/>
  <c r="Z24" i="1"/>
  <c r="AA24" i="1"/>
  <c r="AB24" i="1"/>
  <c r="AC24" i="1"/>
  <c r="AD24" i="1"/>
  <c r="AE24" i="1"/>
  <c r="X25" i="1"/>
  <c r="Y25" i="1"/>
  <c r="Z25" i="1"/>
  <c r="AA25" i="1"/>
  <c r="AB25" i="1"/>
  <c r="AC25" i="1"/>
  <c r="AD25" i="1"/>
  <c r="AE25" i="1"/>
  <c r="X26" i="1"/>
  <c r="Y26" i="1"/>
  <c r="Z26" i="1"/>
  <c r="AA26" i="1"/>
  <c r="AB26" i="1"/>
  <c r="AC26" i="1"/>
  <c r="AD26" i="1"/>
  <c r="AE26" i="1"/>
  <c r="X27" i="1"/>
  <c r="Y27" i="1"/>
  <c r="Z27" i="1"/>
  <c r="AA27" i="1"/>
  <c r="AB27" i="1"/>
  <c r="AC27" i="1"/>
  <c r="AD27" i="1"/>
  <c r="AE27" i="1"/>
  <c r="X28" i="1"/>
  <c r="Y28" i="1"/>
  <c r="Z28" i="1"/>
  <c r="AA28" i="1"/>
  <c r="AB28" i="1"/>
  <c r="AC28" i="1"/>
  <c r="AD28" i="1"/>
  <c r="AE28" i="1"/>
  <c r="X29" i="1"/>
  <c r="Y29" i="1"/>
  <c r="Z29" i="1"/>
  <c r="AA29" i="1"/>
  <c r="AB29" i="1"/>
  <c r="AC29" i="1"/>
  <c r="AD29" i="1"/>
  <c r="AE29" i="1"/>
  <c r="X30" i="1"/>
  <c r="Y30" i="1"/>
  <c r="Z30" i="1"/>
  <c r="AA30" i="1"/>
  <c r="AB30" i="1"/>
  <c r="AC30" i="1"/>
  <c r="AD30" i="1"/>
  <c r="AE30" i="1"/>
  <c r="X31" i="1"/>
  <c r="Y31" i="1"/>
  <c r="Z31" i="1"/>
  <c r="AA31" i="1"/>
  <c r="AB31" i="1"/>
  <c r="AC31" i="1"/>
  <c r="AD31" i="1"/>
  <c r="AE31" i="1"/>
  <c r="X32" i="1"/>
  <c r="Y32" i="1"/>
  <c r="Z32" i="1"/>
  <c r="AA32" i="1"/>
  <c r="AB32" i="1"/>
  <c r="AC32" i="1"/>
  <c r="AD32" i="1"/>
  <c r="AE32" i="1"/>
  <c r="X33" i="1"/>
  <c r="Y33" i="1"/>
  <c r="Z33" i="1"/>
  <c r="AA33" i="1"/>
  <c r="AB33" i="1"/>
  <c r="AC33" i="1"/>
  <c r="AD33" i="1"/>
  <c r="AE33" i="1"/>
  <c r="X34" i="1"/>
  <c r="Y34" i="1"/>
  <c r="Z34" i="1"/>
  <c r="AA34" i="1"/>
  <c r="AB34" i="1"/>
  <c r="AC34" i="1"/>
  <c r="AD34" i="1"/>
  <c r="AE34" i="1"/>
  <c r="X35" i="1"/>
  <c r="Y35" i="1"/>
  <c r="Z35" i="1"/>
  <c r="AA35" i="1"/>
  <c r="AB35" i="1"/>
  <c r="AC35" i="1"/>
  <c r="AD35" i="1"/>
  <c r="AE35" i="1"/>
  <c r="X36" i="1"/>
  <c r="Y36" i="1"/>
  <c r="Z36" i="1"/>
  <c r="AA36" i="1"/>
  <c r="AB36" i="1"/>
  <c r="AC36" i="1"/>
  <c r="AD36" i="1"/>
  <c r="AE36" i="1"/>
  <c r="X37" i="1"/>
  <c r="Y37" i="1"/>
  <c r="Z37" i="1"/>
  <c r="AA37" i="1"/>
  <c r="AB37" i="1"/>
  <c r="AC37" i="1"/>
  <c r="AD37" i="1"/>
  <c r="AE37" i="1"/>
  <c r="X38" i="1"/>
  <c r="Y38" i="1"/>
  <c r="Z38" i="1"/>
  <c r="AA38" i="1"/>
  <c r="AB38" i="1"/>
  <c r="AC38" i="1"/>
  <c r="AD38" i="1"/>
  <c r="AE38" i="1"/>
  <c r="X39" i="1"/>
  <c r="Y39" i="1"/>
  <c r="Z39" i="1"/>
  <c r="AA39" i="1"/>
  <c r="AB39" i="1"/>
  <c r="AC39" i="1"/>
  <c r="AD39" i="1"/>
  <c r="AE39" i="1"/>
  <c r="X40" i="1"/>
  <c r="Y40" i="1"/>
  <c r="Z40" i="1"/>
  <c r="AA40" i="1"/>
  <c r="AB40" i="1"/>
  <c r="AC40" i="1"/>
  <c r="AD40" i="1"/>
  <c r="AE40" i="1"/>
  <c r="X41" i="1"/>
  <c r="Y41" i="1"/>
  <c r="Z41" i="1"/>
  <c r="AA41" i="1"/>
  <c r="AB41" i="1"/>
  <c r="AC41" i="1"/>
  <c r="AD41" i="1"/>
  <c r="AE41" i="1"/>
  <c r="X42" i="1"/>
  <c r="Y42" i="1"/>
  <c r="Z42" i="1"/>
  <c r="AA42" i="1"/>
  <c r="AB42" i="1"/>
  <c r="AC42" i="1"/>
  <c r="AD42" i="1"/>
  <c r="AE42" i="1"/>
  <c r="X43" i="1"/>
  <c r="Y43" i="1"/>
  <c r="Z43" i="1"/>
  <c r="AA43" i="1"/>
  <c r="AB43" i="1"/>
  <c r="AC43" i="1"/>
  <c r="AD43" i="1"/>
  <c r="AE43" i="1"/>
  <c r="X44" i="1"/>
  <c r="Y44" i="1"/>
  <c r="Z44" i="1"/>
  <c r="AA44" i="1"/>
  <c r="AB44" i="1"/>
  <c r="AC44" i="1"/>
  <c r="AD44" i="1"/>
  <c r="AE44" i="1"/>
  <c r="X45" i="1"/>
  <c r="Y45" i="1"/>
  <c r="Z45" i="1"/>
  <c r="AA45" i="1"/>
  <c r="AB45" i="1"/>
  <c r="AC45" i="1"/>
  <c r="AD45" i="1"/>
  <c r="AE45" i="1"/>
  <c r="X46" i="1"/>
  <c r="Y46" i="1"/>
  <c r="Z46" i="1"/>
  <c r="AA46" i="1"/>
  <c r="AB46" i="1"/>
  <c r="AC46" i="1"/>
  <c r="AD46" i="1"/>
  <c r="AE46" i="1"/>
  <c r="X47" i="1"/>
  <c r="Y47" i="1"/>
  <c r="Z47" i="1"/>
  <c r="AA47" i="1"/>
  <c r="AB47" i="1"/>
  <c r="AC47" i="1"/>
  <c r="AD47" i="1"/>
  <c r="AE47" i="1"/>
  <c r="X48" i="1"/>
  <c r="Y48" i="1"/>
  <c r="Z48" i="1"/>
  <c r="AA48" i="1"/>
  <c r="AB48" i="1"/>
  <c r="AC48" i="1"/>
  <c r="AD48" i="1"/>
  <c r="AE48" i="1"/>
  <c r="X49" i="1"/>
  <c r="Y49" i="1"/>
  <c r="Z49" i="1"/>
  <c r="AA49" i="1"/>
  <c r="AB49" i="1"/>
  <c r="AC49" i="1"/>
  <c r="AD49" i="1"/>
  <c r="AE49" i="1"/>
  <c r="AC3" i="1"/>
  <c r="Y3" i="1"/>
  <c r="Z3" i="1"/>
  <c r="AA3" i="1"/>
  <c r="AB3" i="1"/>
  <c r="AD3" i="1"/>
  <c r="AE3" i="1"/>
  <c r="X3" i="1"/>
  <c r="O50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N50" i="1"/>
  <c r="M50" i="1"/>
  <c r="L50" i="1"/>
  <c r="G50" i="1"/>
  <c r="F50" i="1"/>
  <c r="E50" i="1"/>
  <c r="D50" i="1"/>
  <c r="C50" i="1"/>
  <c r="H50" i="1"/>
  <c r="Y3" i="2" l="1"/>
  <c r="AA5" i="2"/>
  <c r="AD6" i="2"/>
  <c r="Y8" i="2"/>
  <c r="Z9" i="2"/>
  <c r="AD11" i="2"/>
  <c r="X14" i="2"/>
  <c r="AB15" i="2"/>
  <c r="AC16" i="2"/>
  <c r="Y19" i="2"/>
  <c r="AC22" i="2"/>
  <c r="X24" i="2"/>
  <c r="X25" i="2"/>
  <c r="AC27" i="2"/>
  <c r="Z31" i="2"/>
  <c r="AB32" i="2"/>
  <c r="X35" i="2"/>
  <c r="AC38" i="2"/>
  <c r="X40" i="2"/>
  <c r="X41" i="2"/>
  <c r="AC43" i="2"/>
  <c r="Z47" i="2"/>
  <c r="AB48" i="2"/>
  <c r="AD5" i="2"/>
  <c r="AC3" i="2"/>
  <c r="Z7" i="2"/>
  <c r="AB8" i="2"/>
  <c r="X11" i="2"/>
  <c r="AC14" i="2"/>
  <c r="X16" i="2"/>
  <c r="X17" i="2"/>
  <c r="AC19" i="2"/>
  <c r="Y23" i="2"/>
  <c r="AA24" i="2"/>
  <c r="AC28" i="2"/>
  <c r="AA35" i="2"/>
  <c r="Y39" i="2"/>
  <c r="AA40" i="2"/>
  <c r="AC44" i="2"/>
  <c r="O50" i="2"/>
  <c r="AD3" i="2"/>
  <c r="X6" i="2"/>
  <c r="AB7" i="2"/>
  <c r="AC8" i="2"/>
  <c r="Y11" i="2"/>
  <c r="AD14" i="2"/>
  <c r="Y16" i="2"/>
  <c r="Z17" i="2"/>
  <c r="AD19" i="2"/>
  <c r="Z23" i="2"/>
  <c r="AB24" i="2"/>
  <c r="AC35" i="2"/>
  <c r="Z39" i="2"/>
  <c r="AB40" i="2"/>
  <c r="X49" i="2"/>
  <c r="AC12" i="2"/>
  <c r="Z40" i="2"/>
  <c r="AC7" i="2"/>
  <c r="Z11" i="2"/>
  <c r="Z16" i="2"/>
  <c r="AB23" i="2"/>
  <c r="AC24" i="2"/>
  <c r="AD35" i="2"/>
  <c r="AB39" i="2"/>
  <c r="AC40" i="2"/>
  <c r="Y7" i="2"/>
  <c r="AA14" i="2"/>
  <c r="Z24" i="2"/>
  <c r="Z35" i="2"/>
  <c r="AC4" i="2"/>
  <c r="AA11" i="2"/>
  <c r="Y15" i="2"/>
  <c r="AA16" i="2"/>
  <c r="AC20" i="2"/>
  <c r="Z22" i="2"/>
  <c r="AC23" i="2"/>
  <c r="AD24" i="2"/>
  <c r="AB29" i="2"/>
  <c r="Z38" i="2"/>
  <c r="AC39" i="2"/>
  <c r="AD40" i="2"/>
  <c r="AB45" i="2"/>
  <c r="Z48" i="2"/>
  <c r="Y18" i="2"/>
  <c r="Y26" i="2"/>
  <c r="AE36" i="2"/>
  <c r="X4" i="2"/>
  <c r="AE5" i="2"/>
  <c r="AA9" i="2"/>
  <c r="Z10" i="2"/>
  <c r="X12" i="2"/>
  <c r="AE13" i="2"/>
  <c r="AA17" i="2"/>
  <c r="Z18" i="2"/>
  <c r="X20" i="2"/>
  <c r="AE21" i="2"/>
  <c r="AA25" i="2"/>
  <c r="Z26" i="2"/>
  <c r="X28" i="2"/>
  <c r="AE29" i="2"/>
  <c r="AA33" i="2"/>
  <c r="Z34" i="2"/>
  <c r="X36" i="2"/>
  <c r="AE37" i="2"/>
  <c r="AA41" i="2"/>
  <c r="Z42" i="2"/>
  <c r="X44" i="2"/>
  <c r="AE45" i="2"/>
  <c r="AA49" i="2"/>
  <c r="Y10" i="2"/>
  <c r="Y42" i="2"/>
  <c r="AE44" i="2"/>
  <c r="Y4" i="2"/>
  <c r="X5" i="2"/>
  <c r="AE6" i="2"/>
  <c r="AD7" i="2"/>
  <c r="AB9" i="2"/>
  <c r="AA10" i="2"/>
  <c r="Y12" i="2"/>
  <c r="X13" i="2"/>
  <c r="AE14" i="2"/>
  <c r="AD15" i="2"/>
  <c r="AB17" i="2"/>
  <c r="AA18" i="2"/>
  <c r="Y20" i="2"/>
  <c r="X21" i="2"/>
  <c r="AE22" i="2"/>
  <c r="AD23" i="2"/>
  <c r="AB25" i="2"/>
  <c r="AA26" i="2"/>
  <c r="Y28" i="2"/>
  <c r="X29" i="2"/>
  <c r="AE30" i="2"/>
  <c r="AD31" i="2"/>
  <c r="AB33" i="2"/>
  <c r="AA34" i="2"/>
  <c r="Y36" i="2"/>
  <c r="X37" i="2"/>
  <c r="AE38" i="2"/>
  <c r="AD39" i="2"/>
  <c r="AB41" i="2"/>
  <c r="AA42" i="2"/>
  <c r="Y44" i="2"/>
  <c r="X45" i="2"/>
  <c r="AE46" i="2"/>
  <c r="AD47" i="2"/>
  <c r="AB49" i="2"/>
  <c r="AE12" i="2"/>
  <c r="AE28" i="2"/>
  <c r="Y34" i="2"/>
  <c r="Z4" i="2"/>
  <c r="Y5" i="2"/>
  <c r="AE7" i="2"/>
  <c r="AC9" i="2"/>
  <c r="AB10" i="2"/>
  <c r="Z12" i="2"/>
  <c r="Y13" i="2"/>
  <c r="AE15" i="2"/>
  <c r="AC17" i="2"/>
  <c r="AB18" i="2"/>
  <c r="Z20" i="2"/>
  <c r="Y21" i="2"/>
  <c r="AE23" i="2"/>
  <c r="AC25" i="2"/>
  <c r="AB26" i="2"/>
  <c r="Z28" i="2"/>
  <c r="Y29" i="2"/>
  <c r="AE31" i="2"/>
  <c r="AC33" i="2"/>
  <c r="AB34" i="2"/>
  <c r="Z36" i="2"/>
  <c r="Y37" i="2"/>
  <c r="AE39" i="2"/>
  <c r="AC41" i="2"/>
  <c r="AB42" i="2"/>
  <c r="Z44" i="2"/>
  <c r="Y45" i="2"/>
  <c r="AE47" i="2"/>
  <c r="AC49" i="2"/>
  <c r="AE4" i="2"/>
  <c r="AB3" i="2"/>
  <c r="AA4" i="2"/>
  <c r="Z5" i="2"/>
  <c r="Y6" i="2"/>
  <c r="X7" i="2"/>
  <c r="AD9" i="2"/>
  <c r="AC10" i="2"/>
  <c r="AB11" i="2"/>
  <c r="AA12" i="2"/>
  <c r="Z13" i="2"/>
  <c r="Y14" i="2"/>
  <c r="X15" i="2"/>
  <c r="AD17" i="2"/>
  <c r="AC18" i="2"/>
  <c r="AB19" i="2"/>
  <c r="AA20" i="2"/>
  <c r="Z21" i="2"/>
  <c r="Y22" i="2"/>
  <c r="X23" i="2"/>
  <c r="AD25" i="2"/>
  <c r="AC26" i="2"/>
  <c r="AB27" i="2"/>
  <c r="AA28" i="2"/>
  <c r="Z29" i="2"/>
  <c r="Y30" i="2"/>
  <c r="X31" i="2"/>
  <c r="AD33" i="2"/>
  <c r="AC34" i="2"/>
  <c r="AB35" i="2"/>
  <c r="AA36" i="2"/>
  <c r="Z37" i="2"/>
  <c r="Y38" i="2"/>
  <c r="X39" i="2"/>
  <c r="AD41" i="2"/>
  <c r="AC42" i="2"/>
  <c r="AB43" i="2"/>
  <c r="AA44" i="2"/>
  <c r="Z45" i="2"/>
  <c r="Y46" i="2"/>
  <c r="X47" i="2"/>
  <c r="AD49" i="2"/>
  <c r="AB4" i="2"/>
  <c r="AE9" i="2"/>
  <c r="AD10" i="2"/>
  <c r="AB12" i="2"/>
  <c r="AE17" i="2"/>
  <c r="AD18" i="2"/>
  <c r="AB20" i="2"/>
  <c r="AE25" i="2"/>
  <c r="AD26" i="2"/>
  <c r="AB28" i="2"/>
  <c r="AE33" i="2"/>
  <c r="AD34" i="2"/>
  <c r="AB36" i="2"/>
  <c r="AE41" i="2"/>
  <c r="AD42" i="2"/>
  <c r="AB44" i="2"/>
  <c r="AE49" i="2"/>
  <c r="AE10" i="2"/>
  <c r="AE18" i="2"/>
  <c r="AE26" i="2"/>
  <c r="AE34" i="2"/>
  <c r="AE42" i="2"/>
  <c r="AD50" i="2" l="1"/>
  <c r="Z50" i="2"/>
  <c r="Y50" i="2"/>
  <c r="X50" i="2"/>
  <c r="AA50" i="2"/>
  <c r="AE50" i="2"/>
  <c r="AC50" i="2"/>
  <c r="AB50" i="2"/>
</calcChain>
</file>

<file path=xl/sharedStrings.xml><?xml version="1.0" encoding="utf-8"?>
<sst xmlns="http://schemas.openxmlformats.org/spreadsheetml/2006/main" count="448" uniqueCount="117">
  <si>
    <t>Country</t>
  </si>
  <si>
    <t>Adjusted 2022</t>
  </si>
  <si>
    <t>Algeria</t>
  </si>
  <si>
    <t>Angola</t>
  </si>
  <si>
    <t>Benin</t>
  </si>
  <si>
    <t>Botswana</t>
  </si>
  <si>
    <t>Burkina Faso</t>
  </si>
  <si>
    <t>Burundi</t>
  </si>
  <si>
    <t>Cameroon</t>
  </si>
  <si>
    <t>Cape-Verde</t>
  </si>
  <si>
    <t>Central African Republic</t>
  </si>
  <si>
    <t>Chad</t>
  </si>
  <si>
    <t>Comoros</t>
  </si>
  <si>
    <t>Congo</t>
  </si>
  <si>
    <t>Cote d'Ivoire</t>
  </si>
  <si>
    <t>DRC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</si>
  <si>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</si>
  <si>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</si>
  <si>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</si>
  <si>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</si>
  <si>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</si>
  <si>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</si>
  <si>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</si>
  <si>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</si>
  <si>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</si>
  <si>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</si>
  <si>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</si>
  <si>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</si>
  <si>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</si>
  <si>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</si>
  <si>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</si>
  <si>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</si>
  <si>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</si>
  <si>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</si>
  <si>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</si>
  <si>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</si>
  <si>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</si>
  <si>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</si>
  <si>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</si>
  <si>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</si>
  <si>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</si>
  <si>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</si>
  <si>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</si>
  <si>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</si>
  <si>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Tanzania</t>
  </si>
  <si>
    <t>Togo</t>
  </si>
  <si>
    <t>Uganda</t>
  </si>
  <si>
    <t>Zambia</t>
  </si>
  <si>
    <t>Zimbabwe</t>
  </si>
  <si>
    <t>AFRO</t>
  </si>
  <si>
    <t>Country code</t>
  </si>
  <si>
    <t>income level</t>
  </si>
  <si>
    <t>DZA</t>
  </si>
  <si>
    <t>Lower-Middle-Income Economies</t>
  </si>
  <si>
    <t>AGO</t>
  </si>
  <si>
    <t>BEN</t>
  </si>
  <si>
    <t>BWA</t>
  </si>
  <si>
    <t>High/Upper-Middle-Income Economies </t>
  </si>
  <si>
    <t>BFA</t>
  </si>
  <si>
    <t>Low-Income Economies</t>
  </si>
  <si>
    <t>BDI</t>
  </si>
  <si>
    <t>CMR</t>
  </si>
  <si>
    <t>CPV</t>
  </si>
  <si>
    <t>CAF</t>
  </si>
  <si>
    <t>TCD</t>
  </si>
  <si>
    <t>COM</t>
  </si>
  <si>
    <t>COG</t>
  </si>
  <si>
    <t>CIV</t>
  </si>
  <si>
    <t>COD</t>
  </si>
  <si>
    <t>GNQ</t>
  </si>
  <si>
    <t>ERI</t>
  </si>
  <si>
    <t>SWZ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</si>
  <si>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</si>
  <si>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</si>
  <si>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</si>
  <si>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</si>
  <si>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</si>
  <si>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</si>
  <si>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</si>
  <si>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</si>
  <si>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</si>
  <si>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MDG</t>
  </si>
  <si>
    <t>MWI</t>
  </si>
  <si>
    <t>MLI</t>
  </si>
  <si>
    <t>MRT</t>
  </si>
  <si>
    <t>MUS</t>
  </si>
  <si>
    <t>MOZ</t>
  </si>
  <si>
    <t>NAM</t>
  </si>
  <si>
    <t>NER</t>
  </si>
  <si>
    <t>NGA</t>
  </si>
  <si>
    <t>RWA</t>
  </si>
  <si>
    <t>STP</t>
  </si>
  <si>
    <t>SEN</t>
  </si>
  <si>
    <t>SYC</t>
  </si>
  <si>
    <t>SLE</t>
  </si>
  <si>
    <t>ZAF</t>
  </si>
  <si>
    <t>SSD</t>
  </si>
  <si>
    <t>TZA</t>
  </si>
  <si>
    <t>TGO</t>
  </si>
  <si>
    <t>UGA</t>
  </si>
  <si>
    <t>ZMB</t>
  </si>
  <si>
    <t>ZWE</t>
  </si>
  <si>
    <t>Other worforce</t>
  </si>
  <si>
    <t>Core workforce</t>
  </si>
  <si>
    <t>Medical doctors</t>
  </si>
  <si>
    <t>Medical doctors to Other workers</t>
  </si>
  <si>
    <t>Projected 2023</t>
  </si>
  <si>
    <t>Projected 2024</t>
  </si>
  <si>
    <t>Projected 2025</t>
  </si>
  <si>
    <t>Projected 2026</t>
  </si>
  <si>
    <t>Projected 2027</t>
  </si>
  <si>
    <t>Projected 2028</t>
  </si>
  <si>
    <t>Projected 2029</t>
  </si>
  <si>
    <t>Projected 2030</t>
  </si>
  <si>
    <t>other workers</t>
  </si>
  <si>
    <t>Nurses</t>
  </si>
  <si>
    <t>Nurses to Other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</si>
</sst>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8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color theme="1"/>
      <name val="Arial Narrow"/>
      <family val="2"/>
    </font>
    <font>
      <sz val="11"/>
      <color rgb="FFFF00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/>
    <xf numFmtId="164" fontId="5" fillId="0" borderId="1" xfId="0" applyNumberFormat="1" applyFont="1" applyBorder="1"/>
    <xf numFmtId="164" fontId="4" fillId="5" borderId="1" xfId="0" applyNumberFormat="1" applyFont="1" applyFill="1" applyBorder="1"/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/>
    <xf numFmtId="164" fontId="4" fillId="6" borderId="1" xfId="0" applyNumberFormat="1" applyFont="1" applyFill="1" applyBorder="1"/>
    <xf numFmtId="164" fontId="5" fillId="6" borderId="1" xfId="0" applyNumberFormat="1" applyFont="1" applyFill="1" applyBorder="1"/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2" fillId="3" borderId="1" xfId="0" applyNumberFormat="1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7" borderId="1" xfId="0" applyFont="1" applyFill="1" applyBorder="1" applyAlignment="1">
      <alignment wrapText="1"/>
    </xf>
    <xf numFmtId="168" fontId="4" fillId="0" borderId="1" xfId="0" applyNumberFormat="1" applyFont="1" applyBorder="1"/>
    <xf numFmtId="1" fontId="4" fillId="0" borderId="1" xfId="0" applyNumberFormat="1" applyFont="1" applyBorder="1"/>
    <xf numFmtId="0" fontId="2" fillId="7" borderId="1" xfId="0" applyFont="1" applyFill="1" applyBorder="1" applyAlignment="1">
      <alignment wrapText="1"/>
    </xf>
    <xf numFmtId="164" fontId="2" fillId="0" borderId="1" xfId="1" applyNumberFormat="1" applyFont="1" applyBorder="1"/>
    <xf numFmtId="164" fontId="4" fillId="7" borderId="1" xfId="1" applyNumberFormat="1" applyFont="1" applyFill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2" fillId="0" borderId="0" xfId="1" applyNumberFormat="1" applyFont="1"/>
    <xf numFmtId="0" fontId="2" fillId="8" borderId="1" xfId="0" applyFont="1" applyFill="1" applyBorder="1" applyAlignment="1">
      <alignment wrapText="1"/>
    </xf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8645D-5054-41B2-AF57-7740FDC695E2}">
  <dimension ref="B1:AE51"/>
  <sheetViews>
    <sheetView workbookViewId="0">
      <selection activeCell="O4" sqref="O4"/>
    </sheetView>
  </sheetViews>
  <sheetFormatPr defaultRowHeight="14.5" x14ac:dyDescent="0.35"/>
  <cols>
    <col min="4" max="5" width="9.1796875" bestFit="1" customWidth="1"/>
    <col min="7" max="8" width="9.1796875" bestFit="1" customWidth="1"/>
    <col min="11" max="11" width="29.7265625" bestFit="1" customWidth="1"/>
    <col min="16" max="23" width="10.08984375" bestFit="1" customWidth="1"/>
    <col min="24" max="31" width="11.54296875" bestFit="1" customWidth="1"/>
  </cols>
  <sheetData>
    <row r="1" spans="2:31" x14ac:dyDescent="0.35">
      <c r="B1" s="16"/>
      <c r="C1" s="17" t="s">
        <v>103</v>
      </c>
      <c r="D1" s="17"/>
      <c r="E1" s="17"/>
      <c r="F1" s="17" t="s">
        <v>102</v>
      </c>
      <c r="G1" s="17"/>
      <c r="H1" s="17"/>
      <c r="I1" s="16"/>
      <c r="J1" s="16"/>
      <c r="K1" s="16"/>
      <c r="L1" s="16"/>
      <c r="M1" s="16" t="s">
        <v>104</v>
      </c>
      <c r="N1" s="16"/>
      <c r="O1" s="16"/>
      <c r="P1" s="17" t="s">
        <v>104</v>
      </c>
      <c r="Q1" s="17"/>
      <c r="R1" s="17"/>
      <c r="S1" s="17"/>
      <c r="T1" s="17"/>
      <c r="U1" s="17"/>
      <c r="V1" s="17"/>
      <c r="W1" s="17"/>
      <c r="X1" s="18" t="s">
        <v>114</v>
      </c>
      <c r="Y1" s="18"/>
      <c r="Z1" s="18"/>
      <c r="AA1" s="18"/>
      <c r="AB1" s="18"/>
      <c r="AC1" s="18"/>
      <c r="AD1" s="18"/>
      <c r="AE1" s="18"/>
    </row>
    <row r="2" spans="2:31" ht="56.5" x14ac:dyDescent="0.35">
      <c r="B2" s="1" t="s">
        <v>0</v>
      </c>
      <c r="C2" s="2">
        <v>2013</v>
      </c>
      <c r="D2" s="2">
        <v>2018</v>
      </c>
      <c r="E2" s="3" t="s">
        <v>1</v>
      </c>
      <c r="F2" s="4">
        <v>2013</v>
      </c>
      <c r="G2" s="4">
        <v>2018</v>
      </c>
      <c r="H2" s="4" t="s">
        <v>1</v>
      </c>
      <c r="I2" s="1" t="s">
        <v>0</v>
      </c>
      <c r="J2" s="1" t="s">
        <v>50</v>
      </c>
      <c r="K2" s="1" t="s">
        <v>51</v>
      </c>
      <c r="L2" s="2">
        <v>2013</v>
      </c>
      <c r="M2" s="2">
        <v>2018</v>
      </c>
      <c r="N2" s="2" t="s">
        <v>1</v>
      </c>
      <c r="O2" s="2" t="s">
        <v>105</v>
      </c>
      <c r="P2" s="19" t="s">
        <v>106</v>
      </c>
      <c r="Q2" s="19" t="s">
        <v>107</v>
      </c>
      <c r="R2" s="19" t="s">
        <v>108</v>
      </c>
      <c r="S2" s="19" t="s">
        <v>109</v>
      </c>
      <c r="T2" s="19" t="s">
        <v>110</v>
      </c>
      <c r="U2" s="19" t="s">
        <v>111</v>
      </c>
      <c r="V2" s="19" t="s">
        <v>112</v>
      </c>
      <c r="W2" s="19" t="s">
        <v>113</v>
      </c>
      <c r="X2" s="23" t="s">
        <v>106</v>
      </c>
      <c r="Y2" s="23" t="s">
        <v>107</v>
      </c>
      <c r="Z2" s="23" t="s">
        <v>108</v>
      </c>
      <c r="AA2" s="23" t="s">
        <v>109</v>
      </c>
      <c r="AB2" s="23" t="s">
        <v>110</v>
      </c>
      <c r="AC2" s="23" t="s">
        <v>111</v>
      </c>
      <c r="AD2" s="23" t="s">
        <v>112</v>
      </c>
      <c r="AE2" s="23" t="s">
        <v>113</v>
      </c>
    </row>
    <row r="3" spans="2:31" x14ac:dyDescent="0.35">
      <c r="B3" s="5" t="s">
        <v>2</v>
      </c>
      <c r="C3" s="6">
        <v>11139</v>
      </c>
      <c r="D3" s="6">
        <v>175647</v>
      </c>
      <c r="E3" s="7">
        <v>220805</v>
      </c>
      <c r="F3" s="8">
        <v>200</v>
      </c>
      <c r="G3" s="8">
        <v>240105</v>
      </c>
      <c r="H3" s="8">
        <v>366963.77629941667</v>
      </c>
      <c r="I3" s="5" t="s">
        <v>2</v>
      </c>
      <c r="J3" s="5" t="s">
        <v>52</v>
      </c>
      <c r="K3" s="5" t="s">
        <v>53</v>
      </c>
      <c r="L3" s="11">
        <v>0</v>
      </c>
      <c r="M3" s="11">
        <v>73168</v>
      </c>
      <c r="N3" s="12">
        <v>75512</v>
      </c>
      <c r="O3" s="21">
        <f>H3/N3</f>
        <v>4.8596749695335397</v>
      </c>
      <c r="P3" s="22">
        <v>70913.67108981323</v>
      </c>
      <c r="Q3" s="22">
        <v>72957.365209322714</v>
      </c>
      <c r="R3" s="22">
        <v>74965.727324275853</v>
      </c>
      <c r="S3" s="22">
        <v>76939.368265096869</v>
      </c>
      <c r="T3" s="22">
        <v>78878.888301988089</v>
      </c>
      <c r="U3" s="22">
        <v>80784.87732749831</v>
      </c>
      <c r="V3" s="22">
        <v>82657.915035934813</v>
      </c>
      <c r="W3" s="22">
        <v>84498.571099673645</v>
      </c>
      <c r="X3" s="25">
        <f>P3*$O3</f>
        <v>344617.39239289955</v>
      </c>
      <c r="Y3" s="25">
        <f t="shared" ref="Y3:AE3" si="0">Q3*$O3</f>
        <v>354549.0815508627</v>
      </c>
      <c r="Z3" s="25">
        <f t="shared" si="0"/>
        <v>364309.06865065993</v>
      </c>
      <c r="AA3" s="25">
        <f t="shared" si="0"/>
        <v>373900.32212961442</v>
      </c>
      <c r="AB3" s="25">
        <f t="shared" si="0"/>
        <v>383325.75910580344</v>
      </c>
      <c r="AC3" s="25">
        <f>U3*$O3</f>
        <v>392588.24626528111</v>
      </c>
      <c r="AD3" s="25">
        <f t="shared" si="0"/>
        <v>401690.60073396243</v>
      </c>
      <c r="AE3" s="25">
        <f t="shared" si="0"/>
        <v>410635.59093443415</v>
      </c>
    </row>
    <row r="4" spans="2:31" x14ac:dyDescent="0.35">
      <c r="B4" s="5" t="s">
        <v>3</v>
      </c>
      <c r="C4" s="6">
        <v>30</v>
      </c>
      <c r="D4" s="6">
        <v>60468</v>
      </c>
      <c r="E4" s="6">
        <v>78869.768592450535</v>
      </c>
      <c r="F4" s="8">
        <v>602</v>
      </c>
      <c r="G4" s="8">
        <v>50395</v>
      </c>
      <c r="H4" s="8">
        <v>58067.470117464829</v>
      </c>
      <c r="I4" s="5" t="s">
        <v>3</v>
      </c>
      <c r="J4" s="5" t="s">
        <v>54</v>
      </c>
      <c r="K4" s="13" t="s">
        <v>53</v>
      </c>
      <c r="L4" s="11">
        <v>0</v>
      </c>
      <c r="M4" s="11">
        <v>6593</v>
      </c>
      <c r="N4" s="11">
        <v>8693</v>
      </c>
      <c r="O4" s="21">
        <f t="shared" ref="O4:O50" si="1">H4/N4</f>
        <v>6.6797964014108855</v>
      </c>
      <c r="P4" s="22">
        <v>8932.07032690917</v>
      </c>
      <c r="Q4" s="22">
        <v>9271.4988092128588</v>
      </c>
      <c r="R4" s="22">
        <v>9608.1846945798206</v>
      </c>
      <c r="S4" s="22">
        <v>9942.1501433128851</v>
      </c>
      <c r="T4" s="22">
        <v>10273.417136658672</v>
      </c>
      <c r="U4" s="22">
        <v>10602.007478254369</v>
      </c>
      <c r="V4" s="22">
        <v>10927.942795562822</v>
      </c>
      <c r="W4" s="22">
        <v>11251.244541296035</v>
      </c>
      <c r="X4" s="25">
        <f t="shared" ref="X4:X49" si="2">P4*$O4</f>
        <v>59664.411226836826</v>
      </c>
      <c r="Y4" s="25">
        <f t="shared" ref="Y4:Y50" si="3">Q4*$O4</f>
        <v>61931.724381465363</v>
      </c>
      <c r="Z4" s="25">
        <f t="shared" ref="Z4:Z50" si="4">R4*$O4</f>
        <v>64180.717546945431</v>
      </c>
      <c r="AA4" s="25">
        <f t="shared" ref="AA4:AA50" si="5">S4*$O4</f>
        <v>66411.53874958813</v>
      </c>
      <c r="AB4" s="25">
        <f t="shared" ref="AB4:AB50" si="6">T4*$O4</f>
        <v>68624.334819645519</v>
      </c>
      <c r="AC4" s="25">
        <f t="shared" ref="AC4:AC49" si="7">U4*$O4</f>
        <v>70819.251400974827</v>
      </c>
      <c r="AD4" s="25">
        <f t="shared" ref="AD4:AD50" si="8">V4*$O4</f>
        <v>72996.432960624545</v>
      </c>
      <c r="AE4" s="25">
        <f t="shared" ref="AE4:AE50" si="9">W4*$O4</f>
        <v>75156.022798343125</v>
      </c>
    </row>
    <row r="5" spans="2:31" x14ac:dyDescent="0.35">
      <c r="B5" s="5" t="s">
        <v>4</v>
      </c>
      <c r="C5" s="6">
        <v>7923</v>
      </c>
      <c r="D5" s="6">
        <v>5769</v>
      </c>
      <c r="E5" s="6">
        <v>11051.475446848541</v>
      </c>
      <c r="F5" s="8">
        <v>15066</v>
      </c>
      <c r="G5" s="8">
        <v>11707</v>
      </c>
      <c r="H5" s="8">
        <v>13972.936782690498</v>
      </c>
      <c r="I5" s="5" t="s">
        <v>4</v>
      </c>
      <c r="J5" s="5" t="s">
        <v>55</v>
      </c>
      <c r="K5" s="5" t="s">
        <v>53</v>
      </c>
      <c r="L5" s="11">
        <v>0</v>
      </c>
      <c r="M5" s="11">
        <v>908</v>
      </c>
      <c r="N5" s="11">
        <v>2608</v>
      </c>
      <c r="O5" s="21">
        <f t="shared" si="1"/>
        <v>5.3577211590070926</v>
      </c>
      <c r="P5" s="22">
        <v>3134.9369328493644</v>
      </c>
      <c r="Q5" s="22">
        <v>3647.1391628980136</v>
      </c>
      <c r="R5" s="22">
        <v>4155.2326200667812</v>
      </c>
      <c r="S5" s="22">
        <v>4659.2502640219627</v>
      </c>
      <c r="T5" s="22">
        <v>5159.2247900347093</v>
      </c>
      <c r="U5" s="22">
        <v>5655.1886311019452</v>
      </c>
      <c r="V5" s="22">
        <v>6147.1739600502751</v>
      </c>
      <c r="W5" s="22">
        <v>6635.2126916230118</v>
      </c>
      <c r="X5" s="25">
        <f t="shared" si="2"/>
        <v>16796.117937279836</v>
      </c>
      <c r="Y5" s="25">
        <f t="shared" si="3"/>
        <v>19540.354662902104</v>
      </c>
      <c r="Z5" s="25">
        <f t="shared" si="4"/>
        <v>22262.577729128272</v>
      </c>
      <c r="AA5" s="25">
        <f t="shared" si="5"/>
        <v>24962.96372465985</v>
      </c>
      <c r="AB5" s="25">
        <f t="shared" si="6"/>
        <v>27641.687821642885</v>
      </c>
      <c r="AC5" s="25">
        <f t="shared" si="7"/>
        <v>30298.923787031246</v>
      </c>
      <c r="AD5" s="25">
        <f t="shared" si="8"/>
        <v>32934.843993858776</v>
      </c>
      <c r="AE5" s="25">
        <f t="shared" si="9"/>
        <v>35549.619432421016</v>
      </c>
    </row>
    <row r="6" spans="2:31" x14ac:dyDescent="0.35">
      <c r="B6" s="5" t="s">
        <v>5</v>
      </c>
      <c r="C6" s="6">
        <v>8191</v>
      </c>
      <c r="D6" s="6">
        <v>9284</v>
      </c>
      <c r="E6" s="6">
        <v>9739.0851814152975</v>
      </c>
      <c r="F6" s="8">
        <v>1000</v>
      </c>
      <c r="G6" s="8">
        <v>7514</v>
      </c>
      <c r="H6" s="8">
        <v>8210.3980409764026</v>
      </c>
      <c r="I6" s="5" t="s">
        <v>5</v>
      </c>
      <c r="J6" s="5" t="s">
        <v>56</v>
      </c>
      <c r="K6" s="5" t="s">
        <v>57</v>
      </c>
      <c r="L6" s="11">
        <v>819</v>
      </c>
      <c r="M6" s="11">
        <v>925</v>
      </c>
      <c r="N6" s="11">
        <v>992</v>
      </c>
      <c r="O6" s="21">
        <f t="shared" si="1"/>
        <v>8.2766109284036311</v>
      </c>
      <c r="P6" s="22">
        <v>1019.0640986908359</v>
      </c>
      <c r="Q6" s="22">
        <v>1054.7776099565033</v>
      </c>
      <c r="R6" s="22">
        <v>1090.3041018278286</v>
      </c>
      <c r="S6" s="22">
        <v>1125.644553661157</v>
      </c>
      <c r="T6" s="22">
        <v>1160.7999396842808</v>
      </c>
      <c r="U6" s="22">
        <v>1195.7712290232955</v>
      </c>
      <c r="V6" s="22">
        <v>1230.5593857293165</v>
      </c>
      <c r="W6" s="22">
        <v>1265.1653688050542</v>
      </c>
      <c r="X6" s="25">
        <f t="shared" si="2"/>
        <v>8434.3970559683694</v>
      </c>
      <c r="Y6" s="25">
        <f t="shared" si="3"/>
        <v>8729.9838936014585</v>
      </c>
      <c r="Z6" s="25">
        <f t="shared" si="4"/>
        <v>9024.0228444715121</v>
      </c>
      <c r="AA6" s="25">
        <f t="shared" si="5"/>
        <v>9316.5220143299593</v>
      </c>
      <c r="AB6" s="25">
        <f t="shared" si="6"/>
        <v>9607.4894664811945</v>
      </c>
      <c r="AC6" s="25">
        <f t="shared" si="7"/>
        <v>9896.9332220048491</v>
      </c>
      <c r="AD6" s="25">
        <f t="shared" si="8"/>
        <v>10184.86125997692</v>
      </c>
      <c r="AE6" s="25">
        <f t="shared" si="9"/>
        <v>10471.281517689722</v>
      </c>
    </row>
    <row r="7" spans="2:31" x14ac:dyDescent="0.35">
      <c r="B7" s="5" t="s">
        <v>6</v>
      </c>
      <c r="C7" s="6">
        <v>8983</v>
      </c>
      <c r="D7" s="6">
        <v>19646</v>
      </c>
      <c r="E7" s="6">
        <v>27591.374567572704</v>
      </c>
      <c r="F7" s="8">
        <v>4585</v>
      </c>
      <c r="G7" s="8">
        <v>7601</v>
      </c>
      <c r="H7" s="8">
        <v>10576.497205854401</v>
      </c>
      <c r="I7" s="5" t="s">
        <v>6</v>
      </c>
      <c r="J7" s="5" t="s">
        <v>58</v>
      </c>
      <c r="K7" s="5" t="s">
        <v>59</v>
      </c>
      <c r="L7" s="11">
        <v>803</v>
      </c>
      <c r="M7" s="11">
        <v>1684</v>
      </c>
      <c r="N7" s="11">
        <v>3323</v>
      </c>
      <c r="O7" s="21">
        <f t="shared" si="1"/>
        <v>3.1828158910184774</v>
      </c>
      <c r="P7" s="22">
        <v>4363.2490725126472</v>
      </c>
      <c r="Q7" s="22">
        <v>5398.828785017161</v>
      </c>
      <c r="R7" s="22">
        <v>6432.9677668929799</v>
      </c>
      <c r="S7" s="22">
        <v>7465.6680225292585</v>
      </c>
      <c r="T7" s="22">
        <v>8496.9315535265832</v>
      </c>
      <c r="U7" s="22">
        <v>9526.7603587008507</v>
      </c>
      <c r="V7" s="22">
        <v>10555.156434087143</v>
      </c>
      <c r="W7" s="22">
        <v>11582.121772943598</v>
      </c>
      <c r="X7" s="25">
        <f t="shared" si="2"/>
        <v>13887.418484464886</v>
      </c>
      <c r="Y7" s="25">
        <f t="shared" si="3"/>
        <v>17183.4780498406</v>
      </c>
      <c r="Z7" s="25">
        <f t="shared" si="4"/>
        <v>20474.952034876624</v>
      </c>
      <c r="AA7" s="25">
        <f t="shared" si="5"/>
        <v>23761.846819174614</v>
      </c>
      <c r="AB7" s="25">
        <f t="shared" si="6"/>
        <v>27044.168773460726</v>
      </c>
      <c r="AC7" s="25">
        <f t="shared" si="7"/>
        <v>30321.924259597956</v>
      </c>
      <c r="AD7" s="25">
        <f t="shared" si="8"/>
        <v>33595.119630598485</v>
      </c>
      <c r="AE7" s="25">
        <f t="shared" si="9"/>
        <v>36863.761230635981</v>
      </c>
    </row>
    <row r="8" spans="2:31" x14ac:dyDescent="0.35">
      <c r="B8" s="5" t="s">
        <v>7</v>
      </c>
      <c r="C8" s="6">
        <v>7170</v>
      </c>
      <c r="D8" s="6">
        <v>10533</v>
      </c>
      <c r="E8" s="6">
        <v>10709.319625085567</v>
      </c>
      <c r="F8" s="8">
        <v>44</v>
      </c>
      <c r="G8" s="8">
        <v>37621</v>
      </c>
      <c r="H8" s="8">
        <v>42120.333315781165</v>
      </c>
      <c r="I8" s="5" t="s">
        <v>7</v>
      </c>
      <c r="J8" s="5" t="s">
        <v>60</v>
      </c>
      <c r="K8" s="5" t="s">
        <v>59</v>
      </c>
      <c r="L8" s="11">
        <v>554</v>
      </c>
      <c r="M8" s="11">
        <v>1084</v>
      </c>
      <c r="N8" s="11">
        <v>1014.8610394397346</v>
      </c>
      <c r="O8" s="21">
        <f t="shared" si="1"/>
        <v>41.503547460087901</v>
      </c>
      <c r="P8" s="22">
        <v>1229.3072331475901</v>
      </c>
      <c r="Q8" s="22">
        <v>1446.4939044624066</v>
      </c>
      <c r="R8" s="22">
        <v>1663.0245270085456</v>
      </c>
      <c r="S8" s="22">
        <v>1878.9010824913498</v>
      </c>
      <c r="T8" s="22">
        <v>2094.1255466300881</v>
      </c>
      <c r="U8" s="22">
        <v>2308.6998891760386</v>
      </c>
      <c r="V8" s="22">
        <v>2522.6260739305148</v>
      </c>
      <c r="W8" s="22">
        <v>2735.9060587628392</v>
      </c>
      <c r="X8" s="25">
        <f t="shared" si="2"/>
        <v>51020.61109397035</v>
      </c>
      <c r="Y8" s="25">
        <f t="shared" si="3"/>
        <v>60034.628414583349</v>
      </c>
      <c r="Z8" s="25">
        <f t="shared" si="4"/>
        <v>69021.417383989407</v>
      </c>
      <c r="AA8" s="25">
        <f t="shared" si="5"/>
        <v>77981.060249990274</v>
      </c>
      <c r="AB8" s="25">
        <f t="shared" si="6"/>
        <v>86913.639011944382</v>
      </c>
      <c r="AC8" s="25">
        <f t="shared" si="7"/>
        <v>95819.235421517398</v>
      </c>
      <c r="AD8" s="25">
        <f t="shared" si="8"/>
        <v>104697.93098343033</v>
      </c>
      <c r="AE8" s="25">
        <f t="shared" si="9"/>
        <v>113549.80695620553</v>
      </c>
    </row>
    <row r="9" spans="2:31" x14ac:dyDescent="0.35">
      <c r="B9" s="5" t="s">
        <v>8</v>
      </c>
      <c r="C9" s="6">
        <v>22321</v>
      </c>
      <c r="D9" s="6">
        <v>14532</v>
      </c>
      <c r="E9" s="6">
        <v>23282</v>
      </c>
      <c r="F9" s="8">
        <v>0</v>
      </c>
      <c r="G9" s="8">
        <v>16843</v>
      </c>
      <c r="H9" s="8">
        <v>8354.2378107535169</v>
      </c>
      <c r="I9" s="5" t="s">
        <v>8</v>
      </c>
      <c r="J9" s="5" t="s">
        <v>61</v>
      </c>
      <c r="K9" s="5" t="s">
        <v>53</v>
      </c>
      <c r="L9" s="11">
        <v>1842</v>
      </c>
      <c r="M9" s="11">
        <v>3259</v>
      </c>
      <c r="N9" s="11">
        <v>3759</v>
      </c>
      <c r="O9" s="21">
        <f t="shared" si="1"/>
        <v>2.2224628387213401</v>
      </c>
      <c r="P9" s="22">
        <v>4289.0563795853277</v>
      </c>
      <c r="Q9" s="22">
        <v>4809.3208188406361</v>
      </c>
      <c r="R9" s="22">
        <v>5327.4278616971187</v>
      </c>
      <c r="S9" s="22">
        <v>5843.3864542961419</v>
      </c>
      <c r="T9" s="22">
        <v>6357.2055056818363</v>
      </c>
      <c r="U9" s="22">
        <v>6868.893887954926</v>
      </c>
      <c r="V9" s="22">
        <v>7378.4604364259267</v>
      </c>
      <c r="W9" s="22">
        <v>7885.9139497677015</v>
      </c>
      <c r="X9" s="25">
        <f t="shared" si="2"/>
        <v>9532.2684168090818</v>
      </c>
      <c r="Y9" s="25">
        <f t="shared" si="3"/>
        <v>10688.5367993622</v>
      </c>
      <c r="Z9" s="25">
        <f t="shared" si="4"/>
        <v>11840.010448590538</v>
      </c>
      <c r="AA9" s="25">
        <f t="shared" si="5"/>
        <v>12986.709246960831</v>
      </c>
      <c r="AB9" s="25">
        <f t="shared" si="6"/>
        <v>14128.652994492586</v>
      </c>
      <c r="AC9" s="25">
        <f t="shared" si="7"/>
        <v>15265.861409099967</v>
      </c>
      <c r="AD9" s="25">
        <f t="shared" si="8"/>
        <v>16398.354126932263</v>
      </c>
      <c r="AE9" s="25">
        <f t="shared" si="9"/>
        <v>17526.150702712941</v>
      </c>
    </row>
    <row r="10" spans="2:31" x14ac:dyDescent="0.35">
      <c r="B10" s="5" t="s">
        <v>9</v>
      </c>
      <c r="C10" s="6">
        <v>711</v>
      </c>
      <c r="D10" s="6">
        <v>1666</v>
      </c>
      <c r="E10" s="6">
        <v>3734.493638676845</v>
      </c>
      <c r="F10" s="8">
        <v>7662</v>
      </c>
      <c r="G10" s="8">
        <v>5297</v>
      </c>
      <c r="H10" s="8">
        <v>2475.7981340118745</v>
      </c>
      <c r="I10" s="5" t="s">
        <v>9</v>
      </c>
      <c r="J10" s="5" t="s">
        <v>62</v>
      </c>
      <c r="K10" s="5" t="s">
        <v>53</v>
      </c>
      <c r="L10" s="11">
        <v>308</v>
      </c>
      <c r="M10" s="11">
        <v>452</v>
      </c>
      <c r="N10" s="11">
        <v>2644</v>
      </c>
      <c r="O10" s="21">
        <f t="shared" si="1"/>
        <v>0.93638356051886329</v>
      </c>
      <c r="P10" s="22">
        <v>2638.8544000000002</v>
      </c>
      <c r="Q10" s="22">
        <v>2716.5967656278372</v>
      </c>
      <c r="R10" s="22">
        <v>2793.0101014045476</v>
      </c>
      <c r="S10" s="22">
        <v>2868.1171275076172</v>
      </c>
      <c r="T10" s="22">
        <v>2941.94017570605</v>
      </c>
      <c r="U10" s="22">
        <v>3014.5011960003344</v>
      </c>
      <c r="V10" s="22">
        <v>3085.8217631488919</v>
      </c>
      <c r="W10" s="22">
        <v>3155.9230830829583</v>
      </c>
      <c r="X10" s="25">
        <f t="shared" si="2"/>
        <v>2470.9798787628688</v>
      </c>
      <c r="Y10" s="25">
        <f t="shared" si="3"/>
        <v>2543.7765518926221</v>
      </c>
      <c r="Z10" s="25">
        <f t="shared" si="4"/>
        <v>2615.3287433183418</v>
      </c>
      <c r="AA10" s="25">
        <f t="shared" si="5"/>
        <v>2685.6577278407171</v>
      </c>
      <c r="AB10" s="25">
        <f t="shared" si="6"/>
        <v>2754.7844165611214</v>
      </c>
      <c r="AC10" s="25">
        <f t="shared" si="7"/>
        <v>2822.7293630991649</v>
      </c>
      <c r="AD10" s="25">
        <f t="shared" si="8"/>
        <v>2889.5127697039557</v>
      </c>
      <c r="AE10" s="25">
        <f t="shared" si="9"/>
        <v>2955.154493260889</v>
      </c>
    </row>
    <row r="11" spans="2:31" x14ac:dyDescent="0.35">
      <c r="B11" s="5" t="s">
        <v>10</v>
      </c>
      <c r="C11" s="6">
        <v>1180</v>
      </c>
      <c r="D11" s="6">
        <v>2027</v>
      </c>
      <c r="E11" s="6">
        <v>1344.0062034739453</v>
      </c>
      <c r="F11" s="8">
        <v>384</v>
      </c>
      <c r="G11" s="8">
        <v>1029</v>
      </c>
      <c r="H11" s="8">
        <v>4353.7071960297762</v>
      </c>
      <c r="I11" s="5" t="s">
        <v>10</v>
      </c>
      <c r="J11" s="5" t="s">
        <v>63</v>
      </c>
      <c r="K11" s="13" t="s">
        <v>59</v>
      </c>
      <c r="L11" s="11">
        <v>324</v>
      </c>
      <c r="M11" s="11">
        <v>335</v>
      </c>
      <c r="N11" s="12">
        <v>146.38957816377172</v>
      </c>
      <c r="O11" s="21">
        <f t="shared" si="1"/>
        <v>29.740554284261375</v>
      </c>
      <c r="P11" s="22">
        <v>156.28553017768351</v>
      </c>
      <c r="Q11" s="22">
        <v>167.18155585173614</v>
      </c>
      <c r="R11" s="22">
        <v>178.03198727891515</v>
      </c>
      <c r="S11" s="22">
        <v>188.83701524762452</v>
      </c>
      <c r="T11" s="22">
        <v>199.59682974791718</v>
      </c>
      <c r="U11" s="22">
        <v>210.31161997483568</v>
      </c>
      <c r="V11" s="22">
        <v>220.98157433173887</v>
      </c>
      <c r="W11" s="22">
        <v>231.6068804336148</v>
      </c>
      <c r="X11" s="25">
        <f t="shared" si="2"/>
        <v>4648.0182940939658</v>
      </c>
      <c r="Y11" s="25">
        <f t="shared" si="3"/>
        <v>4972.0721371358331</v>
      </c>
      <c r="Z11" s="25">
        <f t="shared" si="4"/>
        <v>5294.7699820035068</v>
      </c>
      <c r="AA11" s="25">
        <f t="shared" si="5"/>
        <v>5616.1175028498701</v>
      </c>
      <c r="AB11" s="25">
        <f t="shared" si="6"/>
        <v>5936.1203500844067</v>
      </c>
      <c r="AC11" s="25">
        <f t="shared" si="7"/>
        <v>6254.7841504725493</v>
      </c>
      <c r="AD11" s="25">
        <f t="shared" si="8"/>
        <v>6572.1145072346199</v>
      </c>
      <c r="AE11" s="25">
        <f t="shared" si="9"/>
        <v>6888.1170001443552</v>
      </c>
    </row>
    <row r="12" spans="2:31" x14ac:dyDescent="0.35">
      <c r="B12" s="5" t="s">
        <v>11</v>
      </c>
      <c r="C12" s="6">
        <v>4702</v>
      </c>
      <c r="D12" s="6">
        <v>6992</v>
      </c>
      <c r="E12" s="6">
        <v>6338.6323148627653</v>
      </c>
      <c r="F12" s="8">
        <v>1664</v>
      </c>
      <c r="G12" s="8">
        <v>3800</v>
      </c>
      <c r="H12" s="8">
        <v>33923.737441740035</v>
      </c>
      <c r="I12" s="5" t="s">
        <v>11</v>
      </c>
      <c r="J12" s="5" t="s">
        <v>64</v>
      </c>
      <c r="K12" s="5" t="s">
        <v>59</v>
      </c>
      <c r="L12" s="11">
        <v>573</v>
      </c>
      <c r="M12" s="11">
        <v>803</v>
      </c>
      <c r="N12" s="11">
        <v>1507</v>
      </c>
      <c r="O12" s="21">
        <f t="shared" si="1"/>
        <v>22.51077467932318</v>
      </c>
      <c r="P12" s="22">
        <v>1737.3</v>
      </c>
      <c r="Q12" s="22">
        <v>1959.1955666003976</v>
      </c>
      <c r="R12" s="22">
        <v>2180.017682149647</v>
      </c>
      <c r="S12" s="22">
        <v>2399.7715396183735</v>
      </c>
      <c r="T12" s="22">
        <v>2618.4623068554752</v>
      </c>
      <c r="U12" s="22">
        <v>2836.0951267096539</v>
      </c>
      <c r="V12" s="22">
        <v>3052.6751171503561</v>
      </c>
      <c r="W12" s="22">
        <v>3268.2073713881314</v>
      </c>
      <c r="X12" s="25">
        <f t="shared" si="2"/>
        <v>39107.968850388163</v>
      </c>
      <c r="Y12" s="25">
        <f t="shared" si="3"/>
        <v>44103.009952470464</v>
      </c>
      <c r="Z12" s="25">
        <f t="shared" si="4"/>
        <v>49073.886839811086</v>
      </c>
      <c r="AA12" s="25">
        <f t="shared" si="5"/>
        <v>54020.716410201683</v>
      </c>
      <c r="AB12" s="25">
        <f t="shared" si="6"/>
        <v>58943.614995924392</v>
      </c>
      <c r="AC12" s="25">
        <f t="shared" si="7"/>
        <v>63842.698366487544</v>
      </c>
      <c r="AD12" s="25">
        <f t="shared" si="8"/>
        <v>68718.081731348153</v>
      </c>
      <c r="AE12" s="25">
        <f t="shared" si="9"/>
        <v>73569.879742621313</v>
      </c>
    </row>
    <row r="13" spans="2:31" x14ac:dyDescent="0.35">
      <c r="B13" s="5" t="s">
        <v>12</v>
      </c>
      <c r="C13" s="6">
        <v>452</v>
      </c>
      <c r="D13" s="6">
        <v>1541</v>
      </c>
      <c r="E13" s="6">
        <v>1868.196426622058</v>
      </c>
      <c r="F13" s="8">
        <v>841</v>
      </c>
      <c r="G13" s="8">
        <v>1215</v>
      </c>
      <c r="H13" s="8">
        <v>753.73246610801039</v>
      </c>
      <c r="I13" s="5" t="s">
        <v>12</v>
      </c>
      <c r="J13" s="5" t="s">
        <v>65</v>
      </c>
      <c r="K13" s="13" t="s">
        <v>53</v>
      </c>
      <c r="L13" s="11">
        <v>123</v>
      </c>
      <c r="M13" s="11">
        <v>220</v>
      </c>
      <c r="N13" s="11">
        <v>354</v>
      </c>
      <c r="O13" s="21">
        <f t="shared" si="1"/>
        <v>2.1291877573672608</v>
      </c>
      <c r="P13" s="22">
        <v>363.62457413158239</v>
      </c>
      <c r="Q13" s="22">
        <v>377.3368717178912</v>
      </c>
      <c r="R13" s="22">
        <v>390.93837334182092</v>
      </c>
      <c r="S13" s="22">
        <v>404.42997423957854</v>
      </c>
      <c r="T13" s="22">
        <v>417.81256241382334</v>
      </c>
      <c r="U13" s="22">
        <v>431.0870186921145</v>
      </c>
      <c r="V13" s="22">
        <v>444.25421678488607</v>
      </c>
      <c r="W13" s="22">
        <v>457.31502334295374</v>
      </c>
      <c r="X13" s="25">
        <f t="shared" si="2"/>
        <v>774.22499151884915</v>
      </c>
      <c r="Y13" s="25">
        <f t="shared" si="3"/>
        <v>803.4210476649946</v>
      </c>
      <c r="Z13" s="25">
        <f t="shared" si="4"/>
        <v>832.38119840447666</v>
      </c>
      <c r="AA13" s="25">
        <f t="shared" si="5"/>
        <v>861.10734986326736</v>
      </c>
      <c r="AB13" s="25">
        <f t="shared" si="6"/>
        <v>889.60139276575728</v>
      </c>
      <c r="AC13" s="25">
        <f t="shared" si="7"/>
        <v>917.86520255920175</v>
      </c>
      <c r="AD13" s="25">
        <f t="shared" si="8"/>
        <v>945.90063953716049</v>
      </c>
      <c r="AE13" s="25">
        <f t="shared" si="9"/>
        <v>973.70954896194019</v>
      </c>
    </row>
    <row r="14" spans="2:31" x14ac:dyDescent="0.35">
      <c r="B14" s="5" t="s">
        <v>13</v>
      </c>
      <c r="C14" s="6">
        <v>4571</v>
      </c>
      <c r="D14" s="6">
        <v>6962</v>
      </c>
      <c r="E14" s="6">
        <v>7791.8818117841056</v>
      </c>
      <c r="F14" s="8">
        <v>4923</v>
      </c>
      <c r="G14" s="8">
        <v>3307</v>
      </c>
      <c r="H14" s="8">
        <v>4346</v>
      </c>
      <c r="I14" s="5" t="s">
        <v>13</v>
      </c>
      <c r="J14" s="5" t="s">
        <v>66</v>
      </c>
      <c r="K14" s="5" t="s">
        <v>53</v>
      </c>
      <c r="L14" s="11">
        <v>0</v>
      </c>
      <c r="M14" s="11">
        <v>544</v>
      </c>
      <c r="N14" s="11">
        <v>1042</v>
      </c>
      <c r="O14" s="21">
        <f t="shared" si="1"/>
        <v>4.1708253358925145</v>
      </c>
      <c r="P14" s="22">
        <v>1063.4000000000001</v>
      </c>
      <c r="Q14" s="22">
        <v>1078.8186372360847</v>
      </c>
      <c r="R14" s="22">
        <v>1094.034553425975</v>
      </c>
      <c r="S14" s="22">
        <v>1109.0504139039638</v>
      </c>
      <c r="T14" s="22">
        <v>1123.8688489610806</v>
      </c>
      <c r="U14" s="22">
        <v>1138.4924543058344</v>
      </c>
      <c r="V14" s="22">
        <v>1152.923791518896</v>
      </c>
      <c r="W14" s="22">
        <v>1167.1653885018052</v>
      </c>
      <c r="X14" s="25">
        <f t="shared" si="2"/>
        <v>4435.2556621881004</v>
      </c>
      <c r="Y14" s="25">
        <f t="shared" si="3"/>
        <v>4499.5641050172972</v>
      </c>
      <c r="Z14" s="25">
        <f t="shared" si="4"/>
        <v>4563.0270337709089</v>
      </c>
      <c r="AA14" s="25">
        <f t="shared" si="5"/>
        <v>4625.6555650927321</v>
      </c>
      <c r="AB14" s="25">
        <f t="shared" si="6"/>
        <v>4687.4606694672329</v>
      </c>
      <c r="AC14" s="25">
        <f t="shared" si="7"/>
        <v>4748.4531731412244</v>
      </c>
      <c r="AD14" s="25">
        <f t="shared" si="8"/>
        <v>4808.6437600202707</v>
      </c>
      <c r="AE14" s="25">
        <f t="shared" si="9"/>
        <v>4868.0429735401585</v>
      </c>
    </row>
    <row r="15" spans="2:31" x14ac:dyDescent="0.35">
      <c r="B15" s="5" t="s">
        <v>14</v>
      </c>
      <c r="C15" s="6">
        <v>23221</v>
      </c>
      <c r="D15" s="6">
        <v>29443</v>
      </c>
      <c r="E15" s="6">
        <v>35290.378273279566</v>
      </c>
      <c r="F15" s="8">
        <v>5120</v>
      </c>
      <c r="G15" s="8">
        <v>51343</v>
      </c>
      <c r="H15" s="8">
        <v>37741.054506651308</v>
      </c>
      <c r="I15" s="5" t="s">
        <v>14</v>
      </c>
      <c r="J15" s="5" t="s">
        <v>67</v>
      </c>
      <c r="K15" s="5" t="s">
        <v>53</v>
      </c>
      <c r="L15" s="11">
        <v>5240</v>
      </c>
      <c r="M15" s="11">
        <v>5602</v>
      </c>
      <c r="N15" s="11">
        <v>6327.5519796794806</v>
      </c>
      <c r="O15" s="21">
        <f t="shared" si="1"/>
        <v>5.9645585888277548</v>
      </c>
      <c r="P15" s="22">
        <v>6457.0235342725609</v>
      </c>
      <c r="Q15" s="22">
        <v>6539.8830988508844</v>
      </c>
      <c r="R15" s="22">
        <v>6621.6667835077196</v>
      </c>
      <c r="S15" s="22">
        <v>6702.3885578748341</v>
      </c>
      <c r="T15" s="22">
        <v>6782.0622101970112</v>
      </c>
      <c r="U15" s="22">
        <v>6860.7013496872505</v>
      </c>
      <c r="V15" s="22">
        <v>6938.3194088513847</v>
      </c>
      <c r="W15" s="22">
        <v>7014.9296457825085</v>
      </c>
      <c r="X15" s="25">
        <f t="shared" si="2"/>
        <v>38513.295179608351</v>
      </c>
      <c r="Y15" s="25">
        <f t="shared" si="3"/>
        <v>39007.515907180517</v>
      </c>
      <c r="Z15" s="25">
        <f t="shared" si="4"/>
        <v>39495.319485926426</v>
      </c>
      <c r="AA15" s="25">
        <f t="shared" si="5"/>
        <v>39976.789238533209</v>
      </c>
      <c r="AB15" s="25">
        <f t="shared" si="6"/>
        <v>40452.007405794728</v>
      </c>
      <c r="AC15" s="25">
        <f t="shared" si="7"/>
        <v>40921.055160659256</v>
      </c>
      <c r="AD15" s="25">
        <f t="shared" si="8"/>
        <v>41384.012622094837</v>
      </c>
      <c r="AE15" s="25">
        <f t="shared" si="9"/>
        <v>41840.958868774498</v>
      </c>
    </row>
    <row r="16" spans="2:31" x14ac:dyDescent="0.35">
      <c r="B16" s="5" t="s">
        <v>15</v>
      </c>
      <c r="C16" s="6">
        <v>68069</v>
      </c>
      <c r="D16" s="6">
        <v>141290</v>
      </c>
      <c r="E16" s="6">
        <v>141402.43390237587</v>
      </c>
      <c r="F16" s="8">
        <v>3066</v>
      </c>
      <c r="G16" s="8">
        <v>85872</v>
      </c>
      <c r="H16" s="8">
        <v>15905.456486995652</v>
      </c>
      <c r="I16" s="5" t="s">
        <v>15</v>
      </c>
      <c r="J16" s="5" t="s">
        <v>68</v>
      </c>
      <c r="K16" s="13" t="s">
        <v>59</v>
      </c>
      <c r="L16" s="11">
        <v>6418</v>
      </c>
      <c r="M16" s="11">
        <v>31546</v>
      </c>
      <c r="N16" s="11">
        <v>21289.958719118578</v>
      </c>
      <c r="O16" s="21">
        <f t="shared" si="1"/>
        <v>0.74708723942768407</v>
      </c>
      <c r="P16" s="22">
        <v>25247.954618307776</v>
      </c>
      <c r="Q16" s="22">
        <v>29340.85495205726</v>
      </c>
      <c r="R16" s="22">
        <v>33416.628609179097</v>
      </c>
      <c r="S16" s="22">
        <v>37475.347255980407</v>
      </c>
      <c r="T16" s="22">
        <v>41517.082258881768</v>
      </c>
      <c r="U16" s="22">
        <v>45541.904685672118</v>
      </c>
      <c r="V16" s="22">
        <v>49549.885306758348</v>
      </c>
      <c r="W16" s="22">
        <v>53541.094596409697</v>
      </c>
      <c r="X16" s="25">
        <f t="shared" si="2"/>
        <v>18862.424716987003</v>
      </c>
      <c r="Y16" s="25">
        <f t="shared" si="3"/>
        <v>21920.17832858055</v>
      </c>
      <c r="Z16" s="25">
        <f t="shared" si="4"/>
        <v>24965.13681861178</v>
      </c>
      <c r="AA16" s="25">
        <f t="shared" si="5"/>
        <v>27997.353728064238</v>
      </c>
      <c r="AB16" s="25">
        <f t="shared" si="6"/>
        <v>31016.882373880057</v>
      </c>
      <c r="AC16" s="25">
        <f t="shared" si="7"/>
        <v>34023.775849897494</v>
      </c>
      <c r="AD16" s="25">
        <f t="shared" si="8"/>
        <v>37018.087027784459</v>
      </c>
      <c r="AE16" s="25">
        <f t="shared" si="9"/>
        <v>39999.868557968213</v>
      </c>
    </row>
    <row r="17" spans="2:31" x14ac:dyDescent="0.35">
      <c r="B17" s="5" t="s">
        <v>16</v>
      </c>
      <c r="C17" s="6">
        <v>0</v>
      </c>
      <c r="D17" s="6">
        <v>662</v>
      </c>
      <c r="E17" s="6">
        <v>1781.1162448119487</v>
      </c>
      <c r="F17" s="8">
        <v>6</v>
      </c>
      <c r="G17" s="8">
        <v>1994</v>
      </c>
      <c r="H17" s="8">
        <v>2902</v>
      </c>
      <c r="I17" s="5" t="s">
        <v>16</v>
      </c>
      <c r="J17" s="5" t="s">
        <v>69</v>
      </c>
      <c r="K17" s="13" t="s">
        <v>57</v>
      </c>
      <c r="L17" s="11">
        <v>0</v>
      </c>
      <c r="M17" s="11">
        <v>246</v>
      </c>
      <c r="N17" s="11">
        <v>274.68237599257924</v>
      </c>
      <c r="O17" s="21">
        <f t="shared" si="1"/>
        <v>10.564929728430775</v>
      </c>
      <c r="P17" s="22">
        <v>796.74238567486009</v>
      </c>
      <c r="Q17" s="22">
        <v>1322.7760506702364</v>
      </c>
      <c r="R17" s="22">
        <v>1841.6684408362578</v>
      </c>
      <c r="S17" s="22">
        <v>2353.5165039722419</v>
      </c>
      <c r="T17" s="22">
        <v>2858.4158717433411</v>
      </c>
      <c r="U17" s="22">
        <v>3356.4608775479819</v>
      </c>
      <c r="V17" s="22">
        <v>3847.7445741427459</v>
      </c>
      <c r="W17" s="22">
        <v>4332.3587510279767</v>
      </c>
      <c r="X17" s="25">
        <f t="shared" si="2"/>
        <v>8417.5273163171878</v>
      </c>
      <c r="Y17" s="25">
        <f t="shared" si="3"/>
        <v>13975.036021782233</v>
      </c>
      <c r="Z17" s="25">
        <f t="shared" si="4"/>
        <v>19457.097660503732</v>
      </c>
      <c r="AA17" s="25">
        <f t="shared" si="5"/>
        <v>24864.736479168805</v>
      </c>
      <c r="AB17" s="25">
        <f t="shared" si="6"/>
        <v>30198.962819599594</v>
      </c>
      <c r="AC17" s="25">
        <f t="shared" si="7"/>
        <v>35460.773307521522</v>
      </c>
      <c r="AD17" s="25">
        <f t="shared" si="8"/>
        <v>40651.151038768905</v>
      </c>
      <c r="AE17" s="25">
        <f t="shared" si="9"/>
        <v>45771.065762962695</v>
      </c>
    </row>
    <row r="18" spans="2:31" x14ac:dyDescent="0.35">
      <c r="B18" s="5" t="s">
        <v>17</v>
      </c>
      <c r="C18" s="6">
        <v>4434</v>
      </c>
      <c r="D18" s="6">
        <v>6397</v>
      </c>
      <c r="E18" s="6">
        <v>6179.6252958362393</v>
      </c>
      <c r="F18" s="8">
        <v>0</v>
      </c>
      <c r="G18" s="8">
        <v>5483</v>
      </c>
      <c r="H18" s="8">
        <v>7859.4639605140483</v>
      </c>
      <c r="I18" s="5" t="s">
        <v>17</v>
      </c>
      <c r="J18" s="5" t="s">
        <v>70</v>
      </c>
      <c r="K18" s="5" t="s">
        <v>59</v>
      </c>
      <c r="L18" s="11">
        <v>172</v>
      </c>
      <c r="M18" s="11">
        <v>280</v>
      </c>
      <c r="N18" s="11">
        <v>298.81764752330793</v>
      </c>
      <c r="O18" s="21">
        <f t="shared" si="1"/>
        <v>26.301873485905837</v>
      </c>
      <c r="P18" s="22">
        <v>341.60715229616892</v>
      </c>
      <c r="Q18" s="22">
        <v>382.9672073502511</v>
      </c>
      <c r="R18" s="22">
        <v>424.15419190897529</v>
      </c>
      <c r="S18" s="22">
        <v>465.1688301830884</v>
      </c>
      <c r="T18" s="22">
        <v>506.01184335288895</v>
      </c>
      <c r="U18" s="22">
        <v>546.68394958090801</v>
      </c>
      <c r="V18" s="22">
        <v>587.18586402453673</v>
      </c>
      <c r="W18" s="22">
        <v>627.5182988486016</v>
      </c>
      <c r="X18" s="25">
        <f t="shared" si="2"/>
        <v>8984.9081015744032</v>
      </c>
      <c r="Y18" s="25">
        <f t="shared" si="3"/>
        <v>10072.755036976972</v>
      </c>
      <c r="Z18" s="25">
        <f t="shared" si="4"/>
        <v>11156.049894106493</v>
      </c>
      <c r="AA18" s="25">
        <f t="shared" si="5"/>
        <v>12234.811721062408</v>
      </c>
      <c r="AB18" s="25">
        <f t="shared" si="6"/>
        <v>13309.059486237687</v>
      </c>
      <c r="AC18" s="25">
        <f t="shared" si="7"/>
        <v>14378.812078652367</v>
      </c>
      <c r="AD18" s="25">
        <f t="shared" si="8"/>
        <v>15444.088308285673</v>
      </c>
      <c r="AE18" s="25">
        <f t="shared" si="9"/>
        <v>16504.90690640677</v>
      </c>
    </row>
    <row r="19" spans="2:31" x14ac:dyDescent="0.35">
      <c r="B19" s="5" t="s">
        <v>18</v>
      </c>
      <c r="C19" s="6">
        <v>3735</v>
      </c>
      <c r="D19" s="6">
        <v>5570</v>
      </c>
      <c r="E19" s="6">
        <v>6208.1530330247342</v>
      </c>
      <c r="F19" s="8">
        <v>4661</v>
      </c>
      <c r="G19" s="8">
        <v>12031</v>
      </c>
      <c r="H19" s="8">
        <v>10642.058449633827</v>
      </c>
      <c r="I19" s="5" t="s">
        <v>18</v>
      </c>
      <c r="J19" s="5" t="s">
        <v>71</v>
      </c>
      <c r="K19" s="5" t="s">
        <v>53</v>
      </c>
      <c r="L19" s="11">
        <v>0</v>
      </c>
      <c r="M19" s="11">
        <v>278</v>
      </c>
      <c r="N19" s="11">
        <v>687</v>
      </c>
      <c r="O19" s="21">
        <f t="shared" si="1"/>
        <v>15.490623653033227</v>
      </c>
      <c r="P19" s="22">
        <v>719.10119999999995</v>
      </c>
      <c r="Q19" s="22">
        <v>751.2023999999999</v>
      </c>
      <c r="R19" s="22">
        <v>783.30359999999985</v>
      </c>
      <c r="S19" s="22">
        <v>815.4047999999998</v>
      </c>
      <c r="T19" s="22">
        <v>847.50599999999974</v>
      </c>
      <c r="U19" s="22">
        <v>879.60719999999969</v>
      </c>
      <c r="V19" s="22">
        <v>911.70839999999964</v>
      </c>
      <c r="W19" s="22">
        <v>943.80959999999959</v>
      </c>
      <c r="X19" s="25">
        <f t="shared" si="2"/>
        <v>11139.326057644575</v>
      </c>
      <c r="Y19" s="25">
        <f t="shared" si="3"/>
        <v>11636.593665655326</v>
      </c>
      <c r="Z19" s="25">
        <f t="shared" si="4"/>
        <v>12133.861273666074</v>
      </c>
      <c r="AA19" s="25">
        <f t="shared" si="5"/>
        <v>12631.128881676825</v>
      </c>
      <c r="AB19" s="25">
        <f t="shared" si="6"/>
        <v>13128.396489687573</v>
      </c>
      <c r="AC19" s="25">
        <f t="shared" si="7"/>
        <v>13625.664097698324</v>
      </c>
      <c r="AD19" s="25">
        <f t="shared" si="8"/>
        <v>14122.931705709072</v>
      </c>
      <c r="AE19" s="25">
        <f t="shared" si="9"/>
        <v>14620.199313719822</v>
      </c>
    </row>
    <row r="20" spans="2:31" x14ac:dyDescent="0.35">
      <c r="B20" s="5" t="s">
        <v>19</v>
      </c>
      <c r="C20" s="6">
        <v>6925</v>
      </c>
      <c r="D20" s="6">
        <v>108826</v>
      </c>
      <c r="E20" s="6">
        <v>229225</v>
      </c>
      <c r="F20" s="8">
        <v>511</v>
      </c>
      <c r="G20" s="8">
        <v>160072</v>
      </c>
      <c r="H20" s="8">
        <v>188294.14769244258</v>
      </c>
      <c r="I20" s="5" t="s">
        <v>19</v>
      </c>
      <c r="J20" s="5" t="s">
        <v>72</v>
      </c>
      <c r="K20" s="13" t="s">
        <v>59</v>
      </c>
      <c r="L20" s="11">
        <v>0</v>
      </c>
      <c r="M20" s="11">
        <v>11263</v>
      </c>
      <c r="N20" s="11">
        <v>23741</v>
      </c>
      <c r="O20" s="21">
        <f t="shared" si="1"/>
        <v>7.9311801395241392</v>
      </c>
      <c r="P20" s="22">
        <v>25611.30171531823</v>
      </c>
      <c r="Q20" s="22">
        <v>27642.68162889457</v>
      </c>
      <c r="R20" s="22">
        <v>29665.561265393346</v>
      </c>
      <c r="S20" s="22">
        <v>31679.976194089373</v>
      </c>
      <c r="T20" s="22">
        <v>33685.961835418399</v>
      </c>
      <c r="U20" s="22">
        <v>35683.553461599913</v>
      </c>
      <c r="V20" s="22">
        <v>37672.786197257366</v>
      </c>
      <c r="W20" s="22">
        <v>39653.695020035782</v>
      </c>
      <c r="X20" s="25">
        <f t="shared" si="2"/>
        <v>203127.84751189247</v>
      </c>
      <c r="Y20" s="25">
        <f t="shared" si="3"/>
        <v>219239.08753827741</v>
      </c>
      <c r="Z20" s="25">
        <f t="shared" si="4"/>
        <v>235282.9103359243</v>
      </c>
      <c r="AA20" s="25">
        <f t="shared" si="5"/>
        <v>251259.59801115916</v>
      </c>
      <c r="AB20" s="25">
        <f t="shared" si="6"/>
        <v>267169.43148983852</v>
      </c>
      <c r="AC20" s="25">
        <f t="shared" si="7"/>
        <v>283012.69052228908</v>
      </c>
      <c r="AD20" s="25">
        <f t="shared" si="8"/>
        <v>298789.65368822677</v>
      </c>
      <c r="AE20" s="25">
        <f t="shared" si="9"/>
        <v>314500.59840165504</v>
      </c>
    </row>
    <row r="21" spans="2:31" x14ac:dyDescent="0.35">
      <c r="B21" s="5" t="s">
        <v>20</v>
      </c>
      <c r="C21" s="6">
        <v>437</v>
      </c>
      <c r="D21" s="6">
        <v>8562</v>
      </c>
      <c r="E21" s="6">
        <v>7467.6319189802698</v>
      </c>
      <c r="F21" s="8">
        <v>1295</v>
      </c>
      <c r="G21" s="8">
        <v>4369</v>
      </c>
      <c r="H21" s="8">
        <v>6195.3046970490668</v>
      </c>
      <c r="I21" s="5" t="s">
        <v>20</v>
      </c>
      <c r="J21" s="5" t="s">
        <v>73</v>
      </c>
      <c r="K21" s="5" t="s">
        <v>57</v>
      </c>
      <c r="L21" s="11">
        <v>0</v>
      </c>
      <c r="M21" s="11">
        <v>1368</v>
      </c>
      <c r="N21" s="11">
        <v>1265.3898201501661</v>
      </c>
      <c r="O21" s="21">
        <f t="shared" si="1"/>
        <v>4.8959653368428864</v>
      </c>
      <c r="P21" s="22">
        <v>1242.2780655642341</v>
      </c>
      <c r="Q21" s="22">
        <v>1225.8539858204883</v>
      </c>
      <c r="R21" s="22">
        <v>1209.7534763373055</v>
      </c>
      <c r="S21" s="22">
        <v>1193.9701624675117</v>
      </c>
      <c r="T21" s="22">
        <v>1178.4977951506496</v>
      </c>
      <c r="U21" s="22">
        <v>1163.3302484387987</v>
      </c>
      <c r="V21" s="22">
        <v>1148.461517071139</v>
      </c>
      <c r="W21" s="22">
        <v>1133.8857140962987</v>
      </c>
      <c r="X21" s="25">
        <f t="shared" si="2"/>
        <v>6082.1503477227243</v>
      </c>
      <c r="Y21" s="25">
        <f t="shared" si="3"/>
        <v>6001.7386226078024</v>
      </c>
      <c r="Z21" s="25">
        <f t="shared" si="4"/>
        <v>5922.9110862726284</v>
      </c>
      <c r="AA21" s="25">
        <f t="shared" si="5"/>
        <v>5845.6365286656064</v>
      </c>
      <c r="AB21" s="25">
        <f t="shared" si="6"/>
        <v>5769.8843546033495</v>
      </c>
      <c r="AC21" s="25">
        <f t="shared" si="7"/>
        <v>5695.6245716571811</v>
      </c>
      <c r="AD21" s="25">
        <f t="shared" si="8"/>
        <v>5622.8277782782916</v>
      </c>
      <c r="AE21" s="25">
        <f t="shared" si="9"/>
        <v>5551.4651521568221</v>
      </c>
    </row>
    <row r="22" spans="2:31" x14ac:dyDescent="0.35">
      <c r="B22" s="5" t="s">
        <v>21</v>
      </c>
      <c r="C22" s="6">
        <v>2979</v>
      </c>
      <c r="D22" s="6">
        <v>2284</v>
      </c>
      <c r="E22" s="6">
        <v>2205.3432721712538</v>
      </c>
      <c r="F22" s="8">
        <v>1007</v>
      </c>
      <c r="G22" s="8">
        <v>2625</v>
      </c>
      <c r="H22" s="8">
        <v>7047.434250764526</v>
      </c>
      <c r="I22" s="5" t="s">
        <v>21</v>
      </c>
      <c r="J22" s="5" t="s">
        <v>74</v>
      </c>
      <c r="K22" s="13" t="s">
        <v>59</v>
      </c>
      <c r="L22" s="11">
        <v>213</v>
      </c>
      <c r="M22" s="11">
        <v>298</v>
      </c>
      <c r="N22" s="11">
        <v>273.86722731906218</v>
      </c>
      <c r="O22" s="21">
        <f t="shared" si="1"/>
        <v>25.733032461580695</v>
      </c>
      <c r="P22" s="22">
        <v>286.22281621763892</v>
      </c>
      <c r="Q22" s="22">
        <v>300.47512137606356</v>
      </c>
      <c r="R22" s="22">
        <v>314.66778798926538</v>
      </c>
      <c r="S22" s="22">
        <v>328.80106561379233</v>
      </c>
      <c r="T22" s="22">
        <v>342.87520276192703</v>
      </c>
      <c r="U22" s="22">
        <v>356.8904469060563</v>
      </c>
      <c r="V22" s="22">
        <v>370.84704448302278</v>
      </c>
      <c r="W22" s="22">
        <v>384.74524089845795</v>
      </c>
      <c r="X22" s="25">
        <f t="shared" si="2"/>
        <v>7365.3810209735475</v>
      </c>
      <c r="Y22" s="25">
        <f t="shared" si="3"/>
        <v>7732.1360522676432</v>
      </c>
      <c r="Z22" s="25">
        <f t="shared" si="4"/>
        <v>8097.3564029415584</v>
      </c>
      <c r="AA22" s="25">
        <f t="shared" si="5"/>
        <v>8461.0484948420417</v>
      </c>
      <c r="AB22" s="25">
        <f t="shared" si="6"/>
        <v>8823.2187229437313</v>
      </c>
      <c r="AC22" s="25">
        <f t="shared" si="7"/>
        <v>9183.8734554615876</v>
      </c>
      <c r="AD22" s="25">
        <f t="shared" si="8"/>
        <v>9543.0190339628862</v>
      </c>
      <c r="AE22" s="25">
        <f t="shared" si="9"/>
        <v>9900.6617734787033</v>
      </c>
    </row>
    <row r="23" spans="2:31" x14ac:dyDescent="0.35">
      <c r="B23" s="5" t="s">
        <v>22</v>
      </c>
      <c r="C23" s="6">
        <v>51421</v>
      </c>
      <c r="D23" s="6">
        <v>143265</v>
      </c>
      <c r="E23" s="6">
        <v>160786.9969390177</v>
      </c>
      <c r="F23" s="8">
        <v>24391</v>
      </c>
      <c r="G23" s="8">
        <v>62817</v>
      </c>
      <c r="H23" s="8">
        <v>77239.612875768318</v>
      </c>
      <c r="I23" s="5" t="s">
        <v>22</v>
      </c>
      <c r="J23" s="5" t="s">
        <v>75</v>
      </c>
      <c r="K23" s="5" t="s">
        <v>53</v>
      </c>
      <c r="L23" s="11">
        <v>2730</v>
      </c>
      <c r="M23" s="11">
        <v>4406</v>
      </c>
      <c r="N23" s="11">
        <v>4726</v>
      </c>
      <c r="O23" s="21">
        <f t="shared" si="1"/>
        <v>16.343549063852798</v>
      </c>
      <c r="P23" s="22">
        <v>5728.2966727856819</v>
      </c>
      <c r="Q23" s="22">
        <v>6709.6611154705706</v>
      </c>
      <c r="R23" s="22">
        <v>7686.8821194805159</v>
      </c>
      <c r="S23" s="22">
        <v>8659.9771789118058</v>
      </c>
      <c r="T23" s="22">
        <v>9628.963713998548</v>
      </c>
      <c r="U23" s="22">
        <v>10593.859071424531</v>
      </c>
      <c r="V23" s="22">
        <v>11554.680524633752</v>
      </c>
      <c r="W23" s="22">
        <v>12511.445274139658</v>
      </c>
      <c r="X23" s="25">
        <f t="shared" si="2"/>
        <v>93620.69772397753</v>
      </c>
      <c r="Y23" s="25">
        <f t="shared" si="3"/>
        <v>109659.67564251856</v>
      </c>
      <c r="Z23" s="25">
        <f t="shared" si="4"/>
        <v>125630.9350677826</v>
      </c>
      <c r="AA23" s="25">
        <f t="shared" si="5"/>
        <v>141534.76191539064</v>
      </c>
      <c r="AB23" s="25">
        <f t="shared" si="6"/>
        <v>157371.44089379354</v>
      </c>
      <c r="AC23" s="25">
        <f t="shared" si="7"/>
        <v>173141.25550936887</v>
      </c>
      <c r="AD23" s="25">
        <f t="shared" si="8"/>
        <v>188844.4880714961</v>
      </c>
      <c r="AE23" s="25">
        <f t="shared" si="9"/>
        <v>204481.41969761072</v>
      </c>
    </row>
    <row r="24" spans="2:31" x14ac:dyDescent="0.35">
      <c r="B24" s="5" t="s">
        <v>23</v>
      </c>
      <c r="C24" s="6">
        <v>8275</v>
      </c>
      <c r="D24" s="6">
        <v>11176</v>
      </c>
      <c r="E24" s="6">
        <v>6597.4100776542728</v>
      </c>
      <c r="F24" s="8">
        <v>6700</v>
      </c>
      <c r="G24" s="8">
        <v>18091</v>
      </c>
      <c r="H24" s="8">
        <v>18091</v>
      </c>
      <c r="I24" s="5" t="s">
        <v>23</v>
      </c>
      <c r="J24" s="5" t="s">
        <v>76</v>
      </c>
      <c r="K24" s="13" t="s">
        <v>59</v>
      </c>
      <c r="L24" s="11">
        <v>1844</v>
      </c>
      <c r="M24" s="11">
        <v>2787</v>
      </c>
      <c r="N24" s="12">
        <v>341.34169736316329</v>
      </c>
      <c r="O24" s="21">
        <f t="shared" si="1"/>
        <v>52.999677858730699</v>
      </c>
      <c r="P24" s="22">
        <v>867.78489584646081</v>
      </c>
      <c r="Q24" s="22">
        <v>1394.4536636928297</v>
      </c>
      <c r="R24" s="22">
        <v>1918.9185944209557</v>
      </c>
      <c r="S24" s="22">
        <v>2441.1889099523582</v>
      </c>
      <c r="T24" s="22">
        <v>2961.2737936195717</v>
      </c>
      <c r="U24" s="22">
        <v>3479.1823903276218</v>
      </c>
      <c r="V24" s="22">
        <v>3994.9238067148231</v>
      </c>
      <c r="W24" s="22">
        <v>4508.5071113129061</v>
      </c>
      <c r="X24" s="25">
        <f t="shared" si="2"/>
        <v>45992.319930534592</v>
      </c>
      <c r="Y24" s="25">
        <f t="shared" si="3"/>
        <v>73905.594964646763</v>
      </c>
      <c r="Z24" s="25">
        <f t="shared" si="4"/>
        <v>101702.06734143896</v>
      </c>
      <c r="AA24" s="25">
        <f t="shared" si="5"/>
        <v>129382.22581978093</v>
      </c>
      <c r="AB24" s="25">
        <f t="shared" si="6"/>
        <v>156946.55711333867</v>
      </c>
      <c r="AC24" s="25">
        <f t="shared" si="7"/>
        <v>184395.54589913262</v>
      </c>
      <c r="AD24" s="25">
        <f t="shared" si="8"/>
        <v>211729.67482605975</v>
      </c>
      <c r="AE24" s="25">
        <f t="shared" si="9"/>
        <v>238949.42452338053</v>
      </c>
    </row>
    <row r="25" spans="2:31" x14ac:dyDescent="0.35">
      <c r="B25" s="5" t="s">
        <v>24</v>
      </c>
      <c r="C25" s="6">
        <v>1234</v>
      </c>
      <c r="D25" s="6">
        <v>2097</v>
      </c>
      <c r="E25" s="6">
        <v>2711.7219264892269</v>
      </c>
      <c r="F25" s="8">
        <v>496</v>
      </c>
      <c r="G25" s="8">
        <v>6168</v>
      </c>
      <c r="H25" s="8">
        <v>6478.7930291508237</v>
      </c>
      <c r="I25" s="5" t="s">
        <v>24</v>
      </c>
      <c r="J25" s="5" t="s">
        <v>77</v>
      </c>
      <c r="K25" s="5" t="s">
        <v>59</v>
      </c>
      <c r="L25" s="11">
        <v>354</v>
      </c>
      <c r="M25" s="11">
        <v>578</v>
      </c>
      <c r="N25" s="11">
        <v>530.87376425855507</v>
      </c>
      <c r="O25" s="21">
        <f t="shared" si="1"/>
        <v>12.204018102494537</v>
      </c>
      <c r="P25" s="22">
        <v>601.20169053536461</v>
      </c>
      <c r="Q25" s="22">
        <v>674.98976694781618</v>
      </c>
      <c r="R25" s="22">
        <v>748.45702563673535</v>
      </c>
      <c r="S25" s="22">
        <v>821.60486146178971</v>
      </c>
      <c r="T25" s="22">
        <v>894.43466321803953</v>
      </c>
      <c r="U25" s="22">
        <v>966.94781366230563</v>
      </c>
      <c r="V25" s="22">
        <v>1039.1456895394226</v>
      </c>
      <c r="W25" s="22">
        <v>1111.0296616083783</v>
      </c>
      <c r="X25" s="25">
        <f t="shared" si="2"/>
        <v>7337.0763145439078</v>
      </c>
      <c r="Y25" s="25">
        <f t="shared" si="3"/>
        <v>8237.5873348297173</v>
      </c>
      <c r="Z25" s="25">
        <f t="shared" si="4"/>
        <v>9134.1830898099361</v>
      </c>
      <c r="AA25" s="25">
        <f t="shared" si="5"/>
        <v>10026.880602377198</v>
      </c>
      <c r="AB25" s="25">
        <f t="shared" si="6"/>
        <v>10915.696821411559</v>
      </c>
      <c r="AC25" s="25">
        <f t="shared" si="7"/>
        <v>11800.648622102291</v>
      </c>
      <c r="AD25" s="25">
        <f t="shared" si="8"/>
        <v>12681.752806268281</v>
      </c>
      <c r="AE25" s="25">
        <f t="shared" si="9"/>
        <v>13559.026102677029</v>
      </c>
    </row>
    <row r="26" spans="2:31" x14ac:dyDescent="0.35">
      <c r="B26" s="5" t="s">
        <v>25</v>
      </c>
      <c r="C26" s="6">
        <v>52221</v>
      </c>
      <c r="D26" s="6">
        <v>72002</v>
      </c>
      <c r="E26" s="6">
        <v>132496</v>
      </c>
      <c r="F26" s="8">
        <v>13628</v>
      </c>
      <c r="G26" s="8">
        <v>92554</v>
      </c>
      <c r="H26" s="8">
        <v>153549.56215030918</v>
      </c>
      <c r="I26" s="5" t="s">
        <v>25</v>
      </c>
      <c r="J26" s="5" t="s">
        <v>78</v>
      </c>
      <c r="K26" s="5" t="s">
        <v>53</v>
      </c>
      <c r="L26" s="11">
        <v>8682</v>
      </c>
      <c r="M26" s="11">
        <v>8042</v>
      </c>
      <c r="N26" s="11">
        <v>12792</v>
      </c>
      <c r="O26" s="21">
        <f t="shared" si="1"/>
        <v>12.003561769098592</v>
      </c>
      <c r="P26" s="22">
        <v>13148.179850746268</v>
      </c>
      <c r="Q26" s="22">
        <v>13460.175360325238</v>
      </c>
      <c r="R26" s="22">
        <v>13770.790911607381</v>
      </c>
      <c r="S26" s="22">
        <v>14080.032608157788</v>
      </c>
      <c r="T26" s="22">
        <v>14387.906526545441</v>
      </c>
      <c r="U26" s="22">
        <v>14694.418716462613</v>
      </c>
      <c r="V26" s="22">
        <v>14999.575200843748</v>
      </c>
      <c r="W26" s="22">
        <v>15303.38197598381</v>
      </c>
      <c r="X26" s="25">
        <f t="shared" si="2"/>
        <v>157824.98898965033</v>
      </c>
      <c r="Y26" s="25">
        <f t="shared" si="3"/>
        <v>161570.0463605629</v>
      </c>
      <c r="Z26" s="25">
        <f t="shared" si="4"/>
        <v>165298.53931682071</v>
      </c>
      <c r="AA26" s="25">
        <f t="shared" si="5"/>
        <v>169010.54112294436</v>
      </c>
      <c r="AB26" s="25">
        <f t="shared" si="6"/>
        <v>172706.12471940496</v>
      </c>
      <c r="AC26" s="25">
        <f t="shared" si="7"/>
        <v>176385.36272405743</v>
      </c>
      <c r="AD26" s="25">
        <f t="shared" si="8"/>
        <v>180048.32743356735</v>
      </c>
      <c r="AE26" s="25">
        <f t="shared" si="9"/>
        <v>183695.09082483174</v>
      </c>
    </row>
    <row r="27" spans="2:31" x14ac:dyDescent="0.35">
      <c r="B27" s="5" t="s">
        <v>26</v>
      </c>
      <c r="C27" s="6">
        <v>0</v>
      </c>
      <c r="D27" s="6">
        <v>11621</v>
      </c>
      <c r="E27" s="6">
        <v>5301.8248879810226</v>
      </c>
      <c r="F27" s="8">
        <v>216</v>
      </c>
      <c r="G27" s="8">
        <v>25051</v>
      </c>
      <c r="H27" s="8">
        <v>23691.187434106483</v>
      </c>
      <c r="I27" s="5" t="s">
        <v>26</v>
      </c>
      <c r="J27" s="5" t="s">
        <v>79</v>
      </c>
      <c r="K27" s="13" t="s">
        <v>53</v>
      </c>
      <c r="L27" s="11">
        <v>0</v>
      </c>
      <c r="M27" s="11">
        <v>998</v>
      </c>
      <c r="N27" s="11">
        <v>536.60977859778598</v>
      </c>
      <c r="O27" s="21">
        <f t="shared" si="1"/>
        <v>44.149749741821481</v>
      </c>
      <c r="P27" s="22">
        <v>531.45970271157648</v>
      </c>
      <c r="Q27" s="22">
        <v>532.66548514103499</v>
      </c>
      <c r="R27" s="22">
        <v>533.86152479588918</v>
      </c>
      <c r="S27" s="22">
        <v>535.04790039818261</v>
      </c>
      <c r="T27" s="22">
        <v>536.2246900338813</v>
      </c>
      <c r="U27" s="22">
        <v>537.39197115801335</v>
      </c>
      <c r="V27" s="22">
        <v>538.5498205997668</v>
      </c>
      <c r="W27" s="22">
        <v>539.6983145675465</v>
      </c>
      <c r="X27" s="25">
        <f t="shared" si="2"/>
        <v>23463.812872578943</v>
      </c>
      <c r="Y27" s="25">
        <f t="shared" si="3"/>
        <v>23517.047865082623</v>
      </c>
      <c r="Z27" s="25">
        <f t="shared" si="4"/>
        <v>23569.852716525729</v>
      </c>
      <c r="AA27" s="25">
        <f t="shared" si="5"/>
        <v>23622.230902466788</v>
      </c>
      <c r="AB27" s="25">
        <f t="shared" si="6"/>
        <v>23674.185870381654</v>
      </c>
      <c r="AC27" s="25">
        <f t="shared" si="7"/>
        <v>23725.721039890435</v>
      </c>
      <c r="AD27" s="25">
        <f t="shared" si="8"/>
        <v>23776.839802982558</v>
      </c>
      <c r="AE27" s="25">
        <f t="shared" si="9"/>
        <v>23827.545524240024</v>
      </c>
    </row>
    <row r="28" spans="2:31" x14ac:dyDescent="0.35">
      <c r="B28" s="5" t="s">
        <v>27</v>
      </c>
      <c r="C28" s="6">
        <v>974</v>
      </c>
      <c r="D28" s="6">
        <v>11203</v>
      </c>
      <c r="E28" s="6">
        <v>7129.2714053614945</v>
      </c>
      <c r="F28" s="8">
        <v>2036</v>
      </c>
      <c r="G28" s="8">
        <v>13864</v>
      </c>
      <c r="H28" s="8">
        <v>23098</v>
      </c>
      <c r="I28" s="5" t="s">
        <v>27</v>
      </c>
      <c r="J28" s="5" t="s">
        <v>80</v>
      </c>
      <c r="K28" s="13" t="s">
        <v>59</v>
      </c>
      <c r="L28" s="11">
        <v>168</v>
      </c>
      <c r="M28" s="11">
        <v>693</v>
      </c>
      <c r="N28" s="11">
        <v>954</v>
      </c>
      <c r="O28" s="21">
        <f t="shared" si="1"/>
        <v>24.211740041928721</v>
      </c>
      <c r="P28" s="22">
        <v>960.47080520675581</v>
      </c>
      <c r="Q28" s="22">
        <v>973.70173033326569</v>
      </c>
      <c r="R28" s="22">
        <v>986.87729086312083</v>
      </c>
      <c r="S28" s="22">
        <v>999.99771846859903</v>
      </c>
      <c r="T28" s="22">
        <v>1013.0632438525492</v>
      </c>
      <c r="U28" s="22">
        <v>1026.074096752448</v>
      </c>
      <c r="V28" s="22">
        <v>1039.030505944439</v>
      </c>
      <c r="W28" s="22">
        <v>1051.9326992473557</v>
      </c>
      <c r="X28" s="25">
        <f t="shared" si="2"/>
        <v>23254.669453527931</v>
      </c>
      <c r="Y28" s="25">
        <f t="shared" si="3"/>
        <v>23575.01317320521</v>
      </c>
      <c r="Z28" s="25">
        <f t="shared" si="4"/>
        <v>23894.016419660758</v>
      </c>
      <c r="AA28" s="25">
        <f t="shared" si="5"/>
        <v>24211.684802083542</v>
      </c>
      <c r="AB28" s="25">
        <f t="shared" si="6"/>
        <v>24528.023906190967</v>
      </c>
      <c r="AC28" s="25">
        <f t="shared" si="7"/>
        <v>24843.039294327089</v>
      </c>
      <c r="AD28" s="25">
        <f t="shared" si="8"/>
        <v>25156.736505560431</v>
      </c>
      <c r="AE28" s="25">
        <f t="shared" si="9"/>
        <v>25469.121055781365</v>
      </c>
    </row>
    <row r="29" spans="2:31" x14ac:dyDescent="0.35">
      <c r="B29" s="5" t="s">
        <v>28</v>
      </c>
      <c r="C29" s="6">
        <v>10489</v>
      </c>
      <c r="D29" s="6">
        <v>14669</v>
      </c>
      <c r="E29" s="6">
        <v>14098.287215047239</v>
      </c>
      <c r="F29" s="8">
        <v>174</v>
      </c>
      <c r="G29" s="8">
        <v>44152</v>
      </c>
      <c r="H29" s="8">
        <v>50968.375262199879</v>
      </c>
      <c r="I29" s="5" t="s">
        <v>28</v>
      </c>
      <c r="J29" s="5" t="s">
        <v>81</v>
      </c>
      <c r="K29" s="13" t="s">
        <v>59</v>
      </c>
      <c r="L29" s="11">
        <v>3523</v>
      </c>
      <c r="M29" s="11">
        <v>5230</v>
      </c>
      <c r="N29" s="11">
        <v>5230</v>
      </c>
      <c r="O29" s="21">
        <f t="shared" si="1"/>
        <v>9.7453872394263623</v>
      </c>
      <c r="P29" s="22">
        <v>5361.9065107246679</v>
      </c>
      <c r="Q29" s="22">
        <v>5530.4696978466154</v>
      </c>
      <c r="R29" s="22">
        <v>5698.3275349815722</v>
      </c>
      <c r="S29" s="22">
        <v>5865.4829736553884</v>
      </c>
      <c r="T29" s="22">
        <v>6031.9389530433018</v>
      </c>
      <c r="U29" s="22">
        <v>6197.6984000216162</v>
      </c>
      <c r="V29" s="22">
        <v>6362.7642292191686</v>
      </c>
      <c r="W29" s="22">
        <v>6527.1393430685775</v>
      </c>
      <c r="X29" s="25">
        <f t="shared" si="2"/>
        <v>52253.855288613311</v>
      </c>
      <c r="Y29" s="25">
        <f t="shared" si="3"/>
        <v>53896.568821428576</v>
      </c>
      <c r="Z29" s="25">
        <f t="shared" si="4"/>
        <v>55532.408445481291</v>
      </c>
      <c r="AA29" s="25">
        <f t="shared" si="5"/>
        <v>57161.402924533817</v>
      </c>
      <c r="AB29" s="25">
        <f t="shared" si="6"/>
        <v>58783.580901987007</v>
      </c>
      <c r="AC29" s="25">
        <f t="shared" si="7"/>
        <v>60398.970901383844</v>
      </c>
      <c r="AD29" s="25">
        <f t="shared" si="8"/>
        <v>62007.601326910997</v>
      </c>
      <c r="AE29" s="25">
        <f t="shared" si="9"/>
        <v>63609.500463898286</v>
      </c>
    </row>
    <row r="30" spans="2:31" x14ac:dyDescent="0.35">
      <c r="B30" s="5" t="s">
        <v>29</v>
      </c>
      <c r="C30" s="6">
        <v>3963</v>
      </c>
      <c r="D30" s="6">
        <v>11568</v>
      </c>
      <c r="E30" s="6">
        <v>12418.378918345705</v>
      </c>
      <c r="F30" s="8">
        <v>0</v>
      </c>
      <c r="G30" s="8">
        <v>14833</v>
      </c>
      <c r="H30" s="8">
        <v>26223.507613997885</v>
      </c>
      <c r="I30" s="5" t="s">
        <v>29</v>
      </c>
      <c r="J30" s="5" t="s">
        <v>82</v>
      </c>
      <c r="K30" s="5" t="s">
        <v>59</v>
      </c>
      <c r="L30" s="11">
        <v>200</v>
      </c>
      <c r="M30" s="11">
        <v>2760</v>
      </c>
      <c r="N30" s="11">
        <v>1103.5637751855782</v>
      </c>
      <c r="O30" s="21">
        <f t="shared" si="1"/>
        <v>23.76256651736151</v>
      </c>
      <c r="P30" s="22">
        <v>1167.8692279957584</v>
      </c>
      <c r="Q30" s="22">
        <v>1242.6003744534628</v>
      </c>
      <c r="R30" s="22">
        <v>1317.1159502963853</v>
      </c>
      <c r="S30" s="22">
        <v>1391.4165773628381</v>
      </c>
      <c r="T30" s="22">
        <v>1465.5028756973684</v>
      </c>
      <c r="U30" s="22">
        <v>1539.3754635559335</v>
      </c>
      <c r="V30" s="22">
        <v>1613.0349574110605</v>
      </c>
      <c r="W30" s="22">
        <v>1686.48197195699</v>
      </c>
      <c r="X30" s="25">
        <f t="shared" si="2"/>
        <v>27751.570213828843</v>
      </c>
      <c r="Y30" s="25">
        <f t="shared" si="3"/>
        <v>29527.374052448729</v>
      </c>
      <c r="Z30" s="25">
        <f t="shared" si="4"/>
        <v>31298.055379995672</v>
      </c>
      <c r="AA30" s="25">
        <f t="shared" si="5"/>
        <v>33063.62897294393</v>
      </c>
      <c r="AB30" s="25">
        <f t="shared" si="6"/>
        <v>34824.109565143292</v>
      </c>
      <c r="AC30" s="25">
        <f t="shared" si="7"/>
        <v>36579.511847942078</v>
      </c>
      <c r="AD30" s="25">
        <f t="shared" si="8"/>
        <v>38329.850470309713</v>
      </c>
      <c r="AE30" s="25">
        <f t="shared" si="9"/>
        <v>40075.140038958983</v>
      </c>
    </row>
    <row r="31" spans="2:31" x14ac:dyDescent="0.35">
      <c r="B31" s="5" t="s">
        <v>30</v>
      </c>
      <c r="C31" s="6">
        <v>8189</v>
      </c>
      <c r="D31" s="6">
        <v>12833</v>
      </c>
      <c r="E31" s="6">
        <v>14537.005004448398</v>
      </c>
      <c r="F31" s="8">
        <v>0</v>
      </c>
      <c r="G31" s="8">
        <v>14277</v>
      </c>
      <c r="H31" s="8">
        <v>23767</v>
      </c>
      <c r="I31" s="5" t="s">
        <v>30</v>
      </c>
      <c r="J31" s="5" t="s">
        <v>83</v>
      </c>
      <c r="K31" s="13" t="s">
        <v>59</v>
      </c>
      <c r="L31" s="11">
        <v>1971</v>
      </c>
      <c r="M31" s="11">
        <v>2866</v>
      </c>
      <c r="N31" s="11">
        <v>4402</v>
      </c>
      <c r="O31" s="21">
        <f t="shared" si="1"/>
        <v>5.399136756019991</v>
      </c>
      <c r="P31" s="22">
        <v>4977.3804382810686</v>
      </c>
      <c r="Q31" s="22">
        <v>5581.6710686634488</v>
      </c>
      <c r="R31" s="22">
        <v>6183.4330544730947</v>
      </c>
      <c r="S31" s="22">
        <v>6782.6769767831756</v>
      </c>
      <c r="T31" s="22">
        <v>7379.413372390527</v>
      </c>
      <c r="U31" s="22">
        <v>7973.6527340009252</v>
      </c>
      <c r="V31" s="22">
        <v>8565.4055104135859</v>
      </c>
      <c r="W31" s="22">
        <v>9154.6821067048859</v>
      </c>
      <c r="X31" s="25">
        <f t="shared" si="2"/>
        <v>26873.557673018211</v>
      </c>
      <c r="Y31" s="25">
        <f t="shared" si="3"/>
        <v>30136.205426834211</v>
      </c>
      <c r="Z31" s="25">
        <f t="shared" si="4"/>
        <v>33385.200682794646</v>
      </c>
      <c r="AA31" s="25">
        <f t="shared" si="5"/>
        <v>36620.600569560593</v>
      </c>
      <c r="AB31" s="25">
        <f t="shared" si="6"/>
        <v>39842.461976739134</v>
      </c>
      <c r="AC31" s="25">
        <f t="shared" si="7"/>
        <v>43050.841555883686</v>
      </c>
      <c r="AD31" s="25">
        <f t="shared" si="8"/>
        <v>46245.795721490162</v>
      </c>
      <c r="AE31" s="25">
        <f t="shared" si="9"/>
        <v>49427.380651988875</v>
      </c>
    </row>
    <row r="32" spans="2:31" x14ac:dyDescent="0.35">
      <c r="B32" s="5" t="s">
        <v>31</v>
      </c>
      <c r="C32" s="6">
        <v>4836</v>
      </c>
      <c r="D32" s="6">
        <v>6798</v>
      </c>
      <c r="E32" s="6">
        <v>9374.9877300613498</v>
      </c>
      <c r="F32" s="8">
        <v>244</v>
      </c>
      <c r="G32" s="8">
        <v>11463</v>
      </c>
      <c r="H32" s="8">
        <v>11463</v>
      </c>
      <c r="I32" s="5" t="s">
        <v>31</v>
      </c>
      <c r="J32" s="5" t="s">
        <v>84</v>
      </c>
      <c r="K32" s="13" t="s">
        <v>53</v>
      </c>
      <c r="L32" s="11">
        <v>622</v>
      </c>
      <c r="M32" s="11">
        <v>1626</v>
      </c>
      <c r="N32" s="11">
        <v>1273.0346943092873</v>
      </c>
      <c r="O32" s="21">
        <f t="shared" si="1"/>
        <v>9.0044678681907406</v>
      </c>
      <c r="P32" s="22">
        <v>1308.2652698073605</v>
      </c>
      <c r="Q32" s="22">
        <v>1358.1908808336391</v>
      </c>
      <c r="R32" s="22">
        <v>1407.7130907459759</v>
      </c>
      <c r="S32" s="22">
        <v>1456.8351590429606</v>
      </c>
      <c r="T32" s="22">
        <v>1505.560318886292</v>
      </c>
      <c r="U32" s="22">
        <v>1553.8917773135815</v>
      </c>
      <c r="V32" s="22">
        <v>1601.8327154494373</v>
      </c>
      <c r="W32" s="22">
        <v>1649.3862887148412</v>
      </c>
      <c r="X32" s="25">
        <f t="shared" si="2"/>
        <v>11780.232585050268</v>
      </c>
      <c r="Y32" s="25">
        <f t="shared" si="3"/>
        <v>12229.786145336182</v>
      </c>
      <c r="Z32" s="25">
        <f t="shared" si="4"/>
        <v>12675.707293253616</v>
      </c>
      <c r="AA32" s="25">
        <f t="shared" si="5"/>
        <v>13118.025378852886</v>
      </c>
      <c r="AB32" s="25">
        <f t="shared" si="6"/>
        <v>13556.769515034621</v>
      </c>
      <c r="AC32" s="25">
        <f t="shared" si="7"/>
        <v>13991.968579465947</v>
      </c>
      <c r="AD32" s="25">
        <f t="shared" si="8"/>
        <v>14423.651216481179</v>
      </c>
      <c r="AE32" s="25">
        <f t="shared" si="9"/>
        <v>14851.845838967163</v>
      </c>
    </row>
    <row r="33" spans="2:31" x14ac:dyDescent="0.35">
      <c r="B33" s="5" t="s">
        <v>32</v>
      </c>
      <c r="C33" s="6">
        <v>6820</v>
      </c>
      <c r="D33" s="6">
        <v>9444</v>
      </c>
      <c r="E33" s="6">
        <v>7846.7053175775491</v>
      </c>
      <c r="F33" s="8">
        <v>0</v>
      </c>
      <c r="G33" s="8">
        <v>6377</v>
      </c>
      <c r="H33" s="8">
        <v>7398.441318651805</v>
      </c>
      <c r="I33" s="5" t="s">
        <v>32</v>
      </c>
      <c r="J33" s="5" t="s">
        <v>85</v>
      </c>
      <c r="K33" s="13" t="s">
        <v>57</v>
      </c>
      <c r="L33" s="11">
        <v>2046</v>
      </c>
      <c r="M33" s="11">
        <v>2395</v>
      </c>
      <c r="N33" s="11">
        <v>1833.6554988586008</v>
      </c>
      <c r="O33" s="21">
        <f t="shared" si="1"/>
        <v>4.0348044238719476</v>
      </c>
      <c r="P33" s="22">
        <v>2030.9242024798191</v>
      </c>
      <c r="Q33" s="22">
        <v>2299.3529863151193</v>
      </c>
      <c r="R33" s="22">
        <v>2564.1376617120482</v>
      </c>
      <c r="S33" s="22">
        <v>2825.3276999907848</v>
      </c>
      <c r="T33" s="22">
        <v>3082.9719008637453</v>
      </c>
      <c r="U33" s="22">
        <v>3337.1184015531262</v>
      </c>
      <c r="V33" s="22">
        <v>3587.8146857846732</v>
      </c>
      <c r="W33" s="22">
        <v>3835.1075926593526</v>
      </c>
      <c r="X33" s="25">
        <f t="shared" si="2"/>
        <v>8194.3819567141818</v>
      </c>
      <c r="Y33" s="25">
        <f t="shared" si="3"/>
        <v>9277.4396012274174</v>
      </c>
      <c r="Z33" s="25">
        <f t="shared" si="4"/>
        <v>10345.793980892444</v>
      </c>
      <c r="AA33" s="25">
        <f t="shared" si="5"/>
        <v>11399.644702810774</v>
      </c>
      <c r="AB33" s="25">
        <f t="shared" si="6"/>
        <v>12439.188664277946</v>
      </c>
      <c r="AC33" s="25">
        <f t="shared" si="7"/>
        <v>13464.620089571035</v>
      </c>
      <c r="AD33" s="25">
        <f t="shared" si="8"/>
        <v>14476.130566236741</v>
      </c>
      <c r="AE33" s="25">
        <f t="shared" si="9"/>
        <v>15473.909080886851</v>
      </c>
    </row>
    <row r="34" spans="2:31" x14ac:dyDescent="0.35">
      <c r="B34" s="5" t="s">
        <v>33</v>
      </c>
      <c r="C34" s="6">
        <v>14014</v>
      </c>
      <c r="D34" s="6">
        <v>19598</v>
      </c>
      <c r="E34" s="6">
        <v>40757</v>
      </c>
      <c r="F34" s="8">
        <v>5346</v>
      </c>
      <c r="G34" s="8">
        <v>76726</v>
      </c>
      <c r="H34" s="8">
        <v>139367.37244750268</v>
      </c>
      <c r="I34" s="5" t="s">
        <v>33</v>
      </c>
      <c r="J34" s="5" t="s">
        <v>86</v>
      </c>
      <c r="K34" s="5" t="s">
        <v>59</v>
      </c>
      <c r="L34" s="11">
        <v>1452</v>
      </c>
      <c r="M34" s="11">
        <v>2473</v>
      </c>
      <c r="N34" s="11">
        <v>5719</v>
      </c>
      <c r="O34" s="21">
        <f t="shared" si="1"/>
        <v>24.369185600192811</v>
      </c>
      <c r="P34" s="22">
        <v>6166.8116794543903</v>
      </c>
      <c r="Q34" s="22">
        <v>6685.7787444955366</v>
      </c>
      <c r="R34" s="22">
        <v>7200.4763873903512</v>
      </c>
      <c r="S34" s="22">
        <v>7710.9397316884606</v>
      </c>
      <c r="T34" s="22">
        <v>8217.2036119861641</v>
      </c>
      <c r="U34" s="22">
        <v>8719.3025763035839</v>
      </c>
      <c r="V34" s="22">
        <v>9217.2708884422609</v>
      </c>
      <c r="W34" s="22">
        <v>9711.1425303233609</v>
      </c>
      <c r="X34" s="25">
        <f t="shared" si="2"/>
        <v>150280.17837806078</v>
      </c>
      <c r="Y34" s="25">
        <f t="shared" si="3"/>
        <v>162926.9831064358</v>
      </c>
      <c r="Z34" s="25">
        <f t="shared" si="4"/>
        <v>175469.74549412131</v>
      </c>
      <c r="AA34" s="25">
        <f t="shared" si="5"/>
        <v>187909.32147341705</v>
      </c>
      <c r="AB34" s="25">
        <f t="shared" si="6"/>
        <v>200246.5599350656</v>
      </c>
      <c r="AC34" s="25">
        <f t="shared" si="7"/>
        <v>212482.30278618136</v>
      </c>
      <c r="AD34" s="25">
        <f t="shared" si="8"/>
        <v>224617.38500770353</v>
      </c>
      <c r="AE34" s="25">
        <f t="shared" si="9"/>
        <v>236652.63471137601</v>
      </c>
    </row>
    <row r="35" spans="2:31" x14ac:dyDescent="0.35">
      <c r="B35" s="5" t="s">
        <v>34</v>
      </c>
      <c r="C35" s="6">
        <v>4178</v>
      </c>
      <c r="D35" s="6">
        <v>15602</v>
      </c>
      <c r="E35" s="6">
        <v>18610.859009360374</v>
      </c>
      <c r="F35" s="8">
        <v>0</v>
      </c>
      <c r="G35" s="8">
        <v>10043</v>
      </c>
      <c r="H35" s="8">
        <v>8448.3207878315116</v>
      </c>
      <c r="I35" s="5" t="s">
        <v>34</v>
      </c>
      <c r="J35" s="5" t="s">
        <v>87</v>
      </c>
      <c r="K35" s="13" t="s">
        <v>57</v>
      </c>
      <c r="L35" s="11">
        <v>0</v>
      </c>
      <c r="M35" s="11">
        <v>1445</v>
      </c>
      <c r="N35" s="11">
        <v>1597</v>
      </c>
      <c r="O35" s="21">
        <f t="shared" si="1"/>
        <v>5.2901194663941835</v>
      </c>
      <c r="P35" s="22">
        <v>1843.1611758097081</v>
      </c>
      <c r="Q35" s="22">
        <v>2150.2889740246387</v>
      </c>
      <c r="R35" s="22">
        <v>2453.2472976208551</v>
      </c>
      <c r="S35" s="22">
        <v>2752.0927501317956</v>
      </c>
      <c r="T35" s="22">
        <v>3046.8811666583524</v>
      </c>
      <c r="U35" s="22">
        <v>3337.6676243008806</v>
      </c>
      <c r="V35" s="22">
        <v>3624.5064524495851</v>
      </c>
      <c r="W35" s="22">
        <v>3907.4512429352098</v>
      </c>
      <c r="X35" s="25">
        <f t="shared" si="2"/>
        <v>9750.5428158529285</v>
      </c>
      <c r="Y35" s="25">
        <f t="shared" si="3"/>
        <v>11375.285559860518</v>
      </c>
      <c r="Z35" s="25">
        <f t="shared" si="4"/>
        <v>12977.97128502301</v>
      </c>
      <c r="AA35" s="25">
        <f t="shared" si="5"/>
        <v>14558.899430794516</v>
      </c>
      <c r="AB35" s="25">
        <f t="shared" si="6"/>
        <v>16118.365371529171</v>
      </c>
      <c r="AC35" s="25">
        <f t="shared" si="7"/>
        <v>17656.660471667718</v>
      </c>
      <c r="AD35" s="25">
        <f t="shared" si="8"/>
        <v>19174.072140174874</v>
      </c>
      <c r="AE35" s="25">
        <f t="shared" si="9"/>
        <v>20670.883884237701</v>
      </c>
    </row>
    <row r="36" spans="2:31" x14ac:dyDescent="0.35">
      <c r="B36" s="5" t="s">
        <v>35</v>
      </c>
      <c r="C36" s="6">
        <v>5477</v>
      </c>
      <c r="D36" s="6">
        <v>6168</v>
      </c>
      <c r="E36" s="6">
        <v>6176.8688034042616</v>
      </c>
      <c r="F36" s="8">
        <v>6560</v>
      </c>
      <c r="G36" s="8">
        <v>3596</v>
      </c>
      <c r="H36" s="8">
        <v>6818.3026251918564</v>
      </c>
      <c r="I36" s="5" t="s">
        <v>35</v>
      </c>
      <c r="J36" s="5" t="s">
        <v>88</v>
      </c>
      <c r="K36" s="13" t="s">
        <v>59</v>
      </c>
      <c r="L36" s="11">
        <v>946</v>
      </c>
      <c r="M36" s="11">
        <v>1065</v>
      </c>
      <c r="N36" s="12">
        <v>705.66936761273496</v>
      </c>
      <c r="O36" s="21">
        <f t="shared" si="1"/>
        <v>9.6621774135641374</v>
      </c>
      <c r="P36" s="22">
        <v>953.49604730547799</v>
      </c>
      <c r="Q36" s="22">
        <v>1205.3061581959671</v>
      </c>
      <c r="R36" s="22">
        <v>1456.062573665331</v>
      </c>
      <c r="S36" s="22">
        <v>1705.7697028853722</v>
      </c>
      <c r="T36" s="22">
        <v>1954.4319365777835</v>
      </c>
      <c r="U36" s="22">
        <v>2202.0536470913526</v>
      </c>
      <c r="V36" s="22">
        <v>2448.6391884788422</v>
      </c>
      <c r="W36" s="22">
        <v>2694.192896573551</v>
      </c>
      <c r="X36" s="25">
        <f t="shared" si="2"/>
        <v>9212.847972197671</v>
      </c>
      <c r="Y36" s="25">
        <f t="shared" si="3"/>
        <v>11645.881938150837</v>
      </c>
      <c r="Z36" s="25">
        <f t="shared" si="4"/>
        <v>14068.734912005229</v>
      </c>
      <c r="AA36" s="25">
        <f t="shared" si="5"/>
        <v>16481.449495961053</v>
      </c>
      <c r="AB36" s="25">
        <f t="shared" si="6"/>
        <v>18884.068113950278</v>
      </c>
      <c r="AC36" s="25">
        <f t="shared" si="7"/>
        <v>21276.633012382601</v>
      </c>
      <c r="AD36" s="25">
        <f t="shared" si="8"/>
        <v>23659.186260888288</v>
      </c>
      <c r="AE36" s="25">
        <f t="shared" si="9"/>
        <v>26031.769753057906</v>
      </c>
    </row>
    <row r="37" spans="2:31" x14ac:dyDescent="0.35">
      <c r="B37" s="5" t="s">
        <v>36</v>
      </c>
      <c r="C37" s="6">
        <v>261989</v>
      </c>
      <c r="D37" s="6">
        <v>441434</v>
      </c>
      <c r="E37" s="6">
        <v>495915.88729767234</v>
      </c>
      <c r="F37" s="8">
        <v>331077</v>
      </c>
      <c r="G37" s="8">
        <v>537756</v>
      </c>
      <c r="H37" s="8">
        <v>303916.69881769194</v>
      </c>
      <c r="I37" s="5" t="s">
        <v>36</v>
      </c>
      <c r="J37" s="5" t="s">
        <v>89</v>
      </c>
      <c r="K37" s="5" t="s">
        <v>53</v>
      </c>
      <c r="L37" s="11">
        <v>65759</v>
      </c>
      <c r="M37" s="11">
        <v>83907</v>
      </c>
      <c r="N37" s="11">
        <v>86181</v>
      </c>
      <c r="O37" s="21">
        <f t="shared" si="1"/>
        <v>3.5264930648018931</v>
      </c>
      <c r="P37" s="22">
        <v>87017.326832684543</v>
      </c>
      <c r="Q37" s="22">
        <v>89011.441550245712</v>
      </c>
      <c r="R37" s="22">
        <v>90993.001912952808</v>
      </c>
      <c r="S37" s="22">
        <v>92962.086959300665</v>
      </c>
      <c r="T37" s="22">
        <v>94918.775230181185</v>
      </c>
      <c r="U37" s="22">
        <v>96863.144772016123</v>
      </c>
      <c r="V37" s="22">
        <v>98795.273139870114</v>
      </c>
      <c r="W37" s="22">
        <v>100715.23740054408</v>
      </c>
      <c r="X37" s="25">
        <f t="shared" si="2"/>
        <v>306865.99959306174</v>
      </c>
      <c r="Y37" s="25">
        <f t="shared" si="3"/>
        <v>313898.23131496058</v>
      </c>
      <c r="Z37" s="25">
        <f t="shared" si="4"/>
        <v>320886.19019153347</v>
      </c>
      <c r="AA37" s="25">
        <f t="shared" si="5"/>
        <v>327830.15495148429</v>
      </c>
      <c r="AB37" s="25">
        <f t="shared" si="6"/>
        <v>334730.40256872366</v>
      </c>
      <c r="AC37" s="25">
        <f t="shared" si="7"/>
        <v>341587.20827341662</v>
      </c>
      <c r="AD37" s="25">
        <f t="shared" si="8"/>
        <v>348400.84556296072</v>
      </c>
      <c r="AE37" s="25">
        <f t="shared" si="9"/>
        <v>355171.58621289494</v>
      </c>
    </row>
    <row r="38" spans="2:31" x14ac:dyDescent="0.35">
      <c r="B38" s="5" t="s">
        <v>37</v>
      </c>
      <c r="C38" s="6">
        <v>11592</v>
      </c>
      <c r="D38" s="6">
        <v>17779</v>
      </c>
      <c r="E38" s="6">
        <v>18462.239749316621</v>
      </c>
      <c r="F38" s="8">
        <v>2695</v>
      </c>
      <c r="G38" s="8">
        <v>49680</v>
      </c>
      <c r="H38" s="8">
        <v>63680</v>
      </c>
      <c r="I38" s="5" t="s">
        <v>37</v>
      </c>
      <c r="J38" s="5" t="s">
        <v>90</v>
      </c>
      <c r="K38" s="13" t="s">
        <v>59</v>
      </c>
      <c r="L38" s="11">
        <v>1104</v>
      </c>
      <c r="M38" s="11">
        <v>1648</v>
      </c>
      <c r="N38" s="11">
        <v>1648</v>
      </c>
      <c r="O38" s="21">
        <f t="shared" si="1"/>
        <v>38.640776699029125</v>
      </c>
      <c r="P38" s="22">
        <v>1519.179336457792</v>
      </c>
      <c r="Q38" s="22">
        <v>1402.6223545835032</v>
      </c>
      <c r="R38" s="22">
        <v>1286.5531035539641</v>
      </c>
      <c r="S38" s="22">
        <v>1170.9695424671788</v>
      </c>
      <c r="T38" s="22">
        <v>1055.8696389612737</v>
      </c>
      <c r="U38" s="22">
        <v>941.25136917876137</v>
      </c>
      <c r="V38" s="22">
        <v>827.11271773095382</v>
      </c>
      <c r="W38" s="22">
        <v>713.45167766252519</v>
      </c>
      <c r="X38" s="25">
        <f t="shared" si="2"/>
        <v>58702.269505844779</v>
      </c>
      <c r="Y38" s="25">
        <f t="shared" si="3"/>
        <v>54198.417196527596</v>
      </c>
      <c r="Z38" s="25">
        <f t="shared" si="4"/>
        <v>49713.411185871621</v>
      </c>
      <c r="AA38" s="25">
        <f t="shared" si="5"/>
        <v>45247.172611838556</v>
      </c>
      <c r="AB38" s="25">
        <f t="shared" si="6"/>
        <v>40799.622942387083</v>
      </c>
      <c r="AC38" s="25">
        <f t="shared" si="7"/>
        <v>36370.683974091946</v>
      </c>
      <c r="AD38" s="25">
        <f t="shared" si="8"/>
        <v>31960.277830768893</v>
      </c>
      <c r="AE38" s="25">
        <f t="shared" si="9"/>
        <v>27568.32696210534</v>
      </c>
    </row>
    <row r="39" spans="2:31" x14ac:dyDescent="0.35">
      <c r="B39" s="5" t="s">
        <v>38</v>
      </c>
      <c r="C39" s="6">
        <v>536</v>
      </c>
      <c r="D39" s="6">
        <v>559</v>
      </c>
      <c r="E39" s="6">
        <v>613.28457017504911</v>
      </c>
      <c r="F39" s="8">
        <v>28</v>
      </c>
      <c r="G39" s="8">
        <v>1105</v>
      </c>
      <c r="H39" s="8">
        <v>828.14730820859995</v>
      </c>
      <c r="I39" s="5" t="s">
        <v>38</v>
      </c>
      <c r="J39" s="5" t="s">
        <v>91</v>
      </c>
      <c r="K39" s="13" t="s">
        <v>53</v>
      </c>
      <c r="L39" s="11">
        <v>63</v>
      </c>
      <c r="M39" s="11">
        <v>60</v>
      </c>
      <c r="N39" s="11">
        <v>105</v>
      </c>
      <c r="O39" s="21">
        <f t="shared" si="1"/>
        <v>7.887117221034285</v>
      </c>
      <c r="P39" s="22">
        <v>107.7640685983507</v>
      </c>
      <c r="Q39" s="22">
        <v>111.74133022536213</v>
      </c>
      <c r="R39" s="22">
        <v>115.6864554050113</v>
      </c>
      <c r="S39" s="22">
        <v>119.5997038011941</v>
      </c>
      <c r="T39" s="22">
        <v>123.48133297971083</v>
      </c>
      <c r="U39" s="22">
        <v>127.33159842521889</v>
      </c>
      <c r="V39" s="22">
        <v>131.15075355804851</v>
      </c>
      <c r="W39" s="22">
        <v>134.93904975088259</v>
      </c>
      <c r="X39" s="25">
        <f t="shared" si="2"/>
        <v>849.94784125077183</v>
      </c>
      <c r="Y39" s="25">
        <f t="shared" si="3"/>
        <v>881.31696992173261</v>
      </c>
      <c r="Z39" s="25">
        <f t="shared" si="4"/>
        <v>912.43263466527947</v>
      </c>
      <c r="AA39" s="25">
        <f t="shared" si="5"/>
        <v>943.29688348099762</v>
      </c>
      <c r="AB39" s="25">
        <f t="shared" si="6"/>
        <v>973.91174782054611</v>
      </c>
      <c r="AC39" s="25">
        <f t="shared" si="7"/>
        <v>1004.2792427213659</v>
      </c>
      <c r="AD39" s="25">
        <f t="shared" si="8"/>
        <v>1034.401366939308</v>
      </c>
      <c r="AE39" s="25">
        <f t="shared" si="9"/>
        <v>1064.2801030801882</v>
      </c>
    </row>
    <row r="40" spans="2:31" x14ac:dyDescent="0.35">
      <c r="B40" s="5" t="s">
        <v>39</v>
      </c>
      <c r="C40" s="6">
        <v>6196</v>
      </c>
      <c r="D40" s="6">
        <v>10926</v>
      </c>
      <c r="E40" s="6">
        <v>11285.434623393408</v>
      </c>
      <c r="F40" s="8">
        <v>4932</v>
      </c>
      <c r="G40" s="8">
        <v>34349</v>
      </c>
      <c r="H40" s="8">
        <v>29939.877575931641</v>
      </c>
      <c r="I40" s="5" t="s">
        <v>39</v>
      </c>
      <c r="J40" s="5" t="s">
        <v>92</v>
      </c>
      <c r="K40" s="5" t="s">
        <v>53</v>
      </c>
      <c r="L40" s="11">
        <v>0</v>
      </c>
      <c r="M40" s="11">
        <v>2883</v>
      </c>
      <c r="N40" s="11">
        <v>2560.8623058327948</v>
      </c>
      <c r="O40" s="21">
        <f t="shared" si="1"/>
        <v>11.691326592506957</v>
      </c>
      <c r="P40" s="22">
        <v>2828.7984914243116</v>
      </c>
      <c r="Q40" s="22">
        <v>3095.6337933320829</v>
      </c>
      <c r="R40" s="22">
        <v>3360.6471756820201</v>
      </c>
      <c r="S40" s="22">
        <v>3623.8510783231673</v>
      </c>
      <c r="T40" s="22">
        <v>3885.2578561667647</v>
      </c>
      <c r="U40" s="22">
        <v>4144.8797797661955</v>
      </c>
      <c r="V40" s="22">
        <v>4402.7290358929704</v>
      </c>
      <c r="W40" s="22">
        <v>4658.8177281087801</v>
      </c>
      <c r="X40" s="25">
        <f t="shared" si="2"/>
        <v>33072.407027632617</v>
      </c>
      <c r="Y40" s="25">
        <f t="shared" si="3"/>
        <v>36192.065688646566</v>
      </c>
      <c r="Z40" s="25">
        <f t="shared" si="4"/>
        <v>39290.423693084602</v>
      </c>
      <c r="AA40" s="25">
        <f t="shared" si="5"/>
        <v>42367.626479284656</v>
      </c>
      <c r="AB40" s="25">
        <f t="shared" si="6"/>
        <v>45423.818492549064</v>
      </c>
      <c r="AC40" s="25">
        <f t="shared" si="7"/>
        <v>48459.143191924901</v>
      </c>
      <c r="AD40" s="25">
        <f t="shared" si="8"/>
        <v>51473.743056938001</v>
      </c>
      <c r="AE40" s="25">
        <f t="shared" si="9"/>
        <v>54467.759594281029</v>
      </c>
    </row>
    <row r="41" spans="2:31" x14ac:dyDescent="0.35">
      <c r="B41" s="5" t="s">
        <v>40</v>
      </c>
      <c r="C41" s="6">
        <v>530</v>
      </c>
      <c r="D41" s="6">
        <v>2020</v>
      </c>
      <c r="E41" s="6">
        <v>2592.4178512700573</v>
      </c>
      <c r="F41" s="8">
        <v>0</v>
      </c>
      <c r="G41" s="8">
        <v>525</v>
      </c>
      <c r="H41" s="8">
        <v>594.28457017504911</v>
      </c>
      <c r="I41" s="5" t="s">
        <v>40</v>
      </c>
      <c r="J41" s="5" t="s">
        <v>93</v>
      </c>
      <c r="K41" s="5" t="s">
        <v>57</v>
      </c>
      <c r="L41" s="11">
        <v>93</v>
      </c>
      <c r="M41" s="11">
        <v>240</v>
      </c>
      <c r="N41" s="11">
        <v>828</v>
      </c>
      <c r="O41" s="21">
        <f t="shared" si="1"/>
        <v>0.71773498813411729</v>
      </c>
      <c r="P41" s="22">
        <v>732.76578947368432</v>
      </c>
      <c r="Q41" s="22">
        <v>727.6458033240998</v>
      </c>
      <c r="R41" s="22">
        <v>722.60665906108773</v>
      </c>
      <c r="S41" s="22">
        <v>717.6470802338074</v>
      </c>
      <c r="T41" s="22">
        <v>712.7658105459052</v>
      </c>
      <c r="U41" s="22">
        <v>707.96161353728564</v>
      </c>
      <c r="V41" s="22">
        <v>703.23327227090749</v>
      </c>
      <c r="W41" s="22">
        <v>698.57958902452481</v>
      </c>
      <c r="X41" s="25">
        <f t="shared" si="2"/>
        <v>525.93164521298195</v>
      </c>
      <c r="Y41" s="25">
        <f t="shared" si="3"/>
        <v>522.25685201466297</v>
      </c>
      <c r="Z41" s="25">
        <f t="shared" si="4"/>
        <v>518.64008186684396</v>
      </c>
      <c r="AA41" s="25">
        <f t="shared" si="5"/>
        <v>515.0804186160957</v>
      </c>
      <c r="AB41" s="25">
        <f t="shared" si="6"/>
        <v>511.57696057456974</v>
      </c>
      <c r="AC41" s="25">
        <f t="shared" si="7"/>
        <v>508.12882029159425</v>
      </c>
      <c r="AD41" s="25">
        <f t="shared" si="8"/>
        <v>504.73512432887628</v>
      </c>
      <c r="AE41" s="25">
        <f t="shared" si="9"/>
        <v>501.39501303925385</v>
      </c>
    </row>
    <row r="42" spans="2:31" x14ac:dyDescent="0.35">
      <c r="B42" s="5" t="s">
        <v>41</v>
      </c>
      <c r="C42" s="6">
        <v>8293</v>
      </c>
      <c r="D42" s="6">
        <v>7320</v>
      </c>
      <c r="E42" s="6">
        <v>20252.811629184373</v>
      </c>
      <c r="F42" s="8">
        <v>4557</v>
      </c>
      <c r="G42" s="8">
        <v>2288</v>
      </c>
      <c r="H42" s="8">
        <v>18898.61224042462</v>
      </c>
      <c r="I42" s="5" t="s">
        <v>41</v>
      </c>
      <c r="J42" s="5" t="s">
        <v>94</v>
      </c>
      <c r="K42" s="5" t="s">
        <v>59</v>
      </c>
      <c r="L42" s="11">
        <v>0</v>
      </c>
      <c r="M42" s="11">
        <v>566</v>
      </c>
      <c r="N42" s="11">
        <v>1106</v>
      </c>
      <c r="O42" s="21">
        <f t="shared" si="1"/>
        <v>17.0873528394436</v>
      </c>
      <c r="P42" s="22">
        <v>1255.5500000000002</v>
      </c>
      <c r="Q42" s="22">
        <v>1405.1000000000004</v>
      </c>
      <c r="R42" s="22">
        <v>1554.6500000000005</v>
      </c>
      <c r="S42" s="22">
        <v>1704.2000000000007</v>
      </c>
      <c r="T42" s="22">
        <v>1853.7500000000009</v>
      </c>
      <c r="U42" s="22">
        <v>2003.3000000000011</v>
      </c>
      <c r="V42" s="22">
        <v>2152.8500000000013</v>
      </c>
      <c r="W42" s="22">
        <v>2302.4000000000015</v>
      </c>
      <c r="X42" s="25">
        <f t="shared" si="2"/>
        <v>21454.025857563414</v>
      </c>
      <c r="Y42" s="25">
        <f t="shared" si="3"/>
        <v>24009.439474702209</v>
      </c>
      <c r="Z42" s="25">
        <f t="shared" si="4"/>
        <v>26564.853091841003</v>
      </c>
      <c r="AA42" s="25">
        <f t="shared" si="5"/>
        <v>29120.266708979794</v>
      </c>
      <c r="AB42" s="25">
        <f t="shared" si="6"/>
        <v>31675.680326118589</v>
      </c>
      <c r="AC42" s="25">
        <f t="shared" si="7"/>
        <v>34231.09394325738</v>
      </c>
      <c r="AD42" s="25">
        <f t="shared" si="8"/>
        <v>36786.507560396174</v>
      </c>
      <c r="AE42" s="25">
        <f t="shared" si="9"/>
        <v>39341.921177534969</v>
      </c>
    </row>
    <row r="43" spans="2:31" x14ac:dyDescent="0.35">
      <c r="B43" s="5" t="s">
        <v>42</v>
      </c>
      <c r="C43" s="6">
        <v>90079</v>
      </c>
      <c r="D43" s="6">
        <v>354250</v>
      </c>
      <c r="E43" s="6">
        <v>468293.95185969712</v>
      </c>
      <c r="F43" s="8">
        <v>23469</v>
      </c>
      <c r="G43" s="8">
        <v>214207</v>
      </c>
      <c r="H43" s="8">
        <v>191862.74170800057</v>
      </c>
      <c r="I43" s="5" t="s">
        <v>42</v>
      </c>
      <c r="J43" s="5" t="s">
        <v>95</v>
      </c>
      <c r="K43" s="13" t="s">
        <v>57</v>
      </c>
      <c r="L43" s="11">
        <v>0</v>
      </c>
      <c r="M43" s="11">
        <v>43503</v>
      </c>
      <c r="N43" s="11">
        <v>48021</v>
      </c>
      <c r="O43" s="21">
        <f t="shared" si="1"/>
        <v>3.995392468045242</v>
      </c>
      <c r="P43" s="22">
        <v>45688.608593336248</v>
      </c>
      <c r="Q43" s="22">
        <v>45321.603784095656</v>
      </c>
      <c r="R43" s="22">
        <v>44959.581321767226</v>
      </c>
      <c r="S43" s="22">
        <v>44602.473567507739</v>
      </c>
      <c r="T43" s="22">
        <v>44250.213800718564</v>
      </c>
      <c r="U43" s="22">
        <v>43902.736206579852</v>
      </c>
      <c r="V43" s="22">
        <v>43559.975863753963</v>
      </c>
      <c r="W43" s="22">
        <v>43221.868732255803</v>
      </c>
      <c r="X43" s="25">
        <f t="shared" si="2"/>
        <v>182543.92264928276</v>
      </c>
      <c r="Y43" s="25">
        <f t="shared" si="3"/>
        <v>181077.59439870651</v>
      </c>
      <c r="Z43" s="25">
        <f t="shared" si="4"/>
        <v>179631.17257945632</v>
      </c>
      <c r="AA43" s="25">
        <f t="shared" si="5"/>
        <v>178204.38694780742</v>
      </c>
      <c r="AB43" s="25">
        <f t="shared" si="6"/>
        <v>176796.97092878257</v>
      </c>
      <c r="AC43" s="25">
        <f t="shared" si="7"/>
        <v>175408.66156634627</v>
      </c>
      <c r="AD43" s="25">
        <f t="shared" si="8"/>
        <v>174039.19947427511</v>
      </c>
      <c r="AE43" s="25">
        <f t="shared" si="9"/>
        <v>172688.32878769498</v>
      </c>
    </row>
    <row r="44" spans="2:31" x14ac:dyDescent="0.35">
      <c r="B44" s="5" t="s">
        <v>43</v>
      </c>
      <c r="C44" s="6">
        <v>0</v>
      </c>
      <c r="D44" s="6">
        <v>6413</v>
      </c>
      <c r="E44" s="6">
        <v>8616.9328736015086</v>
      </c>
      <c r="F44" s="8">
        <v>0</v>
      </c>
      <c r="G44" s="8">
        <v>10147</v>
      </c>
      <c r="H44" s="8">
        <v>12908</v>
      </c>
      <c r="I44" s="5" t="s">
        <v>43</v>
      </c>
      <c r="J44" s="5" t="s">
        <v>96</v>
      </c>
      <c r="K44" s="13" t="s">
        <v>59</v>
      </c>
      <c r="L44" s="11">
        <v>0</v>
      </c>
      <c r="M44" s="11">
        <v>411</v>
      </c>
      <c r="N44" s="11">
        <v>456</v>
      </c>
      <c r="O44" s="21">
        <f t="shared" si="1"/>
        <v>28.307017543859651</v>
      </c>
      <c r="P44" s="22">
        <v>516.30288047618524</v>
      </c>
      <c r="Q44" s="22">
        <v>579.59761924947907</v>
      </c>
      <c r="R44" s="22">
        <v>642.62750219076963</v>
      </c>
      <c r="S44" s="22">
        <v>705.39363758509148</v>
      </c>
      <c r="T44" s="22">
        <v>767.89712907987803</v>
      </c>
      <c r="U44" s="22">
        <v>830.13907570436731</v>
      </c>
      <c r="V44" s="22">
        <v>892.12057188892697</v>
      </c>
      <c r="W44" s="22">
        <v>953.84270748429822</v>
      </c>
      <c r="X44" s="25">
        <f t="shared" si="2"/>
        <v>14614.994695584648</v>
      </c>
      <c r="Y44" s="25">
        <f t="shared" si="3"/>
        <v>16406.67997647429</v>
      </c>
      <c r="Z44" s="25">
        <f t="shared" si="4"/>
        <v>18190.867978680821</v>
      </c>
      <c r="AA44" s="25">
        <f t="shared" si="5"/>
        <v>19967.590074448162</v>
      </c>
      <c r="AB44" s="25">
        <f t="shared" si="6"/>
        <v>21736.877504743567</v>
      </c>
      <c r="AC44" s="25">
        <f t="shared" si="7"/>
        <v>23498.761379806961</v>
      </c>
      <c r="AD44" s="25">
        <f t="shared" si="8"/>
        <v>25253.272679697962</v>
      </c>
      <c r="AE44" s="25">
        <f t="shared" si="9"/>
        <v>27000.442254840618</v>
      </c>
    </row>
    <row r="45" spans="2:31" x14ac:dyDescent="0.35">
      <c r="B45" s="5" t="s">
        <v>44</v>
      </c>
      <c r="C45" s="6">
        <v>23402</v>
      </c>
      <c r="D45" s="6">
        <v>39366</v>
      </c>
      <c r="E45" s="6">
        <v>49814.905399934454</v>
      </c>
      <c r="F45" s="8">
        <v>15093</v>
      </c>
      <c r="G45" s="8">
        <v>69773</v>
      </c>
      <c r="H45" s="8">
        <v>138070.13653100963</v>
      </c>
      <c r="I45" s="5" t="s">
        <v>44</v>
      </c>
      <c r="J45" s="5" t="s">
        <v>97</v>
      </c>
      <c r="K45" s="13" t="s">
        <v>53</v>
      </c>
      <c r="L45" s="11">
        <v>1481</v>
      </c>
      <c r="M45" s="11">
        <v>2885</v>
      </c>
      <c r="N45" s="11">
        <v>8693</v>
      </c>
      <c r="O45" s="21">
        <f t="shared" si="1"/>
        <v>15.882909988612635</v>
      </c>
      <c r="P45" s="22">
        <v>9137.4203269091704</v>
      </c>
      <c r="Q45" s="22">
        <v>9680.5395722592166</v>
      </c>
      <c r="R45" s="22">
        <v>10219.270390425825</v>
      </c>
      <c r="S45" s="22">
        <v>10753.648240091981</v>
      </c>
      <c r="T45" s="22">
        <v>11283.708293432966</v>
      </c>
      <c r="U45" s="22">
        <v>11809.485438431353</v>
      </c>
      <c r="V45" s="22">
        <v>12331.014281173289</v>
      </c>
      <c r="W45" s="22">
        <v>12848.329148126244</v>
      </c>
      <c r="X45" s="25">
        <f t="shared" si="2"/>
        <v>145128.8245804178</v>
      </c>
      <c r="Y45" s="25">
        <f t="shared" si="3"/>
        <v>153755.1386673958</v>
      </c>
      <c r="Z45" s="25">
        <f t="shared" si="4"/>
        <v>162311.75176042769</v>
      </c>
      <c r="AA45" s="25">
        <f t="shared" si="5"/>
        <v>170799.2270465836</v>
      </c>
      <c r="AB45" s="25">
        <f t="shared" si="6"/>
        <v>179218.12316235769</v>
      </c>
      <c r="AC45" s="25">
        <f t="shared" si="7"/>
        <v>187568.9942304368</v>
      </c>
      <c r="AD45" s="25">
        <f t="shared" si="8"/>
        <v>195852.3898961723</v>
      </c>
      <c r="AE45" s="25">
        <f t="shared" si="9"/>
        <v>204068.85536375717</v>
      </c>
    </row>
    <row r="46" spans="2:31" x14ac:dyDescent="0.35">
      <c r="B46" s="5" t="s">
        <v>45</v>
      </c>
      <c r="C46" s="6">
        <v>2532</v>
      </c>
      <c r="D46" s="6">
        <v>4137</v>
      </c>
      <c r="E46" s="6">
        <v>5574.9682728198168</v>
      </c>
      <c r="F46" s="8">
        <v>638</v>
      </c>
      <c r="G46" s="8">
        <v>22503</v>
      </c>
      <c r="H46" s="8">
        <v>21202.2429589413</v>
      </c>
      <c r="I46" s="5" t="s">
        <v>45</v>
      </c>
      <c r="J46" s="5" t="s">
        <v>98</v>
      </c>
      <c r="K46" s="5" t="s">
        <v>59</v>
      </c>
      <c r="L46" s="11">
        <v>361</v>
      </c>
      <c r="M46" s="11">
        <v>611</v>
      </c>
      <c r="N46" s="11">
        <v>730</v>
      </c>
      <c r="O46" s="21">
        <f t="shared" si="1"/>
        <v>29.044168436905892</v>
      </c>
      <c r="P46" s="22">
        <v>743.15</v>
      </c>
      <c r="Q46" s="22">
        <v>777.784712328767</v>
      </c>
      <c r="R46" s="22">
        <v>812.11577786451471</v>
      </c>
      <c r="S46" s="22">
        <v>846.14585871611348</v>
      </c>
      <c r="T46" s="22">
        <v>879.87759365339684</v>
      </c>
      <c r="U46" s="22">
        <v>913.31359831177792</v>
      </c>
      <c r="V46" s="22">
        <v>946.45646539507186</v>
      </c>
      <c r="W46" s="22">
        <v>979.30876487653973</v>
      </c>
      <c r="X46" s="25">
        <f t="shared" si="2"/>
        <v>21584.173773886614</v>
      </c>
      <c r="Y46" s="25">
        <f t="shared" si="3"/>
        <v>22590.110192527103</v>
      </c>
      <c r="Z46" s="25">
        <f t="shared" si="4"/>
        <v>23587.227442565814</v>
      </c>
      <c r="AA46" s="25">
        <f t="shared" si="5"/>
        <v>24575.602842741177</v>
      </c>
      <c r="AB46" s="25">
        <f t="shared" si="6"/>
        <v>25555.313033928698</v>
      </c>
      <c r="AC46" s="25">
        <f t="shared" si="7"/>
        <v>26526.433985083888</v>
      </c>
      <c r="AD46" s="25">
        <f t="shared" si="8"/>
        <v>27489.04099913306</v>
      </c>
      <c r="AE46" s="25">
        <f t="shared" si="9"/>
        <v>28443.20871881249</v>
      </c>
    </row>
    <row r="47" spans="2:31" x14ac:dyDescent="0.35">
      <c r="B47" s="5" t="s">
        <v>46</v>
      </c>
      <c r="C47" s="6">
        <v>51995</v>
      </c>
      <c r="D47" s="6">
        <v>77940</v>
      </c>
      <c r="E47" s="6">
        <v>121325.78132796781</v>
      </c>
      <c r="F47" s="8">
        <v>207921</v>
      </c>
      <c r="G47" s="8">
        <v>190898</v>
      </c>
      <c r="H47" s="8">
        <v>215143.86052313884</v>
      </c>
      <c r="I47" s="5" t="s">
        <v>46</v>
      </c>
      <c r="J47" s="5" t="s">
        <v>99</v>
      </c>
      <c r="K47" s="13" t="s">
        <v>59</v>
      </c>
      <c r="L47" s="11">
        <v>3370</v>
      </c>
      <c r="M47" s="11">
        <v>17186</v>
      </c>
      <c r="N47" s="11">
        <v>9051.7813279678066</v>
      </c>
      <c r="O47" s="21">
        <f t="shared" si="1"/>
        <v>23.76812394466452</v>
      </c>
      <c r="P47" s="22">
        <v>10328.905736605107</v>
      </c>
      <c r="Q47" s="22">
        <v>11665.084594128319</v>
      </c>
      <c r="R47" s="22">
        <v>12995.672232383178</v>
      </c>
      <c r="S47" s="22">
        <v>14320.692047738168</v>
      </c>
      <c r="T47" s="22">
        <v>15640.167338660036</v>
      </c>
      <c r="U47" s="22">
        <v>16954.121306123463</v>
      </c>
      <c r="V47" s="22">
        <v>18262.577054019024</v>
      </c>
      <c r="W47" s="22">
        <v>19565.557589559423</v>
      </c>
      <c r="X47" s="25">
        <f t="shared" si="2"/>
        <v>245498.71176038656</v>
      </c>
      <c r="Y47" s="25">
        <f t="shared" si="3"/>
        <v>277257.17645823851</v>
      </c>
      <c r="Z47" s="25">
        <f t="shared" si="4"/>
        <v>308882.74836351845</v>
      </c>
      <c r="AA47" s="25">
        <f t="shared" si="5"/>
        <v>340375.98356401233</v>
      </c>
      <c r="AB47" s="25">
        <f t="shared" si="6"/>
        <v>371737.43582056556</v>
      </c>
      <c r="AC47" s="25">
        <f t="shared" si="7"/>
        <v>402967.65657682001</v>
      </c>
      <c r="AD47" s="25">
        <f t="shared" si="8"/>
        <v>434067.19496891042</v>
      </c>
      <c r="AE47" s="25">
        <f t="shared" si="9"/>
        <v>465036.59783511993</v>
      </c>
    </row>
    <row r="48" spans="2:31" x14ac:dyDescent="0.35">
      <c r="B48" s="5" t="s">
        <v>47</v>
      </c>
      <c r="C48" s="6">
        <v>4278</v>
      </c>
      <c r="D48" s="6">
        <v>30782</v>
      </c>
      <c r="E48" s="6">
        <v>69982</v>
      </c>
      <c r="F48" s="8">
        <v>5507</v>
      </c>
      <c r="G48" s="8">
        <v>32379</v>
      </c>
      <c r="H48" s="8">
        <v>42023.819684990805</v>
      </c>
      <c r="I48" s="5" t="s">
        <v>47</v>
      </c>
      <c r="J48" s="5" t="s">
        <v>100</v>
      </c>
      <c r="K48" s="5" t="s">
        <v>53</v>
      </c>
      <c r="L48" s="11">
        <v>0</v>
      </c>
      <c r="M48" s="11">
        <v>4021</v>
      </c>
      <c r="N48" s="11">
        <v>6531</v>
      </c>
      <c r="O48" s="21">
        <f t="shared" si="1"/>
        <v>6.4345153399159098</v>
      </c>
      <c r="P48" s="22">
        <v>6230.9263449065247</v>
      </c>
      <c r="Q48" s="22">
        <v>6237.4060259171483</v>
      </c>
      <c r="R48" s="22">
        <v>6243.8171029033365</v>
      </c>
      <c r="S48" s="22">
        <v>6250.1603022144509</v>
      </c>
      <c r="T48" s="22">
        <v>6256.4363425095853</v>
      </c>
      <c r="U48" s="22">
        <v>6262.6459348389853</v>
      </c>
      <c r="V48" s="22">
        <v>6268.7897827246079</v>
      </c>
      <c r="W48" s="22">
        <v>6274.8685822398274</v>
      </c>
      <c r="X48" s="25">
        <f t="shared" si="2"/>
        <v>40092.991148187204</v>
      </c>
      <c r="Y48" s="25">
        <f t="shared" si="3"/>
        <v>40134.684755047827</v>
      </c>
      <c r="Z48" s="25">
        <f t="shared" si="4"/>
        <v>40175.936928260831</v>
      </c>
      <c r="AA48" s="25">
        <f t="shared" si="5"/>
        <v>40216.752341532345</v>
      </c>
      <c r="AB48" s="25">
        <f t="shared" si="6"/>
        <v>40257.135619085318</v>
      </c>
      <c r="AC48" s="25">
        <f t="shared" si="7"/>
        <v>40297.091336183468</v>
      </c>
      <c r="AD48" s="25">
        <f t="shared" si="8"/>
        <v>40336.624019649615</v>
      </c>
      <c r="AE48" s="25">
        <f t="shared" si="9"/>
        <v>40375.738148378565</v>
      </c>
    </row>
    <row r="49" spans="2:31" x14ac:dyDescent="0.35">
      <c r="B49" s="5" t="s">
        <v>48</v>
      </c>
      <c r="C49" s="6">
        <v>21148</v>
      </c>
      <c r="D49" s="6">
        <v>35628</v>
      </c>
      <c r="E49" s="6">
        <v>62258.419764351172</v>
      </c>
      <c r="F49" s="8">
        <v>15850</v>
      </c>
      <c r="G49" s="8">
        <v>36886</v>
      </c>
      <c r="H49" s="8">
        <v>42581.173443884632</v>
      </c>
      <c r="I49" s="5" t="s">
        <v>48</v>
      </c>
      <c r="J49" s="5" t="s">
        <v>101</v>
      </c>
      <c r="K49" s="5" t="s">
        <v>53</v>
      </c>
      <c r="L49" s="11">
        <v>1114</v>
      </c>
      <c r="M49" s="11">
        <v>3026</v>
      </c>
      <c r="N49" s="11">
        <v>3131.5983655333839</v>
      </c>
      <c r="O49" s="21">
        <f t="shared" si="1"/>
        <v>13.597265189730699</v>
      </c>
      <c r="P49" s="22">
        <v>3285.7983655333837</v>
      </c>
      <c r="Q49" s="22">
        <v>3439.9983655333835</v>
      </c>
      <c r="R49" s="22">
        <v>3594.1983655333834</v>
      </c>
      <c r="S49" s="22">
        <v>3748.3983655333832</v>
      </c>
      <c r="T49" s="22">
        <v>3902.598365533383</v>
      </c>
      <c r="U49" s="22">
        <v>4056.7983655333828</v>
      </c>
      <c r="V49" s="22">
        <v>4210.9983655333826</v>
      </c>
      <c r="W49" s="22">
        <v>4365.1983655333825</v>
      </c>
      <c r="X49" s="25">
        <f t="shared" si="2"/>
        <v>44677.871736141104</v>
      </c>
      <c r="Y49" s="25">
        <f t="shared" si="3"/>
        <v>46774.570028397575</v>
      </c>
      <c r="Z49" s="25">
        <f t="shared" si="4"/>
        <v>48871.268320654046</v>
      </c>
      <c r="AA49" s="25">
        <f t="shared" si="5"/>
        <v>50967.966612910517</v>
      </c>
      <c r="AB49" s="25">
        <f t="shared" si="6"/>
        <v>53064.664905166988</v>
      </c>
      <c r="AC49" s="25">
        <f t="shared" si="7"/>
        <v>55161.363197423459</v>
      </c>
      <c r="AD49" s="25">
        <f t="shared" si="8"/>
        <v>57258.061489679931</v>
      </c>
      <c r="AE49" s="25">
        <f t="shared" si="9"/>
        <v>59354.759781936402</v>
      </c>
    </row>
    <row r="50" spans="2:31" x14ac:dyDescent="0.35">
      <c r="B50" s="9" t="s">
        <v>49</v>
      </c>
      <c r="C50" s="10">
        <f>SUM(C3:C49)</f>
        <v>841834</v>
      </c>
      <c r="D50" s="10">
        <f t="shared" ref="D50:H50" si="10">SUM(D3:D49)</f>
        <v>1994699</v>
      </c>
      <c r="E50" s="10">
        <f t="shared" si="10"/>
        <v>2606717.2682034047</v>
      </c>
      <c r="F50" s="10">
        <f t="shared" si="10"/>
        <v>724195</v>
      </c>
      <c r="G50" s="10">
        <f t="shared" si="10"/>
        <v>2312731</v>
      </c>
      <c r="H50" s="10">
        <f t="shared" si="10"/>
        <v>2488957.6157619865</v>
      </c>
      <c r="I50" s="9" t="s">
        <v>49</v>
      </c>
      <c r="J50" s="14" t="s">
        <v>49</v>
      </c>
      <c r="K50" s="14"/>
      <c r="L50" s="15">
        <f>SUM(L3:L49)</f>
        <v>115272</v>
      </c>
      <c r="M50" s="15">
        <f t="shared" ref="M50:N50" si="11">SUM(M3:M49)</f>
        <v>339167</v>
      </c>
      <c r="N50" s="15">
        <f t="shared" si="11"/>
        <v>366541.50896290637</v>
      </c>
      <c r="O50" s="21">
        <f t="shared" si="1"/>
        <v>6.7903840490105756</v>
      </c>
      <c r="P50" s="24">
        <f>SUM(P3:P49)</f>
        <v>375582.75606156455</v>
      </c>
      <c r="Q50" s="24">
        <f t="shared" ref="Q50:AE50" si="12">SUM(Q3:Q49)</f>
        <v>395646.75365372602</v>
      </c>
      <c r="R50" s="24">
        <f t="shared" si="12"/>
        <v>415583.03476651502</v>
      </c>
      <c r="S50" s="24">
        <f t="shared" si="12"/>
        <v>435392.80535851227</v>
      </c>
      <c r="T50" s="24">
        <f t="shared" si="12"/>
        <v>455077.2560151887</v>
      </c>
      <c r="U50" s="24">
        <f t="shared" si="12"/>
        <v>474637.56217920088</v>
      </c>
      <c r="V50" s="24">
        <f t="shared" si="12"/>
        <v>494074.88437698007</v>
      </c>
      <c r="W50" s="24">
        <f t="shared" si="12"/>
        <v>513390.36844168347</v>
      </c>
      <c r="X50" s="24">
        <f t="shared" si="12"/>
        <v>2621084.7285205033</v>
      </c>
      <c r="Y50" s="24">
        <f t="shared" si="12"/>
        <v>2808342.8446862567</v>
      </c>
      <c r="Z50" s="24">
        <f t="shared" si="12"/>
        <v>2994522.9390719552</v>
      </c>
      <c r="AA50" s="24">
        <f t="shared" si="12"/>
        <v>3179633.7261709766</v>
      </c>
      <c r="AB50" s="24">
        <f t="shared" si="12"/>
        <v>3363683.8243419109</v>
      </c>
      <c r="AC50" s="24">
        <f t="shared" si="12"/>
        <v>3546681.7571162651</v>
      </c>
      <c r="AD50" s="24">
        <f t="shared" si="12"/>
        <v>3728635.9544863193</v>
      </c>
      <c r="AE50" s="24">
        <f t="shared" si="12"/>
        <v>3909554.7541734623</v>
      </c>
    </row>
    <row r="51" spans="2:31" ht="28.5" x14ac:dyDescent="0.35">
      <c r="X51" s="20" t="s">
        <v>106</v>
      </c>
      <c r="Y51" s="20" t="s">
        <v>107</v>
      </c>
      <c r="Z51" s="20" t="s">
        <v>108</v>
      </c>
      <c r="AA51" s="20" t="s">
        <v>109</v>
      </c>
      <c r="AB51" s="20" t="s">
        <v>110</v>
      </c>
      <c r="AC51" s="20" t="s">
        <v>111</v>
      </c>
      <c r="AD51" s="20" t="s">
        <v>112</v>
      </c>
      <c r="AE51" s="20" t="s">
        <v>113</v>
      </c>
    </row>
  </sheetData>
  <mergeCells count="4">
    <mergeCell ref="F1:H1"/>
    <mergeCell ref="C1:E1"/>
    <mergeCell ref="X1:AE1"/>
    <mergeCell ref="P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8C95-2146-41F5-85E4-9845475395BF}">
  <sheetPr>
    <tabColor theme="9" tint="-0.249977111117893"/>
  </sheetPr>
  <dimension ref="B1:AE54"/>
  <sheetViews>
    <sheetView tabSelected="1" topLeftCell="T37" workbookViewId="0">
      <selection activeCell="AB55" sqref="AB55"/>
    </sheetView>
  </sheetViews>
  <sheetFormatPr defaultRowHeight="14.5" x14ac:dyDescent="0.35"/>
  <cols>
    <col min="4" max="5" width="9.1796875" bestFit="1" customWidth="1"/>
    <col min="7" max="8" width="9.1796875" bestFit="1" customWidth="1"/>
    <col min="11" max="11" width="29.7265625" bestFit="1" customWidth="1"/>
    <col min="13" max="14" width="9.1796875" bestFit="1" customWidth="1"/>
    <col min="16" max="23" width="10.08984375" bestFit="1" customWidth="1"/>
    <col min="24" max="31" width="12.54296875" bestFit="1" customWidth="1"/>
  </cols>
  <sheetData>
    <row r="1" spans="2:31" x14ac:dyDescent="0.35">
      <c r="B1" s="16"/>
      <c r="C1" s="17" t="s">
        <v>103</v>
      </c>
      <c r="D1" s="17"/>
      <c r="E1" s="17"/>
      <c r="F1" s="17" t="s">
        <v>102</v>
      </c>
      <c r="G1" s="17"/>
      <c r="H1" s="17"/>
      <c r="I1" s="16"/>
      <c r="J1" s="16"/>
      <c r="K1" s="16"/>
      <c r="L1" s="26" t="s">
        <v>115</v>
      </c>
      <c r="M1" s="27"/>
      <c r="N1" s="28"/>
      <c r="O1" s="16"/>
      <c r="P1" s="17" t="s">
        <v>115</v>
      </c>
      <c r="Q1" s="17"/>
      <c r="R1" s="17"/>
      <c r="S1" s="17"/>
      <c r="T1" s="17"/>
      <c r="U1" s="17"/>
      <c r="V1" s="17"/>
      <c r="W1" s="17"/>
      <c r="X1" s="18" t="s">
        <v>114</v>
      </c>
      <c r="Y1" s="18"/>
      <c r="Z1" s="18"/>
      <c r="AA1" s="18"/>
      <c r="AB1" s="18"/>
      <c r="AC1" s="18"/>
      <c r="AD1" s="18"/>
      <c r="AE1" s="18"/>
    </row>
    <row r="2" spans="2:31" ht="42.5" x14ac:dyDescent="0.35">
      <c r="B2" s="1" t="s">
        <v>0</v>
      </c>
      <c r="C2" s="2">
        <v>2013</v>
      </c>
      <c r="D2" s="2">
        <v>2018</v>
      </c>
      <c r="E2" s="3" t="s">
        <v>1</v>
      </c>
      <c r="F2" s="4">
        <v>2013</v>
      </c>
      <c r="G2" s="4">
        <v>2018</v>
      </c>
      <c r="H2" s="4" t="s">
        <v>1</v>
      </c>
      <c r="I2" s="1" t="s">
        <v>0</v>
      </c>
      <c r="J2" s="1" t="s">
        <v>50</v>
      </c>
      <c r="K2" s="1" t="s">
        <v>51</v>
      </c>
      <c r="L2" s="2">
        <v>2013</v>
      </c>
      <c r="M2" s="2">
        <v>2018</v>
      </c>
      <c r="N2" s="2" t="s">
        <v>1</v>
      </c>
      <c r="O2" s="30" t="s">
        <v>116</v>
      </c>
      <c r="P2" s="19" t="s">
        <v>106</v>
      </c>
      <c r="Q2" s="19" t="s">
        <v>107</v>
      </c>
      <c r="R2" s="19" t="s">
        <v>108</v>
      </c>
      <c r="S2" s="19" t="s">
        <v>109</v>
      </c>
      <c r="T2" s="19" t="s">
        <v>110</v>
      </c>
      <c r="U2" s="19" t="s">
        <v>111</v>
      </c>
      <c r="V2" s="19" t="s">
        <v>112</v>
      </c>
      <c r="W2" s="19" t="s">
        <v>113</v>
      </c>
      <c r="X2" s="23" t="s">
        <v>106</v>
      </c>
      <c r="Y2" s="23" t="s">
        <v>107</v>
      </c>
      <c r="Z2" s="23" t="s">
        <v>108</v>
      </c>
      <c r="AA2" s="23" t="s">
        <v>109</v>
      </c>
      <c r="AB2" s="23" t="s">
        <v>110</v>
      </c>
      <c r="AC2" s="23" t="s">
        <v>111</v>
      </c>
      <c r="AD2" s="23" t="s">
        <v>112</v>
      </c>
      <c r="AE2" s="23" t="s">
        <v>113</v>
      </c>
    </row>
    <row r="3" spans="2:31" x14ac:dyDescent="0.35">
      <c r="B3" s="5" t="s">
        <v>2</v>
      </c>
      <c r="C3" s="6">
        <v>11139</v>
      </c>
      <c r="D3" s="6">
        <v>175647</v>
      </c>
      <c r="E3" s="7">
        <v>220805</v>
      </c>
      <c r="F3" s="8">
        <v>200</v>
      </c>
      <c r="G3" s="8">
        <v>240105</v>
      </c>
      <c r="H3" s="8">
        <v>366963.77629941667</v>
      </c>
      <c r="I3" s="5" t="s">
        <v>2</v>
      </c>
      <c r="J3" s="5" t="s">
        <v>52</v>
      </c>
      <c r="K3" s="5" t="s">
        <v>53</v>
      </c>
      <c r="L3" s="11">
        <v>0</v>
      </c>
      <c r="M3" s="11">
        <v>57705</v>
      </c>
      <c r="N3" s="12">
        <v>104776</v>
      </c>
      <c r="O3" s="21">
        <f>H3/N3</f>
        <v>3.5023648192278447</v>
      </c>
      <c r="P3" s="22">
        <v>107436.98764037776</v>
      </c>
      <c r="Q3" s="22">
        <v>109755.19641430466</v>
      </c>
      <c r="R3" s="22">
        <v>112053.90562142317</v>
      </c>
      <c r="S3" s="22">
        <v>114333.27928195009</v>
      </c>
      <c r="T3" s="22">
        <v>116593.48003644946</v>
      </c>
      <c r="U3" s="22">
        <v>118834.66915743746</v>
      </c>
      <c r="V3" s="22">
        <v>121057.00656088971</v>
      </c>
      <c r="W3" s="22">
        <v>123260.65081765183</v>
      </c>
      <c r="X3" s="25">
        <f>P3*$O3</f>
        <v>376283.52579547581</v>
      </c>
      <c r="Y3" s="25">
        <f t="shared" ref="Y3:AE18" si="0">Q3*$O3</f>
        <v>384402.73864890274</v>
      </c>
      <c r="Z3" s="25">
        <f t="shared" si="0"/>
        <v>392453.65690554975</v>
      </c>
      <c r="AA3" s="25">
        <f t="shared" si="0"/>
        <v>400436.85502405383</v>
      </c>
      <c r="AB3" s="25">
        <f t="shared" si="0"/>
        <v>408352.90263100463</v>
      </c>
      <c r="AC3" s="25">
        <f>U3*$O3</f>
        <v>416202.36456158914</v>
      </c>
      <c r="AD3" s="25">
        <f t="shared" si="0"/>
        <v>423985.8008998945</v>
      </c>
      <c r="AE3" s="25">
        <f t="shared" si="0"/>
        <v>431703.76701887161</v>
      </c>
    </row>
    <row r="4" spans="2:31" x14ac:dyDescent="0.35">
      <c r="B4" s="5" t="s">
        <v>3</v>
      </c>
      <c r="C4" s="6">
        <v>30</v>
      </c>
      <c r="D4" s="6">
        <v>60468</v>
      </c>
      <c r="E4" s="6">
        <v>78869.768592450535</v>
      </c>
      <c r="F4" s="8">
        <v>602</v>
      </c>
      <c r="G4" s="8">
        <v>50395</v>
      </c>
      <c r="H4" s="8">
        <v>58067.470117464829</v>
      </c>
      <c r="I4" s="5" t="s">
        <v>3</v>
      </c>
      <c r="J4" s="5" t="s">
        <v>54</v>
      </c>
      <c r="K4" s="13" t="s">
        <v>53</v>
      </c>
      <c r="L4" s="11">
        <v>0</v>
      </c>
      <c r="M4" s="11">
        <v>46082</v>
      </c>
      <c r="N4" s="11">
        <v>66717.353814379763</v>
      </c>
      <c r="O4" s="21">
        <f t="shared" ref="O4:O50" si="1">H4/N4</f>
        <v>0.87035031813491082</v>
      </c>
      <c r="P4" s="22">
        <v>68260.683645465004</v>
      </c>
      <c r="Q4" s="22">
        <v>69819.969260384765</v>
      </c>
      <c r="R4" s="22">
        <v>71367.793021336023</v>
      </c>
      <c r="S4" s="22">
        <v>72904.239181065757</v>
      </c>
      <c r="T4" s="22">
        <v>74429.391373003586</v>
      </c>
      <c r="U4" s="22">
        <v>75943.332615814157</v>
      </c>
      <c r="V4" s="22">
        <v>77446.145317916104</v>
      </c>
      <c r="W4" s="22">
        <v>78937.911281967827</v>
      </c>
      <c r="X4" s="25">
        <f t="shared" ref="X4:AE49" si="2">P4*$O4</f>
        <v>59410.707726936969</v>
      </c>
      <c r="Y4" s="25">
        <f t="shared" si="0"/>
        <v>60767.832457945573</v>
      </c>
      <c r="Z4" s="25">
        <f t="shared" si="0"/>
        <v>62114.981360706275</v>
      </c>
      <c r="AA4" s="25">
        <f t="shared" si="0"/>
        <v>63452.227764624215</v>
      </c>
      <c r="AB4" s="25">
        <f t="shared" si="0"/>
        <v>64779.644460081458</v>
      </c>
      <c r="AC4" s="25">
        <f t="shared" si="0"/>
        <v>66097.303702399207</v>
      </c>
      <c r="AD4" s="25">
        <f t="shared" si="0"/>
        <v>67405.27721577081</v>
      </c>
      <c r="AE4" s="25">
        <f t="shared" si="0"/>
        <v>68703.636197166066</v>
      </c>
    </row>
    <row r="5" spans="2:31" x14ac:dyDescent="0.35">
      <c r="B5" s="5" t="s">
        <v>4</v>
      </c>
      <c r="C5" s="6">
        <v>7923</v>
      </c>
      <c r="D5" s="6">
        <v>5769</v>
      </c>
      <c r="E5" s="6">
        <v>11051.475446848541</v>
      </c>
      <c r="F5" s="8">
        <v>15066</v>
      </c>
      <c r="G5" s="8">
        <v>11707</v>
      </c>
      <c r="H5" s="8">
        <v>13972.936782690498</v>
      </c>
      <c r="I5" s="5" t="s">
        <v>4</v>
      </c>
      <c r="J5" s="5" t="s">
        <v>55</v>
      </c>
      <c r="K5" s="5" t="s">
        <v>53</v>
      </c>
      <c r="L5" s="11">
        <v>4880</v>
      </c>
      <c r="M5" s="11">
        <v>3410</v>
      </c>
      <c r="N5" s="11">
        <v>5893</v>
      </c>
      <c r="O5" s="21">
        <f t="shared" si="1"/>
        <v>2.3711075483947903</v>
      </c>
      <c r="P5" s="22">
        <v>6027.4676148796498</v>
      </c>
      <c r="Q5" s="22">
        <v>6175.3036079376316</v>
      </c>
      <c r="R5" s="22">
        <v>6322.3605236434296</v>
      </c>
      <c r="S5" s="22">
        <v>6468.6424676380866</v>
      </c>
      <c r="T5" s="22">
        <v>6614.1535239264267</v>
      </c>
      <c r="U5" s="22">
        <v>6758.8977549910733</v>
      </c>
      <c r="V5" s="22">
        <v>6902.8792019058719</v>
      </c>
      <c r="W5" s="22">
        <v>7046.1018844487089</v>
      </c>
      <c r="X5" s="25">
        <f t="shared" si="2"/>
        <v>14291.773959346281</v>
      </c>
      <c r="Y5" s="25">
        <f t="shared" si="0"/>
        <v>14642.308998410501</v>
      </c>
      <c r="Z5" s="25">
        <f t="shared" si="0"/>
        <v>14990.996761284176</v>
      </c>
      <c r="AA5" s="25">
        <f t="shared" si="0"/>
        <v>15337.84698288377</v>
      </c>
      <c r="AB5" s="25">
        <f t="shared" si="0"/>
        <v>15682.869346823953</v>
      </c>
      <c r="AC5" s="25">
        <f t="shared" si="0"/>
        <v>16026.073485687935</v>
      </c>
      <c r="AD5" s="25">
        <f t="shared" si="0"/>
        <v>16367.468981296419</v>
      </c>
      <c r="AE5" s="25">
        <f t="shared" si="0"/>
        <v>16707.065364975089</v>
      </c>
    </row>
    <row r="6" spans="2:31" x14ac:dyDescent="0.35">
      <c r="B6" s="5" t="s">
        <v>5</v>
      </c>
      <c r="C6" s="6">
        <v>8191</v>
      </c>
      <c r="D6" s="6">
        <v>9284</v>
      </c>
      <c r="E6" s="6">
        <v>9739.0851814152975</v>
      </c>
      <c r="F6" s="8">
        <v>1000</v>
      </c>
      <c r="G6" s="8">
        <v>7514</v>
      </c>
      <c r="H6" s="8">
        <v>8210.3980409764026</v>
      </c>
      <c r="I6" s="5" t="s">
        <v>5</v>
      </c>
      <c r="J6" s="5" t="s">
        <v>56</v>
      </c>
      <c r="K6" s="5" t="s">
        <v>57</v>
      </c>
      <c r="L6" s="11">
        <v>5816</v>
      </c>
      <c r="M6" s="11">
        <v>7645</v>
      </c>
      <c r="N6" s="11">
        <v>8028</v>
      </c>
      <c r="O6" s="21">
        <f t="shared" si="1"/>
        <v>1.0227202343019934</v>
      </c>
      <c r="P6" s="22">
        <v>8319.9</v>
      </c>
      <c r="Q6" s="22">
        <v>8581.8511285500736</v>
      </c>
      <c r="R6" s="22">
        <v>8841.6943793093742</v>
      </c>
      <c r="S6" s="22">
        <v>9099.4467140249453</v>
      </c>
      <c r="T6" s="22">
        <v>9355.1249579554369</v>
      </c>
      <c r="U6" s="22">
        <v>9608.7458009693983</v>
      </c>
      <c r="V6" s="22">
        <v>9860.3257986347417</v>
      </c>
      <c r="W6" s="22">
        <v>10109.881373299439</v>
      </c>
      <c r="X6" s="25">
        <f t="shared" si="2"/>
        <v>8508.9300773691557</v>
      </c>
      <c r="Y6" s="25">
        <f t="shared" si="0"/>
        <v>8776.8327969355578</v>
      </c>
      <c r="Z6" s="25">
        <f t="shared" si="0"/>
        <v>9042.5797472339018</v>
      </c>
      <c r="AA6" s="25">
        <f t="shared" si="0"/>
        <v>9306.1882753860955</v>
      </c>
      <c r="AB6" s="25">
        <f t="shared" si="0"/>
        <v>9567.6755889246106</v>
      </c>
      <c r="AC6" s="25">
        <f t="shared" si="0"/>
        <v>9827.0587569157178</v>
      </c>
      <c r="AD6" s="25">
        <f t="shared" si="0"/>
        <v>10084.354711073713</v>
      </c>
      <c r="AE6" s="25">
        <f t="shared" si="0"/>
        <v>10339.58024686616</v>
      </c>
    </row>
    <row r="7" spans="2:31" x14ac:dyDescent="0.35">
      <c r="B7" s="5" t="s">
        <v>6</v>
      </c>
      <c r="C7" s="6">
        <v>8983</v>
      </c>
      <c r="D7" s="6">
        <v>19646</v>
      </c>
      <c r="E7" s="6">
        <v>27591.374567572704</v>
      </c>
      <c r="F7" s="8">
        <v>4585</v>
      </c>
      <c r="G7" s="8">
        <v>7601</v>
      </c>
      <c r="H7" s="8">
        <v>10576.497205854401</v>
      </c>
      <c r="I7" s="5" t="s">
        <v>6</v>
      </c>
      <c r="J7" s="5" t="s">
        <v>58</v>
      </c>
      <c r="K7" s="5" t="s">
        <v>59</v>
      </c>
      <c r="L7" s="11">
        <v>6196</v>
      </c>
      <c r="M7" s="11">
        <v>10325</v>
      </c>
      <c r="N7" s="11">
        <v>13961</v>
      </c>
      <c r="O7" s="21">
        <f t="shared" si="1"/>
        <v>0.75757447216205154</v>
      </c>
      <c r="P7" s="22">
        <v>14738.298632693395</v>
      </c>
      <c r="Q7" s="22">
        <v>15490.202049861748</v>
      </c>
      <c r="R7" s="22">
        <v>16238.86861428151</v>
      </c>
      <c r="S7" s="22">
        <v>16984.312260210027</v>
      </c>
      <c r="T7" s="22">
        <v>17726.546861919371</v>
      </c>
      <c r="U7" s="22">
        <v>18465.586233954549</v>
      </c>
      <c r="V7" s="22">
        <v>19201.444131390643</v>
      </c>
      <c r="W7" s="22">
        <v>19934.134250088799</v>
      </c>
      <c r="X7" s="25">
        <f t="shared" si="2"/>
        <v>11165.358807229384</v>
      </c>
      <c r="Y7" s="25">
        <f t="shared" si="0"/>
        <v>11734.981641607543</v>
      </c>
      <c r="Z7" s="25">
        <f t="shared" si="0"/>
        <v>12302.15231897322</v>
      </c>
      <c r="AA7" s="25">
        <f t="shared" si="0"/>
        <v>12866.881395564071</v>
      </c>
      <c r="AB7" s="25">
        <f t="shared" si="0"/>
        <v>13429.179382174438</v>
      </c>
      <c r="AC7" s="25">
        <f t="shared" si="0"/>
        <v>13989.056744350963</v>
      </c>
      <c r="AD7" s="25">
        <f t="shared" si="0"/>
        <v>14546.523902587389</v>
      </c>
      <c r="AE7" s="25">
        <f t="shared" si="0"/>
        <v>15101.591232518495</v>
      </c>
    </row>
    <row r="8" spans="2:31" x14ac:dyDescent="0.35">
      <c r="B8" s="5" t="s">
        <v>7</v>
      </c>
      <c r="C8" s="6">
        <v>7170</v>
      </c>
      <c r="D8" s="6">
        <v>10533</v>
      </c>
      <c r="E8" s="6">
        <v>10709.319625085567</v>
      </c>
      <c r="F8" s="8">
        <v>44</v>
      </c>
      <c r="G8" s="8">
        <v>37621</v>
      </c>
      <c r="H8" s="8">
        <v>42120.333315781165</v>
      </c>
      <c r="I8" s="5" t="s">
        <v>7</v>
      </c>
      <c r="J8" s="5" t="s">
        <v>60</v>
      </c>
      <c r="K8" s="5" t="s">
        <v>59</v>
      </c>
      <c r="L8" s="11">
        <v>6573</v>
      </c>
      <c r="M8" s="11">
        <v>9156</v>
      </c>
      <c r="N8" s="11">
        <v>9372</v>
      </c>
      <c r="O8" s="21">
        <f t="shared" si="1"/>
        <v>4.4942737212741317</v>
      </c>
      <c r="P8" s="22">
        <v>10343.399241819634</v>
      </c>
      <c r="Q8" s="22">
        <v>11329.475358092428</v>
      </c>
      <c r="R8" s="22">
        <v>12311.721543187359</v>
      </c>
      <c r="S8" s="22">
        <v>13290.152672601955</v>
      </c>
      <c r="T8" s="22">
        <v>14264.783564057132</v>
      </c>
      <c r="U8" s="22">
        <v>15235.628977721608</v>
      </c>
      <c r="V8" s="22">
        <v>16202.703616435432</v>
      </c>
      <c r="W8" s="22">
        <v>17166.02212593265</v>
      </c>
      <c r="X8" s="25">
        <f t="shared" si="2"/>
        <v>46486.067401156761</v>
      </c>
      <c r="Y8" s="25">
        <f t="shared" si="0"/>
        <v>50917.763377697629</v>
      </c>
      <c r="Z8" s="25">
        <f t="shared" si="0"/>
        <v>55332.246595191551</v>
      </c>
      <c r="AA8" s="25">
        <f t="shared" si="0"/>
        <v>59729.583908196131</v>
      </c>
      <c r="AB8" s="25">
        <f t="shared" si="0"/>
        <v>64109.841911605115</v>
      </c>
      <c r="AC8" s="25">
        <f t="shared" si="0"/>
        <v>68473.086941656889</v>
      </c>
      <c r="AD8" s="25">
        <f t="shared" si="0"/>
        <v>72819.385076939099</v>
      </c>
      <c r="AE8" s="25">
        <f t="shared" si="0"/>
        <v>77148.802139389416</v>
      </c>
    </row>
    <row r="9" spans="2:31" x14ac:dyDescent="0.35">
      <c r="B9" s="5" t="s">
        <v>8</v>
      </c>
      <c r="C9" s="6">
        <v>22321</v>
      </c>
      <c r="D9" s="6">
        <v>14532</v>
      </c>
      <c r="E9" s="6">
        <v>23282</v>
      </c>
      <c r="F9" s="8">
        <v>0</v>
      </c>
      <c r="G9" s="8">
        <v>16843</v>
      </c>
      <c r="H9" s="8">
        <v>8354.2378107535169</v>
      </c>
      <c r="I9" s="5" t="s">
        <v>8</v>
      </c>
      <c r="J9" s="5" t="s">
        <v>61</v>
      </c>
      <c r="K9" s="5" t="s">
        <v>53</v>
      </c>
      <c r="L9" s="11">
        <v>18954</v>
      </c>
      <c r="M9" s="11">
        <v>9925</v>
      </c>
      <c r="N9" s="11">
        <v>16473</v>
      </c>
      <c r="O9" s="21">
        <f t="shared" si="1"/>
        <v>0.50714732050953182</v>
      </c>
      <c r="P9" s="22">
        <v>17904.544231236338</v>
      </c>
      <c r="Q9" s="22">
        <v>19298.449419817378</v>
      </c>
      <c r="R9" s="22">
        <v>20687.944694606515</v>
      </c>
      <c r="S9" s="22">
        <v>22073.04400729846</v>
      </c>
      <c r="T9" s="22">
        <v>23453.761265448797</v>
      </c>
      <c r="U9" s="22">
        <v>24830.110332613607</v>
      </c>
      <c r="V9" s="22">
        <v>26202.105028488688</v>
      </c>
      <c r="W9" s="22">
        <v>27569.759129048303</v>
      </c>
      <c r="X9" s="25">
        <f t="shared" si="2"/>
        <v>9080.241631815903</v>
      </c>
      <c r="Y9" s="25">
        <f t="shared" si="0"/>
        <v>9787.1569132491113</v>
      </c>
      <c r="Z9" s="25">
        <f t="shared" si="0"/>
        <v>10491.835718719078</v>
      </c>
      <c r="AA9" s="25">
        <f t="shared" si="0"/>
        <v>11194.285123790392</v>
      </c>
      <c r="AB9" s="25">
        <f t="shared" si="0"/>
        <v>11894.512181642604</v>
      </c>
      <c r="AC9" s="25">
        <f t="shared" si="0"/>
        <v>12592.523923141031</v>
      </c>
      <c r="AD9" s="25">
        <f t="shared" si="0"/>
        <v>13288.327356907368</v>
      </c>
      <c r="AE9" s="25">
        <f t="shared" si="0"/>
        <v>13981.92946939005</v>
      </c>
    </row>
    <row r="10" spans="2:31" x14ac:dyDescent="0.35">
      <c r="B10" s="5" t="s">
        <v>9</v>
      </c>
      <c r="C10" s="6">
        <v>711</v>
      </c>
      <c r="D10" s="6">
        <v>1666</v>
      </c>
      <c r="E10" s="6">
        <v>3734.493638676845</v>
      </c>
      <c r="F10" s="8">
        <v>7662</v>
      </c>
      <c r="G10" s="8">
        <v>5297</v>
      </c>
      <c r="H10" s="8">
        <v>2475.7981340118745</v>
      </c>
      <c r="I10" s="5" t="s">
        <v>9</v>
      </c>
      <c r="J10" s="5" t="s">
        <v>62</v>
      </c>
      <c r="K10" s="5" t="s">
        <v>53</v>
      </c>
      <c r="L10" s="11">
        <v>403</v>
      </c>
      <c r="M10" s="11">
        <v>768</v>
      </c>
      <c r="N10" s="11">
        <v>941</v>
      </c>
      <c r="O10" s="21">
        <f t="shared" si="1"/>
        <v>2.6310288352942344</v>
      </c>
      <c r="P10" s="22">
        <v>931.72056999999995</v>
      </c>
      <c r="Q10" s="22">
        <v>958.767363914984</v>
      </c>
      <c r="R10" s="22">
        <v>985.44625245046552</v>
      </c>
      <c r="S10" s="22">
        <v>1011.7622400579405</v>
      </c>
      <c r="T10" s="22">
        <v>1037.7202631156008</v>
      </c>
      <c r="U10" s="22">
        <v>1063.3251908543045</v>
      </c>
      <c r="V10" s="22">
        <v>1088.5818262709515</v>
      </c>
      <c r="W10" s="22">
        <v>1113.4949070294338</v>
      </c>
      <c r="X10" s="25">
        <f t="shared" si="2"/>
        <v>2451.3836861067803</v>
      </c>
      <c r="Y10" s="25">
        <f t="shared" si="0"/>
        <v>2522.5445807993638</v>
      </c>
      <c r="Z10" s="25">
        <f t="shared" si="0"/>
        <v>2592.7375058298162</v>
      </c>
      <c r="AA10" s="25">
        <f t="shared" si="0"/>
        <v>2661.9756280543288</v>
      </c>
      <c r="AB10" s="25">
        <f t="shared" si="0"/>
        <v>2730.2719352262657</v>
      </c>
      <c r="AC10" s="25">
        <f t="shared" si="0"/>
        <v>2797.6392384324204</v>
      </c>
      <c r="AD10" s="25">
        <f t="shared" si="0"/>
        <v>2864.090174496132</v>
      </c>
      <c r="AE10" s="25">
        <f t="shared" si="0"/>
        <v>2929.6372083477131</v>
      </c>
    </row>
    <row r="11" spans="2:31" x14ac:dyDescent="0.35">
      <c r="B11" s="5" t="s">
        <v>10</v>
      </c>
      <c r="C11" s="6">
        <v>1180</v>
      </c>
      <c r="D11" s="6">
        <v>2027</v>
      </c>
      <c r="E11" s="6">
        <v>1344.0062034739453</v>
      </c>
      <c r="F11" s="8">
        <v>384</v>
      </c>
      <c r="G11" s="8">
        <v>1029</v>
      </c>
      <c r="H11" s="8">
        <v>4353.7071960297762</v>
      </c>
      <c r="I11" s="5" t="s">
        <v>10</v>
      </c>
      <c r="J11" s="5" t="s">
        <v>63</v>
      </c>
      <c r="K11" s="13" t="s">
        <v>59</v>
      </c>
      <c r="L11" s="11">
        <v>322</v>
      </c>
      <c r="M11" s="11">
        <v>1195</v>
      </c>
      <c r="N11" s="11">
        <v>648.48014888337468</v>
      </c>
      <c r="O11" s="21">
        <f t="shared" si="1"/>
        <v>6.7137092839718751</v>
      </c>
      <c r="P11" s="22">
        <v>720.20033438044447</v>
      </c>
      <c r="Q11" s="22">
        <v>790.58760843023504</v>
      </c>
      <c r="R11" s="22">
        <v>860.67187382722307</v>
      </c>
      <c r="S11" s="22">
        <v>930.45443498680061</v>
      </c>
      <c r="T11" s="22">
        <v>999.93659070901003</v>
      </c>
      <c r="U11" s="22">
        <v>1069.1196342027176</v>
      </c>
      <c r="V11" s="22">
        <v>1138.0048531096827</v>
      </c>
      <c r="W11" s="22">
        <v>1206.5935295285235</v>
      </c>
      <c r="X11" s="25">
        <f t="shared" si="2"/>
        <v>4835.2156712496389</v>
      </c>
      <c r="Y11" s="25">
        <f t="shared" si="0"/>
        <v>5307.7753665111904</v>
      </c>
      <c r="Z11" s="25">
        <f t="shared" si="0"/>
        <v>5778.3007497672979</v>
      </c>
      <c r="AA11" s="25">
        <f t="shared" si="0"/>
        <v>6246.8005784836887</v>
      </c>
      <c r="AB11" s="25">
        <f t="shared" si="0"/>
        <v>6713.2835724262659</v>
      </c>
      <c r="AC11" s="25">
        <f t="shared" si="0"/>
        <v>7177.7584138234006</v>
      </c>
      <c r="AD11" s="25">
        <f t="shared" si="0"/>
        <v>7640.2337475275262</v>
      </c>
      <c r="AE11" s="25">
        <f t="shared" si="0"/>
        <v>8100.7181811760411</v>
      </c>
    </row>
    <row r="12" spans="2:31" x14ac:dyDescent="0.35">
      <c r="B12" s="5" t="s">
        <v>11</v>
      </c>
      <c r="C12" s="6">
        <v>4702</v>
      </c>
      <c r="D12" s="6">
        <v>6992</v>
      </c>
      <c r="E12" s="6">
        <v>6338.6323148627653</v>
      </c>
      <c r="F12" s="8">
        <v>1664</v>
      </c>
      <c r="G12" s="8">
        <v>3800</v>
      </c>
      <c r="H12" s="8">
        <v>33923.737441740035</v>
      </c>
      <c r="I12" s="5" t="s">
        <v>11</v>
      </c>
      <c r="J12" s="5" t="s">
        <v>64</v>
      </c>
      <c r="K12" s="5" t="s">
        <v>59</v>
      </c>
      <c r="L12" s="11">
        <v>3606</v>
      </c>
      <c r="M12" s="11">
        <v>4799</v>
      </c>
      <c r="N12" s="11">
        <v>3387.151734852408</v>
      </c>
      <c r="O12" s="21">
        <f t="shared" si="1"/>
        <v>10.015417110688793</v>
      </c>
      <c r="P12" s="22">
        <v>5427.8017348524072</v>
      </c>
      <c r="Q12" s="22">
        <v>7433.7924722152438</v>
      </c>
      <c r="R12" s="22">
        <v>9426.9739429153833</v>
      </c>
      <c r="S12" s="22">
        <v>11407.427940606894</v>
      </c>
      <c r="T12" s="22">
        <v>13375.235736649945</v>
      </c>
      <c r="U12" s="22">
        <v>15330.478083445914</v>
      </c>
      <c r="V12" s="22">
        <v>17273.235217751204</v>
      </c>
      <c r="W12" s="22">
        <v>19203.5868639699</v>
      </c>
      <c r="X12" s="25">
        <f t="shared" si="2"/>
        <v>54361.698368667116</v>
      </c>
      <c r="Y12" s="25">
        <f t="shared" si="0"/>
        <v>74452.532323534091</v>
      </c>
      <c r="Z12" s="25">
        <f t="shared" si="0"/>
        <v>94415.076129892128</v>
      </c>
      <c r="AA12" s="25">
        <f t="shared" si="0"/>
        <v>114250.14898530371</v>
      </c>
      <c r="AB12" s="25">
        <f t="shared" si="0"/>
        <v>133958.56485634009</v>
      </c>
      <c r="AC12" s="25">
        <f t="shared" si="0"/>
        <v>153541.13251198374</v>
      </c>
      <c r="AD12" s="25">
        <f t="shared" si="0"/>
        <v>172998.65555681766</v>
      </c>
      <c r="AE12" s="25">
        <f t="shared" si="0"/>
        <v>192331.93246400266</v>
      </c>
    </row>
    <row r="13" spans="2:31" x14ac:dyDescent="0.35">
      <c r="B13" s="5" t="s">
        <v>12</v>
      </c>
      <c r="C13" s="6">
        <v>452</v>
      </c>
      <c r="D13" s="6">
        <v>1541</v>
      </c>
      <c r="E13" s="6">
        <v>1868.196426622058</v>
      </c>
      <c r="F13" s="8">
        <v>841</v>
      </c>
      <c r="G13" s="8">
        <v>1215</v>
      </c>
      <c r="H13" s="8">
        <v>753.73246610801039</v>
      </c>
      <c r="I13" s="5" t="s">
        <v>12</v>
      </c>
      <c r="J13" s="5" t="s">
        <v>65</v>
      </c>
      <c r="K13" s="13" t="s">
        <v>53</v>
      </c>
      <c r="L13" s="11">
        <v>0</v>
      </c>
      <c r="M13" s="11">
        <v>747</v>
      </c>
      <c r="N13" s="11">
        <v>784.97097407084357</v>
      </c>
      <c r="O13" s="21">
        <f t="shared" si="1"/>
        <v>0.96020425086442251</v>
      </c>
      <c r="P13" s="22">
        <v>806.87967574957304</v>
      </c>
      <c r="Q13" s="22">
        <v>828.94853848703076</v>
      </c>
      <c r="R13" s="22">
        <v>850.85517944835749</v>
      </c>
      <c r="S13" s="22">
        <v>872.6007910785363</v>
      </c>
      <c r="T13" s="22">
        <v>894.18655705723461</v>
      </c>
      <c r="U13" s="22">
        <v>915.61365236323593</v>
      </c>
      <c r="V13" s="22">
        <v>936.88324333839705</v>
      </c>
      <c r="W13" s="22">
        <v>957.99648775113587</v>
      </c>
      <c r="X13" s="25">
        <f t="shared" si="2"/>
        <v>774.76929459084693</v>
      </c>
      <c r="Y13" s="25">
        <f t="shared" si="0"/>
        <v>795.9599104030973</v>
      </c>
      <c r="Z13" s="25">
        <f t="shared" si="0"/>
        <v>816.99476017632389</v>
      </c>
      <c r="AA13" s="25">
        <f t="shared" si="0"/>
        <v>837.87498890126847</v>
      </c>
      <c r="AB13" s="25">
        <f t="shared" si="0"/>
        <v>858.60173315217912</v>
      </c>
      <c r="AC13" s="25">
        <f t="shared" si="0"/>
        <v>879.1761211486787</v>
      </c>
      <c r="AD13" s="25">
        <f t="shared" si="0"/>
        <v>899.59927281717603</v>
      </c>
      <c r="AE13" s="25">
        <f t="shared" si="0"/>
        <v>919.87229985182739</v>
      </c>
    </row>
    <row r="14" spans="2:31" x14ac:dyDescent="0.35">
      <c r="B14" s="5" t="s">
        <v>13</v>
      </c>
      <c r="C14" s="6">
        <v>4571</v>
      </c>
      <c r="D14" s="6">
        <v>6962</v>
      </c>
      <c r="E14" s="6">
        <v>7791.8818117841056</v>
      </c>
      <c r="F14" s="8">
        <v>4923</v>
      </c>
      <c r="G14" s="8">
        <v>3307</v>
      </c>
      <c r="H14" s="8">
        <v>4346</v>
      </c>
      <c r="I14" s="5" t="s">
        <v>13</v>
      </c>
      <c r="J14" s="5" t="s">
        <v>66</v>
      </c>
      <c r="K14" s="5" t="s">
        <v>53</v>
      </c>
      <c r="L14" s="11">
        <v>3289</v>
      </c>
      <c r="M14" s="11">
        <v>5081</v>
      </c>
      <c r="N14" s="11">
        <v>5573</v>
      </c>
      <c r="O14" s="21">
        <f t="shared" si="1"/>
        <v>0.77983132962497759</v>
      </c>
      <c r="P14" s="22">
        <v>5597.6</v>
      </c>
      <c r="Q14" s="22">
        <v>5557.4020455768896</v>
      </c>
      <c r="R14" s="22">
        <v>5517.6909675082661</v>
      </c>
      <c r="S14" s="22">
        <v>5478.4608687631007</v>
      </c>
      <c r="T14" s="22">
        <v>5439.7059237350177</v>
      </c>
      <c r="U14" s="22">
        <v>5401.4203773772015</v>
      </c>
      <c r="V14" s="22">
        <v>5363.5985443477812</v>
      </c>
      <c r="W14" s="22">
        <v>5326.2348081655682</v>
      </c>
      <c r="X14" s="25">
        <f t="shared" si="2"/>
        <v>4365.183850708775</v>
      </c>
      <c r="Y14" s="25">
        <f t="shared" si="0"/>
        <v>4333.8362264627958</v>
      </c>
      <c r="Z14" s="25">
        <f t="shared" si="0"/>
        <v>4302.8682836517</v>
      </c>
      <c r="AA14" s="25">
        <f t="shared" si="0"/>
        <v>4272.2754235859384</v>
      </c>
      <c r="AB14" s="25">
        <f t="shared" si="0"/>
        <v>4242.053103275146</v>
      </c>
      <c r="AC14" s="25">
        <f t="shared" si="0"/>
        <v>4212.1968347535112</v>
      </c>
      <c r="AD14" s="25">
        <f t="shared" si="0"/>
        <v>4182.7021844133242</v>
      </c>
      <c r="AE14" s="25">
        <f t="shared" si="0"/>
        <v>4153.5647723465927</v>
      </c>
    </row>
    <row r="15" spans="2:31" x14ac:dyDescent="0.35">
      <c r="B15" s="5" t="s">
        <v>14</v>
      </c>
      <c r="C15" s="6">
        <v>23221</v>
      </c>
      <c r="D15" s="6">
        <v>29443</v>
      </c>
      <c r="E15" s="6">
        <v>35290.378273279566</v>
      </c>
      <c r="F15" s="8">
        <v>5120</v>
      </c>
      <c r="G15" s="8">
        <v>51343</v>
      </c>
      <c r="H15" s="8">
        <v>37741.054506651308</v>
      </c>
      <c r="I15" s="5" t="s">
        <v>14</v>
      </c>
      <c r="J15" s="5" t="s">
        <v>67</v>
      </c>
      <c r="K15" s="5" t="s">
        <v>53</v>
      </c>
      <c r="L15" s="11">
        <v>8780</v>
      </c>
      <c r="M15" s="11">
        <v>15163</v>
      </c>
      <c r="N15" s="11">
        <v>19225.233489577877</v>
      </c>
      <c r="O15" s="21">
        <f t="shared" si="1"/>
        <v>1.9630999294292564</v>
      </c>
      <c r="P15" s="22">
        <v>19907.283052267729</v>
      </c>
      <c r="Q15" s="22">
        <v>20411.639900859773</v>
      </c>
      <c r="R15" s="22">
        <v>20911.397300522138</v>
      </c>
      <c r="S15" s="22">
        <v>21406.597195625196</v>
      </c>
      <c r="T15" s="22">
        <v>21897.281148030404</v>
      </c>
      <c r="U15" s="22">
        <v>22383.490340578577</v>
      </c>
      <c r="V15" s="22">
        <v>22865.265580546329</v>
      </c>
      <c r="W15" s="22">
        <v>23342.647303071022</v>
      </c>
      <c r="X15" s="25">
        <f t="shared" si="2"/>
        <v>39079.985955035008</v>
      </c>
      <c r="Y15" s="25">
        <f t="shared" si="0"/>
        <v>40070.088848913212</v>
      </c>
      <c r="Z15" s="25">
        <f t="shared" si="0"/>
        <v>41051.162564922153</v>
      </c>
      <c r="AA15" s="25">
        <f t="shared" si="0"/>
        <v>42023.289444052338</v>
      </c>
      <c r="AB15" s="25">
        <f t="shared" si="0"/>
        <v>42986.551076391072</v>
      </c>
      <c r="AC15" s="25">
        <f t="shared" si="0"/>
        <v>43941.028307970249</v>
      </c>
      <c r="AD15" s="25">
        <f t="shared" si="0"/>
        <v>44886.801247551703</v>
      </c>
      <c r="AE15" s="25">
        <f t="shared" si="0"/>
        <v>45823.949273350743</v>
      </c>
    </row>
    <row r="16" spans="2:31" x14ac:dyDescent="0.35">
      <c r="B16" s="5" t="s">
        <v>15</v>
      </c>
      <c r="C16" s="6">
        <v>68069</v>
      </c>
      <c r="D16" s="6">
        <v>141290</v>
      </c>
      <c r="E16" s="6">
        <v>141402.43390237587</v>
      </c>
      <c r="F16" s="8">
        <v>3066</v>
      </c>
      <c r="G16" s="8">
        <v>85872</v>
      </c>
      <c r="H16" s="8">
        <v>15905.456486995652</v>
      </c>
      <c r="I16" s="5" t="s">
        <v>15</v>
      </c>
      <c r="J16" s="5" t="s">
        <v>68</v>
      </c>
      <c r="K16" s="13" t="s">
        <v>59</v>
      </c>
      <c r="L16" s="11">
        <v>59813</v>
      </c>
      <c r="M16" s="11">
        <v>103785</v>
      </c>
      <c r="N16" s="11">
        <v>115316</v>
      </c>
      <c r="O16" s="21">
        <f t="shared" si="1"/>
        <v>0.13792931151787829</v>
      </c>
      <c r="P16" s="22">
        <v>131840.90077556562</v>
      </c>
      <c r="Q16" s="22">
        <v>148112.54173499221</v>
      </c>
      <c r="R16" s="22">
        <v>164314.13525938793</v>
      </c>
      <c r="S16" s="22">
        <v>180445.98289443995</v>
      </c>
      <c r="T16" s="22">
        <v>196508.38488771793</v>
      </c>
      <c r="U16" s="22">
        <v>212501.64019426226</v>
      </c>
      <c r="V16" s="22">
        <v>228426.04648214826</v>
      </c>
      <c r="W16" s="22">
        <v>244281.90013802639</v>
      </c>
      <c r="X16" s="25">
        <f t="shared" si="2"/>
        <v>18184.724673870671</v>
      </c>
      <c r="Y16" s="25">
        <f t="shared" si="0"/>
        <v>20429.06090867049</v>
      </c>
      <c r="Z16" s="25">
        <f t="shared" si="0"/>
        <v>22663.735548982906</v>
      </c>
      <c r="AA16" s="25">
        <f t="shared" si="0"/>
        <v>24888.790186796945</v>
      </c>
      <c r="AB16" s="25">
        <f t="shared" si="0"/>
        <v>27104.266235053172</v>
      </c>
      <c r="AC16" s="25">
        <f t="shared" si="0"/>
        <v>29310.204928414489</v>
      </c>
      <c r="AD16" s="25">
        <f t="shared" si="0"/>
        <v>31506.647324033576</v>
      </c>
      <c r="AE16" s="25">
        <f t="shared" si="0"/>
        <v>33693.634302317078</v>
      </c>
    </row>
    <row r="17" spans="2:31" x14ac:dyDescent="0.35">
      <c r="B17" s="5" t="s">
        <v>16</v>
      </c>
      <c r="C17" s="6">
        <v>0</v>
      </c>
      <c r="D17" s="6">
        <v>662</v>
      </c>
      <c r="E17" s="6">
        <v>1781.1162448119487</v>
      </c>
      <c r="F17" s="8">
        <v>6</v>
      </c>
      <c r="G17" s="8">
        <v>1994</v>
      </c>
      <c r="H17" s="8">
        <v>2902</v>
      </c>
      <c r="I17" s="5" t="s">
        <v>16</v>
      </c>
      <c r="J17" s="5" t="s">
        <v>69</v>
      </c>
      <c r="K17" s="13" t="s">
        <v>57</v>
      </c>
      <c r="L17" s="11">
        <v>0</v>
      </c>
      <c r="M17" s="11">
        <v>355</v>
      </c>
      <c r="N17" s="11">
        <v>1375</v>
      </c>
      <c r="O17" s="21">
        <f t="shared" si="1"/>
        <v>2.1105454545454547</v>
      </c>
      <c r="P17" s="22">
        <v>1999.051210566663</v>
      </c>
      <c r="Q17" s="22">
        <v>2644.1163074554106</v>
      </c>
      <c r="R17" s="22">
        <v>3280.1994811310656</v>
      </c>
      <c r="S17" s="22">
        <v>3907.4257964049089</v>
      </c>
      <c r="T17" s="22">
        <v>4525.9185766786522</v>
      </c>
      <c r="U17" s="22">
        <v>5135.7994281919264</v>
      </c>
      <c r="V17" s="22">
        <v>5737.1882639321439</v>
      </c>
      <c r="W17" s="22">
        <v>6330.2033272114386</v>
      </c>
      <c r="X17" s="25">
        <f t="shared" si="2"/>
        <v>4219.0884458650589</v>
      </c>
      <c r="Y17" s="25">
        <f t="shared" si="0"/>
        <v>5580.5276539895285</v>
      </c>
      <c r="Z17" s="25">
        <f t="shared" si="0"/>
        <v>6923.0101049035293</v>
      </c>
      <c r="AA17" s="25">
        <f t="shared" si="0"/>
        <v>8246.7997535760333</v>
      </c>
      <c r="AB17" s="25">
        <f t="shared" si="0"/>
        <v>9552.1568796519641</v>
      </c>
      <c r="AC17" s="25">
        <f t="shared" si="0"/>
        <v>10839.338138627616</v>
      </c>
      <c r="AD17" s="25">
        <f t="shared" si="0"/>
        <v>12108.596612313515</v>
      </c>
      <c r="AE17" s="25">
        <f t="shared" si="0"/>
        <v>13360.181858594615</v>
      </c>
    </row>
    <row r="18" spans="2:31" x14ac:dyDescent="0.35">
      <c r="B18" s="5" t="s">
        <v>17</v>
      </c>
      <c r="C18" s="6">
        <v>4434</v>
      </c>
      <c r="D18" s="6">
        <v>6397</v>
      </c>
      <c r="E18" s="6">
        <v>6179.6252958362393</v>
      </c>
      <c r="F18" s="8">
        <v>0</v>
      </c>
      <c r="G18" s="8">
        <v>5483</v>
      </c>
      <c r="H18" s="8">
        <v>7859.4639605140483</v>
      </c>
      <c r="I18" s="5" t="s">
        <v>17</v>
      </c>
      <c r="J18" s="5" t="s">
        <v>70</v>
      </c>
      <c r="K18" s="5" t="s">
        <v>59</v>
      </c>
      <c r="L18" s="11">
        <v>4262</v>
      </c>
      <c r="M18" s="11">
        <v>4971</v>
      </c>
      <c r="N18" s="11">
        <v>5007</v>
      </c>
      <c r="O18" s="21">
        <f t="shared" si="1"/>
        <v>1.5696952187964945</v>
      </c>
      <c r="P18" s="22">
        <v>5198.7</v>
      </c>
      <c r="Q18" s="22">
        <v>5368.699814260036</v>
      </c>
      <c r="R18" s="22">
        <v>5537.9900227445505</v>
      </c>
      <c r="S18" s="22">
        <v>5706.5735874588781</v>
      </c>
      <c r="T18" s="22">
        <v>5874.4534580444797</v>
      </c>
      <c r="U18" s="22">
        <v>6041.6325718305534</v>
      </c>
      <c r="V18" s="22">
        <v>6208.1138538854248</v>
      </c>
      <c r="W18" s="22">
        <v>6373.9002170677286</v>
      </c>
      <c r="X18" s="25">
        <f t="shared" si="2"/>
        <v>8160.3745339573361</v>
      </c>
      <c r="Y18" s="25">
        <f t="shared" si="0"/>
        <v>8427.2224295976066</v>
      </c>
      <c r="Z18" s="25">
        <f t="shared" si="0"/>
        <v>8692.9564604448115</v>
      </c>
      <c r="AA18" s="25">
        <f t="shared" si="0"/>
        <v>8957.5812759445598</v>
      </c>
      <c r="AB18" s="25">
        <f t="shared" si="0"/>
        <v>9221.1015061349535</v>
      </c>
      <c r="AC18" s="25">
        <f t="shared" si="0"/>
        <v>9483.5217617275885</v>
      </c>
      <c r="AD18" s="25">
        <f t="shared" si="0"/>
        <v>9744.8466341882304</v>
      </c>
      <c r="AE18" s="25">
        <f t="shared" si="0"/>
        <v>10005.080695817152</v>
      </c>
    </row>
    <row r="19" spans="2:31" x14ac:dyDescent="0.35">
      <c r="B19" s="5" t="s">
        <v>18</v>
      </c>
      <c r="C19" s="6">
        <v>3735</v>
      </c>
      <c r="D19" s="6">
        <v>5570</v>
      </c>
      <c r="E19" s="6">
        <v>6208.1530330247342</v>
      </c>
      <c r="F19" s="8">
        <v>4661</v>
      </c>
      <c r="G19" s="8">
        <v>12031</v>
      </c>
      <c r="H19" s="8">
        <v>10642.058449633827</v>
      </c>
      <c r="I19" s="5" t="s">
        <v>18</v>
      </c>
      <c r="J19" s="5" t="s">
        <v>71</v>
      </c>
      <c r="K19" s="5" t="s">
        <v>53</v>
      </c>
      <c r="L19" s="11">
        <v>3735</v>
      </c>
      <c r="M19" s="11">
        <v>4706</v>
      </c>
      <c r="N19" s="11">
        <v>5242</v>
      </c>
      <c r="O19" s="21">
        <f t="shared" si="1"/>
        <v>2.0301523177477732</v>
      </c>
      <c r="P19" s="22">
        <v>5315.6006161652767</v>
      </c>
      <c r="Q19" s="22">
        <v>5375.4539127486942</v>
      </c>
      <c r="R19" s="22">
        <v>5434.7887266252092</v>
      </c>
      <c r="S19" s="22">
        <v>5493.6095491818078</v>
      </c>
      <c r="T19" s="22">
        <v>5551.9208328985724</v>
      </c>
      <c r="U19" s="22">
        <v>5609.726991685714</v>
      </c>
      <c r="V19" s="22">
        <v>5667.0324012176861</v>
      </c>
      <c r="W19" s="22">
        <v>5723.8413992644046</v>
      </c>
      <c r="X19" s="25">
        <f t="shared" si="2"/>
        <v>10791.478911129429</v>
      </c>
      <c r="Y19" s="25">
        <f t="shared" si="2"/>
        <v>10912.990219913097</v>
      </c>
      <c r="Z19" s="25">
        <f t="shared" si="2"/>
        <v>11033.448929827637</v>
      </c>
      <c r="AA19" s="25">
        <f t="shared" si="2"/>
        <v>11152.864159072746</v>
      </c>
      <c r="AB19" s="25">
        <f t="shared" si="2"/>
        <v>11271.244946861183</v>
      </c>
      <c r="AC19" s="25">
        <f t="shared" si="2"/>
        <v>11388.600254102996</v>
      </c>
      <c r="AD19" s="25">
        <f t="shared" si="2"/>
        <v>11504.938964083814</v>
      </c>
      <c r="AE19" s="25">
        <f t="shared" si="2"/>
        <v>11620.269883137287</v>
      </c>
    </row>
    <row r="20" spans="2:31" x14ac:dyDescent="0.35">
      <c r="B20" s="5" t="s">
        <v>19</v>
      </c>
      <c r="C20" s="6">
        <v>6925</v>
      </c>
      <c r="D20" s="6">
        <v>108826</v>
      </c>
      <c r="E20" s="6">
        <v>229225</v>
      </c>
      <c r="F20" s="8">
        <v>511</v>
      </c>
      <c r="G20" s="8">
        <v>160072</v>
      </c>
      <c r="H20" s="8">
        <v>188294.14769244258</v>
      </c>
      <c r="I20" s="5" t="s">
        <v>19</v>
      </c>
      <c r="J20" s="5" t="s">
        <v>72</v>
      </c>
      <c r="K20" s="13" t="s">
        <v>59</v>
      </c>
      <c r="L20" s="11">
        <v>0</v>
      </c>
      <c r="M20" s="11">
        <v>61772</v>
      </c>
      <c r="N20" s="11">
        <v>131262</v>
      </c>
      <c r="O20" s="21">
        <f t="shared" si="1"/>
        <v>1.4344909242007784</v>
      </c>
      <c r="P20" s="22">
        <v>134997.13919666214</v>
      </c>
      <c r="Q20" s="22">
        <v>138508.89293361406</v>
      </c>
      <c r="R20" s="22">
        <v>142005.5289979018</v>
      </c>
      <c r="S20" s="22">
        <v>145487.11246926725</v>
      </c>
      <c r="T20" s="22">
        <v>148953.70814729194</v>
      </c>
      <c r="U20" s="22">
        <v>152405.38055260305</v>
      </c>
      <c r="V20" s="22">
        <v>155842.19392807435</v>
      </c>
      <c r="W20" s="22">
        <v>159264.21224002182</v>
      </c>
      <c r="X20" s="25">
        <f t="shared" si="2"/>
        <v>193652.17097068101</v>
      </c>
      <c r="Y20" s="25">
        <f t="shared" si="2"/>
        <v>198689.7498343667</v>
      </c>
      <c r="Z20" s="25">
        <f t="shared" si="2"/>
        <v>203705.64253382059</v>
      </c>
      <c r="AA20" s="25">
        <f t="shared" si="2"/>
        <v>208699.94242534175</v>
      </c>
      <c r="AB20" s="25">
        <f t="shared" si="2"/>
        <v>213672.74246334183</v>
      </c>
      <c r="AC20" s="25">
        <f t="shared" si="2"/>
        <v>218624.13520207489</v>
      </c>
      <c r="AD20" s="25">
        <f t="shared" si="2"/>
        <v>223554.21279736032</v>
      </c>
      <c r="AE20" s="25">
        <f t="shared" si="2"/>
        <v>228463.06700829783</v>
      </c>
    </row>
    <row r="21" spans="2:31" x14ac:dyDescent="0.35">
      <c r="B21" s="5" t="s">
        <v>20</v>
      </c>
      <c r="C21" s="6">
        <v>437</v>
      </c>
      <c r="D21" s="6">
        <v>8562</v>
      </c>
      <c r="E21" s="6">
        <v>7467.6319189802698</v>
      </c>
      <c r="F21" s="8">
        <v>1295</v>
      </c>
      <c r="G21" s="8">
        <v>4369</v>
      </c>
      <c r="H21" s="8">
        <v>6195.3046970490668</v>
      </c>
      <c r="I21" s="5" t="s">
        <v>20</v>
      </c>
      <c r="J21" s="5" t="s">
        <v>73</v>
      </c>
      <c r="K21" s="5" t="s">
        <v>57</v>
      </c>
      <c r="L21" s="11">
        <v>0</v>
      </c>
      <c r="M21" s="11">
        <v>6085</v>
      </c>
      <c r="N21" s="11">
        <v>4751.5998777719578</v>
      </c>
      <c r="O21" s="21">
        <f t="shared" si="1"/>
        <v>1.303835519912099</v>
      </c>
      <c r="P21" s="22">
        <v>4812.7998777719577</v>
      </c>
      <c r="Q21" s="22">
        <v>4821.111967027211</v>
      </c>
      <c r="R21" s="22">
        <v>4829.3327146422962</v>
      </c>
      <c r="S21" s="22">
        <v>4837.4631243715021</v>
      </c>
      <c r="T21" s="22">
        <v>4845.5041889388485</v>
      </c>
      <c r="U21" s="22">
        <v>4853.4568901593011</v>
      </c>
      <c r="V21" s="22">
        <v>4861.3221990586499</v>
      </c>
      <c r="W21" s="22">
        <v>4869.1010759920709</v>
      </c>
      <c r="X21" s="25">
        <f t="shared" si="2"/>
        <v>6275.0994308676873</v>
      </c>
      <c r="Y21" s="25">
        <f t="shared" si="2"/>
        <v>6285.9370280833664</v>
      </c>
      <c r="Z21" s="25">
        <f t="shared" si="2"/>
        <v>6296.6555308241468</v>
      </c>
      <c r="AA21" s="25">
        <f t="shared" si="2"/>
        <v>6307.2562478205245</v>
      </c>
      <c r="AB21" s="25">
        <f t="shared" si="2"/>
        <v>6317.7404734213369</v>
      </c>
      <c r="AC21" s="25">
        <f t="shared" si="2"/>
        <v>6328.1094877518117</v>
      </c>
      <c r="AD21" s="25">
        <f t="shared" si="2"/>
        <v>6338.364556869863</v>
      </c>
      <c r="AE21" s="25">
        <f t="shared" si="2"/>
        <v>6348.5069329206826</v>
      </c>
    </row>
    <row r="22" spans="2:31" x14ac:dyDescent="0.35">
      <c r="B22" s="5" t="s">
        <v>21</v>
      </c>
      <c r="C22" s="6">
        <v>2979</v>
      </c>
      <c r="D22" s="6">
        <v>2284</v>
      </c>
      <c r="E22" s="6">
        <v>2205.3432721712538</v>
      </c>
      <c r="F22" s="8">
        <v>1007</v>
      </c>
      <c r="G22" s="8">
        <v>2625</v>
      </c>
      <c r="H22" s="8">
        <v>7047.434250764526</v>
      </c>
      <c r="I22" s="5" t="s">
        <v>21</v>
      </c>
      <c r="J22" s="5" t="s">
        <v>74</v>
      </c>
      <c r="K22" s="13" t="s">
        <v>59</v>
      </c>
      <c r="L22" s="11">
        <v>2386</v>
      </c>
      <c r="M22" s="11">
        <v>1498</v>
      </c>
      <c r="N22" s="11">
        <v>1429.4036697247707</v>
      </c>
      <c r="O22" s="21">
        <f t="shared" si="1"/>
        <v>4.9303317180663866</v>
      </c>
      <c r="P22" s="22">
        <v>1501.1577622635498</v>
      </c>
      <c r="Q22" s="22">
        <v>1570.3454606994092</v>
      </c>
      <c r="R22" s="22">
        <v>1639.2353145095665</v>
      </c>
      <c r="S22" s="22">
        <v>1707.8286058789049</v>
      </c>
      <c r="T22" s="22">
        <v>1776.1266114726584</v>
      </c>
      <c r="U22" s="22">
        <v>1844.1306024601718</v>
      </c>
      <c r="V22" s="22">
        <v>1911.8418445385605</v>
      </c>
      <c r="W22" s="22">
        <v>1979.2615979562684</v>
      </c>
      <c r="X22" s="25">
        <f t="shared" si="2"/>
        <v>7401.2057291095398</v>
      </c>
      <c r="Y22" s="25">
        <f t="shared" si="2"/>
        <v>7742.3240332078694</v>
      </c>
      <c r="Z22" s="25">
        <f t="shared" si="2"/>
        <v>8081.9738645010448</v>
      </c>
      <c r="AA22" s="25">
        <f t="shared" si="2"/>
        <v>8420.1615445858624</v>
      </c>
      <c r="AB22" s="25">
        <f t="shared" si="2"/>
        <v>8756.8933678454214</v>
      </c>
      <c r="AC22" s="25">
        <f t="shared" si="2"/>
        <v>9092.1756015662595</v>
      </c>
      <c r="AD22" s="25">
        <f t="shared" si="2"/>
        <v>9426.0144860550099</v>
      </c>
      <c r="AE22" s="25">
        <f t="shared" si="2"/>
        <v>9758.4162347545498</v>
      </c>
    </row>
    <row r="23" spans="2:31" x14ac:dyDescent="0.35">
      <c r="B23" s="5" t="s">
        <v>22</v>
      </c>
      <c r="C23" s="6">
        <v>51421</v>
      </c>
      <c r="D23" s="6">
        <v>143265</v>
      </c>
      <c r="E23" s="6">
        <v>160786.9969390177</v>
      </c>
      <c r="F23" s="8">
        <v>24391</v>
      </c>
      <c r="G23" s="8">
        <v>62817</v>
      </c>
      <c r="H23" s="8">
        <v>77239.612875768318</v>
      </c>
      <c r="I23" s="5" t="s">
        <v>22</v>
      </c>
      <c r="J23" s="5" t="s">
        <v>75</v>
      </c>
      <c r="K23" s="5" t="s">
        <v>53</v>
      </c>
      <c r="L23" s="11">
        <v>37404</v>
      </c>
      <c r="M23" s="11">
        <v>125024</v>
      </c>
      <c r="N23" s="11">
        <v>124204.27697797566</v>
      </c>
      <c r="O23" s="21">
        <f t="shared" si="1"/>
        <v>0.62187562904508287</v>
      </c>
      <c r="P23" s="22">
        <v>138466.27697797565</v>
      </c>
      <c r="Q23" s="22">
        <v>152618.52974571355</v>
      </c>
      <c r="R23" s="22">
        <v>166759.56555430853</v>
      </c>
      <c r="S23" s="22">
        <v>180889.39329423016</v>
      </c>
      <c r="T23" s="22">
        <v>195008.0218489015</v>
      </c>
      <c r="U23" s="22">
        <v>209115.46009470464</v>
      </c>
      <c r="V23" s="22">
        <v>223211.71690098636</v>
      </c>
      <c r="W23" s="22">
        <v>237296.80113006366</v>
      </c>
      <c r="X23" s="25">
        <f t="shared" si="2"/>
        <v>86108.803097209282</v>
      </c>
      <c r="Y23" s="25">
        <f t="shared" si="2"/>
        <v>94909.744189551304</v>
      </c>
      <c r="Z23" s="25">
        <f t="shared" si="2"/>
        <v>103703.70972837035</v>
      </c>
      <c r="AA23" s="25">
        <f t="shared" si="2"/>
        <v>112490.70524243277</v>
      </c>
      <c r="AB23" s="25">
        <f t="shared" si="2"/>
        <v>121270.73625612288</v>
      </c>
      <c r="AC23" s="25">
        <f t="shared" si="2"/>
        <v>130043.80828944637</v>
      </c>
      <c r="AD23" s="25">
        <f t="shared" si="2"/>
        <v>138809.92685803384</v>
      </c>
      <c r="AE23" s="25">
        <f t="shared" si="2"/>
        <v>147569.09747314427</v>
      </c>
    </row>
    <row r="24" spans="2:31" x14ac:dyDescent="0.35">
      <c r="B24" s="5" t="s">
        <v>23</v>
      </c>
      <c r="C24" s="6">
        <v>8275</v>
      </c>
      <c r="D24" s="6">
        <v>11176</v>
      </c>
      <c r="E24" s="6">
        <v>6597.4100776542728</v>
      </c>
      <c r="F24" s="8">
        <v>6700</v>
      </c>
      <c r="G24" s="8">
        <v>18091</v>
      </c>
      <c r="H24" s="8">
        <v>18091</v>
      </c>
      <c r="I24" s="5" t="s">
        <v>23</v>
      </c>
      <c r="J24" s="5" t="s">
        <v>76</v>
      </c>
      <c r="K24" s="13" t="s">
        <v>59</v>
      </c>
      <c r="L24" s="11">
        <v>5789</v>
      </c>
      <c r="M24" s="11">
        <v>7195</v>
      </c>
      <c r="N24" s="11">
        <v>5018.9871797472533</v>
      </c>
      <c r="O24" s="21">
        <f t="shared" si="1"/>
        <v>3.6045120961857147</v>
      </c>
      <c r="P24" s="22">
        <v>5663.8576922690136</v>
      </c>
      <c r="Q24" s="22">
        <v>6298.025473861383</v>
      </c>
      <c r="R24" s="22">
        <v>6929.4632402948309</v>
      </c>
      <c r="S24" s="22">
        <v>7558.182743952535</v>
      </c>
      <c r="T24" s="22">
        <v>8184.1956866250912</v>
      </c>
      <c r="U24" s="22">
        <v>8807.5137197283129</v>
      </c>
      <c r="V24" s="22">
        <v>9428.148444520084</v>
      </c>
      <c r="W24" s="22">
        <v>10046.111412316284</v>
      </c>
      <c r="X24" s="25">
        <f t="shared" si="2"/>
        <v>20415.443562858167</v>
      </c>
      <c r="Y24" s="25">
        <f t="shared" si="2"/>
        <v>22701.309002619124</v>
      </c>
      <c r="Z24" s="25">
        <f t="shared" si="2"/>
        <v>24977.334069716977</v>
      </c>
      <c r="AA24" s="25">
        <f t="shared" si="2"/>
        <v>27243.56112575905</v>
      </c>
      <c r="AB24" s="25">
        <f t="shared" si="2"/>
        <v>29500.032349991092</v>
      </c>
      <c r="AC24" s="25">
        <f t="shared" si="2"/>
        <v>31746.789740082342</v>
      </c>
      <c r="AD24" s="25">
        <f t="shared" si="2"/>
        <v>33983.875112907175</v>
      </c>
      <c r="AE24" s="25">
        <f t="shared" si="2"/>
        <v>36211.330105323403</v>
      </c>
    </row>
    <row r="25" spans="2:31" x14ac:dyDescent="0.35">
      <c r="B25" s="5" t="s">
        <v>24</v>
      </c>
      <c r="C25" s="6">
        <v>1234</v>
      </c>
      <c r="D25" s="6">
        <v>2097</v>
      </c>
      <c r="E25" s="6">
        <v>2711.7219264892269</v>
      </c>
      <c r="F25" s="8">
        <v>496</v>
      </c>
      <c r="G25" s="8">
        <v>6168</v>
      </c>
      <c r="H25" s="8">
        <v>6478.7930291508237</v>
      </c>
      <c r="I25" s="5" t="s">
        <v>24</v>
      </c>
      <c r="J25" s="5" t="s">
        <v>77</v>
      </c>
      <c r="K25" s="5" t="s">
        <v>59</v>
      </c>
      <c r="L25" s="11">
        <v>727</v>
      </c>
      <c r="M25" s="11">
        <v>1264</v>
      </c>
      <c r="N25" s="11">
        <v>1879</v>
      </c>
      <c r="O25" s="21">
        <f t="shared" si="1"/>
        <v>3.4480005477119873</v>
      </c>
      <c r="P25" s="22">
        <v>2075.4785999999999</v>
      </c>
      <c r="Q25" s="22">
        <v>2271.1560221181476</v>
      </c>
      <c r="R25" s="22">
        <v>2465.4379799167727</v>
      </c>
      <c r="S25" s="22">
        <v>2658.3344250839441</v>
      </c>
      <c r="T25" s="22">
        <v>2849.855238337736</v>
      </c>
      <c r="U25" s="22">
        <v>3040.0102299323471</v>
      </c>
      <c r="V25" s="22">
        <v>3228.8091401606102</v>
      </c>
      <c r="W25" s="22">
        <v>3416.2616398529185</v>
      </c>
      <c r="X25" s="25">
        <f t="shared" si="2"/>
        <v>7156.251349564508</v>
      </c>
      <c r="Y25" s="25">
        <f t="shared" si="2"/>
        <v>7830.9472082027514</v>
      </c>
      <c r="Z25" s="25">
        <f t="shared" si="2"/>
        <v>8500.8315051029676</v>
      </c>
      <c r="AA25" s="25">
        <f t="shared" si="2"/>
        <v>9165.9385536910704</v>
      </c>
      <c r="AB25" s="25">
        <f t="shared" si="2"/>
        <v>9826.3024226883899</v>
      </c>
      <c r="AC25" s="25">
        <f t="shared" si="2"/>
        <v>10481.956937856778</v>
      </c>
      <c r="AD25" s="25">
        <f t="shared" si="2"/>
        <v>11132.935683731255</v>
      </c>
      <c r="AE25" s="25">
        <f t="shared" si="2"/>
        <v>11779.272005340315</v>
      </c>
    </row>
    <row r="26" spans="2:31" x14ac:dyDescent="0.35">
      <c r="B26" s="5" t="s">
        <v>25</v>
      </c>
      <c r="C26" s="6">
        <v>52221</v>
      </c>
      <c r="D26" s="6">
        <v>72002</v>
      </c>
      <c r="E26" s="6">
        <v>132496</v>
      </c>
      <c r="F26" s="8">
        <v>13628</v>
      </c>
      <c r="G26" s="8">
        <v>92554</v>
      </c>
      <c r="H26" s="8">
        <v>153549.56215030918</v>
      </c>
      <c r="I26" s="5" t="s">
        <v>25</v>
      </c>
      <c r="J26" s="5" t="s">
        <v>78</v>
      </c>
      <c r="K26" s="5" t="s">
        <v>53</v>
      </c>
      <c r="L26" s="11">
        <v>40292</v>
      </c>
      <c r="M26" s="11">
        <v>59901</v>
      </c>
      <c r="N26" s="11">
        <v>109659</v>
      </c>
      <c r="O26" s="21">
        <f t="shared" si="1"/>
        <v>1.4002458726626104</v>
      </c>
      <c r="P26" s="22">
        <v>109501.27175974711</v>
      </c>
      <c r="Q26" s="22">
        <v>108400.05716950711</v>
      </c>
      <c r="R26" s="22">
        <v>107310.07397869838</v>
      </c>
      <c r="S26" s="22">
        <v>106231.20763713759</v>
      </c>
      <c r="T26" s="22">
        <v>105163.34476295038</v>
      </c>
      <c r="U26" s="22">
        <v>104106.37313065563</v>
      </c>
      <c r="V26" s="22">
        <v>103060.18165937132</v>
      </c>
      <c r="W26" s="22">
        <v>102024.66040114059</v>
      </c>
      <c r="X26" s="25">
        <f t="shared" si="2"/>
        <v>153328.70383289273</v>
      </c>
      <c r="Y26" s="25">
        <f t="shared" si="2"/>
        <v>151786.73264799334</v>
      </c>
      <c r="Z26" s="25">
        <f t="shared" si="2"/>
        <v>150260.48818379178</v>
      </c>
      <c r="AA26" s="25">
        <f t="shared" si="2"/>
        <v>148749.81004186667</v>
      </c>
      <c r="AB26" s="25">
        <f t="shared" si="2"/>
        <v>147254.53945971641</v>
      </c>
      <c r="AC26" s="25">
        <f t="shared" si="2"/>
        <v>145774.51929407421</v>
      </c>
      <c r="AD26" s="25">
        <f t="shared" si="2"/>
        <v>144309.59400439353</v>
      </c>
      <c r="AE26" s="25">
        <f t="shared" si="2"/>
        <v>142859.60963650155</v>
      </c>
    </row>
    <row r="27" spans="2:31" x14ac:dyDescent="0.35">
      <c r="B27" s="5" t="s">
        <v>26</v>
      </c>
      <c r="C27" s="6">
        <v>0</v>
      </c>
      <c r="D27" s="6">
        <v>11621</v>
      </c>
      <c r="E27" s="6">
        <v>5301.8248879810226</v>
      </c>
      <c r="F27" s="8">
        <v>216</v>
      </c>
      <c r="G27" s="8">
        <v>25051</v>
      </c>
      <c r="H27" s="8">
        <v>23691.187434106483</v>
      </c>
      <c r="I27" s="5" t="s">
        <v>26</v>
      </c>
      <c r="J27" s="5" t="s">
        <v>79</v>
      </c>
      <c r="K27" s="13" t="s">
        <v>53</v>
      </c>
      <c r="L27" s="11">
        <v>0</v>
      </c>
      <c r="M27" s="11">
        <v>6866</v>
      </c>
      <c r="N27" s="12">
        <v>1235.4801331049025</v>
      </c>
      <c r="O27" s="21">
        <f t="shared" si="1"/>
        <v>19.175692752394024</v>
      </c>
      <c r="P27" s="22">
        <v>1484.5429275784143</v>
      </c>
      <c r="Q27" s="22">
        <v>1732.2804853144246</v>
      </c>
      <c r="R27" s="22">
        <v>1978.196996487756</v>
      </c>
      <c r="S27" s="22">
        <v>2222.305847080791</v>
      </c>
      <c r="T27" s="22">
        <v>2464.6203246794589</v>
      </c>
      <c r="U27" s="22">
        <v>2705.1536191965183</v>
      </c>
      <c r="V27" s="22">
        <v>2943.9188235895244</v>
      </c>
      <c r="W27" s="22">
        <v>3180.9289345735183</v>
      </c>
      <c r="X27" s="25">
        <f t="shared" si="2"/>
        <v>28467.139056983204</v>
      </c>
      <c r="Y27" s="25">
        <f t="shared" si="2"/>
        <v>33217.678347357418</v>
      </c>
      <c r="Z27" s="25">
        <f t="shared" si="2"/>
        <v>37933.297808357893</v>
      </c>
      <c r="AA27" s="25">
        <f t="shared" si="2"/>
        <v>42614.254125469983</v>
      </c>
      <c r="AB27" s="25">
        <f t="shared" si="2"/>
        <v>47260.802097358908</v>
      </c>
      <c r="AC27" s="25">
        <f t="shared" si="2"/>
        <v>51873.19464973914</v>
      </c>
      <c r="AD27" s="25">
        <f t="shared" si="2"/>
        <v>56451.682849141987</v>
      </c>
      <c r="AE27" s="25">
        <f t="shared" si="2"/>
        <v>60996.515916581862</v>
      </c>
    </row>
    <row r="28" spans="2:31" x14ac:dyDescent="0.35">
      <c r="B28" s="5" t="s">
        <v>27</v>
      </c>
      <c r="C28" s="6">
        <v>974</v>
      </c>
      <c r="D28" s="6">
        <v>11203</v>
      </c>
      <c r="E28" s="6">
        <v>7129.2714053614945</v>
      </c>
      <c r="F28" s="8">
        <v>2036</v>
      </c>
      <c r="G28" s="8">
        <v>13864</v>
      </c>
      <c r="H28" s="8">
        <v>23098</v>
      </c>
      <c r="I28" s="5" t="s">
        <v>27</v>
      </c>
      <c r="J28" s="5" t="s">
        <v>80</v>
      </c>
      <c r="K28" s="13" t="s">
        <v>59</v>
      </c>
      <c r="L28" s="11">
        <v>0</v>
      </c>
      <c r="M28" s="11">
        <v>8488</v>
      </c>
      <c r="N28" s="11">
        <v>4423.7952883834278</v>
      </c>
      <c r="O28" s="21">
        <f t="shared" si="1"/>
        <v>5.2213085132247663</v>
      </c>
      <c r="P28" s="22">
        <v>4171.1380246195495</v>
      </c>
      <c r="Q28" s="22">
        <v>3912.5817828051649</v>
      </c>
      <c r="R28" s="22">
        <v>3655.1385941607386</v>
      </c>
      <c r="S28" s="22">
        <v>3398.8036671277673</v>
      </c>
      <c r="T28" s="22">
        <v>3143.5722307748238</v>
      </c>
      <c r="U28" s="22">
        <v>2889.4395347087598</v>
      </c>
      <c r="V28" s="22">
        <v>2636.4008489862927</v>
      </c>
      <c r="W28" s="22">
        <v>2384.4514640259699</v>
      </c>
      <c r="X28" s="25">
        <f t="shared" si="2"/>
        <v>21778.798477781587</v>
      </c>
      <c r="Y28" s="25">
        <f t="shared" si="2"/>
        <v>20428.796571248742</v>
      </c>
      <c r="Z28" s="25">
        <f t="shared" si="2"/>
        <v>19084.60625870787</v>
      </c>
      <c r="AA28" s="25">
        <f t="shared" si="2"/>
        <v>17746.202521953765</v>
      </c>
      <c r="AB28" s="25">
        <f t="shared" si="2"/>
        <v>16413.560450481556</v>
      </c>
      <c r="AC28" s="25">
        <f t="shared" si="2"/>
        <v>15086.655241023054</v>
      </c>
      <c r="AD28" s="25">
        <f t="shared" si="2"/>
        <v>13765.462197085131</v>
      </c>
      <c r="AE28" s="25">
        <f t="shared" si="2"/>
        <v>12449.956728490055</v>
      </c>
    </row>
    <row r="29" spans="2:31" x14ac:dyDescent="0.35">
      <c r="B29" s="5" t="s">
        <v>28</v>
      </c>
      <c r="C29" s="6">
        <v>10489</v>
      </c>
      <c r="D29" s="6">
        <v>14669</v>
      </c>
      <c r="E29" s="6">
        <v>14098.287215047239</v>
      </c>
      <c r="F29" s="8">
        <v>174</v>
      </c>
      <c r="G29" s="8">
        <v>44152</v>
      </c>
      <c r="H29" s="8">
        <v>50968.375262199879</v>
      </c>
      <c r="I29" s="5" t="s">
        <v>28</v>
      </c>
      <c r="J29" s="5" t="s">
        <v>81</v>
      </c>
      <c r="K29" s="13" t="s">
        <v>59</v>
      </c>
      <c r="L29" s="11">
        <v>3438</v>
      </c>
      <c r="M29" s="11">
        <v>4560</v>
      </c>
      <c r="N29" s="11">
        <v>4560</v>
      </c>
      <c r="O29" s="21">
        <f t="shared" si="1"/>
        <v>11.17727527679822</v>
      </c>
      <c r="P29" s="22">
        <v>6325.4215038379689</v>
      </c>
      <c r="Q29" s="22">
        <v>8076.0413336948495</v>
      </c>
      <c r="R29" s="22">
        <v>9819.1249581314278</v>
      </c>
      <c r="S29" s="22">
        <v>11554.704819595327</v>
      </c>
      <c r="T29" s="22">
        <v>13282.813220873377</v>
      </c>
      <c r="U29" s="22">
        <v>15003.482325692843</v>
      </c>
      <c r="V29" s="22">
        <v>16716.744159320053</v>
      </c>
      <c r="W29" s="22">
        <v>18422.630609156462</v>
      </c>
      <c r="X29" s="25">
        <f t="shared" si="2"/>
        <v>70700.977390175947</v>
      </c>
      <c r="Y29" s="25">
        <f t="shared" si="2"/>
        <v>90268.13713350796</v>
      </c>
      <c r="Z29" s="25">
        <f t="shared" si="2"/>
        <v>109751.06263431476</v>
      </c>
      <c r="AA29" s="25">
        <f t="shared" si="2"/>
        <v>129150.11651076408</v>
      </c>
      <c r="AB29" s="25">
        <f t="shared" si="2"/>
        <v>148465.65981999654</v>
      </c>
      <c r="AC29" s="25">
        <f t="shared" si="2"/>
        <v>167698.05206484566</v>
      </c>
      <c r="AD29" s="25">
        <f t="shared" si="2"/>
        <v>186847.65120052907</v>
      </c>
      <c r="AE29" s="25">
        <f t="shared" si="2"/>
        <v>205914.81364131064</v>
      </c>
    </row>
    <row r="30" spans="2:31" x14ac:dyDescent="0.35">
      <c r="B30" s="5" t="s">
        <v>29</v>
      </c>
      <c r="C30" s="6">
        <v>3963</v>
      </c>
      <c r="D30" s="6">
        <v>11568</v>
      </c>
      <c r="E30" s="6">
        <v>12418.378918345705</v>
      </c>
      <c r="F30" s="8">
        <v>0</v>
      </c>
      <c r="G30" s="8">
        <v>14833</v>
      </c>
      <c r="H30" s="8">
        <v>26223.507613997885</v>
      </c>
      <c r="I30" s="5" t="s">
        <v>29</v>
      </c>
      <c r="J30" s="5" t="s">
        <v>82</v>
      </c>
      <c r="K30" s="5" t="s">
        <v>59</v>
      </c>
      <c r="L30" s="11">
        <v>3545</v>
      </c>
      <c r="M30" s="11">
        <v>7957</v>
      </c>
      <c r="N30" s="11">
        <v>9592</v>
      </c>
      <c r="O30" s="21">
        <f t="shared" si="1"/>
        <v>2.7338936211423985</v>
      </c>
      <c r="P30" s="22">
        <v>9852.2000000000007</v>
      </c>
      <c r="Q30" s="22">
        <v>10090.727625104255</v>
      </c>
      <c r="R30" s="22">
        <v>10328.73054911492</v>
      </c>
      <c r="S30" s="22">
        <v>10566.209926243118</v>
      </c>
      <c r="T30" s="22">
        <v>10803.166908160994</v>
      </c>
      <c r="U30" s="22">
        <v>11039.602644007304</v>
      </c>
      <c r="V30" s="22">
        <v>11275.518280392984</v>
      </c>
      <c r="W30" s="22">
        <v>11510.914961406716</v>
      </c>
      <c r="X30" s="25">
        <f t="shared" si="2"/>
        <v>26934.86673421914</v>
      </c>
      <c r="Y30" s="25">
        <f t="shared" si="2"/>
        <v>27586.975886957905</v>
      </c>
      <c r="Z30" s="25">
        <f t="shared" si="2"/>
        <v>28237.650562723902</v>
      </c>
      <c r="AA30" s="25">
        <f t="shared" si="2"/>
        <v>28886.893917007554</v>
      </c>
      <c r="AB30" s="25">
        <f t="shared" si="2"/>
        <v>29534.709098357991</v>
      </c>
      <c r="AC30" s="25">
        <f t="shared" si="2"/>
        <v>30181.099248398325</v>
      </c>
      <c r="AD30" s="25">
        <f t="shared" si="2"/>
        <v>30826.067501840884</v>
      </c>
      <c r="AE30" s="25">
        <f t="shared" si="2"/>
        <v>31469.616986502417</v>
      </c>
    </row>
    <row r="31" spans="2:31" x14ac:dyDescent="0.35">
      <c r="B31" s="5" t="s">
        <v>30</v>
      </c>
      <c r="C31" s="6">
        <v>8189</v>
      </c>
      <c r="D31" s="6">
        <v>12833</v>
      </c>
      <c r="E31" s="6">
        <v>14537.005004448398</v>
      </c>
      <c r="F31" s="8">
        <v>0</v>
      </c>
      <c r="G31" s="8">
        <v>14277</v>
      </c>
      <c r="H31" s="8">
        <v>23767</v>
      </c>
      <c r="I31" s="5" t="s">
        <v>30</v>
      </c>
      <c r="J31" s="5" t="s">
        <v>83</v>
      </c>
      <c r="K31" s="13" t="s">
        <v>59</v>
      </c>
      <c r="L31" s="11">
        <v>4257</v>
      </c>
      <c r="M31" s="11">
        <v>5225</v>
      </c>
      <c r="N31" s="11">
        <v>6327</v>
      </c>
      <c r="O31" s="21">
        <f t="shared" si="1"/>
        <v>3.7564406511774933</v>
      </c>
      <c r="P31" s="22">
        <v>7024.6372615751807</v>
      </c>
      <c r="Q31" s="22">
        <v>7709.2788526483391</v>
      </c>
      <c r="R31" s="22">
        <v>8390.9731449524497</v>
      </c>
      <c r="S31" s="22">
        <v>9069.7328262501978</v>
      </c>
      <c r="T31" s="22">
        <v>9745.5705296849992</v>
      </c>
      <c r="U31" s="22">
        <v>10418.49883401612</v>
      </c>
      <c r="V31" s="22">
        <v>11088.530263852799</v>
      </c>
      <c r="W31" s="22">
        <v>11755.677289887359</v>
      </c>
      <c r="X31" s="25">
        <f t="shared" si="2"/>
        <v>26387.632969157155</v>
      </c>
      <c r="Y31" s="25">
        <f t="shared" si="2"/>
        <v>28959.448473351204</v>
      </c>
      <c r="Z31" s="25">
        <f t="shared" si="2"/>
        <v>31520.192624638039</v>
      </c>
      <c r="AA31" s="25">
        <f t="shared" si="2"/>
        <v>34069.913083845182</v>
      </c>
      <c r="AB31" s="25">
        <f t="shared" si="2"/>
        <v>36608.657306626104</v>
      </c>
      <c r="AC31" s="25">
        <f t="shared" si="2"/>
        <v>39136.472544343465</v>
      </c>
      <c r="AD31" s="25">
        <f t="shared" si="2"/>
        <v>41653.405844948553</v>
      </c>
      <c r="AE31" s="25">
        <f t="shared" si="2"/>
        <v>44159.504053856937</v>
      </c>
    </row>
    <row r="32" spans="2:31" x14ac:dyDescent="0.35">
      <c r="B32" s="5" t="s">
        <v>31</v>
      </c>
      <c r="C32" s="6">
        <v>4836</v>
      </c>
      <c r="D32" s="6">
        <v>6798</v>
      </c>
      <c r="E32" s="6">
        <v>9374.9877300613498</v>
      </c>
      <c r="F32" s="8">
        <v>244</v>
      </c>
      <c r="G32" s="8">
        <v>11463</v>
      </c>
      <c r="H32" s="8">
        <v>11463</v>
      </c>
      <c r="I32" s="5" t="s">
        <v>31</v>
      </c>
      <c r="J32" s="5" t="s">
        <v>84</v>
      </c>
      <c r="K32" s="13" t="s">
        <v>53</v>
      </c>
      <c r="L32" s="11">
        <v>3846</v>
      </c>
      <c r="M32" s="11">
        <v>4066</v>
      </c>
      <c r="N32" s="11">
        <v>6503</v>
      </c>
      <c r="O32" s="21">
        <f t="shared" si="1"/>
        <v>1.762724896201753</v>
      </c>
      <c r="P32" s="22">
        <v>6531.0373532376661</v>
      </c>
      <c r="Q32" s="22">
        <v>6561.5296016818247</v>
      </c>
      <c r="R32" s="22">
        <v>6591.7977104972369</v>
      </c>
      <c r="S32" s="22">
        <v>6621.8433272689681</v>
      </c>
      <c r="T32" s="22">
        <v>6651.6680874711674</v>
      </c>
      <c r="U32" s="22">
        <v>6681.2736145560903</v>
      </c>
      <c r="V32" s="22">
        <v>6710.6615200424676</v>
      </c>
      <c r="W32" s="22">
        <v>6739.8334036032256</v>
      </c>
      <c r="X32" s="25">
        <f t="shared" si="2"/>
        <v>11512.422140575636</v>
      </c>
      <c r="Y32" s="25">
        <f t="shared" si="2"/>
        <v>11566.171586049324</v>
      </c>
      <c r="Z32" s="25">
        <f t="shared" si="2"/>
        <v>11619.525935019195</v>
      </c>
      <c r="AA32" s="25">
        <f t="shared" si="2"/>
        <v>11672.488091724463</v>
      </c>
      <c r="AB32" s="25">
        <f t="shared" si="2"/>
        <v>11725.060939056126</v>
      </c>
      <c r="AC32" s="25">
        <f t="shared" si="2"/>
        <v>11777.247338713894</v>
      </c>
      <c r="AD32" s="25">
        <f t="shared" si="2"/>
        <v>11829.050131361957</v>
      </c>
      <c r="AE32" s="25">
        <f t="shared" si="2"/>
        <v>11880.472136783603</v>
      </c>
    </row>
    <row r="33" spans="2:31" x14ac:dyDescent="0.35">
      <c r="B33" s="5" t="s">
        <v>32</v>
      </c>
      <c r="C33" s="6">
        <v>6820</v>
      </c>
      <c r="D33" s="6">
        <v>9444</v>
      </c>
      <c r="E33" s="6">
        <v>7846.7053175775491</v>
      </c>
      <c r="F33" s="8">
        <v>0</v>
      </c>
      <c r="G33" s="8">
        <v>6377</v>
      </c>
      <c r="H33" s="8">
        <v>7398.441318651805</v>
      </c>
      <c r="I33" s="5" t="s">
        <v>32</v>
      </c>
      <c r="J33" s="5" t="s">
        <v>85</v>
      </c>
      <c r="K33" s="13" t="s">
        <v>57</v>
      </c>
      <c r="L33" s="11">
        <v>3963</v>
      </c>
      <c r="M33" s="11">
        <v>4986</v>
      </c>
      <c r="N33" s="11">
        <v>4598.8787431180344</v>
      </c>
      <c r="O33" s="21">
        <f t="shared" si="1"/>
        <v>1.6087489433643276</v>
      </c>
      <c r="P33" s="22">
        <v>4534.2471726802005</v>
      </c>
      <c r="Q33" s="22">
        <v>4569.8620563475642</v>
      </c>
      <c r="R33" s="22">
        <v>4604.9810363427459</v>
      </c>
      <c r="S33" s="22">
        <v>4639.6110176567709</v>
      </c>
      <c r="T33" s="22">
        <v>4673.7588091351745</v>
      </c>
      <c r="U33" s="22">
        <v>4707.4311248167405</v>
      </c>
      <c r="V33" s="22">
        <v>4740.6345852535915</v>
      </c>
      <c r="W33" s="22">
        <v>4773.3757188129057</v>
      </c>
      <c r="X33" s="25">
        <f t="shared" si="2"/>
        <v>7294.4653480019624</v>
      </c>
      <c r="Y33" s="25">
        <f t="shared" si="2"/>
        <v>7351.7607544698776</v>
      </c>
      <c r="Z33" s="25">
        <f t="shared" si="2"/>
        <v>7408.2583764291585</v>
      </c>
      <c r="AA33" s="25">
        <f t="shared" si="2"/>
        <v>7463.9693222768228</v>
      </c>
      <c r="AB33" s="25">
        <f t="shared" si="2"/>
        <v>7518.9045457359298</v>
      </c>
      <c r="AC33" s="25">
        <f t="shared" si="2"/>
        <v>7573.0748480092798</v>
      </c>
      <c r="AD33" s="25">
        <f t="shared" si="2"/>
        <v>7626.4908799031027</v>
      </c>
      <c r="AE33" s="25">
        <f t="shared" si="2"/>
        <v>7679.1631439211997</v>
      </c>
    </row>
    <row r="34" spans="2:31" x14ac:dyDescent="0.35">
      <c r="B34" s="5" t="s">
        <v>33</v>
      </c>
      <c r="C34" s="6">
        <v>14014</v>
      </c>
      <c r="D34" s="6">
        <v>19598</v>
      </c>
      <c r="E34" s="6">
        <v>40757</v>
      </c>
      <c r="F34" s="8">
        <v>5346</v>
      </c>
      <c r="G34" s="8">
        <v>76726</v>
      </c>
      <c r="H34" s="8">
        <v>139367.37244750268</v>
      </c>
      <c r="I34" s="5" t="s">
        <v>33</v>
      </c>
      <c r="J34" s="5" t="s">
        <v>86</v>
      </c>
      <c r="K34" s="5" t="s">
        <v>59</v>
      </c>
      <c r="L34" s="11">
        <v>6432</v>
      </c>
      <c r="M34" s="11">
        <v>8153</v>
      </c>
      <c r="N34" s="11">
        <v>17168</v>
      </c>
      <c r="O34" s="21">
        <f t="shared" si="1"/>
        <v>8.1178572022077518</v>
      </c>
      <c r="P34" s="22">
        <v>17525.707802168912</v>
      </c>
      <c r="Q34" s="22">
        <v>17854.761761926045</v>
      </c>
      <c r="R34" s="22">
        <v>18182.399184412894</v>
      </c>
      <c r="S34" s="22">
        <v>18508.626167650094</v>
      </c>
      <c r="T34" s="22">
        <v>18833.44878340705</v>
      </c>
      <c r="U34" s="22">
        <v>19156.873077314936</v>
      </c>
      <c r="V34" s="22">
        <v>19478.90506897922</v>
      </c>
      <c r="W34" s="22">
        <v>19799.550752091698</v>
      </c>
      <c r="X34" s="25">
        <f t="shared" si="2"/>
        <v>142271.19330562549</v>
      </c>
      <c r="Y34" s="25">
        <f t="shared" si="2"/>
        <v>144942.4063627549</v>
      </c>
      <c r="Z34" s="25">
        <f t="shared" si="2"/>
        <v>147602.12017260256</v>
      </c>
      <c r="AA34" s="25">
        <f t="shared" si="2"/>
        <v>150250.38423802919</v>
      </c>
      <c r="AB34" s="25">
        <f t="shared" si="2"/>
        <v>152887.24784879174</v>
      </c>
      <c r="AC34" s="25">
        <f t="shared" si="2"/>
        <v>155512.76008246082</v>
      </c>
      <c r="AD34" s="25">
        <f t="shared" si="2"/>
        <v>158126.96980533405</v>
      </c>
      <c r="AE34" s="25">
        <f t="shared" si="2"/>
        <v>160729.92567334551</v>
      </c>
    </row>
    <row r="35" spans="2:31" x14ac:dyDescent="0.35">
      <c r="B35" s="5" t="s">
        <v>34</v>
      </c>
      <c r="C35" s="6">
        <v>4178</v>
      </c>
      <c r="D35" s="6">
        <v>15602</v>
      </c>
      <c r="E35" s="6">
        <v>18610.859009360374</v>
      </c>
      <c r="F35" s="8">
        <v>0</v>
      </c>
      <c r="G35" s="8">
        <v>10043</v>
      </c>
      <c r="H35" s="8">
        <v>8448.3207878315116</v>
      </c>
      <c r="I35" s="5" t="s">
        <v>34</v>
      </c>
      <c r="J35" s="5" t="s">
        <v>87</v>
      </c>
      <c r="K35" s="13" t="s">
        <v>57</v>
      </c>
      <c r="L35" s="11">
        <v>4110</v>
      </c>
      <c r="M35" s="11">
        <v>12956</v>
      </c>
      <c r="N35" s="11">
        <v>15558.321723868956</v>
      </c>
      <c r="O35" s="21">
        <f t="shared" si="1"/>
        <v>0.54300977558976915</v>
      </c>
      <c r="P35" s="22">
        <v>15142.090682541402</v>
      </c>
      <c r="Q35" s="22">
        <v>15067.751347949836</v>
      </c>
      <c r="R35" s="22">
        <v>14994.447118494532</v>
      </c>
      <c r="S35" s="22">
        <v>14922.163581312518</v>
      </c>
      <c r="T35" s="22">
        <v>14850.886524226344</v>
      </c>
      <c r="U35" s="22">
        <v>14780.60193294973</v>
      </c>
      <c r="V35" s="22">
        <v>14711.29598833212</v>
      </c>
      <c r="W35" s="22">
        <v>14642.955063641597</v>
      </c>
      <c r="X35" s="25">
        <f t="shared" si="2"/>
        <v>8222.3032634867413</v>
      </c>
      <c r="Y35" s="25">
        <f t="shared" si="2"/>
        <v>8181.9362780926822</v>
      </c>
      <c r="Z35" s="25">
        <f t="shared" si="2"/>
        <v>8142.1313649063768</v>
      </c>
      <c r="AA35" s="25">
        <f t="shared" si="2"/>
        <v>8102.8806976023361</v>
      </c>
      <c r="AB35" s="25">
        <f t="shared" si="2"/>
        <v>8064.1765588292737</v>
      </c>
      <c r="AC35" s="25">
        <f t="shared" si="2"/>
        <v>8026.0113386927414</v>
      </c>
      <c r="AD35" s="25">
        <f t="shared" si="2"/>
        <v>7988.3775332588957</v>
      </c>
      <c r="AE35" s="25">
        <f t="shared" si="2"/>
        <v>7951.2677430790973</v>
      </c>
    </row>
    <row r="36" spans="2:31" x14ac:dyDescent="0.35">
      <c r="B36" s="5" t="s">
        <v>35</v>
      </c>
      <c r="C36" s="6">
        <v>5477</v>
      </c>
      <c r="D36" s="6">
        <v>6168</v>
      </c>
      <c r="E36" s="6">
        <v>6176.8688034042616</v>
      </c>
      <c r="F36" s="8">
        <v>6560</v>
      </c>
      <c r="G36" s="8">
        <v>3596</v>
      </c>
      <c r="H36" s="8">
        <v>6818.3026251918564</v>
      </c>
      <c r="I36" s="5" t="s">
        <v>35</v>
      </c>
      <c r="J36" s="5" t="s">
        <v>88</v>
      </c>
      <c r="K36" s="13" t="s">
        <v>59</v>
      </c>
      <c r="L36" s="11">
        <v>3533</v>
      </c>
      <c r="M36" s="11">
        <v>4107</v>
      </c>
      <c r="N36" s="11">
        <v>4565</v>
      </c>
      <c r="O36" s="21">
        <f t="shared" si="1"/>
        <v>1.493604079998216</v>
      </c>
      <c r="P36" s="22">
        <v>4762.4578761009489</v>
      </c>
      <c r="Q36" s="22">
        <v>4951.8560742547024</v>
      </c>
      <c r="R36" s="22">
        <v>5140.4389362040001</v>
      </c>
      <c r="S36" s="22">
        <v>5328.2099718720228</v>
      </c>
      <c r="T36" s="22">
        <v>5515.1726760721604</v>
      </c>
      <c r="U36" s="22">
        <v>5701.3305285730557</v>
      </c>
      <c r="V36" s="22">
        <v>5886.6869941633704</v>
      </c>
      <c r="W36" s="22">
        <v>6071.2455227162736</v>
      </c>
      <c r="X36" s="25">
        <f t="shared" si="2"/>
        <v>7113.2265145640158</v>
      </c>
      <c r="Y36" s="25">
        <f t="shared" si="2"/>
        <v>7396.1124360707727</v>
      </c>
      <c r="Z36" s="25">
        <f t="shared" si="2"/>
        <v>7677.7805680959837</v>
      </c>
      <c r="AA36" s="25">
        <f t="shared" si="2"/>
        <v>7958.2361530752332</v>
      </c>
      <c r="AB36" s="25">
        <f t="shared" si="2"/>
        <v>8237.4844108760572</v>
      </c>
      <c r="AC36" s="25">
        <f t="shared" si="2"/>
        <v>8515.5305388951019</v>
      </c>
      <c r="AD36" s="25">
        <f t="shared" si="2"/>
        <v>8792.379712154845</v>
      </c>
      <c r="AE36" s="25">
        <f t="shared" si="2"/>
        <v>9068.0370833999277</v>
      </c>
    </row>
    <row r="37" spans="2:31" x14ac:dyDescent="0.35">
      <c r="B37" s="5" t="s">
        <v>36</v>
      </c>
      <c r="C37" s="6">
        <v>261989</v>
      </c>
      <c r="D37" s="6">
        <v>441434</v>
      </c>
      <c r="E37" s="6">
        <v>495915.88729767234</v>
      </c>
      <c r="F37" s="8">
        <v>331077</v>
      </c>
      <c r="G37" s="8">
        <v>537756</v>
      </c>
      <c r="H37" s="8">
        <v>303916.69881769194</v>
      </c>
      <c r="I37" s="5" t="s">
        <v>36</v>
      </c>
      <c r="J37" s="5" t="s">
        <v>89</v>
      </c>
      <c r="K37" s="5" t="s">
        <v>53</v>
      </c>
      <c r="L37" s="11">
        <v>74920</v>
      </c>
      <c r="M37" s="11">
        <v>180709</v>
      </c>
      <c r="N37" s="11">
        <v>220681</v>
      </c>
      <c r="O37" s="21">
        <f t="shared" si="1"/>
        <v>1.3771765526605912</v>
      </c>
      <c r="P37" s="22">
        <v>225845.26823222931</v>
      </c>
      <c r="Q37" s="22">
        <v>230332.54682019542</v>
      </c>
      <c r="R37" s="22">
        <v>234771.10266660797</v>
      </c>
      <c r="S37" s="22">
        <v>239161.46480159025</v>
      </c>
      <c r="T37" s="22">
        <v>243504.15651107166</v>
      </c>
      <c r="U37" s="22">
        <v>247799.69539915811</v>
      </c>
      <c r="V37" s="22">
        <v>252048.59344982501</v>
      </c>
      <c r="W37" s="22">
        <v>256251.35708794059</v>
      </c>
      <c r="X37" s="25">
        <f t="shared" si="2"/>
        <v>311028.80793876812</v>
      </c>
      <c r="Y37" s="25">
        <f t="shared" si="2"/>
        <v>317208.58279537095</v>
      </c>
      <c r="Z37" s="25">
        <f t="shared" si="2"/>
        <v>323321.25783472491</v>
      </c>
      <c r="AA37" s="25">
        <f t="shared" si="2"/>
        <v>329367.56162471138</v>
      </c>
      <c r="AB37" s="25">
        <f t="shared" si="2"/>
        <v>335348.21482244274</v>
      </c>
      <c r="AC37" s="25">
        <f t="shared" si="2"/>
        <v>341263.93026015715</v>
      </c>
      <c r="AD37" s="25">
        <f t="shared" si="2"/>
        <v>347115.41303018091</v>
      </c>
      <c r="AE37" s="25">
        <f t="shared" si="2"/>
        <v>352903.36056896817</v>
      </c>
    </row>
    <row r="38" spans="2:31" x14ac:dyDescent="0.35">
      <c r="B38" s="5" t="s">
        <v>37</v>
      </c>
      <c r="C38" s="6">
        <v>11592</v>
      </c>
      <c r="D38" s="6">
        <v>17779</v>
      </c>
      <c r="E38" s="6">
        <v>18462.239749316621</v>
      </c>
      <c r="F38" s="8">
        <v>2695</v>
      </c>
      <c r="G38" s="8">
        <v>49680</v>
      </c>
      <c r="H38" s="8">
        <v>63680</v>
      </c>
      <c r="I38" s="5" t="s">
        <v>37</v>
      </c>
      <c r="J38" s="5" t="s">
        <v>90</v>
      </c>
      <c r="K38" s="13" t="s">
        <v>59</v>
      </c>
      <c r="L38" s="11">
        <v>9625</v>
      </c>
      <c r="M38" s="11">
        <v>13345</v>
      </c>
      <c r="N38" s="11">
        <v>13501.239749316621</v>
      </c>
      <c r="O38" s="21">
        <f t="shared" si="1"/>
        <v>4.7166038958180287</v>
      </c>
      <c r="P38" s="22">
        <v>13708.741480367706</v>
      </c>
      <c r="Q38" s="22">
        <v>13894.027015840407</v>
      </c>
      <c r="R38" s="22">
        <v>14078.514919621226</v>
      </c>
      <c r="S38" s="22">
        <v>14262.20862541757</v>
      </c>
      <c r="T38" s="22">
        <v>14445.111552155156</v>
      </c>
      <c r="U38" s="22">
        <v>14627.22710404164</v>
      </c>
      <c r="V38" s="22">
        <v>14808.55867062998</v>
      </c>
      <c r="W38" s="22">
        <v>14989.109626881518</v>
      </c>
      <c r="X38" s="25">
        <f t="shared" si="2"/>
        <v>64658.703473064532</v>
      </c>
      <c r="Y38" s="25">
        <f t="shared" si="2"/>
        <v>65532.621951513807</v>
      </c>
      <c r="Z38" s="25">
        <f t="shared" si="2"/>
        <v>66402.778317217715</v>
      </c>
      <c r="AA38" s="25">
        <f t="shared" si="2"/>
        <v>67269.188765614002</v>
      </c>
      <c r="AB38" s="25">
        <f t="shared" si="2"/>
        <v>68131.869422421019</v>
      </c>
      <c r="AC38" s="25">
        <f t="shared" si="2"/>
        <v>68990.836343937859</v>
      </c>
      <c r="AD38" s="25">
        <f t="shared" si="2"/>
        <v>69846.105517343211</v>
      </c>
      <c r="AE38" s="25">
        <f t="shared" si="2"/>
        <v>70697.692860992887</v>
      </c>
    </row>
    <row r="39" spans="2:31" x14ac:dyDescent="0.35">
      <c r="B39" s="5" t="s">
        <v>38</v>
      </c>
      <c r="C39" s="6">
        <v>536</v>
      </c>
      <c r="D39" s="6">
        <v>559</v>
      </c>
      <c r="E39" s="6">
        <v>613.28457017504911</v>
      </c>
      <c r="F39" s="8">
        <v>28</v>
      </c>
      <c r="G39" s="8">
        <v>1105</v>
      </c>
      <c r="H39" s="8">
        <v>828.14730820859995</v>
      </c>
      <c r="I39" s="5" t="s">
        <v>38</v>
      </c>
      <c r="J39" s="5" t="s">
        <v>91</v>
      </c>
      <c r="K39" s="13" t="s">
        <v>53</v>
      </c>
      <c r="L39" s="11">
        <v>442</v>
      </c>
      <c r="M39" s="11">
        <v>406</v>
      </c>
      <c r="N39" s="11">
        <v>440</v>
      </c>
      <c r="O39" s="21">
        <f t="shared" si="1"/>
        <v>1.8821529732013635</v>
      </c>
      <c r="P39" s="22">
        <v>461.51444284554407</v>
      </c>
      <c r="Q39" s="22">
        <v>483.05078472392916</v>
      </c>
      <c r="R39" s="22">
        <v>504.42881923176969</v>
      </c>
      <c r="S39" s="22">
        <v>525.64971004039444</v>
      </c>
      <c r="T39" s="22">
        <v>546.71461226732333</v>
      </c>
      <c r="U39" s="22">
        <v>567.62467253914429</v>
      </c>
      <c r="V39" s="22">
        <v>588.38102905392736</v>
      </c>
      <c r="W39" s="22">
        <v>608.98481164318048</v>
      </c>
      <c r="X39" s="25">
        <f t="shared" si="2"/>
        <v>868.64078077711156</v>
      </c>
      <c r="Y39" s="25">
        <f t="shared" si="2"/>
        <v>909.1754706753951</v>
      </c>
      <c r="Z39" s="25">
        <f t="shared" si="2"/>
        <v>949.41220188552848</v>
      </c>
      <c r="AA39" s="25">
        <f t="shared" si="2"/>
        <v>989.35316461496302</v>
      </c>
      <c r="AB39" s="25">
        <f t="shared" si="2"/>
        <v>1029.0005329715732</v>
      </c>
      <c r="AC39" s="25">
        <f t="shared" si="2"/>
        <v>1068.3564650820008</v>
      </c>
      <c r="AD39" s="25">
        <f t="shared" si="2"/>
        <v>1107.4231032091272</v>
      </c>
      <c r="AE39" s="25">
        <f t="shared" si="2"/>
        <v>1146.2025738686846</v>
      </c>
    </row>
    <row r="40" spans="2:31" x14ac:dyDescent="0.35">
      <c r="B40" s="5" t="s">
        <v>39</v>
      </c>
      <c r="C40" s="6">
        <v>6196</v>
      </c>
      <c r="D40" s="6">
        <v>10926</v>
      </c>
      <c r="E40" s="6">
        <v>11285.434623393408</v>
      </c>
      <c r="F40" s="8">
        <v>4932</v>
      </c>
      <c r="G40" s="8">
        <v>34349</v>
      </c>
      <c r="H40" s="8">
        <v>29939.877575931641</v>
      </c>
      <c r="I40" s="5" t="s">
        <v>39</v>
      </c>
      <c r="J40" s="5" t="s">
        <v>92</v>
      </c>
      <c r="K40" s="5" t="s">
        <v>53</v>
      </c>
      <c r="L40" s="11">
        <v>1682</v>
      </c>
      <c r="M40" s="11">
        <v>4577</v>
      </c>
      <c r="N40" s="11">
        <v>4737</v>
      </c>
      <c r="O40" s="21">
        <f t="shared" si="1"/>
        <v>6.3204301405808829</v>
      </c>
      <c r="P40" s="22">
        <v>5090.45</v>
      </c>
      <c r="Q40" s="22">
        <v>5451.0853208781928</v>
      </c>
      <c r="R40" s="22">
        <v>5810.1751705691722</v>
      </c>
      <c r="S40" s="22">
        <v>6167.7261720548058</v>
      </c>
      <c r="T40" s="22">
        <v>6523.7449199347484</v>
      </c>
      <c r="U40" s="22">
        <v>6878.2379805480741</v>
      </c>
      <c r="V40" s="22">
        <v>7231.2118920943849</v>
      </c>
      <c r="W40" s="22">
        <v>7582.6731647543984</v>
      </c>
      <c r="X40" s="25">
        <f t="shared" si="2"/>
        <v>32173.833609119953</v>
      </c>
      <c r="Y40" s="25">
        <f t="shared" si="2"/>
        <v>34453.20396095654</v>
      </c>
      <c r="Z40" s="25">
        <f t="shared" si="2"/>
        <v>36722.806270120069</v>
      </c>
      <c r="AA40" s="25">
        <f t="shared" si="2"/>
        <v>38982.682396704746</v>
      </c>
      <c r="AB40" s="25">
        <f t="shared" si="2"/>
        <v>41232.874021417003</v>
      </c>
      <c r="AC40" s="25">
        <f t="shared" si="2"/>
        <v>43473.422646344232</v>
      </c>
      <c r="AD40" s="25">
        <f t="shared" si="2"/>
        <v>45704.369595720265</v>
      </c>
      <c r="AE40" s="25">
        <f t="shared" si="2"/>
        <v>47925.756016687534</v>
      </c>
    </row>
    <row r="41" spans="2:31" x14ac:dyDescent="0.35">
      <c r="B41" s="5" t="s">
        <v>40</v>
      </c>
      <c r="C41" s="6">
        <v>530</v>
      </c>
      <c r="D41" s="6">
        <v>2020</v>
      </c>
      <c r="E41" s="6">
        <v>2592.4178512700573</v>
      </c>
      <c r="F41" s="8">
        <v>0</v>
      </c>
      <c r="G41" s="8">
        <v>525</v>
      </c>
      <c r="H41" s="8">
        <v>594.28457017504911</v>
      </c>
      <c r="I41" s="5" t="s">
        <v>40</v>
      </c>
      <c r="J41" s="5" t="s">
        <v>93</v>
      </c>
      <c r="K41" s="5" t="s">
        <v>57</v>
      </c>
      <c r="L41" s="11">
        <v>419</v>
      </c>
      <c r="M41" s="11">
        <v>1272</v>
      </c>
      <c r="N41" s="11">
        <v>1277</v>
      </c>
      <c r="O41" s="21">
        <f t="shared" si="1"/>
        <v>0.46537554438140105</v>
      </c>
      <c r="P41" s="22">
        <v>1193.9224920802535</v>
      </c>
      <c r="Q41" s="22">
        <v>1197.542029707552</v>
      </c>
      <c r="R41" s="22">
        <v>1201.0973558964781</v>
      </c>
      <c r="S41" s="22">
        <v>1204.5896097728657</v>
      </c>
      <c r="T41" s="22">
        <v>1208.0199102541917</v>
      </c>
      <c r="U41" s="22">
        <v>1211.389356408077</v>
      </c>
      <c r="V41" s="22">
        <v>1214.6990278044277</v>
      </c>
      <c r="W41" s="22">
        <v>1217.9499848613291</v>
      </c>
      <c r="X41" s="25">
        <f t="shared" si="2"/>
        <v>555.62232970104697</v>
      </c>
      <c r="Y41" s="25">
        <f t="shared" si="2"/>
        <v>557.30677399475996</v>
      </c>
      <c r="Z41" s="25">
        <f t="shared" si="2"/>
        <v>558.96133585538496</v>
      </c>
      <c r="AA41" s="25">
        <f t="shared" si="2"/>
        <v>560.58654540422685</v>
      </c>
      <c r="AB41" s="25">
        <f t="shared" si="2"/>
        <v>562.18292335811566</v>
      </c>
      <c r="AC41" s="25">
        <f t="shared" si="2"/>
        <v>563.75098119624386</v>
      </c>
      <c r="AD41" s="25">
        <f t="shared" si="2"/>
        <v>565.29122132404416</v>
      </c>
      <c r="AE41" s="25">
        <f t="shared" si="2"/>
        <v>566.80413723416018</v>
      </c>
    </row>
    <row r="42" spans="2:31" x14ac:dyDescent="0.35">
      <c r="B42" s="5" t="s">
        <v>41</v>
      </c>
      <c r="C42" s="6">
        <v>8293</v>
      </c>
      <c r="D42" s="6">
        <v>7320</v>
      </c>
      <c r="E42" s="6">
        <v>20252.811629184373</v>
      </c>
      <c r="F42" s="8">
        <v>4557</v>
      </c>
      <c r="G42" s="8">
        <v>2288</v>
      </c>
      <c r="H42" s="8">
        <v>18898.61224042462</v>
      </c>
      <c r="I42" s="5" t="s">
        <v>41</v>
      </c>
      <c r="J42" s="5" t="s">
        <v>94</v>
      </c>
      <c r="K42" s="5" t="s">
        <v>59</v>
      </c>
      <c r="L42" s="11">
        <v>6106</v>
      </c>
      <c r="M42" s="11">
        <v>5757</v>
      </c>
      <c r="N42" s="11">
        <v>15666</v>
      </c>
      <c r="O42" s="21">
        <f t="shared" si="1"/>
        <v>1.2063457321859199</v>
      </c>
      <c r="P42" s="22">
        <v>16554.451574369654</v>
      </c>
      <c r="Q42" s="22">
        <v>17414.336674042839</v>
      </c>
      <c r="R42" s="22">
        <v>18270.520072959254</v>
      </c>
      <c r="S42" s="22">
        <v>19123.01770649038</v>
      </c>
      <c r="T42" s="22">
        <v>19971.845441407862</v>
      </c>
      <c r="U42" s="22">
        <v>20817.019076178818</v>
      </c>
      <c r="V42" s="22">
        <v>21658.554341259893</v>
      </c>
      <c r="W42" s="22">
        <v>22496.466899390027</v>
      </c>
      <c r="X42" s="25">
        <f t="shared" si="2"/>
        <v>19970.392005419315</v>
      </c>
      <c r="Y42" s="25">
        <f t="shared" si="2"/>
        <v>21007.710725580328</v>
      </c>
      <c r="Z42" s="25">
        <f t="shared" si="2"/>
        <v>22040.563914831579</v>
      </c>
      <c r="AA42" s="25">
        <f t="shared" si="2"/>
        <v>23068.970796740447</v>
      </c>
      <c r="AB42" s="25">
        <f t="shared" si="2"/>
        <v>24092.950512119194</v>
      </c>
      <c r="AC42" s="25">
        <f t="shared" si="2"/>
        <v>25112.522119381199</v>
      </c>
      <c r="AD42" s="25">
        <f t="shared" si="2"/>
        <v>26127.704594895698</v>
      </c>
      <c r="AE42" s="25">
        <f t="shared" si="2"/>
        <v>27138.516833340975</v>
      </c>
    </row>
    <row r="43" spans="2:31" x14ac:dyDescent="0.35">
      <c r="B43" s="5" t="s">
        <v>42</v>
      </c>
      <c r="C43" s="6">
        <v>90079</v>
      </c>
      <c r="D43" s="6">
        <v>354250</v>
      </c>
      <c r="E43" s="6">
        <v>468293.95185969712</v>
      </c>
      <c r="F43" s="8">
        <v>23469</v>
      </c>
      <c r="G43" s="8">
        <v>214207</v>
      </c>
      <c r="H43" s="8">
        <v>191862.74170800057</v>
      </c>
      <c r="I43" s="5" t="s">
        <v>42</v>
      </c>
      <c r="J43" s="5" t="s">
        <v>95</v>
      </c>
      <c r="K43" s="13" t="s">
        <v>57</v>
      </c>
      <c r="L43" s="11">
        <v>58722</v>
      </c>
      <c r="M43" s="11">
        <v>287458</v>
      </c>
      <c r="N43" s="11">
        <v>397261.24962174537</v>
      </c>
      <c r="O43" s="21">
        <f t="shared" si="1"/>
        <v>0.48296364644345202</v>
      </c>
      <c r="P43" s="22">
        <v>377948.74510315579</v>
      </c>
      <c r="Q43" s="22">
        <v>372547.94859055534</v>
      </c>
      <c r="R43" s="22">
        <v>367249.33595184726</v>
      </c>
      <c r="S43" s="22">
        <v>362050.97385292809</v>
      </c>
      <c r="T43" s="22">
        <v>356950.96553866332</v>
      </c>
      <c r="U43" s="22">
        <v>351947.45014080801</v>
      </c>
      <c r="V43" s="22">
        <v>347038.60199902131</v>
      </c>
      <c r="W43" s="22">
        <v>342222.62999472785</v>
      </c>
      <c r="X43" s="25">
        <f t="shared" si="2"/>
        <v>182535.50410374691</v>
      </c>
      <c r="Y43" s="25">
        <f t="shared" si="2"/>
        <v>179927.11572632231</v>
      </c>
      <c r="Z43" s="25">
        <f t="shared" si="2"/>
        <v>177368.07844524051</v>
      </c>
      <c r="AA43" s="25">
        <f t="shared" si="2"/>
        <v>174857.45853041305</v>
      </c>
      <c r="AB43" s="25">
        <f t="shared" si="2"/>
        <v>172394.33991806381</v>
      </c>
      <c r="AC43" s="25">
        <f t="shared" si="2"/>
        <v>169977.82387647967</v>
      </c>
      <c r="AD43" s="25">
        <f t="shared" si="2"/>
        <v>167607.02867808519</v>
      </c>
      <c r="AE43" s="25">
        <f t="shared" si="2"/>
        <v>165281.08927772203</v>
      </c>
    </row>
    <row r="44" spans="2:31" x14ac:dyDescent="0.35">
      <c r="B44" s="5" t="s">
        <v>43</v>
      </c>
      <c r="C44" s="6">
        <v>0</v>
      </c>
      <c r="D44" s="6">
        <v>6413</v>
      </c>
      <c r="E44" s="6">
        <v>8616.9328736015086</v>
      </c>
      <c r="F44" s="8">
        <v>0</v>
      </c>
      <c r="G44" s="8">
        <v>10147</v>
      </c>
      <c r="H44" s="8">
        <v>12908</v>
      </c>
      <c r="I44" s="5" t="s">
        <v>43</v>
      </c>
      <c r="J44" s="5" t="s">
        <v>96</v>
      </c>
      <c r="K44" s="13" t="s">
        <v>59</v>
      </c>
      <c r="L44" s="11">
        <v>0</v>
      </c>
      <c r="M44" s="11">
        <v>3726</v>
      </c>
      <c r="N44" s="11">
        <v>4530</v>
      </c>
      <c r="O44" s="21">
        <f t="shared" si="1"/>
        <v>2.8494481236203089</v>
      </c>
      <c r="P44" s="22">
        <v>4679.8532702600869</v>
      </c>
      <c r="Q44" s="22">
        <v>4821.9070711938748</v>
      </c>
      <c r="R44" s="22">
        <v>4963.3493477942166</v>
      </c>
      <c r="S44" s="22">
        <v>5104.1827325989798</v>
      </c>
      <c r="T44" s="22">
        <v>5244.4098468132797</v>
      </c>
      <c r="U44" s="22">
        <v>5384.03330035826</v>
      </c>
      <c r="V44" s="22">
        <v>5523.0556919196724</v>
      </c>
      <c r="W44" s="22">
        <v>5661.4796089962429</v>
      </c>
      <c r="X44" s="25">
        <f t="shared" si="2"/>
        <v>13334.999119760971</v>
      </c>
      <c r="Y44" s="25">
        <f t="shared" si="2"/>
        <v>13739.774056284885</v>
      </c>
      <c r="Z44" s="25">
        <f t="shared" si="2"/>
        <v>14142.806485944315</v>
      </c>
      <c r="AA44" s="25">
        <f t="shared" si="2"/>
        <v>14544.103910019343</v>
      </c>
      <c r="AB44" s="25">
        <f t="shared" si="2"/>
        <v>14943.673797497971</v>
      </c>
      <c r="AC44" s="25">
        <f t="shared" si="2"/>
        <v>15341.523585215104</v>
      </c>
      <c r="AD44" s="25">
        <f t="shared" si="2"/>
        <v>15737.660677990978</v>
      </c>
      <c r="AE44" s="25">
        <f t="shared" si="2"/>
        <v>16132.092448768984</v>
      </c>
    </row>
    <row r="45" spans="2:31" x14ac:dyDescent="0.35">
      <c r="B45" s="5" t="s">
        <v>44</v>
      </c>
      <c r="C45" s="6">
        <v>23402</v>
      </c>
      <c r="D45" s="6">
        <v>39366</v>
      </c>
      <c r="E45" s="6">
        <v>49814.905399934454</v>
      </c>
      <c r="F45" s="8">
        <v>15093</v>
      </c>
      <c r="G45" s="8">
        <v>69773</v>
      </c>
      <c r="H45" s="8">
        <v>138070.13653100963</v>
      </c>
      <c r="I45" s="5" t="s">
        <v>44</v>
      </c>
      <c r="J45" s="5" t="s">
        <v>97</v>
      </c>
      <c r="K45" s="13" t="s">
        <v>53</v>
      </c>
      <c r="L45" s="11">
        <v>20800</v>
      </c>
      <c r="M45" s="11">
        <v>31940</v>
      </c>
      <c r="N45" s="11">
        <v>31940</v>
      </c>
      <c r="O45" s="21">
        <f t="shared" si="1"/>
        <v>4.3227970109896567</v>
      </c>
      <c r="P45" s="22">
        <v>34866.098710196995</v>
      </c>
      <c r="Q45" s="22">
        <v>37783.758183276223</v>
      </c>
      <c r="R45" s="22">
        <v>40679.970792169515</v>
      </c>
      <c r="S45" s="22">
        <v>43554.894186522986</v>
      </c>
      <c r="T45" s="22">
        <v>46408.684857146167</v>
      </c>
      <c r="U45" s="22">
        <v>49241.498144530262</v>
      </c>
      <c r="V45" s="22">
        <v>52053.488247303816</v>
      </c>
      <c r="W45" s="22">
        <v>54844.8082306262</v>
      </c>
      <c r="X45" s="25">
        <f t="shared" si="2"/>
        <v>150719.0672893099</v>
      </c>
      <c r="Y45" s="25">
        <f t="shared" si="2"/>
        <v>163331.51693862243</v>
      </c>
      <c r="Z45" s="25">
        <f t="shared" si="2"/>
        <v>175851.25614753691</v>
      </c>
      <c r="AA45" s="25">
        <f t="shared" si="2"/>
        <v>188278.96640347235</v>
      </c>
      <c r="AB45" s="25">
        <f t="shared" si="2"/>
        <v>200615.32418443239</v>
      </c>
      <c r="AC45" s="25">
        <f t="shared" si="2"/>
        <v>212861.00099582816</v>
      </c>
      <c r="AD45" s="25">
        <f t="shared" si="2"/>
        <v>225016.66340703017</v>
      </c>
      <c r="AE45" s="25">
        <f t="shared" si="2"/>
        <v>237082.97308765186</v>
      </c>
    </row>
    <row r="46" spans="2:31" x14ac:dyDescent="0.35">
      <c r="B46" s="5" t="s">
        <v>45</v>
      </c>
      <c r="C46" s="6">
        <v>2532</v>
      </c>
      <c r="D46" s="6">
        <v>4137</v>
      </c>
      <c r="E46" s="6">
        <v>5574.9682728198168</v>
      </c>
      <c r="F46" s="8">
        <v>638</v>
      </c>
      <c r="G46" s="8">
        <v>22503</v>
      </c>
      <c r="H46" s="8">
        <v>21202.2429589413</v>
      </c>
      <c r="I46" s="5" t="s">
        <v>45</v>
      </c>
      <c r="J46" s="5" t="s">
        <v>98</v>
      </c>
      <c r="K46" s="5" t="s">
        <v>59</v>
      </c>
      <c r="L46" s="11">
        <v>1341</v>
      </c>
      <c r="M46" s="11">
        <v>1966</v>
      </c>
      <c r="N46" s="11">
        <v>2630</v>
      </c>
      <c r="O46" s="21">
        <f t="shared" si="1"/>
        <v>8.0616893380004946</v>
      </c>
      <c r="P46" s="22">
        <v>2738.2599250936328</v>
      </c>
      <c r="Q46" s="22">
        <v>2835.4866685743941</v>
      </c>
      <c r="R46" s="22">
        <v>2932.181760199418</v>
      </c>
      <c r="S46" s="22">
        <v>3028.3481071286647</v>
      </c>
      <c r="T46" s="22">
        <v>3123.9886006252646</v>
      </c>
      <c r="U46" s="22">
        <v>3219.1061161424445</v>
      </c>
      <c r="V46" s="22">
        <v>3313.7035134099801</v>
      </c>
      <c r="W46" s="22">
        <v>3407.7836365201724</v>
      </c>
      <c r="X46" s="25">
        <f t="shared" si="2"/>
        <v>22075.000842801372</v>
      </c>
      <c r="Y46" s="25">
        <f t="shared" si="2"/>
        <v>22858.812644088735</v>
      </c>
      <c r="Z46" s="25">
        <f t="shared" si="2"/>
        <v>23638.338433279172</v>
      </c>
      <c r="AA46" s="25">
        <f t="shared" si="2"/>
        <v>24413.601646993135</v>
      </c>
      <c r="AB46" s="25">
        <f t="shared" si="2"/>
        <v>25184.625593695779</v>
      </c>
      <c r="AC46" s="25">
        <f t="shared" si="2"/>
        <v>25951.433454397727</v>
      </c>
      <c r="AD46" s="25">
        <f t="shared" si="2"/>
        <v>26714.048283352015</v>
      </c>
      <c r="AE46" s="25">
        <f t="shared" si="2"/>
        <v>27472.493008747228</v>
      </c>
    </row>
    <row r="47" spans="2:31" x14ac:dyDescent="0.35">
      <c r="B47" s="5" t="s">
        <v>46</v>
      </c>
      <c r="C47" s="6">
        <v>51995</v>
      </c>
      <c r="D47" s="6">
        <v>77940</v>
      </c>
      <c r="E47" s="6">
        <v>121325.78132796781</v>
      </c>
      <c r="F47" s="8">
        <v>207921</v>
      </c>
      <c r="G47" s="8">
        <v>190898</v>
      </c>
      <c r="H47" s="8">
        <v>215143.86052313884</v>
      </c>
      <c r="I47" s="5" t="s">
        <v>46</v>
      </c>
      <c r="J47" s="5" t="s">
        <v>99</v>
      </c>
      <c r="K47" s="13" t="s">
        <v>59</v>
      </c>
      <c r="L47" s="11">
        <v>40149</v>
      </c>
      <c r="M47" s="11">
        <v>52907</v>
      </c>
      <c r="N47" s="11">
        <v>74197</v>
      </c>
      <c r="O47" s="21">
        <f t="shared" si="1"/>
        <v>2.8996301807773741</v>
      </c>
      <c r="P47" s="22">
        <v>83645.686250222789</v>
      </c>
      <c r="Q47" s="22">
        <v>93337.199014212965</v>
      </c>
      <c r="R47" s="22">
        <v>103020.07560571696</v>
      </c>
      <c r="S47" s="22">
        <v>112694.32372048641</v>
      </c>
      <c r="T47" s="22">
        <v>122359.95104741522</v>
      </c>
      <c r="U47" s="22">
        <v>132016.96526854567</v>
      </c>
      <c r="V47" s="22">
        <v>141665.3740590745</v>
      </c>
      <c r="W47" s="22">
        <v>151305.18508735907</v>
      </c>
      <c r="X47" s="25">
        <f t="shared" si="2"/>
        <v>242541.55634298103</v>
      </c>
      <c r="Y47" s="25">
        <f t="shared" si="2"/>
        <v>270643.35925083607</v>
      </c>
      <c r="Z47" s="25">
        <f t="shared" si="2"/>
        <v>298720.12045230385</v>
      </c>
      <c r="AA47" s="25">
        <f t="shared" si="2"/>
        <v>326771.86226221791</v>
      </c>
      <c r="AB47" s="25">
        <f t="shared" si="2"/>
        <v>354798.60697552725</v>
      </c>
      <c r="AC47" s="25">
        <f t="shared" si="2"/>
        <v>382800.3768673134</v>
      </c>
      <c r="AD47" s="25">
        <f t="shared" si="2"/>
        <v>410777.19419280853</v>
      </c>
      <c r="AE47" s="25">
        <f t="shared" si="2"/>
        <v>438729.08118741302</v>
      </c>
    </row>
    <row r="48" spans="2:31" x14ac:dyDescent="0.35">
      <c r="B48" s="5" t="s">
        <v>47</v>
      </c>
      <c r="C48" s="6">
        <v>4278</v>
      </c>
      <c r="D48" s="6">
        <v>30782</v>
      </c>
      <c r="E48" s="6">
        <v>69982</v>
      </c>
      <c r="F48" s="8">
        <v>5507</v>
      </c>
      <c r="G48" s="8">
        <v>32379</v>
      </c>
      <c r="H48" s="8">
        <v>42023.819684990805</v>
      </c>
      <c r="I48" s="5" t="s">
        <v>47</v>
      </c>
      <c r="J48" s="5" t="s">
        <v>100</v>
      </c>
      <c r="K48" s="5" t="s">
        <v>53</v>
      </c>
      <c r="L48" s="11">
        <v>0</v>
      </c>
      <c r="M48" s="11">
        <v>20746</v>
      </c>
      <c r="N48" s="11">
        <v>49975</v>
      </c>
      <c r="O48" s="21">
        <f t="shared" si="1"/>
        <v>0.84089684212087656</v>
      </c>
      <c r="P48" s="22">
        <v>53363.485862518137</v>
      </c>
      <c r="Q48" s="22">
        <v>56871.118564109151</v>
      </c>
      <c r="R48" s="22">
        <v>60372.676588739829</v>
      </c>
      <c r="S48" s="22">
        <v>63868.170456810491</v>
      </c>
      <c r="T48" s="22">
        <v>67357.61067050173</v>
      </c>
      <c r="U48" s="22">
        <v>70841.007713806015</v>
      </c>
      <c r="V48" s="22">
        <v>74318.372052559149</v>
      </c>
      <c r="W48" s="22">
        <v>77789.714134471724</v>
      </c>
      <c r="X48" s="25">
        <f t="shared" si="2"/>
        <v>44873.186746353545</v>
      </c>
      <c r="Y48" s="25">
        <f t="shared" si="2"/>
        <v>47822.744008441347</v>
      </c>
      <c r="Z48" s="25">
        <f t="shared" si="2"/>
        <v>50767.193093856295</v>
      </c>
      <c r="AA48" s="25">
        <f t="shared" si="2"/>
        <v>53706.542849169804</v>
      </c>
      <c r="AB48" s="25">
        <f t="shared" si="2"/>
        <v>56640.802105632363</v>
      </c>
      <c r="AC48" s="25">
        <f t="shared" si="2"/>
        <v>59569.979679200136</v>
      </c>
      <c r="AD48" s="25">
        <f t="shared" si="2"/>
        <v>62494.084370561395</v>
      </c>
      <c r="AE48" s="25">
        <f t="shared" si="2"/>
        <v>65413.124965162991</v>
      </c>
    </row>
    <row r="49" spans="2:31" x14ac:dyDescent="0.35">
      <c r="B49" s="5" t="s">
        <v>48</v>
      </c>
      <c r="C49" s="6">
        <v>21148</v>
      </c>
      <c r="D49" s="6">
        <v>35628</v>
      </c>
      <c r="E49" s="6">
        <v>62258.419764351172</v>
      </c>
      <c r="F49" s="8">
        <v>15850</v>
      </c>
      <c r="G49" s="8">
        <v>36886</v>
      </c>
      <c r="H49" s="8">
        <v>42581.173443884632</v>
      </c>
      <c r="I49" s="5" t="s">
        <v>48</v>
      </c>
      <c r="J49" s="5" t="s">
        <v>101</v>
      </c>
      <c r="K49" s="5" t="s">
        <v>53</v>
      </c>
      <c r="L49" s="11">
        <v>18722</v>
      </c>
      <c r="M49" s="11">
        <v>27874</v>
      </c>
      <c r="N49" s="11">
        <v>46537</v>
      </c>
      <c r="O49" s="21">
        <f t="shared" si="1"/>
        <v>0.91499609867169418</v>
      </c>
      <c r="P49" s="22">
        <v>46568.527411597919</v>
      </c>
      <c r="Q49" s="22">
        <v>46618.865742963979</v>
      </c>
      <c r="R49" s="22">
        <v>46668.834051931568</v>
      </c>
      <c r="S49" s="22">
        <v>46718.435058427458</v>
      </c>
      <c r="T49" s="22">
        <v>46767.671462385042</v>
      </c>
      <c r="U49" s="22">
        <v>46816.54594389128</v>
      </c>
      <c r="V49" s="22">
        <v>46865.061163332604</v>
      </c>
      <c r="W49" s="22">
        <v>46913.219761539716</v>
      </c>
      <c r="X49" s="25">
        <f t="shared" ref="X49:AE94" si="3">P49*$O49</f>
        <v>42610.020902497941</v>
      </c>
      <c r="Y49" s="25">
        <f t="shared" si="3"/>
        <v>42656.080279311529</v>
      </c>
      <c r="Z49" s="25">
        <f t="shared" si="3"/>
        <v>42701.801087074098</v>
      </c>
      <c r="AA49" s="25">
        <f t="shared" si="3"/>
        <v>42747.185814508026</v>
      </c>
      <c r="AB49" s="25">
        <f t="shared" si="3"/>
        <v>42792.236932041837</v>
      </c>
      <c r="AC49" s="25">
        <f t="shared" si="3"/>
        <v>42836.956891944646</v>
      </c>
      <c r="AD49" s="25">
        <f t="shared" si="3"/>
        <v>42881.348128459664</v>
      </c>
      <c r="AE49" s="25">
        <f t="shared" si="3"/>
        <v>42925.413057936668</v>
      </c>
    </row>
    <row r="50" spans="2:31" x14ac:dyDescent="0.35">
      <c r="B50" s="9" t="s">
        <v>49</v>
      </c>
      <c r="C50" s="10">
        <f>SUM(C3:C49)</f>
        <v>841834</v>
      </c>
      <c r="D50" s="10">
        <f t="shared" ref="D50:H50" si="4">SUM(D3:D49)</f>
        <v>1994699</v>
      </c>
      <c r="E50" s="10">
        <f t="shared" si="4"/>
        <v>2606717.2682034047</v>
      </c>
      <c r="F50" s="10">
        <f t="shared" si="4"/>
        <v>724195</v>
      </c>
      <c r="G50" s="10">
        <f t="shared" si="4"/>
        <v>2312731</v>
      </c>
      <c r="H50" s="10">
        <f t="shared" si="4"/>
        <v>2488957.6157619865</v>
      </c>
      <c r="I50" s="9" t="s">
        <v>49</v>
      </c>
      <c r="J50" s="14" t="s">
        <v>49</v>
      </c>
      <c r="K50" s="14"/>
      <c r="L50" s="15">
        <f>SUM(L3:L49)</f>
        <v>479279</v>
      </c>
      <c r="M50" s="15">
        <f t="shared" ref="M50:N50" si="5">SUM(M3:M49)</f>
        <v>1248604</v>
      </c>
      <c r="N50" s="15">
        <f t="shared" si="5"/>
        <v>1698828.4231265213</v>
      </c>
      <c r="O50" s="21">
        <f t="shared" si="1"/>
        <v>1.4651024093306095</v>
      </c>
      <c r="P50" s="24">
        <f>SUM(P3:P49)</f>
        <v>1751813.4862019871</v>
      </c>
      <c r="Q50" s="24">
        <f t="shared" ref="Q50:AE50" si="6">SUM(Q3:Q49)</f>
        <v>1816536.0591124315</v>
      </c>
      <c r="R50" s="24">
        <f t="shared" si="6"/>
        <v>1881091.5665167032</v>
      </c>
      <c r="S50" s="24">
        <f t="shared" si="6"/>
        <v>1945479.730075642</v>
      </c>
      <c r="T50" s="24">
        <f t="shared" si="6"/>
        <v>2009700.2951070415</v>
      </c>
      <c r="U50" s="24">
        <f t="shared" si="6"/>
        <v>2073753.0300113256</v>
      </c>
      <c r="V50" s="24">
        <f t="shared" si="6"/>
        <v>2137637.7257091203</v>
      </c>
      <c r="W50" s="24">
        <f t="shared" si="6"/>
        <v>2201354.1950904946</v>
      </c>
      <c r="X50" s="24">
        <f t="shared" si="6"/>
        <v>2625416.5474485676</v>
      </c>
      <c r="Y50" s="24">
        <f t="shared" si="6"/>
        <v>2764356.3256594278</v>
      </c>
      <c r="Z50" s="24">
        <f t="shared" si="6"/>
        <v>2902687.3761878503</v>
      </c>
      <c r="AA50" s="24">
        <f t="shared" si="6"/>
        <v>3040413.0474520996</v>
      </c>
      <c r="AB50" s="24">
        <f t="shared" si="6"/>
        <v>3177536.6729576276</v>
      </c>
      <c r="AC50" s="24">
        <f t="shared" si="6"/>
        <v>3314061.5712411776</v>
      </c>
      <c r="AD50" s="24">
        <f t="shared" si="6"/>
        <v>3449991.0458185826</v>
      </c>
      <c r="AE50" s="24">
        <f t="shared" si="6"/>
        <v>3585328.385136168</v>
      </c>
    </row>
    <row r="52" spans="2:31" x14ac:dyDescent="0.35">
      <c r="X52" s="29">
        <v>2621084.7285205033</v>
      </c>
      <c r="Y52" s="29">
        <v>2808342.8446862567</v>
      </c>
      <c r="Z52" s="29">
        <v>2994522.9390719552</v>
      </c>
      <c r="AA52" s="29">
        <v>3179633.7261709766</v>
      </c>
      <c r="AB52" s="29">
        <v>3363683.8243419109</v>
      </c>
      <c r="AC52" s="29">
        <v>3546681.7571162651</v>
      </c>
      <c r="AD52" s="29">
        <v>3728635.9544863193</v>
      </c>
      <c r="AE52" s="29">
        <v>3909554.7541734623</v>
      </c>
    </row>
    <row r="54" spans="2:31" x14ac:dyDescent="0.35">
      <c r="X54" s="31">
        <f>X50/X52-1</f>
        <v>1.6526817622219969E-3</v>
      </c>
      <c r="Y54" s="31">
        <f t="shared" ref="Y54:AE54" si="7">Y50/Y52-1</f>
        <v>-1.5662802392541586E-2</v>
      </c>
      <c r="Z54" s="31">
        <f t="shared" si="7"/>
        <v>-3.0667844178400627E-2</v>
      </c>
      <c r="AA54" s="31">
        <f t="shared" si="7"/>
        <v>-4.378513083849167E-2</v>
      </c>
      <c r="AB54" s="31">
        <f t="shared" si="7"/>
        <v>-5.5340264158359798E-2</v>
      </c>
      <c r="AC54" s="31">
        <f t="shared" si="7"/>
        <v>-6.5588119207015128E-2</v>
      </c>
      <c r="AD54" s="31">
        <f t="shared" si="7"/>
        <v>-7.4731057702876358E-2</v>
      </c>
      <c r="AE54" s="31">
        <f t="shared" si="7"/>
        <v>-8.2931788764738945E-2</v>
      </c>
    </row>
  </sheetData>
  <mergeCells count="5">
    <mergeCell ref="C1:E1"/>
    <mergeCell ref="F1:H1"/>
    <mergeCell ref="P1:W1"/>
    <mergeCell ref="X1:AE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Other with medical doctors</vt:lpstr>
      <vt:lpstr>Other with nurses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2024-03-06T15:34:36Z</dcterms:created>
  <dcterms:modified xsi:type="dcterms:W3CDTF">2024-03-06T17:17:07Z</dcterms:modified>
</cp:coreProperties>
</file>