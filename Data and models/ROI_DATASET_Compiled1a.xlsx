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4"/>
    <sheet state="visible" name="Variables" sheetId="2" r:id="rId5"/>
    <sheet state="visible" name="Tuition and salaries" sheetId="3" r:id="rId6"/>
    <sheet state="visible" name="Graduates" sheetId="4" r:id="rId7"/>
    <sheet state="visible" name="Salaries_total" sheetId="5" r:id="rId8"/>
  </sheets>
  <definedNames>
    <definedName hidden="1" localSheetId="3" name="_xlnm._FilterDatabase">Graduates!$A$1:$M$48</definedName>
  </definedNames>
  <calcPr/>
  <extLst>
    <ext uri="GoogleSheetsCustomDataVersion2">
      <go:sheetsCustomData xmlns:go="http://customooxmlschemas.google.com/" r:id="rId9" roundtripDataChecksum="M5U6VsbM+YF4u0xtG1e6EHwY1OeWCGJl6X4NgeuLHZo="/>
    </ext>
  </extLst>
</workbook>
</file>

<file path=xl/sharedStrings.xml><?xml version="1.0" encoding="utf-8"?>
<sst xmlns="http://schemas.openxmlformats.org/spreadsheetml/2006/main" count="528" uniqueCount="205">
  <si>
    <t>Country</t>
  </si>
  <si>
    <t>ISO</t>
  </si>
  <si>
    <t>Population_2023</t>
  </si>
  <si>
    <t>HAQ</t>
  </si>
  <si>
    <t>Productivity</t>
  </si>
  <si>
    <t>GINI INDEX</t>
  </si>
  <si>
    <t>Density_2023_Medical Doctors</t>
  </si>
  <si>
    <t>Density_2023_Nursing Personnel</t>
  </si>
  <si>
    <t>Density_2023_Midwifery Personnel</t>
  </si>
  <si>
    <t>Density_2023_Dentists</t>
  </si>
  <si>
    <t>Density_2023_Pharmacists</t>
  </si>
  <si>
    <t>Density_2023_Medical and Pathology Laboratory Scientists</t>
  </si>
  <si>
    <t>Density_2023_Medical and Pathology Laboratory Technicians</t>
  </si>
  <si>
    <t>Density_7_cadres_2023</t>
  </si>
  <si>
    <t>GDP_PPP_2023</t>
  </si>
  <si>
    <t>GDP_PPP_2024</t>
  </si>
  <si>
    <t>HALE_2021</t>
  </si>
  <si>
    <t>SCI_Capacity and Access</t>
  </si>
  <si>
    <t>SCI_Infectious diseases</t>
  </si>
  <si>
    <t>SCI_NCD</t>
  </si>
  <si>
    <t>SCI_RMNCH</t>
  </si>
  <si>
    <t>SCI_Average</t>
  </si>
  <si>
    <t>DALYS_2021_All Causes per capita 2021</t>
  </si>
  <si>
    <t>DALYS_2021_Communicable, maternal, perinatal and nutritional conditions per capita 2021</t>
  </si>
  <si>
    <t>DALYS_2021_Noncommunicable diseases per capita (2021)</t>
  </si>
  <si>
    <t>DALYS_2021_Injuries per capita 2021</t>
  </si>
  <si>
    <t>Health_Security_Index_2021</t>
  </si>
  <si>
    <t>Algeria</t>
  </si>
  <si>
    <t>DZA</t>
  </si>
  <si>
    <t>Angola</t>
  </si>
  <si>
    <t>AGO</t>
  </si>
  <si>
    <t>Benin</t>
  </si>
  <si>
    <t>BEN</t>
  </si>
  <si>
    <t>Botswana</t>
  </si>
  <si>
    <t>BWA</t>
  </si>
  <si>
    <t>Burkina Faso</t>
  </si>
  <si>
    <t>BFA</t>
  </si>
  <si>
    <t>Burundi</t>
  </si>
  <si>
    <t>BDI</t>
  </si>
  <si>
    <t>Cabo Verde</t>
  </si>
  <si>
    <t>CPV</t>
  </si>
  <si>
    <t>Cameroon</t>
  </si>
  <si>
    <t>CMR</t>
  </si>
  <si>
    <t>Central African Republic</t>
  </si>
  <si>
    <t>CAF</t>
  </si>
  <si>
    <t>Chad</t>
  </si>
  <si>
    <t>TCD</t>
  </si>
  <si>
    <t>Comoros</t>
  </si>
  <si>
    <t>COM</t>
  </si>
  <si>
    <t>Congo</t>
  </si>
  <si>
    <t>COG</t>
  </si>
  <si>
    <t>Côte d'Ivoire</t>
  </si>
  <si>
    <t>CIV</t>
  </si>
  <si>
    <t>Democratic Republic of the Congo</t>
  </si>
  <si>
    <t>COD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</si>
  <si>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</si>
  <si>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</si>
  <si>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</si>
  <si>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</si>
  <si>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</si>
  <si>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</si>
  <si>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</si>
  <si>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</si>
  <si>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</si>
  <si>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</si>
  <si>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</si>
  <si>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</si>
  <si>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</si>
  <si>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</si>
  <si>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</si>
  <si>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</si>
  <si>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</si>
  <si>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</si>
  <si>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</si>
  <si>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</si>
  <si>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</si>
  <si>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</si>
  <si>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</si>
  <si>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</si>
  <si>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</si>
  <si>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</si>
  <si>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</si>
  <si>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</si>
  <si>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</si>
  <si>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</si>
  <si>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</si>
  <si>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</si>
  <si>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</si>
  <si>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</si>
  <si>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</si>
  <si>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</si>
  <si>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</si>
  <si>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</si>
  <si>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</si>
  <si>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</si>
  <si>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</si>
  <si>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</si>
  <si>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</si>
  <si>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</si>
  <si>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</si>
  <si>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</si>
  <si>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</si>
  <si>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</si>
  <si>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</si>
  <si>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</si>
  <si>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</si>
  <si>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</si>
  <si>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South Africa</t>
  </si>
  <si>
    <t>ZAF</t>
  </si>
  <si>
    <t>South Sudan</t>
  </si>
  <si>
    <t>SSD</t>
  </si>
  <si>
    <t>Togo</t>
  </si>
  <si>
    <t>UGA</t>
  </si>
  <si>
    <t>Uganda</t>
  </si>
  <si>
    <t>TZA</t>
  </si>
  <si>
    <t>United Republic of Tanzania</t>
  </si>
  <si>
    <t>TGO</t>
  </si>
  <si>
    <t>Zambia</t>
  </si>
  <si>
    <t>ZMB</t>
  </si>
  <si>
    <t>Zimbabwe</t>
  </si>
  <si>
    <t>ZWE</t>
  </si>
  <si>
    <r>
      <rPr>
        <rFont val="Aptos Narrow"/>
        <color rgb="FF404040"/>
        <sz val="11.0"/>
      </rPr>
      <t>Healthcare Access and Quality (HAQ) Index</t>
    </r>
    <r>
      <rPr>
        <rFont val="Aptos Narrow"/>
        <color rgb="FF404040"/>
        <sz val="11.0"/>
      </rPr>
      <t> is a metric developed by the Institute for Health Metrics and Evaluation (IHME) to assess health system performance.</t>
    </r>
  </si>
  <si>
    <r>
      <rPr>
        <rFont val="Aptos Narrow"/>
        <color rgb="FF404040"/>
        <sz val="11.0"/>
      </rPr>
      <t>The </t>
    </r>
    <r>
      <rPr>
        <rFont val="Aptos Narrow"/>
        <color rgb="FF404040"/>
        <sz val="11.0"/>
      </rPr>
      <t>Productivity Index</t>
    </r>
    <r>
      <rPr>
        <rFont val="Aptos Narrow"/>
        <color rgb="FF404040"/>
        <sz val="11.0"/>
      </rPr>
      <t> developed by the </t>
    </r>
    <r>
      <rPr>
        <rFont val="Aptos Narrow"/>
        <color rgb="FF404040"/>
        <sz val="11.0"/>
      </rPr>
      <t>International Labour Organization (ILO)</t>
    </r>
    <r>
      <rPr>
        <rFont val="Aptos Narrow"/>
        <color rgb="FF404040"/>
        <sz val="11.0"/>
      </rPr>
      <t> measures the efficiency of labour in generating economic output.</t>
    </r>
  </si>
  <si>
    <r>
      <rPr>
        <rFont val="Aptos Narrow"/>
        <color rgb="FF404040"/>
        <sz val="11.0"/>
      </rPr>
      <t>The </t>
    </r>
    <r>
      <rPr>
        <rFont val="Aptos Narrow"/>
        <color rgb="FF404040"/>
        <sz val="11.0"/>
      </rPr>
      <t>Gini coefficient</t>
    </r>
    <r>
      <rPr>
        <rFont val="Aptos Narrow"/>
        <color rgb="FF404040"/>
        <sz val="11.0"/>
      </rPr>
      <t> is a key economic metric for measuring </t>
    </r>
    <r>
      <rPr>
        <rFont val="Aptos Narrow"/>
        <color rgb="FF404040"/>
        <sz val="11.0"/>
      </rPr>
      <t>income or wealth inequality</t>
    </r>
    <r>
      <rPr>
        <rFont val="Aptos Narrow"/>
        <color rgb="FF404040"/>
        <sz val="11.0"/>
      </rPr>
      <t> within a population</t>
    </r>
  </si>
  <si>
    <t>per 10000 population</t>
  </si>
  <si>
    <r>
      <rPr>
        <rFont val="Aptos Narrow"/>
        <color rgb="FF404040"/>
        <sz val="11.0"/>
      </rPr>
      <t>Measures a country’s economic output adjusted for </t>
    </r>
    <r>
      <rPr>
        <rFont val="Aptos Narrow"/>
        <color rgb="FF404040"/>
        <sz val="11.0"/>
      </rPr>
      <t>price differences across countries</t>
    </r>
    <r>
      <rPr>
        <rFont val="Aptos Narrow"/>
        <color rgb="FF404040"/>
        <sz val="11.0"/>
      </rPr>
      <t> (PPP) and </t>
    </r>
    <r>
      <rPr>
        <rFont val="Aptos Narrow"/>
        <color rgb="FF404040"/>
        <sz val="11.0"/>
      </rPr>
      <t>inflation</t>
    </r>
    <r>
      <rPr>
        <rFont val="Aptos Narrow"/>
        <color rgb="FF404040"/>
        <sz val="11.0"/>
      </rPr>
      <t> (constant currency).</t>
    </r>
  </si>
  <si>
    <r>
      <rPr>
        <rFont val="Aptos Narrow"/>
        <color rgb="FF404040"/>
        <sz val="11.0"/>
      </rPr>
      <t>HALE estimates the average number of years a person can expect to live in </t>
    </r>
    <r>
      <rPr>
        <rFont val="Aptos Narrow"/>
        <color rgb="FF404040"/>
        <sz val="11.0"/>
      </rPr>
      <t>full health</t>
    </r>
    <r>
      <rPr>
        <rFont val="Aptos Narrow"/>
        <color rgb="FF404040"/>
        <sz val="11.0"/>
      </rPr>
      <t> (discounting years lived with illness/disability). It combines mortality and morbidity data into a single metric.</t>
    </r>
  </si>
  <si>
    <r>
      <rPr>
        <rFont val="Aptos Narrow"/>
        <color rgb="FF404040"/>
        <sz val="11.0"/>
      </rPr>
      <t>The </t>
    </r>
    <r>
      <rPr>
        <rFont val="Aptos Narrow"/>
        <color rgb="FF404040"/>
        <sz val="11.0"/>
      </rPr>
      <t>UHC Service Coverage Index (SCI)</t>
    </r>
    <r>
      <rPr>
        <rFont val="Aptos Narrow"/>
        <color rgb="FF404040"/>
        <sz val="11.0"/>
      </rPr>
      <t> is a WHO-developed metric to track progress toward </t>
    </r>
    <r>
      <rPr>
        <rFont val="Aptos Narrow"/>
        <color rgb="FF404040"/>
        <sz val="11.0"/>
      </rPr>
      <t>Universal Health Coverage (UHC)</t>
    </r>
    <r>
      <rPr>
        <rFont val="Aptos Narrow"/>
        <color rgb="FF404040"/>
        <sz val="11.0"/>
      </rPr>
      <t> by measuring </t>
    </r>
    <r>
      <rPr>
        <rFont val="Aptos Narrow"/>
        <color rgb="FF404040"/>
        <sz val="11.0"/>
      </rPr>
      <t>health service capacity and access</t>
    </r>
    <r>
      <rPr>
        <rFont val="Aptos Narrow"/>
        <color rgb="FF404040"/>
        <sz val="11.0"/>
      </rPr>
      <t>.</t>
    </r>
  </si>
  <si>
    <r>
      <rPr>
        <rFont val="Aptos Narrow"/>
        <color rgb="FF404040"/>
        <sz val="11.0"/>
      </rPr>
      <t>measures a country's capacity to prevent, detect, and treat </t>
    </r>
    <r>
      <rPr>
        <rFont val="Aptos Narrow"/>
        <color rgb="FF404040"/>
        <sz val="11.0"/>
      </rPr>
      <t>communicable diseases</t>
    </r>
  </si>
  <si>
    <r>
      <rPr>
        <rFont val="Aptos Narrow"/>
        <color rgb="FF404040"/>
        <sz val="11.0"/>
      </rPr>
      <t>evaluates a health system's capacity to </t>
    </r>
    <r>
      <rPr>
        <rFont val="Aptos Narrow"/>
        <color rgb="FF404040"/>
        <sz val="11.0"/>
      </rPr>
      <t>prevent, diagnose, and manage chronic diseases</t>
    </r>
    <r>
      <rPr>
        <rFont val="Aptos Narrow"/>
        <color rgb="FF404040"/>
        <sz val="11.0"/>
      </rPr>
      <t> </t>
    </r>
  </si>
  <si>
    <r>
      <rPr>
        <rFont val="Aptos Narrow"/>
        <color rgb="FF404040"/>
        <sz val="11.0"/>
      </rPr>
      <t>measures coverage of essential health services for </t>
    </r>
    <r>
      <rPr>
        <rFont val="Aptos Narrow"/>
        <color rgb="FF404040"/>
        <sz val="11.0"/>
      </rPr>
      <t>women and children</t>
    </r>
    <r>
      <rPr>
        <rFont val="Aptos Narrow"/>
        <color rgb="FF404040"/>
        <sz val="11.0"/>
      </rPr>
      <t>, including prenatal care, skilled birth attendance, immunization, and postnatal care.</t>
    </r>
  </si>
  <si>
    <t>measures the average number of healthy life years lost per person in 2021 due to all diseases and injuries, combining premature death and disability.</t>
  </si>
  <si>
    <t>measures the average number of healthy life years lost per person in 2021 due to infectious diseases, pregnancy-related complications, birth conditions, and nutritional deficiencies.</t>
  </si>
  <si>
    <t>measures the average number of healthy life years lost per person in 2021 due to Noncommunicable diseases deficiencies.</t>
  </si>
  <si>
    <t xml:space="preserve">measures the average number of healthy life years lost per person in 2021 due to Injuries </t>
  </si>
  <si>
    <t>global benchmark that assesses how well 195 countries are prepared to prevent, detect, and respond to infectious disease threats, revealing widespread gaps in pandemic readiness</t>
  </si>
  <si>
    <t>Tuition fees</t>
  </si>
  <si>
    <t>Generalist Medical Practitioners</t>
  </si>
  <si>
    <t>Nursing Professionals</t>
  </si>
  <si>
    <t>Midwifery personnel</t>
  </si>
  <si>
    <t>Pharmacists</t>
  </si>
  <si>
    <t>Dentists</t>
  </si>
  <si>
    <t>Paramedical Practitioners</t>
  </si>
  <si>
    <t>Variable</t>
  </si>
  <si>
    <t>Medical Doctors</t>
  </si>
  <si>
    <t>Nursing Personnel</t>
  </si>
  <si>
    <t>Dentist</t>
  </si>
  <si>
    <t>Clinical Officer/Physician Assistant</t>
  </si>
  <si>
    <t>Median</t>
  </si>
  <si>
    <t>Average</t>
  </si>
  <si>
    <t>Minimum</t>
  </si>
  <si>
    <t>Maximum</t>
  </si>
  <si>
    <t>Number of countries</t>
  </si>
  <si>
    <t>Estimated Salaries of Health Workers</t>
  </si>
  <si>
    <t>Occupation</t>
  </si>
  <si>
    <t>Number of Countries</t>
  </si>
  <si>
    <t>Audiologists and Speech Therapists</t>
  </si>
  <si>
    <t>Inputed with average</t>
  </si>
  <si>
    <t>Min</t>
  </si>
  <si>
    <t>Max</t>
  </si>
  <si>
    <t>Community Health Workers</t>
  </si>
  <si>
    <t>Dental Assistants and Therapists</t>
  </si>
  <si>
    <t>Dieticians and nutritionists</t>
  </si>
  <si>
    <t>Environmental and occupational health &amp; hygiene workers</t>
  </si>
  <si>
    <t>Medical and dental Prosthetic Technicians</t>
  </si>
  <si>
    <t>Other Health Workers</t>
  </si>
  <si>
    <t>Medical and Pathology Laboratory scientists</t>
  </si>
  <si>
    <t>Medical and Pathology Laboratory Technicians</t>
  </si>
  <si>
    <t>Medical Imaging and Therapeutic Equipment Technicians</t>
  </si>
  <si>
    <t>Optometrists and Ophthalmic Opticians</t>
  </si>
  <si>
    <t>Pharmaceutical Technicians and Assistants</t>
  </si>
  <si>
    <t>Pharmacist</t>
  </si>
  <si>
    <t>Physiotherapists and physiotherapy assistants</t>
  </si>
  <si>
    <t>Psychologists</t>
  </si>
  <si>
    <t>Social workers</t>
  </si>
  <si>
    <t>Specialist Medical Practitioners</t>
  </si>
  <si>
    <t>Mean</t>
  </si>
  <si>
    <t>Training Cost</t>
  </si>
  <si>
    <t>Other</t>
  </si>
  <si>
    <t>ISO3</t>
  </si>
  <si>
    <t>Other Dental practitioners</t>
  </si>
  <si>
    <t>Other Pharmacy practitioners</t>
  </si>
  <si>
    <t>Total</t>
  </si>
  <si>
    <t>Midwifery Personnel</t>
  </si>
  <si>
    <t>Medical and Pathology Laboratory Scientists</t>
  </si>
  <si>
    <t xml:space="preserve">Total core cadre training </t>
  </si>
  <si>
    <t>Population</t>
  </si>
  <si>
    <t>Total core cadre training per capita</t>
  </si>
  <si>
    <t xml:space="preserve"> </t>
  </si>
  <si>
    <t>Total_2023_Medical Doctors</t>
  </si>
  <si>
    <t>Total_2023_Nursing Personnel</t>
  </si>
  <si>
    <t>Total__2023_Midwifery Personnel</t>
  </si>
  <si>
    <t>Total_2023_Dentists</t>
  </si>
  <si>
    <t>Total_2023_Pharmacists</t>
  </si>
  <si>
    <t>Total_2023_Medical and Pathology Laboratory Scientists</t>
  </si>
  <si>
    <t>Total_2023_Medical and Pathology Laboratory Technicians</t>
  </si>
  <si>
    <t>Salary_Exp_2023_Medical Doctors</t>
  </si>
  <si>
    <t>Salary_Exp_2023_Nursing Personnel</t>
  </si>
  <si>
    <t>Salary_Exp_2023_Midwifery Personnel</t>
  </si>
  <si>
    <t>Salary_Exp_2023_Dentists</t>
  </si>
  <si>
    <t>Salary_Exp_2023_Pharmacists</t>
  </si>
  <si>
    <t>Salary_Exp_2023_Medical and Pathology Laboratory Scientists</t>
  </si>
  <si>
    <t>Salary_Exp_2023_Medical and Pathology Laboratory Technicians</t>
  </si>
  <si>
    <t>Salary_Exp_7_cadres_2023</t>
  </si>
  <si>
    <t>salary per population for the 7 core cadres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</si>
</sst>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(* #,##0_);_(* \(#,##0\);_(* &quot;-&quot;??_);_(@_)"/>
    <numFmt numFmtId="166" formatCode="_-* #,##0.00_-;\-* #,##0.00_-;_-* &quot;-&quot;??_-;_-@"/>
    <numFmt numFmtId="167" formatCode="_(* #,##0.00_);_(* \(#,##0.00\);_(* &quot;-&quot;??_);_(@_)"/>
    <numFmt numFmtId="168" formatCode="[$$-C09]#,##0;\-[$$-C09]#,##0"/>
    <numFmt numFmtId="169" formatCode="_-* #,##0.0_-;\-* #,##0.0_-;_-* &quot;-&quot;??_-;_-@"/>
  </numFmts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ptos Narrow"/>
    </font>
    <font>
      <sz val="11.0"/>
      <color rgb="FF404040"/>
      <name val="Aptos Narrow"/>
    </font>
    <font>
      <b/>
      <sz val="12.0"/>
      <color theme="0"/>
      <name val="Garamond"/>
    </font>
    <font>
      <sz val="12.0"/>
      <color theme="0"/>
      <name val="Aptos Narrow"/>
    </font>
    <font>
      <b/>
      <sz val="12.0"/>
      <color theme="0"/>
      <name val="Aptos Narrow"/>
    </font>
    <font>
      <color theme="1"/>
      <name val="Arial"/>
    </font>
    <font>
      <b/>
      <sz val="9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D76DCC"/>
        <bgColor rgb="FFD76DCC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D8D8D8"/>
      </right>
      <top/>
      <bottom/>
    </border>
    <border>
      <left/>
      <right style="thin">
        <color rgb="FFD8D8D8"/>
      </right>
      <top/>
      <bottom style="double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164" xfId="0" applyFont="1" applyNumberForma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5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vertical="center"/>
    </xf>
    <xf borderId="2" fillId="2" fontId="6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0" fillId="0" fontId="4" numFmtId="165" xfId="0" applyFont="1" applyNumberFormat="1"/>
    <xf borderId="0" fillId="0" fontId="4" numFmtId="166" xfId="0" applyFont="1" applyNumberFormat="1"/>
    <xf borderId="3" fillId="3" fontId="7" numFmtId="0" xfId="0" applyAlignment="1" applyBorder="1" applyFill="1" applyFont="1">
      <alignment shrinkToFit="0" vertical="top" wrapText="1"/>
    </xf>
    <xf borderId="3" fillId="3" fontId="8" numFmtId="0" xfId="0" applyAlignment="1" applyBorder="1" applyFont="1">
      <alignment shrinkToFit="0" vertical="top" wrapText="1"/>
    </xf>
    <xf borderId="4" fillId="4" fontId="4" numFmtId="3" xfId="0" applyAlignment="1" applyBorder="1" applyFill="1" applyFont="1" applyNumberFormat="1">
      <alignment vertical="top"/>
    </xf>
    <xf borderId="0" fillId="0" fontId="1" numFmtId="166" xfId="0" applyFont="1" applyNumberFormat="1"/>
    <xf borderId="3" fillId="5" fontId="4" numFmtId="167" xfId="0" applyBorder="1" applyFill="1" applyFont="1" applyNumberFormat="1"/>
    <xf borderId="5" fillId="4" fontId="4" numFmtId="3" xfId="0" applyAlignment="1" applyBorder="1" applyFont="1" applyNumberFormat="1">
      <alignment vertical="top"/>
    </xf>
    <xf borderId="3" fillId="3" fontId="8" numFmtId="167" xfId="0" applyAlignment="1" applyBorder="1" applyFont="1" applyNumberFormat="1">
      <alignment shrinkToFit="0" vertical="top" wrapText="1"/>
    </xf>
    <xf borderId="3" fillId="3" fontId="7" numFmtId="167" xfId="0" applyAlignment="1" applyBorder="1" applyFont="1" applyNumberFormat="1">
      <alignment shrinkToFit="0" vertical="top" wrapText="1"/>
    </xf>
    <xf borderId="2" fillId="2" fontId="6" numFmtId="0" xfId="0" applyAlignment="1" applyBorder="1" applyFont="1">
      <alignment vertical="center"/>
    </xf>
    <xf borderId="0" fillId="0" fontId="4" numFmtId="168" xfId="0" applyFont="1" applyNumberFormat="1"/>
    <xf borderId="3" fillId="3" fontId="7" numFmtId="168" xfId="0" applyAlignment="1" applyBorder="1" applyFont="1" applyNumberFormat="1">
      <alignment shrinkToFit="0" vertical="top" wrapText="1"/>
    </xf>
    <xf borderId="6" fillId="0" fontId="1" numFmtId="0" xfId="0" applyAlignment="1" applyBorder="1" applyFont="1">
      <alignment shrinkToFit="0" vertical="center" wrapText="1"/>
    </xf>
    <xf borderId="0" fillId="0" fontId="4" numFmtId="0" xfId="0" applyFont="1"/>
    <xf borderId="0" fillId="0" fontId="4" numFmtId="169" xfId="0" applyFont="1" applyNumberFormat="1"/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8.63"/>
    <col customWidth="1" min="3" max="3" width="13.88"/>
    <col customWidth="1" min="4" max="4" width="8.63"/>
    <col customWidth="1" min="5" max="5" width="10.38"/>
    <col customWidth="1" min="6" max="6" width="11.13"/>
    <col customWidth="1" min="7" max="11" width="11.75"/>
    <col customWidth="1" min="12" max="12" width="13.5"/>
    <col customWidth="1" min="13" max="13" width="14.0"/>
    <col customWidth="1" min="14" max="14" width="11.75"/>
    <col customWidth="1" min="15" max="22" width="8.63"/>
    <col customWidth="1" min="23" max="23" width="19.5"/>
    <col customWidth="1" min="24" max="24" width="21.5"/>
    <col customWidth="1" min="25" max="25" width="22.0"/>
    <col customWidth="1" min="26" max="26" width="14.13"/>
    <col customWidth="1" min="27" max="27" width="2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</row>
    <row r="2" ht="14.25" customHeight="1">
      <c r="A2" s="4" t="s">
        <v>27</v>
      </c>
      <c r="B2" s="4" t="s">
        <v>28</v>
      </c>
      <c r="C2" s="5">
        <v>4.6053477E7</v>
      </c>
      <c r="D2" s="2">
        <v>58.66345</v>
      </c>
      <c r="E2" s="2">
        <v>28.18</v>
      </c>
      <c r="F2" s="2">
        <v>37.36</v>
      </c>
      <c r="G2" s="2">
        <v>16.396590424649155</v>
      </c>
      <c r="H2" s="2">
        <v>22.750942344700707</v>
      </c>
      <c r="I2" s="2">
        <v>2.0148315837260236</v>
      </c>
      <c r="J2" s="2">
        <v>3.5224267648672867</v>
      </c>
      <c r="K2" s="2">
        <v>2.962208477765967</v>
      </c>
      <c r="L2" s="2">
        <v>0.029530886451852485</v>
      </c>
      <c r="M2" s="2">
        <v>3.3087621158332956</v>
      </c>
      <c r="N2" s="2">
        <v>50.98529259799429</v>
      </c>
      <c r="O2" s="2">
        <v>15227.463</v>
      </c>
      <c r="P2" s="2">
        <v>15545.11</v>
      </c>
      <c r="Q2" s="2">
        <v>65.548194885</v>
      </c>
      <c r="R2" s="2">
        <v>88.72</v>
      </c>
      <c r="S2" s="2">
        <v>82.21</v>
      </c>
      <c r="T2" s="2">
        <v>60.71</v>
      </c>
      <c r="U2" s="2">
        <v>68.12</v>
      </c>
      <c r="V2" s="2">
        <v>74.94</v>
      </c>
      <c r="W2" s="2">
        <v>0.25858506591674785</v>
      </c>
      <c r="X2" s="2">
        <v>0.05482606943972401</v>
      </c>
      <c r="Y2" s="2">
        <v>0.17657851132276614</v>
      </c>
      <c r="Z2" s="2">
        <v>0.02400284950153903</v>
      </c>
      <c r="AA2" s="2">
        <v>26.2</v>
      </c>
    </row>
    <row r="3" ht="14.25" customHeight="1">
      <c r="A3" s="4" t="s">
        <v>29</v>
      </c>
      <c r="B3" s="4" t="s">
        <v>30</v>
      </c>
      <c r="C3" s="5">
        <v>3.6148636E7</v>
      </c>
      <c r="D3" s="2">
        <v>29.30257</v>
      </c>
      <c r="E3" s="2">
        <v>9.49</v>
      </c>
      <c r="F3" s="2">
        <v>45.0</v>
      </c>
      <c r="G3" s="2">
        <v>2.4047933648174165</v>
      </c>
      <c r="H3" s="2">
        <v>18.45657468237529</v>
      </c>
      <c r="I3" s="2">
        <v>0.009128975156904952</v>
      </c>
      <c r="J3" s="2">
        <v>0.0702654451470866</v>
      </c>
      <c r="K3" s="2">
        <v>0.3966954659091425</v>
      </c>
      <c r="L3" s="2">
        <v>0.0035962629405989206</v>
      </c>
      <c r="M3" s="2">
        <v>0.004979440994675428</v>
      </c>
      <c r="N3" s="2">
        <v>21.34603363734111</v>
      </c>
      <c r="O3" s="2">
        <v>8781.558</v>
      </c>
      <c r="P3" s="2">
        <v>8866.691</v>
      </c>
      <c r="Q3" s="2">
        <v>53.761871338</v>
      </c>
      <c r="R3" s="2">
        <v>21.08</v>
      </c>
      <c r="S3" s="2">
        <v>36.07</v>
      </c>
      <c r="T3" s="2">
        <v>53.76</v>
      </c>
      <c r="U3" s="2">
        <v>44.51</v>
      </c>
      <c r="V3" s="2">
        <v>38.855</v>
      </c>
      <c r="W3" s="2">
        <v>0.5558660273603577</v>
      </c>
      <c r="X3" s="2">
        <v>0.3429111313433479</v>
      </c>
      <c r="Y3" s="2">
        <v>0.16924786589235383</v>
      </c>
      <c r="Z3" s="2">
        <v>0.04076747417477013</v>
      </c>
      <c r="AA3" s="2">
        <v>29.1</v>
      </c>
    </row>
    <row r="4" ht="14.25" customHeight="1">
      <c r="A4" s="4" t="s">
        <v>31</v>
      </c>
      <c r="B4" s="4" t="s">
        <v>32</v>
      </c>
      <c r="C4" s="5">
        <v>1.3124347E7</v>
      </c>
      <c r="D4" s="2">
        <v>31.40346</v>
      </c>
      <c r="E4" s="2">
        <v>4.16</v>
      </c>
      <c r="F4" s="2">
        <v>37.6</v>
      </c>
      <c r="G4" s="2">
        <v>2.3178296032556895</v>
      </c>
      <c r="H4" s="2">
        <v>4.716425129570256</v>
      </c>
      <c r="I4" s="2">
        <v>1.8484729183097643</v>
      </c>
      <c r="J4" s="2">
        <v>0.050288216244206284</v>
      </c>
      <c r="K4" s="2">
        <v>0.3299211762688079</v>
      </c>
      <c r="L4" s="2">
        <v>0.508977703804997</v>
      </c>
      <c r="M4" s="2">
        <v>1.2434904380385554</v>
      </c>
      <c r="N4" s="2">
        <v>11.015405185492277</v>
      </c>
      <c r="O4" s="2">
        <v>3829.285</v>
      </c>
      <c r="P4" s="2">
        <v>3966.803</v>
      </c>
      <c r="Q4" s="2">
        <v>55.715812683</v>
      </c>
      <c r="R4" s="2">
        <v>16.86</v>
      </c>
      <c r="S4" s="2">
        <v>47.0</v>
      </c>
      <c r="T4" s="2">
        <v>60.77</v>
      </c>
      <c r="U4" s="2">
        <v>42.82</v>
      </c>
      <c r="V4" s="2">
        <v>41.8625</v>
      </c>
      <c r="W4" s="2">
        <v>0.5415334024925625</v>
      </c>
      <c r="X4" s="2">
        <v>0.325239308880447</v>
      </c>
      <c r="Y4" s="2">
        <v>0.1662778788855776</v>
      </c>
      <c r="Z4" s="2">
        <v>0.047324914602763</v>
      </c>
      <c r="AA4" s="2">
        <v>25.4</v>
      </c>
    </row>
    <row r="5" ht="14.25" customHeight="1">
      <c r="A5" s="4" t="s">
        <v>33</v>
      </c>
      <c r="B5" s="4" t="s">
        <v>34</v>
      </c>
      <c r="C5" s="5">
        <v>2483754.0</v>
      </c>
      <c r="D5" s="2">
        <v>37.50613</v>
      </c>
      <c r="E5" s="2">
        <v>23.79</v>
      </c>
      <c r="F5" s="2">
        <v>57.4</v>
      </c>
      <c r="G5" s="2">
        <v>3.7886199680000514</v>
      </c>
      <c r="H5" s="2">
        <v>30.13583470826821</v>
      </c>
      <c r="I5" s="2">
        <v>0.0</v>
      </c>
      <c r="J5" s="2">
        <v>0.35832856232944166</v>
      </c>
      <c r="K5" s="2">
        <v>0.5314535980616437</v>
      </c>
      <c r="L5" s="2">
        <v>0.603924543251868</v>
      </c>
      <c r="M5" s="2">
        <v>1.252136886342206</v>
      </c>
      <c r="N5" s="2">
        <v>36.670298266253425</v>
      </c>
      <c r="O5" s="2">
        <v>17551.773</v>
      </c>
      <c r="P5" s="2">
        <v>16749.389</v>
      </c>
      <c r="Q5" s="2">
        <v>53.103672028</v>
      </c>
      <c r="R5" s="2">
        <v>43.33</v>
      </c>
      <c r="S5" s="2">
        <v>66.05</v>
      </c>
      <c r="T5" s="2">
        <v>60.17</v>
      </c>
      <c r="U5" s="2">
        <v>53.85</v>
      </c>
      <c r="V5" s="2">
        <v>55.85</v>
      </c>
      <c r="W5" s="2">
        <v>0.5104694662732021</v>
      </c>
      <c r="X5" s="2">
        <v>0.2905673858089361</v>
      </c>
      <c r="Y5" s="2">
        <v>0.16281769439857324</v>
      </c>
      <c r="Z5" s="2">
        <v>0.03681854031920006</v>
      </c>
      <c r="AA5" s="2">
        <v>33.6</v>
      </c>
    </row>
    <row r="6" ht="14.25" customHeight="1">
      <c r="A6" s="4" t="s">
        <v>35</v>
      </c>
      <c r="B6" s="4" t="s">
        <v>36</v>
      </c>
      <c r="C6" s="5">
        <v>2.2720842E7</v>
      </c>
      <c r="D6" s="2">
        <v>28.46235</v>
      </c>
      <c r="E6" s="2">
        <v>4.3</v>
      </c>
      <c r="F6" s="2">
        <v>0.0</v>
      </c>
      <c r="G6" s="2">
        <v>1.4625338268713808</v>
      </c>
      <c r="H6" s="2">
        <v>5.994056030141841</v>
      </c>
      <c r="I6" s="2">
        <v>3.621784791250254</v>
      </c>
      <c r="J6" s="2">
        <v>0.05853656303758461</v>
      </c>
      <c r="K6" s="2">
        <v>0.39655220523957696</v>
      </c>
      <c r="L6" s="2">
        <v>0.002640747204703065</v>
      </c>
      <c r="M6" s="2">
        <v>0.485897485665364</v>
      </c>
      <c r="N6" s="2">
        <v>12.022001649410702</v>
      </c>
      <c r="O6" s="2">
        <v>2462.852</v>
      </c>
      <c r="P6" s="2">
        <v>2508.528</v>
      </c>
      <c r="Q6" s="2">
        <v>54.562423706</v>
      </c>
      <c r="R6" s="2">
        <v>14.92</v>
      </c>
      <c r="S6" s="2">
        <v>50.01</v>
      </c>
      <c r="T6" s="2">
        <v>54.76</v>
      </c>
      <c r="U6" s="2">
        <v>60.22</v>
      </c>
      <c r="V6" s="2">
        <v>44.9775</v>
      </c>
      <c r="W6" s="2">
        <v>0.5393154572937999</v>
      </c>
      <c r="X6" s="2">
        <v>0.30772700766077493</v>
      </c>
      <c r="Y6" s="2">
        <v>0.16837414140323015</v>
      </c>
      <c r="Z6" s="2">
        <v>0.05905687294348642</v>
      </c>
      <c r="AA6" s="2">
        <v>29.8</v>
      </c>
    </row>
    <row r="7" ht="14.25" customHeight="1">
      <c r="A7" s="4" t="s">
        <v>37</v>
      </c>
      <c r="B7" s="4" t="s">
        <v>38</v>
      </c>
      <c r="C7" s="5">
        <v>1.2999141E7</v>
      </c>
      <c r="D7" s="2">
        <v>25.83942</v>
      </c>
      <c r="E7" s="2">
        <v>0.9</v>
      </c>
      <c r="F7" s="2">
        <v>33.33</v>
      </c>
      <c r="G7" s="2">
        <v>0.7985143018296362</v>
      </c>
      <c r="H7" s="2">
        <v>8.36439884758539</v>
      </c>
      <c r="I7" s="2">
        <v>0.3715630132791082</v>
      </c>
      <c r="J7" s="2">
        <v>0.010769942413887195</v>
      </c>
      <c r="K7" s="2">
        <v>0.09539091852300087</v>
      </c>
      <c r="L7" s="2">
        <v>0.9800647596637347</v>
      </c>
      <c r="M7" s="2">
        <v>0.7008155385036595</v>
      </c>
      <c r="N7" s="2">
        <v>11.321517321798417</v>
      </c>
      <c r="O7" s="2">
        <v>875.157</v>
      </c>
      <c r="P7" s="2">
        <v>879.67</v>
      </c>
      <c r="Q7" s="2">
        <v>55.844139099</v>
      </c>
      <c r="R7" s="2">
        <v>13.85</v>
      </c>
      <c r="S7" s="2">
        <v>60.47</v>
      </c>
      <c r="T7" s="2">
        <v>59.39</v>
      </c>
      <c r="U7" s="2">
        <v>59.42</v>
      </c>
      <c r="V7" s="2">
        <v>48.2825</v>
      </c>
      <c r="W7" s="2">
        <v>0.4605715286185427</v>
      </c>
      <c r="X7" s="2">
        <v>0.252918848156319</v>
      </c>
      <c r="Y7" s="2">
        <v>0.1545390833870478</v>
      </c>
      <c r="Z7" s="2">
        <v>0.05108032076215144</v>
      </c>
      <c r="AA7" s="2">
        <v>22.1</v>
      </c>
    </row>
    <row r="8" ht="14.25" customHeight="1">
      <c r="A8" s="4" t="s">
        <v>39</v>
      </c>
      <c r="B8" s="4" t="s">
        <v>40</v>
      </c>
      <c r="C8" s="5">
        <v>573322.0</v>
      </c>
      <c r="D8" s="2">
        <v>50.24222</v>
      </c>
      <c r="E8" s="2">
        <v>11.35</v>
      </c>
      <c r="F8" s="2">
        <v>52.5</v>
      </c>
      <c r="G8" s="2">
        <v>6.645480201352817</v>
      </c>
      <c r="H8" s="2">
        <v>16.378230732467966</v>
      </c>
      <c r="I8" s="2">
        <v>0.45349733657525787</v>
      </c>
      <c r="J8" s="2">
        <v>0.13953764202315627</v>
      </c>
      <c r="K8" s="2">
        <v>0.17442205252894535</v>
      </c>
      <c r="L8" s="2">
        <v>0.06976882101157814</v>
      </c>
      <c r="M8" s="2">
        <v>0.13953764202315627</v>
      </c>
      <c r="N8" s="2">
        <v>24.00047442798288</v>
      </c>
      <c r="O8" s="2">
        <v>9530.21</v>
      </c>
      <c r="P8" s="2">
        <v>10052.799</v>
      </c>
      <c r="Q8" s="2">
        <v>63.765907288</v>
      </c>
      <c r="R8" s="2">
        <v>66.2</v>
      </c>
      <c r="S8" s="2">
        <v>90.4</v>
      </c>
      <c r="T8" s="2">
        <v>56.77</v>
      </c>
      <c r="U8" s="2">
        <v>75.55</v>
      </c>
      <c r="V8" s="2">
        <v>72.23</v>
      </c>
      <c r="W8" s="2">
        <v>0.28416803571937194</v>
      </c>
      <c r="X8" s="2">
        <v>0.06472685320050285</v>
      </c>
      <c r="Y8" s="2">
        <v>0.18145936291550335</v>
      </c>
      <c r="Z8" s="2">
        <v>0.034756189241051116</v>
      </c>
      <c r="AA8" s="2">
        <v>34.1</v>
      </c>
    </row>
    <row r="9" ht="14.25" customHeight="1">
      <c r="A9" s="4" t="s">
        <v>41</v>
      </c>
      <c r="B9" s="4" t="s">
        <v>42</v>
      </c>
      <c r="C9" s="5">
        <v>2.8608129E7</v>
      </c>
      <c r="D9" s="2">
        <v>33.72569</v>
      </c>
      <c r="E9" s="2">
        <v>6.23</v>
      </c>
      <c r="F9" s="2">
        <v>49.0</v>
      </c>
      <c r="G9" s="2">
        <v>1.3150108488395031</v>
      </c>
      <c r="H9" s="2">
        <v>5.779825727156083</v>
      </c>
      <c r="I9" s="2">
        <v>0.5847988171473919</v>
      </c>
      <c r="J9" s="2">
        <v>0.11080766589104796</v>
      </c>
      <c r="K9" s="2">
        <v>0.21042969989404062</v>
      </c>
      <c r="L9" s="2">
        <v>0.10241844197500648</v>
      </c>
      <c r="M9" s="2">
        <v>0.08354268816391314</v>
      </c>
      <c r="N9" s="2">
        <v>8.186833889066985</v>
      </c>
      <c r="O9" s="2">
        <v>4829.024</v>
      </c>
      <c r="P9" s="2">
        <v>4880.519</v>
      </c>
      <c r="Q9" s="2">
        <v>54.007026672</v>
      </c>
      <c r="R9" s="2">
        <v>28.28</v>
      </c>
      <c r="S9" s="2">
        <v>56.12</v>
      </c>
      <c r="T9" s="2">
        <v>49.14</v>
      </c>
      <c r="U9" s="2">
        <v>47.52</v>
      </c>
      <c r="V9" s="2">
        <v>45.26500000000001</v>
      </c>
      <c r="W9" s="2">
        <v>0.5498101903642878</v>
      </c>
      <c r="X9" s="2">
        <v>0.3260829888642136</v>
      </c>
      <c r="Y9" s="2">
        <v>0.17512170372939165</v>
      </c>
      <c r="Z9" s="2">
        <v>0.04280591175165931</v>
      </c>
      <c r="AA9" s="2">
        <v>28.6</v>
      </c>
    </row>
    <row r="10" ht="14.25" customHeight="1">
      <c r="A10" s="4" t="s">
        <v>43</v>
      </c>
      <c r="B10" s="4" t="s">
        <v>44</v>
      </c>
      <c r="C10" s="5">
        <v>5119136.0</v>
      </c>
      <c r="D10" s="2">
        <v>15.16031</v>
      </c>
      <c r="E10" s="2">
        <v>1.57</v>
      </c>
      <c r="F10" s="2">
        <v>59.27</v>
      </c>
      <c r="G10" s="2">
        <v>0.7481731292155551</v>
      </c>
      <c r="H10" s="2">
        <v>7.337175648390667</v>
      </c>
      <c r="I10" s="2">
        <v>3.7057034624592897</v>
      </c>
      <c r="J10" s="2">
        <v>0.00586036393641427</v>
      </c>
      <c r="K10" s="2">
        <v>0.025394910391128504</v>
      </c>
      <c r="L10" s="2">
        <v>0.2187869202927994</v>
      </c>
      <c r="M10" s="2">
        <v>0.5606414832502985</v>
      </c>
      <c r="N10" s="2">
        <v>12.601735917936152</v>
      </c>
      <c r="O10" s="2">
        <v>1163.458</v>
      </c>
      <c r="P10" s="2">
        <v>1145.161</v>
      </c>
      <c r="Q10" s="2">
        <v>45.432891846</v>
      </c>
      <c r="R10" s="2">
        <v>16.76</v>
      </c>
      <c r="S10" s="2">
        <v>38.69</v>
      </c>
      <c r="T10" s="2">
        <v>43.77</v>
      </c>
      <c r="U10" s="2">
        <v>38.17</v>
      </c>
      <c r="V10" s="2">
        <v>34.3475</v>
      </c>
      <c r="W10" s="2">
        <v>0.835578621808494</v>
      </c>
      <c r="X10" s="2">
        <v>0.5863345579776241</v>
      </c>
      <c r="Y10" s="2">
        <v>0.16570338837932277</v>
      </c>
      <c r="Z10" s="2">
        <v>0.07557031012637214</v>
      </c>
      <c r="AA10" s="2">
        <v>18.6</v>
      </c>
    </row>
    <row r="11" ht="14.25" customHeight="1">
      <c r="A11" s="4" t="s">
        <v>45</v>
      </c>
      <c r="B11" s="4" t="s">
        <v>46</v>
      </c>
      <c r="C11" s="5">
        <v>1.7921183E7</v>
      </c>
      <c r="D11" s="2">
        <v>23.75145</v>
      </c>
      <c r="E11" s="2">
        <v>3.29</v>
      </c>
      <c r="F11" s="2">
        <v>36.9</v>
      </c>
      <c r="G11" s="2">
        <v>0.9156761582089754</v>
      </c>
      <c r="H11" s="2">
        <v>1.3263633321527937</v>
      </c>
      <c r="I11" s="2">
        <v>0.4715090516066936</v>
      </c>
      <c r="J11" s="2">
        <v>0.007253985409333748</v>
      </c>
      <c r="K11" s="2">
        <v>0.09095381705549237</v>
      </c>
      <c r="L11" s="2">
        <v>0.5736228462150071</v>
      </c>
      <c r="M11" s="2">
        <v>0.5847828237678283</v>
      </c>
      <c r="N11" s="2">
        <v>3.9701620144161245</v>
      </c>
      <c r="O11" s="2">
        <v>2623.622</v>
      </c>
      <c r="P11" s="2">
        <v>2588.82</v>
      </c>
      <c r="Q11" s="2">
        <v>51.515060425</v>
      </c>
      <c r="R11" s="2">
        <v>10.76</v>
      </c>
      <c r="S11" s="2">
        <v>41.09</v>
      </c>
      <c r="T11" s="2">
        <v>58.54</v>
      </c>
      <c r="U11" s="2">
        <v>28.87</v>
      </c>
      <c r="V11" s="2">
        <v>34.815</v>
      </c>
      <c r="W11" s="2">
        <v>0.7229164771416614</v>
      </c>
      <c r="X11" s="2">
        <v>0.5093609941026357</v>
      </c>
      <c r="Y11" s="2">
        <v>0.1506729881528983</v>
      </c>
      <c r="Z11" s="2">
        <v>0.05639595259538839</v>
      </c>
      <c r="AA11" s="2">
        <v>23.9</v>
      </c>
    </row>
    <row r="12" ht="14.25" customHeight="1">
      <c r="A12" s="4" t="s">
        <v>47</v>
      </c>
      <c r="B12" s="4" t="s">
        <v>48</v>
      </c>
      <c r="C12" s="5">
        <v>926492.0</v>
      </c>
      <c r="D12" s="2">
        <v>31.80644</v>
      </c>
      <c r="E12" s="2">
        <v>6.02</v>
      </c>
      <c r="F12" s="2">
        <v>55.92</v>
      </c>
      <c r="G12" s="2">
        <v>3.8208640765381676</v>
      </c>
      <c r="H12" s="2">
        <v>8.472820056730118</v>
      </c>
      <c r="I12" s="2">
        <v>6.324933188845667</v>
      </c>
      <c r="J12" s="2">
        <v>0.3453888430768965</v>
      </c>
      <c r="K12" s="2">
        <v>0.4317360538461206</v>
      </c>
      <c r="L12" s="2">
        <v>1.7377376167306355</v>
      </c>
      <c r="M12" s="2">
        <v>0.17269442153844825</v>
      </c>
      <c r="N12" s="2">
        <v>21.30617425730605</v>
      </c>
      <c r="O12" s="2">
        <v>3356.835</v>
      </c>
      <c r="P12" s="2">
        <v>3392.316</v>
      </c>
      <c r="Q12" s="2">
        <v>59.019386292</v>
      </c>
      <c r="R12" s="2">
        <v>37.44</v>
      </c>
      <c r="S12" s="2">
        <v>51.48</v>
      </c>
      <c r="T12" s="2">
        <v>56.05</v>
      </c>
      <c r="U12" s="2">
        <v>49.64</v>
      </c>
      <c r="V12" s="2">
        <v>48.65249999999999</v>
      </c>
      <c r="W12" s="2">
        <v>0.3998434044625185</v>
      </c>
      <c r="X12" s="2">
        <v>0.18043054077648474</v>
      </c>
      <c r="Y12" s="2">
        <v>0.17489083430940955</v>
      </c>
      <c r="Z12" s="2">
        <v>0.039609689235262514</v>
      </c>
      <c r="AA12" s="2">
        <v>24.9</v>
      </c>
    </row>
    <row r="13" ht="14.25" customHeight="1">
      <c r="A13" s="4" t="s">
        <v>49</v>
      </c>
      <c r="B13" s="4" t="s">
        <v>50</v>
      </c>
      <c r="C13" s="5">
        <v>5940746.0</v>
      </c>
      <c r="D13" s="2">
        <v>33.95313</v>
      </c>
      <c r="E13" s="2">
        <v>7.57</v>
      </c>
      <c r="F13" s="2">
        <v>41.9</v>
      </c>
      <c r="G13" s="2">
        <v>1.7539884721548438</v>
      </c>
      <c r="H13" s="2">
        <v>9.38097673255177</v>
      </c>
      <c r="I13" s="2">
        <v>2.003115433650925</v>
      </c>
      <c r="J13" s="2">
        <v>0.01683290280378929</v>
      </c>
      <c r="K13" s="2">
        <v>0.053865288972125724</v>
      </c>
      <c r="L13" s="2">
        <v>0.5386528897212572</v>
      </c>
      <c r="M13" s="2">
        <v>1.3079165478544277</v>
      </c>
      <c r="N13" s="2">
        <v>15.05534826770914</v>
      </c>
      <c r="O13" s="2">
        <v>5633.357</v>
      </c>
      <c r="P13" s="2">
        <v>5622.161</v>
      </c>
      <c r="Q13" s="2">
        <v>54.835735321</v>
      </c>
      <c r="R13" s="2">
        <v>28.57</v>
      </c>
      <c r="S13" s="2">
        <v>36.21</v>
      </c>
      <c r="T13" s="2">
        <v>52.47</v>
      </c>
      <c r="U13" s="2">
        <v>52.06</v>
      </c>
      <c r="V13" s="2">
        <v>42.3275</v>
      </c>
      <c r="W13" s="2">
        <v>0.4553996483949934</v>
      </c>
      <c r="X13" s="2">
        <v>0.2717078670017484</v>
      </c>
      <c r="Y13" s="2">
        <v>0.15151453240979784</v>
      </c>
      <c r="Z13" s="2">
        <v>0.027856400828118095</v>
      </c>
      <c r="AA13" s="2">
        <v>26.3</v>
      </c>
    </row>
    <row r="14" ht="14.25" customHeight="1">
      <c r="A14" s="4" t="s">
        <v>51</v>
      </c>
      <c r="B14" s="4" t="s">
        <v>52</v>
      </c>
      <c r="C14" s="5">
        <v>2.8444206E7</v>
      </c>
      <c r="D14" s="2">
        <v>34.32034</v>
      </c>
      <c r="E14" s="2">
        <v>8.59</v>
      </c>
      <c r="F14" s="2">
        <v>45.6</v>
      </c>
      <c r="G14" s="2">
        <v>1.8172417960972438</v>
      </c>
      <c r="H14" s="2">
        <v>5.647547342330456</v>
      </c>
      <c r="I14" s="2">
        <v>3.0403379865832783</v>
      </c>
      <c r="J14" s="2">
        <v>0.14941531502057045</v>
      </c>
      <c r="K14" s="2">
        <v>0.42820671457659953</v>
      </c>
      <c r="L14" s="2">
        <v>0.1747280272122906</v>
      </c>
      <c r="M14" s="2">
        <v>0.0</v>
      </c>
      <c r="N14" s="2">
        <v>11.25747718182044</v>
      </c>
      <c r="O14" s="2">
        <v>6526.787</v>
      </c>
      <c r="P14" s="2">
        <v>6726.072</v>
      </c>
      <c r="Q14" s="2">
        <v>55.406253815</v>
      </c>
      <c r="R14" s="2">
        <v>19.16</v>
      </c>
      <c r="S14" s="2">
        <v>58.23</v>
      </c>
      <c r="T14" s="2">
        <v>58.65</v>
      </c>
      <c r="U14" s="2">
        <v>51.18</v>
      </c>
      <c r="V14" s="2">
        <v>46.805</v>
      </c>
      <c r="W14" s="2">
        <v>0.5078316369366449</v>
      </c>
      <c r="X14" s="2">
        <v>0.29631260176667984</v>
      </c>
      <c r="Y14" s="2">
        <v>0.16206600409758018</v>
      </c>
      <c r="Z14" s="2">
        <v>0.04558316648720327</v>
      </c>
      <c r="AA14" s="2">
        <v>31.2</v>
      </c>
    </row>
    <row r="15" ht="14.25" customHeight="1">
      <c r="A15" s="4" t="s">
        <v>53</v>
      </c>
      <c r="B15" s="4" t="s">
        <v>54</v>
      </c>
      <c r="C15" s="5">
        <v>9.8151951E7</v>
      </c>
      <c r="D15" s="2">
        <v>29.0413</v>
      </c>
      <c r="E15" s="2">
        <v>2.41</v>
      </c>
      <c r="F15" s="2">
        <v>41.64</v>
      </c>
      <c r="G15" s="2">
        <v>2.1690857678417417</v>
      </c>
      <c r="H15" s="2">
        <v>11.748722142059101</v>
      </c>
      <c r="I15" s="2">
        <v>0.4372811702948217</v>
      </c>
      <c r="J15" s="2">
        <v>0.04594916304822102</v>
      </c>
      <c r="K15" s="2">
        <v>0.09454728006374524</v>
      </c>
      <c r="L15" s="2">
        <v>0.2989242669256773</v>
      </c>
      <c r="M15" s="2">
        <v>0.2989242669256773</v>
      </c>
      <c r="N15" s="2">
        <v>15.093434057158985</v>
      </c>
      <c r="O15" s="2">
        <v>1544.139</v>
      </c>
      <c r="P15" s="2">
        <v>1592.477</v>
      </c>
      <c r="Q15" s="2">
        <v>53.205158234</v>
      </c>
      <c r="R15" s="2">
        <v>24.44</v>
      </c>
      <c r="S15" s="2">
        <v>48.21</v>
      </c>
      <c r="T15" s="2">
        <v>59.59</v>
      </c>
      <c r="U15" s="2">
        <v>43.22</v>
      </c>
      <c r="V15" s="2">
        <v>43.865</v>
      </c>
      <c r="W15" s="2">
        <v>0.6108388613787332</v>
      </c>
      <c r="X15" s="2">
        <v>0.3901294278463058</v>
      </c>
      <c r="Y15" s="2">
        <v>0.168911078123941</v>
      </c>
      <c r="Z15" s="2">
        <v>0.047809794046407894</v>
      </c>
      <c r="AA15" s="2">
        <v>26.1</v>
      </c>
    </row>
    <row r="16" ht="14.25" customHeight="1">
      <c r="A16" s="4" t="s">
        <v>55</v>
      </c>
      <c r="B16" s="4" t="s">
        <v>56</v>
      </c>
      <c r="C16" s="5">
        <v>1543389.0</v>
      </c>
      <c r="D16" s="2">
        <v>42.42096</v>
      </c>
      <c r="E16" s="2">
        <v>18.85</v>
      </c>
      <c r="F16" s="2">
        <v>50.2</v>
      </c>
      <c r="G16" s="2">
        <v>1.7817931837015812</v>
      </c>
      <c r="H16" s="2">
        <v>15.893595198618105</v>
      </c>
      <c r="I16" s="2">
        <v>0.16846044645905858</v>
      </c>
      <c r="J16" s="2">
        <v>0.0</v>
      </c>
      <c r="K16" s="2">
        <v>0.09070947117026233</v>
      </c>
      <c r="L16" s="2">
        <v>0.8682192240582252</v>
      </c>
      <c r="M16" s="2">
        <v>1.4772685304871294</v>
      </c>
      <c r="N16" s="2">
        <v>20.280046054494363</v>
      </c>
      <c r="O16" s="2">
        <v>18770.064</v>
      </c>
      <c r="P16" s="2">
        <v>18565.41</v>
      </c>
      <c r="Q16" s="2">
        <v>53.256332398</v>
      </c>
      <c r="R16" s="2">
        <v>41.09</v>
      </c>
      <c r="S16" s="2">
        <v>43.59</v>
      </c>
      <c r="T16" s="2">
        <v>50.27</v>
      </c>
      <c r="U16" s="2">
        <v>48.65</v>
      </c>
      <c r="V16" s="2">
        <v>45.900000000000006</v>
      </c>
      <c r="W16" s="2">
        <v>0.5830655404190124</v>
      </c>
      <c r="X16" s="2">
        <v>0.37725803356263643</v>
      </c>
      <c r="Y16" s="2">
        <v>0.1706250382114164</v>
      </c>
      <c r="Z16" s="2">
        <v>0.031497727378208405</v>
      </c>
      <c r="AA16" s="2">
        <v>17.4</v>
      </c>
    </row>
    <row r="17" ht="14.25" customHeight="1">
      <c r="A17" s="4" t="s">
        <v>57</v>
      </c>
      <c r="B17" s="4" t="s">
        <v>58</v>
      </c>
      <c r="C17" s="5">
        <v>3727656.0</v>
      </c>
      <c r="D17" s="2">
        <v>25.59651</v>
      </c>
      <c r="E17" s="2">
        <v>2.78</v>
      </c>
      <c r="F17" s="2">
        <v>0.0</v>
      </c>
      <c r="G17" s="2">
        <v>0.8021126412952267</v>
      </c>
      <c r="H17" s="2">
        <v>13.933689160158554</v>
      </c>
      <c r="I17" s="2">
        <v>0.17973761527351237</v>
      </c>
      <c r="J17" s="2">
        <v>0.17973761527351237</v>
      </c>
      <c r="K17" s="2">
        <v>0.6143270730990199</v>
      </c>
      <c r="L17" s="2">
        <v>0.9121013312387194</v>
      </c>
      <c r="M17" s="2">
        <v>0.823573849089079</v>
      </c>
      <c r="N17" s="2">
        <v>17.44527928542762</v>
      </c>
      <c r="O17" s="2">
        <v>650.0</v>
      </c>
      <c r="P17" s="2">
        <v>650.0</v>
      </c>
      <c r="Q17" s="2">
        <v>55.424945831</v>
      </c>
      <c r="R17" s="2">
        <v>35.7</v>
      </c>
      <c r="S17" s="2">
        <v>36.43</v>
      </c>
      <c r="T17" s="2">
        <v>60.09</v>
      </c>
      <c r="U17" s="2">
        <v>51.96</v>
      </c>
      <c r="V17" s="2">
        <v>46.045</v>
      </c>
      <c r="W17" s="2">
        <v>0.43861376693852167</v>
      </c>
      <c r="X17" s="2">
        <v>0.18328272635143175</v>
      </c>
      <c r="Y17" s="2">
        <v>0.20161049336352013</v>
      </c>
      <c r="Z17" s="2">
        <v>0.04983260110419606</v>
      </c>
      <c r="AA17" s="2">
        <v>21.4</v>
      </c>
    </row>
    <row r="18" ht="14.25" customHeight="1">
      <c r="A18" s="4" t="s">
        <v>59</v>
      </c>
      <c r="B18" s="4" t="s">
        <v>60</v>
      </c>
      <c r="C18" s="5">
        <v>1197512.0</v>
      </c>
      <c r="D18" s="2">
        <v>32.52324</v>
      </c>
      <c r="E18" s="2">
        <v>24.95</v>
      </c>
      <c r="F18" s="2">
        <v>63.7</v>
      </c>
      <c r="G18" s="2">
        <v>5.72019320056918</v>
      </c>
      <c r="H18" s="2">
        <v>43.774091616618456</v>
      </c>
      <c r="I18" s="2">
        <v>0.0</v>
      </c>
      <c r="J18" s="2">
        <v>0.29227264528455665</v>
      </c>
      <c r="K18" s="2">
        <v>0.350727174341468</v>
      </c>
      <c r="L18" s="2">
        <v>0.0</v>
      </c>
      <c r="M18" s="2">
        <v>0.0</v>
      </c>
      <c r="N18" s="2">
        <v>50.13728463681365</v>
      </c>
      <c r="O18" s="2">
        <v>11033.557</v>
      </c>
      <c r="P18" s="2">
        <v>11315.553</v>
      </c>
      <c r="Q18" s="2">
        <v>47.467403412</v>
      </c>
      <c r="R18" s="2">
        <v>32.98</v>
      </c>
      <c r="S18" s="2">
        <v>65.08</v>
      </c>
      <c r="T18" s="2">
        <v>62.0</v>
      </c>
      <c r="U18" s="2">
        <v>73.19</v>
      </c>
      <c r="V18" s="2">
        <v>58.3125</v>
      </c>
      <c r="W18" s="2">
        <v>0.7120608639736221</v>
      </c>
      <c r="X18" s="2">
        <v>0.38181597001458345</v>
      </c>
      <c r="Y18" s="2">
        <v>0.235655342326712</v>
      </c>
      <c r="Z18" s="2">
        <v>0.07556240967796436</v>
      </c>
      <c r="AA18" s="2">
        <v>29.3</v>
      </c>
    </row>
    <row r="19" ht="14.25" customHeight="1">
      <c r="A19" s="4" t="s">
        <v>61</v>
      </c>
      <c r="B19" s="4" t="s">
        <v>62</v>
      </c>
      <c r="C19" s="5">
        <v>1.23771387E8</v>
      </c>
      <c r="D19" s="2">
        <v>31.20527</v>
      </c>
      <c r="E19" s="2">
        <v>4.7</v>
      </c>
      <c r="F19" s="2">
        <v>30.98</v>
      </c>
      <c r="G19" s="2">
        <v>1.4876620878458768</v>
      </c>
      <c r="H19" s="2">
        <v>10.60519746781217</v>
      </c>
      <c r="I19" s="2">
        <v>1.7770666171818854</v>
      </c>
      <c r="J19" s="2">
        <v>0.2845568822784542</v>
      </c>
      <c r="K19" s="2">
        <v>1.5290286760703424</v>
      </c>
      <c r="L19" s="2">
        <v>1.9194258524387386</v>
      </c>
      <c r="M19" s="2">
        <v>1.7550098230700122</v>
      </c>
      <c r="N19" s="2">
        <v>19.35794740669748</v>
      </c>
      <c r="O19" s="2">
        <v>3409.15</v>
      </c>
      <c r="P19" s="2">
        <v>3591.681</v>
      </c>
      <c r="Q19" s="2">
        <v>58.82731247</v>
      </c>
      <c r="R19" s="2">
        <v>20.87</v>
      </c>
      <c r="S19" s="2">
        <v>29.04</v>
      </c>
      <c r="T19" s="2">
        <v>52.49</v>
      </c>
      <c r="U19" s="2">
        <v>47.93</v>
      </c>
      <c r="V19" s="2">
        <v>37.5825</v>
      </c>
      <c r="W19" s="2">
        <v>0.3886496286737768</v>
      </c>
      <c r="X19" s="2">
        <v>0.20396757926685294</v>
      </c>
      <c r="Y19" s="2">
        <v>0.13963053062677852</v>
      </c>
      <c r="Z19" s="2">
        <v>0.04115572850333985</v>
      </c>
      <c r="AA19" s="2">
        <v>37.8</v>
      </c>
    </row>
    <row r="20" ht="14.25" customHeight="1">
      <c r="A20" s="4" t="s">
        <v>63</v>
      </c>
      <c r="B20" s="4" t="s">
        <v>64</v>
      </c>
      <c r="C20" s="5">
        <v>2383905.0</v>
      </c>
      <c r="D20" s="2">
        <v>39.62385</v>
      </c>
      <c r="E20" s="2">
        <v>34.92</v>
      </c>
      <c r="F20" s="2">
        <v>69.0</v>
      </c>
      <c r="G20" s="2">
        <v>5.310614307197644</v>
      </c>
      <c r="H20" s="2">
        <v>20.281848479700326</v>
      </c>
      <c r="I20" s="2">
        <v>3.880188178639669</v>
      </c>
      <c r="J20" s="2">
        <v>0.18457111336231938</v>
      </c>
      <c r="K20" s="2">
        <v>0.7844272317898574</v>
      </c>
      <c r="L20" s="2">
        <v>1.0780630939571838</v>
      </c>
      <c r="M20" s="2">
        <v>1.0612839018333364</v>
      </c>
      <c r="N20" s="2">
        <v>32.58099630648034</v>
      </c>
      <c r="O20" s="2">
        <v>21035.029</v>
      </c>
      <c r="P20" s="2">
        <v>21218.077</v>
      </c>
      <c r="Q20" s="2">
        <v>56.258869171</v>
      </c>
      <c r="R20" s="2">
        <v>48.48</v>
      </c>
      <c r="S20" s="2">
        <v>34.37</v>
      </c>
      <c r="T20" s="2">
        <v>53.8</v>
      </c>
      <c r="U20" s="2">
        <v>64.17</v>
      </c>
      <c r="V20" s="2">
        <v>50.205</v>
      </c>
      <c r="W20" s="2">
        <v>0.44235278336803757</v>
      </c>
      <c r="X20" s="2">
        <v>0.24190195271789894</v>
      </c>
      <c r="Y20" s="2">
        <v>0.16573109722475374</v>
      </c>
      <c r="Z20" s="2">
        <v>0.03146403954101925</v>
      </c>
      <c r="AA20" s="2">
        <v>21.8</v>
      </c>
    </row>
    <row r="21" ht="14.25" customHeight="1">
      <c r="A21" s="4" t="s">
        <v>65</v>
      </c>
      <c r="B21" s="4" t="s">
        <v>66</v>
      </c>
      <c r="C21" s="5">
        <v>2631251.0</v>
      </c>
      <c r="D21" s="2">
        <v>34.67981</v>
      </c>
      <c r="E21" s="2">
        <v>5.97</v>
      </c>
      <c r="F21" s="2">
        <v>67.2</v>
      </c>
      <c r="G21" s="2">
        <v>0.9197146148353008</v>
      </c>
      <c r="H21" s="2">
        <v>5.111637012204461</v>
      </c>
      <c r="I21" s="2">
        <v>1.6304031808443968</v>
      </c>
      <c r="J21" s="2">
        <v>0.034204262535197136</v>
      </c>
      <c r="K21" s="2">
        <v>0.038004736150219036</v>
      </c>
      <c r="L21" s="2">
        <v>0.1938241543661171</v>
      </c>
      <c r="M21" s="2">
        <v>0.6726838298588771</v>
      </c>
      <c r="N21" s="2">
        <v>8.60047179079457</v>
      </c>
      <c r="O21" s="2">
        <v>2991.887</v>
      </c>
      <c r="P21" s="2">
        <v>3073.541</v>
      </c>
      <c r="Q21" s="2">
        <v>55.842544556</v>
      </c>
      <c r="R21" s="2">
        <v>28.12</v>
      </c>
      <c r="S21" s="2">
        <v>43.85</v>
      </c>
      <c r="T21" s="2">
        <v>57.74</v>
      </c>
      <c r="U21" s="2">
        <v>63.72</v>
      </c>
      <c r="V21" s="2">
        <v>48.3575</v>
      </c>
      <c r="W21" s="2">
        <v>0.43458984739430023</v>
      </c>
      <c r="X21" s="2">
        <v>0.23410544769086855</v>
      </c>
      <c r="Y21" s="2">
        <v>0.1586896538621942</v>
      </c>
      <c r="Z21" s="2">
        <v>0.036390078838956785</v>
      </c>
      <c r="AA21" s="2">
        <v>28.7</v>
      </c>
    </row>
    <row r="22" ht="14.25" customHeight="1">
      <c r="A22" s="4" t="s">
        <v>67</v>
      </c>
      <c r="B22" s="4" t="s">
        <v>68</v>
      </c>
      <c r="C22" s="5">
        <v>3.3062741E7</v>
      </c>
      <c r="D22" s="2">
        <v>36.05526</v>
      </c>
      <c r="E22" s="2">
        <v>10.84</v>
      </c>
      <c r="F22" s="2">
        <v>47.5</v>
      </c>
      <c r="G22" s="2">
        <v>2.7151408892565807</v>
      </c>
      <c r="H22" s="2">
        <v>34.11695358228164</v>
      </c>
      <c r="I22" s="2">
        <v>7.880774313297255</v>
      </c>
      <c r="J22" s="2">
        <v>0.07379908399004184</v>
      </c>
      <c r="K22" s="2">
        <v>1.7348833842904918</v>
      </c>
      <c r="L22" s="2">
        <v>0.8105801028414431</v>
      </c>
      <c r="M22" s="2">
        <v>1.132090046617732</v>
      </c>
      <c r="N22" s="2">
        <v>48.464221402575184</v>
      </c>
      <c r="O22" s="2">
        <v>6808.539</v>
      </c>
      <c r="P22" s="2">
        <v>7061.935</v>
      </c>
      <c r="Q22" s="2">
        <v>57.882518768</v>
      </c>
      <c r="R22" s="2">
        <v>25.98</v>
      </c>
      <c r="S22" s="2">
        <v>41.42</v>
      </c>
      <c r="T22" s="2">
        <v>70.51</v>
      </c>
      <c r="U22" s="2">
        <v>68.74</v>
      </c>
      <c r="V22" s="2">
        <v>51.66250000000001</v>
      </c>
      <c r="W22" s="2">
        <v>0.4061083386767355</v>
      </c>
      <c r="X22" s="2">
        <v>0.19130623036279376</v>
      </c>
      <c r="Y22" s="2">
        <v>0.17586458070213506</v>
      </c>
      <c r="Z22" s="2">
        <v>0.03571769450100705</v>
      </c>
      <c r="AA22" s="2">
        <v>34.3</v>
      </c>
    </row>
    <row r="23" ht="14.25" customHeight="1">
      <c r="A23" s="4" t="s">
        <v>69</v>
      </c>
      <c r="B23" s="4" t="s">
        <v>70</v>
      </c>
      <c r="C23" s="5">
        <v>1.4238716E7</v>
      </c>
      <c r="D23" s="2">
        <v>25.68856</v>
      </c>
      <c r="E23" s="2">
        <v>6.82</v>
      </c>
      <c r="F23" s="2">
        <v>68.5</v>
      </c>
      <c r="G23" s="2">
        <v>2.069006784038673</v>
      </c>
      <c r="H23" s="2">
        <v>3.5248964864528514</v>
      </c>
      <c r="I23" s="2">
        <v>0.6271632919709895</v>
      </c>
      <c r="J23" s="2">
        <v>0.027390110175664714</v>
      </c>
      <c r="K23" s="2">
        <v>0.17908918191780776</v>
      </c>
      <c r="L23" s="2">
        <v>0.12711820363577728</v>
      </c>
      <c r="M23" s="2">
        <v>0.2226324339919414</v>
      </c>
      <c r="N23" s="2">
        <v>6.777296492183705</v>
      </c>
      <c r="O23" s="2">
        <v>3764.533</v>
      </c>
      <c r="P23" s="2">
        <v>3895.767</v>
      </c>
      <c r="Q23" s="2">
        <v>53.426258087</v>
      </c>
      <c r="R23" s="2">
        <v>18.03</v>
      </c>
      <c r="S23" s="2">
        <v>47.87</v>
      </c>
      <c r="T23" s="2">
        <v>58.4</v>
      </c>
      <c r="U23" s="2">
        <v>50.42</v>
      </c>
      <c r="V23" s="2">
        <v>43.68000000000001</v>
      </c>
      <c r="W23" s="2">
        <v>0.6203805782436039</v>
      </c>
      <c r="X23" s="2">
        <v>0.39821246299625696</v>
      </c>
      <c r="Y23" s="2">
        <v>0.16588446968476117</v>
      </c>
      <c r="Z23" s="2">
        <v>0.05310895124073801</v>
      </c>
      <c r="AA23" s="2">
        <v>26.8</v>
      </c>
    </row>
    <row r="24" ht="14.25" customHeight="1">
      <c r="A24" s="4" t="s">
        <v>71</v>
      </c>
      <c r="B24" s="4" t="s">
        <v>72</v>
      </c>
      <c r="C24" s="5">
        <v>2111612.0</v>
      </c>
      <c r="D24" s="2">
        <v>24.26292</v>
      </c>
      <c r="E24" s="2">
        <v>3.06</v>
      </c>
      <c r="F24" s="2">
        <v>55.76</v>
      </c>
      <c r="G24" s="2">
        <v>2.514666520175108</v>
      </c>
      <c r="H24" s="2">
        <v>8.912622205215731</v>
      </c>
      <c r="I24" s="2">
        <v>0.9613508542289019</v>
      </c>
      <c r="J24" s="2">
        <v>0.09945008836850709</v>
      </c>
      <c r="K24" s="2">
        <v>0.009471436987476866</v>
      </c>
      <c r="L24" s="2">
        <v>0.004735718493738433</v>
      </c>
      <c r="M24" s="2">
        <v>0.809807862429272</v>
      </c>
      <c r="N24" s="2">
        <v>13.312104685898735</v>
      </c>
      <c r="O24" s="2">
        <v>2662.157</v>
      </c>
      <c r="P24" s="2">
        <v>2729.159</v>
      </c>
      <c r="Q24" s="2">
        <v>51.450366974</v>
      </c>
      <c r="R24" s="2">
        <v>17.33</v>
      </c>
      <c r="S24" s="2">
        <v>29.95</v>
      </c>
      <c r="T24" s="2">
        <v>61.51</v>
      </c>
      <c r="U24" s="2">
        <v>60.3</v>
      </c>
      <c r="V24" s="2">
        <v>42.272499999999994</v>
      </c>
      <c r="W24" s="2">
        <v>0.5933354797152632</v>
      </c>
      <c r="X24" s="2">
        <v>0.3645541803451672</v>
      </c>
      <c r="Y24" s="2">
        <v>0.172274052569317</v>
      </c>
      <c r="Z24" s="2">
        <v>0.04992609445542717</v>
      </c>
      <c r="AA24" s="2">
        <v>21.4</v>
      </c>
    </row>
    <row r="25" ht="14.25" customHeight="1">
      <c r="A25" s="4" t="s">
        <v>73</v>
      </c>
      <c r="B25" s="4" t="s">
        <v>74</v>
      </c>
      <c r="C25" s="5">
        <v>5.745889E7</v>
      </c>
      <c r="D25" s="2">
        <v>33.36342</v>
      </c>
      <c r="E25" s="2">
        <v>7.39</v>
      </c>
      <c r="F25" s="2">
        <v>50.0</v>
      </c>
      <c r="G25" s="2">
        <v>2.7835553384341396</v>
      </c>
      <c r="H25" s="2">
        <v>21.84152878692923</v>
      </c>
      <c r="I25" s="2">
        <v>0.048208379939118216</v>
      </c>
      <c r="J25" s="2">
        <v>0.23390636331471074</v>
      </c>
      <c r="K25" s="2">
        <v>0.20640844262741587</v>
      </c>
      <c r="L25" s="2">
        <v>1.7403747270439789</v>
      </c>
      <c r="M25" s="2">
        <v>0.14549532718087663</v>
      </c>
      <c r="N25" s="2">
        <v>26.999477365469474</v>
      </c>
      <c r="O25" s="2">
        <v>6102.005</v>
      </c>
      <c r="P25" s="2">
        <v>6267.148</v>
      </c>
      <c r="Q25" s="2">
        <v>58.217082977</v>
      </c>
      <c r="R25" s="2">
        <v>40.62</v>
      </c>
      <c r="S25" s="2">
        <v>53.15</v>
      </c>
      <c r="T25" s="2">
        <v>50.91</v>
      </c>
      <c r="U25" s="2">
        <v>73.63</v>
      </c>
      <c r="V25" s="2">
        <v>54.5775</v>
      </c>
      <c r="W25" s="2">
        <v>0.3550140055913259</v>
      </c>
      <c r="X25" s="2">
        <v>0.1848135608814298</v>
      </c>
      <c r="Y25" s="2">
        <v>0.13523830496780934</v>
      </c>
      <c r="Z25" s="2">
        <v>0.03145302429879093</v>
      </c>
      <c r="AA25" s="2">
        <v>38.8</v>
      </c>
    </row>
    <row r="26" ht="14.25" customHeight="1">
      <c r="A26" s="4" t="s">
        <v>75</v>
      </c>
      <c r="B26" s="4" t="s">
        <v>76</v>
      </c>
      <c r="C26" s="5">
        <v>2192400.0</v>
      </c>
      <c r="D26" s="2">
        <v>26.33865</v>
      </c>
      <c r="E26" s="2">
        <v>3.19</v>
      </c>
      <c r="F26" s="2">
        <v>56.01</v>
      </c>
      <c r="G26" s="2">
        <v>2.449370552818829</v>
      </c>
      <c r="H26" s="2">
        <v>5.63309615033753</v>
      </c>
      <c r="I26" s="2">
        <v>12.675606641123881</v>
      </c>
      <c r="J26" s="2">
        <v>0.3831417624521073</v>
      </c>
      <c r="K26" s="2">
        <v>1.1722313446451378</v>
      </c>
      <c r="L26" s="2">
        <v>1.897463966429484</v>
      </c>
      <c r="M26" s="2">
        <v>1.2452107279693487</v>
      </c>
      <c r="N26" s="2">
        <v>25.45612114577632</v>
      </c>
      <c r="O26" s="2">
        <v>2851.384</v>
      </c>
      <c r="P26" s="2">
        <v>2891.054</v>
      </c>
      <c r="Q26" s="2">
        <v>44.634334564</v>
      </c>
      <c r="R26" s="2">
        <v>32.27</v>
      </c>
      <c r="S26" s="2">
        <v>50.71</v>
      </c>
      <c r="T26" s="2">
        <v>65.78</v>
      </c>
      <c r="U26" s="2">
        <v>74.68</v>
      </c>
      <c r="V26" s="2">
        <v>55.86</v>
      </c>
      <c r="W26" s="2">
        <v>0.8061545971044596</v>
      </c>
      <c r="X26" s="2">
        <v>0.4663514433682352</v>
      </c>
      <c r="Y26" s="2">
        <v>0.24303600774076528</v>
      </c>
      <c r="Z26" s="2">
        <v>0.0846836571559831</v>
      </c>
      <c r="AA26" s="2">
        <v>30.9</v>
      </c>
    </row>
    <row r="27" ht="14.25" customHeight="1">
      <c r="A27" s="4" t="s">
        <v>77</v>
      </c>
      <c r="B27" s="4" t="s">
        <v>78</v>
      </c>
      <c r="C27" s="5">
        <v>5432272.0</v>
      </c>
      <c r="D27" s="2">
        <v>35.73526</v>
      </c>
      <c r="E27" s="2">
        <v>1.53</v>
      </c>
      <c r="F27" s="2">
        <v>43.0</v>
      </c>
      <c r="G27" s="2">
        <v>1.7561712668290541</v>
      </c>
      <c r="H27" s="2">
        <v>8.143922101102449</v>
      </c>
      <c r="I27" s="2">
        <v>1.8206010302871434</v>
      </c>
      <c r="J27" s="2">
        <v>0.014726803076134626</v>
      </c>
      <c r="K27" s="2">
        <v>0.3129445653678608</v>
      </c>
      <c r="L27" s="2">
        <v>0.21169779421943524</v>
      </c>
      <c r="M27" s="2">
        <v>0.0</v>
      </c>
      <c r="N27" s="2">
        <v>12.26006356088208</v>
      </c>
      <c r="O27" s="2">
        <v>1631.358</v>
      </c>
      <c r="P27" s="2">
        <v>1670.302</v>
      </c>
      <c r="Q27" s="2">
        <v>53.960998535</v>
      </c>
      <c r="R27" s="2">
        <v>29.07</v>
      </c>
      <c r="S27" s="2">
        <v>42.02</v>
      </c>
      <c r="T27" s="2">
        <v>53.05</v>
      </c>
      <c r="U27" s="2">
        <v>61.65</v>
      </c>
      <c r="V27" s="2">
        <v>46.4475</v>
      </c>
      <c r="W27" s="2">
        <v>0.5350091948158155</v>
      </c>
      <c r="X27" s="2">
        <v>0.33742173029304895</v>
      </c>
      <c r="Y27" s="2">
        <v>0.1583717661496941</v>
      </c>
      <c r="Z27" s="2">
        <v>0.03701227419302834</v>
      </c>
      <c r="AA27" s="2">
        <v>35.7</v>
      </c>
    </row>
    <row r="28" ht="14.25" customHeight="1">
      <c r="A28" s="4" t="s">
        <v>79</v>
      </c>
      <c r="B28" s="4" t="s">
        <v>80</v>
      </c>
      <c r="C28" s="5">
        <v>2.9942591E7</v>
      </c>
      <c r="D28" s="2">
        <v>29.01793</v>
      </c>
      <c r="E28" s="2">
        <v>1.89</v>
      </c>
      <c r="F28" s="2">
        <v>56.2</v>
      </c>
      <c r="G28" s="2">
        <v>1.746675830424962</v>
      </c>
      <c r="H28" s="2">
        <v>1.5229142995674625</v>
      </c>
      <c r="I28" s="2">
        <v>1.3338859018579923</v>
      </c>
      <c r="J28" s="2">
        <v>0.08382708096303355</v>
      </c>
      <c r="K28" s="2">
        <v>0.010019173023470147</v>
      </c>
      <c r="L28" s="2">
        <v>0.1021955648393955</v>
      </c>
      <c r="M28" s="2">
        <v>0.1021955648393955</v>
      </c>
      <c r="N28" s="2">
        <v>4.9017134155157125</v>
      </c>
      <c r="O28" s="2">
        <v>1707.712</v>
      </c>
      <c r="P28" s="2">
        <v>1731.305</v>
      </c>
      <c r="Q28" s="2">
        <v>55.137020111</v>
      </c>
      <c r="R28" s="2">
        <v>18.98</v>
      </c>
      <c r="S28" s="2">
        <v>29.47</v>
      </c>
      <c r="T28" s="2">
        <v>45.77</v>
      </c>
      <c r="U28" s="2">
        <v>58.24</v>
      </c>
      <c r="V28" s="2">
        <v>38.115</v>
      </c>
      <c r="W28" s="2">
        <v>0.5099600820215804</v>
      </c>
      <c r="X28" s="2">
        <v>0.28997473886399255</v>
      </c>
      <c r="Y28" s="2">
        <v>0.17565735709921348</v>
      </c>
      <c r="Z28" s="2">
        <v>0.03946275305417426</v>
      </c>
      <c r="AA28" s="2">
        <v>30.4</v>
      </c>
    </row>
    <row r="29" ht="14.25" customHeight="1">
      <c r="A29" s="4" t="s">
        <v>81</v>
      </c>
      <c r="B29" s="4" t="s">
        <v>82</v>
      </c>
      <c r="C29" s="5">
        <v>2.0728157E7</v>
      </c>
      <c r="D29" s="2">
        <v>29.89006</v>
      </c>
      <c r="E29" s="2">
        <v>2.77</v>
      </c>
      <c r="F29" s="2">
        <v>47.0</v>
      </c>
      <c r="G29" s="2">
        <v>0.5379156477828685</v>
      </c>
      <c r="H29" s="2">
        <v>4.73703474939909</v>
      </c>
      <c r="I29" s="2">
        <v>0.29718030406658924</v>
      </c>
      <c r="J29" s="2">
        <v>0.04872599141351544</v>
      </c>
      <c r="K29" s="2">
        <v>0.05933957370160792</v>
      </c>
      <c r="L29" s="2">
        <v>0.0434192002694692</v>
      </c>
      <c r="M29" s="2">
        <v>0.10082903173687849</v>
      </c>
      <c r="N29" s="2">
        <v>5.824444498370018</v>
      </c>
      <c r="O29" s="2">
        <v>1530.622</v>
      </c>
      <c r="P29" s="2">
        <v>1514.554</v>
      </c>
      <c r="Q29" s="2">
        <v>54.668174744</v>
      </c>
      <c r="R29" s="2">
        <v>22.25</v>
      </c>
      <c r="S29" s="2">
        <v>57.77</v>
      </c>
      <c r="T29" s="2">
        <v>58.77</v>
      </c>
      <c r="U29" s="2">
        <v>71.89</v>
      </c>
      <c r="V29" s="2">
        <v>52.67</v>
      </c>
      <c r="W29" s="2">
        <v>0.4448113398104841</v>
      </c>
      <c r="X29" s="2">
        <v>0.24303617762927013</v>
      </c>
      <c r="Y29" s="2">
        <v>0.16367846891482588</v>
      </c>
      <c r="Z29" s="2">
        <v>0.03352062159040188</v>
      </c>
      <c r="AA29" s="2">
        <v>28.5</v>
      </c>
    </row>
    <row r="30" ht="14.25" customHeight="1">
      <c r="A30" s="4" t="s">
        <v>83</v>
      </c>
      <c r="B30" s="4" t="s">
        <v>84</v>
      </c>
      <c r="C30" s="5">
        <v>2.2105727E7</v>
      </c>
      <c r="D30" s="2">
        <v>29.59361</v>
      </c>
      <c r="E30" s="2">
        <v>2.99</v>
      </c>
      <c r="F30" s="2">
        <v>36.5</v>
      </c>
      <c r="G30" s="2">
        <v>2.015767226293892</v>
      </c>
      <c r="H30" s="2">
        <v>2.8811538295030967</v>
      </c>
      <c r="I30" s="2">
        <v>1.475635702910834</v>
      </c>
      <c r="J30" s="2">
        <v>0.013571143803594426</v>
      </c>
      <c r="K30" s="2">
        <v>0.7785312828662003</v>
      </c>
      <c r="L30" s="2">
        <v>0.676747704339242</v>
      </c>
      <c r="M30" s="2">
        <v>0.0</v>
      </c>
      <c r="N30" s="2">
        <v>7.841406889716859</v>
      </c>
      <c r="O30" s="2">
        <v>2443.548</v>
      </c>
      <c r="P30" s="2">
        <v>2472.828</v>
      </c>
      <c r="Q30" s="2">
        <v>53.55714798</v>
      </c>
      <c r="R30" s="2">
        <v>15.25</v>
      </c>
      <c r="S30" s="2">
        <v>59.37</v>
      </c>
      <c r="T30" s="2">
        <v>67.76</v>
      </c>
      <c r="U30" s="2">
        <v>47.33</v>
      </c>
      <c r="V30" s="2">
        <v>47.427499999999995</v>
      </c>
      <c r="W30" s="2">
        <v>0.6397027237016286</v>
      </c>
      <c r="X30" s="2">
        <v>0.42599321031519566</v>
      </c>
      <c r="Y30" s="2">
        <v>0.1565485572336827</v>
      </c>
      <c r="Z30" s="2">
        <v>0.05392505475256181</v>
      </c>
      <c r="AA30" s="2">
        <v>29.0</v>
      </c>
    </row>
    <row r="31" ht="14.25" customHeight="1">
      <c r="A31" s="4" t="s">
        <v>85</v>
      </c>
      <c r="B31" s="4" t="s">
        <v>86</v>
      </c>
      <c r="C31" s="5">
        <v>5030233.0</v>
      </c>
      <c r="D31" s="2">
        <v>42.14104</v>
      </c>
      <c r="E31" s="2">
        <v>15.14</v>
      </c>
      <c r="F31" s="2">
        <v>76.0</v>
      </c>
      <c r="G31" s="2">
        <v>2.5306978821855766</v>
      </c>
      <c r="H31" s="2">
        <v>12.927830579617286</v>
      </c>
      <c r="I31" s="2">
        <v>2.665880487047022</v>
      </c>
      <c r="J31" s="2">
        <v>0.2962089430052246</v>
      </c>
      <c r="K31" s="2">
        <v>0.19283400987588448</v>
      </c>
      <c r="L31" s="2">
        <v>0.6480813115416323</v>
      </c>
      <c r="M31" s="2">
        <v>0.01789181534930887</v>
      </c>
      <c r="N31" s="2">
        <v>19.279425028621933</v>
      </c>
      <c r="O31" s="2">
        <v>7095.561</v>
      </c>
      <c r="P31" s="2">
        <v>7258.253</v>
      </c>
      <c r="Q31" s="2">
        <v>60.393123627</v>
      </c>
      <c r="R31" s="2">
        <v>22.04</v>
      </c>
      <c r="S31" s="2">
        <v>47.04</v>
      </c>
      <c r="T31" s="2">
        <v>60.5</v>
      </c>
      <c r="U31" s="2">
        <v>41.31</v>
      </c>
      <c r="V31" s="2">
        <v>42.7225</v>
      </c>
      <c r="W31" s="2">
        <v>0.35641087386771675</v>
      </c>
      <c r="X31" s="2">
        <v>0.1876968162779296</v>
      </c>
      <c r="Y31" s="2">
        <v>0.13676511724373536</v>
      </c>
      <c r="Z31" s="2">
        <v>0.026374756088042517</v>
      </c>
      <c r="AA31" s="2">
        <v>26.2</v>
      </c>
    </row>
    <row r="32" ht="14.25" customHeight="1">
      <c r="A32" s="4" t="s">
        <v>87</v>
      </c>
      <c r="B32" s="4" t="s">
        <v>88</v>
      </c>
      <c r="C32" s="5">
        <v>1275657.0</v>
      </c>
      <c r="D32" s="2">
        <v>56.65122</v>
      </c>
      <c r="E32" s="2">
        <v>32.83</v>
      </c>
      <c r="F32" s="2">
        <v>41.9</v>
      </c>
      <c r="G32" s="2">
        <v>14.369066292898482</v>
      </c>
      <c r="H32" s="2">
        <v>36.05201084617573</v>
      </c>
      <c r="I32" s="2">
        <v>4.44476846048742</v>
      </c>
      <c r="J32" s="2">
        <v>3.245386494959068</v>
      </c>
      <c r="K32" s="2">
        <v>0.3214030103703425</v>
      </c>
      <c r="L32" s="2">
        <v>2.492833104823632</v>
      </c>
      <c r="M32" s="2">
        <v>2.0695218228724492</v>
      </c>
      <c r="N32" s="2">
        <v>62.994990032587125</v>
      </c>
      <c r="O32" s="2">
        <v>26072.481</v>
      </c>
      <c r="P32" s="2">
        <v>27341.634</v>
      </c>
      <c r="Q32" s="2">
        <v>63.631698608</v>
      </c>
      <c r="R32" s="2">
        <v>77.61</v>
      </c>
      <c r="S32" s="2">
        <v>52.41</v>
      </c>
      <c r="T32" s="2">
        <v>61.3</v>
      </c>
      <c r="U32" s="2">
        <v>74.5</v>
      </c>
      <c r="V32" s="2">
        <v>66.455</v>
      </c>
      <c r="W32" s="2">
        <v>0.3804524950062264</v>
      </c>
      <c r="X32" s="2">
        <v>0.05621097756741444</v>
      </c>
      <c r="Y32" s="2">
        <v>0.3020346347094333</v>
      </c>
      <c r="Z32" s="2">
        <v>0.022206882729378607</v>
      </c>
      <c r="AA32" s="2">
        <v>39.7</v>
      </c>
    </row>
    <row r="33" ht="14.25" customHeight="1">
      <c r="A33" s="4" t="s">
        <v>89</v>
      </c>
      <c r="B33" s="4" t="s">
        <v>90</v>
      </c>
      <c r="C33" s="5">
        <v>3.4034812E7</v>
      </c>
      <c r="D33" s="2">
        <v>25.11178</v>
      </c>
      <c r="E33" s="2">
        <v>2.43</v>
      </c>
      <c r="F33" s="2">
        <v>40.0</v>
      </c>
      <c r="G33" s="2">
        <v>1.6803383547410222</v>
      </c>
      <c r="H33" s="2">
        <v>5.044247049168363</v>
      </c>
      <c r="I33" s="2">
        <v>3.9151090360070158</v>
      </c>
      <c r="J33" s="2">
        <v>0.10753695363441408</v>
      </c>
      <c r="K33" s="2">
        <v>0.1474960402308084</v>
      </c>
      <c r="L33" s="2">
        <v>0.09490283066643647</v>
      </c>
      <c r="M33" s="2">
        <v>0.6319999652120893</v>
      </c>
      <c r="N33" s="2">
        <v>11.621630229660148</v>
      </c>
      <c r="O33" s="2">
        <v>1499.945</v>
      </c>
      <c r="P33" s="2">
        <v>1485.598</v>
      </c>
      <c r="Q33" s="2">
        <v>49.715911865</v>
      </c>
      <c r="R33" s="2">
        <v>23.4</v>
      </c>
      <c r="S33" s="2">
        <v>57.76</v>
      </c>
      <c r="T33" s="2">
        <v>49.78</v>
      </c>
      <c r="U33" s="2">
        <v>55.67</v>
      </c>
      <c r="V33" s="2">
        <v>46.6525</v>
      </c>
      <c r="W33" s="2">
        <v>0.6333659692619711</v>
      </c>
      <c r="X33" s="2">
        <v>0.4081536066251876</v>
      </c>
      <c r="Y33" s="2">
        <v>0.17392551446158355</v>
      </c>
      <c r="Z33" s="2">
        <v>0.0431088309434951</v>
      </c>
      <c r="AA33" s="2">
        <v>30.4</v>
      </c>
    </row>
    <row r="34" ht="14.25" customHeight="1">
      <c r="A34" s="4" t="s">
        <v>91</v>
      </c>
      <c r="B34" s="4" t="s">
        <v>92</v>
      </c>
      <c r="C34" s="5">
        <v>2680497.0</v>
      </c>
      <c r="D34" s="2">
        <v>39.93723</v>
      </c>
      <c r="E34" s="2">
        <v>15.64</v>
      </c>
      <c r="F34" s="2">
        <v>70.10000000000001</v>
      </c>
      <c r="G34" s="2">
        <v>5.957850353870942</v>
      </c>
      <c r="H34" s="2">
        <v>58.041475144348226</v>
      </c>
      <c r="I34" s="2">
        <v>0.026114560098369814</v>
      </c>
      <c r="J34" s="2">
        <v>0.835665923147834</v>
      </c>
      <c r="K34" s="2">
        <v>2.44357669491889</v>
      </c>
      <c r="L34" s="2">
        <v>0.3618731899345532</v>
      </c>
      <c r="M34" s="2">
        <v>3.9731437863948367</v>
      </c>
      <c r="N34" s="2">
        <v>71.63969965271365</v>
      </c>
      <c r="O34" s="2">
        <v>10259.052</v>
      </c>
      <c r="P34" s="2">
        <v>10419.859</v>
      </c>
      <c r="Q34" s="2">
        <v>52.822963715</v>
      </c>
      <c r="R34" s="2">
        <v>55.5</v>
      </c>
      <c r="S34" s="2">
        <v>57.25</v>
      </c>
      <c r="T34" s="2">
        <v>64.71</v>
      </c>
      <c r="U34" s="2">
        <v>74.87</v>
      </c>
      <c r="V34" s="2">
        <v>63.082499999999996</v>
      </c>
      <c r="W34" s="2">
        <v>0.5329766603627509</v>
      </c>
      <c r="X34" s="2">
        <v>0.2976211391108608</v>
      </c>
      <c r="Y34" s="2">
        <v>0.16825144960481977</v>
      </c>
      <c r="Z34" s="2">
        <v>0.04670797096301475</v>
      </c>
      <c r="AA34" s="2">
        <v>30.3</v>
      </c>
    </row>
    <row r="35" ht="14.25" customHeight="1">
      <c r="A35" s="4" t="s">
        <v>93</v>
      </c>
      <c r="B35" s="4" t="s">
        <v>94</v>
      </c>
      <c r="C35" s="5">
        <v>2.706623E7</v>
      </c>
      <c r="D35" s="2">
        <v>26.45919</v>
      </c>
      <c r="E35" s="2">
        <v>2.34</v>
      </c>
      <c r="F35" s="2">
        <v>29.2</v>
      </c>
      <c r="G35" s="2">
        <v>0.3672473041129112</v>
      </c>
      <c r="H35" s="2">
        <v>3.4278878144462674</v>
      </c>
      <c r="I35" s="2">
        <v>0.6362171606463108</v>
      </c>
      <c r="J35" s="2">
        <v>0.010344994482053836</v>
      </c>
      <c r="K35" s="2">
        <v>0.02068998896410767</v>
      </c>
      <c r="L35" s="2">
        <v>0.15960848629454488</v>
      </c>
      <c r="M35" s="2">
        <v>0.23978219353046215</v>
      </c>
      <c r="N35" s="2">
        <v>4.861777942476658</v>
      </c>
      <c r="O35" s="2">
        <v>1643.767</v>
      </c>
      <c r="P35" s="2">
        <v>1747.635</v>
      </c>
      <c r="Q35" s="2">
        <v>52.609916687</v>
      </c>
      <c r="R35" s="2">
        <v>11.68</v>
      </c>
      <c r="S35" s="2">
        <v>49.68</v>
      </c>
      <c r="T35" s="2">
        <v>49.3</v>
      </c>
      <c r="U35" s="2">
        <v>52.36</v>
      </c>
      <c r="V35" s="2">
        <v>40.754999999999995</v>
      </c>
      <c r="W35" s="2">
        <v>0.7430388316801955</v>
      </c>
      <c r="X35" s="2">
        <v>0.5228385772205014</v>
      </c>
      <c r="Y35" s="2">
        <v>0.15281918930952315</v>
      </c>
      <c r="Z35" s="2">
        <v>0.06285454130405856</v>
      </c>
      <c r="AA35" s="2">
        <v>28.7</v>
      </c>
    </row>
    <row r="36" ht="14.25" customHeight="1">
      <c r="A36" s="4" t="s">
        <v>95</v>
      </c>
      <c r="B36" s="4" t="s">
        <v>96</v>
      </c>
      <c r="C36" s="5">
        <v>2.221824E8</v>
      </c>
      <c r="D36" s="2">
        <v>31.61699</v>
      </c>
      <c r="E36" s="2">
        <v>5.8</v>
      </c>
      <c r="F36" s="2">
        <v>46.800000000000004</v>
      </c>
      <c r="G36" s="2">
        <v>3.8995888063140915</v>
      </c>
      <c r="H36" s="2">
        <v>9.932424890540384</v>
      </c>
      <c r="I36" s="2">
        <v>6.606598902523332</v>
      </c>
      <c r="J36" s="2">
        <v>0.22720071436801473</v>
      </c>
      <c r="K36" s="2">
        <v>0.8226124121442562</v>
      </c>
      <c r="L36" s="2">
        <v>1.657782074547759</v>
      </c>
      <c r="M36" s="2">
        <v>1.74235222951953</v>
      </c>
      <c r="N36" s="2">
        <v>24.88856002995736</v>
      </c>
      <c r="O36" s="2">
        <v>5736.568</v>
      </c>
      <c r="P36" s="2">
        <v>5789.016</v>
      </c>
      <c r="Q36" s="2">
        <v>54.949794769</v>
      </c>
      <c r="R36" s="2">
        <v>14.08</v>
      </c>
      <c r="S36" s="2">
        <v>53.21</v>
      </c>
      <c r="T36" s="2">
        <v>62.66</v>
      </c>
      <c r="U36" s="2">
        <v>46.44</v>
      </c>
      <c r="V36" s="2">
        <v>44.0975</v>
      </c>
      <c r="W36" s="2">
        <v>0.6052017466492526</v>
      </c>
      <c r="X36" s="2">
        <v>0.4166193418588431</v>
      </c>
      <c r="Y36" s="2">
        <v>0.1443340184764995</v>
      </c>
      <c r="Z36" s="2">
        <v>0.042283574865925044</v>
      </c>
      <c r="AA36" s="2">
        <v>38.0</v>
      </c>
    </row>
    <row r="37" ht="14.25" customHeight="1">
      <c r="A37" s="4" t="s">
        <v>97</v>
      </c>
      <c r="B37" s="4" t="s">
        <v>98</v>
      </c>
      <c r="C37" s="5">
        <v>1.3924498E7</v>
      </c>
      <c r="D37" s="2">
        <v>31.76267</v>
      </c>
      <c r="E37" s="2">
        <v>6.0</v>
      </c>
      <c r="F37" s="2">
        <v>28.900000000000002</v>
      </c>
      <c r="G37" s="2">
        <v>0.8783081443941462</v>
      </c>
      <c r="H37" s="2">
        <v>9.695861208066532</v>
      </c>
      <c r="I37" s="2">
        <v>1.1433087210756179</v>
      </c>
      <c r="J37" s="2">
        <v>0.19677549596401966</v>
      </c>
      <c r="K37" s="2">
        <v>0.05817085829593282</v>
      </c>
      <c r="L37" s="2">
        <v>0.0</v>
      </c>
      <c r="M37" s="2">
        <v>1.3465476457391858</v>
      </c>
      <c r="N37" s="2">
        <v>13.318972073535434</v>
      </c>
      <c r="O37" s="2">
        <v>3163.417</v>
      </c>
      <c r="P37" s="2">
        <v>3355.683</v>
      </c>
      <c r="Q37" s="2">
        <v>58.712322235</v>
      </c>
      <c r="R37" s="2">
        <v>26.82</v>
      </c>
      <c r="S37" s="2">
        <v>70.06</v>
      </c>
      <c r="T37" s="2">
        <v>44.01</v>
      </c>
      <c r="U37" s="2">
        <v>67.2</v>
      </c>
      <c r="V37" s="2">
        <v>52.022499999999994</v>
      </c>
      <c r="W37" s="2">
        <v>0.382755301900515</v>
      </c>
      <c r="X37" s="2">
        <v>0.1659740372163217</v>
      </c>
      <c r="Y37" s="2">
        <v>0.17304009943129375</v>
      </c>
      <c r="Z37" s="2">
        <v>0.04084617344257052</v>
      </c>
      <c r="AA37" s="2">
        <v>33.1</v>
      </c>
    </row>
    <row r="38" ht="14.25" customHeight="1">
      <c r="A38" s="4" t="s">
        <v>99</v>
      </c>
      <c r="B38" s="4" t="s">
        <v>100</v>
      </c>
      <c r="C38" s="5">
        <v>232132.0</v>
      </c>
      <c r="D38" s="2">
        <v>41.41126</v>
      </c>
      <c r="E38" s="2">
        <v>16.63</v>
      </c>
      <c r="F38" s="2">
        <v>32.13</v>
      </c>
      <c r="G38" s="2">
        <v>4.52328847379939</v>
      </c>
      <c r="H38" s="2">
        <v>18.95473265211173</v>
      </c>
      <c r="I38" s="2">
        <v>2.153946892285424</v>
      </c>
      <c r="J38" s="2">
        <v>0.25847362707425087</v>
      </c>
      <c r="K38" s="2">
        <v>1.5939207002912137</v>
      </c>
      <c r="L38" s="2">
        <v>6.2895249254734376</v>
      </c>
      <c r="M38" s="2">
        <v>0.0</v>
      </c>
      <c r="N38" s="2">
        <v>33.77388727103545</v>
      </c>
      <c r="O38" s="2">
        <v>5517.584</v>
      </c>
      <c r="P38" s="2">
        <v>5449.789</v>
      </c>
      <c r="Q38" s="2">
        <v>62.442562103</v>
      </c>
      <c r="R38" s="2">
        <v>44.77</v>
      </c>
      <c r="S38" s="2">
        <v>53.47</v>
      </c>
      <c r="T38" s="2">
        <v>62.61</v>
      </c>
      <c r="U38" s="2">
        <v>79.7</v>
      </c>
      <c r="V38" s="2">
        <v>60.1375</v>
      </c>
      <c r="W38" s="2">
        <v>0.26640417665325467</v>
      </c>
      <c r="X38" s="2">
        <v>0.0857429414449875</v>
      </c>
      <c r="Y38" s="2">
        <v>0.1552046854661318</v>
      </c>
      <c r="Z38" s="2">
        <v>0.02186564687257211</v>
      </c>
      <c r="AA38" s="2">
        <v>26.6</v>
      </c>
    </row>
    <row r="39" ht="14.25" customHeight="1">
      <c r="A39" s="4" t="s">
        <v>101</v>
      </c>
      <c r="B39" s="4" t="s">
        <v>102</v>
      </c>
      <c r="C39" s="5">
        <v>1.8116526E7</v>
      </c>
      <c r="D39" s="2">
        <v>33.96112</v>
      </c>
      <c r="E39" s="2">
        <v>6.73</v>
      </c>
      <c r="F39" s="2">
        <v>58.7</v>
      </c>
      <c r="G39" s="2">
        <v>1.089060893904273</v>
      </c>
      <c r="H39" s="2">
        <v>2.638474948232349</v>
      </c>
      <c r="I39" s="2">
        <v>1.5952285774877588</v>
      </c>
      <c r="J39" s="2">
        <v>0.10874049472840433</v>
      </c>
      <c r="K39" s="2">
        <v>0.20147350546125675</v>
      </c>
      <c r="L39" s="2">
        <v>0.0</v>
      </c>
      <c r="M39" s="2">
        <v>0.14351537375322398</v>
      </c>
      <c r="N39" s="2">
        <v>5.7764937935672656</v>
      </c>
      <c r="O39" s="2">
        <v>4300.203</v>
      </c>
      <c r="P39" s="2">
        <v>4464.78</v>
      </c>
      <c r="Q39" s="2">
        <v>58.902999878</v>
      </c>
      <c r="R39" s="2">
        <v>30.05</v>
      </c>
      <c r="S39" s="2">
        <v>63.69</v>
      </c>
      <c r="T39" s="2">
        <v>55.65</v>
      </c>
      <c r="U39" s="2">
        <v>59.11</v>
      </c>
      <c r="V39" s="2">
        <v>52.125</v>
      </c>
      <c r="W39" s="2">
        <v>0.36508063195709667</v>
      </c>
      <c r="X39" s="2">
        <v>0.1649072122431515</v>
      </c>
      <c r="Y39" s="2">
        <v>0.1580066279516382</v>
      </c>
      <c r="Z39" s="2">
        <v>0.03650576716104589</v>
      </c>
      <c r="AA39" s="2">
        <v>32.8</v>
      </c>
    </row>
    <row r="40" ht="14.25" customHeight="1">
      <c r="A40" s="4" t="s">
        <v>103</v>
      </c>
      <c r="B40" s="4" t="s">
        <v>104</v>
      </c>
      <c r="C40" s="5">
        <v>99912.0</v>
      </c>
      <c r="D40" s="2">
        <v>52.842651</v>
      </c>
      <c r="F40" s="2">
        <v>46.0</v>
      </c>
      <c r="G40" s="2">
        <v>82.87292817679558</v>
      </c>
      <c r="H40" s="2">
        <v>62.55504844262951</v>
      </c>
      <c r="I40" s="2">
        <v>31.227480182560654</v>
      </c>
      <c r="J40" s="2">
        <v>4.403875410361118</v>
      </c>
      <c r="K40" s="2">
        <v>5.40475618544319</v>
      </c>
      <c r="L40" s="2">
        <v>1.000880775082072</v>
      </c>
      <c r="M40" s="2">
        <v>2.1018496276723515</v>
      </c>
      <c r="N40" s="2">
        <v>189.56681880054444</v>
      </c>
      <c r="O40" s="2">
        <v>34366.619</v>
      </c>
      <c r="P40" s="2">
        <v>35085.182</v>
      </c>
      <c r="Q40" s="2">
        <v>64.72145080600001</v>
      </c>
      <c r="R40" s="2">
        <v>78.3</v>
      </c>
      <c r="S40" s="2">
        <v>87.12</v>
      </c>
      <c r="T40" s="2">
        <v>57.3</v>
      </c>
      <c r="U40" s="2">
        <v>79.13</v>
      </c>
      <c r="V40" s="2">
        <v>75.4625</v>
      </c>
      <c r="W40" s="2">
        <v>0.3120941327811978</v>
      </c>
      <c r="X40" s="2">
        <v>0.06782598305724101</v>
      </c>
      <c r="Y40" s="2">
        <v>0.22109037588065925</v>
      </c>
      <c r="Z40" s="2">
        <v>0.02314529161372509</v>
      </c>
      <c r="AA40" s="2">
        <v>31.8</v>
      </c>
    </row>
    <row r="41" ht="14.25" customHeight="1">
      <c r="A41" s="4" t="s">
        <v>105</v>
      </c>
      <c r="B41" s="4" t="s">
        <v>106</v>
      </c>
      <c r="C41" s="5">
        <v>8472212.0</v>
      </c>
      <c r="D41" s="2">
        <v>30.91938</v>
      </c>
      <c r="E41" s="2">
        <v>2.63</v>
      </c>
      <c r="F41" s="2">
        <v>59.0</v>
      </c>
      <c r="G41" s="2">
        <v>1.3054441980441471</v>
      </c>
      <c r="H41" s="2">
        <v>8.682502279215864</v>
      </c>
      <c r="I41" s="2">
        <v>2.6805278243745554</v>
      </c>
      <c r="J41" s="2">
        <v>0.017704939394812123</v>
      </c>
      <c r="K41" s="2">
        <v>0.10504930707588526</v>
      </c>
      <c r="L41" s="2">
        <v>0.0</v>
      </c>
      <c r="M41" s="2">
        <v>0.35173812931026754</v>
      </c>
      <c r="N41" s="2">
        <v>13.142966677415535</v>
      </c>
      <c r="O41" s="2">
        <v>2920.12</v>
      </c>
      <c r="P41" s="2">
        <v>2966.491</v>
      </c>
      <c r="Q41" s="2">
        <v>53.127223969</v>
      </c>
      <c r="R41" s="2">
        <v>14.19</v>
      </c>
      <c r="S41" s="2">
        <v>50.54</v>
      </c>
      <c r="T41" s="2">
        <v>54.72</v>
      </c>
      <c r="U41" s="2">
        <v>72.06</v>
      </c>
      <c r="V41" s="2">
        <v>47.8775</v>
      </c>
      <c r="W41" s="2">
        <v>0.6221461561647086</v>
      </c>
      <c r="X41" s="2">
        <v>0.39564768663342004</v>
      </c>
      <c r="Y41" s="2">
        <v>0.1792199275295357</v>
      </c>
      <c r="Z41" s="2">
        <v>0.04572356954600792</v>
      </c>
      <c r="AA41" s="2">
        <v>32.7</v>
      </c>
    </row>
    <row r="42" ht="14.25" customHeight="1">
      <c r="A42" s="4" t="s">
        <v>107</v>
      </c>
      <c r="B42" s="4" t="s">
        <v>108</v>
      </c>
      <c r="C42" s="5">
        <v>6.1452696E7</v>
      </c>
      <c r="D42" s="2">
        <v>44.56413</v>
      </c>
      <c r="E42" s="2">
        <v>21.64</v>
      </c>
      <c r="F42" s="2">
        <v>54.0</v>
      </c>
      <c r="G42" s="2">
        <v>8.060346123789264</v>
      </c>
      <c r="H42" s="2">
        <v>64.64500760064294</v>
      </c>
      <c r="I42" s="2">
        <v>0.25108743805153805</v>
      </c>
      <c r="J42" s="2">
        <v>0.19039034512009043</v>
      </c>
      <c r="K42" s="2">
        <v>2.7385291607059843</v>
      </c>
      <c r="L42" s="2">
        <v>0.002115448279112116</v>
      </c>
      <c r="M42" s="2">
        <v>0.1806267376780345</v>
      </c>
      <c r="N42" s="2">
        <v>76.06810285426697</v>
      </c>
      <c r="O42" s="2">
        <v>13897.062</v>
      </c>
      <c r="P42" s="2">
        <v>13771.97</v>
      </c>
      <c r="Q42" s="2">
        <v>52.757083893</v>
      </c>
      <c r="R42" s="2">
        <v>79.53</v>
      </c>
      <c r="S42" s="2">
        <v>68.77</v>
      </c>
      <c r="T42" s="2">
        <v>60.66</v>
      </c>
      <c r="U42" s="2">
        <v>76.38</v>
      </c>
      <c r="V42" s="2">
        <v>71.33500000000001</v>
      </c>
      <c r="W42" s="2">
        <v>0.5989834116607087</v>
      </c>
      <c r="X42" s="2">
        <v>0.2728903357757716</v>
      </c>
      <c r="Y42" s="2">
        <v>0.23352653702763926</v>
      </c>
      <c r="Z42" s="2">
        <v>0.06611000889623338</v>
      </c>
      <c r="AA42" s="2">
        <v>45.8</v>
      </c>
    </row>
    <row r="43" ht="14.25" customHeight="1">
      <c r="A43" s="4" t="s">
        <v>109</v>
      </c>
      <c r="B43" s="4" t="s">
        <v>110</v>
      </c>
      <c r="C43" s="5">
        <v>1.1891023E7</v>
      </c>
      <c r="D43" s="2">
        <v>29.1139</v>
      </c>
      <c r="E43" s="2">
        <v>3.35</v>
      </c>
      <c r="F43" s="2">
        <v>46.32</v>
      </c>
      <c r="G43" s="2">
        <v>0.3834825649567745</v>
      </c>
      <c r="H43" s="2">
        <v>3.8095965334521678</v>
      </c>
      <c r="I43" s="2">
        <v>2.596917018830087</v>
      </c>
      <c r="J43" s="2">
        <v>0.02691105718994909</v>
      </c>
      <c r="K43" s="2">
        <v>0.13455528594974545</v>
      </c>
      <c r="L43" s="2">
        <v>0.5340162911130523</v>
      </c>
      <c r="M43" s="2">
        <v>0.22874398611456728</v>
      </c>
      <c r="N43" s="2">
        <v>7.7142227376063435</v>
      </c>
      <c r="O43" s="2">
        <v>938.257</v>
      </c>
      <c r="P43" s="2">
        <v>660.094</v>
      </c>
      <c r="Q43" s="2">
        <v>50.530017853</v>
      </c>
      <c r="R43" s="2">
        <v>21.91</v>
      </c>
      <c r="S43" s="2">
        <v>35.58</v>
      </c>
      <c r="T43" s="2">
        <v>59.48</v>
      </c>
      <c r="U43" s="2">
        <v>29.42</v>
      </c>
      <c r="V43" s="2">
        <v>36.5975</v>
      </c>
      <c r="W43" s="2">
        <v>0.6369056570592159</v>
      </c>
      <c r="X43" s="2">
        <v>0.41618333128777973</v>
      </c>
      <c r="Y43" s="2">
        <v>0.158847446075027</v>
      </c>
      <c r="Z43" s="2">
        <v>0.05792487934065125</v>
      </c>
      <c r="AA43" s="2">
        <v>21.3</v>
      </c>
    </row>
    <row r="44" ht="14.25" customHeight="1">
      <c r="A44" s="4" t="s">
        <v>111</v>
      </c>
      <c r="B44" s="4" t="s">
        <v>112</v>
      </c>
      <c r="C44" s="5">
        <v>4.9700758E7</v>
      </c>
      <c r="D44" s="2">
        <v>32.35637</v>
      </c>
      <c r="E44" s="2">
        <v>4.33</v>
      </c>
      <c r="F44" s="2">
        <v>40.1</v>
      </c>
      <c r="G44" s="2">
        <v>1.8213001902304993</v>
      </c>
      <c r="H44" s="2">
        <v>14.928746157151163</v>
      </c>
      <c r="I44" s="2">
        <v>6.631085988668422</v>
      </c>
      <c r="J44" s="2">
        <v>0.10140690409590936</v>
      </c>
      <c r="K44" s="2">
        <v>0.34446154724642225</v>
      </c>
      <c r="L44" s="2">
        <v>0.7589421473209724</v>
      </c>
      <c r="M44" s="2">
        <v>2.6921118587366415</v>
      </c>
      <c r="N44" s="2">
        <v>27.278054793450032</v>
      </c>
      <c r="O44" s="2">
        <v>3143.583</v>
      </c>
      <c r="P44" s="2">
        <v>3240.979</v>
      </c>
      <c r="Q44" s="2">
        <v>55.849014282</v>
      </c>
      <c r="R44" s="2">
        <v>22.84</v>
      </c>
      <c r="S44" s="2">
        <v>55.37</v>
      </c>
      <c r="T44" s="2">
        <v>56.9</v>
      </c>
      <c r="U44" s="2">
        <v>52.14</v>
      </c>
      <c r="V44" s="2">
        <v>46.8125</v>
      </c>
      <c r="W44" s="2">
        <v>0.3985053656792776</v>
      </c>
      <c r="X44" s="2">
        <v>0.21625225487927172</v>
      </c>
      <c r="Y44" s="2">
        <v>0.13944238339201867</v>
      </c>
      <c r="Z44" s="2">
        <v>0.040092692100191125</v>
      </c>
      <c r="AA44" s="2">
        <v>27.8</v>
      </c>
    </row>
    <row r="45" ht="14.25" customHeight="1">
      <c r="A45" s="4" t="s">
        <v>113</v>
      </c>
      <c r="B45" s="4" t="s">
        <v>114</v>
      </c>
      <c r="C45" s="5">
        <v>6.5136238E7</v>
      </c>
      <c r="D45" s="2">
        <v>32.46088</v>
      </c>
      <c r="E45" s="2">
        <v>3.2</v>
      </c>
      <c r="F45" s="2">
        <v>41.2</v>
      </c>
      <c r="G45" s="2">
        <v>1.3345873613394743</v>
      </c>
      <c r="H45" s="2">
        <v>7.086070890369812</v>
      </c>
      <c r="I45" s="2">
        <v>0.0</v>
      </c>
      <c r="J45" s="2">
        <v>0.11591090047294411</v>
      </c>
      <c r="K45" s="2">
        <v>0.3472721283043703</v>
      </c>
      <c r="L45" s="2">
        <v>0.23826982454835663</v>
      </c>
      <c r="M45" s="2">
        <v>0.7281660939644689</v>
      </c>
      <c r="N45" s="2">
        <v>9.850277198999425</v>
      </c>
      <c r="O45" s="2">
        <v>3553.409</v>
      </c>
      <c r="P45" s="2">
        <v>3638.147</v>
      </c>
      <c r="Q45" s="2">
        <v>57.224391937</v>
      </c>
      <c r="R45" s="2">
        <v>27.27</v>
      </c>
      <c r="S45" s="2">
        <v>54.91</v>
      </c>
      <c r="T45" s="2">
        <v>54.5</v>
      </c>
      <c r="U45" s="2">
        <v>68.17</v>
      </c>
      <c r="V45" s="2">
        <v>51.212500000000006</v>
      </c>
      <c r="W45" s="2">
        <v>0.40710627607488364</v>
      </c>
      <c r="X45" s="2">
        <v>0.2273335291751264</v>
      </c>
      <c r="Y45" s="2">
        <v>0.1437875337530365</v>
      </c>
      <c r="Z45" s="2">
        <v>0.03339786984283726</v>
      </c>
      <c r="AA45" s="2">
        <v>36.5</v>
      </c>
    </row>
    <row r="46" ht="14.25" customHeight="1">
      <c r="A46" s="4" t="s">
        <v>115</v>
      </c>
      <c r="B46" s="4" t="s">
        <v>116</v>
      </c>
      <c r="C46" s="5">
        <v>8886635.0</v>
      </c>
      <c r="D46" s="2">
        <v>33.47842</v>
      </c>
      <c r="E46" s="2">
        <v>3.7</v>
      </c>
      <c r="F46" s="2">
        <v>33.8</v>
      </c>
      <c r="G46" s="2">
        <v>0.8214582910179162</v>
      </c>
      <c r="H46" s="2">
        <v>2.9595004183248217</v>
      </c>
      <c r="I46" s="2">
        <v>2.09753185542109</v>
      </c>
      <c r="J46" s="2">
        <v>0.024756277263553637</v>
      </c>
      <c r="K46" s="2">
        <v>0.2869477591911899</v>
      </c>
      <c r="L46" s="2">
        <v>0.14178595160035265</v>
      </c>
      <c r="M46" s="2">
        <v>0.46586812668687305</v>
      </c>
      <c r="N46" s="2">
        <v>6.797848679505797</v>
      </c>
      <c r="O46" s="2">
        <v>2815.904</v>
      </c>
      <c r="P46" s="2">
        <v>2895.085</v>
      </c>
      <c r="Q46" s="2">
        <v>58.0728683469999</v>
      </c>
      <c r="R46" s="2">
        <v>19.6</v>
      </c>
      <c r="S46" s="2">
        <v>52.66</v>
      </c>
      <c r="T46" s="2">
        <v>50.72</v>
      </c>
      <c r="U46" s="2">
        <v>63.1</v>
      </c>
      <c r="V46" s="2">
        <v>46.519999999999996</v>
      </c>
      <c r="W46" s="2">
        <v>0.4825229129974139</v>
      </c>
      <c r="X46" s="2">
        <v>0.25168431894204213</v>
      </c>
      <c r="Y46" s="2">
        <v>0.18194218749659744</v>
      </c>
      <c r="Z46" s="2">
        <v>0.04592854443352148</v>
      </c>
      <c r="AA46" s="2">
        <v>31.3</v>
      </c>
    </row>
    <row r="47" ht="14.25" customHeight="1">
      <c r="A47" s="4" t="s">
        <v>117</v>
      </c>
      <c r="B47" s="4" t="s">
        <v>118</v>
      </c>
      <c r="C47" s="5">
        <v>2.0032801E7</v>
      </c>
      <c r="D47" s="2">
        <v>31.61706</v>
      </c>
      <c r="E47" s="2">
        <v>5.23</v>
      </c>
      <c r="F47" s="2">
        <v>52.300000000000004</v>
      </c>
      <c r="G47" s="2">
        <v>3.260153185767682</v>
      </c>
      <c r="H47" s="2">
        <v>24.946586351054954</v>
      </c>
      <c r="I47" s="2">
        <v>4.593466485290799</v>
      </c>
      <c r="J47" s="2">
        <v>0.14126831290342273</v>
      </c>
      <c r="K47" s="2">
        <v>0.7113333776939131</v>
      </c>
      <c r="L47" s="2">
        <v>0.20915697210789444</v>
      </c>
      <c r="M47" s="2">
        <v>0.7652449600033465</v>
      </c>
      <c r="N47" s="2">
        <v>34.627209644822</v>
      </c>
      <c r="O47" s="2">
        <v>3701.027</v>
      </c>
      <c r="P47" s="2">
        <v>3747.732</v>
      </c>
      <c r="Q47" s="2">
        <v>52.970092773</v>
      </c>
      <c r="R47" s="2">
        <v>37.54</v>
      </c>
      <c r="S47" s="2">
        <v>60.64</v>
      </c>
      <c r="T47" s="2">
        <v>57.47</v>
      </c>
      <c r="U47" s="2">
        <v>74.31</v>
      </c>
      <c r="V47" s="2">
        <v>57.49</v>
      </c>
      <c r="W47" s="2">
        <v>0.5051380542392863</v>
      </c>
      <c r="X47" s="2">
        <v>0.3085983632996488</v>
      </c>
      <c r="Y47" s="2">
        <v>0.1537962183167122</v>
      </c>
      <c r="Z47" s="2">
        <v>0.03607144653908635</v>
      </c>
      <c r="AA47" s="2">
        <v>26.5</v>
      </c>
    </row>
    <row r="48" ht="14.25" customHeight="1">
      <c r="A48" s="4" t="s">
        <v>119</v>
      </c>
      <c r="B48" s="4" t="s">
        <v>120</v>
      </c>
      <c r="C48" s="5">
        <v>1.5581023E7</v>
      </c>
      <c r="D48" s="2">
        <v>28.5771</v>
      </c>
      <c r="E48" s="2">
        <v>4.5</v>
      </c>
      <c r="F48" s="2">
        <v>46.0</v>
      </c>
      <c r="G48" s="2">
        <v>1.4260937808769039</v>
      </c>
      <c r="H48" s="2">
        <v>29.867743600660884</v>
      </c>
      <c r="I48" s="2">
        <v>1.8002669016020323</v>
      </c>
      <c r="J48" s="2">
        <v>0.3157687399601426</v>
      </c>
      <c r="K48" s="2">
        <v>1.2207157386264047</v>
      </c>
      <c r="L48" s="2">
        <v>0.9299774475655418</v>
      </c>
      <c r="M48" s="2">
        <v>0.6771057330446145</v>
      </c>
      <c r="N48" s="2">
        <v>36.23767194233652</v>
      </c>
      <c r="O48" s="2">
        <v>4473.673</v>
      </c>
      <c r="P48" s="2">
        <v>4465.361</v>
      </c>
      <c r="Q48" s="2">
        <v>51.248912811</v>
      </c>
      <c r="R48" s="2">
        <v>40.41</v>
      </c>
      <c r="S48" s="2">
        <v>47.83</v>
      </c>
      <c r="T48" s="2">
        <v>66.74</v>
      </c>
      <c r="U48" s="2">
        <v>71.16</v>
      </c>
      <c r="V48" s="2">
        <v>56.535</v>
      </c>
      <c r="W48" s="2">
        <v>0.5512477445030036</v>
      </c>
      <c r="X48" s="2">
        <v>0.29968261517066563</v>
      </c>
      <c r="Y48" s="2">
        <v>0.18528360365862584</v>
      </c>
      <c r="Z48" s="2">
        <v>0.057561610933959804</v>
      </c>
      <c r="AA48" s="2">
        <v>32.4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2.38"/>
    <col customWidth="1" min="3" max="3" width="106.75"/>
    <col customWidth="1" min="4" max="26" width="8.63"/>
  </cols>
  <sheetData>
    <row r="1" ht="14.25" customHeight="1">
      <c r="B1" s="6"/>
    </row>
    <row r="2" ht="14.25" customHeight="1">
      <c r="B2" s="7" t="s">
        <v>0</v>
      </c>
    </row>
    <row r="3" ht="14.25" customHeight="1">
      <c r="B3" s="7" t="s">
        <v>1</v>
      </c>
    </row>
    <row r="4" ht="14.25" customHeight="1">
      <c r="B4" s="7" t="s">
        <v>2</v>
      </c>
    </row>
    <row r="5" ht="14.25" customHeight="1">
      <c r="B5" s="7" t="s">
        <v>3</v>
      </c>
      <c r="C5" s="8" t="s">
        <v>121</v>
      </c>
    </row>
    <row r="6" ht="14.25" customHeight="1">
      <c r="B6" s="6" t="s">
        <v>4</v>
      </c>
      <c r="C6" s="8" t="s">
        <v>122</v>
      </c>
    </row>
    <row r="7" ht="14.25" customHeight="1">
      <c r="B7" s="7" t="s">
        <v>5</v>
      </c>
      <c r="C7" s="8" t="s">
        <v>123</v>
      </c>
    </row>
    <row r="8" ht="14.25" customHeight="1">
      <c r="B8" s="7" t="s">
        <v>6</v>
      </c>
      <c r="C8" s="2" t="s">
        <v>124</v>
      </c>
    </row>
    <row r="9" ht="14.25" customHeight="1">
      <c r="B9" s="7" t="s">
        <v>7</v>
      </c>
      <c r="C9" s="2" t="s">
        <v>124</v>
      </c>
    </row>
    <row r="10" ht="14.25" customHeight="1">
      <c r="B10" s="7" t="s">
        <v>8</v>
      </c>
      <c r="C10" s="2" t="s">
        <v>124</v>
      </c>
    </row>
    <row r="11" ht="14.25" customHeight="1">
      <c r="B11" s="7" t="s">
        <v>9</v>
      </c>
      <c r="C11" s="2" t="s">
        <v>124</v>
      </c>
    </row>
    <row r="12" ht="14.25" customHeight="1">
      <c r="B12" s="7" t="s">
        <v>10</v>
      </c>
      <c r="C12" s="2" t="s">
        <v>124</v>
      </c>
    </row>
    <row r="13" ht="14.25" customHeight="1">
      <c r="B13" s="7" t="s">
        <v>11</v>
      </c>
      <c r="C13" s="2" t="s">
        <v>124</v>
      </c>
    </row>
    <row r="14" ht="14.25" customHeight="1">
      <c r="B14" s="7" t="s">
        <v>12</v>
      </c>
      <c r="C14" s="2" t="s">
        <v>124</v>
      </c>
    </row>
    <row r="15" ht="14.25" customHeight="1">
      <c r="B15" s="7" t="s">
        <v>13</v>
      </c>
      <c r="C15" s="2" t="s">
        <v>124</v>
      </c>
    </row>
    <row r="16" ht="14.25" customHeight="1">
      <c r="B16" s="7" t="s">
        <v>14</v>
      </c>
      <c r="C16" s="9" t="s">
        <v>125</v>
      </c>
    </row>
    <row r="17" ht="14.25" customHeight="1">
      <c r="B17" s="7" t="s">
        <v>15</v>
      </c>
    </row>
    <row r="18" ht="14.25" customHeight="1">
      <c r="B18" s="7" t="s">
        <v>16</v>
      </c>
      <c r="C18" s="8" t="s">
        <v>126</v>
      </c>
    </row>
    <row r="19" ht="14.25" customHeight="1">
      <c r="B19" s="7" t="s">
        <v>17</v>
      </c>
      <c r="C19" s="8" t="s">
        <v>127</v>
      </c>
    </row>
    <row r="20" ht="14.25" customHeight="1">
      <c r="B20" s="7" t="s">
        <v>18</v>
      </c>
      <c r="C20" s="8" t="s">
        <v>128</v>
      </c>
    </row>
    <row r="21" ht="14.25" customHeight="1">
      <c r="B21" s="7" t="s">
        <v>19</v>
      </c>
      <c r="C21" s="8" t="s">
        <v>129</v>
      </c>
    </row>
    <row r="22" ht="14.25" customHeight="1">
      <c r="B22" s="7" t="s">
        <v>20</v>
      </c>
      <c r="C22" s="8" t="s">
        <v>130</v>
      </c>
    </row>
    <row r="23" ht="14.25" customHeight="1">
      <c r="B23" s="7" t="s">
        <v>21</v>
      </c>
    </row>
    <row r="24" ht="14.25" customHeight="1">
      <c r="B24" s="7" t="s">
        <v>22</v>
      </c>
      <c r="C24" s="2" t="s">
        <v>131</v>
      </c>
    </row>
    <row r="25" ht="14.25" customHeight="1">
      <c r="B25" s="7" t="s">
        <v>23</v>
      </c>
      <c r="C25" s="2" t="s">
        <v>132</v>
      </c>
    </row>
    <row r="26" ht="14.25" customHeight="1">
      <c r="B26" s="7" t="s">
        <v>24</v>
      </c>
      <c r="C26" s="2" t="s">
        <v>133</v>
      </c>
    </row>
    <row r="27" ht="14.25" customHeight="1">
      <c r="B27" s="7" t="s">
        <v>25</v>
      </c>
      <c r="C27" s="2" t="s">
        <v>134</v>
      </c>
    </row>
    <row r="28" ht="14.25" customHeight="1">
      <c r="B28" s="7" t="s">
        <v>26</v>
      </c>
      <c r="C28" s="2" t="s">
        <v>135</v>
      </c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7.13"/>
    <col customWidth="1" min="3" max="3" width="55.5"/>
    <col customWidth="1" min="4" max="4" width="31.88"/>
    <col customWidth="1" min="5" max="5" width="31.25"/>
    <col customWidth="1" min="6" max="7" width="21.13"/>
    <col customWidth="1" min="8" max="24" width="12.5"/>
    <col customWidth="1" min="25" max="25" width="10.88"/>
    <col customWidth="1" min="26" max="26" width="14.13"/>
  </cols>
  <sheetData>
    <row r="1" ht="14.25" customHeight="1"/>
    <row r="2" ht="14.25" customHeight="1"/>
    <row r="3" ht="14.25" customHeight="1">
      <c r="C3" s="4" t="s">
        <v>136</v>
      </c>
    </row>
    <row r="4" ht="14.25" customHeight="1">
      <c r="C4" s="10"/>
      <c r="D4" s="11" t="s">
        <v>137</v>
      </c>
      <c r="E4" s="11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</row>
    <row r="5" ht="14.25" customHeight="1">
      <c r="C5" s="2" t="s">
        <v>143</v>
      </c>
      <c r="D5" s="2" t="s">
        <v>144</v>
      </c>
      <c r="E5" s="2" t="s">
        <v>145</v>
      </c>
      <c r="F5" s="2" t="s">
        <v>139</v>
      </c>
      <c r="G5" s="2" t="s">
        <v>140</v>
      </c>
      <c r="H5" s="2" t="s">
        <v>146</v>
      </c>
      <c r="I5" s="2" t="s">
        <v>147</v>
      </c>
    </row>
    <row r="6" ht="14.25" customHeight="1">
      <c r="C6" s="2" t="s">
        <v>148</v>
      </c>
      <c r="D6" s="5">
        <v>3510.5</v>
      </c>
      <c r="E6" s="5">
        <v>1881.0</v>
      </c>
      <c r="F6" s="5">
        <v>1434.0</v>
      </c>
      <c r="G6" s="5">
        <v>1165.0</v>
      </c>
      <c r="H6" s="5">
        <v>5292.0</v>
      </c>
      <c r="I6" s="5">
        <v>20000.0</v>
      </c>
    </row>
    <row r="7" ht="14.25" customHeight="1">
      <c r="C7" s="2" t="s">
        <v>149</v>
      </c>
      <c r="D7" s="5">
        <v>5843.166666666667</v>
      </c>
      <c r="E7" s="5">
        <v>5020.1</v>
      </c>
      <c r="F7" s="5">
        <v>4508.6</v>
      </c>
      <c r="G7" s="5">
        <v>5297.6</v>
      </c>
      <c r="H7" s="5">
        <v>7995.75</v>
      </c>
      <c r="I7" s="5">
        <v>20000.0</v>
      </c>
    </row>
    <row r="8" ht="14.25" customHeight="1">
      <c r="C8" s="2" t="s">
        <v>150</v>
      </c>
      <c r="D8" s="5">
        <v>851.0</v>
      </c>
      <c r="E8" s="5">
        <v>400.0</v>
      </c>
      <c r="F8" s="5">
        <v>404.0</v>
      </c>
      <c r="G8" s="5">
        <v>637.0</v>
      </c>
      <c r="H8" s="5">
        <v>799.0</v>
      </c>
      <c r="I8" s="5">
        <v>20000.0</v>
      </c>
    </row>
    <row r="9" ht="14.25" customHeight="1">
      <c r="C9" s="2" t="s">
        <v>151</v>
      </c>
      <c r="D9" s="5">
        <v>20600.0</v>
      </c>
      <c r="E9" s="5">
        <v>11538.5</v>
      </c>
      <c r="F9" s="5">
        <v>10000.0</v>
      </c>
      <c r="G9" s="5">
        <v>18600.0</v>
      </c>
      <c r="H9" s="5">
        <v>20600.0</v>
      </c>
      <c r="I9" s="5">
        <v>20000.0</v>
      </c>
    </row>
    <row r="10" ht="14.25" customHeight="1">
      <c r="C10" s="2" t="s">
        <v>152</v>
      </c>
      <c r="D10" s="5">
        <v>6.0</v>
      </c>
      <c r="E10" s="5">
        <v>5.0</v>
      </c>
      <c r="F10" s="5">
        <v>5.0</v>
      </c>
      <c r="G10" s="5">
        <v>5.0</v>
      </c>
      <c r="H10" s="5">
        <v>4.0</v>
      </c>
      <c r="I10" s="5">
        <v>1.0</v>
      </c>
    </row>
    <row r="11" ht="14.25" customHeight="1"/>
    <row r="12" ht="14.25" customHeight="1"/>
    <row r="13" ht="14.25" customHeight="1"/>
    <row r="14" ht="14.25" customHeight="1"/>
    <row r="15" ht="14.25" customHeight="1">
      <c r="C15" s="4" t="s">
        <v>153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14.25" customHeight="1">
      <c r="F16" s="14">
        <v>11856.737016989644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14.25" customHeight="1">
      <c r="C17" s="15" t="s">
        <v>154</v>
      </c>
      <c r="D17" s="16" t="s">
        <v>148</v>
      </c>
      <c r="E17" s="15" t="s">
        <v>150</v>
      </c>
      <c r="F17" s="15" t="s">
        <v>151</v>
      </c>
      <c r="G17" s="15" t="s">
        <v>155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14.25" customHeight="1">
      <c r="C18" s="17" t="s">
        <v>156</v>
      </c>
      <c r="D18" s="18">
        <v>8475.880452109459</v>
      </c>
      <c r="E18" s="14">
        <v>3176.4688150002776</v>
      </c>
      <c r="F18" s="14">
        <v>11856.737016989644</v>
      </c>
      <c r="G18" s="13" t="s">
        <v>157</v>
      </c>
      <c r="H18" s="2" t="str">
        <f t="shared" ref="H18:H20" si="1">IF(F18&lt;D18,"Check","")</f>
        <v/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W18" s="2" t="s">
        <v>149</v>
      </c>
      <c r="X18" s="2" t="s">
        <v>148</v>
      </c>
      <c r="Y18" s="2" t="s">
        <v>158</v>
      </c>
      <c r="Z18" s="2" t="s">
        <v>159</v>
      </c>
    </row>
    <row r="19" ht="14.25" customHeight="1">
      <c r="C19" s="17" t="s">
        <v>160</v>
      </c>
      <c r="D19" s="18">
        <v>2100.56417525773</v>
      </c>
      <c r="E19" s="14">
        <v>18.9109558731756</v>
      </c>
      <c r="F19" s="14">
        <v>6691.2</v>
      </c>
      <c r="G19" s="13">
        <v>10.0</v>
      </c>
      <c r="H19" s="2" t="str">
        <f t="shared" si="1"/>
        <v/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W19" s="19">
        <v>11856.737016989644</v>
      </c>
      <c r="X19" s="19">
        <v>8475.880452109459</v>
      </c>
      <c r="Y19" s="19">
        <v>3176.4688150002776</v>
      </c>
      <c r="Z19" s="19">
        <v>42931.28204089748</v>
      </c>
    </row>
    <row r="20" ht="14.25" customHeight="1">
      <c r="B20" s="17" t="s">
        <v>146</v>
      </c>
      <c r="C20" s="17" t="s">
        <v>141</v>
      </c>
      <c r="D20" s="18">
        <v>24675.1470769231</v>
      </c>
      <c r="E20" s="14">
        <v>4350.0</v>
      </c>
      <c r="F20" s="14">
        <v>65003.3779697624</v>
      </c>
      <c r="G20" s="13">
        <v>13.0</v>
      </c>
      <c r="H20" s="2" t="str">
        <f t="shared" si="1"/>
        <v/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4.25" customHeight="1">
      <c r="C21" s="17" t="s">
        <v>161</v>
      </c>
      <c r="D21" s="18">
        <v>8475.880452109459</v>
      </c>
      <c r="E21" s="14">
        <v>3176.4688150002776</v>
      </c>
      <c r="F21" s="14">
        <v>11856.737016989644</v>
      </c>
      <c r="G21" s="13" t="s">
        <v>157</v>
      </c>
      <c r="H21" s="2" t="str">
        <f>IF(F21&lt;F16,"Check","")</f>
        <v/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4.25" customHeight="1">
      <c r="C22" s="17" t="s">
        <v>162</v>
      </c>
      <c r="D22" s="18">
        <v>8475.880452109459</v>
      </c>
      <c r="E22" s="14">
        <v>3176.4688150002776</v>
      </c>
      <c r="F22" s="14">
        <v>11856.737016989644</v>
      </c>
      <c r="G22" s="13" t="s">
        <v>157</v>
      </c>
      <c r="H22" s="2" t="str">
        <f t="shared" ref="H22:H41" si="2">IF(F22&lt;D22,"Check","")</f>
        <v/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4.25" customHeight="1">
      <c r="C23" s="17" t="s">
        <v>163</v>
      </c>
      <c r="D23" s="18">
        <v>8373.358095328686</v>
      </c>
      <c r="E23" s="14">
        <v>2274.61892766589</v>
      </c>
      <c r="F23" s="14">
        <v>23780.7408207343</v>
      </c>
      <c r="G23" s="13">
        <v>14.0</v>
      </c>
      <c r="H23" s="2" t="str">
        <f t="shared" si="2"/>
        <v/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4.25" customHeight="1">
      <c r="B24" s="2" t="s">
        <v>144</v>
      </c>
      <c r="C24" s="17" t="s">
        <v>137</v>
      </c>
      <c r="D24" s="18">
        <v>16711.4509604832</v>
      </c>
      <c r="E24" s="14">
        <v>4350.0</v>
      </c>
      <c r="F24" s="14">
        <v>70131.6428571429</v>
      </c>
      <c r="G24" s="13">
        <v>17.0</v>
      </c>
      <c r="H24" s="2" t="str">
        <f t="shared" si="2"/>
        <v/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4.25" customHeight="1">
      <c r="C25" s="17" t="s">
        <v>164</v>
      </c>
      <c r="D25" s="18">
        <v>8475.880452109459</v>
      </c>
      <c r="E25" s="14">
        <v>3176.4688150002776</v>
      </c>
      <c r="F25" s="14">
        <v>11856.737016989644</v>
      </c>
      <c r="G25" s="13" t="s">
        <v>157</v>
      </c>
      <c r="H25" s="2" t="str">
        <f t="shared" si="2"/>
        <v/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4.25" customHeight="1">
      <c r="B26" s="17" t="s">
        <v>165</v>
      </c>
      <c r="C26" s="17" t="s">
        <v>166</v>
      </c>
      <c r="D26" s="18">
        <v>7741.2876192288</v>
      </c>
      <c r="E26" s="14">
        <v>3030.42857142857</v>
      </c>
      <c r="F26" s="14">
        <v>96426.689528448</v>
      </c>
      <c r="G26" s="13">
        <v>15.0</v>
      </c>
      <c r="H26" s="2" t="str">
        <f t="shared" si="2"/>
        <v/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4.25" customHeight="1">
      <c r="C27" s="17" t="s">
        <v>167</v>
      </c>
      <c r="D27" s="18">
        <v>8475.88045210946</v>
      </c>
      <c r="E27" s="14">
        <v>3176.4688150002776</v>
      </c>
      <c r="F27" s="14">
        <v>11856.737016989644</v>
      </c>
      <c r="G27" s="13" t="s">
        <v>157</v>
      </c>
      <c r="H27" s="2" t="str">
        <f t="shared" si="2"/>
        <v/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14.25" customHeight="1">
      <c r="C28" s="17" t="s">
        <v>168</v>
      </c>
      <c r="D28" s="18">
        <v>7741.2876192288</v>
      </c>
      <c r="E28" s="14">
        <v>3525.76552530231</v>
      </c>
      <c r="F28" s="14">
        <v>43430.122712448</v>
      </c>
      <c r="G28" s="13">
        <v>15.0</v>
      </c>
      <c r="H28" s="2" t="str">
        <f t="shared" si="2"/>
        <v/>
      </c>
    </row>
    <row r="29" ht="14.25" customHeight="1">
      <c r="B29" s="17" t="s">
        <v>139</v>
      </c>
      <c r="C29" s="17" t="s">
        <v>139</v>
      </c>
      <c r="D29" s="18">
        <v>8216.36774684032</v>
      </c>
      <c r="E29" s="14">
        <v>4119.041908551503</v>
      </c>
      <c r="F29" s="14">
        <v>22257.167951366035</v>
      </c>
      <c r="G29" s="13">
        <v>6.666666666666667</v>
      </c>
      <c r="H29" s="2" t="str">
        <f t="shared" si="2"/>
        <v/>
      </c>
    </row>
    <row r="30" ht="14.25" customHeight="1">
      <c r="B30" s="17" t="s">
        <v>145</v>
      </c>
      <c r="C30" s="17" t="s">
        <v>145</v>
      </c>
      <c r="D30" s="18">
        <v>7534.1458823328</v>
      </c>
      <c r="E30" s="14">
        <v>4119.041908551503</v>
      </c>
      <c r="F30" s="14">
        <v>64855.98653160923</v>
      </c>
      <c r="G30" s="13">
        <v>8.0</v>
      </c>
      <c r="H30" s="2" t="str">
        <f t="shared" si="2"/>
        <v/>
      </c>
    </row>
    <row r="31" ht="14.25" customHeight="1">
      <c r="C31" s="17" t="s">
        <v>145</v>
      </c>
      <c r="D31" s="18">
        <v>7534.145882332799</v>
      </c>
      <c r="E31" s="14">
        <v>4119.041908551503</v>
      </c>
      <c r="F31" s="14">
        <v>64855.98653160923</v>
      </c>
      <c r="G31" s="13">
        <v>8.0</v>
      </c>
      <c r="H31" s="2" t="str">
        <f t="shared" si="2"/>
        <v/>
      </c>
    </row>
    <row r="32" ht="14.25" customHeight="1">
      <c r="C32" s="17" t="s">
        <v>169</v>
      </c>
      <c r="D32" s="18">
        <v>8475.880452109459</v>
      </c>
      <c r="E32" s="14">
        <v>3176.4688150002776</v>
      </c>
      <c r="F32" s="14">
        <v>11856.737016989644</v>
      </c>
      <c r="G32" s="13" t="s">
        <v>157</v>
      </c>
      <c r="H32" s="2" t="str">
        <f t="shared" si="2"/>
        <v/>
      </c>
    </row>
    <row r="33" ht="14.25" customHeight="1">
      <c r="C33" s="17" t="s">
        <v>142</v>
      </c>
      <c r="D33" s="18">
        <v>6335.03892676101</v>
      </c>
      <c r="E33" s="14">
        <v>3525.76552530231</v>
      </c>
      <c r="F33" s="14">
        <v>12006.0</v>
      </c>
      <c r="G33" s="13">
        <v>10.0</v>
      </c>
      <c r="H33" s="2" t="str">
        <f t="shared" si="2"/>
        <v/>
      </c>
    </row>
    <row r="34" ht="14.25" customHeight="1">
      <c r="C34" s="17" t="s">
        <v>170</v>
      </c>
      <c r="D34" s="18">
        <v>8475.880452109459</v>
      </c>
      <c r="E34" s="14">
        <v>3176.4688150002776</v>
      </c>
      <c r="F34" s="14">
        <v>11856.737016989644</v>
      </c>
      <c r="G34" s="13" t="s">
        <v>157</v>
      </c>
      <c r="H34" s="2" t="str">
        <f t="shared" si="2"/>
        <v/>
      </c>
    </row>
    <row r="35" ht="14.25" customHeight="1">
      <c r="B35" s="17" t="s">
        <v>171</v>
      </c>
      <c r="C35" s="17" t="s">
        <v>140</v>
      </c>
      <c r="D35" s="18">
        <v>11129.0286210506</v>
      </c>
      <c r="E35" s="14">
        <v>4812.30862105056</v>
      </c>
      <c r="F35" s="14">
        <v>51236.73338527456</v>
      </c>
      <c r="G35" s="13">
        <v>9.0</v>
      </c>
      <c r="H35" s="2" t="str">
        <f t="shared" si="2"/>
        <v/>
      </c>
    </row>
    <row r="36" ht="14.25" customHeight="1">
      <c r="C36" s="17" t="s">
        <v>172</v>
      </c>
      <c r="D36" s="18">
        <v>12188.43</v>
      </c>
      <c r="E36" s="14">
        <v>3525.76552530231</v>
      </c>
      <c r="F36" s="14">
        <v>39012.8571428571</v>
      </c>
      <c r="G36" s="13">
        <v>13.0</v>
      </c>
      <c r="H36" s="2" t="str">
        <f t="shared" si="2"/>
        <v/>
      </c>
    </row>
    <row r="37" ht="14.25" customHeight="1">
      <c r="C37" s="17" t="s">
        <v>173</v>
      </c>
      <c r="D37" s="18">
        <v>8475.880452109459</v>
      </c>
      <c r="E37" s="14">
        <v>3176.4688150002776</v>
      </c>
      <c r="F37" s="14">
        <v>11856.737016989644</v>
      </c>
      <c r="G37" s="13" t="s">
        <v>157</v>
      </c>
      <c r="H37" s="2" t="str">
        <f t="shared" si="2"/>
        <v/>
      </c>
    </row>
    <row r="38" ht="14.25" customHeight="1">
      <c r="C38" s="17" t="s">
        <v>174</v>
      </c>
      <c r="D38" s="18">
        <v>8475.880452109459</v>
      </c>
      <c r="E38" s="14">
        <v>3176.4688150002776</v>
      </c>
      <c r="F38" s="14">
        <v>11856.737016989644</v>
      </c>
      <c r="G38" s="13" t="s">
        <v>157</v>
      </c>
      <c r="H38" s="2" t="str">
        <f t="shared" si="2"/>
        <v/>
      </c>
    </row>
    <row r="39" ht="14.25" customHeight="1">
      <c r="C39" s="20" t="s">
        <v>175</v>
      </c>
      <c r="D39" s="18">
        <v>33928.98</v>
      </c>
      <c r="E39" s="14">
        <v>5391.0</v>
      </c>
      <c r="F39" s="14">
        <v>184378.438712448</v>
      </c>
      <c r="G39" s="13">
        <v>15.0</v>
      </c>
      <c r="H39" s="2" t="str">
        <f t="shared" si="2"/>
        <v/>
      </c>
    </row>
    <row r="40" ht="14.25" customHeight="1">
      <c r="C40" s="15" t="s">
        <v>176</v>
      </c>
      <c r="D40" s="21">
        <v>11859.993898121575</v>
      </c>
      <c r="E40" s="22">
        <v>5611.118793025671</v>
      </c>
      <c r="F40" s="22">
        <v>35120.689249031915</v>
      </c>
      <c r="G40" s="15"/>
      <c r="H40" s="2" t="str">
        <f t="shared" si="2"/>
        <v/>
      </c>
    </row>
    <row r="41" ht="14.25" customHeight="1">
      <c r="C41" s="15" t="s">
        <v>148</v>
      </c>
      <c r="D41" s="21">
        <v>11856.737016989644</v>
      </c>
      <c r="E41" s="22">
        <v>4581.15431052528</v>
      </c>
      <c r="F41" s="22">
        <v>17131.583975683017</v>
      </c>
      <c r="G41" s="15"/>
      <c r="H41" s="2" t="str">
        <f t="shared" si="2"/>
        <v/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C48" s="4" t="s">
        <v>177</v>
      </c>
    </row>
    <row r="49" ht="14.25" customHeight="1"/>
    <row r="50" ht="14.25" customHeight="1">
      <c r="C50" s="15" t="s">
        <v>154</v>
      </c>
      <c r="D50" s="15" t="s">
        <v>148</v>
      </c>
      <c r="E50" s="15" t="s">
        <v>149</v>
      </c>
      <c r="F50" s="15" t="s">
        <v>150</v>
      </c>
      <c r="G50" s="15" t="s">
        <v>151</v>
      </c>
      <c r="H50" s="15" t="s">
        <v>152</v>
      </c>
    </row>
    <row r="51" ht="14.25" customHeight="1">
      <c r="A51" s="23" t="s">
        <v>137</v>
      </c>
      <c r="B51" s="2" t="s">
        <v>144</v>
      </c>
      <c r="C51" s="17" t="s">
        <v>137</v>
      </c>
      <c r="D51" s="24">
        <v>10572.0</v>
      </c>
      <c r="E51" s="24">
        <v>17350.800000000003</v>
      </c>
      <c r="F51" s="24">
        <v>5106.0</v>
      </c>
      <c r="G51" s="24">
        <v>31950.0</v>
      </c>
      <c r="H51" s="6">
        <v>6.0</v>
      </c>
      <c r="I51" s="2">
        <v>6.0</v>
      </c>
      <c r="J51" s="2">
        <v>2891.8</v>
      </c>
    </row>
    <row r="52" ht="14.25" customHeight="1">
      <c r="A52" s="23" t="s">
        <v>137</v>
      </c>
      <c r="C52" s="17" t="s">
        <v>175</v>
      </c>
      <c r="D52" s="24">
        <v>5286.0</v>
      </c>
      <c r="E52" s="24">
        <v>8675.400000000001</v>
      </c>
      <c r="F52" s="24">
        <v>2553.0</v>
      </c>
      <c r="G52" s="24">
        <v>15975.0</v>
      </c>
      <c r="H52" s="6"/>
      <c r="I52" s="2">
        <v>3.0</v>
      </c>
    </row>
    <row r="53" ht="14.25" customHeight="1">
      <c r="A53" s="23" t="s">
        <v>138</v>
      </c>
      <c r="B53" s="17" t="s">
        <v>145</v>
      </c>
      <c r="C53" s="17" t="s">
        <v>145</v>
      </c>
      <c r="D53" s="24">
        <v>4972.5</v>
      </c>
      <c r="E53" s="24">
        <v>10171.5</v>
      </c>
      <c r="F53" s="24">
        <v>1200.0</v>
      </c>
      <c r="G53" s="24">
        <v>29541.0</v>
      </c>
      <c r="H53" s="6">
        <v>5.0</v>
      </c>
      <c r="I53" s="2">
        <v>3.0</v>
      </c>
    </row>
    <row r="54" ht="14.25" customHeight="1">
      <c r="A54" s="23" t="s">
        <v>139</v>
      </c>
      <c r="B54" s="17" t="s">
        <v>139</v>
      </c>
      <c r="C54" s="17" t="s">
        <v>139</v>
      </c>
      <c r="D54" s="24">
        <v>2292.0</v>
      </c>
      <c r="E54" s="24">
        <v>6271.5</v>
      </c>
      <c r="F54" s="24">
        <v>808.0</v>
      </c>
      <c r="G54" s="24">
        <v>19694.0</v>
      </c>
      <c r="H54" s="6">
        <v>5.0</v>
      </c>
      <c r="I54" s="2">
        <v>2.0</v>
      </c>
    </row>
    <row r="55" ht="14.25" customHeight="1">
      <c r="A55" s="23" t="s">
        <v>140</v>
      </c>
      <c r="B55" s="17" t="s">
        <v>171</v>
      </c>
      <c r="C55" s="17" t="s">
        <v>140</v>
      </c>
      <c r="D55" s="24">
        <v>3852.0</v>
      </c>
      <c r="E55" s="24">
        <v>7888.0</v>
      </c>
      <c r="F55" s="24">
        <v>2548.0</v>
      </c>
      <c r="G55" s="24">
        <v>21300.0</v>
      </c>
      <c r="H55" s="6">
        <v>5.0</v>
      </c>
      <c r="I55" s="2">
        <v>4.0</v>
      </c>
    </row>
    <row r="56" ht="14.25" customHeight="1">
      <c r="A56" s="23" t="s">
        <v>141</v>
      </c>
      <c r="B56" s="17" t="s">
        <v>146</v>
      </c>
      <c r="C56" s="17" t="s">
        <v>141</v>
      </c>
      <c r="D56" s="24">
        <v>10572.0</v>
      </c>
      <c r="E56" s="24">
        <v>17350.800000000003</v>
      </c>
      <c r="F56" s="24">
        <v>5106.0</v>
      </c>
      <c r="G56" s="24">
        <v>31950.0</v>
      </c>
      <c r="H56" s="6">
        <v>4.0</v>
      </c>
      <c r="I56" s="2">
        <v>6.0</v>
      </c>
    </row>
    <row r="57" ht="14.25" customHeight="1">
      <c r="B57" s="17" t="s">
        <v>165</v>
      </c>
      <c r="C57" s="17" t="s">
        <v>178</v>
      </c>
      <c r="D57" s="24">
        <v>3632.25</v>
      </c>
      <c r="E57" s="24">
        <v>8221.5</v>
      </c>
      <c r="F57" s="24">
        <v>1004.0</v>
      </c>
      <c r="G57" s="24">
        <v>24617.5</v>
      </c>
      <c r="H57" s="6"/>
      <c r="I57" s="2">
        <v>3.0</v>
      </c>
    </row>
    <row r="58" ht="14.25" customHeight="1">
      <c r="B58" s="17" t="s">
        <v>160</v>
      </c>
      <c r="C58" s="17" t="s">
        <v>160</v>
      </c>
      <c r="D58" s="24">
        <v>1000.0</v>
      </c>
      <c r="E58" s="24">
        <v>1000.0</v>
      </c>
      <c r="F58" s="24">
        <v>500.0</v>
      </c>
      <c r="G58" s="24">
        <v>1500.0</v>
      </c>
      <c r="H58" s="6"/>
      <c r="I58" s="14">
        <v>0.5</v>
      </c>
    </row>
    <row r="59" ht="14.25" customHeight="1">
      <c r="C59" s="15"/>
      <c r="D59" s="25">
        <v>5272.34375</v>
      </c>
      <c r="E59" s="25">
        <v>9616.1875</v>
      </c>
      <c r="F59" s="25">
        <v>2353.125</v>
      </c>
      <c r="G59" s="25">
        <v>22065.9375</v>
      </c>
      <c r="H59" s="15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5.13"/>
    <col customWidth="1" min="3" max="3" width="17.5"/>
    <col customWidth="1" min="4" max="4" width="13.75"/>
    <col customWidth="1" min="5" max="5" width="15.13"/>
    <col customWidth="1" min="6" max="6" width="8.63"/>
    <col customWidth="1" min="7" max="7" width="15.5"/>
    <col customWidth="1" min="8" max="8" width="16.13"/>
    <col customWidth="1" min="9" max="9" width="13.13"/>
    <col customWidth="1" min="10" max="10" width="13.88"/>
    <col customWidth="1" min="11" max="11" width="8.63"/>
    <col customWidth="1" min="12" max="12" width="12.25"/>
    <col customWidth="1" min="13" max="14" width="8.63"/>
    <col customWidth="1" min="15" max="15" width="11.88"/>
    <col customWidth="1" min="16" max="16" width="13.25"/>
    <col customWidth="1" min="17" max="19" width="8.63"/>
    <col customWidth="1" min="20" max="20" width="12.13"/>
    <col customWidth="1" min="21" max="21" width="14.13"/>
    <col customWidth="1" min="22" max="22" width="15.5"/>
    <col customWidth="1" min="23" max="23" width="17.0"/>
    <col customWidth="1" min="24" max="25" width="11.13"/>
    <col customWidth="1" min="26" max="27" width="18.13"/>
    <col customWidth="1" min="28" max="28" width="8.63"/>
  </cols>
  <sheetData>
    <row r="1" ht="14.25" customHeight="1">
      <c r="A1" s="26" t="s">
        <v>0</v>
      </c>
      <c r="B1" s="26" t="s">
        <v>179</v>
      </c>
      <c r="C1" s="26" t="s">
        <v>137</v>
      </c>
      <c r="D1" s="26" t="s">
        <v>145</v>
      </c>
      <c r="E1" s="26" t="s">
        <v>139</v>
      </c>
      <c r="F1" s="26" t="s">
        <v>141</v>
      </c>
      <c r="G1" s="26" t="s">
        <v>180</v>
      </c>
      <c r="H1" s="26" t="s">
        <v>140</v>
      </c>
      <c r="I1" s="26" t="s">
        <v>181</v>
      </c>
      <c r="J1" s="26" t="s">
        <v>166</v>
      </c>
      <c r="K1" s="26" t="s">
        <v>142</v>
      </c>
      <c r="L1" s="26" t="s">
        <v>165</v>
      </c>
      <c r="M1" s="26" t="s">
        <v>182</v>
      </c>
      <c r="N1" s="1" t="s">
        <v>144</v>
      </c>
      <c r="O1" s="1" t="s">
        <v>145</v>
      </c>
      <c r="P1" s="1" t="s">
        <v>183</v>
      </c>
      <c r="Q1" s="1" t="s">
        <v>141</v>
      </c>
      <c r="R1" s="1" t="s">
        <v>140</v>
      </c>
      <c r="S1" s="1" t="s">
        <v>184</v>
      </c>
      <c r="T1" s="1" t="s">
        <v>144</v>
      </c>
      <c r="U1" s="1" t="s">
        <v>145</v>
      </c>
      <c r="V1" s="1" t="s">
        <v>183</v>
      </c>
      <c r="W1" s="1" t="s">
        <v>141</v>
      </c>
      <c r="X1" s="1" t="s">
        <v>140</v>
      </c>
      <c r="Y1" s="1" t="s">
        <v>184</v>
      </c>
      <c r="Z1" s="1" t="s">
        <v>185</v>
      </c>
      <c r="AA1" s="1" t="s">
        <v>186</v>
      </c>
      <c r="AB1" s="1" t="s">
        <v>187</v>
      </c>
    </row>
    <row r="2" ht="14.25" customHeight="1">
      <c r="A2" s="27" t="s">
        <v>83</v>
      </c>
      <c r="B2" s="27" t="s">
        <v>84</v>
      </c>
      <c r="C2" s="27">
        <v>0.0</v>
      </c>
      <c r="D2" s="27">
        <v>0.0</v>
      </c>
      <c r="E2" s="27">
        <v>0.0</v>
      </c>
      <c r="F2" s="27">
        <v>0.0</v>
      </c>
      <c r="G2" s="27">
        <v>0.0</v>
      </c>
      <c r="H2" s="27">
        <v>0.0</v>
      </c>
      <c r="I2" s="27">
        <v>0.0</v>
      </c>
      <c r="J2" s="27">
        <v>0.0</v>
      </c>
      <c r="K2" s="27">
        <v>0.0</v>
      </c>
      <c r="L2" s="27">
        <v>0.0</v>
      </c>
      <c r="M2" s="27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f t="shared" ref="Z2:Z48" si="1">SUM(T2:Y2)</f>
        <v>0</v>
      </c>
      <c r="AA2" s="5">
        <f>VLOOKUP(B2,Salaries_total!$B$3:$C$49,2,FALSE)</f>
        <v>22105727</v>
      </c>
      <c r="AB2" s="28">
        <f t="shared" ref="AB2:AB48" si="2">Z2/AA2</f>
        <v>0</v>
      </c>
    </row>
    <row r="3" ht="14.25" customHeight="1">
      <c r="A3" s="27" t="s">
        <v>99</v>
      </c>
      <c r="B3" s="27" t="s">
        <v>100</v>
      </c>
      <c r="C3" s="27">
        <v>0.0</v>
      </c>
      <c r="D3" s="27">
        <v>0.0</v>
      </c>
      <c r="E3" s="27">
        <v>0.0</v>
      </c>
      <c r="F3" s="27">
        <v>0.0</v>
      </c>
      <c r="G3" s="27">
        <v>0.0</v>
      </c>
      <c r="H3" s="27">
        <v>0.0</v>
      </c>
      <c r="I3" s="27">
        <v>0.0</v>
      </c>
      <c r="J3" s="27">
        <v>0.0</v>
      </c>
      <c r="K3" s="27">
        <v>0.0</v>
      </c>
      <c r="L3" s="27">
        <v>0.0</v>
      </c>
      <c r="M3" s="27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f t="shared" si="1"/>
        <v>0</v>
      </c>
      <c r="AA3" s="5">
        <f>VLOOKUP(B3,Salaries_total!$B$3:$C$49,2,FALSE)</f>
        <v>232132</v>
      </c>
      <c r="AB3" s="28">
        <f t="shared" si="2"/>
        <v>0</v>
      </c>
    </row>
    <row r="4" ht="14.25" customHeight="1">
      <c r="A4" s="27" t="s">
        <v>43</v>
      </c>
      <c r="B4" s="27" t="s">
        <v>44</v>
      </c>
      <c r="C4" s="27">
        <v>18.0</v>
      </c>
      <c r="D4" s="27">
        <v>0.0</v>
      </c>
      <c r="E4" s="27">
        <v>0.0</v>
      </c>
      <c r="F4" s="27">
        <v>0.0</v>
      </c>
      <c r="G4" s="27">
        <v>0.0</v>
      </c>
      <c r="H4" s="27">
        <v>0.0</v>
      </c>
      <c r="I4" s="27">
        <v>0.0</v>
      </c>
      <c r="J4" s="27">
        <v>0.0</v>
      </c>
      <c r="K4" s="27">
        <v>0.0</v>
      </c>
      <c r="L4" s="27">
        <v>0.0</v>
      </c>
      <c r="M4" s="27">
        <v>18.0</v>
      </c>
      <c r="N4" s="2">
        <v>18.0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5">
        <v>370800.0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f t="shared" si="1"/>
        <v>370800</v>
      </c>
      <c r="AA4" s="5">
        <f>VLOOKUP(B4,Salaries_total!$B$3:$C$49,2,FALSE)</f>
        <v>5119136</v>
      </c>
      <c r="AB4" s="28">
        <f t="shared" si="2"/>
        <v>0.07243409825</v>
      </c>
    </row>
    <row r="5" ht="14.25" customHeight="1">
      <c r="A5" s="27" t="s">
        <v>47</v>
      </c>
      <c r="B5" s="27" t="s">
        <v>48</v>
      </c>
      <c r="C5" s="27">
        <v>0.0</v>
      </c>
      <c r="D5" s="27">
        <v>40.0</v>
      </c>
      <c r="E5" s="27">
        <v>29.0</v>
      </c>
      <c r="F5" s="27">
        <v>0.0</v>
      </c>
      <c r="G5" s="27">
        <v>0.0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7">
        <v>69.0</v>
      </c>
      <c r="N5" s="2">
        <v>0.0</v>
      </c>
      <c r="O5" s="2">
        <v>40.0</v>
      </c>
      <c r="P5" s="2">
        <v>29.0</v>
      </c>
      <c r="Q5" s="2">
        <v>0.0</v>
      </c>
      <c r="R5" s="2">
        <v>0.0</v>
      </c>
      <c r="S5" s="2">
        <v>0.0</v>
      </c>
      <c r="T5" s="5">
        <v>0.0</v>
      </c>
      <c r="U5" s="5">
        <v>461540.0</v>
      </c>
      <c r="V5" s="5">
        <v>400000.0</v>
      </c>
      <c r="W5" s="5">
        <v>0.0</v>
      </c>
      <c r="X5" s="5">
        <v>0.0</v>
      </c>
      <c r="Y5" s="5">
        <v>0.0</v>
      </c>
      <c r="Z5" s="5">
        <f t="shared" si="1"/>
        <v>861540</v>
      </c>
      <c r="AA5" s="5">
        <f>VLOOKUP(B5,Salaries_total!$B$3:$C$49,2,FALSE)</f>
        <v>926492</v>
      </c>
      <c r="AB5" s="28">
        <f t="shared" si="2"/>
        <v>0.9298946996</v>
      </c>
    </row>
    <row r="6" ht="14.25" customHeight="1">
      <c r="A6" s="27" t="s">
        <v>39</v>
      </c>
      <c r="B6" s="27" t="s">
        <v>40</v>
      </c>
      <c r="C6" s="27">
        <v>0.0</v>
      </c>
      <c r="D6" s="27">
        <v>0.0</v>
      </c>
      <c r="E6" s="27">
        <v>0.0</v>
      </c>
      <c r="F6" s="27">
        <v>0.0</v>
      </c>
      <c r="G6" s="27">
        <v>7.0</v>
      </c>
      <c r="H6" s="27">
        <v>0.0</v>
      </c>
      <c r="I6" s="27">
        <v>0.0</v>
      </c>
      <c r="J6" s="27">
        <v>0.0</v>
      </c>
      <c r="K6" s="27">
        <v>0.0</v>
      </c>
      <c r="L6" s="27">
        <v>83.0</v>
      </c>
      <c r="M6" s="27">
        <v>90.0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f t="shared" si="1"/>
        <v>0</v>
      </c>
      <c r="AA6" s="5">
        <f>VLOOKUP(B6,Salaries_total!$B$3:$C$49,2,FALSE)</f>
        <v>573322</v>
      </c>
      <c r="AB6" s="28">
        <f t="shared" si="2"/>
        <v>0</v>
      </c>
    </row>
    <row r="7" ht="14.25" customHeight="1">
      <c r="A7" s="27" t="s">
        <v>103</v>
      </c>
      <c r="B7" s="27" t="s">
        <v>104</v>
      </c>
      <c r="C7" s="27">
        <v>10.0</v>
      </c>
      <c r="D7" s="27">
        <v>40.0</v>
      </c>
      <c r="E7" s="27">
        <v>10.0</v>
      </c>
      <c r="F7" s="27">
        <v>0.0</v>
      </c>
      <c r="G7" s="27">
        <v>0.0</v>
      </c>
      <c r="H7" s="27">
        <v>0.0</v>
      </c>
      <c r="I7" s="27">
        <v>20.0</v>
      </c>
      <c r="J7" s="27">
        <v>0.0</v>
      </c>
      <c r="K7" s="27">
        <v>0.0</v>
      </c>
      <c r="L7" s="27">
        <v>80.0</v>
      </c>
      <c r="M7" s="27">
        <v>160.0</v>
      </c>
      <c r="N7" s="2">
        <v>10.0</v>
      </c>
      <c r="O7" s="2">
        <v>40.0</v>
      </c>
      <c r="P7" s="2">
        <v>10.0</v>
      </c>
      <c r="Q7" s="2">
        <v>0.0</v>
      </c>
      <c r="R7" s="2">
        <v>0.0</v>
      </c>
      <c r="S7" s="2">
        <v>0.0</v>
      </c>
      <c r="T7" s="5">
        <v>206000.0</v>
      </c>
      <c r="U7" s="5">
        <v>461540.0</v>
      </c>
      <c r="V7" s="5">
        <v>400000.0</v>
      </c>
      <c r="W7" s="5">
        <v>0.0</v>
      </c>
      <c r="X7" s="5">
        <v>0.0</v>
      </c>
      <c r="Y7" s="5">
        <v>0.0</v>
      </c>
      <c r="Z7" s="5">
        <f t="shared" si="1"/>
        <v>1067540</v>
      </c>
      <c r="AA7" s="5">
        <f>VLOOKUP(B7,Salaries_total!$B$3:$C$49,2,FALSE)</f>
        <v>99912</v>
      </c>
      <c r="AB7" s="28">
        <f t="shared" si="2"/>
        <v>10.68480263</v>
      </c>
    </row>
    <row r="8" ht="14.25" customHeight="1">
      <c r="A8" s="27" t="s">
        <v>65</v>
      </c>
      <c r="B8" s="27" t="s">
        <v>66</v>
      </c>
      <c r="C8" s="27">
        <v>23.0</v>
      </c>
      <c r="D8" s="27">
        <v>137.0</v>
      </c>
      <c r="E8" s="27">
        <v>0.0</v>
      </c>
      <c r="F8" s="27">
        <v>0.0</v>
      </c>
      <c r="G8" s="27">
        <v>0.0</v>
      </c>
      <c r="H8" s="27">
        <v>0.0</v>
      </c>
      <c r="I8" s="27">
        <v>0.0</v>
      </c>
      <c r="J8" s="27">
        <v>6.0</v>
      </c>
      <c r="K8" s="27">
        <v>0.0</v>
      </c>
      <c r="L8" s="27">
        <v>0.0</v>
      </c>
      <c r="M8" s="27">
        <v>166.0</v>
      </c>
      <c r="N8" s="2">
        <v>23.0</v>
      </c>
      <c r="O8" s="2">
        <v>137.0</v>
      </c>
      <c r="P8" s="2">
        <v>0.0</v>
      </c>
      <c r="Q8" s="2">
        <v>0.0</v>
      </c>
      <c r="R8" s="2">
        <v>0.0</v>
      </c>
      <c r="S8" s="2">
        <v>6.0</v>
      </c>
      <c r="T8" s="5">
        <v>473800.0</v>
      </c>
      <c r="U8" s="5">
        <v>1580774.5</v>
      </c>
      <c r="V8" s="5">
        <v>1370000.0</v>
      </c>
      <c r="W8" s="5">
        <v>0.0</v>
      </c>
      <c r="X8" s="5">
        <v>0.0</v>
      </c>
      <c r="Y8" s="5">
        <v>69231.0</v>
      </c>
      <c r="Z8" s="5">
        <f t="shared" si="1"/>
        <v>3493805.5</v>
      </c>
      <c r="AA8" s="5">
        <f>VLOOKUP(B8,Salaries_total!$B$3:$C$49,2,FALSE)</f>
        <v>2631251</v>
      </c>
      <c r="AB8" s="28">
        <f t="shared" si="2"/>
        <v>1.327811562</v>
      </c>
    </row>
    <row r="9" ht="14.25" customHeight="1">
      <c r="A9" s="27" t="s">
        <v>63</v>
      </c>
      <c r="B9" s="27" t="s">
        <v>64</v>
      </c>
      <c r="C9" s="27">
        <v>46.0</v>
      </c>
      <c r="D9" s="27">
        <v>95.0</v>
      </c>
      <c r="E9" s="27">
        <v>34.0</v>
      </c>
      <c r="F9" s="27">
        <v>0.0</v>
      </c>
      <c r="G9" s="27">
        <v>0.0</v>
      </c>
      <c r="H9" s="27">
        <v>2.0</v>
      </c>
      <c r="I9" s="27">
        <v>0.0</v>
      </c>
      <c r="J9" s="27">
        <v>6.0</v>
      </c>
      <c r="K9" s="27">
        <v>0.0</v>
      </c>
      <c r="L9" s="27">
        <v>0.0</v>
      </c>
      <c r="M9" s="27">
        <v>183.0</v>
      </c>
      <c r="N9" s="2">
        <v>46.0</v>
      </c>
      <c r="O9" s="2">
        <v>95.0</v>
      </c>
      <c r="P9" s="2">
        <v>34.0</v>
      </c>
      <c r="Q9" s="2">
        <v>0.0</v>
      </c>
      <c r="R9" s="2">
        <v>2.0</v>
      </c>
      <c r="S9" s="2">
        <v>6.0</v>
      </c>
      <c r="T9" s="5">
        <v>947600.0</v>
      </c>
      <c r="U9" s="5">
        <v>1096157.5</v>
      </c>
      <c r="V9" s="5">
        <v>950000.0</v>
      </c>
      <c r="W9" s="5">
        <v>0.0</v>
      </c>
      <c r="X9" s="5">
        <v>37200.0</v>
      </c>
      <c r="Y9" s="5">
        <v>69231.0</v>
      </c>
      <c r="Z9" s="5">
        <f t="shared" si="1"/>
        <v>3100188.5</v>
      </c>
      <c r="AA9" s="5">
        <f>VLOOKUP(B9,Salaries_total!$B$3:$C$49,2,FALSE)</f>
        <v>2383905</v>
      </c>
      <c r="AB9" s="28">
        <f t="shared" si="2"/>
        <v>1.300466462</v>
      </c>
    </row>
    <row r="10" ht="14.25" customHeight="1">
      <c r="A10" s="27" t="s">
        <v>77</v>
      </c>
      <c r="B10" s="27" t="s">
        <v>78</v>
      </c>
      <c r="C10" s="27">
        <v>29.0</v>
      </c>
      <c r="D10" s="27">
        <v>63.0</v>
      </c>
      <c r="E10" s="27">
        <v>0.0</v>
      </c>
      <c r="F10" s="27">
        <v>0.0</v>
      </c>
      <c r="G10" s="27">
        <v>0.0</v>
      </c>
      <c r="H10" s="27">
        <v>22.0</v>
      </c>
      <c r="I10" s="27">
        <v>0.0</v>
      </c>
      <c r="J10" s="27">
        <v>56.0</v>
      </c>
      <c r="K10" s="27">
        <v>0.0</v>
      </c>
      <c r="L10" s="27">
        <v>50.0</v>
      </c>
      <c r="M10" s="27">
        <v>220.0</v>
      </c>
      <c r="N10" s="2">
        <v>29.0</v>
      </c>
      <c r="O10" s="2">
        <v>63.0</v>
      </c>
      <c r="P10" s="2">
        <v>0.0</v>
      </c>
      <c r="Q10" s="2">
        <v>0.0</v>
      </c>
      <c r="R10" s="2">
        <v>22.0</v>
      </c>
      <c r="S10" s="2">
        <v>56.0</v>
      </c>
      <c r="T10" s="5">
        <v>597400.0</v>
      </c>
      <c r="U10" s="5">
        <v>726925.5</v>
      </c>
      <c r="V10" s="5">
        <v>630000.0</v>
      </c>
      <c r="W10" s="5">
        <v>0.0</v>
      </c>
      <c r="X10" s="5">
        <v>409200.0</v>
      </c>
      <c r="Y10" s="5">
        <v>646156.0</v>
      </c>
      <c r="Z10" s="5">
        <f t="shared" si="1"/>
        <v>3009681.5</v>
      </c>
      <c r="AA10" s="5">
        <f>VLOOKUP(B10,Salaries_total!$B$3:$C$49,2,FALSE)</f>
        <v>5432272</v>
      </c>
      <c r="AB10" s="28">
        <f t="shared" si="2"/>
        <v>0.5540373347</v>
      </c>
    </row>
    <row r="11" ht="14.25" customHeight="1">
      <c r="A11" s="27" t="s">
        <v>27</v>
      </c>
      <c r="B11" s="27" t="s">
        <v>28</v>
      </c>
      <c r="C11" s="27">
        <v>300.0</v>
      </c>
      <c r="D11" s="27">
        <v>0.0</v>
      </c>
      <c r="E11" s="27">
        <v>0.0</v>
      </c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300.0</v>
      </c>
      <c r="N11" s="2">
        <v>300.0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5">
        <v>6180000.0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f t="shared" si="1"/>
        <v>6180000</v>
      </c>
      <c r="AA11" s="5">
        <f>VLOOKUP(B11,Salaries_total!$B$3:$C$49,2,FALSE)</f>
        <v>46053477</v>
      </c>
      <c r="AB11" s="28">
        <f t="shared" si="2"/>
        <v>0.1341918223</v>
      </c>
    </row>
    <row r="12" ht="14.25" customHeight="1">
      <c r="A12" s="27" t="s">
        <v>59</v>
      </c>
      <c r="B12" s="27" t="s">
        <v>60</v>
      </c>
      <c r="C12" s="27">
        <v>0.0</v>
      </c>
      <c r="D12" s="27">
        <v>160.0</v>
      </c>
      <c r="E12" s="27">
        <v>80.0</v>
      </c>
      <c r="F12" s="27">
        <v>0.0</v>
      </c>
      <c r="G12" s="27">
        <v>0.0</v>
      </c>
      <c r="H12" s="27">
        <v>44.0</v>
      </c>
      <c r="I12" s="27">
        <v>30.0</v>
      </c>
      <c r="J12" s="27">
        <v>78.0</v>
      </c>
      <c r="K12" s="27">
        <v>0.0</v>
      </c>
      <c r="L12" s="27">
        <v>58.0</v>
      </c>
      <c r="M12" s="27">
        <v>450.0</v>
      </c>
      <c r="N12" s="2">
        <v>0.0</v>
      </c>
      <c r="O12" s="2">
        <v>160.0</v>
      </c>
      <c r="P12" s="2">
        <v>80.0</v>
      </c>
      <c r="Q12" s="2">
        <v>0.0</v>
      </c>
      <c r="R12" s="2">
        <v>44.0</v>
      </c>
      <c r="S12" s="2">
        <v>78.0</v>
      </c>
      <c r="T12" s="5">
        <v>0.0</v>
      </c>
      <c r="U12" s="5">
        <v>1846160.0</v>
      </c>
      <c r="V12" s="5">
        <v>1600000.0</v>
      </c>
      <c r="W12" s="5">
        <v>0.0</v>
      </c>
      <c r="X12" s="5">
        <v>818400.0</v>
      </c>
      <c r="Y12" s="5">
        <v>900003.0</v>
      </c>
      <c r="Z12" s="5">
        <f t="shared" si="1"/>
        <v>5164563</v>
      </c>
      <c r="AA12" s="5">
        <f>VLOOKUP(B12,Salaries_total!$B$3:$C$49,2,FALSE)</f>
        <v>1197512</v>
      </c>
      <c r="AB12" s="28">
        <f t="shared" si="2"/>
        <v>4.312744256</v>
      </c>
    </row>
    <row r="13" ht="14.25" customHeight="1">
      <c r="A13" s="27" t="s">
        <v>85</v>
      </c>
      <c r="B13" s="27" t="s">
        <v>86</v>
      </c>
      <c r="C13" s="27">
        <v>0.0</v>
      </c>
      <c r="D13" s="27">
        <v>113.0</v>
      </c>
      <c r="E13" s="27">
        <v>0.0</v>
      </c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366.0</v>
      </c>
      <c r="M13" s="27">
        <v>479.0</v>
      </c>
      <c r="N13" s="2">
        <v>0.0</v>
      </c>
      <c r="O13" s="2">
        <v>113.0</v>
      </c>
      <c r="P13" s="2">
        <v>0.0</v>
      </c>
      <c r="Q13" s="2">
        <v>0.0</v>
      </c>
      <c r="R13" s="2">
        <v>0.0</v>
      </c>
      <c r="S13" s="2">
        <v>0.0</v>
      </c>
      <c r="T13" s="5">
        <v>0.0</v>
      </c>
      <c r="U13" s="5">
        <v>1303850.5</v>
      </c>
      <c r="V13" s="5">
        <v>1130000.0</v>
      </c>
      <c r="W13" s="5">
        <v>0.0</v>
      </c>
      <c r="X13" s="5">
        <v>0.0</v>
      </c>
      <c r="Y13" s="5">
        <v>0.0</v>
      </c>
      <c r="Z13" s="5">
        <f t="shared" si="1"/>
        <v>2433850.5</v>
      </c>
      <c r="AA13" s="5">
        <f>VLOOKUP(B13,Salaries_total!$B$3:$C$49,2,FALSE)</f>
        <v>5030233</v>
      </c>
      <c r="AB13" s="28">
        <f t="shared" si="2"/>
        <v>0.4838444859</v>
      </c>
    </row>
    <row r="14" ht="14.25" customHeight="1">
      <c r="A14" s="27" t="s">
        <v>71</v>
      </c>
      <c r="B14" s="27" t="s">
        <v>72</v>
      </c>
      <c r="C14" s="27">
        <v>0.0</v>
      </c>
      <c r="D14" s="27">
        <v>0.0</v>
      </c>
      <c r="E14" s="27">
        <v>0.0</v>
      </c>
      <c r="F14" s="27">
        <v>0.0</v>
      </c>
      <c r="G14" s="27">
        <v>0.0</v>
      </c>
      <c r="H14" s="27">
        <v>0.0</v>
      </c>
      <c r="I14" s="27">
        <v>0.0</v>
      </c>
      <c r="J14" s="27">
        <v>23.0</v>
      </c>
      <c r="K14" s="27">
        <v>0.0</v>
      </c>
      <c r="L14" s="27">
        <v>489.0</v>
      </c>
      <c r="M14" s="27">
        <v>512.0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23.0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265385.5</v>
      </c>
      <c r="Z14" s="5">
        <f t="shared" si="1"/>
        <v>265385.5</v>
      </c>
      <c r="AA14" s="5">
        <f>VLOOKUP(B14,Salaries_total!$B$3:$C$49,2,FALSE)</f>
        <v>2111612</v>
      </c>
      <c r="AB14" s="28">
        <f t="shared" si="2"/>
        <v>0.125679102</v>
      </c>
    </row>
    <row r="15" ht="14.25" customHeight="1">
      <c r="A15" s="27" t="s">
        <v>75</v>
      </c>
      <c r="B15" s="27" t="s">
        <v>76</v>
      </c>
      <c r="C15" s="27">
        <v>8.0</v>
      </c>
      <c r="D15" s="27">
        <v>376.0</v>
      </c>
      <c r="E15" s="27">
        <v>69.0</v>
      </c>
      <c r="F15" s="27">
        <v>8.0</v>
      </c>
      <c r="G15" s="27">
        <v>0.0</v>
      </c>
      <c r="H15" s="27">
        <v>33.0</v>
      </c>
      <c r="I15" s="27">
        <v>20.0</v>
      </c>
      <c r="J15" s="27">
        <v>20.0</v>
      </c>
      <c r="K15" s="27">
        <v>0.0</v>
      </c>
      <c r="L15" s="27">
        <v>0.0</v>
      </c>
      <c r="M15" s="27">
        <v>534.0</v>
      </c>
      <c r="N15" s="2">
        <v>8.0</v>
      </c>
      <c r="O15" s="2">
        <v>376.0</v>
      </c>
      <c r="P15" s="2">
        <v>69.0</v>
      </c>
      <c r="Q15" s="2">
        <v>8.0</v>
      </c>
      <c r="R15" s="2">
        <v>33.0</v>
      </c>
      <c r="S15" s="2">
        <v>20.0</v>
      </c>
      <c r="T15" s="5">
        <v>164800.0</v>
      </c>
      <c r="U15" s="5">
        <v>4338476.0</v>
      </c>
      <c r="V15" s="5">
        <v>3760000.0</v>
      </c>
      <c r="W15" s="5">
        <v>164800.0</v>
      </c>
      <c r="X15" s="5">
        <v>613800.0</v>
      </c>
      <c r="Y15" s="5">
        <v>230770.0</v>
      </c>
      <c r="Z15" s="5">
        <f t="shared" si="1"/>
        <v>9272646</v>
      </c>
      <c r="AA15" s="5">
        <f>VLOOKUP(B15,Salaries_total!$B$3:$C$49,2,FALSE)</f>
        <v>2192400</v>
      </c>
      <c r="AB15" s="28">
        <f t="shared" si="2"/>
        <v>4.229449918</v>
      </c>
    </row>
    <row r="16" ht="14.25" customHeight="1">
      <c r="A16" s="27" t="s">
        <v>87</v>
      </c>
      <c r="B16" s="27" t="s">
        <v>88</v>
      </c>
      <c r="C16" s="27">
        <v>432.0</v>
      </c>
      <c r="D16" s="27">
        <v>175.0</v>
      </c>
      <c r="E16" s="27">
        <v>40.0</v>
      </c>
      <c r="F16" s="27">
        <v>0.0</v>
      </c>
      <c r="G16" s="27">
        <v>0.0</v>
      </c>
      <c r="H16" s="27">
        <v>0.0</v>
      </c>
      <c r="I16" s="27">
        <v>0.0</v>
      </c>
      <c r="J16" s="27">
        <v>0.0</v>
      </c>
      <c r="K16" s="27">
        <v>0.0</v>
      </c>
      <c r="L16" s="27">
        <v>39.0</v>
      </c>
      <c r="M16" s="27">
        <v>686.0</v>
      </c>
      <c r="N16" s="2">
        <v>432.0</v>
      </c>
      <c r="O16" s="2">
        <v>175.0</v>
      </c>
      <c r="P16" s="2">
        <v>40.0</v>
      </c>
      <c r="Q16" s="2">
        <v>0.0</v>
      </c>
      <c r="R16" s="2">
        <v>0.0</v>
      </c>
      <c r="S16" s="2">
        <v>0.0</v>
      </c>
      <c r="T16" s="5">
        <v>8899200.0</v>
      </c>
      <c r="U16" s="5">
        <v>2019237.5</v>
      </c>
      <c r="V16" s="5">
        <v>1750000.0</v>
      </c>
      <c r="W16" s="5">
        <v>0.0</v>
      </c>
      <c r="X16" s="5">
        <v>0.0</v>
      </c>
      <c r="Y16" s="5">
        <v>0.0</v>
      </c>
      <c r="Z16" s="5">
        <f t="shared" si="1"/>
        <v>12668437.5</v>
      </c>
      <c r="AA16" s="5">
        <f>VLOOKUP(B16,Salaries_total!$B$3:$C$49,2,FALSE)</f>
        <v>1275657</v>
      </c>
      <c r="AB16" s="28">
        <f t="shared" si="2"/>
        <v>9.930912071</v>
      </c>
    </row>
    <row r="17" ht="14.25" customHeight="1">
      <c r="A17" s="27" t="s">
        <v>49</v>
      </c>
      <c r="B17" s="27" t="s">
        <v>50</v>
      </c>
      <c r="C17" s="27">
        <v>60.0</v>
      </c>
      <c r="D17" s="27">
        <v>60.0</v>
      </c>
      <c r="E17" s="27">
        <v>120.0</v>
      </c>
      <c r="F17" s="27">
        <v>0.0</v>
      </c>
      <c r="G17" s="27">
        <v>10.0</v>
      </c>
      <c r="H17" s="27">
        <v>0.0</v>
      </c>
      <c r="I17" s="27">
        <v>5.0</v>
      </c>
      <c r="J17" s="27">
        <v>0.0</v>
      </c>
      <c r="K17" s="27">
        <v>50.0</v>
      </c>
      <c r="L17" s="27">
        <v>408.0</v>
      </c>
      <c r="M17" s="27">
        <v>713.0</v>
      </c>
      <c r="N17" s="2">
        <v>60.0</v>
      </c>
      <c r="O17" s="2">
        <v>60.0</v>
      </c>
      <c r="P17" s="2">
        <v>120.0</v>
      </c>
      <c r="Q17" s="2">
        <v>0.0</v>
      </c>
      <c r="R17" s="2">
        <v>0.0</v>
      </c>
      <c r="S17" s="2">
        <v>0.0</v>
      </c>
      <c r="T17" s="5">
        <v>1236000.0</v>
      </c>
      <c r="U17" s="5">
        <v>692310.0</v>
      </c>
      <c r="V17" s="5">
        <v>600000.0</v>
      </c>
      <c r="W17" s="5">
        <v>0.0</v>
      </c>
      <c r="X17" s="5">
        <v>0.0</v>
      </c>
      <c r="Y17" s="5">
        <v>0.0</v>
      </c>
      <c r="Z17" s="5">
        <f t="shared" si="1"/>
        <v>2528310</v>
      </c>
      <c r="AA17" s="5">
        <f>VLOOKUP(B17,Salaries_total!$B$3:$C$49,2,FALSE)</f>
        <v>5940746</v>
      </c>
      <c r="AB17" s="28">
        <f t="shared" si="2"/>
        <v>0.4255879649</v>
      </c>
    </row>
    <row r="18" ht="14.25" customHeight="1">
      <c r="A18" s="27" t="s">
        <v>97</v>
      </c>
      <c r="B18" s="27" t="s">
        <v>98</v>
      </c>
      <c r="C18" s="27">
        <v>11.0</v>
      </c>
      <c r="D18" s="27">
        <v>355.0</v>
      </c>
      <c r="E18" s="27">
        <v>176.0</v>
      </c>
      <c r="F18" s="27">
        <v>0.0</v>
      </c>
      <c r="G18" s="27">
        <v>0.0</v>
      </c>
      <c r="H18" s="27">
        <v>95.0</v>
      </c>
      <c r="I18" s="27">
        <v>0.0</v>
      </c>
      <c r="J18" s="27">
        <v>0.0</v>
      </c>
      <c r="K18" s="27">
        <v>0.0</v>
      </c>
      <c r="L18" s="27">
        <v>81.0</v>
      </c>
      <c r="M18" s="27">
        <v>718.0</v>
      </c>
      <c r="N18" s="2">
        <v>11.0</v>
      </c>
      <c r="O18" s="2">
        <v>355.0</v>
      </c>
      <c r="P18" s="2">
        <v>176.0</v>
      </c>
      <c r="Q18" s="2">
        <v>0.0</v>
      </c>
      <c r="R18" s="2">
        <v>95.0</v>
      </c>
      <c r="S18" s="2">
        <v>0.0</v>
      </c>
      <c r="T18" s="5">
        <v>226600.0</v>
      </c>
      <c r="U18" s="5">
        <v>4096167.5</v>
      </c>
      <c r="V18" s="5">
        <v>3550000.0</v>
      </c>
      <c r="W18" s="5">
        <v>0.0</v>
      </c>
      <c r="X18" s="5">
        <v>1767000.0</v>
      </c>
      <c r="Y18" s="5">
        <v>0.0</v>
      </c>
      <c r="Z18" s="5">
        <f t="shared" si="1"/>
        <v>9639767.5</v>
      </c>
      <c r="AA18" s="5">
        <f>VLOOKUP(B18,Salaries_total!$B$3:$C$49,2,FALSE)</f>
        <v>13924498</v>
      </c>
      <c r="AB18" s="28">
        <f t="shared" si="2"/>
        <v>0.6922883324</v>
      </c>
    </row>
    <row r="19" ht="14.25" customHeight="1">
      <c r="A19" s="27" t="s">
        <v>57</v>
      </c>
      <c r="B19" s="27" t="s">
        <v>58</v>
      </c>
      <c r="C19" s="27">
        <v>36.0</v>
      </c>
      <c r="D19" s="27">
        <v>400.0</v>
      </c>
      <c r="E19" s="27">
        <v>0.0</v>
      </c>
      <c r="F19" s="27">
        <v>32.0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1023.0</v>
      </c>
      <c r="M19" s="27">
        <v>1491.0</v>
      </c>
      <c r="N19" s="2">
        <v>36.0</v>
      </c>
      <c r="O19" s="2">
        <v>400.0</v>
      </c>
      <c r="P19" s="2">
        <v>0.0</v>
      </c>
      <c r="Q19" s="2">
        <v>32.0</v>
      </c>
      <c r="R19" s="2">
        <v>0.0</v>
      </c>
      <c r="S19" s="2">
        <v>0.0</v>
      </c>
      <c r="T19" s="5">
        <v>741600.0</v>
      </c>
      <c r="U19" s="5">
        <v>4615400.0</v>
      </c>
      <c r="V19" s="5">
        <v>4000000.0</v>
      </c>
      <c r="W19" s="5">
        <v>659200.0</v>
      </c>
      <c r="X19" s="5">
        <v>0.0</v>
      </c>
      <c r="Y19" s="5">
        <v>0.0</v>
      </c>
      <c r="Z19" s="5">
        <f t="shared" si="1"/>
        <v>10016200</v>
      </c>
      <c r="AA19" s="5">
        <f>VLOOKUP(B19,Salaries_total!$B$3:$C$49,2,FALSE)</f>
        <v>3727656</v>
      </c>
      <c r="AB19" s="28">
        <f t="shared" si="2"/>
        <v>2.686996869</v>
      </c>
    </row>
    <row r="20" ht="14.25" customHeight="1">
      <c r="A20" s="27" t="s">
        <v>33</v>
      </c>
      <c r="B20" s="27" t="s">
        <v>34</v>
      </c>
      <c r="C20" s="27">
        <v>60.0</v>
      </c>
      <c r="D20" s="27">
        <v>490.0</v>
      </c>
      <c r="E20" s="27">
        <v>40.0</v>
      </c>
      <c r="F20" s="27">
        <v>7.0</v>
      </c>
      <c r="G20" s="27">
        <v>10.0</v>
      </c>
      <c r="H20" s="27">
        <v>95.0</v>
      </c>
      <c r="I20" s="27">
        <v>60.0</v>
      </c>
      <c r="J20" s="27">
        <v>189.0</v>
      </c>
      <c r="K20" s="27">
        <v>30.0</v>
      </c>
      <c r="L20" s="27">
        <v>597.0</v>
      </c>
      <c r="M20" s="27">
        <v>1578.0</v>
      </c>
      <c r="N20" s="2">
        <v>60.0</v>
      </c>
      <c r="O20" s="2">
        <v>490.0</v>
      </c>
      <c r="P20" s="2">
        <v>40.0</v>
      </c>
      <c r="Q20" s="2">
        <v>7.0</v>
      </c>
      <c r="R20" s="2">
        <v>95.0</v>
      </c>
      <c r="S20" s="2">
        <v>189.0</v>
      </c>
      <c r="T20" s="5">
        <v>1236000.0</v>
      </c>
      <c r="U20" s="5">
        <v>5653865.0</v>
      </c>
      <c r="V20" s="5">
        <v>4900000.0</v>
      </c>
      <c r="W20" s="5">
        <v>144200.0</v>
      </c>
      <c r="X20" s="5">
        <v>1767000.0</v>
      </c>
      <c r="Y20" s="5">
        <v>2180776.5</v>
      </c>
      <c r="Z20" s="5">
        <f t="shared" si="1"/>
        <v>15881841.5</v>
      </c>
      <c r="AA20" s="5">
        <f>VLOOKUP(B20,Salaries_total!$B$3:$C$49,2,FALSE)</f>
        <v>2483754</v>
      </c>
      <c r="AB20" s="28">
        <f t="shared" si="2"/>
        <v>6.394289249</v>
      </c>
    </row>
    <row r="21" ht="14.25" customHeight="1">
      <c r="A21" s="27" t="s">
        <v>109</v>
      </c>
      <c r="B21" s="27" t="s">
        <v>110</v>
      </c>
      <c r="C21" s="27">
        <v>0.0</v>
      </c>
      <c r="D21" s="27">
        <v>241.0</v>
      </c>
      <c r="E21" s="27">
        <v>307.0</v>
      </c>
      <c r="F21" s="27">
        <v>0.0</v>
      </c>
      <c r="G21" s="27">
        <v>0.0</v>
      </c>
      <c r="H21" s="27">
        <v>0.0</v>
      </c>
      <c r="I21" s="27">
        <v>0.0</v>
      </c>
      <c r="J21" s="27">
        <v>681.0</v>
      </c>
      <c r="K21" s="27">
        <v>0.0</v>
      </c>
      <c r="L21" s="27">
        <v>484.0</v>
      </c>
      <c r="M21" s="27">
        <v>1713.0</v>
      </c>
      <c r="N21" s="2">
        <v>0.0</v>
      </c>
      <c r="O21" s="2">
        <v>241.0</v>
      </c>
      <c r="P21" s="2">
        <v>307.0</v>
      </c>
      <c r="Q21" s="2">
        <v>0.0</v>
      </c>
      <c r="R21" s="2">
        <v>0.0</v>
      </c>
      <c r="S21" s="2">
        <v>681.0</v>
      </c>
      <c r="T21" s="5">
        <v>0.0</v>
      </c>
      <c r="U21" s="5">
        <v>2780778.5</v>
      </c>
      <c r="V21" s="5">
        <v>2410000.0</v>
      </c>
      <c r="W21" s="5">
        <v>0.0</v>
      </c>
      <c r="X21" s="5">
        <v>0.0</v>
      </c>
      <c r="Y21" s="5">
        <v>7857718.5</v>
      </c>
      <c r="Z21" s="5">
        <f t="shared" si="1"/>
        <v>13048497</v>
      </c>
      <c r="AA21" s="5">
        <f>VLOOKUP(B21,Salaries_total!$B$3:$C$49,2,FALSE)</f>
        <v>11891023</v>
      </c>
      <c r="AB21" s="28">
        <f t="shared" si="2"/>
        <v>1.097340153</v>
      </c>
    </row>
    <row r="22" ht="14.25" customHeight="1">
      <c r="A22" s="27" t="s">
        <v>89</v>
      </c>
      <c r="B22" s="27" t="s">
        <v>90</v>
      </c>
      <c r="C22" s="27">
        <v>819.0</v>
      </c>
      <c r="D22" s="27">
        <v>580.0</v>
      </c>
      <c r="E22" s="27">
        <v>140.0</v>
      </c>
      <c r="F22" s="27">
        <v>161.0</v>
      </c>
      <c r="G22" s="27">
        <v>0.0</v>
      </c>
      <c r="H22" s="27">
        <v>0.0</v>
      </c>
      <c r="I22" s="27">
        <v>112.0</v>
      </c>
      <c r="J22" s="27">
        <v>248.0</v>
      </c>
      <c r="K22" s="27">
        <v>20.0</v>
      </c>
      <c r="L22" s="27">
        <v>0.0</v>
      </c>
      <c r="M22" s="27">
        <v>2080.0</v>
      </c>
      <c r="N22" s="2">
        <v>819.0</v>
      </c>
      <c r="O22" s="2">
        <v>580.0</v>
      </c>
      <c r="P22" s="2">
        <v>140.0</v>
      </c>
      <c r="Q22" s="2">
        <v>161.0</v>
      </c>
      <c r="R22" s="2">
        <v>0.0</v>
      </c>
      <c r="S22" s="2">
        <v>248.0</v>
      </c>
      <c r="T22" s="5">
        <v>1.68714E7</v>
      </c>
      <c r="U22" s="5">
        <v>6692330.0</v>
      </c>
      <c r="V22" s="5">
        <v>5800000.0</v>
      </c>
      <c r="W22" s="5">
        <v>3316600.0</v>
      </c>
      <c r="X22" s="5">
        <v>0.0</v>
      </c>
      <c r="Y22" s="5">
        <v>2861548.0</v>
      </c>
      <c r="Z22" s="5">
        <f t="shared" si="1"/>
        <v>35541878</v>
      </c>
      <c r="AA22" s="5">
        <f>VLOOKUP(B22,Salaries_total!$B$3:$C$49,2,FALSE)</f>
        <v>34034812</v>
      </c>
      <c r="AB22" s="28">
        <f t="shared" si="2"/>
        <v>1.044280133</v>
      </c>
    </row>
    <row r="23" ht="14.25" customHeight="1">
      <c r="A23" s="27" t="s">
        <v>101</v>
      </c>
      <c r="B23" s="27" t="s">
        <v>102</v>
      </c>
      <c r="C23" s="27">
        <v>434.0</v>
      </c>
      <c r="D23" s="27">
        <v>582.0</v>
      </c>
      <c r="E23" s="27">
        <v>104.0</v>
      </c>
      <c r="F23" s="27">
        <v>67.0</v>
      </c>
      <c r="G23" s="27">
        <v>0.0</v>
      </c>
      <c r="H23" s="27">
        <v>171.0</v>
      </c>
      <c r="I23" s="27">
        <v>0.0</v>
      </c>
      <c r="J23" s="27">
        <v>36.0</v>
      </c>
      <c r="K23" s="27">
        <v>0.0</v>
      </c>
      <c r="L23" s="27">
        <v>710.0</v>
      </c>
      <c r="M23" s="27">
        <v>2104.0</v>
      </c>
      <c r="N23" s="2">
        <v>434.0</v>
      </c>
      <c r="O23" s="2">
        <v>582.0</v>
      </c>
      <c r="P23" s="2">
        <v>104.0</v>
      </c>
      <c r="Q23" s="2">
        <v>67.0</v>
      </c>
      <c r="R23" s="2">
        <v>171.0</v>
      </c>
      <c r="S23" s="2">
        <v>36.0</v>
      </c>
      <c r="T23" s="5">
        <v>8940400.0</v>
      </c>
      <c r="U23" s="5">
        <v>6715407.0</v>
      </c>
      <c r="V23" s="5">
        <v>5820000.0</v>
      </c>
      <c r="W23" s="5">
        <v>1380200.0</v>
      </c>
      <c r="X23" s="5">
        <v>3180600.0</v>
      </c>
      <c r="Y23" s="5">
        <v>415386.0</v>
      </c>
      <c r="Z23" s="5">
        <f t="shared" si="1"/>
        <v>26451993</v>
      </c>
      <c r="AA23" s="5">
        <f>VLOOKUP(B23,Salaries_total!$B$3:$C$49,2,FALSE)</f>
        <v>18116526</v>
      </c>
      <c r="AB23" s="28">
        <f t="shared" si="2"/>
        <v>1.460102947</v>
      </c>
    </row>
    <row r="24" ht="14.25" customHeight="1">
      <c r="A24" s="27" t="s">
        <v>105</v>
      </c>
      <c r="B24" s="27" t="s">
        <v>106</v>
      </c>
      <c r="C24" s="27">
        <v>217.0</v>
      </c>
      <c r="D24" s="27">
        <v>1755.0</v>
      </c>
      <c r="E24" s="27">
        <v>120.0</v>
      </c>
      <c r="F24" s="27">
        <v>0.0</v>
      </c>
      <c r="G24" s="27">
        <v>0.0</v>
      </c>
      <c r="H24" s="27">
        <v>69.0</v>
      </c>
      <c r="I24" s="27">
        <v>51.0</v>
      </c>
      <c r="J24" s="27">
        <v>90.0</v>
      </c>
      <c r="K24" s="27">
        <v>0.0</v>
      </c>
      <c r="L24" s="27">
        <v>186.0</v>
      </c>
      <c r="M24" s="27">
        <v>2488.0</v>
      </c>
      <c r="N24" s="2">
        <v>217.0</v>
      </c>
      <c r="O24" s="2">
        <v>1755.0</v>
      </c>
      <c r="P24" s="2">
        <v>120.0</v>
      </c>
      <c r="Q24" s="2">
        <v>0.0</v>
      </c>
      <c r="R24" s="2">
        <v>69.0</v>
      </c>
      <c r="S24" s="2">
        <v>90.0</v>
      </c>
      <c r="T24" s="5">
        <v>4470200.0</v>
      </c>
      <c r="U24" s="5">
        <v>2.02500675E7</v>
      </c>
      <c r="V24" s="5">
        <v>1.755E7</v>
      </c>
      <c r="W24" s="5">
        <v>0.0</v>
      </c>
      <c r="X24" s="5">
        <v>1283400.0</v>
      </c>
      <c r="Y24" s="5">
        <v>1038465.0</v>
      </c>
      <c r="Z24" s="5">
        <f t="shared" si="1"/>
        <v>44592132.5</v>
      </c>
      <c r="AA24" s="5">
        <f>VLOOKUP(B24,Salaries_total!$B$3:$C$49,2,FALSE)</f>
        <v>8472212</v>
      </c>
      <c r="AB24" s="28">
        <f t="shared" si="2"/>
        <v>5.263340023</v>
      </c>
    </row>
    <row r="25" ht="14.25" customHeight="1">
      <c r="A25" s="27" t="s">
        <v>37</v>
      </c>
      <c r="B25" s="27" t="s">
        <v>38</v>
      </c>
      <c r="C25" s="27">
        <v>325.0</v>
      </c>
      <c r="D25" s="27">
        <v>1467.0</v>
      </c>
      <c r="E25" s="27">
        <v>196.0</v>
      </c>
      <c r="F25" s="27">
        <v>0.0</v>
      </c>
      <c r="G25" s="27">
        <v>0.0</v>
      </c>
      <c r="H25" s="27">
        <v>39.0</v>
      </c>
      <c r="I25" s="27">
        <v>0.0</v>
      </c>
      <c r="J25" s="27">
        <v>322.0</v>
      </c>
      <c r="K25" s="27">
        <v>0.0</v>
      </c>
      <c r="L25" s="27">
        <v>194.0</v>
      </c>
      <c r="M25" s="27">
        <v>2543.0</v>
      </c>
      <c r="N25" s="2">
        <v>325.0</v>
      </c>
      <c r="O25" s="2">
        <v>1467.0</v>
      </c>
      <c r="P25" s="2">
        <v>196.0</v>
      </c>
      <c r="Q25" s="2">
        <v>0.0</v>
      </c>
      <c r="R25" s="2">
        <v>39.0</v>
      </c>
      <c r="S25" s="2">
        <v>322.0</v>
      </c>
      <c r="T25" s="5">
        <v>6695000.0</v>
      </c>
      <c r="U25" s="5">
        <v>1.69269795E7</v>
      </c>
      <c r="V25" s="5">
        <v>1.467E7</v>
      </c>
      <c r="W25" s="5">
        <v>0.0</v>
      </c>
      <c r="X25" s="5">
        <v>725400.0</v>
      </c>
      <c r="Y25" s="5">
        <v>3715397.0</v>
      </c>
      <c r="Z25" s="5">
        <f t="shared" si="1"/>
        <v>42732776.5</v>
      </c>
      <c r="AA25" s="5">
        <f>VLOOKUP(B25,Salaries_total!$B$3:$C$49,2,FALSE)</f>
        <v>12999141</v>
      </c>
      <c r="AB25" s="28">
        <f t="shared" si="2"/>
        <v>3.287353872</v>
      </c>
    </row>
    <row r="26" ht="14.25" customHeight="1">
      <c r="A26" s="27" t="s">
        <v>91</v>
      </c>
      <c r="B26" s="27" t="s">
        <v>92</v>
      </c>
      <c r="C26" s="27">
        <v>475.0</v>
      </c>
      <c r="D26" s="27">
        <v>200.0</v>
      </c>
      <c r="E26" s="27">
        <v>1414.0</v>
      </c>
      <c r="F26" s="27">
        <v>0.0</v>
      </c>
      <c r="G26" s="27">
        <v>0.0</v>
      </c>
      <c r="H26" s="27">
        <v>247.0</v>
      </c>
      <c r="I26" s="27">
        <v>31.0</v>
      </c>
      <c r="J26" s="27">
        <v>121.0</v>
      </c>
      <c r="K26" s="27">
        <v>0.0</v>
      </c>
      <c r="L26" s="27">
        <v>175.0</v>
      </c>
      <c r="M26" s="27">
        <v>2663.0</v>
      </c>
      <c r="N26" s="2">
        <v>475.0</v>
      </c>
      <c r="O26" s="2">
        <v>200.0</v>
      </c>
      <c r="P26" s="2">
        <v>1414.0</v>
      </c>
      <c r="Q26" s="2">
        <v>0.0</v>
      </c>
      <c r="R26" s="2">
        <v>247.0</v>
      </c>
      <c r="S26" s="2">
        <v>121.0</v>
      </c>
      <c r="T26" s="5">
        <v>9785000.0</v>
      </c>
      <c r="U26" s="5">
        <v>2307700.0</v>
      </c>
      <c r="V26" s="5">
        <v>2000000.0</v>
      </c>
      <c r="W26" s="5">
        <v>0.0</v>
      </c>
      <c r="X26" s="5">
        <v>4594200.0</v>
      </c>
      <c r="Y26" s="5">
        <v>1396158.5</v>
      </c>
      <c r="Z26" s="5">
        <f t="shared" si="1"/>
        <v>20083058.5</v>
      </c>
      <c r="AA26" s="5">
        <f>VLOOKUP(B26,Salaries_total!$B$3:$C$49,2,FALSE)</f>
        <v>2680497</v>
      </c>
      <c r="AB26" s="28">
        <f t="shared" si="2"/>
        <v>7.492289117</v>
      </c>
    </row>
    <row r="27" ht="14.25" customHeight="1">
      <c r="A27" s="27" t="s">
        <v>119</v>
      </c>
      <c r="B27" s="27" t="s">
        <v>120</v>
      </c>
      <c r="C27" s="27">
        <v>265.0</v>
      </c>
      <c r="D27" s="27">
        <v>1100.0</v>
      </c>
      <c r="E27" s="27">
        <v>270.0</v>
      </c>
      <c r="F27" s="27">
        <v>80.0</v>
      </c>
      <c r="G27" s="27">
        <v>30.0</v>
      </c>
      <c r="H27" s="27">
        <v>155.0</v>
      </c>
      <c r="I27" s="27">
        <v>30.0</v>
      </c>
      <c r="J27" s="27">
        <v>358.0</v>
      </c>
      <c r="K27" s="27">
        <v>0.0</v>
      </c>
      <c r="L27" s="27">
        <v>421.0</v>
      </c>
      <c r="M27" s="27">
        <v>2709.0</v>
      </c>
      <c r="N27" s="2">
        <v>265.0</v>
      </c>
      <c r="O27" s="2">
        <v>1100.0</v>
      </c>
      <c r="P27" s="2">
        <v>270.0</v>
      </c>
      <c r="Q27" s="2">
        <v>80.0</v>
      </c>
      <c r="R27" s="2">
        <v>155.0</v>
      </c>
      <c r="S27" s="2">
        <v>358.0</v>
      </c>
      <c r="T27" s="5">
        <v>5459000.0</v>
      </c>
      <c r="U27" s="5">
        <v>1.269235E7</v>
      </c>
      <c r="V27" s="5">
        <v>1.1E7</v>
      </c>
      <c r="W27" s="5">
        <v>1648000.0</v>
      </c>
      <c r="X27" s="5">
        <v>2883000.0</v>
      </c>
      <c r="Y27" s="5">
        <v>4130783.0</v>
      </c>
      <c r="Z27" s="5">
        <f t="shared" si="1"/>
        <v>37813133</v>
      </c>
      <c r="AA27" s="5">
        <f>VLOOKUP(B27,Salaries_total!$B$3:$C$49,2,FALSE)</f>
        <v>15581023</v>
      </c>
      <c r="AB27" s="28">
        <f t="shared" si="2"/>
        <v>2.426871008</v>
      </c>
    </row>
    <row r="28" ht="14.25" customHeight="1">
      <c r="A28" s="27" t="s">
        <v>93</v>
      </c>
      <c r="B28" s="27" t="s">
        <v>94</v>
      </c>
      <c r="C28" s="27">
        <v>370.0</v>
      </c>
      <c r="D28" s="27">
        <v>305.0</v>
      </c>
      <c r="E28" s="27">
        <v>124.0</v>
      </c>
      <c r="F28" s="27">
        <v>0.0</v>
      </c>
      <c r="G28" s="27">
        <v>0.0</v>
      </c>
      <c r="H28" s="27">
        <v>0.0</v>
      </c>
      <c r="I28" s="27">
        <v>0.0</v>
      </c>
      <c r="J28" s="27">
        <v>45.0</v>
      </c>
      <c r="K28" s="27">
        <v>0.0</v>
      </c>
      <c r="L28" s="27">
        <v>1891.0</v>
      </c>
      <c r="M28" s="27">
        <v>2735.0</v>
      </c>
      <c r="N28" s="2">
        <v>370.0</v>
      </c>
      <c r="O28" s="2">
        <v>305.0</v>
      </c>
      <c r="P28" s="2">
        <v>124.0</v>
      </c>
      <c r="Q28" s="2">
        <v>0.0</v>
      </c>
      <c r="R28" s="2">
        <v>0.0</v>
      </c>
      <c r="S28" s="2">
        <v>45.0</v>
      </c>
      <c r="T28" s="5">
        <v>7622000.0</v>
      </c>
      <c r="U28" s="5">
        <v>3519242.5</v>
      </c>
      <c r="V28" s="5">
        <v>3050000.0</v>
      </c>
      <c r="W28" s="5">
        <v>0.0</v>
      </c>
      <c r="X28" s="5">
        <v>0.0</v>
      </c>
      <c r="Y28" s="5">
        <v>519232.5</v>
      </c>
      <c r="Z28" s="5">
        <f t="shared" si="1"/>
        <v>14710475</v>
      </c>
      <c r="AA28" s="5">
        <f>VLOOKUP(B28,Salaries_total!$B$3:$C$49,2,FALSE)</f>
        <v>27066230</v>
      </c>
      <c r="AB28" s="28">
        <f t="shared" si="2"/>
        <v>0.5434992239</v>
      </c>
    </row>
    <row r="29" ht="14.25" customHeight="1">
      <c r="A29" s="27" t="s">
        <v>81</v>
      </c>
      <c r="B29" s="27" t="s">
        <v>82</v>
      </c>
      <c r="C29" s="27">
        <v>115.0</v>
      </c>
      <c r="D29" s="27">
        <v>386.0</v>
      </c>
      <c r="E29" s="27">
        <v>1171.0</v>
      </c>
      <c r="F29" s="27">
        <v>0.0</v>
      </c>
      <c r="G29" s="27">
        <v>0.0</v>
      </c>
      <c r="H29" s="27">
        <v>110.0</v>
      </c>
      <c r="I29" s="27">
        <v>189.0</v>
      </c>
      <c r="J29" s="27">
        <v>175.0</v>
      </c>
      <c r="K29" s="27">
        <v>0.0</v>
      </c>
      <c r="L29" s="27">
        <v>616.0</v>
      </c>
      <c r="M29" s="27">
        <v>2762.0</v>
      </c>
      <c r="N29" s="2">
        <v>115.0</v>
      </c>
      <c r="O29" s="2">
        <v>386.0</v>
      </c>
      <c r="P29" s="2">
        <v>1171.0</v>
      </c>
      <c r="Q29" s="2">
        <v>0.0</v>
      </c>
      <c r="R29" s="2">
        <v>110.0</v>
      </c>
      <c r="S29" s="2">
        <v>175.0</v>
      </c>
      <c r="T29" s="5">
        <v>2369000.0</v>
      </c>
      <c r="U29" s="5">
        <v>4453861.0</v>
      </c>
      <c r="V29" s="5">
        <v>3860000.0</v>
      </c>
      <c r="W29" s="5">
        <v>0.0</v>
      </c>
      <c r="X29" s="5">
        <v>2046000.0</v>
      </c>
      <c r="Y29" s="5">
        <v>2019237.5</v>
      </c>
      <c r="Z29" s="5">
        <f t="shared" si="1"/>
        <v>14748098.5</v>
      </c>
      <c r="AA29" s="5">
        <f>VLOOKUP(B29,Salaries_total!$B$3:$C$49,2,FALSE)</f>
        <v>20728157</v>
      </c>
      <c r="AB29" s="28">
        <f t="shared" si="2"/>
        <v>0.7115007137</v>
      </c>
    </row>
    <row r="30" ht="14.25" customHeight="1">
      <c r="A30" s="27" t="s">
        <v>111</v>
      </c>
      <c r="B30" s="27" t="s">
        <v>112</v>
      </c>
      <c r="C30" s="27">
        <v>77.0</v>
      </c>
      <c r="D30" s="27">
        <v>240.0</v>
      </c>
      <c r="E30" s="27">
        <v>130.0</v>
      </c>
      <c r="F30" s="27">
        <v>0.0</v>
      </c>
      <c r="G30" s="27">
        <v>0.0</v>
      </c>
      <c r="H30" s="27">
        <v>60.0</v>
      </c>
      <c r="I30" s="27">
        <v>0.0</v>
      </c>
      <c r="J30" s="27">
        <v>215.0</v>
      </c>
      <c r="K30" s="27">
        <v>0.0</v>
      </c>
      <c r="L30" s="27">
        <v>250.0</v>
      </c>
      <c r="M30" s="27">
        <v>972.0</v>
      </c>
      <c r="N30" s="2">
        <v>77.0</v>
      </c>
      <c r="O30" s="2">
        <v>240.0</v>
      </c>
      <c r="P30" s="2">
        <v>130.0</v>
      </c>
      <c r="Q30" s="2">
        <v>0.0</v>
      </c>
      <c r="R30" s="2">
        <v>60.0</v>
      </c>
      <c r="S30" s="2">
        <v>215.0</v>
      </c>
      <c r="T30" s="5">
        <v>1586200.0</v>
      </c>
      <c r="U30" s="5">
        <v>2769240.0</v>
      </c>
      <c r="V30" s="5">
        <v>2400000.0</v>
      </c>
      <c r="W30" s="5">
        <v>0.0</v>
      </c>
      <c r="X30" s="5">
        <v>1116000.0</v>
      </c>
      <c r="Y30" s="5">
        <v>2480777.5</v>
      </c>
      <c r="Z30" s="5">
        <f t="shared" si="1"/>
        <v>10352217.5</v>
      </c>
      <c r="AA30" s="5">
        <f>VLOOKUP(B30,Salaries_total!$B$3:$C$49,2,FALSE)</f>
        <v>49700758</v>
      </c>
      <c r="AB30" s="28">
        <f t="shared" si="2"/>
        <v>0.2082909379</v>
      </c>
    </row>
    <row r="31" ht="14.25" customHeight="1">
      <c r="A31" s="27" t="s">
        <v>73</v>
      </c>
      <c r="B31" s="27" t="s">
        <v>74</v>
      </c>
      <c r="C31" s="27">
        <v>558.0</v>
      </c>
      <c r="D31" s="27">
        <v>1070.0</v>
      </c>
      <c r="E31" s="27">
        <v>0.0</v>
      </c>
      <c r="F31" s="27">
        <v>36.0</v>
      </c>
      <c r="G31" s="27">
        <v>0.0</v>
      </c>
      <c r="H31" s="27">
        <v>379.0</v>
      </c>
      <c r="I31" s="27">
        <v>20.0</v>
      </c>
      <c r="J31" s="27">
        <v>519.0</v>
      </c>
      <c r="K31" s="27">
        <v>0.0</v>
      </c>
      <c r="L31" s="27">
        <v>366.0</v>
      </c>
      <c r="M31" s="27">
        <v>2948.0</v>
      </c>
      <c r="N31" s="2">
        <v>558.0</v>
      </c>
      <c r="O31" s="2">
        <v>1070.0</v>
      </c>
      <c r="P31" s="2">
        <v>0.0</v>
      </c>
      <c r="Q31" s="2">
        <v>36.0</v>
      </c>
      <c r="R31" s="2">
        <v>379.0</v>
      </c>
      <c r="S31" s="2">
        <v>519.0</v>
      </c>
      <c r="T31" s="5">
        <v>1.14948E7</v>
      </c>
      <c r="U31" s="5">
        <v>1.2346195E7</v>
      </c>
      <c r="V31" s="5">
        <v>1.07E7</v>
      </c>
      <c r="W31" s="5">
        <v>741600.0</v>
      </c>
      <c r="X31" s="5">
        <v>7049400.0</v>
      </c>
      <c r="Y31" s="5">
        <v>5988481.5</v>
      </c>
      <c r="Z31" s="5">
        <f t="shared" si="1"/>
        <v>48320476.5</v>
      </c>
      <c r="AA31" s="5">
        <f>VLOOKUP(B31,Salaries_total!$B$3:$C$49,2,FALSE)</f>
        <v>57458890</v>
      </c>
      <c r="AB31" s="28">
        <f t="shared" si="2"/>
        <v>0.840957361</v>
      </c>
    </row>
    <row r="32" ht="14.25" customHeight="1">
      <c r="A32" s="27" t="s">
        <v>51</v>
      </c>
      <c r="B32" s="27" t="s">
        <v>52</v>
      </c>
      <c r="C32" s="27">
        <v>254.0</v>
      </c>
      <c r="D32" s="27">
        <v>1007.0</v>
      </c>
      <c r="E32" s="27">
        <v>0.0</v>
      </c>
      <c r="F32" s="27">
        <v>0.0</v>
      </c>
      <c r="G32" s="27">
        <v>0.0</v>
      </c>
      <c r="H32" s="27">
        <v>0.0</v>
      </c>
      <c r="I32" s="27">
        <v>151.0</v>
      </c>
      <c r="J32" s="27">
        <v>1106.0</v>
      </c>
      <c r="K32" s="27">
        <v>0.0</v>
      </c>
      <c r="L32" s="27">
        <v>450.0</v>
      </c>
      <c r="M32" s="27">
        <v>2968.0</v>
      </c>
      <c r="N32" s="2">
        <v>254.0</v>
      </c>
      <c r="O32" s="2">
        <v>1007.0</v>
      </c>
      <c r="P32" s="2">
        <v>0.0</v>
      </c>
      <c r="Q32" s="2">
        <v>0.0</v>
      </c>
      <c r="R32" s="2">
        <v>0.0</v>
      </c>
      <c r="S32" s="2">
        <v>1106.0</v>
      </c>
      <c r="T32" s="5">
        <v>5232400.0</v>
      </c>
      <c r="U32" s="5">
        <v>1.16192695E7</v>
      </c>
      <c r="V32" s="5">
        <v>1.007E7</v>
      </c>
      <c r="W32" s="5">
        <v>0.0</v>
      </c>
      <c r="X32" s="5">
        <v>0.0</v>
      </c>
      <c r="Y32" s="5">
        <v>1.2761581E7</v>
      </c>
      <c r="Z32" s="5">
        <f t="shared" si="1"/>
        <v>39683250.5</v>
      </c>
      <c r="AA32" s="5">
        <f>VLOOKUP(B32,Salaries_total!$B$3:$C$49,2,FALSE)</f>
        <v>28444206</v>
      </c>
      <c r="AB32" s="28">
        <f t="shared" si="2"/>
        <v>1.39512597</v>
      </c>
    </row>
    <row r="33" ht="14.25" customHeight="1">
      <c r="A33" s="27" t="s">
        <v>55</v>
      </c>
      <c r="B33" s="27" t="s">
        <v>56</v>
      </c>
      <c r="C33" s="27">
        <v>767.0</v>
      </c>
      <c r="D33" s="27">
        <v>962.0</v>
      </c>
      <c r="E33" s="27">
        <v>492.0</v>
      </c>
      <c r="F33" s="27">
        <v>0.0</v>
      </c>
      <c r="G33" s="27">
        <v>0.0</v>
      </c>
      <c r="H33" s="27">
        <v>0.0</v>
      </c>
      <c r="I33" s="27">
        <v>0.0</v>
      </c>
      <c r="J33" s="27">
        <v>27.0</v>
      </c>
      <c r="K33" s="27">
        <v>0.0</v>
      </c>
      <c r="L33" s="27">
        <v>1304.0</v>
      </c>
      <c r="M33" s="27">
        <v>3552.0</v>
      </c>
      <c r="N33" s="2">
        <v>767.0</v>
      </c>
      <c r="O33" s="2">
        <v>962.0</v>
      </c>
      <c r="P33" s="2">
        <v>492.0</v>
      </c>
      <c r="Q33" s="2">
        <v>0.0</v>
      </c>
      <c r="R33" s="2">
        <v>0.0</v>
      </c>
      <c r="S33" s="2">
        <v>27.0</v>
      </c>
      <c r="T33" s="5">
        <v>1.58002E7</v>
      </c>
      <c r="U33" s="5">
        <v>1.1100037E7</v>
      </c>
      <c r="V33" s="5">
        <v>9620000.0</v>
      </c>
      <c r="W33" s="5">
        <v>0.0</v>
      </c>
      <c r="X33" s="5">
        <v>0.0</v>
      </c>
      <c r="Y33" s="5">
        <v>311539.5</v>
      </c>
      <c r="Z33" s="5">
        <f t="shared" si="1"/>
        <v>36831776.5</v>
      </c>
      <c r="AA33" s="5">
        <f>VLOOKUP(B33,Salaries_total!$B$3:$C$49,2,FALSE)</f>
        <v>1543389</v>
      </c>
      <c r="AB33" s="28">
        <f t="shared" si="2"/>
        <v>23.8642212</v>
      </c>
    </row>
    <row r="34" ht="14.25" customHeight="1">
      <c r="A34" s="27" t="s">
        <v>69</v>
      </c>
      <c r="B34" s="27" t="s">
        <v>70</v>
      </c>
      <c r="C34" s="27">
        <v>767.0</v>
      </c>
      <c r="D34" s="27">
        <v>964.0</v>
      </c>
      <c r="E34" s="27">
        <v>492.0</v>
      </c>
      <c r="F34" s="27">
        <v>0.0</v>
      </c>
      <c r="G34" s="27">
        <v>0.0</v>
      </c>
      <c r="H34" s="27">
        <v>113.0</v>
      </c>
      <c r="I34" s="27">
        <v>34.0</v>
      </c>
      <c r="J34" s="27">
        <v>27.0</v>
      </c>
      <c r="K34" s="27">
        <v>0.0</v>
      </c>
      <c r="L34" s="27">
        <v>1304.0</v>
      </c>
      <c r="M34" s="27">
        <v>3701.0</v>
      </c>
      <c r="N34" s="2">
        <v>767.0</v>
      </c>
      <c r="O34" s="2">
        <v>964.0</v>
      </c>
      <c r="P34" s="2">
        <v>492.0</v>
      </c>
      <c r="Q34" s="2">
        <v>0.0</v>
      </c>
      <c r="R34" s="2">
        <v>113.0</v>
      </c>
      <c r="S34" s="2">
        <v>27.0</v>
      </c>
      <c r="T34" s="5">
        <v>1.58002E7</v>
      </c>
      <c r="U34" s="5">
        <v>1.1123114E7</v>
      </c>
      <c r="V34" s="5">
        <v>9640000.0</v>
      </c>
      <c r="W34" s="5">
        <v>0.0</v>
      </c>
      <c r="X34" s="5">
        <v>2101800.0</v>
      </c>
      <c r="Y34" s="5">
        <v>311539.5</v>
      </c>
      <c r="Z34" s="5">
        <f t="shared" si="1"/>
        <v>38976653.5</v>
      </c>
      <c r="AA34" s="5">
        <f>VLOOKUP(B34,Salaries_total!$B$3:$C$49,2,FALSE)</f>
        <v>14238716</v>
      </c>
      <c r="AB34" s="28">
        <f t="shared" si="2"/>
        <v>2.737371368</v>
      </c>
    </row>
    <row r="35" ht="14.25" customHeight="1">
      <c r="A35" s="27" t="s">
        <v>31</v>
      </c>
      <c r="B35" s="27" t="s">
        <v>32</v>
      </c>
      <c r="C35" s="27">
        <v>780.0</v>
      </c>
      <c r="D35" s="27">
        <v>257.0</v>
      </c>
      <c r="E35" s="27">
        <v>247.0</v>
      </c>
      <c r="F35" s="27">
        <v>0.0</v>
      </c>
      <c r="G35" s="27">
        <v>0.0</v>
      </c>
      <c r="H35" s="27">
        <v>143.0</v>
      </c>
      <c r="I35" s="27">
        <v>0.0</v>
      </c>
      <c r="J35" s="27">
        <v>1113.0</v>
      </c>
      <c r="K35" s="27">
        <v>0.0</v>
      </c>
      <c r="L35" s="27">
        <v>1194.0</v>
      </c>
      <c r="M35" s="27">
        <v>3734.0</v>
      </c>
      <c r="N35" s="2">
        <v>780.0</v>
      </c>
      <c r="O35" s="2">
        <v>257.0</v>
      </c>
      <c r="P35" s="2">
        <v>247.0</v>
      </c>
      <c r="Q35" s="2">
        <v>0.0</v>
      </c>
      <c r="R35" s="2">
        <v>143.0</v>
      </c>
      <c r="S35" s="2">
        <v>1113.0</v>
      </c>
      <c r="T35" s="5">
        <v>1.6068E7</v>
      </c>
      <c r="U35" s="5">
        <v>2965394.5</v>
      </c>
      <c r="V35" s="5">
        <v>2570000.0</v>
      </c>
      <c r="W35" s="5">
        <v>0.0</v>
      </c>
      <c r="X35" s="5">
        <v>2659800.0</v>
      </c>
      <c r="Y35" s="5">
        <v>1.28423505E7</v>
      </c>
      <c r="Z35" s="5">
        <f t="shared" si="1"/>
        <v>37105545</v>
      </c>
      <c r="AA35" s="5">
        <f>VLOOKUP(B35,Salaries_total!$B$3:$C$49,2,FALSE)</f>
        <v>13124347</v>
      </c>
      <c r="AB35" s="28">
        <f t="shared" si="2"/>
        <v>2.827229804</v>
      </c>
    </row>
    <row r="36" ht="14.25" customHeight="1">
      <c r="A36" s="27" t="s">
        <v>29</v>
      </c>
      <c r="B36" s="27" t="s">
        <v>30</v>
      </c>
      <c r="C36" s="27">
        <v>611.0</v>
      </c>
      <c r="D36" s="27">
        <v>2950.0</v>
      </c>
      <c r="E36" s="27">
        <v>0.0</v>
      </c>
      <c r="F36" s="27">
        <v>145.0</v>
      </c>
      <c r="G36" s="27">
        <v>0.0</v>
      </c>
      <c r="H36" s="27">
        <v>529.0</v>
      </c>
      <c r="I36" s="27">
        <v>0.0</v>
      </c>
      <c r="J36" s="27">
        <v>0.0</v>
      </c>
      <c r="K36" s="27">
        <v>0.0</v>
      </c>
      <c r="L36" s="27">
        <v>0.0</v>
      </c>
      <c r="M36" s="27">
        <v>4235.0</v>
      </c>
      <c r="N36" s="2">
        <v>611.0</v>
      </c>
      <c r="O36" s="2">
        <v>2950.0</v>
      </c>
      <c r="P36" s="2">
        <v>0.0</v>
      </c>
      <c r="Q36" s="2">
        <v>145.0</v>
      </c>
      <c r="R36" s="2">
        <v>529.0</v>
      </c>
      <c r="S36" s="2">
        <v>0.0</v>
      </c>
      <c r="T36" s="5">
        <v>1.25866E7</v>
      </c>
      <c r="U36" s="5">
        <v>3.4038575E7</v>
      </c>
      <c r="V36" s="5">
        <v>2.95E7</v>
      </c>
      <c r="W36" s="5">
        <v>2987000.0</v>
      </c>
      <c r="X36" s="5">
        <v>9839400.0</v>
      </c>
      <c r="Y36" s="5">
        <v>0.0</v>
      </c>
      <c r="Z36" s="5">
        <f t="shared" si="1"/>
        <v>88951575</v>
      </c>
      <c r="AA36" s="5">
        <f>VLOOKUP(B36,Salaries_total!$B$3:$C$49,2,FALSE)</f>
        <v>36148636</v>
      </c>
      <c r="AB36" s="28">
        <f t="shared" si="2"/>
        <v>2.460717328</v>
      </c>
    </row>
    <row r="37" ht="14.25" customHeight="1">
      <c r="A37" s="27" t="s">
        <v>41</v>
      </c>
      <c r="B37" s="27" t="s">
        <v>42</v>
      </c>
      <c r="C37" s="27">
        <v>800.0</v>
      </c>
      <c r="D37" s="27">
        <v>2660.0</v>
      </c>
      <c r="E37" s="27">
        <v>0.0</v>
      </c>
      <c r="F37" s="27">
        <v>0.0</v>
      </c>
      <c r="G37" s="27">
        <v>0.0</v>
      </c>
      <c r="H37" s="27">
        <v>0.0</v>
      </c>
      <c r="I37" s="27">
        <v>0.0</v>
      </c>
      <c r="J37" s="27">
        <v>800.0</v>
      </c>
      <c r="K37" s="27">
        <v>0.0</v>
      </c>
      <c r="L37" s="27">
        <v>0.0</v>
      </c>
      <c r="M37" s="27">
        <v>4260.0</v>
      </c>
      <c r="N37" s="2">
        <v>800.0</v>
      </c>
      <c r="O37" s="2">
        <v>2660.0</v>
      </c>
      <c r="P37" s="2">
        <v>0.0</v>
      </c>
      <c r="Q37" s="2">
        <v>0.0</v>
      </c>
      <c r="R37" s="2">
        <v>0.0</v>
      </c>
      <c r="S37" s="2">
        <v>800.0</v>
      </c>
      <c r="T37" s="5">
        <v>1.648E7</v>
      </c>
      <c r="U37" s="5">
        <v>3.069241E7</v>
      </c>
      <c r="V37" s="5">
        <v>2.66E7</v>
      </c>
      <c r="W37" s="5">
        <v>0.0</v>
      </c>
      <c r="X37" s="5">
        <v>0.0</v>
      </c>
      <c r="Y37" s="5">
        <v>9230800.0</v>
      </c>
      <c r="Z37" s="5">
        <f t="shared" si="1"/>
        <v>83003210</v>
      </c>
      <c r="AA37" s="5">
        <f>VLOOKUP(B37,Salaries_total!$B$3:$C$49,2,FALSE)</f>
        <v>28608129</v>
      </c>
      <c r="AB37" s="28">
        <f t="shared" si="2"/>
        <v>2.901385477</v>
      </c>
    </row>
    <row r="38" ht="14.25" customHeight="1">
      <c r="A38" s="27" t="s">
        <v>35</v>
      </c>
      <c r="B38" s="27" t="s">
        <v>36</v>
      </c>
      <c r="C38" s="27">
        <v>1492.0</v>
      </c>
      <c r="D38" s="27">
        <v>1170.0</v>
      </c>
      <c r="E38" s="27">
        <v>1170.0</v>
      </c>
      <c r="F38" s="27">
        <v>62.0</v>
      </c>
      <c r="G38" s="27">
        <v>0.0</v>
      </c>
      <c r="H38" s="27">
        <v>594.0</v>
      </c>
      <c r="I38" s="27">
        <v>0.0</v>
      </c>
      <c r="J38" s="27">
        <v>0.0</v>
      </c>
      <c r="K38" s="27">
        <v>0.0</v>
      </c>
      <c r="L38" s="27">
        <v>0.0</v>
      </c>
      <c r="M38" s="27">
        <v>4488.0</v>
      </c>
      <c r="N38" s="2">
        <v>1492.0</v>
      </c>
      <c r="O38" s="2">
        <v>1170.0</v>
      </c>
      <c r="P38" s="2">
        <v>1170.0</v>
      </c>
      <c r="Q38" s="2">
        <v>62.0</v>
      </c>
      <c r="R38" s="2">
        <v>594.0</v>
      </c>
      <c r="S38" s="2">
        <v>0.0</v>
      </c>
      <c r="T38" s="5">
        <v>3.07352E7</v>
      </c>
      <c r="U38" s="5">
        <v>1.3500045E7</v>
      </c>
      <c r="V38" s="5">
        <v>1.17E7</v>
      </c>
      <c r="W38" s="5">
        <v>1277200.0</v>
      </c>
      <c r="X38" s="5">
        <v>1.10484E7</v>
      </c>
      <c r="Y38" s="5">
        <v>0.0</v>
      </c>
      <c r="Z38" s="5">
        <f t="shared" si="1"/>
        <v>68260845</v>
      </c>
      <c r="AA38" s="5">
        <f>VLOOKUP(B38,Salaries_total!$B$3:$C$49,2,FALSE)</f>
        <v>22720842</v>
      </c>
      <c r="AB38" s="28">
        <f t="shared" si="2"/>
        <v>3.00432726</v>
      </c>
    </row>
    <row r="39" ht="14.25" customHeight="1">
      <c r="A39" s="27" t="s">
        <v>79</v>
      </c>
      <c r="B39" s="27" t="s">
        <v>80</v>
      </c>
      <c r="C39" s="27">
        <v>316.0</v>
      </c>
      <c r="D39" s="27">
        <v>2540.0</v>
      </c>
      <c r="E39" s="27">
        <v>2473.0</v>
      </c>
      <c r="F39" s="27">
        <v>0.0</v>
      </c>
      <c r="G39" s="27">
        <v>0.0</v>
      </c>
      <c r="H39" s="27">
        <v>0.0</v>
      </c>
      <c r="I39" s="27">
        <v>0.0</v>
      </c>
      <c r="J39" s="27">
        <v>116.0</v>
      </c>
      <c r="K39" s="27">
        <v>0.0</v>
      </c>
      <c r="L39" s="27">
        <v>297.0</v>
      </c>
      <c r="M39" s="27">
        <v>5742.0</v>
      </c>
      <c r="N39" s="2">
        <v>316.0</v>
      </c>
      <c r="O39" s="2">
        <v>2540.0</v>
      </c>
      <c r="P39" s="2">
        <v>2473.0</v>
      </c>
      <c r="Q39" s="2">
        <v>0.0</v>
      </c>
      <c r="R39" s="2">
        <v>0.0</v>
      </c>
      <c r="S39" s="2">
        <v>116.0</v>
      </c>
      <c r="T39" s="5">
        <v>6509600.0</v>
      </c>
      <c r="U39" s="5">
        <v>2.930779E7</v>
      </c>
      <c r="V39" s="5">
        <v>2.54E7</v>
      </c>
      <c r="W39" s="5">
        <v>0.0</v>
      </c>
      <c r="X39" s="5">
        <v>0.0</v>
      </c>
      <c r="Y39" s="5">
        <v>1338466.0</v>
      </c>
      <c r="Z39" s="5">
        <f t="shared" si="1"/>
        <v>62555856</v>
      </c>
      <c r="AA39" s="5">
        <f>VLOOKUP(B39,Salaries_total!$B$3:$C$49,2,FALSE)</f>
        <v>29942591</v>
      </c>
      <c r="AB39" s="28">
        <f t="shared" si="2"/>
        <v>2.08919315</v>
      </c>
    </row>
    <row r="40" ht="14.25" customHeight="1">
      <c r="A40" s="27" t="s">
        <v>45</v>
      </c>
      <c r="B40" s="27" t="s">
        <v>46</v>
      </c>
      <c r="C40" s="27">
        <v>330.0</v>
      </c>
      <c r="D40" s="27">
        <v>2920.0</v>
      </c>
      <c r="E40" s="27">
        <v>2084.0</v>
      </c>
      <c r="F40" s="27">
        <v>0.0</v>
      </c>
      <c r="G40" s="27">
        <v>0.0</v>
      </c>
      <c r="H40" s="27">
        <v>80.0</v>
      </c>
      <c r="I40" s="27">
        <v>180.0</v>
      </c>
      <c r="J40" s="27">
        <v>220.0</v>
      </c>
      <c r="K40" s="27">
        <v>0.0</v>
      </c>
      <c r="L40" s="27">
        <v>0.0</v>
      </c>
      <c r="M40" s="27">
        <v>5814.0</v>
      </c>
      <c r="N40" s="2">
        <v>330.0</v>
      </c>
      <c r="O40" s="2">
        <v>2920.0</v>
      </c>
      <c r="P40" s="2">
        <v>2084.0</v>
      </c>
      <c r="Q40" s="2">
        <v>0.0</v>
      </c>
      <c r="R40" s="2">
        <v>80.0</v>
      </c>
      <c r="S40" s="2">
        <v>220.0</v>
      </c>
      <c r="T40" s="5">
        <v>6798000.0</v>
      </c>
      <c r="U40" s="5">
        <v>3.369242E7</v>
      </c>
      <c r="V40" s="5">
        <v>2.92E7</v>
      </c>
      <c r="W40" s="5">
        <v>0.0</v>
      </c>
      <c r="X40" s="5">
        <v>1488000.0</v>
      </c>
      <c r="Y40" s="5">
        <v>2538470.0</v>
      </c>
      <c r="Z40" s="5">
        <f t="shared" si="1"/>
        <v>73716890</v>
      </c>
      <c r="AA40" s="5">
        <f>VLOOKUP(B40,Salaries_total!$B$3:$C$49,2,FALSE)</f>
        <v>17921183</v>
      </c>
      <c r="AB40" s="28">
        <f t="shared" si="2"/>
        <v>4.113394188</v>
      </c>
    </row>
    <row r="41" ht="14.25" customHeight="1">
      <c r="A41" s="27" t="s">
        <v>117</v>
      </c>
      <c r="B41" s="27" t="s">
        <v>118</v>
      </c>
      <c r="C41" s="27">
        <v>115.0</v>
      </c>
      <c r="D41" s="27">
        <v>5272.0</v>
      </c>
      <c r="E41" s="27">
        <v>1939.0</v>
      </c>
      <c r="F41" s="27">
        <v>0.0</v>
      </c>
      <c r="G41" s="27">
        <v>36.0</v>
      </c>
      <c r="H41" s="27">
        <v>0.0</v>
      </c>
      <c r="I41" s="27">
        <v>180.0</v>
      </c>
      <c r="J41" s="27">
        <v>282.0</v>
      </c>
      <c r="K41" s="27">
        <v>100.0</v>
      </c>
      <c r="L41" s="27">
        <v>400.0</v>
      </c>
      <c r="M41" s="27">
        <v>8324.0</v>
      </c>
      <c r="N41" s="2">
        <v>115.0</v>
      </c>
      <c r="O41" s="2">
        <v>5272.0</v>
      </c>
      <c r="P41" s="2">
        <v>1939.0</v>
      </c>
      <c r="Q41" s="2">
        <v>0.0</v>
      </c>
      <c r="R41" s="2">
        <v>0.0</v>
      </c>
      <c r="S41" s="2">
        <v>282.0</v>
      </c>
      <c r="T41" s="5">
        <v>2369000.0</v>
      </c>
      <c r="U41" s="5">
        <v>6.0830972E7</v>
      </c>
      <c r="V41" s="5">
        <v>5.272E7</v>
      </c>
      <c r="W41" s="5">
        <v>0.0</v>
      </c>
      <c r="X41" s="5">
        <v>0.0</v>
      </c>
      <c r="Y41" s="5">
        <v>3253857.0</v>
      </c>
      <c r="Z41" s="5">
        <f t="shared" si="1"/>
        <v>119173829</v>
      </c>
      <c r="AA41" s="5">
        <f>VLOOKUP(B41,Salaries_total!$B$3:$C$49,2,FALSE)</f>
        <v>20032801</v>
      </c>
      <c r="AB41" s="28">
        <f t="shared" si="2"/>
        <v>5.948934899</v>
      </c>
    </row>
    <row r="42" ht="14.25" customHeight="1">
      <c r="A42" s="27" t="s">
        <v>115</v>
      </c>
      <c r="B42" s="27" t="s">
        <v>116</v>
      </c>
      <c r="C42" s="27">
        <v>891.0</v>
      </c>
      <c r="D42" s="27">
        <v>2920.0</v>
      </c>
      <c r="E42" s="27">
        <v>2084.0</v>
      </c>
      <c r="F42" s="27">
        <v>80.0</v>
      </c>
      <c r="G42" s="27">
        <v>0.0</v>
      </c>
      <c r="H42" s="27">
        <v>0.0</v>
      </c>
      <c r="I42" s="27">
        <v>629.0</v>
      </c>
      <c r="J42" s="27">
        <v>17.0</v>
      </c>
      <c r="K42" s="27">
        <v>0.0</v>
      </c>
      <c r="L42" s="27">
        <v>5457.0</v>
      </c>
      <c r="M42" s="27">
        <v>12078.0</v>
      </c>
      <c r="N42" s="2">
        <v>891.0</v>
      </c>
      <c r="O42" s="2">
        <v>2920.0</v>
      </c>
      <c r="P42" s="2">
        <v>2084.0</v>
      </c>
      <c r="Q42" s="2">
        <v>80.0</v>
      </c>
      <c r="R42" s="2">
        <v>0.0</v>
      </c>
      <c r="S42" s="2">
        <v>17.0</v>
      </c>
      <c r="T42" s="5">
        <v>1.83546E7</v>
      </c>
      <c r="U42" s="5">
        <v>3.369242E7</v>
      </c>
      <c r="V42" s="5">
        <v>2.92E7</v>
      </c>
      <c r="W42" s="5">
        <v>1648000.0</v>
      </c>
      <c r="X42" s="5">
        <v>0.0</v>
      </c>
      <c r="Y42" s="5">
        <v>196154.5</v>
      </c>
      <c r="Z42" s="5">
        <f t="shared" si="1"/>
        <v>83091174.5</v>
      </c>
      <c r="AA42" s="5">
        <f>VLOOKUP(B42,Salaries_total!$B$3:$C$49,2,FALSE)</f>
        <v>8886635</v>
      </c>
      <c r="AB42" s="28">
        <f t="shared" si="2"/>
        <v>9.350127973</v>
      </c>
    </row>
    <row r="43" ht="14.25" customHeight="1">
      <c r="A43" s="27" t="s">
        <v>95</v>
      </c>
      <c r="B43" s="27" t="s">
        <v>96</v>
      </c>
      <c r="C43" s="27">
        <v>4340.0</v>
      </c>
      <c r="D43" s="27">
        <v>12835.0</v>
      </c>
      <c r="E43" s="27">
        <v>375.0</v>
      </c>
      <c r="F43" s="27">
        <v>459.0</v>
      </c>
      <c r="G43" s="27">
        <v>0.0</v>
      </c>
      <c r="H43" s="27">
        <v>0.0</v>
      </c>
      <c r="I43" s="27">
        <v>0.0</v>
      </c>
      <c r="J43" s="27">
        <v>1774.0</v>
      </c>
      <c r="K43" s="27">
        <v>0.0</v>
      </c>
      <c r="L43" s="27">
        <v>0.0</v>
      </c>
      <c r="M43" s="27">
        <v>19783.0</v>
      </c>
      <c r="N43" s="2">
        <v>4340.0</v>
      </c>
      <c r="O43" s="2">
        <v>12835.0</v>
      </c>
      <c r="P43" s="2">
        <v>375.0</v>
      </c>
      <c r="Q43" s="2">
        <v>459.0</v>
      </c>
      <c r="R43" s="2">
        <v>0.0</v>
      </c>
      <c r="S43" s="2">
        <v>1774.0</v>
      </c>
      <c r="T43" s="5">
        <v>8.9404E7</v>
      </c>
      <c r="U43" s="5">
        <v>1.480966475E8</v>
      </c>
      <c r="V43" s="5">
        <v>1.2835E8</v>
      </c>
      <c r="W43" s="5">
        <v>9455400.0</v>
      </c>
      <c r="X43" s="5">
        <v>0.0</v>
      </c>
      <c r="Y43" s="5">
        <v>2.0469299E7</v>
      </c>
      <c r="Z43" s="5">
        <f t="shared" si="1"/>
        <v>395775346.5</v>
      </c>
      <c r="AA43" s="5">
        <f>VLOOKUP(B43,Salaries_total!$B$3:$C$49,2,FALSE)</f>
        <v>222182400</v>
      </c>
      <c r="AB43" s="28">
        <f t="shared" si="2"/>
        <v>1.78130827</v>
      </c>
    </row>
    <row r="44" ht="14.25" customHeight="1">
      <c r="A44" s="27" t="s">
        <v>107</v>
      </c>
      <c r="B44" s="27" t="s">
        <v>108</v>
      </c>
      <c r="C44" s="27">
        <v>998.0</v>
      </c>
      <c r="D44" s="27">
        <v>3154.0</v>
      </c>
      <c r="E44" s="27">
        <v>0.0</v>
      </c>
      <c r="F44" s="27">
        <v>805.0</v>
      </c>
      <c r="G44" s="27">
        <v>0.0</v>
      </c>
      <c r="H44" s="27">
        <v>1291.0</v>
      </c>
      <c r="I44" s="27">
        <v>0.0</v>
      </c>
      <c r="J44" s="27">
        <v>451.0</v>
      </c>
      <c r="K44" s="27">
        <v>0.0</v>
      </c>
      <c r="L44" s="27">
        <v>13559.0</v>
      </c>
      <c r="M44" s="27">
        <v>20258.0</v>
      </c>
      <c r="N44" s="2">
        <v>998.0</v>
      </c>
      <c r="O44" s="2">
        <v>3154.0</v>
      </c>
      <c r="P44" s="2">
        <v>0.0</v>
      </c>
      <c r="Q44" s="2">
        <v>805.0</v>
      </c>
      <c r="R44" s="2">
        <v>1291.0</v>
      </c>
      <c r="S44" s="2">
        <v>451.0</v>
      </c>
      <c r="T44" s="5">
        <v>2.05588E7</v>
      </c>
      <c r="U44" s="5">
        <v>3.6392429E7</v>
      </c>
      <c r="V44" s="5">
        <v>3.154E7</v>
      </c>
      <c r="W44" s="5">
        <v>1.6583E7</v>
      </c>
      <c r="X44" s="5">
        <v>2.40126E7</v>
      </c>
      <c r="Y44" s="5">
        <v>5203863.5</v>
      </c>
      <c r="Z44" s="5">
        <f t="shared" si="1"/>
        <v>134290692.5</v>
      </c>
      <c r="AA44" s="5">
        <f>VLOOKUP(B44,Salaries_total!$B$3:$C$49,2,FALSE)</f>
        <v>61452696</v>
      </c>
      <c r="AB44" s="28">
        <f t="shared" si="2"/>
        <v>2.185269341</v>
      </c>
    </row>
    <row r="45" ht="14.25" customHeight="1">
      <c r="A45" s="27" t="s">
        <v>61</v>
      </c>
      <c r="B45" s="27" t="s">
        <v>62</v>
      </c>
      <c r="C45" s="27">
        <v>3114.0</v>
      </c>
      <c r="D45" s="27">
        <v>6298.0</v>
      </c>
      <c r="E45" s="27">
        <v>2440.0</v>
      </c>
      <c r="F45" s="27">
        <v>189.0</v>
      </c>
      <c r="G45" s="27">
        <v>64.0</v>
      </c>
      <c r="H45" s="27">
        <v>699.0</v>
      </c>
      <c r="I45" s="27">
        <v>2878.0</v>
      </c>
      <c r="J45" s="27">
        <v>1220.0</v>
      </c>
      <c r="K45" s="27">
        <v>1613.0</v>
      </c>
      <c r="L45" s="27">
        <v>3672.0</v>
      </c>
      <c r="M45" s="27">
        <v>22187.0</v>
      </c>
      <c r="N45" s="2">
        <v>3114.0</v>
      </c>
      <c r="O45" s="2">
        <v>6298.0</v>
      </c>
      <c r="P45" s="2">
        <v>2440.0</v>
      </c>
      <c r="Q45" s="2">
        <v>189.0</v>
      </c>
      <c r="R45" s="2">
        <v>699.0</v>
      </c>
      <c r="S45" s="2">
        <v>1220.0</v>
      </c>
      <c r="T45" s="5">
        <v>6.41484E7</v>
      </c>
      <c r="U45" s="5">
        <v>7.2669473E7</v>
      </c>
      <c r="V45" s="5">
        <v>6.298E7</v>
      </c>
      <c r="W45" s="5">
        <v>3893400.0</v>
      </c>
      <c r="X45" s="5">
        <v>1.30014E7</v>
      </c>
      <c r="Y45" s="5">
        <v>1.407697E7</v>
      </c>
      <c r="Z45" s="5">
        <f t="shared" si="1"/>
        <v>230769643</v>
      </c>
      <c r="AA45" s="5">
        <f>VLOOKUP(B45,Salaries_total!$B$3:$C$49,2,FALSE)</f>
        <v>123771387</v>
      </c>
      <c r="AB45" s="28">
        <f t="shared" si="2"/>
        <v>1.864482968</v>
      </c>
    </row>
    <row r="46" ht="14.25" customHeight="1">
      <c r="A46" s="27" t="s">
        <v>67</v>
      </c>
      <c r="B46" s="27" t="s">
        <v>68</v>
      </c>
      <c r="C46" s="27">
        <v>1566.0</v>
      </c>
      <c r="D46" s="27">
        <v>21271.0</v>
      </c>
      <c r="E46" s="27">
        <v>4827.0</v>
      </c>
      <c r="F46" s="27">
        <v>0.0</v>
      </c>
      <c r="G46" s="27">
        <v>0.0</v>
      </c>
      <c r="H46" s="27">
        <v>343.0</v>
      </c>
      <c r="I46" s="27">
        <v>0.0</v>
      </c>
      <c r="J46" s="27">
        <v>396.0</v>
      </c>
      <c r="K46" s="27">
        <v>0.0</v>
      </c>
      <c r="L46" s="27">
        <v>0.0</v>
      </c>
      <c r="M46" s="27">
        <v>28403.0</v>
      </c>
      <c r="N46" s="2">
        <v>1566.0</v>
      </c>
      <c r="O46" s="2">
        <v>21271.0</v>
      </c>
      <c r="P46" s="2">
        <v>4827.0</v>
      </c>
      <c r="Q46" s="2">
        <v>0.0</v>
      </c>
      <c r="R46" s="2">
        <v>343.0</v>
      </c>
      <c r="S46" s="2">
        <v>396.0</v>
      </c>
      <c r="T46" s="5">
        <v>3.22596E7</v>
      </c>
      <c r="U46" s="5">
        <v>2.454354335E8</v>
      </c>
      <c r="V46" s="5">
        <v>2.1271E8</v>
      </c>
      <c r="W46" s="5">
        <v>0.0</v>
      </c>
      <c r="X46" s="5">
        <v>6379800.0</v>
      </c>
      <c r="Y46" s="5">
        <v>4569246.0</v>
      </c>
      <c r="Z46" s="5">
        <f t="shared" si="1"/>
        <v>501354079.5</v>
      </c>
      <c r="AA46" s="5">
        <f>VLOOKUP(B46,Salaries_total!$B$3:$C$49,2,FALSE)</f>
        <v>33062741</v>
      </c>
      <c r="AB46" s="28">
        <f t="shared" si="2"/>
        <v>15.16371796</v>
      </c>
    </row>
    <row r="47" ht="14.25" customHeight="1">
      <c r="A47" s="27" t="s">
        <v>113</v>
      </c>
      <c r="B47" s="27" t="s">
        <v>114</v>
      </c>
      <c r="C47" s="27">
        <v>1997.0</v>
      </c>
      <c r="D47" s="27">
        <v>14001.0</v>
      </c>
      <c r="E47" s="27">
        <v>8990.0</v>
      </c>
      <c r="F47" s="27">
        <v>41.0</v>
      </c>
      <c r="G47" s="27">
        <v>220.0</v>
      </c>
      <c r="H47" s="27">
        <v>120.0</v>
      </c>
      <c r="I47" s="27">
        <v>1860.0</v>
      </c>
      <c r="J47" s="27">
        <v>3610.0</v>
      </c>
      <c r="K47" s="27">
        <v>0.0</v>
      </c>
      <c r="L47" s="27">
        <v>1020.0</v>
      </c>
      <c r="M47" s="27">
        <v>31859.0</v>
      </c>
      <c r="N47" s="2">
        <v>1997.0</v>
      </c>
      <c r="O47" s="2">
        <v>14001.0</v>
      </c>
      <c r="P47" s="2">
        <v>8990.0</v>
      </c>
      <c r="Q47" s="2">
        <v>41.0</v>
      </c>
      <c r="R47" s="2">
        <v>120.0</v>
      </c>
      <c r="S47" s="2">
        <v>3610.0</v>
      </c>
      <c r="T47" s="5">
        <v>4.11382E7</v>
      </c>
      <c r="U47" s="5">
        <v>1.615505385E8</v>
      </c>
      <c r="V47" s="5">
        <v>1.4001E8</v>
      </c>
      <c r="W47" s="5">
        <v>844600.0</v>
      </c>
      <c r="X47" s="5">
        <v>2232000.0</v>
      </c>
      <c r="Y47" s="5">
        <v>4.1653985E7</v>
      </c>
      <c r="Z47" s="5">
        <f t="shared" si="1"/>
        <v>387429323.5</v>
      </c>
      <c r="AA47" s="5">
        <f>VLOOKUP(B47,Salaries_total!$B$3:$C$49,2,FALSE)</f>
        <v>65136238</v>
      </c>
      <c r="AB47" s="28">
        <f t="shared" si="2"/>
        <v>5.947984339</v>
      </c>
    </row>
    <row r="48" ht="14.25" customHeight="1">
      <c r="A48" s="27" t="s">
        <v>53</v>
      </c>
      <c r="B48" s="27" t="s">
        <v>54</v>
      </c>
      <c r="C48" s="27">
        <v>6020.0</v>
      </c>
      <c r="D48" s="27">
        <v>24061.0</v>
      </c>
      <c r="E48" s="27">
        <v>3453.0</v>
      </c>
      <c r="F48" s="27">
        <v>66.0</v>
      </c>
      <c r="G48" s="27">
        <v>0.0</v>
      </c>
      <c r="H48" s="27">
        <v>178.0</v>
      </c>
      <c r="I48" s="27">
        <v>328.0</v>
      </c>
      <c r="J48" s="27">
        <v>2571.0</v>
      </c>
      <c r="K48" s="27">
        <v>0.0</v>
      </c>
      <c r="L48" s="27">
        <v>3151.0</v>
      </c>
      <c r="M48" s="27">
        <v>39828.0</v>
      </c>
      <c r="N48" s="2">
        <v>6020.0</v>
      </c>
      <c r="O48" s="2">
        <v>24061.0</v>
      </c>
      <c r="P48" s="2">
        <v>3453.0</v>
      </c>
      <c r="Q48" s="2">
        <v>66.0</v>
      </c>
      <c r="R48" s="2">
        <v>178.0</v>
      </c>
      <c r="S48" s="2">
        <v>2571.0</v>
      </c>
      <c r="T48" s="5">
        <v>1.24012E8</v>
      </c>
      <c r="U48" s="5">
        <v>2.776278485E8</v>
      </c>
      <c r="V48" s="5">
        <v>2.4061E8</v>
      </c>
      <c r="W48" s="5">
        <v>1359600.0</v>
      </c>
      <c r="X48" s="5">
        <v>3310800.0</v>
      </c>
      <c r="Y48" s="5">
        <v>2.96654835E7</v>
      </c>
      <c r="Z48" s="5">
        <f t="shared" si="1"/>
        <v>676585732</v>
      </c>
      <c r="AA48" s="5">
        <f>VLOOKUP(B48,Salaries_total!$B$3:$C$49,2,FALSE)</f>
        <v>98151951</v>
      </c>
      <c r="AB48" s="28">
        <f t="shared" si="2"/>
        <v>6.893247919</v>
      </c>
    </row>
    <row r="49" ht="14.25" customHeight="1"/>
    <row r="50" ht="14.25" customHeight="1"/>
    <row r="51" ht="14.25" customHeight="1"/>
    <row r="52" ht="14.25" customHeight="1">
      <c r="T52" s="10"/>
      <c r="U52" s="11" t="s">
        <v>137</v>
      </c>
      <c r="V52" s="11" t="s">
        <v>138</v>
      </c>
      <c r="W52" s="12" t="s">
        <v>139</v>
      </c>
      <c r="X52" s="12" t="s">
        <v>140</v>
      </c>
      <c r="Y52" s="12" t="s">
        <v>141</v>
      </c>
      <c r="Z52" s="12" t="s">
        <v>142</v>
      </c>
      <c r="AA52" s="29"/>
    </row>
    <row r="53" ht="14.25" customHeight="1">
      <c r="T53" s="2" t="s">
        <v>143</v>
      </c>
      <c r="U53" s="2" t="s">
        <v>144</v>
      </c>
      <c r="V53" s="2" t="s">
        <v>145</v>
      </c>
      <c r="W53" s="2" t="s">
        <v>139</v>
      </c>
      <c r="X53" s="2" t="s">
        <v>140</v>
      </c>
      <c r="Y53" s="2" t="s">
        <v>146</v>
      </c>
      <c r="Z53" s="2" t="s">
        <v>147</v>
      </c>
    </row>
    <row r="54" ht="14.25" customHeight="1">
      <c r="T54" s="2" t="s">
        <v>148</v>
      </c>
      <c r="U54" s="5">
        <v>3510.5</v>
      </c>
      <c r="V54" s="5">
        <v>1881.0</v>
      </c>
      <c r="W54" s="5">
        <v>1434.0</v>
      </c>
      <c r="X54" s="5">
        <v>1165.0</v>
      </c>
      <c r="Y54" s="5">
        <v>5292.0</v>
      </c>
      <c r="Z54" s="5">
        <v>20000.0</v>
      </c>
      <c r="AA54" s="5"/>
    </row>
    <row r="55" ht="14.25" customHeight="1">
      <c r="T55" s="2" t="s">
        <v>149</v>
      </c>
      <c r="U55" s="5">
        <v>5843.166666666667</v>
      </c>
      <c r="V55" s="5">
        <v>5020.1</v>
      </c>
      <c r="W55" s="5">
        <v>4508.6</v>
      </c>
      <c r="X55" s="5">
        <v>5297.6</v>
      </c>
      <c r="Y55" s="5">
        <v>7995.75</v>
      </c>
      <c r="Z55" s="5">
        <v>20000.0</v>
      </c>
      <c r="AA55" s="5"/>
    </row>
    <row r="56" ht="14.25" customHeight="1">
      <c r="T56" s="2" t="s">
        <v>150</v>
      </c>
      <c r="U56" s="5">
        <v>851.0</v>
      </c>
      <c r="V56" s="5">
        <v>400.0</v>
      </c>
      <c r="W56" s="5">
        <v>404.0</v>
      </c>
      <c r="X56" s="5">
        <v>637.0</v>
      </c>
      <c r="Y56" s="5">
        <v>799.0</v>
      </c>
      <c r="Z56" s="5">
        <v>20000.0</v>
      </c>
      <c r="AA56" s="5"/>
    </row>
    <row r="57" ht="14.25" customHeight="1">
      <c r="T57" s="2" t="s">
        <v>151</v>
      </c>
      <c r="U57" s="5">
        <v>20600.0</v>
      </c>
      <c r="V57" s="5">
        <v>11538.5</v>
      </c>
      <c r="W57" s="5">
        <v>10000.0</v>
      </c>
      <c r="X57" s="5">
        <v>18600.0</v>
      </c>
      <c r="Y57" s="5">
        <v>20600.0</v>
      </c>
      <c r="Z57" s="5">
        <v>20000.0</v>
      </c>
      <c r="AA57" s="5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48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8.63"/>
    <col customWidth="1" min="3" max="3" width="12.13"/>
    <col customWidth="1" min="4" max="4" width="11.88"/>
    <col customWidth="1" min="5" max="19" width="8.63"/>
    <col customWidth="1" min="20" max="20" width="16.38"/>
    <col customWidth="1" min="21" max="21" width="14.88"/>
    <col customWidth="1" min="22" max="22" width="13.88"/>
    <col customWidth="1" min="23" max="24" width="14.88"/>
    <col customWidth="1" min="25" max="25" width="12.75"/>
    <col customWidth="1" min="26" max="26" width="14.88"/>
    <col customWidth="1" min="27" max="27" width="16.38"/>
    <col customWidth="1" min="28" max="28" width="8.63"/>
  </cols>
  <sheetData>
    <row r="1" ht="14.25" customHeight="1">
      <c r="A1" s="30" t="s">
        <v>188</v>
      </c>
    </row>
    <row r="2" ht="14.25" customHeight="1">
      <c r="A2" s="31" t="s">
        <v>0</v>
      </c>
      <c r="B2" s="31" t="s">
        <v>1</v>
      </c>
      <c r="C2" s="31" t="s">
        <v>2</v>
      </c>
      <c r="D2" s="31" t="s">
        <v>6</v>
      </c>
      <c r="E2" s="31" t="s">
        <v>7</v>
      </c>
      <c r="F2" s="31" t="s">
        <v>8</v>
      </c>
      <c r="G2" s="31" t="s">
        <v>9</v>
      </c>
      <c r="H2" s="31" t="s">
        <v>10</v>
      </c>
      <c r="I2" s="31" t="s">
        <v>11</v>
      </c>
      <c r="J2" s="31" t="s">
        <v>12</v>
      </c>
      <c r="K2" s="31" t="s">
        <v>13</v>
      </c>
      <c r="L2" s="31" t="s">
        <v>189</v>
      </c>
      <c r="M2" s="31" t="s">
        <v>190</v>
      </c>
      <c r="N2" s="31" t="s">
        <v>191</v>
      </c>
      <c r="O2" s="31" t="s">
        <v>192</v>
      </c>
      <c r="P2" s="31" t="s">
        <v>193</v>
      </c>
      <c r="Q2" s="31" t="s">
        <v>194</v>
      </c>
      <c r="R2" s="31" t="s">
        <v>195</v>
      </c>
      <c r="S2" s="31" t="s">
        <v>13</v>
      </c>
      <c r="T2" s="31" t="s">
        <v>196</v>
      </c>
      <c r="U2" s="31" t="s">
        <v>197</v>
      </c>
      <c r="V2" s="31" t="s">
        <v>198</v>
      </c>
      <c r="W2" s="31" t="s">
        <v>199</v>
      </c>
      <c r="X2" s="31" t="s">
        <v>200</v>
      </c>
      <c r="Y2" s="31" t="s">
        <v>201</v>
      </c>
      <c r="Z2" s="31" t="s">
        <v>202</v>
      </c>
      <c r="AA2" s="32" t="s">
        <v>203</v>
      </c>
      <c r="AB2" s="31" t="s">
        <v>204</v>
      </c>
    </row>
    <row r="3" ht="14.25" customHeight="1">
      <c r="A3" s="4" t="s">
        <v>27</v>
      </c>
      <c r="B3" s="4" t="s">
        <v>28</v>
      </c>
      <c r="C3" s="5">
        <v>4.6053477E7</v>
      </c>
      <c r="D3" s="2">
        <v>16.396590424649155</v>
      </c>
      <c r="E3" s="2">
        <v>22.750942344700707</v>
      </c>
      <c r="F3" s="2">
        <v>2.0148315837260236</v>
      </c>
      <c r="G3" s="2">
        <v>3.5224267648672867</v>
      </c>
      <c r="H3" s="2">
        <v>2.962208477765967</v>
      </c>
      <c r="I3" s="2">
        <v>0.029530886451852485</v>
      </c>
      <c r="J3" s="2">
        <v>3.3087621158332956</v>
      </c>
      <c r="K3" s="2">
        <v>50.98529259799429</v>
      </c>
      <c r="L3" s="5">
        <f t="shared" ref="L3:L49" si="1">C3*D3/10000</f>
        <v>75512</v>
      </c>
      <c r="M3" s="5">
        <f t="shared" ref="M3:M49" si="2">C3*E3/10000</f>
        <v>104776</v>
      </c>
      <c r="N3" s="5">
        <f t="shared" ref="N3:N49" si="3">C3*F3/10000</f>
        <v>9279</v>
      </c>
      <c r="O3" s="5">
        <f t="shared" ref="O3:O49" si="4">C3*G3/10000</f>
        <v>16222</v>
      </c>
      <c r="P3" s="5">
        <f t="shared" ref="P3:P49" si="5">C3*H3/10000</f>
        <v>13642</v>
      </c>
      <c r="Q3" s="5">
        <f t="shared" ref="Q3:Q49" si="6">C3*I3/10000</f>
        <v>136</v>
      </c>
      <c r="R3" s="5">
        <f t="shared" ref="R3:R49" si="7">C3*J3/10000</f>
        <v>15238</v>
      </c>
      <c r="S3" s="5">
        <f t="shared" ref="S3:S49" si="8">C3*K3/10000</f>
        <v>234805</v>
      </c>
      <c r="T3" s="14">
        <f t="shared" ref="T3:T49" si="9">L3*16711.45</f>
        <v>1261915012</v>
      </c>
      <c r="U3" s="14">
        <f t="shared" ref="U3:U49" si="10">M3*7534.14</f>
        <v>789397052.6</v>
      </c>
      <c r="V3" s="14">
        <f t="shared" ref="V3:V49" si="11">N3*8216.36</f>
        <v>76239604.44</v>
      </c>
      <c r="W3" s="14">
        <f t="shared" ref="W3:W49" si="12">O3*24675.14</f>
        <v>400280121.1</v>
      </c>
      <c r="X3" s="14">
        <f t="shared" ref="X3:X49" si="13">P3*11129.02</f>
        <v>151822090.8</v>
      </c>
      <c r="Y3" s="14">
        <f t="shared" ref="Y3:Y49" si="14">Q3*7741.28</f>
        <v>1052814.08</v>
      </c>
      <c r="Z3" s="14">
        <f t="shared" ref="Z3:Z49" si="15">R3*8475.88</f>
        <v>129155459.4</v>
      </c>
      <c r="AA3" s="14">
        <f t="shared" ref="AA3:AA49" si="16">SUM(T3:Z3)</f>
        <v>2809862155</v>
      </c>
      <c r="AB3" s="33">
        <f t="shared" ref="AB3:AB49" si="17">AA3/C3</f>
        <v>61.01302959</v>
      </c>
    </row>
    <row r="4" ht="14.25" customHeight="1">
      <c r="A4" s="4" t="s">
        <v>29</v>
      </c>
      <c r="B4" s="4" t="s">
        <v>30</v>
      </c>
      <c r="C4" s="5">
        <v>3.6148636E7</v>
      </c>
      <c r="D4" s="2">
        <v>2.4047933648174165</v>
      </c>
      <c r="E4" s="2">
        <v>18.45657468237529</v>
      </c>
      <c r="F4" s="2">
        <v>0.009128975156904952</v>
      </c>
      <c r="G4" s="2">
        <v>0.0702654451470866</v>
      </c>
      <c r="H4" s="2">
        <v>0.3966954659091425</v>
      </c>
      <c r="I4" s="2">
        <v>0.0035962629405989206</v>
      </c>
      <c r="J4" s="2">
        <v>0.004979440994675428</v>
      </c>
      <c r="K4" s="2">
        <v>21.34603363734111</v>
      </c>
      <c r="L4" s="5">
        <f t="shared" si="1"/>
        <v>8693</v>
      </c>
      <c r="M4" s="5">
        <f t="shared" si="2"/>
        <v>66718</v>
      </c>
      <c r="N4" s="5">
        <f t="shared" si="3"/>
        <v>33</v>
      </c>
      <c r="O4" s="5">
        <f t="shared" si="4"/>
        <v>254</v>
      </c>
      <c r="P4" s="5">
        <f t="shared" si="5"/>
        <v>1434</v>
      </c>
      <c r="Q4" s="5">
        <f t="shared" si="6"/>
        <v>13</v>
      </c>
      <c r="R4" s="5">
        <f t="shared" si="7"/>
        <v>18</v>
      </c>
      <c r="S4" s="5">
        <f t="shared" si="8"/>
        <v>77163</v>
      </c>
      <c r="T4" s="14">
        <f t="shared" si="9"/>
        <v>145272634.9</v>
      </c>
      <c r="U4" s="14">
        <f t="shared" si="10"/>
        <v>502662752.5</v>
      </c>
      <c r="V4" s="14">
        <f t="shared" si="11"/>
        <v>271139.88</v>
      </c>
      <c r="W4" s="14">
        <f t="shared" si="12"/>
        <v>6267485.56</v>
      </c>
      <c r="X4" s="14">
        <f t="shared" si="13"/>
        <v>15959014.68</v>
      </c>
      <c r="Y4" s="14">
        <f t="shared" si="14"/>
        <v>100636.64</v>
      </c>
      <c r="Z4" s="14">
        <f t="shared" si="15"/>
        <v>152565.84</v>
      </c>
      <c r="AA4" s="14">
        <f t="shared" si="16"/>
        <v>670686230</v>
      </c>
      <c r="AB4" s="33">
        <f t="shared" si="17"/>
        <v>18.55356949</v>
      </c>
    </row>
    <row r="5" ht="14.25" customHeight="1">
      <c r="A5" s="4" t="s">
        <v>31</v>
      </c>
      <c r="B5" s="4" t="s">
        <v>32</v>
      </c>
      <c r="C5" s="5">
        <v>1.3124347E7</v>
      </c>
      <c r="D5" s="2">
        <v>2.3178296032556895</v>
      </c>
      <c r="E5" s="2">
        <v>4.716425129570256</v>
      </c>
      <c r="F5" s="2">
        <v>1.8484729183097643</v>
      </c>
      <c r="G5" s="2">
        <v>0.050288216244206284</v>
      </c>
      <c r="H5" s="2">
        <v>0.3299211762688079</v>
      </c>
      <c r="I5" s="2">
        <v>0.508977703804997</v>
      </c>
      <c r="J5" s="2">
        <v>1.2434904380385554</v>
      </c>
      <c r="K5" s="2">
        <v>11.015405185492277</v>
      </c>
      <c r="L5" s="5">
        <f t="shared" si="1"/>
        <v>3042</v>
      </c>
      <c r="M5" s="5">
        <f t="shared" si="2"/>
        <v>6190</v>
      </c>
      <c r="N5" s="5">
        <f t="shared" si="3"/>
        <v>2426</v>
      </c>
      <c r="O5" s="5">
        <f t="shared" si="4"/>
        <v>66</v>
      </c>
      <c r="P5" s="5">
        <f t="shared" si="5"/>
        <v>433</v>
      </c>
      <c r="Q5" s="5">
        <f t="shared" si="6"/>
        <v>668</v>
      </c>
      <c r="R5" s="5">
        <f t="shared" si="7"/>
        <v>1632</v>
      </c>
      <c r="S5" s="5">
        <f t="shared" si="8"/>
        <v>14457</v>
      </c>
      <c r="T5" s="14">
        <f t="shared" si="9"/>
        <v>50836230.9</v>
      </c>
      <c r="U5" s="14">
        <f t="shared" si="10"/>
        <v>46636326.6</v>
      </c>
      <c r="V5" s="14">
        <f t="shared" si="11"/>
        <v>19932889.36</v>
      </c>
      <c r="W5" s="14">
        <f t="shared" si="12"/>
        <v>1628559.24</v>
      </c>
      <c r="X5" s="14">
        <f t="shared" si="13"/>
        <v>4818865.66</v>
      </c>
      <c r="Y5" s="14">
        <f t="shared" si="14"/>
        <v>5171175.04</v>
      </c>
      <c r="Z5" s="14">
        <f t="shared" si="15"/>
        <v>13832636.16</v>
      </c>
      <c r="AA5" s="14">
        <f t="shared" si="16"/>
        <v>142856683</v>
      </c>
      <c r="AB5" s="33">
        <f t="shared" si="17"/>
        <v>10.88486025</v>
      </c>
    </row>
    <row r="6" ht="14.25" customHeight="1">
      <c r="A6" s="4" t="s">
        <v>33</v>
      </c>
      <c r="B6" s="4" t="s">
        <v>34</v>
      </c>
      <c r="C6" s="5">
        <v>2483754.0</v>
      </c>
      <c r="D6" s="2">
        <v>3.7886199680000514</v>
      </c>
      <c r="E6" s="2">
        <v>30.13583470826821</v>
      </c>
      <c r="F6" s="2">
        <v>0.0</v>
      </c>
      <c r="G6" s="2">
        <v>0.35832856232944166</v>
      </c>
      <c r="H6" s="2">
        <v>0.5314535980616437</v>
      </c>
      <c r="I6" s="2">
        <v>0.603924543251868</v>
      </c>
      <c r="J6" s="2">
        <v>1.252136886342206</v>
      </c>
      <c r="K6" s="2">
        <v>36.670298266253425</v>
      </c>
      <c r="L6" s="5">
        <f t="shared" si="1"/>
        <v>941</v>
      </c>
      <c r="M6" s="5">
        <f t="shared" si="2"/>
        <v>7485</v>
      </c>
      <c r="N6" s="5">
        <f t="shared" si="3"/>
        <v>0</v>
      </c>
      <c r="O6" s="5">
        <f t="shared" si="4"/>
        <v>89</v>
      </c>
      <c r="P6" s="5">
        <f t="shared" si="5"/>
        <v>132</v>
      </c>
      <c r="Q6" s="5">
        <f t="shared" si="6"/>
        <v>150</v>
      </c>
      <c r="R6" s="5">
        <f t="shared" si="7"/>
        <v>311</v>
      </c>
      <c r="S6" s="5">
        <f t="shared" si="8"/>
        <v>9108</v>
      </c>
      <c r="T6" s="14">
        <f t="shared" si="9"/>
        <v>15725474.45</v>
      </c>
      <c r="U6" s="14">
        <f t="shared" si="10"/>
        <v>56393037.9</v>
      </c>
      <c r="V6" s="14">
        <f t="shared" si="11"/>
        <v>0</v>
      </c>
      <c r="W6" s="14">
        <f t="shared" si="12"/>
        <v>2196087.46</v>
      </c>
      <c r="X6" s="14">
        <f t="shared" si="13"/>
        <v>1469030.64</v>
      </c>
      <c r="Y6" s="14">
        <f t="shared" si="14"/>
        <v>1161192</v>
      </c>
      <c r="Z6" s="14">
        <f t="shared" si="15"/>
        <v>2635998.68</v>
      </c>
      <c r="AA6" s="14">
        <f t="shared" si="16"/>
        <v>79580821.13</v>
      </c>
      <c r="AB6" s="33">
        <f t="shared" si="17"/>
        <v>32.0405407</v>
      </c>
    </row>
    <row r="7" ht="14.25" customHeight="1">
      <c r="A7" s="4" t="s">
        <v>35</v>
      </c>
      <c r="B7" s="4" t="s">
        <v>36</v>
      </c>
      <c r="C7" s="5">
        <v>2.2720842E7</v>
      </c>
      <c r="D7" s="2">
        <v>1.4625338268713808</v>
      </c>
      <c r="E7" s="2">
        <v>5.994056030141841</v>
      </c>
      <c r="F7" s="2">
        <v>3.621784791250254</v>
      </c>
      <c r="G7" s="2">
        <v>0.05853656303758461</v>
      </c>
      <c r="H7" s="2">
        <v>0.39655220523957696</v>
      </c>
      <c r="I7" s="2">
        <v>0.002640747204703065</v>
      </c>
      <c r="J7" s="2">
        <v>0.485897485665364</v>
      </c>
      <c r="K7" s="2">
        <v>12.022001649410702</v>
      </c>
      <c r="L7" s="5">
        <f t="shared" si="1"/>
        <v>3323</v>
      </c>
      <c r="M7" s="5">
        <f t="shared" si="2"/>
        <v>13619</v>
      </c>
      <c r="N7" s="5">
        <f t="shared" si="3"/>
        <v>8229</v>
      </c>
      <c r="O7" s="5">
        <f t="shared" si="4"/>
        <v>133</v>
      </c>
      <c r="P7" s="5">
        <f t="shared" si="5"/>
        <v>901</v>
      </c>
      <c r="Q7" s="5">
        <f t="shared" si="6"/>
        <v>6</v>
      </c>
      <c r="R7" s="5">
        <f t="shared" si="7"/>
        <v>1104</v>
      </c>
      <c r="S7" s="5">
        <f t="shared" si="8"/>
        <v>27315</v>
      </c>
      <c r="T7" s="14">
        <f t="shared" si="9"/>
        <v>55532148.35</v>
      </c>
      <c r="U7" s="14">
        <f t="shared" si="10"/>
        <v>102607452.7</v>
      </c>
      <c r="V7" s="14">
        <f t="shared" si="11"/>
        <v>67612426.44</v>
      </c>
      <c r="W7" s="14">
        <f t="shared" si="12"/>
        <v>3281793.62</v>
      </c>
      <c r="X7" s="14">
        <f t="shared" si="13"/>
        <v>10027247.02</v>
      </c>
      <c r="Y7" s="14">
        <f t="shared" si="14"/>
        <v>46447.68</v>
      </c>
      <c r="Z7" s="14">
        <f t="shared" si="15"/>
        <v>9357371.52</v>
      </c>
      <c r="AA7" s="14">
        <f t="shared" si="16"/>
        <v>248464887.3</v>
      </c>
      <c r="AB7" s="33">
        <f t="shared" si="17"/>
        <v>10.93554928</v>
      </c>
    </row>
    <row r="8" ht="14.25" customHeight="1">
      <c r="A8" s="4" t="s">
        <v>37</v>
      </c>
      <c r="B8" s="4" t="s">
        <v>38</v>
      </c>
      <c r="C8" s="5">
        <v>1.2999141E7</v>
      </c>
      <c r="D8" s="2">
        <v>0.7985143018296362</v>
      </c>
      <c r="E8" s="2">
        <v>8.36439884758539</v>
      </c>
      <c r="F8" s="2">
        <v>0.3715630132791082</v>
      </c>
      <c r="G8" s="2">
        <v>0.010769942413887195</v>
      </c>
      <c r="H8" s="2">
        <v>0.09539091852300087</v>
      </c>
      <c r="I8" s="2">
        <v>0.9800647596637347</v>
      </c>
      <c r="J8" s="2">
        <v>0.7008155385036595</v>
      </c>
      <c r="K8" s="2">
        <v>11.321517321798417</v>
      </c>
      <c r="L8" s="5">
        <f t="shared" si="1"/>
        <v>1038</v>
      </c>
      <c r="M8" s="5">
        <f t="shared" si="2"/>
        <v>10873</v>
      </c>
      <c r="N8" s="5">
        <f t="shared" si="3"/>
        <v>483</v>
      </c>
      <c r="O8" s="5">
        <f t="shared" si="4"/>
        <v>14</v>
      </c>
      <c r="P8" s="5">
        <f t="shared" si="5"/>
        <v>124</v>
      </c>
      <c r="Q8" s="5">
        <f t="shared" si="6"/>
        <v>1274</v>
      </c>
      <c r="R8" s="5">
        <f t="shared" si="7"/>
        <v>911</v>
      </c>
      <c r="S8" s="5">
        <f t="shared" si="8"/>
        <v>14717</v>
      </c>
      <c r="T8" s="14">
        <f t="shared" si="9"/>
        <v>17346485.1</v>
      </c>
      <c r="U8" s="14">
        <f t="shared" si="10"/>
        <v>81918704.22</v>
      </c>
      <c r="V8" s="14">
        <f t="shared" si="11"/>
        <v>3968501.88</v>
      </c>
      <c r="W8" s="14">
        <f t="shared" si="12"/>
        <v>345451.96</v>
      </c>
      <c r="X8" s="14">
        <f t="shared" si="13"/>
        <v>1379998.48</v>
      </c>
      <c r="Y8" s="14">
        <f t="shared" si="14"/>
        <v>9862390.72</v>
      </c>
      <c r="Z8" s="14">
        <f t="shared" si="15"/>
        <v>7721526.68</v>
      </c>
      <c r="AA8" s="14">
        <f t="shared" si="16"/>
        <v>122543059</v>
      </c>
      <c r="AB8" s="33">
        <f t="shared" si="17"/>
        <v>9.427012065</v>
      </c>
    </row>
    <row r="9" ht="14.25" customHeight="1">
      <c r="A9" s="4" t="s">
        <v>39</v>
      </c>
      <c r="B9" s="4" t="s">
        <v>40</v>
      </c>
      <c r="C9" s="5">
        <v>573322.0</v>
      </c>
      <c r="D9" s="2">
        <v>6.645480201352817</v>
      </c>
      <c r="E9" s="2">
        <v>16.378230732467966</v>
      </c>
      <c r="F9" s="2">
        <v>0.45349733657525787</v>
      </c>
      <c r="G9" s="2">
        <v>0.13953764202315627</v>
      </c>
      <c r="H9" s="2">
        <v>0.17442205252894535</v>
      </c>
      <c r="I9" s="2">
        <v>0.06976882101157814</v>
      </c>
      <c r="J9" s="2">
        <v>0.13953764202315627</v>
      </c>
      <c r="K9" s="2">
        <v>24.00047442798288</v>
      </c>
      <c r="L9" s="5">
        <f t="shared" si="1"/>
        <v>381</v>
      </c>
      <c r="M9" s="5">
        <f t="shared" si="2"/>
        <v>939</v>
      </c>
      <c r="N9" s="5">
        <f t="shared" si="3"/>
        <v>26</v>
      </c>
      <c r="O9" s="5">
        <f t="shared" si="4"/>
        <v>8</v>
      </c>
      <c r="P9" s="5">
        <f t="shared" si="5"/>
        <v>10</v>
      </c>
      <c r="Q9" s="5">
        <f t="shared" si="6"/>
        <v>4</v>
      </c>
      <c r="R9" s="5">
        <f t="shared" si="7"/>
        <v>8</v>
      </c>
      <c r="S9" s="5">
        <f t="shared" si="8"/>
        <v>1376</v>
      </c>
      <c r="T9" s="14">
        <f t="shared" si="9"/>
        <v>6367062.45</v>
      </c>
      <c r="U9" s="14">
        <f t="shared" si="10"/>
        <v>7074557.46</v>
      </c>
      <c r="V9" s="14">
        <f t="shared" si="11"/>
        <v>213625.36</v>
      </c>
      <c r="W9" s="14">
        <f t="shared" si="12"/>
        <v>197401.12</v>
      </c>
      <c r="X9" s="14">
        <f t="shared" si="13"/>
        <v>111290.2</v>
      </c>
      <c r="Y9" s="14">
        <f t="shared" si="14"/>
        <v>30965.12</v>
      </c>
      <c r="Z9" s="14">
        <f t="shared" si="15"/>
        <v>67807.04</v>
      </c>
      <c r="AA9" s="14">
        <f t="shared" si="16"/>
        <v>14062708.75</v>
      </c>
      <c r="AB9" s="33">
        <f t="shared" si="17"/>
        <v>24.52846524</v>
      </c>
    </row>
    <row r="10" ht="14.25" customHeight="1">
      <c r="A10" s="4" t="s">
        <v>41</v>
      </c>
      <c r="B10" s="4" t="s">
        <v>42</v>
      </c>
      <c r="C10" s="5">
        <v>2.8608129E7</v>
      </c>
      <c r="D10" s="2">
        <v>1.3150108488395031</v>
      </c>
      <c r="E10" s="2">
        <v>5.779825727156083</v>
      </c>
      <c r="F10" s="2">
        <v>0.5847988171473919</v>
      </c>
      <c r="G10" s="2">
        <v>0.11080766589104796</v>
      </c>
      <c r="H10" s="2">
        <v>0.21042969989404062</v>
      </c>
      <c r="I10" s="2">
        <v>0.10241844197500648</v>
      </c>
      <c r="J10" s="2">
        <v>0.08354268816391314</v>
      </c>
      <c r="K10" s="2">
        <v>8.186833889066985</v>
      </c>
      <c r="L10" s="5">
        <f t="shared" si="1"/>
        <v>3762</v>
      </c>
      <c r="M10" s="5">
        <f t="shared" si="2"/>
        <v>16535</v>
      </c>
      <c r="N10" s="5">
        <f t="shared" si="3"/>
        <v>1673</v>
      </c>
      <c r="O10" s="5">
        <f t="shared" si="4"/>
        <v>317</v>
      </c>
      <c r="P10" s="5">
        <f t="shared" si="5"/>
        <v>602</v>
      </c>
      <c r="Q10" s="5">
        <f t="shared" si="6"/>
        <v>293</v>
      </c>
      <c r="R10" s="5">
        <f t="shared" si="7"/>
        <v>239</v>
      </c>
      <c r="S10" s="5">
        <f t="shared" si="8"/>
        <v>23421</v>
      </c>
      <c r="T10" s="14">
        <f t="shared" si="9"/>
        <v>62868474.9</v>
      </c>
      <c r="U10" s="14">
        <f t="shared" si="10"/>
        <v>124577004.9</v>
      </c>
      <c r="V10" s="14">
        <f t="shared" si="11"/>
        <v>13745970.28</v>
      </c>
      <c r="W10" s="14">
        <f t="shared" si="12"/>
        <v>7822019.38</v>
      </c>
      <c r="X10" s="14">
        <f t="shared" si="13"/>
        <v>6699670.04</v>
      </c>
      <c r="Y10" s="14">
        <f t="shared" si="14"/>
        <v>2268195.04</v>
      </c>
      <c r="Z10" s="14">
        <f t="shared" si="15"/>
        <v>2025735.32</v>
      </c>
      <c r="AA10" s="14">
        <f t="shared" si="16"/>
        <v>220007069.9</v>
      </c>
      <c r="AB10" s="33">
        <f t="shared" si="17"/>
        <v>7.690369051</v>
      </c>
    </row>
    <row r="11" ht="14.25" customHeight="1">
      <c r="A11" s="4" t="s">
        <v>43</v>
      </c>
      <c r="B11" s="4" t="s">
        <v>44</v>
      </c>
      <c r="C11" s="5">
        <v>5119136.0</v>
      </c>
      <c r="D11" s="2">
        <v>0.7481731292155551</v>
      </c>
      <c r="E11" s="2">
        <v>7.337175648390667</v>
      </c>
      <c r="F11" s="2">
        <v>3.7057034624592897</v>
      </c>
      <c r="G11" s="2">
        <v>0.00586036393641427</v>
      </c>
      <c r="H11" s="2">
        <v>0.025394910391128504</v>
      </c>
      <c r="I11" s="2">
        <v>0.2187869202927994</v>
      </c>
      <c r="J11" s="2">
        <v>0.5606414832502985</v>
      </c>
      <c r="K11" s="2">
        <v>12.601735917936152</v>
      </c>
      <c r="L11" s="5">
        <f t="shared" si="1"/>
        <v>383</v>
      </c>
      <c r="M11" s="5">
        <f t="shared" si="2"/>
        <v>3756</v>
      </c>
      <c r="N11" s="5">
        <f t="shared" si="3"/>
        <v>1897</v>
      </c>
      <c r="O11" s="5">
        <f t="shared" si="4"/>
        <v>3</v>
      </c>
      <c r="P11" s="5">
        <f t="shared" si="5"/>
        <v>13</v>
      </c>
      <c r="Q11" s="5">
        <f t="shared" si="6"/>
        <v>112</v>
      </c>
      <c r="R11" s="5">
        <f t="shared" si="7"/>
        <v>287</v>
      </c>
      <c r="S11" s="5">
        <f t="shared" si="8"/>
        <v>6451</v>
      </c>
      <c r="T11" s="14">
        <f t="shared" si="9"/>
        <v>6400485.35</v>
      </c>
      <c r="U11" s="14">
        <f t="shared" si="10"/>
        <v>28298229.84</v>
      </c>
      <c r="V11" s="14">
        <f t="shared" si="11"/>
        <v>15586434.92</v>
      </c>
      <c r="W11" s="14">
        <f t="shared" si="12"/>
        <v>74025.42</v>
      </c>
      <c r="X11" s="14">
        <f t="shared" si="13"/>
        <v>144677.26</v>
      </c>
      <c r="Y11" s="14">
        <f t="shared" si="14"/>
        <v>867023.36</v>
      </c>
      <c r="Z11" s="14">
        <f t="shared" si="15"/>
        <v>2432577.56</v>
      </c>
      <c r="AA11" s="14">
        <f t="shared" si="16"/>
        <v>53803453.71</v>
      </c>
      <c r="AB11" s="33">
        <f t="shared" si="17"/>
        <v>10.51026066</v>
      </c>
    </row>
    <row r="12" ht="14.25" customHeight="1">
      <c r="A12" s="4" t="s">
        <v>45</v>
      </c>
      <c r="B12" s="4" t="s">
        <v>46</v>
      </c>
      <c r="C12" s="5">
        <v>1.7921183E7</v>
      </c>
      <c r="D12" s="2">
        <v>0.9156761582089754</v>
      </c>
      <c r="E12" s="2">
        <v>1.3263633321527937</v>
      </c>
      <c r="F12" s="2">
        <v>0.4715090516066936</v>
      </c>
      <c r="G12" s="2">
        <v>0.007253985409333748</v>
      </c>
      <c r="H12" s="2">
        <v>0.09095381705549237</v>
      </c>
      <c r="I12" s="2">
        <v>0.5736228462150071</v>
      </c>
      <c r="J12" s="2">
        <v>0.5847828237678283</v>
      </c>
      <c r="K12" s="2">
        <v>3.9701620144161245</v>
      </c>
      <c r="L12" s="5">
        <f t="shared" si="1"/>
        <v>1641</v>
      </c>
      <c r="M12" s="5">
        <f t="shared" si="2"/>
        <v>2377</v>
      </c>
      <c r="N12" s="5">
        <f t="shared" si="3"/>
        <v>845</v>
      </c>
      <c r="O12" s="5">
        <f t="shared" si="4"/>
        <v>13</v>
      </c>
      <c r="P12" s="5">
        <f t="shared" si="5"/>
        <v>163</v>
      </c>
      <c r="Q12" s="5">
        <f t="shared" si="6"/>
        <v>1028</v>
      </c>
      <c r="R12" s="5">
        <f t="shared" si="7"/>
        <v>1048</v>
      </c>
      <c r="S12" s="5">
        <f t="shared" si="8"/>
        <v>7115</v>
      </c>
      <c r="T12" s="14">
        <f t="shared" si="9"/>
        <v>27423489.45</v>
      </c>
      <c r="U12" s="14">
        <f t="shared" si="10"/>
        <v>17908650.78</v>
      </c>
      <c r="V12" s="14">
        <f t="shared" si="11"/>
        <v>6942824.2</v>
      </c>
      <c r="W12" s="14">
        <f t="shared" si="12"/>
        <v>320776.82</v>
      </c>
      <c r="X12" s="14">
        <f t="shared" si="13"/>
        <v>1814030.26</v>
      </c>
      <c r="Y12" s="14">
        <f t="shared" si="14"/>
        <v>7958035.84</v>
      </c>
      <c r="Z12" s="14">
        <f t="shared" si="15"/>
        <v>8882722.24</v>
      </c>
      <c r="AA12" s="14">
        <f t="shared" si="16"/>
        <v>71250529.59</v>
      </c>
      <c r="AB12" s="33">
        <f t="shared" si="17"/>
        <v>3.975771554</v>
      </c>
    </row>
    <row r="13" ht="14.25" customHeight="1">
      <c r="A13" s="4" t="s">
        <v>47</v>
      </c>
      <c r="B13" s="4" t="s">
        <v>48</v>
      </c>
      <c r="C13" s="5">
        <v>926492.0</v>
      </c>
      <c r="D13" s="2">
        <v>3.8208640765381676</v>
      </c>
      <c r="E13" s="2">
        <v>8.472820056730118</v>
      </c>
      <c r="F13" s="2">
        <v>6.324933188845667</v>
      </c>
      <c r="G13" s="2">
        <v>0.3453888430768965</v>
      </c>
      <c r="H13" s="2">
        <v>0.4317360538461206</v>
      </c>
      <c r="I13" s="2">
        <v>1.7377376167306355</v>
      </c>
      <c r="J13" s="2">
        <v>0.17269442153844825</v>
      </c>
      <c r="K13" s="2">
        <v>21.30617425730605</v>
      </c>
      <c r="L13" s="5">
        <f t="shared" si="1"/>
        <v>354</v>
      </c>
      <c r="M13" s="5">
        <f t="shared" si="2"/>
        <v>785</v>
      </c>
      <c r="N13" s="5">
        <f t="shared" si="3"/>
        <v>586</v>
      </c>
      <c r="O13" s="5">
        <f t="shared" si="4"/>
        <v>32</v>
      </c>
      <c r="P13" s="5">
        <f t="shared" si="5"/>
        <v>40</v>
      </c>
      <c r="Q13" s="5">
        <f t="shared" si="6"/>
        <v>161</v>
      </c>
      <c r="R13" s="5">
        <f t="shared" si="7"/>
        <v>16</v>
      </c>
      <c r="S13" s="5">
        <f t="shared" si="8"/>
        <v>1974</v>
      </c>
      <c r="T13" s="14">
        <f t="shared" si="9"/>
        <v>5915853.3</v>
      </c>
      <c r="U13" s="14">
        <f t="shared" si="10"/>
        <v>5914299.9</v>
      </c>
      <c r="V13" s="14">
        <f t="shared" si="11"/>
        <v>4814786.96</v>
      </c>
      <c r="W13" s="14">
        <f t="shared" si="12"/>
        <v>789604.48</v>
      </c>
      <c r="X13" s="14">
        <f t="shared" si="13"/>
        <v>445160.8</v>
      </c>
      <c r="Y13" s="14">
        <f t="shared" si="14"/>
        <v>1246346.08</v>
      </c>
      <c r="Z13" s="14">
        <f t="shared" si="15"/>
        <v>135614.08</v>
      </c>
      <c r="AA13" s="14">
        <f t="shared" si="16"/>
        <v>19261665.6</v>
      </c>
      <c r="AB13" s="33">
        <f t="shared" si="17"/>
        <v>20.78988874</v>
      </c>
    </row>
    <row r="14" ht="14.25" customHeight="1">
      <c r="A14" s="4" t="s">
        <v>49</v>
      </c>
      <c r="B14" s="4" t="s">
        <v>50</v>
      </c>
      <c r="C14" s="5">
        <v>5940746.0</v>
      </c>
      <c r="D14" s="2">
        <v>1.7539884721548438</v>
      </c>
      <c r="E14" s="2">
        <v>9.38097673255177</v>
      </c>
      <c r="F14" s="2">
        <v>2.003115433650925</v>
      </c>
      <c r="G14" s="2">
        <v>0.01683290280378929</v>
      </c>
      <c r="H14" s="2">
        <v>0.053865288972125724</v>
      </c>
      <c r="I14" s="2">
        <v>0.5386528897212572</v>
      </c>
      <c r="J14" s="2">
        <v>1.3079165478544277</v>
      </c>
      <c r="K14" s="2">
        <v>15.05534826770914</v>
      </c>
      <c r="L14" s="5">
        <f t="shared" si="1"/>
        <v>1042</v>
      </c>
      <c r="M14" s="5">
        <f t="shared" si="2"/>
        <v>5573</v>
      </c>
      <c r="N14" s="5">
        <f t="shared" si="3"/>
        <v>1190</v>
      </c>
      <c r="O14" s="5">
        <f t="shared" si="4"/>
        <v>10</v>
      </c>
      <c r="P14" s="5">
        <f t="shared" si="5"/>
        <v>32</v>
      </c>
      <c r="Q14" s="5">
        <f t="shared" si="6"/>
        <v>320</v>
      </c>
      <c r="R14" s="5">
        <f t="shared" si="7"/>
        <v>777</v>
      </c>
      <c r="S14" s="5">
        <f t="shared" si="8"/>
        <v>8944</v>
      </c>
      <c r="T14" s="14">
        <f t="shared" si="9"/>
        <v>17413330.9</v>
      </c>
      <c r="U14" s="14">
        <f t="shared" si="10"/>
        <v>41987762.22</v>
      </c>
      <c r="V14" s="14">
        <f t="shared" si="11"/>
        <v>9777468.4</v>
      </c>
      <c r="W14" s="14">
        <f t="shared" si="12"/>
        <v>246751.4</v>
      </c>
      <c r="X14" s="14">
        <f t="shared" si="13"/>
        <v>356128.64</v>
      </c>
      <c r="Y14" s="14">
        <f t="shared" si="14"/>
        <v>2477209.6</v>
      </c>
      <c r="Z14" s="14">
        <f t="shared" si="15"/>
        <v>6585758.76</v>
      </c>
      <c r="AA14" s="14">
        <f t="shared" si="16"/>
        <v>78844409.92</v>
      </c>
      <c r="AB14" s="33">
        <f t="shared" si="17"/>
        <v>13.27180289</v>
      </c>
    </row>
    <row r="15" ht="14.25" customHeight="1">
      <c r="A15" s="4" t="s">
        <v>51</v>
      </c>
      <c r="B15" s="4" t="s">
        <v>52</v>
      </c>
      <c r="C15" s="5">
        <v>2.8444206E7</v>
      </c>
      <c r="D15" s="2">
        <v>1.8172417960972438</v>
      </c>
      <c r="E15" s="2">
        <v>5.647547342330456</v>
      </c>
      <c r="F15" s="2">
        <v>3.0403379865832783</v>
      </c>
      <c r="G15" s="2">
        <v>0.14941531502057045</v>
      </c>
      <c r="H15" s="2">
        <v>0.42820671457659953</v>
      </c>
      <c r="I15" s="2">
        <v>0.1747280272122906</v>
      </c>
      <c r="J15" s="2">
        <v>0.0</v>
      </c>
      <c r="K15" s="2">
        <v>11.25747718182044</v>
      </c>
      <c r="L15" s="5">
        <f t="shared" si="1"/>
        <v>5169</v>
      </c>
      <c r="M15" s="5">
        <f t="shared" si="2"/>
        <v>16064</v>
      </c>
      <c r="N15" s="5">
        <f t="shared" si="3"/>
        <v>8648</v>
      </c>
      <c r="O15" s="5">
        <f t="shared" si="4"/>
        <v>425</v>
      </c>
      <c r="P15" s="5">
        <f t="shared" si="5"/>
        <v>1218</v>
      </c>
      <c r="Q15" s="5">
        <f t="shared" si="6"/>
        <v>497</v>
      </c>
      <c r="R15" s="5">
        <f t="shared" si="7"/>
        <v>0</v>
      </c>
      <c r="S15" s="5">
        <f t="shared" si="8"/>
        <v>32021</v>
      </c>
      <c r="T15" s="14">
        <f t="shared" si="9"/>
        <v>86381485.05</v>
      </c>
      <c r="U15" s="14">
        <f t="shared" si="10"/>
        <v>121028425</v>
      </c>
      <c r="V15" s="14">
        <f t="shared" si="11"/>
        <v>71055081.28</v>
      </c>
      <c r="W15" s="14">
        <f t="shared" si="12"/>
        <v>10486934.5</v>
      </c>
      <c r="X15" s="14">
        <f t="shared" si="13"/>
        <v>13555146.36</v>
      </c>
      <c r="Y15" s="14">
        <f t="shared" si="14"/>
        <v>3847416.16</v>
      </c>
      <c r="Z15" s="14">
        <f t="shared" si="15"/>
        <v>0</v>
      </c>
      <c r="AA15" s="14">
        <f t="shared" si="16"/>
        <v>306354488.3</v>
      </c>
      <c r="AB15" s="33">
        <f t="shared" si="17"/>
        <v>10.77036527</v>
      </c>
    </row>
    <row r="16" ht="14.25" customHeight="1">
      <c r="A16" s="4" t="s">
        <v>53</v>
      </c>
      <c r="B16" s="4" t="s">
        <v>54</v>
      </c>
      <c r="C16" s="5">
        <v>9.8151951E7</v>
      </c>
      <c r="D16" s="2">
        <v>2.1690857678417417</v>
      </c>
      <c r="E16" s="2">
        <v>11.748722142059101</v>
      </c>
      <c r="F16" s="2">
        <v>0.4372811702948217</v>
      </c>
      <c r="G16" s="2">
        <v>0.04594916304822102</v>
      </c>
      <c r="H16" s="2">
        <v>0.09454728006374524</v>
      </c>
      <c r="I16" s="2">
        <v>0.2989242669256773</v>
      </c>
      <c r="J16" s="2">
        <v>0.2989242669256773</v>
      </c>
      <c r="K16" s="2">
        <v>15.093434057158985</v>
      </c>
      <c r="L16" s="5">
        <f t="shared" si="1"/>
        <v>21290</v>
      </c>
      <c r="M16" s="5">
        <f t="shared" si="2"/>
        <v>115316</v>
      </c>
      <c r="N16" s="5">
        <f t="shared" si="3"/>
        <v>4292</v>
      </c>
      <c r="O16" s="5">
        <f t="shared" si="4"/>
        <v>451</v>
      </c>
      <c r="P16" s="5">
        <f t="shared" si="5"/>
        <v>928</v>
      </c>
      <c r="Q16" s="5">
        <f t="shared" si="6"/>
        <v>2934</v>
      </c>
      <c r="R16" s="5">
        <f t="shared" si="7"/>
        <v>2934</v>
      </c>
      <c r="S16" s="5">
        <f t="shared" si="8"/>
        <v>148145</v>
      </c>
      <c r="T16" s="14">
        <f t="shared" si="9"/>
        <v>355786770.5</v>
      </c>
      <c r="U16" s="14">
        <f t="shared" si="10"/>
        <v>868806888.2</v>
      </c>
      <c r="V16" s="14">
        <f t="shared" si="11"/>
        <v>35264617.12</v>
      </c>
      <c r="W16" s="14">
        <f t="shared" si="12"/>
        <v>11128488.14</v>
      </c>
      <c r="X16" s="14">
        <f t="shared" si="13"/>
        <v>10327730.56</v>
      </c>
      <c r="Y16" s="14">
        <f t="shared" si="14"/>
        <v>22712915.52</v>
      </c>
      <c r="Z16" s="14">
        <f t="shared" si="15"/>
        <v>24868231.92</v>
      </c>
      <c r="AA16" s="14">
        <f t="shared" si="16"/>
        <v>1328895642</v>
      </c>
      <c r="AB16" s="33">
        <f t="shared" si="17"/>
        <v>13.53916686</v>
      </c>
    </row>
    <row r="17" ht="14.25" customHeight="1">
      <c r="A17" s="4" t="s">
        <v>55</v>
      </c>
      <c r="B17" s="4" t="s">
        <v>56</v>
      </c>
      <c r="C17" s="5">
        <v>1543389.0</v>
      </c>
      <c r="D17" s="2">
        <v>1.7817931837015812</v>
      </c>
      <c r="E17" s="2">
        <v>15.893595198618105</v>
      </c>
      <c r="F17" s="2">
        <v>0.16846044645905858</v>
      </c>
      <c r="G17" s="2">
        <v>0.0</v>
      </c>
      <c r="H17" s="2">
        <v>0.09070947117026233</v>
      </c>
      <c r="I17" s="2">
        <v>0.8682192240582252</v>
      </c>
      <c r="J17" s="2">
        <v>1.4772685304871294</v>
      </c>
      <c r="K17" s="2">
        <v>20.280046054494363</v>
      </c>
      <c r="L17" s="5">
        <f t="shared" si="1"/>
        <v>275</v>
      </c>
      <c r="M17" s="5">
        <f t="shared" si="2"/>
        <v>2453</v>
      </c>
      <c r="N17" s="5">
        <f t="shared" si="3"/>
        <v>26</v>
      </c>
      <c r="O17" s="5">
        <f t="shared" si="4"/>
        <v>0</v>
      </c>
      <c r="P17" s="5">
        <f t="shared" si="5"/>
        <v>14</v>
      </c>
      <c r="Q17" s="5">
        <f t="shared" si="6"/>
        <v>134</v>
      </c>
      <c r="R17" s="5">
        <f t="shared" si="7"/>
        <v>228</v>
      </c>
      <c r="S17" s="5">
        <f t="shared" si="8"/>
        <v>3130</v>
      </c>
      <c r="T17" s="14">
        <f t="shared" si="9"/>
        <v>4595648.75</v>
      </c>
      <c r="U17" s="14">
        <f t="shared" si="10"/>
        <v>18481245.42</v>
      </c>
      <c r="V17" s="14">
        <f t="shared" si="11"/>
        <v>213625.36</v>
      </c>
      <c r="W17" s="14">
        <f t="shared" si="12"/>
        <v>0</v>
      </c>
      <c r="X17" s="14">
        <f t="shared" si="13"/>
        <v>155806.28</v>
      </c>
      <c r="Y17" s="14">
        <f t="shared" si="14"/>
        <v>1037331.52</v>
      </c>
      <c r="Z17" s="14">
        <f t="shared" si="15"/>
        <v>1932500.64</v>
      </c>
      <c r="AA17" s="14">
        <f t="shared" si="16"/>
        <v>26416157.97</v>
      </c>
      <c r="AB17" s="33">
        <f t="shared" si="17"/>
        <v>17.11568371</v>
      </c>
    </row>
    <row r="18" ht="14.25" customHeight="1">
      <c r="A18" s="4" t="s">
        <v>57</v>
      </c>
      <c r="B18" s="4" t="s">
        <v>58</v>
      </c>
      <c r="C18" s="5">
        <v>3727656.0</v>
      </c>
      <c r="D18" s="2">
        <v>0.8021126412952267</v>
      </c>
      <c r="E18" s="2">
        <v>13.933689160158554</v>
      </c>
      <c r="F18" s="2">
        <v>0.17973761527351237</v>
      </c>
      <c r="G18" s="2">
        <v>0.17973761527351237</v>
      </c>
      <c r="H18" s="2">
        <v>0.6143270730990199</v>
      </c>
      <c r="I18" s="2">
        <v>0.9121013312387194</v>
      </c>
      <c r="J18" s="2">
        <v>0.823573849089079</v>
      </c>
      <c r="K18" s="2">
        <v>17.44527928542762</v>
      </c>
      <c r="L18" s="5">
        <f t="shared" si="1"/>
        <v>299</v>
      </c>
      <c r="M18" s="5">
        <f t="shared" si="2"/>
        <v>5194</v>
      </c>
      <c r="N18" s="5">
        <f t="shared" si="3"/>
        <v>67</v>
      </c>
      <c r="O18" s="5">
        <f t="shared" si="4"/>
        <v>67</v>
      </c>
      <c r="P18" s="5">
        <f t="shared" si="5"/>
        <v>229</v>
      </c>
      <c r="Q18" s="5">
        <f t="shared" si="6"/>
        <v>340</v>
      </c>
      <c r="R18" s="5">
        <f t="shared" si="7"/>
        <v>307</v>
      </c>
      <c r="S18" s="5">
        <f t="shared" si="8"/>
        <v>6503</v>
      </c>
      <c r="T18" s="14">
        <f t="shared" si="9"/>
        <v>4996723.55</v>
      </c>
      <c r="U18" s="14">
        <f t="shared" si="10"/>
        <v>39132323.16</v>
      </c>
      <c r="V18" s="14">
        <f t="shared" si="11"/>
        <v>550496.12</v>
      </c>
      <c r="W18" s="14">
        <f t="shared" si="12"/>
        <v>1653234.38</v>
      </c>
      <c r="X18" s="14">
        <f t="shared" si="13"/>
        <v>2548545.58</v>
      </c>
      <c r="Y18" s="14">
        <f t="shared" si="14"/>
        <v>2632035.2</v>
      </c>
      <c r="Z18" s="14">
        <f t="shared" si="15"/>
        <v>2602095.16</v>
      </c>
      <c r="AA18" s="14">
        <f t="shared" si="16"/>
        <v>54115453.15</v>
      </c>
      <c r="AB18" s="33">
        <f t="shared" si="17"/>
        <v>14.51728731</v>
      </c>
    </row>
    <row r="19" ht="14.25" customHeight="1">
      <c r="A19" s="4" t="s">
        <v>59</v>
      </c>
      <c r="B19" s="4" t="s">
        <v>60</v>
      </c>
      <c r="C19" s="5">
        <v>1197512.0</v>
      </c>
      <c r="D19" s="2">
        <v>5.72019320056918</v>
      </c>
      <c r="E19" s="2">
        <v>43.774091616618456</v>
      </c>
      <c r="F19" s="2">
        <v>0.0</v>
      </c>
      <c r="G19" s="2">
        <v>0.29227264528455665</v>
      </c>
      <c r="H19" s="2">
        <v>0.350727174341468</v>
      </c>
      <c r="I19" s="2">
        <v>0.0</v>
      </c>
      <c r="J19" s="2">
        <v>0.0</v>
      </c>
      <c r="K19" s="2">
        <v>50.13728463681365</v>
      </c>
      <c r="L19" s="5">
        <f t="shared" si="1"/>
        <v>685</v>
      </c>
      <c r="M19" s="5">
        <f t="shared" si="2"/>
        <v>5242</v>
      </c>
      <c r="N19" s="5">
        <f t="shared" si="3"/>
        <v>0</v>
      </c>
      <c r="O19" s="5">
        <f t="shared" si="4"/>
        <v>35</v>
      </c>
      <c r="P19" s="5">
        <f t="shared" si="5"/>
        <v>42</v>
      </c>
      <c r="Q19" s="5">
        <f t="shared" si="6"/>
        <v>0</v>
      </c>
      <c r="R19" s="5">
        <f t="shared" si="7"/>
        <v>0</v>
      </c>
      <c r="S19" s="5">
        <f t="shared" si="8"/>
        <v>6004</v>
      </c>
      <c r="T19" s="14">
        <f t="shared" si="9"/>
        <v>11447343.25</v>
      </c>
      <c r="U19" s="14">
        <f t="shared" si="10"/>
        <v>39493961.88</v>
      </c>
      <c r="V19" s="14">
        <f t="shared" si="11"/>
        <v>0</v>
      </c>
      <c r="W19" s="14">
        <f t="shared" si="12"/>
        <v>863629.9</v>
      </c>
      <c r="X19" s="14">
        <f t="shared" si="13"/>
        <v>467418.84</v>
      </c>
      <c r="Y19" s="14">
        <f t="shared" si="14"/>
        <v>0</v>
      </c>
      <c r="Z19" s="14">
        <f t="shared" si="15"/>
        <v>0</v>
      </c>
      <c r="AA19" s="14">
        <f t="shared" si="16"/>
        <v>52272353.87</v>
      </c>
      <c r="AB19" s="33">
        <f t="shared" si="17"/>
        <v>43.65079755</v>
      </c>
    </row>
    <row r="20" ht="14.25" customHeight="1">
      <c r="A20" s="4" t="s">
        <v>61</v>
      </c>
      <c r="B20" s="4" t="s">
        <v>62</v>
      </c>
      <c r="C20" s="5">
        <v>1.23771387E8</v>
      </c>
      <c r="D20" s="2">
        <v>1.4876620878458768</v>
      </c>
      <c r="E20" s="2">
        <v>10.60519746781217</v>
      </c>
      <c r="F20" s="2">
        <v>1.7770666171818854</v>
      </c>
      <c r="G20" s="2">
        <v>0.2845568822784542</v>
      </c>
      <c r="H20" s="2">
        <v>1.5290286760703424</v>
      </c>
      <c r="I20" s="2">
        <v>1.9194258524387386</v>
      </c>
      <c r="J20" s="2">
        <v>1.7550098230700122</v>
      </c>
      <c r="K20" s="2">
        <v>19.35794740669748</v>
      </c>
      <c r="L20" s="5">
        <f t="shared" si="1"/>
        <v>18413</v>
      </c>
      <c r="M20" s="5">
        <f t="shared" si="2"/>
        <v>131262</v>
      </c>
      <c r="N20" s="5">
        <f t="shared" si="3"/>
        <v>21995</v>
      </c>
      <c r="O20" s="5">
        <f t="shared" si="4"/>
        <v>3522</v>
      </c>
      <c r="P20" s="5">
        <f t="shared" si="5"/>
        <v>18925</v>
      </c>
      <c r="Q20" s="5">
        <f t="shared" si="6"/>
        <v>23757</v>
      </c>
      <c r="R20" s="5">
        <f t="shared" si="7"/>
        <v>21722</v>
      </c>
      <c r="S20" s="5">
        <f t="shared" si="8"/>
        <v>239596</v>
      </c>
      <c r="T20" s="14">
        <f t="shared" si="9"/>
        <v>307707928.9</v>
      </c>
      <c r="U20" s="14">
        <f t="shared" si="10"/>
        <v>988946284.7</v>
      </c>
      <c r="V20" s="14">
        <f t="shared" si="11"/>
        <v>180718838.2</v>
      </c>
      <c r="W20" s="14">
        <f t="shared" si="12"/>
        <v>86905843.08</v>
      </c>
      <c r="X20" s="14">
        <f t="shared" si="13"/>
        <v>210616703.5</v>
      </c>
      <c r="Y20" s="14">
        <f t="shared" si="14"/>
        <v>183909589</v>
      </c>
      <c r="Z20" s="14">
        <f t="shared" si="15"/>
        <v>184113065.4</v>
      </c>
      <c r="AA20" s="14">
        <f t="shared" si="16"/>
        <v>2142918253</v>
      </c>
      <c r="AB20" s="33">
        <f t="shared" si="17"/>
        <v>17.31351894</v>
      </c>
    </row>
    <row r="21" ht="14.25" customHeight="1">
      <c r="A21" s="4" t="s">
        <v>63</v>
      </c>
      <c r="B21" s="4" t="s">
        <v>64</v>
      </c>
      <c r="C21" s="5">
        <v>2383905.0</v>
      </c>
      <c r="D21" s="2">
        <v>5.310614307197644</v>
      </c>
      <c r="E21" s="2">
        <v>20.281848479700326</v>
      </c>
      <c r="F21" s="2">
        <v>3.880188178639669</v>
      </c>
      <c r="G21" s="2">
        <v>0.18457111336231938</v>
      </c>
      <c r="H21" s="2">
        <v>0.7844272317898574</v>
      </c>
      <c r="I21" s="2">
        <v>1.0780630939571838</v>
      </c>
      <c r="J21" s="2">
        <v>1.0612839018333364</v>
      </c>
      <c r="K21" s="2">
        <v>32.58099630648034</v>
      </c>
      <c r="L21" s="5">
        <f t="shared" si="1"/>
        <v>1266</v>
      </c>
      <c r="M21" s="5">
        <f t="shared" si="2"/>
        <v>4835</v>
      </c>
      <c r="N21" s="5">
        <f t="shared" si="3"/>
        <v>925</v>
      </c>
      <c r="O21" s="5">
        <f t="shared" si="4"/>
        <v>44</v>
      </c>
      <c r="P21" s="5">
        <f t="shared" si="5"/>
        <v>187</v>
      </c>
      <c r="Q21" s="5">
        <f t="shared" si="6"/>
        <v>257</v>
      </c>
      <c r="R21" s="5">
        <f t="shared" si="7"/>
        <v>253</v>
      </c>
      <c r="S21" s="5">
        <f t="shared" si="8"/>
        <v>7767</v>
      </c>
      <c r="T21" s="14">
        <f t="shared" si="9"/>
        <v>21156695.7</v>
      </c>
      <c r="U21" s="14">
        <f t="shared" si="10"/>
        <v>36427566.9</v>
      </c>
      <c r="V21" s="14">
        <f t="shared" si="11"/>
        <v>7600133</v>
      </c>
      <c r="W21" s="14">
        <f t="shared" si="12"/>
        <v>1085706.16</v>
      </c>
      <c r="X21" s="14">
        <f t="shared" si="13"/>
        <v>2081126.74</v>
      </c>
      <c r="Y21" s="14">
        <f t="shared" si="14"/>
        <v>1989508.96</v>
      </c>
      <c r="Z21" s="14">
        <f t="shared" si="15"/>
        <v>2144397.64</v>
      </c>
      <c r="AA21" s="14">
        <f t="shared" si="16"/>
        <v>72485135.1</v>
      </c>
      <c r="AB21" s="33">
        <f t="shared" si="17"/>
        <v>30.4060502</v>
      </c>
    </row>
    <row r="22" ht="14.25" customHeight="1">
      <c r="A22" s="4" t="s">
        <v>65</v>
      </c>
      <c r="B22" s="4" t="s">
        <v>66</v>
      </c>
      <c r="C22" s="5">
        <v>2631251.0</v>
      </c>
      <c r="D22" s="2">
        <v>0.9197146148353008</v>
      </c>
      <c r="E22" s="2">
        <v>5.111637012204461</v>
      </c>
      <c r="F22" s="2">
        <v>1.6304031808443968</v>
      </c>
      <c r="G22" s="2">
        <v>0.034204262535197136</v>
      </c>
      <c r="H22" s="2">
        <v>0.038004736150219036</v>
      </c>
      <c r="I22" s="2">
        <v>0.1938241543661171</v>
      </c>
      <c r="J22" s="2">
        <v>0.6726838298588771</v>
      </c>
      <c r="K22" s="2">
        <v>8.60047179079457</v>
      </c>
      <c r="L22" s="5">
        <f t="shared" si="1"/>
        <v>242</v>
      </c>
      <c r="M22" s="5">
        <f t="shared" si="2"/>
        <v>1345</v>
      </c>
      <c r="N22" s="5">
        <f t="shared" si="3"/>
        <v>429</v>
      </c>
      <c r="O22" s="5">
        <f t="shared" si="4"/>
        <v>9</v>
      </c>
      <c r="P22" s="5">
        <f t="shared" si="5"/>
        <v>10</v>
      </c>
      <c r="Q22" s="5">
        <f t="shared" si="6"/>
        <v>51</v>
      </c>
      <c r="R22" s="5">
        <f t="shared" si="7"/>
        <v>177</v>
      </c>
      <c r="S22" s="5">
        <f t="shared" si="8"/>
        <v>2263</v>
      </c>
      <c r="T22" s="14">
        <f t="shared" si="9"/>
        <v>4044170.9</v>
      </c>
      <c r="U22" s="14">
        <f t="shared" si="10"/>
        <v>10133418.3</v>
      </c>
      <c r="V22" s="14">
        <f t="shared" si="11"/>
        <v>3524818.44</v>
      </c>
      <c r="W22" s="14">
        <f t="shared" si="12"/>
        <v>222076.26</v>
      </c>
      <c r="X22" s="14">
        <f t="shared" si="13"/>
        <v>111290.2</v>
      </c>
      <c r="Y22" s="14">
        <f t="shared" si="14"/>
        <v>394805.28</v>
      </c>
      <c r="Z22" s="14">
        <f t="shared" si="15"/>
        <v>1500230.76</v>
      </c>
      <c r="AA22" s="14">
        <f t="shared" si="16"/>
        <v>19930810.14</v>
      </c>
      <c r="AB22" s="33">
        <f t="shared" si="17"/>
        <v>7.574651806</v>
      </c>
    </row>
    <row r="23" ht="14.25" customHeight="1">
      <c r="A23" s="4" t="s">
        <v>67</v>
      </c>
      <c r="B23" s="4" t="s">
        <v>68</v>
      </c>
      <c r="C23" s="5">
        <v>3.3062741E7</v>
      </c>
      <c r="D23" s="2">
        <v>2.7151408892565807</v>
      </c>
      <c r="E23" s="2">
        <v>34.11695358228164</v>
      </c>
      <c r="F23" s="2">
        <v>7.880774313297255</v>
      </c>
      <c r="G23" s="2">
        <v>0.07379908399004184</v>
      </c>
      <c r="H23" s="2">
        <v>1.7348833842904918</v>
      </c>
      <c r="I23" s="2">
        <v>0.8105801028414431</v>
      </c>
      <c r="J23" s="2">
        <v>1.132090046617732</v>
      </c>
      <c r="K23" s="2">
        <v>48.464221402575184</v>
      </c>
      <c r="L23" s="5">
        <f t="shared" si="1"/>
        <v>8977</v>
      </c>
      <c r="M23" s="5">
        <f t="shared" si="2"/>
        <v>112800</v>
      </c>
      <c r="N23" s="5">
        <f t="shared" si="3"/>
        <v>26056</v>
      </c>
      <c r="O23" s="5">
        <f t="shared" si="4"/>
        <v>244</v>
      </c>
      <c r="P23" s="5">
        <f t="shared" si="5"/>
        <v>5736</v>
      </c>
      <c r="Q23" s="5">
        <f t="shared" si="6"/>
        <v>2680</v>
      </c>
      <c r="R23" s="5">
        <f t="shared" si="7"/>
        <v>3743</v>
      </c>
      <c r="S23" s="5">
        <f t="shared" si="8"/>
        <v>160236</v>
      </c>
      <c r="T23" s="14">
        <f t="shared" si="9"/>
        <v>150018686.7</v>
      </c>
      <c r="U23" s="14">
        <f t="shared" si="10"/>
        <v>849850992</v>
      </c>
      <c r="V23" s="14">
        <f t="shared" si="11"/>
        <v>214085476.2</v>
      </c>
      <c r="W23" s="14">
        <f t="shared" si="12"/>
        <v>6020734.16</v>
      </c>
      <c r="X23" s="14">
        <f t="shared" si="13"/>
        <v>63836058.72</v>
      </c>
      <c r="Y23" s="14">
        <f t="shared" si="14"/>
        <v>20746630.4</v>
      </c>
      <c r="Z23" s="14">
        <f t="shared" si="15"/>
        <v>31725218.84</v>
      </c>
      <c r="AA23" s="14">
        <f t="shared" si="16"/>
        <v>1336283797</v>
      </c>
      <c r="AB23" s="33">
        <f t="shared" si="17"/>
        <v>40.41660662</v>
      </c>
    </row>
    <row r="24" ht="14.25" customHeight="1">
      <c r="A24" s="4" t="s">
        <v>69</v>
      </c>
      <c r="B24" s="4" t="s">
        <v>70</v>
      </c>
      <c r="C24" s="5">
        <v>1.4238716E7</v>
      </c>
      <c r="D24" s="2">
        <v>2.069006784038673</v>
      </c>
      <c r="E24" s="2">
        <v>3.5248964864528514</v>
      </c>
      <c r="F24" s="2">
        <v>0.6271632919709895</v>
      </c>
      <c r="G24" s="2">
        <v>0.027390110175664714</v>
      </c>
      <c r="H24" s="2">
        <v>0.17908918191780776</v>
      </c>
      <c r="I24" s="2">
        <v>0.12711820363577728</v>
      </c>
      <c r="J24" s="2">
        <v>0.2226324339919414</v>
      </c>
      <c r="K24" s="2">
        <v>6.777296492183705</v>
      </c>
      <c r="L24" s="5">
        <f t="shared" si="1"/>
        <v>2946</v>
      </c>
      <c r="M24" s="5">
        <f t="shared" si="2"/>
        <v>5019</v>
      </c>
      <c r="N24" s="5">
        <f t="shared" si="3"/>
        <v>893</v>
      </c>
      <c r="O24" s="5">
        <f t="shared" si="4"/>
        <v>39</v>
      </c>
      <c r="P24" s="5">
        <f t="shared" si="5"/>
        <v>255</v>
      </c>
      <c r="Q24" s="5">
        <f t="shared" si="6"/>
        <v>181</v>
      </c>
      <c r="R24" s="5">
        <f t="shared" si="7"/>
        <v>317</v>
      </c>
      <c r="S24" s="5">
        <f t="shared" si="8"/>
        <v>9650</v>
      </c>
      <c r="T24" s="14">
        <f t="shared" si="9"/>
        <v>49231931.7</v>
      </c>
      <c r="U24" s="14">
        <f t="shared" si="10"/>
        <v>37813848.66</v>
      </c>
      <c r="V24" s="14">
        <f t="shared" si="11"/>
        <v>7337209.48</v>
      </c>
      <c r="W24" s="14">
        <f t="shared" si="12"/>
        <v>962330.46</v>
      </c>
      <c r="X24" s="14">
        <f t="shared" si="13"/>
        <v>2837900.1</v>
      </c>
      <c r="Y24" s="14">
        <f t="shared" si="14"/>
        <v>1401171.68</v>
      </c>
      <c r="Z24" s="14">
        <f t="shared" si="15"/>
        <v>2686853.96</v>
      </c>
      <c r="AA24" s="14">
        <f t="shared" si="16"/>
        <v>102271246</v>
      </c>
      <c r="AB24" s="33">
        <f t="shared" si="17"/>
        <v>7.182617171</v>
      </c>
    </row>
    <row r="25" ht="14.25" customHeight="1">
      <c r="A25" s="4" t="s">
        <v>71</v>
      </c>
      <c r="B25" s="4" t="s">
        <v>72</v>
      </c>
      <c r="C25" s="5">
        <v>2111612.0</v>
      </c>
      <c r="D25" s="2">
        <v>2.514666520175108</v>
      </c>
      <c r="E25" s="2">
        <v>8.912622205215731</v>
      </c>
      <c r="F25" s="2">
        <v>0.9613508542289019</v>
      </c>
      <c r="G25" s="2">
        <v>0.09945008836850709</v>
      </c>
      <c r="H25" s="2">
        <v>0.009471436987476866</v>
      </c>
      <c r="I25" s="2">
        <v>0.004735718493738433</v>
      </c>
      <c r="J25" s="2">
        <v>0.809807862429272</v>
      </c>
      <c r="K25" s="2">
        <v>13.312104685898735</v>
      </c>
      <c r="L25" s="5">
        <f t="shared" si="1"/>
        <v>531</v>
      </c>
      <c r="M25" s="5">
        <f t="shared" si="2"/>
        <v>1882</v>
      </c>
      <c r="N25" s="5">
        <f t="shared" si="3"/>
        <v>203</v>
      </c>
      <c r="O25" s="5">
        <f t="shared" si="4"/>
        <v>21</v>
      </c>
      <c r="P25" s="5">
        <f t="shared" si="5"/>
        <v>2</v>
      </c>
      <c r="Q25" s="5">
        <f t="shared" si="6"/>
        <v>1</v>
      </c>
      <c r="R25" s="5">
        <f t="shared" si="7"/>
        <v>171</v>
      </c>
      <c r="S25" s="5">
        <f t="shared" si="8"/>
        <v>2811</v>
      </c>
      <c r="T25" s="14">
        <f t="shared" si="9"/>
        <v>8873779.95</v>
      </c>
      <c r="U25" s="14">
        <f t="shared" si="10"/>
        <v>14179251.48</v>
      </c>
      <c r="V25" s="14">
        <f t="shared" si="11"/>
        <v>1667921.08</v>
      </c>
      <c r="W25" s="14">
        <f t="shared" si="12"/>
        <v>518177.94</v>
      </c>
      <c r="X25" s="14">
        <f t="shared" si="13"/>
        <v>22258.04</v>
      </c>
      <c r="Y25" s="14">
        <f t="shared" si="14"/>
        <v>7741.28</v>
      </c>
      <c r="Z25" s="14">
        <f t="shared" si="15"/>
        <v>1449375.48</v>
      </c>
      <c r="AA25" s="14">
        <f t="shared" si="16"/>
        <v>26718505.25</v>
      </c>
      <c r="AB25" s="33">
        <f t="shared" si="17"/>
        <v>12.65313194</v>
      </c>
    </row>
    <row r="26" ht="14.25" customHeight="1">
      <c r="A26" s="4" t="s">
        <v>73</v>
      </c>
      <c r="B26" s="4" t="s">
        <v>74</v>
      </c>
      <c r="C26" s="5">
        <v>5.745889E7</v>
      </c>
      <c r="D26" s="2">
        <v>2.7835553384341396</v>
      </c>
      <c r="E26" s="2">
        <v>21.84152878692923</v>
      </c>
      <c r="F26" s="2">
        <v>0.048208379939118216</v>
      </c>
      <c r="G26" s="2">
        <v>0.23390636331471074</v>
      </c>
      <c r="H26" s="2">
        <v>0.20640844262741587</v>
      </c>
      <c r="I26" s="2">
        <v>1.7403747270439789</v>
      </c>
      <c r="J26" s="2">
        <v>0.14549532718087663</v>
      </c>
      <c r="K26" s="2">
        <v>26.999477365469474</v>
      </c>
      <c r="L26" s="5">
        <f t="shared" si="1"/>
        <v>15994</v>
      </c>
      <c r="M26" s="5">
        <f t="shared" si="2"/>
        <v>125499</v>
      </c>
      <c r="N26" s="5">
        <f t="shared" si="3"/>
        <v>277</v>
      </c>
      <c r="O26" s="5">
        <f t="shared" si="4"/>
        <v>1344</v>
      </c>
      <c r="P26" s="5">
        <f t="shared" si="5"/>
        <v>1186</v>
      </c>
      <c r="Q26" s="5">
        <f t="shared" si="6"/>
        <v>10000</v>
      </c>
      <c r="R26" s="5">
        <f t="shared" si="7"/>
        <v>836</v>
      </c>
      <c r="S26" s="5">
        <f t="shared" si="8"/>
        <v>155136</v>
      </c>
      <c r="T26" s="14">
        <f t="shared" si="9"/>
        <v>267282931.3</v>
      </c>
      <c r="U26" s="14">
        <f t="shared" si="10"/>
        <v>945527035.9</v>
      </c>
      <c r="V26" s="14">
        <f t="shared" si="11"/>
        <v>2275931.72</v>
      </c>
      <c r="W26" s="14">
        <f t="shared" si="12"/>
        <v>33163388.16</v>
      </c>
      <c r="X26" s="14">
        <f t="shared" si="13"/>
        <v>13199017.72</v>
      </c>
      <c r="Y26" s="14">
        <f t="shared" si="14"/>
        <v>77412800</v>
      </c>
      <c r="Z26" s="14">
        <f t="shared" si="15"/>
        <v>7085835.68</v>
      </c>
      <c r="AA26" s="14">
        <f t="shared" si="16"/>
        <v>1345946940</v>
      </c>
      <c r="AB26" s="33">
        <f t="shared" si="17"/>
        <v>23.42452039</v>
      </c>
    </row>
    <row r="27" ht="14.25" customHeight="1">
      <c r="A27" s="4" t="s">
        <v>75</v>
      </c>
      <c r="B27" s="4" t="s">
        <v>76</v>
      </c>
      <c r="C27" s="5">
        <v>2192400.0</v>
      </c>
      <c r="D27" s="2">
        <v>2.449370552818829</v>
      </c>
      <c r="E27" s="2">
        <v>5.63309615033753</v>
      </c>
      <c r="F27" s="2">
        <v>12.675606641123881</v>
      </c>
      <c r="G27" s="2">
        <v>0.3831417624521073</v>
      </c>
      <c r="H27" s="2">
        <v>1.1722313446451378</v>
      </c>
      <c r="I27" s="2">
        <v>1.897463966429484</v>
      </c>
      <c r="J27" s="2">
        <v>1.2452107279693487</v>
      </c>
      <c r="K27" s="2">
        <v>25.45612114577632</v>
      </c>
      <c r="L27" s="5">
        <f t="shared" si="1"/>
        <v>537</v>
      </c>
      <c r="M27" s="5">
        <f t="shared" si="2"/>
        <v>1235</v>
      </c>
      <c r="N27" s="5">
        <f t="shared" si="3"/>
        <v>2779</v>
      </c>
      <c r="O27" s="5">
        <f t="shared" si="4"/>
        <v>84</v>
      </c>
      <c r="P27" s="5">
        <f t="shared" si="5"/>
        <v>257</v>
      </c>
      <c r="Q27" s="5">
        <f t="shared" si="6"/>
        <v>416</v>
      </c>
      <c r="R27" s="5">
        <f t="shared" si="7"/>
        <v>273</v>
      </c>
      <c r="S27" s="5">
        <f t="shared" si="8"/>
        <v>5581</v>
      </c>
      <c r="T27" s="14">
        <f t="shared" si="9"/>
        <v>8974048.65</v>
      </c>
      <c r="U27" s="14">
        <f t="shared" si="10"/>
        <v>9304662.9</v>
      </c>
      <c r="V27" s="14">
        <f t="shared" si="11"/>
        <v>22833264.44</v>
      </c>
      <c r="W27" s="14">
        <f t="shared" si="12"/>
        <v>2072711.76</v>
      </c>
      <c r="X27" s="14">
        <f t="shared" si="13"/>
        <v>2860158.14</v>
      </c>
      <c r="Y27" s="14">
        <f t="shared" si="14"/>
        <v>3220372.48</v>
      </c>
      <c r="Z27" s="14">
        <f t="shared" si="15"/>
        <v>2313915.24</v>
      </c>
      <c r="AA27" s="14">
        <f t="shared" si="16"/>
        <v>51579133.61</v>
      </c>
      <c r="AB27" s="33">
        <f t="shared" si="17"/>
        <v>23.52633352</v>
      </c>
    </row>
    <row r="28" ht="14.25" customHeight="1">
      <c r="A28" s="4" t="s">
        <v>77</v>
      </c>
      <c r="B28" s="4" t="s">
        <v>78</v>
      </c>
      <c r="C28" s="5">
        <v>5432272.0</v>
      </c>
      <c r="D28" s="2">
        <v>1.7561712668290541</v>
      </c>
      <c r="E28" s="2">
        <v>8.143922101102449</v>
      </c>
      <c r="F28" s="2">
        <v>1.8206010302871434</v>
      </c>
      <c r="G28" s="2">
        <v>0.014726803076134626</v>
      </c>
      <c r="H28" s="2">
        <v>0.3129445653678608</v>
      </c>
      <c r="I28" s="2">
        <v>0.21169779421943524</v>
      </c>
      <c r="J28" s="2">
        <v>0.0</v>
      </c>
      <c r="K28" s="2">
        <v>12.26006356088208</v>
      </c>
      <c r="L28" s="5">
        <f t="shared" si="1"/>
        <v>954</v>
      </c>
      <c r="M28" s="5">
        <f t="shared" si="2"/>
        <v>4424</v>
      </c>
      <c r="N28" s="5">
        <f t="shared" si="3"/>
        <v>989</v>
      </c>
      <c r="O28" s="5">
        <f t="shared" si="4"/>
        <v>8</v>
      </c>
      <c r="P28" s="5">
        <f t="shared" si="5"/>
        <v>170</v>
      </c>
      <c r="Q28" s="5">
        <f t="shared" si="6"/>
        <v>115</v>
      </c>
      <c r="R28" s="5">
        <f t="shared" si="7"/>
        <v>0</v>
      </c>
      <c r="S28" s="5">
        <f t="shared" si="8"/>
        <v>6660</v>
      </c>
      <c r="T28" s="14">
        <f t="shared" si="9"/>
        <v>15942723.3</v>
      </c>
      <c r="U28" s="14">
        <f t="shared" si="10"/>
        <v>33331035.36</v>
      </c>
      <c r="V28" s="14">
        <f t="shared" si="11"/>
        <v>8125980.04</v>
      </c>
      <c r="W28" s="14">
        <f t="shared" si="12"/>
        <v>197401.12</v>
      </c>
      <c r="X28" s="14">
        <f t="shared" si="13"/>
        <v>1891933.4</v>
      </c>
      <c r="Y28" s="14">
        <f t="shared" si="14"/>
        <v>890247.2</v>
      </c>
      <c r="Z28" s="14">
        <f t="shared" si="15"/>
        <v>0</v>
      </c>
      <c r="AA28" s="14">
        <f t="shared" si="16"/>
        <v>60379320.42</v>
      </c>
      <c r="AB28" s="33">
        <f t="shared" si="17"/>
        <v>11.11492952</v>
      </c>
    </row>
    <row r="29" ht="14.25" customHeight="1">
      <c r="A29" s="4" t="s">
        <v>79</v>
      </c>
      <c r="B29" s="4" t="s">
        <v>80</v>
      </c>
      <c r="C29" s="5">
        <v>2.9942591E7</v>
      </c>
      <c r="D29" s="2">
        <v>1.746675830424962</v>
      </c>
      <c r="E29" s="2">
        <v>1.5229142995674625</v>
      </c>
      <c r="F29" s="2">
        <v>1.3338859018579923</v>
      </c>
      <c r="G29" s="2">
        <v>0.08382708096303355</v>
      </c>
      <c r="H29" s="2">
        <v>0.010019173023470147</v>
      </c>
      <c r="I29" s="2">
        <v>0.1021955648393955</v>
      </c>
      <c r="J29" s="2">
        <v>0.1021955648393955</v>
      </c>
      <c r="K29" s="2">
        <v>4.9017134155157125</v>
      </c>
      <c r="L29" s="5">
        <f t="shared" si="1"/>
        <v>5230</v>
      </c>
      <c r="M29" s="5">
        <f t="shared" si="2"/>
        <v>4560</v>
      </c>
      <c r="N29" s="5">
        <f t="shared" si="3"/>
        <v>3994</v>
      </c>
      <c r="O29" s="5">
        <f t="shared" si="4"/>
        <v>251</v>
      </c>
      <c r="P29" s="5">
        <f t="shared" si="5"/>
        <v>30</v>
      </c>
      <c r="Q29" s="5">
        <f t="shared" si="6"/>
        <v>306</v>
      </c>
      <c r="R29" s="5">
        <f t="shared" si="7"/>
        <v>306</v>
      </c>
      <c r="S29" s="5">
        <f t="shared" si="8"/>
        <v>14677</v>
      </c>
      <c r="T29" s="14">
        <f t="shared" si="9"/>
        <v>87400883.5</v>
      </c>
      <c r="U29" s="14">
        <f t="shared" si="10"/>
        <v>34355678.4</v>
      </c>
      <c r="V29" s="14">
        <f t="shared" si="11"/>
        <v>32816141.84</v>
      </c>
      <c r="W29" s="14">
        <f t="shared" si="12"/>
        <v>6193460.14</v>
      </c>
      <c r="X29" s="14">
        <f t="shared" si="13"/>
        <v>333870.6</v>
      </c>
      <c r="Y29" s="14">
        <f t="shared" si="14"/>
        <v>2368831.68</v>
      </c>
      <c r="Z29" s="14">
        <f t="shared" si="15"/>
        <v>2593619.28</v>
      </c>
      <c r="AA29" s="14">
        <f t="shared" si="16"/>
        <v>166062485.4</v>
      </c>
      <c r="AB29" s="33">
        <f t="shared" si="17"/>
        <v>5.546029248</v>
      </c>
    </row>
    <row r="30" ht="14.25" customHeight="1">
      <c r="A30" s="4" t="s">
        <v>81</v>
      </c>
      <c r="B30" s="4" t="s">
        <v>82</v>
      </c>
      <c r="C30" s="5">
        <v>2.0728157E7</v>
      </c>
      <c r="D30" s="2">
        <v>0.5379156477828685</v>
      </c>
      <c r="E30" s="2">
        <v>4.73703474939909</v>
      </c>
      <c r="F30" s="2">
        <v>0.29718030406658924</v>
      </c>
      <c r="G30" s="2">
        <v>0.04872599141351544</v>
      </c>
      <c r="H30" s="2">
        <v>0.05933957370160792</v>
      </c>
      <c r="I30" s="2">
        <v>0.0434192002694692</v>
      </c>
      <c r="J30" s="2">
        <v>0.10082903173687849</v>
      </c>
      <c r="K30" s="2">
        <v>5.824444498370018</v>
      </c>
      <c r="L30" s="5">
        <f t="shared" si="1"/>
        <v>1115</v>
      </c>
      <c r="M30" s="5">
        <f t="shared" si="2"/>
        <v>9819</v>
      </c>
      <c r="N30" s="5">
        <f t="shared" si="3"/>
        <v>616</v>
      </c>
      <c r="O30" s="5">
        <f t="shared" si="4"/>
        <v>101</v>
      </c>
      <c r="P30" s="5">
        <f t="shared" si="5"/>
        <v>123</v>
      </c>
      <c r="Q30" s="5">
        <f t="shared" si="6"/>
        <v>90</v>
      </c>
      <c r="R30" s="5">
        <f t="shared" si="7"/>
        <v>209</v>
      </c>
      <c r="S30" s="5">
        <f t="shared" si="8"/>
        <v>12073</v>
      </c>
      <c r="T30" s="14">
        <f t="shared" si="9"/>
        <v>18633266.75</v>
      </c>
      <c r="U30" s="14">
        <f t="shared" si="10"/>
        <v>73977720.66</v>
      </c>
      <c r="V30" s="14">
        <f t="shared" si="11"/>
        <v>5061277.76</v>
      </c>
      <c r="W30" s="14">
        <f t="shared" si="12"/>
        <v>2492189.14</v>
      </c>
      <c r="X30" s="14">
        <f t="shared" si="13"/>
        <v>1368869.46</v>
      </c>
      <c r="Y30" s="14">
        <f t="shared" si="14"/>
        <v>696715.2</v>
      </c>
      <c r="Z30" s="14">
        <f t="shared" si="15"/>
        <v>1771458.92</v>
      </c>
      <c r="AA30" s="14">
        <f t="shared" si="16"/>
        <v>104001497.9</v>
      </c>
      <c r="AB30" s="33">
        <f t="shared" si="17"/>
        <v>5.017402072</v>
      </c>
    </row>
    <row r="31" ht="14.25" customHeight="1">
      <c r="A31" s="4" t="s">
        <v>83</v>
      </c>
      <c r="B31" s="4" t="s">
        <v>84</v>
      </c>
      <c r="C31" s="5">
        <v>2.2105727E7</v>
      </c>
      <c r="D31" s="2">
        <v>2.015767226293892</v>
      </c>
      <c r="E31" s="2">
        <v>2.8811538295030967</v>
      </c>
      <c r="F31" s="2">
        <v>1.475635702910834</v>
      </c>
      <c r="G31" s="2">
        <v>0.013571143803594426</v>
      </c>
      <c r="H31" s="2">
        <v>0.7785312828662003</v>
      </c>
      <c r="I31" s="2">
        <v>0.676747704339242</v>
      </c>
      <c r="J31" s="2">
        <v>0.0</v>
      </c>
      <c r="K31" s="2">
        <v>7.841406889716859</v>
      </c>
      <c r="L31" s="5">
        <f t="shared" si="1"/>
        <v>4456</v>
      </c>
      <c r="M31" s="5">
        <f t="shared" si="2"/>
        <v>6369</v>
      </c>
      <c r="N31" s="5">
        <f t="shared" si="3"/>
        <v>3262</v>
      </c>
      <c r="O31" s="5">
        <f t="shared" si="4"/>
        <v>30</v>
      </c>
      <c r="P31" s="5">
        <f t="shared" si="5"/>
        <v>1721</v>
      </c>
      <c r="Q31" s="5">
        <f t="shared" si="6"/>
        <v>1496</v>
      </c>
      <c r="R31" s="5">
        <f t="shared" si="7"/>
        <v>0</v>
      </c>
      <c r="S31" s="5">
        <f t="shared" si="8"/>
        <v>17334</v>
      </c>
      <c r="T31" s="14">
        <f t="shared" si="9"/>
        <v>74466221.2</v>
      </c>
      <c r="U31" s="14">
        <f t="shared" si="10"/>
        <v>47984937.66</v>
      </c>
      <c r="V31" s="14">
        <f t="shared" si="11"/>
        <v>26801766.32</v>
      </c>
      <c r="W31" s="14">
        <f t="shared" si="12"/>
        <v>740254.2</v>
      </c>
      <c r="X31" s="14">
        <f t="shared" si="13"/>
        <v>19153043.42</v>
      </c>
      <c r="Y31" s="14">
        <f t="shared" si="14"/>
        <v>11580954.88</v>
      </c>
      <c r="Z31" s="14">
        <f t="shared" si="15"/>
        <v>0</v>
      </c>
      <c r="AA31" s="14">
        <f t="shared" si="16"/>
        <v>180727177.7</v>
      </c>
      <c r="AB31" s="33">
        <f t="shared" si="17"/>
        <v>8.175581725</v>
      </c>
    </row>
    <row r="32" ht="14.25" customHeight="1">
      <c r="A32" s="4" t="s">
        <v>85</v>
      </c>
      <c r="B32" s="4" t="s">
        <v>86</v>
      </c>
      <c r="C32" s="5">
        <v>5030233.0</v>
      </c>
      <c r="D32" s="2">
        <v>2.5306978821855766</v>
      </c>
      <c r="E32" s="2">
        <v>12.927830579617286</v>
      </c>
      <c r="F32" s="2">
        <v>2.665880487047022</v>
      </c>
      <c r="G32" s="2">
        <v>0.2962089430052246</v>
      </c>
      <c r="H32" s="2">
        <v>0.19283400987588448</v>
      </c>
      <c r="I32" s="2">
        <v>0.6480813115416323</v>
      </c>
      <c r="J32" s="2">
        <v>0.01789181534930887</v>
      </c>
      <c r="K32" s="2">
        <v>19.279425028621933</v>
      </c>
      <c r="L32" s="5">
        <f t="shared" si="1"/>
        <v>1273</v>
      </c>
      <c r="M32" s="5">
        <f t="shared" si="2"/>
        <v>6503</v>
      </c>
      <c r="N32" s="5">
        <f t="shared" si="3"/>
        <v>1341</v>
      </c>
      <c r="O32" s="5">
        <f t="shared" si="4"/>
        <v>149</v>
      </c>
      <c r="P32" s="5">
        <f t="shared" si="5"/>
        <v>97</v>
      </c>
      <c r="Q32" s="5">
        <f t="shared" si="6"/>
        <v>326</v>
      </c>
      <c r="R32" s="5">
        <f t="shared" si="7"/>
        <v>9</v>
      </c>
      <c r="S32" s="5">
        <f t="shared" si="8"/>
        <v>9698</v>
      </c>
      <c r="T32" s="14">
        <f t="shared" si="9"/>
        <v>21273675.85</v>
      </c>
      <c r="U32" s="14">
        <f t="shared" si="10"/>
        <v>48994512.42</v>
      </c>
      <c r="V32" s="14">
        <f t="shared" si="11"/>
        <v>11018138.76</v>
      </c>
      <c r="W32" s="14">
        <f t="shared" si="12"/>
        <v>3676595.86</v>
      </c>
      <c r="X32" s="14">
        <f t="shared" si="13"/>
        <v>1079514.94</v>
      </c>
      <c r="Y32" s="14">
        <f t="shared" si="14"/>
        <v>2523657.28</v>
      </c>
      <c r="Z32" s="14">
        <f t="shared" si="15"/>
        <v>76282.92</v>
      </c>
      <c r="AA32" s="14">
        <f t="shared" si="16"/>
        <v>88642378.03</v>
      </c>
      <c r="AB32" s="33">
        <f t="shared" si="17"/>
        <v>17.62192289</v>
      </c>
    </row>
    <row r="33" ht="14.25" customHeight="1">
      <c r="A33" s="4" t="s">
        <v>87</v>
      </c>
      <c r="B33" s="4" t="s">
        <v>88</v>
      </c>
      <c r="C33" s="5">
        <v>1275657.0</v>
      </c>
      <c r="D33" s="2">
        <v>14.369066292898482</v>
      </c>
      <c r="E33" s="2">
        <v>36.05201084617573</v>
      </c>
      <c r="F33" s="2">
        <v>4.44476846048742</v>
      </c>
      <c r="G33" s="2">
        <v>3.245386494959068</v>
      </c>
      <c r="H33" s="2">
        <v>0.3214030103703425</v>
      </c>
      <c r="I33" s="2">
        <v>2.492833104823632</v>
      </c>
      <c r="J33" s="2">
        <v>2.0695218228724492</v>
      </c>
      <c r="K33" s="2">
        <v>62.994990032587125</v>
      </c>
      <c r="L33" s="5">
        <f t="shared" si="1"/>
        <v>1833</v>
      </c>
      <c r="M33" s="5">
        <f t="shared" si="2"/>
        <v>4599</v>
      </c>
      <c r="N33" s="5">
        <f t="shared" si="3"/>
        <v>567</v>
      </c>
      <c r="O33" s="5">
        <f t="shared" si="4"/>
        <v>414</v>
      </c>
      <c r="P33" s="5">
        <f t="shared" si="5"/>
        <v>41</v>
      </c>
      <c r="Q33" s="5">
        <f t="shared" si="6"/>
        <v>318</v>
      </c>
      <c r="R33" s="5">
        <f t="shared" si="7"/>
        <v>264</v>
      </c>
      <c r="S33" s="5">
        <f t="shared" si="8"/>
        <v>8036</v>
      </c>
      <c r="T33" s="14">
        <f t="shared" si="9"/>
        <v>30632087.85</v>
      </c>
      <c r="U33" s="14">
        <f t="shared" si="10"/>
        <v>34649509.86</v>
      </c>
      <c r="V33" s="14">
        <f t="shared" si="11"/>
        <v>4658676.12</v>
      </c>
      <c r="W33" s="14">
        <f t="shared" si="12"/>
        <v>10215507.96</v>
      </c>
      <c r="X33" s="14">
        <f t="shared" si="13"/>
        <v>456289.82</v>
      </c>
      <c r="Y33" s="14">
        <f t="shared" si="14"/>
        <v>2461727.04</v>
      </c>
      <c r="Z33" s="14">
        <f t="shared" si="15"/>
        <v>2237632.32</v>
      </c>
      <c r="AA33" s="14">
        <f t="shared" si="16"/>
        <v>85311430.97</v>
      </c>
      <c r="AB33" s="33">
        <f t="shared" si="17"/>
        <v>66.8764652</v>
      </c>
    </row>
    <row r="34" ht="14.25" customHeight="1">
      <c r="A34" s="4" t="s">
        <v>89</v>
      </c>
      <c r="B34" s="4" t="s">
        <v>90</v>
      </c>
      <c r="C34" s="5">
        <v>3.4034812E7</v>
      </c>
      <c r="D34" s="2">
        <v>1.6803383547410222</v>
      </c>
      <c r="E34" s="2">
        <v>5.044247049168363</v>
      </c>
      <c r="F34" s="2">
        <v>3.9151090360070158</v>
      </c>
      <c r="G34" s="2">
        <v>0.10753695363441408</v>
      </c>
      <c r="H34" s="2">
        <v>0.1474960402308084</v>
      </c>
      <c r="I34" s="2">
        <v>0.09490283066643647</v>
      </c>
      <c r="J34" s="2">
        <v>0.6319999652120893</v>
      </c>
      <c r="K34" s="2">
        <v>11.621630229660148</v>
      </c>
      <c r="L34" s="5">
        <f t="shared" si="1"/>
        <v>5719</v>
      </c>
      <c r="M34" s="5">
        <f t="shared" si="2"/>
        <v>17168</v>
      </c>
      <c r="N34" s="5">
        <f t="shared" si="3"/>
        <v>13325</v>
      </c>
      <c r="O34" s="5">
        <f t="shared" si="4"/>
        <v>366</v>
      </c>
      <c r="P34" s="5">
        <f t="shared" si="5"/>
        <v>502</v>
      </c>
      <c r="Q34" s="5">
        <f t="shared" si="6"/>
        <v>323</v>
      </c>
      <c r="R34" s="5">
        <f t="shared" si="7"/>
        <v>2151</v>
      </c>
      <c r="S34" s="5">
        <f t="shared" si="8"/>
        <v>39554</v>
      </c>
      <c r="T34" s="14">
        <f t="shared" si="9"/>
        <v>95572782.55</v>
      </c>
      <c r="U34" s="14">
        <f t="shared" si="10"/>
        <v>129346115.5</v>
      </c>
      <c r="V34" s="14">
        <f t="shared" si="11"/>
        <v>109482997</v>
      </c>
      <c r="W34" s="14">
        <f t="shared" si="12"/>
        <v>9031101.24</v>
      </c>
      <c r="X34" s="14">
        <f t="shared" si="13"/>
        <v>5586768.04</v>
      </c>
      <c r="Y34" s="14">
        <f t="shared" si="14"/>
        <v>2500433.44</v>
      </c>
      <c r="Z34" s="14">
        <f t="shared" si="15"/>
        <v>18231617.88</v>
      </c>
      <c r="AA34" s="14">
        <f t="shared" si="16"/>
        <v>369751815.7</v>
      </c>
      <c r="AB34" s="33">
        <f t="shared" si="17"/>
        <v>10.86393002</v>
      </c>
    </row>
    <row r="35" ht="14.25" customHeight="1">
      <c r="A35" s="4" t="s">
        <v>91</v>
      </c>
      <c r="B35" s="4" t="s">
        <v>92</v>
      </c>
      <c r="C35" s="5">
        <v>2680497.0</v>
      </c>
      <c r="D35" s="2">
        <v>5.957850353870942</v>
      </c>
      <c r="E35" s="2">
        <v>58.041475144348226</v>
      </c>
      <c r="F35" s="2">
        <v>0.026114560098369814</v>
      </c>
      <c r="G35" s="2">
        <v>0.835665923147834</v>
      </c>
      <c r="H35" s="2">
        <v>2.44357669491889</v>
      </c>
      <c r="I35" s="2">
        <v>0.3618731899345532</v>
      </c>
      <c r="J35" s="2">
        <v>3.9731437863948367</v>
      </c>
      <c r="K35" s="2">
        <v>71.63969965271365</v>
      </c>
      <c r="L35" s="5">
        <f t="shared" si="1"/>
        <v>1597</v>
      </c>
      <c r="M35" s="5">
        <f t="shared" si="2"/>
        <v>15558</v>
      </c>
      <c r="N35" s="5">
        <f t="shared" si="3"/>
        <v>7</v>
      </c>
      <c r="O35" s="5">
        <f t="shared" si="4"/>
        <v>224</v>
      </c>
      <c r="P35" s="5">
        <f t="shared" si="5"/>
        <v>655</v>
      </c>
      <c r="Q35" s="5">
        <f t="shared" si="6"/>
        <v>97</v>
      </c>
      <c r="R35" s="5">
        <f t="shared" si="7"/>
        <v>1065</v>
      </c>
      <c r="S35" s="5">
        <f t="shared" si="8"/>
        <v>19203</v>
      </c>
      <c r="T35" s="14">
        <f t="shared" si="9"/>
        <v>26688185.65</v>
      </c>
      <c r="U35" s="14">
        <f t="shared" si="10"/>
        <v>117216150.1</v>
      </c>
      <c r="V35" s="14">
        <f t="shared" si="11"/>
        <v>57514.52</v>
      </c>
      <c r="W35" s="14">
        <f t="shared" si="12"/>
        <v>5527231.36</v>
      </c>
      <c r="X35" s="14">
        <f t="shared" si="13"/>
        <v>7289508.1</v>
      </c>
      <c r="Y35" s="14">
        <f t="shared" si="14"/>
        <v>750904.16</v>
      </c>
      <c r="Z35" s="14">
        <f t="shared" si="15"/>
        <v>9026812.2</v>
      </c>
      <c r="AA35" s="14">
        <f t="shared" si="16"/>
        <v>166556306.1</v>
      </c>
      <c r="AB35" s="33">
        <f t="shared" si="17"/>
        <v>62.13635237</v>
      </c>
    </row>
    <row r="36" ht="14.25" customHeight="1">
      <c r="A36" s="4" t="s">
        <v>93</v>
      </c>
      <c r="B36" s="4" t="s">
        <v>94</v>
      </c>
      <c r="C36" s="5">
        <v>2.706623E7</v>
      </c>
      <c r="D36" s="2">
        <v>0.3672473041129112</v>
      </c>
      <c r="E36" s="2">
        <v>3.4278878144462674</v>
      </c>
      <c r="F36" s="2">
        <v>0.6362171606463108</v>
      </c>
      <c r="G36" s="2">
        <v>0.010344994482053836</v>
      </c>
      <c r="H36" s="2">
        <v>0.02068998896410767</v>
      </c>
      <c r="I36" s="2">
        <v>0.15960848629454488</v>
      </c>
      <c r="J36" s="2">
        <v>0.23978219353046215</v>
      </c>
      <c r="K36" s="2">
        <v>4.861777942476658</v>
      </c>
      <c r="L36" s="5">
        <f t="shared" si="1"/>
        <v>994</v>
      </c>
      <c r="M36" s="5">
        <f t="shared" si="2"/>
        <v>9278</v>
      </c>
      <c r="N36" s="5">
        <f t="shared" si="3"/>
        <v>1722</v>
      </c>
      <c r="O36" s="5">
        <f t="shared" si="4"/>
        <v>28</v>
      </c>
      <c r="P36" s="5">
        <f t="shared" si="5"/>
        <v>56</v>
      </c>
      <c r="Q36" s="5">
        <f t="shared" si="6"/>
        <v>432</v>
      </c>
      <c r="R36" s="5">
        <f t="shared" si="7"/>
        <v>649</v>
      </c>
      <c r="S36" s="5">
        <f t="shared" si="8"/>
        <v>13159</v>
      </c>
      <c r="T36" s="14">
        <f t="shared" si="9"/>
        <v>16611181.3</v>
      </c>
      <c r="U36" s="14">
        <f t="shared" si="10"/>
        <v>69901750.92</v>
      </c>
      <c r="V36" s="14">
        <f t="shared" si="11"/>
        <v>14148571.92</v>
      </c>
      <c r="W36" s="14">
        <f t="shared" si="12"/>
        <v>690903.92</v>
      </c>
      <c r="X36" s="14">
        <f t="shared" si="13"/>
        <v>623225.12</v>
      </c>
      <c r="Y36" s="14">
        <f t="shared" si="14"/>
        <v>3344232.96</v>
      </c>
      <c r="Z36" s="14">
        <f t="shared" si="15"/>
        <v>5500846.12</v>
      </c>
      <c r="AA36" s="14">
        <f t="shared" si="16"/>
        <v>110820712.3</v>
      </c>
      <c r="AB36" s="33">
        <f t="shared" si="17"/>
        <v>4.094427346</v>
      </c>
    </row>
    <row r="37" ht="14.25" customHeight="1">
      <c r="A37" s="4" t="s">
        <v>95</v>
      </c>
      <c r="B37" s="4" t="s">
        <v>96</v>
      </c>
      <c r="C37" s="5">
        <v>2.221824E8</v>
      </c>
      <c r="D37" s="2">
        <v>3.8995888063140915</v>
      </c>
      <c r="E37" s="2">
        <v>9.932424890540384</v>
      </c>
      <c r="F37" s="2">
        <v>6.606598902523332</v>
      </c>
      <c r="G37" s="2">
        <v>0.22720071436801473</v>
      </c>
      <c r="H37" s="2">
        <v>0.8226124121442562</v>
      </c>
      <c r="I37" s="2">
        <v>1.657782074547759</v>
      </c>
      <c r="J37" s="2">
        <v>1.74235222951953</v>
      </c>
      <c r="K37" s="2">
        <v>24.88856002995736</v>
      </c>
      <c r="L37" s="5">
        <f t="shared" si="1"/>
        <v>86642</v>
      </c>
      <c r="M37" s="5">
        <f t="shared" si="2"/>
        <v>220681</v>
      </c>
      <c r="N37" s="5">
        <f t="shared" si="3"/>
        <v>146787</v>
      </c>
      <c r="O37" s="5">
        <f t="shared" si="4"/>
        <v>5048</v>
      </c>
      <c r="P37" s="5">
        <f t="shared" si="5"/>
        <v>18277</v>
      </c>
      <c r="Q37" s="5">
        <f t="shared" si="6"/>
        <v>36833</v>
      </c>
      <c r="R37" s="5">
        <f t="shared" si="7"/>
        <v>38712</v>
      </c>
      <c r="S37" s="5">
        <f t="shared" si="8"/>
        <v>552980</v>
      </c>
      <c r="T37" s="14">
        <f t="shared" si="9"/>
        <v>1447913451</v>
      </c>
      <c r="U37" s="14">
        <f t="shared" si="10"/>
        <v>1662641549</v>
      </c>
      <c r="V37" s="14">
        <f t="shared" si="11"/>
        <v>1206054835</v>
      </c>
      <c r="W37" s="14">
        <f t="shared" si="12"/>
        <v>124560106.7</v>
      </c>
      <c r="X37" s="14">
        <f t="shared" si="13"/>
        <v>203405098.5</v>
      </c>
      <c r="Y37" s="14">
        <f t="shared" si="14"/>
        <v>285134566.2</v>
      </c>
      <c r="Z37" s="14">
        <f t="shared" si="15"/>
        <v>328118266.6</v>
      </c>
      <c r="AA37" s="14">
        <f t="shared" si="16"/>
        <v>5257827874</v>
      </c>
      <c r="AB37" s="33">
        <f t="shared" si="17"/>
        <v>23.6644661</v>
      </c>
    </row>
    <row r="38" ht="14.25" customHeight="1">
      <c r="A38" s="4" t="s">
        <v>97</v>
      </c>
      <c r="B38" s="4" t="s">
        <v>98</v>
      </c>
      <c r="C38" s="5">
        <v>1.3924498E7</v>
      </c>
      <c r="D38" s="2">
        <v>0.8783081443941462</v>
      </c>
      <c r="E38" s="2">
        <v>9.695861208066532</v>
      </c>
      <c r="F38" s="2">
        <v>1.1433087210756179</v>
      </c>
      <c r="G38" s="2">
        <v>0.19677549596401966</v>
      </c>
      <c r="H38" s="2">
        <v>0.05817085829593282</v>
      </c>
      <c r="I38" s="2">
        <v>0.0</v>
      </c>
      <c r="J38" s="2">
        <v>1.3465476457391858</v>
      </c>
      <c r="K38" s="2">
        <v>13.318972073535434</v>
      </c>
      <c r="L38" s="5">
        <f t="shared" si="1"/>
        <v>1223</v>
      </c>
      <c r="M38" s="5">
        <f t="shared" si="2"/>
        <v>13501</v>
      </c>
      <c r="N38" s="5">
        <f t="shared" si="3"/>
        <v>1592</v>
      </c>
      <c r="O38" s="5">
        <f t="shared" si="4"/>
        <v>274</v>
      </c>
      <c r="P38" s="5">
        <f t="shared" si="5"/>
        <v>81</v>
      </c>
      <c r="Q38" s="5">
        <f t="shared" si="6"/>
        <v>0</v>
      </c>
      <c r="R38" s="5">
        <f t="shared" si="7"/>
        <v>1875</v>
      </c>
      <c r="S38" s="5">
        <f t="shared" si="8"/>
        <v>18546</v>
      </c>
      <c r="T38" s="14">
        <f t="shared" si="9"/>
        <v>20438103.35</v>
      </c>
      <c r="U38" s="14">
        <f t="shared" si="10"/>
        <v>101718424.1</v>
      </c>
      <c r="V38" s="14">
        <f t="shared" si="11"/>
        <v>13080445.12</v>
      </c>
      <c r="W38" s="14">
        <f t="shared" si="12"/>
        <v>6760988.36</v>
      </c>
      <c r="X38" s="14">
        <f t="shared" si="13"/>
        <v>901450.62</v>
      </c>
      <c r="Y38" s="14">
        <f t="shared" si="14"/>
        <v>0</v>
      </c>
      <c r="Z38" s="14">
        <f t="shared" si="15"/>
        <v>15892275</v>
      </c>
      <c r="AA38" s="14">
        <f t="shared" si="16"/>
        <v>158791686.6</v>
      </c>
      <c r="AB38" s="33">
        <f t="shared" si="17"/>
        <v>11.40376383</v>
      </c>
    </row>
    <row r="39" ht="14.25" customHeight="1">
      <c r="A39" s="4" t="s">
        <v>99</v>
      </c>
      <c r="B39" s="4" t="s">
        <v>100</v>
      </c>
      <c r="C39" s="5">
        <v>232132.0</v>
      </c>
      <c r="D39" s="2">
        <v>4.52328847379939</v>
      </c>
      <c r="E39" s="2">
        <v>18.95473265211173</v>
      </c>
      <c r="F39" s="2">
        <v>2.153946892285424</v>
      </c>
      <c r="G39" s="2">
        <v>0.25847362707425087</v>
      </c>
      <c r="H39" s="2">
        <v>1.5939207002912137</v>
      </c>
      <c r="I39" s="2">
        <v>6.2895249254734376</v>
      </c>
      <c r="J39" s="2">
        <v>0.0</v>
      </c>
      <c r="K39" s="2">
        <v>33.77388727103545</v>
      </c>
      <c r="L39" s="5">
        <f t="shared" si="1"/>
        <v>105</v>
      </c>
      <c r="M39" s="5">
        <f t="shared" si="2"/>
        <v>440</v>
      </c>
      <c r="N39" s="5">
        <f t="shared" si="3"/>
        <v>50</v>
      </c>
      <c r="O39" s="5">
        <f t="shared" si="4"/>
        <v>6</v>
      </c>
      <c r="P39" s="5">
        <f t="shared" si="5"/>
        <v>37</v>
      </c>
      <c r="Q39" s="5">
        <f t="shared" si="6"/>
        <v>146</v>
      </c>
      <c r="R39" s="5">
        <f t="shared" si="7"/>
        <v>0</v>
      </c>
      <c r="S39" s="5">
        <f t="shared" si="8"/>
        <v>784</v>
      </c>
      <c r="T39" s="14">
        <f t="shared" si="9"/>
        <v>1754702.25</v>
      </c>
      <c r="U39" s="14">
        <f t="shared" si="10"/>
        <v>3315021.6</v>
      </c>
      <c r="V39" s="14">
        <f t="shared" si="11"/>
        <v>410818</v>
      </c>
      <c r="W39" s="14">
        <f t="shared" si="12"/>
        <v>148050.84</v>
      </c>
      <c r="X39" s="14">
        <f t="shared" si="13"/>
        <v>411773.74</v>
      </c>
      <c r="Y39" s="14">
        <f t="shared" si="14"/>
        <v>1130226.88</v>
      </c>
      <c r="Z39" s="14">
        <f t="shared" si="15"/>
        <v>0</v>
      </c>
      <c r="AA39" s="14">
        <f t="shared" si="16"/>
        <v>7170593.31</v>
      </c>
      <c r="AB39" s="33">
        <f t="shared" si="17"/>
        <v>30.89015435</v>
      </c>
    </row>
    <row r="40" ht="14.25" customHeight="1">
      <c r="A40" s="4" t="s">
        <v>101</v>
      </c>
      <c r="B40" s="4" t="s">
        <v>102</v>
      </c>
      <c r="C40" s="5">
        <v>1.8116526E7</v>
      </c>
      <c r="D40" s="2">
        <v>1.089060893904273</v>
      </c>
      <c r="E40" s="2">
        <v>2.638474948232349</v>
      </c>
      <c r="F40" s="2">
        <v>1.5952285774877588</v>
      </c>
      <c r="G40" s="2">
        <v>0.10874049472840433</v>
      </c>
      <c r="H40" s="2">
        <v>0.20147350546125675</v>
      </c>
      <c r="I40" s="2">
        <v>0.0</v>
      </c>
      <c r="J40" s="2">
        <v>0.14351537375322398</v>
      </c>
      <c r="K40" s="2">
        <v>5.7764937935672656</v>
      </c>
      <c r="L40" s="5">
        <f t="shared" si="1"/>
        <v>1973</v>
      </c>
      <c r="M40" s="5">
        <f t="shared" si="2"/>
        <v>4780</v>
      </c>
      <c r="N40" s="5">
        <f t="shared" si="3"/>
        <v>2890</v>
      </c>
      <c r="O40" s="5">
        <f t="shared" si="4"/>
        <v>197</v>
      </c>
      <c r="P40" s="5">
        <f t="shared" si="5"/>
        <v>365</v>
      </c>
      <c r="Q40" s="5">
        <f t="shared" si="6"/>
        <v>0</v>
      </c>
      <c r="R40" s="5">
        <f t="shared" si="7"/>
        <v>260</v>
      </c>
      <c r="S40" s="5">
        <f t="shared" si="8"/>
        <v>10465</v>
      </c>
      <c r="T40" s="14">
        <f t="shared" si="9"/>
        <v>32971690.85</v>
      </c>
      <c r="U40" s="14">
        <f t="shared" si="10"/>
        <v>36013189.2</v>
      </c>
      <c r="V40" s="14">
        <f t="shared" si="11"/>
        <v>23745280.4</v>
      </c>
      <c r="W40" s="14">
        <f t="shared" si="12"/>
        <v>4861002.58</v>
      </c>
      <c r="X40" s="14">
        <f t="shared" si="13"/>
        <v>4062092.3</v>
      </c>
      <c r="Y40" s="14">
        <f t="shared" si="14"/>
        <v>0</v>
      </c>
      <c r="Z40" s="14">
        <f t="shared" si="15"/>
        <v>2203728.8</v>
      </c>
      <c r="AA40" s="14">
        <f t="shared" si="16"/>
        <v>103856984.1</v>
      </c>
      <c r="AB40" s="33">
        <f t="shared" si="17"/>
        <v>5.732720729</v>
      </c>
    </row>
    <row r="41" ht="14.25" customHeight="1">
      <c r="A41" s="4" t="s">
        <v>103</v>
      </c>
      <c r="B41" s="4" t="s">
        <v>104</v>
      </c>
      <c r="C41" s="5">
        <v>99912.0</v>
      </c>
      <c r="D41" s="2">
        <v>82.87292817679558</v>
      </c>
      <c r="E41" s="2">
        <v>62.55504844262951</v>
      </c>
      <c r="F41" s="2">
        <v>31.227480182560654</v>
      </c>
      <c r="G41" s="2">
        <v>4.403875410361118</v>
      </c>
      <c r="H41" s="2">
        <v>5.40475618544319</v>
      </c>
      <c r="I41" s="2">
        <v>1.000880775082072</v>
      </c>
      <c r="J41" s="2">
        <v>2.1018496276723515</v>
      </c>
      <c r="K41" s="2">
        <v>189.56681880054444</v>
      </c>
      <c r="L41" s="5">
        <f t="shared" si="1"/>
        <v>828</v>
      </c>
      <c r="M41" s="5">
        <f t="shared" si="2"/>
        <v>625</v>
      </c>
      <c r="N41" s="5">
        <f t="shared" si="3"/>
        <v>312</v>
      </c>
      <c r="O41" s="5">
        <f t="shared" si="4"/>
        <v>44</v>
      </c>
      <c r="P41" s="5">
        <f t="shared" si="5"/>
        <v>54</v>
      </c>
      <c r="Q41" s="5">
        <f t="shared" si="6"/>
        <v>10</v>
      </c>
      <c r="R41" s="5">
        <f t="shared" si="7"/>
        <v>21</v>
      </c>
      <c r="S41" s="5">
        <f t="shared" si="8"/>
        <v>1894</v>
      </c>
      <c r="T41" s="14">
        <f t="shared" si="9"/>
        <v>13837080.6</v>
      </c>
      <c r="U41" s="14">
        <f t="shared" si="10"/>
        <v>4708837.5</v>
      </c>
      <c r="V41" s="14">
        <f t="shared" si="11"/>
        <v>2563504.32</v>
      </c>
      <c r="W41" s="14">
        <f t="shared" si="12"/>
        <v>1085706.16</v>
      </c>
      <c r="X41" s="14">
        <f t="shared" si="13"/>
        <v>600967.08</v>
      </c>
      <c r="Y41" s="14">
        <f t="shared" si="14"/>
        <v>77412.8</v>
      </c>
      <c r="Z41" s="14">
        <f t="shared" si="15"/>
        <v>177993.48</v>
      </c>
      <c r="AA41" s="14">
        <f t="shared" si="16"/>
        <v>23051501.94</v>
      </c>
      <c r="AB41" s="33">
        <f t="shared" si="17"/>
        <v>230.7180513</v>
      </c>
    </row>
    <row r="42" ht="14.25" customHeight="1">
      <c r="A42" s="4" t="s">
        <v>105</v>
      </c>
      <c r="B42" s="4" t="s">
        <v>106</v>
      </c>
      <c r="C42" s="5">
        <v>8472212.0</v>
      </c>
      <c r="D42" s="2">
        <v>1.3054441980441471</v>
      </c>
      <c r="E42" s="2">
        <v>8.682502279215864</v>
      </c>
      <c r="F42" s="2">
        <v>2.6805278243745554</v>
      </c>
      <c r="G42" s="2">
        <v>0.017704939394812123</v>
      </c>
      <c r="H42" s="2">
        <v>0.10504930707588526</v>
      </c>
      <c r="I42" s="2">
        <v>0.0</v>
      </c>
      <c r="J42" s="2">
        <v>0.35173812931026754</v>
      </c>
      <c r="K42" s="2">
        <v>13.142966677415535</v>
      </c>
      <c r="L42" s="5">
        <f t="shared" si="1"/>
        <v>1106</v>
      </c>
      <c r="M42" s="5">
        <f t="shared" si="2"/>
        <v>7356</v>
      </c>
      <c r="N42" s="5">
        <f t="shared" si="3"/>
        <v>2271</v>
      </c>
      <c r="O42" s="5">
        <f t="shared" si="4"/>
        <v>15</v>
      </c>
      <c r="P42" s="5">
        <f t="shared" si="5"/>
        <v>89</v>
      </c>
      <c r="Q42" s="5">
        <f t="shared" si="6"/>
        <v>0</v>
      </c>
      <c r="R42" s="5">
        <f t="shared" si="7"/>
        <v>298</v>
      </c>
      <c r="S42" s="5">
        <f t="shared" si="8"/>
        <v>11135</v>
      </c>
      <c r="T42" s="14">
        <f t="shared" si="9"/>
        <v>18482863.7</v>
      </c>
      <c r="U42" s="14">
        <f t="shared" si="10"/>
        <v>55421133.84</v>
      </c>
      <c r="V42" s="14">
        <f t="shared" si="11"/>
        <v>18659353.56</v>
      </c>
      <c r="W42" s="14">
        <f t="shared" si="12"/>
        <v>370127.1</v>
      </c>
      <c r="X42" s="14">
        <f t="shared" si="13"/>
        <v>990482.78</v>
      </c>
      <c r="Y42" s="14">
        <f t="shared" si="14"/>
        <v>0</v>
      </c>
      <c r="Z42" s="14">
        <f t="shared" si="15"/>
        <v>2525812.24</v>
      </c>
      <c r="AA42" s="14">
        <f t="shared" si="16"/>
        <v>96449773.22</v>
      </c>
      <c r="AB42" s="33">
        <f t="shared" si="17"/>
        <v>11.38424926</v>
      </c>
    </row>
    <row r="43" ht="14.25" customHeight="1">
      <c r="A43" s="4" t="s">
        <v>107</v>
      </c>
      <c r="B43" s="4" t="s">
        <v>108</v>
      </c>
      <c r="C43" s="5">
        <v>6.1452696E7</v>
      </c>
      <c r="D43" s="2">
        <v>8.060346123789264</v>
      </c>
      <c r="E43" s="2">
        <v>64.64500760064294</v>
      </c>
      <c r="F43" s="2">
        <v>0.25108743805153805</v>
      </c>
      <c r="G43" s="2">
        <v>0.19039034512009043</v>
      </c>
      <c r="H43" s="2">
        <v>2.7385291607059843</v>
      </c>
      <c r="I43" s="2">
        <v>0.002115448279112116</v>
      </c>
      <c r="J43" s="2">
        <v>0.1806267376780345</v>
      </c>
      <c r="K43" s="2">
        <v>76.06810285426697</v>
      </c>
      <c r="L43" s="5">
        <f t="shared" si="1"/>
        <v>49533</v>
      </c>
      <c r="M43" s="5">
        <f t="shared" si="2"/>
        <v>397261</v>
      </c>
      <c r="N43" s="5">
        <f t="shared" si="3"/>
        <v>1543</v>
      </c>
      <c r="O43" s="5">
        <f t="shared" si="4"/>
        <v>1170</v>
      </c>
      <c r="P43" s="5">
        <f t="shared" si="5"/>
        <v>16829</v>
      </c>
      <c r="Q43" s="5">
        <f t="shared" si="6"/>
        <v>13</v>
      </c>
      <c r="R43" s="5">
        <f t="shared" si="7"/>
        <v>1110</v>
      </c>
      <c r="S43" s="5">
        <f t="shared" si="8"/>
        <v>467459</v>
      </c>
      <c r="T43" s="14">
        <f t="shared" si="9"/>
        <v>827768252.9</v>
      </c>
      <c r="U43" s="14">
        <f t="shared" si="10"/>
        <v>2993019991</v>
      </c>
      <c r="V43" s="14">
        <f t="shared" si="11"/>
        <v>12677843.48</v>
      </c>
      <c r="W43" s="14">
        <f t="shared" si="12"/>
        <v>28869913.8</v>
      </c>
      <c r="X43" s="14">
        <f t="shared" si="13"/>
        <v>187290277.6</v>
      </c>
      <c r="Y43" s="14">
        <f t="shared" si="14"/>
        <v>100636.64</v>
      </c>
      <c r="Z43" s="14">
        <f t="shared" si="15"/>
        <v>9408226.8</v>
      </c>
      <c r="AA43" s="14">
        <f t="shared" si="16"/>
        <v>4059135142</v>
      </c>
      <c r="AB43" s="33">
        <f t="shared" si="17"/>
        <v>66.05300346</v>
      </c>
    </row>
    <row r="44" ht="14.25" customHeight="1">
      <c r="A44" s="4" t="s">
        <v>109</v>
      </c>
      <c r="B44" s="4" t="s">
        <v>110</v>
      </c>
      <c r="C44" s="5">
        <v>1.1891023E7</v>
      </c>
      <c r="D44" s="2">
        <v>0.3834825649567745</v>
      </c>
      <c r="E44" s="2">
        <v>3.8095965334521678</v>
      </c>
      <c r="F44" s="2">
        <v>2.596917018830087</v>
      </c>
      <c r="G44" s="2">
        <v>0.02691105718994909</v>
      </c>
      <c r="H44" s="2">
        <v>0.13455528594974545</v>
      </c>
      <c r="I44" s="2">
        <v>0.5340162911130523</v>
      </c>
      <c r="J44" s="2">
        <v>0.22874398611456728</v>
      </c>
      <c r="K44" s="2">
        <v>7.7142227376063435</v>
      </c>
      <c r="L44" s="5">
        <f t="shared" si="1"/>
        <v>456</v>
      </c>
      <c r="M44" s="5">
        <f t="shared" si="2"/>
        <v>4530</v>
      </c>
      <c r="N44" s="5">
        <f t="shared" si="3"/>
        <v>3088</v>
      </c>
      <c r="O44" s="5">
        <f t="shared" si="4"/>
        <v>32</v>
      </c>
      <c r="P44" s="5">
        <f t="shared" si="5"/>
        <v>160</v>
      </c>
      <c r="Q44" s="5">
        <f t="shared" si="6"/>
        <v>635</v>
      </c>
      <c r="R44" s="5">
        <f t="shared" si="7"/>
        <v>272</v>
      </c>
      <c r="S44" s="5">
        <f t="shared" si="8"/>
        <v>9173</v>
      </c>
      <c r="T44" s="14">
        <f t="shared" si="9"/>
        <v>7620421.2</v>
      </c>
      <c r="U44" s="14">
        <f t="shared" si="10"/>
        <v>34129654.2</v>
      </c>
      <c r="V44" s="14">
        <f t="shared" si="11"/>
        <v>25372119.68</v>
      </c>
      <c r="W44" s="14">
        <f t="shared" si="12"/>
        <v>789604.48</v>
      </c>
      <c r="X44" s="14">
        <f t="shared" si="13"/>
        <v>1780643.2</v>
      </c>
      <c r="Y44" s="14">
        <f t="shared" si="14"/>
        <v>4915712.8</v>
      </c>
      <c r="Z44" s="14">
        <f t="shared" si="15"/>
        <v>2305439.36</v>
      </c>
      <c r="AA44" s="14">
        <f t="shared" si="16"/>
        <v>76913594.92</v>
      </c>
      <c r="AB44" s="33">
        <f t="shared" si="17"/>
        <v>6.468206724</v>
      </c>
    </row>
    <row r="45" ht="14.25" customHeight="1">
      <c r="A45" s="4" t="s">
        <v>111</v>
      </c>
      <c r="B45" s="4" t="s">
        <v>112</v>
      </c>
      <c r="C45" s="5">
        <v>4.9700758E7</v>
      </c>
      <c r="D45" s="2">
        <v>1.8213001902304993</v>
      </c>
      <c r="E45" s="2">
        <v>14.928746157151163</v>
      </c>
      <c r="F45" s="2">
        <v>6.631085988668422</v>
      </c>
      <c r="G45" s="2">
        <v>0.10140690409590936</v>
      </c>
      <c r="H45" s="2">
        <v>0.34446154724642225</v>
      </c>
      <c r="I45" s="2">
        <v>0.7589421473209724</v>
      </c>
      <c r="J45" s="2">
        <v>2.6921118587366415</v>
      </c>
      <c r="K45" s="2">
        <v>27.278054793450032</v>
      </c>
      <c r="L45" s="5">
        <f t="shared" si="1"/>
        <v>9052</v>
      </c>
      <c r="M45" s="5">
        <f t="shared" si="2"/>
        <v>74197</v>
      </c>
      <c r="N45" s="5">
        <f t="shared" si="3"/>
        <v>32957</v>
      </c>
      <c r="O45" s="5">
        <f t="shared" si="4"/>
        <v>504</v>
      </c>
      <c r="P45" s="5">
        <f t="shared" si="5"/>
        <v>1712</v>
      </c>
      <c r="Q45" s="5">
        <f t="shared" si="6"/>
        <v>3772</v>
      </c>
      <c r="R45" s="5">
        <f t="shared" si="7"/>
        <v>13380</v>
      </c>
      <c r="S45" s="5">
        <f t="shared" si="8"/>
        <v>135574</v>
      </c>
      <c r="T45" s="14">
        <f t="shared" si="9"/>
        <v>151272045.4</v>
      </c>
      <c r="U45" s="14">
        <f t="shared" si="10"/>
        <v>559010585.6</v>
      </c>
      <c r="V45" s="14">
        <f t="shared" si="11"/>
        <v>270786576.5</v>
      </c>
      <c r="W45" s="14">
        <f t="shared" si="12"/>
        <v>12436270.56</v>
      </c>
      <c r="X45" s="14">
        <f t="shared" si="13"/>
        <v>19052882.24</v>
      </c>
      <c r="Y45" s="14">
        <f t="shared" si="14"/>
        <v>29200108.16</v>
      </c>
      <c r="Z45" s="14">
        <f t="shared" si="15"/>
        <v>113407274.4</v>
      </c>
      <c r="AA45" s="14">
        <f t="shared" si="16"/>
        <v>1155165743</v>
      </c>
      <c r="AB45" s="33">
        <f t="shared" si="17"/>
        <v>23.242417</v>
      </c>
    </row>
    <row r="46" ht="14.25" customHeight="1">
      <c r="A46" s="4" t="s">
        <v>113</v>
      </c>
      <c r="B46" s="4" t="s">
        <v>114</v>
      </c>
      <c r="C46" s="5">
        <v>6.5136238E7</v>
      </c>
      <c r="D46" s="2">
        <v>1.3345873613394743</v>
      </c>
      <c r="E46" s="2">
        <v>7.086070890369812</v>
      </c>
      <c r="F46" s="2">
        <v>0.0</v>
      </c>
      <c r="G46" s="2">
        <v>0.11591090047294411</v>
      </c>
      <c r="H46" s="2">
        <v>0.3472721283043703</v>
      </c>
      <c r="I46" s="2">
        <v>0.23826982454835663</v>
      </c>
      <c r="J46" s="2">
        <v>0.7281660939644689</v>
      </c>
      <c r="K46" s="2">
        <v>9.850277198999425</v>
      </c>
      <c r="L46" s="5">
        <f t="shared" si="1"/>
        <v>8693</v>
      </c>
      <c r="M46" s="5">
        <f t="shared" si="2"/>
        <v>46156</v>
      </c>
      <c r="N46" s="5">
        <f t="shared" si="3"/>
        <v>0</v>
      </c>
      <c r="O46" s="5">
        <f t="shared" si="4"/>
        <v>755</v>
      </c>
      <c r="P46" s="5">
        <f t="shared" si="5"/>
        <v>2262</v>
      </c>
      <c r="Q46" s="5">
        <f t="shared" si="6"/>
        <v>1552</v>
      </c>
      <c r="R46" s="5">
        <f t="shared" si="7"/>
        <v>4743</v>
      </c>
      <c r="S46" s="5">
        <f t="shared" si="8"/>
        <v>64161</v>
      </c>
      <c r="T46" s="14">
        <f t="shared" si="9"/>
        <v>145272634.9</v>
      </c>
      <c r="U46" s="14">
        <f t="shared" si="10"/>
        <v>347745765.8</v>
      </c>
      <c r="V46" s="14">
        <f t="shared" si="11"/>
        <v>0</v>
      </c>
      <c r="W46" s="14">
        <f t="shared" si="12"/>
        <v>18629730.7</v>
      </c>
      <c r="X46" s="14">
        <f t="shared" si="13"/>
        <v>25173843.24</v>
      </c>
      <c r="Y46" s="14">
        <f t="shared" si="14"/>
        <v>12014466.56</v>
      </c>
      <c r="Z46" s="14">
        <f t="shared" si="15"/>
        <v>40201098.84</v>
      </c>
      <c r="AA46" s="14">
        <f t="shared" si="16"/>
        <v>589037540</v>
      </c>
      <c r="AB46" s="33">
        <f t="shared" si="17"/>
        <v>9.043161812</v>
      </c>
    </row>
    <row r="47" ht="14.25" customHeight="1">
      <c r="A47" s="4" t="s">
        <v>115</v>
      </c>
      <c r="B47" s="4" t="s">
        <v>116</v>
      </c>
      <c r="C47" s="5">
        <v>8886635.0</v>
      </c>
      <c r="D47" s="2">
        <v>0.8214582910179162</v>
      </c>
      <c r="E47" s="2">
        <v>2.9595004183248217</v>
      </c>
      <c r="F47" s="2">
        <v>2.09753185542109</v>
      </c>
      <c r="G47" s="2">
        <v>0.024756277263553637</v>
      </c>
      <c r="H47" s="2">
        <v>0.2869477591911899</v>
      </c>
      <c r="I47" s="2">
        <v>0.14178595160035265</v>
      </c>
      <c r="J47" s="2">
        <v>0.46586812668687305</v>
      </c>
      <c r="K47" s="2">
        <v>6.797848679505797</v>
      </c>
      <c r="L47" s="5">
        <f t="shared" si="1"/>
        <v>730</v>
      </c>
      <c r="M47" s="5">
        <f t="shared" si="2"/>
        <v>2630</v>
      </c>
      <c r="N47" s="5">
        <f t="shared" si="3"/>
        <v>1864</v>
      </c>
      <c r="O47" s="5">
        <f t="shared" si="4"/>
        <v>22</v>
      </c>
      <c r="P47" s="5">
        <f t="shared" si="5"/>
        <v>255</v>
      </c>
      <c r="Q47" s="5">
        <f t="shared" si="6"/>
        <v>126</v>
      </c>
      <c r="R47" s="5">
        <f t="shared" si="7"/>
        <v>414</v>
      </c>
      <c r="S47" s="5">
        <f t="shared" si="8"/>
        <v>6041</v>
      </c>
      <c r="T47" s="14">
        <f t="shared" si="9"/>
        <v>12199358.5</v>
      </c>
      <c r="U47" s="14">
        <f t="shared" si="10"/>
        <v>19814788.2</v>
      </c>
      <c r="V47" s="14">
        <f t="shared" si="11"/>
        <v>15315295.04</v>
      </c>
      <c r="W47" s="14">
        <f t="shared" si="12"/>
        <v>542853.08</v>
      </c>
      <c r="X47" s="14">
        <f t="shared" si="13"/>
        <v>2837900.1</v>
      </c>
      <c r="Y47" s="14">
        <f t="shared" si="14"/>
        <v>975401.28</v>
      </c>
      <c r="Z47" s="14">
        <f t="shared" si="15"/>
        <v>3509014.32</v>
      </c>
      <c r="AA47" s="14">
        <f t="shared" si="16"/>
        <v>55194610.52</v>
      </c>
      <c r="AB47" s="33">
        <f t="shared" si="17"/>
        <v>6.210968552</v>
      </c>
    </row>
    <row r="48" ht="14.25" customHeight="1">
      <c r="A48" s="4" t="s">
        <v>117</v>
      </c>
      <c r="B48" s="4" t="s">
        <v>118</v>
      </c>
      <c r="C48" s="5">
        <v>2.0032801E7</v>
      </c>
      <c r="D48" s="2">
        <v>3.260153185767682</v>
      </c>
      <c r="E48" s="2">
        <v>24.946586351054954</v>
      </c>
      <c r="F48" s="2">
        <v>4.593466485290799</v>
      </c>
      <c r="G48" s="2">
        <v>0.14126831290342273</v>
      </c>
      <c r="H48" s="2">
        <v>0.7113333776939131</v>
      </c>
      <c r="I48" s="2">
        <v>0.20915697210789444</v>
      </c>
      <c r="J48" s="2">
        <v>0.7652449600033465</v>
      </c>
      <c r="K48" s="2">
        <v>34.627209644822</v>
      </c>
      <c r="L48" s="5">
        <f t="shared" si="1"/>
        <v>6531</v>
      </c>
      <c r="M48" s="5">
        <f t="shared" si="2"/>
        <v>49975</v>
      </c>
      <c r="N48" s="5">
        <f t="shared" si="3"/>
        <v>9202</v>
      </c>
      <c r="O48" s="5">
        <f t="shared" si="4"/>
        <v>283</v>
      </c>
      <c r="P48" s="5">
        <f t="shared" si="5"/>
        <v>1425</v>
      </c>
      <c r="Q48" s="5">
        <f t="shared" si="6"/>
        <v>419</v>
      </c>
      <c r="R48" s="5">
        <f t="shared" si="7"/>
        <v>1533</v>
      </c>
      <c r="S48" s="5">
        <f t="shared" si="8"/>
        <v>69368</v>
      </c>
      <c r="T48" s="14">
        <f t="shared" si="9"/>
        <v>109142480</v>
      </c>
      <c r="U48" s="14">
        <f t="shared" si="10"/>
        <v>376518646.5</v>
      </c>
      <c r="V48" s="14">
        <f t="shared" si="11"/>
        <v>75606944.72</v>
      </c>
      <c r="W48" s="14">
        <f t="shared" si="12"/>
        <v>6983064.62</v>
      </c>
      <c r="X48" s="14">
        <f t="shared" si="13"/>
        <v>15858853.5</v>
      </c>
      <c r="Y48" s="14">
        <f t="shared" si="14"/>
        <v>3243596.32</v>
      </c>
      <c r="Z48" s="14">
        <f t="shared" si="15"/>
        <v>12993524.04</v>
      </c>
      <c r="AA48" s="14">
        <f t="shared" si="16"/>
        <v>600347109.7</v>
      </c>
      <c r="AB48" s="33">
        <f t="shared" si="17"/>
        <v>29.96820613</v>
      </c>
    </row>
    <row r="49" ht="14.25" customHeight="1">
      <c r="A49" s="4" t="s">
        <v>119</v>
      </c>
      <c r="B49" s="4" t="s">
        <v>120</v>
      </c>
      <c r="C49" s="5">
        <v>1.5581023E7</v>
      </c>
      <c r="D49" s="2">
        <v>1.4260937808769039</v>
      </c>
      <c r="E49" s="2">
        <v>29.867743600660884</v>
      </c>
      <c r="F49" s="2">
        <v>1.8002669016020323</v>
      </c>
      <c r="G49" s="2">
        <v>0.3157687399601426</v>
      </c>
      <c r="H49" s="2">
        <v>1.2207157386264047</v>
      </c>
      <c r="I49" s="2">
        <v>0.9299774475655418</v>
      </c>
      <c r="J49" s="2">
        <v>0.6771057330446145</v>
      </c>
      <c r="K49" s="2">
        <v>36.23767194233652</v>
      </c>
      <c r="L49" s="5">
        <f t="shared" si="1"/>
        <v>2222</v>
      </c>
      <c r="M49" s="5">
        <f t="shared" si="2"/>
        <v>46537</v>
      </c>
      <c r="N49" s="5">
        <f t="shared" si="3"/>
        <v>2805</v>
      </c>
      <c r="O49" s="5">
        <f t="shared" si="4"/>
        <v>492</v>
      </c>
      <c r="P49" s="5">
        <f t="shared" si="5"/>
        <v>1902</v>
      </c>
      <c r="Q49" s="5">
        <f t="shared" si="6"/>
        <v>1449</v>
      </c>
      <c r="R49" s="5">
        <f t="shared" si="7"/>
        <v>1055</v>
      </c>
      <c r="S49" s="5">
        <f t="shared" si="8"/>
        <v>56462</v>
      </c>
      <c r="T49" s="14">
        <f t="shared" si="9"/>
        <v>37132841.9</v>
      </c>
      <c r="U49" s="14">
        <f t="shared" si="10"/>
        <v>350616273.2</v>
      </c>
      <c r="V49" s="14">
        <f t="shared" si="11"/>
        <v>23046889.8</v>
      </c>
      <c r="W49" s="14">
        <f t="shared" si="12"/>
        <v>12140168.88</v>
      </c>
      <c r="X49" s="14">
        <f t="shared" si="13"/>
        <v>21167396.04</v>
      </c>
      <c r="Y49" s="14">
        <f t="shared" si="14"/>
        <v>11217114.72</v>
      </c>
      <c r="Z49" s="14">
        <f t="shared" si="15"/>
        <v>8942053.4</v>
      </c>
      <c r="AA49" s="14">
        <f t="shared" si="16"/>
        <v>464262737.9</v>
      </c>
      <c r="AB49" s="33">
        <f t="shared" si="17"/>
        <v>29.79667881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2025-07-10T16:31:45Z</dcterms:created>
  <dc:creator>BEDIAKON, Kouadjo San Boris</dc:creator>
</cp:coreProperties>
</file>